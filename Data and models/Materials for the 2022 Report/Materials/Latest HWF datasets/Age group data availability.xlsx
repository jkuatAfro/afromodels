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13_ncr:1_{15ACBDBF-CD12-4E4F-8779-DFEA8E8D9B0C}" xr6:coauthVersionLast="47" xr6:coauthVersionMax="47" xr10:uidLastSave="{00000000-0000-0000-0000-000000000000}"/>
  <bookViews>
    <workbookView xWindow="-110" yWindow="-110" windowWidth="19420" windowHeight="10300" activeTab="2" xr2:uid="{A281EC1E-BD6A-4D7D-A24E-5033FC3827E8}"/>
  </bookViews>
  <sheets>
    <sheet name="Sheet2" sheetId="2" r:id="rId1"/>
    <sheet name="Sheet4" sheetId="4" r:id="rId2"/>
    <sheet name="Sheet3" sheetId="3" r:id="rId3"/>
    <sheet name="available" sheetId="1" r:id="rId4"/>
    <sheet name="Medical doctors" sheetId="5" r:id="rId5"/>
    <sheet name="Doctors distribution" sheetId="6" r:id="rId6"/>
    <sheet name="Income" sheetId="7" r:id="rId7"/>
    <sheet name="Sheet10" sheetId="10" r:id="rId8"/>
    <sheet name="Med 1" sheetId="8" r:id="rId9"/>
    <sheet name="Total medical doctors" sheetId="9" r:id="rId10"/>
    <sheet name="Education graduates" sheetId="11" r:id="rId11"/>
  </sheets>
  <definedNames>
    <definedName name="_xlnm._FilterDatabase" localSheetId="3" hidden="1">available!$A$1:$B$49</definedName>
    <definedName name="_xlnm._FilterDatabase" localSheetId="9" hidden="1">'Total medical doctors'!$A$1:$L$49</definedName>
  </definedNames>
  <calcPr calcId="191029"/>
  <pivotCaches>
    <pivotCache cacheId="27" r:id="rId12"/>
    <pivotCache cacheId="28" r:id="rId13"/>
    <pivotCache cacheId="2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9" l="1"/>
  <c r="S12" i="9"/>
  <c r="S16" i="9"/>
  <c r="S25" i="9"/>
  <c r="S38" i="9"/>
  <c r="S40" i="9"/>
  <c r="E4" i="11"/>
  <c r="S4" i="9" s="1"/>
  <c r="E5" i="11"/>
  <c r="S5" i="9" s="1"/>
  <c r="E6" i="11"/>
  <c r="S6" i="9" s="1"/>
  <c r="E7" i="11"/>
  <c r="S7" i="9" s="1"/>
  <c r="E8" i="11"/>
  <c r="S8" i="9" s="1"/>
  <c r="E9" i="11"/>
  <c r="S9" i="9" s="1"/>
  <c r="E10" i="11"/>
  <c r="S10" i="9" s="1"/>
  <c r="E11" i="11"/>
  <c r="S11" i="9" s="1"/>
  <c r="E13" i="11"/>
  <c r="S13" i="9" s="1"/>
  <c r="E14" i="11"/>
  <c r="S14" i="9" s="1"/>
  <c r="E15" i="11"/>
  <c r="S15" i="9" s="1"/>
  <c r="E17" i="11"/>
  <c r="S17" i="9" s="1"/>
  <c r="E18" i="11"/>
  <c r="S18" i="9" s="1"/>
  <c r="E19" i="11"/>
  <c r="S19" i="9" s="1"/>
  <c r="E20" i="11"/>
  <c r="S20" i="9" s="1"/>
  <c r="E21" i="11"/>
  <c r="S21" i="9" s="1"/>
  <c r="E22" i="11"/>
  <c r="S22" i="9" s="1"/>
  <c r="E23" i="11"/>
  <c r="S23" i="9" s="1"/>
  <c r="E24" i="11"/>
  <c r="S24" i="9" s="1"/>
  <c r="E26" i="11"/>
  <c r="S26" i="9" s="1"/>
  <c r="E27" i="11"/>
  <c r="S27" i="9" s="1"/>
  <c r="E28" i="11"/>
  <c r="S28" i="9" s="1"/>
  <c r="E29" i="11"/>
  <c r="S29" i="9" s="1"/>
  <c r="E30" i="11"/>
  <c r="S30" i="9" s="1"/>
  <c r="E31" i="11"/>
  <c r="S31" i="9" s="1"/>
  <c r="E32" i="11"/>
  <c r="S32" i="9" s="1"/>
  <c r="E33" i="11"/>
  <c r="S33" i="9" s="1"/>
  <c r="E34" i="11"/>
  <c r="S34" i="9" s="1"/>
  <c r="E35" i="11"/>
  <c r="S35" i="9" s="1"/>
  <c r="E36" i="11"/>
  <c r="S36" i="9" s="1"/>
  <c r="E37" i="11"/>
  <c r="S37" i="9" s="1"/>
  <c r="E39" i="11"/>
  <c r="S39" i="9" s="1"/>
  <c r="E41" i="11"/>
  <c r="S41" i="9" s="1"/>
  <c r="E42" i="11"/>
  <c r="S42" i="9" s="1"/>
  <c r="E43" i="11"/>
  <c r="S43" i="9" s="1"/>
  <c r="E44" i="11"/>
  <c r="S44" i="9" s="1"/>
  <c r="E45" i="11"/>
  <c r="S45" i="9" s="1"/>
  <c r="E46" i="11"/>
  <c r="S46" i="9" s="1"/>
  <c r="E47" i="11"/>
  <c r="S47" i="9" s="1"/>
  <c r="E48" i="11"/>
  <c r="S48" i="9" s="1"/>
  <c r="E49" i="11"/>
  <c r="S49" i="9" s="1"/>
  <c r="E3" i="11"/>
  <c r="S3" i="9" s="1"/>
  <c r="M3" i="9"/>
  <c r="N3" i="9"/>
  <c r="O3" i="9"/>
  <c r="P3" i="9"/>
  <c r="Q3" i="9"/>
  <c r="R3" i="9"/>
  <c r="M4" i="9"/>
  <c r="N4" i="9"/>
  <c r="O4" i="9"/>
  <c r="P4" i="9"/>
  <c r="Q4" i="9"/>
  <c r="R4" i="9"/>
  <c r="M5" i="9"/>
  <c r="N5" i="9"/>
  <c r="O5" i="9"/>
  <c r="P5" i="9"/>
  <c r="Q5" i="9"/>
  <c r="R5" i="9"/>
  <c r="M6" i="9"/>
  <c r="N6" i="9"/>
  <c r="O6" i="9"/>
  <c r="P6" i="9"/>
  <c r="Q6" i="9"/>
  <c r="R6" i="9"/>
  <c r="M7" i="9"/>
  <c r="N7" i="9"/>
  <c r="O7" i="9"/>
  <c r="P7" i="9"/>
  <c r="Q7" i="9"/>
  <c r="R7" i="9"/>
  <c r="M8" i="9"/>
  <c r="N8" i="9"/>
  <c r="O8" i="9"/>
  <c r="P8" i="9"/>
  <c r="Q8" i="9"/>
  <c r="R8" i="9"/>
  <c r="M9" i="9"/>
  <c r="N9" i="9"/>
  <c r="O9" i="9"/>
  <c r="P9" i="9"/>
  <c r="Q9" i="9"/>
  <c r="R9" i="9"/>
  <c r="M10" i="9"/>
  <c r="N10" i="9"/>
  <c r="O10" i="9"/>
  <c r="P10" i="9"/>
  <c r="Q10" i="9"/>
  <c r="R10" i="9"/>
  <c r="M11" i="9"/>
  <c r="N11" i="9"/>
  <c r="O11" i="9"/>
  <c r="P11" i="9"/>
  <c r="Q11" i="9"/>
  <c r="R11" i="9"/>
  <c r="M12" i="9"/>
  <c r="N12" i="9"/>
  <c r="O12" i="9"/>
  <c r="P12" i="9"/>
  <c r="Q12" i="9"/>
  <c r="R12" i="9"/>
  <c r="M13" i="9"/>
  <c r="N13" i="9"/>
  <c r="O13" i="9"/>
  <c r="P13" i="9"/>
  <c r="Q13" i="9"/>
  <c r="R13" i="9"/>
  <c r="M14" i="9"/>
  <c r="N14" i="9"/>
  <c r="O14" i="9"/>
  <c r="P14" i="9"/>
  <c r="Q14" i="9"/>
  <c r="R14" i="9"/>
  <c r="M15" i="9"/>
  <c r="N15" i="9"/>
  <c r="O15" i="9"/>
  <c r="P15" i="9"/>
  <c r="Q15" i="9"/>
  <c r="R15" i="9"/>
  <c r="M16" i="9"/>
  <c r="N16" i="9"/>
  <c r="O16" i="9"/>
  <c r="P16" i="9"/>
  <c r="Q16" i="9"/>
  <c r="R16" i="9"/>
  <c r="M17" i="9"/>
  <c r="N17" i="9"/>
  <c r="O17" i="9"/>
  <c r="P17" i="9"/>
  <c r="Q17" i="9"/>
  <c r="R17" i="9"/>
  <c r="M18" i="9"/>
  <c r="N18" i="9"/>
  <c r="O18" i="9"/>
  <c r="P18" i="9"/>
  <c r="Q18" i="9"/>
  <c r="R18" i="9"/>
  <c r="M19" i="9"/>
  <c r="N19" i="9"/>
  <c r="O19" i="9"/>
  <c r="P19" i="9"/>
  <c r="Q19" i="9"/>
  <c r="R19" i="9"/>
  <c r="M20" i="9"/>
  <c r="N20" i="9"/>
  <c r="O20" i="9"/>
  <c r="P20" i="9"/>
  <c r="Q20" i="9"/>
  <c r="R20" i="9"/>
  <c r="M21" i="9"/>
  <c r="N21" i="9"/>
  <c r="O21" i="9"/>
  <c r="P21" i="9"/>
  <c r="Q21" i="9"/>
  <c r="R21" i="9"/>
  <c r="M22" i="9"/>
  <c r="N22" i="9"/>
  <c r="O22" i="9"/>
  <c r="P22" i="9"/>
  <c r="Q22" i="9"/>
  <c r="R22" i="9"/>
  <c r="M23" i="9"/>
  <c r="N23" i="9"/>
  <c r="O23" i="9"/>
  <c r="P23" i="9"/>
  <c r="Q23" i="9"/>
  <c r="R23" i="9"/>
  <c r="M24" i="9"/>
  <c r="N24" i="9"/>
  <c r="O24" i="9"/>
  <c r="P24" i="9"/>
  <c r="Q24" i="9"/>
  <c r="R24" i="9"/>
  <c r="M25" i="9"/>
  <c r="N25" i="9"/>
  <c r="O25" i="9"/>
  <c r="P25" i="9"/>
  <c r="Q25" i="9"/>
  <c r="R25" i="9"/>
  <c r="M26" i="9"/>
  <c r="N26" i="9"/>
  <c r="O26" i="9"/>
  <c r="P26" i="9"/>
  <c r="Q26" i="9"/>
  <c r="R26" i="9"/>
  <c r="M27" i="9"/>
  <c r="N27" i="9"/>
  <c r="O27" i="9"/>
  <c r="P27" i="9"/>
  <c r="Q27" i="9"/>
  <c r="R27" i="9"/>
  <c r="M28" i="9"/>
  <c r="N28" i="9"/>
  <c r="O28" i="9"/>
  <c r="P28" i="9"/>
  <c r="Q28" i="9"/>
  <c r="R28" i="9"/>
  <c r="M29" i="9"/>
  <c r="N29" i="9"/>
  <c r="O29" i="9"/>
  <c r="P29" i="9"/>
  <c r="Q29" i="9"/>
  <c r="R29" i="9"/>
  <c r="M30" i="9"/>
  <c r="N30" i="9"/>
  <c r="O30" i="9"/>
  <c r="P30" i="9"/>
  <c r="Q30" i="9"/>
  <c r="R30" i="9"/>
  <c r="M31" i="9"/>
  <c r="N31" i="9"/>
  <c r="O31" i="9"/>
  <c r="P31" i="9"/>
  <c r="Q31" i="9"/>
  <c r="R31" i="9"/>
  <c r="M32" i="9"/>
  <c r="N32" i="9"/>
  <c r="O32" i="9"/>
  <c r="P32" i="9"/>
  <c r="Q32" i="9"/>
  <c r="R32" i="9"/>
  <c r="M33" i="9"/>
  <c r="N33" i="9"/>
  <c r="O33" i="9"/>
  <c r="P33" i="9"/>
  <c r="Q33" i="9"/>
  <c r="R33" i="9"/>
  <c r="M34" i="9"/>
  <c r="N34" i="9"/>
  <c r="O34" i="9"/>
  <c r="P34" i="9"/>
  <c r="Q34" i="9"/>
  <c r="R34" i="9"/>
  <c r="M35" i="9"/>
  <c r="N35" i="9"/>
  <c r="O35" i="9"/>
  <c r="P35" i="9"/>
  <c r="Q35" i="9"/>
  <c r="R35" i="9"/>
  <c r="M36" i="9"/>
  <c r="N36" i="9"/>
  <c r="O36" i="9"/>
  <c r="P36" i="9"/>
  <c r="Q36" i="9"/>
  <c r="R36" i="9"/>
  <c r="M37" i="9"/>
  <c r="N37" i="9"/>
  <c r="O37" i="9"/>
  <c r="P37" i="9"/>
  <c r="Q37" i="9"/>
  <c r="R37" i="9"/>
  <c r="M38" i="9"/>
  <c r="N38" i="9"/>
  <c r="O38" i="9"/>
  <c r="P38" i="9"/>
  <c r="Q38" i="9"/>
  <c r="R38" i="9"/>
  <c r="M39" i="9"/>
  <c r="N39" i="9"/>
  <c r="O39" i="9"/>
  <c r="P39" i="9"/>
  <c r="Q39" i="9"/>
  <c r="R39" i="9"/>
  <c r="M40" i="9"/>
  <c r="N40" i="9"/>
  <c r="O40" i="9"/>
  <c r="P40" i="9"/>
  <c r="Q40" i="9"/>
  <c r="R40" i="9"/>
  <c r="M41" i="9"/>
  <c r="N41" i="9"/>
  <c r="O41" i="9"/>
  <c r="P41" i="9"/>
  <c r="Q41" i="9"/>
  <c r="R41" i="9"/>
  <c r="M42" i="9"/>
  <c r="N42" i="9"/>
  <c r="O42" i="9"/>
  <c r="P42" i="9"/>
  <c r="Q42" i="9"/>
  <c r="R42" i="9"/>
  <c r="M43" i="9"/>
  <c r="N43" i="9"/>
  <c r="O43" i="9"/>
  <c r="P43" i="9"/>
  <c r="Q43" i="9"/>
  <c r="R43" i="9"/>
  <c r="M44" i="9"/>
  <c r="N44" i="9"/>
  <c r="O44" i="9"/>
  <c r="P44" i="9"/>
  <c r="Q44" i="9"/>
  <c r="R44" i="9"/>
  <c r="M45" i="9"/>
  <c r="N45" i="9"/>
  <c r="O45" i="9"/>
  <c r="P45" i="9"/>
  <c r="Q45" i="9"/>
  <c r="R45" i="9"/>
  <c r="M46" i="9"/>
  <c r="N46" i="9"/>
  <c r="O46" i="9"/>
  <c r="P46" i="9"/>
  <c r="Q46" i="9"/>
  <c r="R46" i="9"/>
  <c r="M47" i="9"/>
  <c r="N47" i="9"/>
  <c r="O47" i="9"/>
  <c r="P47" i="9"/>
  <c r="Q47" i="9"/>
  <c r="R47" i="9"/>
  <c r="M48" i="9"/>
  <c r="N48" i="9"/>
  <c r="O48" i="9"/>
  <c r="P48" i="9"/>
  <c r="Q48" i="9"/>
  <c r="R48" i="9"/>
  <c r="M49" i="9"/>
  <c r="N49" i="9"/>
  <c r="O49" i="9"/>
  <c r="P49" i="9"/>
  <c r="Q49" i="9"/>
  <c r="R49" i="9"/>
  <c r="R2" i="9"/>
  <c r="Q2" i="9"/>
  <c r="P2" i="9"/>
  <c r="O2" i="9"/>
  <c r="N2" i="9"/>
  <c r="M2" i="9"/>
  <c r="I4" i="5" l="1"/>
  <c r="J4" i="5"/>
  <c r="K4" i="5"/>
  <c r="L4" i="5"/>
  <c r="M4" i="5"/>
  <c r="N4" i="5"/>
  <c r="I5" i="5"/>
  <c r="J5" i="5"/>
  <c r="K5" i="5"/>
  <c r="L5" i="5"/>
  <c r="M5" i="5"/>
  <c r="N5" i="5"/>
  <c r="I6" i="5"/>
  <c r="J6" i="5"/>
  <c r="K6" i="5"/>
  <c r="L6" i="5"/>
  <c r="M6" i="5"/>
  <c r="N6" i="5"/>
  <c r="I7" i="5"/>
  <c r="J7" i="5"/>
  <c r="K7" i="5"/>
  <c r="L7" i="5"/>
  <c r="M7" i="5"/>
  <c r="N7" i="5"/>
  <c r="I8" i="5"/>
  <c r="J8" i="5"/>
  <c r="K8" i="5"/>
  <c r="L8" i="5"/>
  <c r="M8" i="5"/>
  <c r="N8" i="5"/>
  <c r="I9" i="5"/>
  <c r="J9" i="5"/>
  <c r="K9" i="5"/>
  <c r="L9" i="5"/>
  <c r="M9" i="5"/>
  <c r="N9" i="5"/>
  <c r="I10" i="5"/>
  <c r="J10" i="5"/>
  <c r="K10" i="5"/>
  <c r="L10" i="5"/>
  <c r="M10" i="5"/>
  <c r="N10" i="5"/>
  <c r="I11" i="5"/>
  <c r="J11" i="5"/>
  <c r="K11" i="5"/>
  <c r="L11" i="5"/>
  <c r="M11" i="5"/>
  <c r="N11" i="5"/>
  <c r="I12" i="5"/>
  <c r="J12" i="5"/>
  <c r="K12" i="5"/>
  <c r="L12" i="5"/>
  <c r="M12" i="5"/>
  <c r="N12" i="5"/>
  <c r="I13" i="5"/>
  <c r="J13" i="5"/>
  <c r="K13" i="5"/>
  <c r="L13" i="5"/>
  <c r="M13" i="5"/>
  <c r="N13" i="5"/>
  <c r="I14" i="5"/>
  <c r="J14" i="5"/>
  <c r="K14" i="5"/>
  <c r="L14" i="5"/>
  <c r="M14" i="5"/>
  <c r="N14" i="5"/>
  <c r="I15" i="5"/>
  <c r="J15" i="5"/>
  <c r="K15" i="5"/>
  <c r="L15" i="5"/>
  <c r="M15" i="5"/>
  <c r="N15" i="5"/>
  <c r="I16" i="5"/>
  <c r="J16" i="5"/>
  <c r="K16" i="5"/>
  <c r="L16" i="5"/>
  <c r="M16" i="5"/>
  <c r="N16" i="5"/>
  <c r="I17" i="5"/>
  <c r="J17" i="5"/>
  <c r="K17" i="5"/>
  <c r="L17" i="5"/>
  <c r="M17" i="5"/>
  <c r="N17" i="5"/>
  <c r="I18" i="5"/>
  <c r="J18" i="5"/>
  <c r="K18" i="5"/>
  <c r="L18" i="5"/>
  <c r="M18" i="5"/>
  <c r="N18" i="5"/>
  <c r="I19" i="5"/>
  <c r="J19" i="5"/>
  <c r="K19" i="5"/>
  <c r="L19" i="5"/>
  <c r="M19" i="5"/>
  <c r="N19" i="5"/>
  <c r="I20" i="5"/>
  <c r="J20" i="5"/>
  <c r="K20" i="5"/>
  <c r="L20" i="5"/>
  <c r="M20" i="5"/>
  <c r="N20" i="5"/>
  <c r="I21" i="5"/>
  <c r="J21" i="5"/>
  <c r="K21" i="5"/>
  <c r="L21" i="5"/>
  <c r="M21" i="5"/>
  <c r="N21" i="5"/>
  <c r="I22" i="5"/>
  <c r="J22" i="5"/>
  <c r="K22" i="5"/>
  <c r="L22" i="5"/>
  <c r="M22" i="5"/>
  <c r="N22" i="5"/>
  <c r="I23" i="5"/>
  <c r="J23" i="5"/>
  <c r="K23" i="5"/>
  <c r="L23" i="5"/>
  <c r="M23" i="5"/>
  <c r="N23" i="5"/>
  <c r="I24" i="5"/>
  <c r="J24" i="5"/>
  <c r="K24" i="5"/>
  <c r="L24" i="5"/>
  <c r="M24" i="5"/>
  <c r="N24" i="5"/>
  <c r="I25" i="5"/>
  <c r="J25" i="5"/>
  <c r="K25" i="5"/>
  <c r="L25" i="5"/>
  <c r="M25" i="5"/>
  <c r="N25" i="5"/>
  <c r="I26" i="5"/>
  <c r="J26" i="5"/>
  <c r="K26" i="5"/>
  <c r="L26" i="5"/>
  <c r="M26" i="5"/>
  <c r="N26" i="5"/>
  <c r="I27" i="5"/>
  <c r="J27" i="5"/>
  <c r="K27" i="5"/>
  <c r="L27" i="5"/>
  <c r="M27" i="5"/>
  <c r="N27" i="5"/>
  <c r="I28" i="5"/>
  <c r="J28" i="5"/>
  <c r="K28" i="5"/>
  <c r="L28" i="5"/>
  <c r="M28" i="5"/>
  <c r="N28" i="5"/>
  <c r="N3" i="5"/>
  <c r="M3" i="5"/>
  <c r="L3" i="5"/>
  <c r="K3" i="5"/>
  <c r="J3" i="5"/>
  <c r="I3" i="5"/>
  <c r="H4" i="5" l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3" i="5"/>
</calcChain>
</file>

<file path=xl/sharedStrings.xml><?xml version="1.0" encoding="utf-8"?>
<sst xmlns="http://schemas.openxmlformats.org/spreadsheetml/2006/main" count="731" uniqueCount="149">
  <si>
    <t>BEN</t>
  </si>
  <si>
    <t>BWA</t>
  </si>
  <si>
    <t>CIV</t>
  </si>
  <si>
    <t>CPV</t>
  </si>
  <si>
    <t>DZA</t>
  </si>
  <si>
    <t>ERI</t>
  </si>
  <si>
    <t>GHA</t>
  </si>
  <si>
    <t>KEN</t>
  </si>
  <si>
    <t>MDG</t>
  </si>
  <si>
    <t>MOZ</t>
  </si>
  <si>
    <t>MWI</t>
  </si>
  <si>
    <t>SLE</t>
  </si>
  <si>
    <t>SWZ</t>
  </si>
  <si>
    <t>SYC</t>
  </si>
  <si>
    <t>TGO</t>
  </si>
  <si>
    <t>UGA</t>
  </si>
  <si>
    <t>ZAF</t>
  </si>
  <si>
    <t>ZMB</t>
  </si>
  <si>
    <t>ZWE</t>
  </si>
  <si>
    <t>BDI</t>
  </si>
  <si>
    <t>BFA</t>
  </si>
  <si>
    <t>GAB</t>
  </si>
  <si>
    <t>SEN</t>
  </si>
  <si>
    <t>TCD</t>
  </si>
  <si>
    <t>CMR</t>
  </si>
  <si>
    <t>GNB</t>
  </si>
  <si>
    <t>COG</t>
  </si>
  <si>
    <t>NGA</t>
  </si>
  <si>
    <t>AGO</t>
  </si>
  <si>
    <t>CAF</t>
  </si>
  <si>
    <t>COD</t>
  </si>
  <si>
    <t>COM</t>
  </si>
  <si>
    <t>ETH</t>
  </si>
  <si>
    <t>GIN</t>
  </si>
  <si>
    <t>GMB</t>
  </si>
  <si>
    <t>GNQ</t>
  </si>
  <si>
    <t>LBR</t>
  </si>
  <si>
    <t>LSO</t>
  </si>
  <si>
    <t>MLI</t>
  </si>
  <si>
    <t>MRT</t>
  </si>
  <si>
    <t>MUS</t>
  </si>
  <si>
    <t>NAM</t>
  </si>
  <si>
    <t>NER</t>
  </si>
  <si>
    <t>RWA</t>
  </si>
  <si>
    <t>SSD</t>
  </si>
  <si>
    <t>STP</t>
  </si>
  <si>
    <t>TZA</t>
  </si>
  <si>
    <t>Country</t>
  </si>
  <si>
    <t>Data year</t>
  </si>
  <si>
    <t>Row Labels</t>
  </si>
  <si>
    <t>(blank)</t>
  </si>
  <si>
    <t>Grand Total</t>
  </si>
  <si>
    <t>Count of 2018</t>
  </si>
  <si>
    <t>Count of 2019</t>
  </si>
  <si>
    <t>Count of 2020</t>
  </si>
  <si>
    <t>Count of 2021</t>
  </si>
  <si>
    <t>Count of 2022</t>
  </si>
  <si>
    <t>Column Labels</t>
  </si>
  <si>
    <t>Data on age group availability</t>
  </si>
  <si>
    <t>Sum of NHWA_Medical Doctors Stock By Age Group &lt; 25 yrs</t>
  </si>
  <si>
    <t>Sum of NHWA_Medical Doctors Stock By Age Group 25-34 yrs</t>
  </si>
  <si>
    <t>Sum of NHWA_Medical Doctors Stock By Age Group 35-44 yrs</t>
  </si>
  <si>
    <t>Sum of NHWA_Medical Doctors Stock By Age Group 45-54 yrs</t>
  </si>
  <si>
    <t>Sum of NHWA_Medical Doctors Stock By Age Group 55-64 yrs</t>
  </si>
  <si>
    <t>Sum of NHWA_Medical Doctors Stock By Age Group ≥ 65 yrs</t>
  </si>
  <si>
    <t>AFR</t>
  </si>
  <si>
    <t>Medical Doctors Stock By Age Group &lt; 25 yrs</t>
  </si>
  <si>
    <t>Medical Doctors Stock By Age Group 25-34 yrs</t>
  </si>
  <si>
    <t>Medical Doctors Stock By Age Group 35-44 yrs</t>
  </si>
  <si>
    <t>Medical Doctors Stock By Age Group 45-54 yrs</t>
  </si>
  <si>
    <t>Medical Doctors Stock By Age Group 55-64 yrs</t>
  </si>
  <si>
    <t>Medical Doctors Stock By Age Group ≥ 65 yrs</t>
  </si>
  <si>
    <t>Total</t>
  </si>
  <si>
    <t>Numbers</t>
  </si>
  <si>
    <t>Proportions</t>
  </si>
  <si>
    <t>AFRO</t>
  </si>
  <si>
    <t>country code</t>
  </si>
  <si>
    <t>Income</t>
  </si>
  <si>
    <t>Algeria</t>
  </si>
  <si>
    <t>Lower-Middle-Income Economies</t>
  </si>
  <si>
    <t>Angola</t>
  </si>
  <si>
    <t>Benin</t>
  </si>
  <si>
    <t>Botswana</t>
  </si>
  <si>
    <t>High/Upper-Middle-Income Economies </t>
  </si>
  <si>
    <t>Burkina Faso</t>
  </si>
  <si>
    <t>Low-Income Economies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</si>
  <si>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</si>
  <si>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</si>
  <si>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</si>
  <si>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</si>
  <si>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</si>
  <si>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</si>
  <si>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</si>
  <si>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</si>
  <si>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</si>
  <si>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</si>
  <si>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</si>
  <si>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</si>
  <si>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</si>
  <si>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</si>
  <si>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</si>
  <si>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</si>
  <si>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</si>
  <si>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</si>
  <si>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</si>
  <si>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</si>
  <si>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</si>
  <si>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</si>
  <si>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</si>
  <si>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</si>
  <si>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</si>
  <si>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</si>
  <si>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</si>
  <si>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</si>
  <si>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</si>
  <si>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</si>
  <si>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</si>
  <si>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</si>
  <si>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</si>
  <si>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</si>
  <si>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</si>
  <si>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</si>
  <si>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</si>
  <si>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</si>
  <si>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</si>
  <si>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</si>
  <si>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</si>
  <si>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</si>
  <si>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Average of Medical Doctors Stock By Age Group &lt; 25 yrs</t>
  </si>
  <si>
    <t>Average of Medical Doctors Stock By Age Group 25-34 yrs</t>
  </si>
  <si>
    <t>Average of Medical Doctors Stock By Age Group 45-54 yrs</t>
  </si>
  <si>
    <t>Average of Medical Doctors Stock By Age Group 55-64 yrs</t>
  </si>
  <si>
    <t>Average of Medical Doctors Stock By Age Group ≥ 65 yrs</t>
  </si>
  <si>
    <t>Average of Medical Doctors Stock By Age Group 35-44 yrs</t>
  </si>
  <si>
    <t>Income level</t>
  </si>
  <si>
    <t>Adjusted 2022</t>
  </si>
  <si>
    <t>Country code</t>
  </si>
  <si>
    <t>income level</t>
  </si>
  <si>
    <t>Medical Doctors Stock By Age Group &lt; 25 yrs (prop)</t>
  </si>
  <si>
    <t>Medical Doctors Stock By Age Group 25-34 yrs (prop)</t>
  </si>
  <si>
    <t>Medical Doctors Stock By Age Group 35-44 yrs (prop)</t>
  </si>
  <si>
    <t>Medical Doctors Stock By Age Group 45-54 yrs (prop)</t>
  </si>
  <si>
    <t>Medical Doctors Stock By Age Group 55-64 yrs (prop)</t>
  </si>
  <si>
    <t>Medical Doctors Stock By Age Group ≥ 65 yrs (prop)</t>
  </si>
  <si>
    <t>Generalist Medical Practitioners</t>
  </si>
  <si>
    <t>Specialist Medical Practitioners</t>
  </si>
  <si>
    <t>Counry</t>
  </si>
  <si>
    <t>Medical doctors</t>
  </si>
  <si>
    <t>Annual graduates (2017 survey)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</si>
</sst>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0" xfId="0" applyAlignment="1">
      <alignment wrapText="1"/>
    </xf>
    <xf numFmtId="10" fontId="0" fillId="0" borderId="0" xfId="2" applyNumberFormat="1" applyFont="1"/>
    <xf numFmtId="0" fontId="4" fillId="0" borderId="0" xfId="0" applyFont="1"/>
    <xf numFmtId="0" fontId="6" fillId="2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5" fillId="0" borderId="1" xfId="0" applyFont="1" applyBorder="1" applyAlignment="1">
      <alignment horizontal="left"/>
    </xf>
    <xf numFmtId="164" fontId="5" fillId="3" borderId="1" xfId="0" applyNumberFormat="1" applyFont="1" applyFill="1" applyBorder="1"/>
    <xf numFmtId="164" fontId="7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164" fontId="6" fillId="4" borderId="1" xfId="0" applyNumberFormat="1" applyFont="1" applyFill="1" applyBorder="1"/>
    <xf numFmtId="0" fontId="7" fillId="0" borderId="1" xfId="0" applyFont="1" applyBorder="1" applyAlignment="1">
      <alignment horizontal="left"/>
    </xf>
    <xf numFmtId="165" fontId="0" fillId="0" borderId="0" xfId="2" applyNumberFormat="1" applyFont="1"/>
    <xf numFmtId="165" fontId="0" fillId="0" borderId="0" xfId="0" applyNumberFormat="1"/>
    <xf numFmtId="164" fontId="0" fillId="0" borderId="0" xfId="1" applyNumberFormat="1" applyFont="1"/>
    <xf numFmtId="0" fontId="5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distribution'!$A$2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distribution'!$B$2:$G$2</c:f>
              <c:numCache>
                <c:formatCode>0.00%</c:formatCode>
                <c:ptCount val="6"/>
                <c:pt idx="0">
                  <c:v>1.0147857047578982E-2</c:v>
                </c:pt>
                <c:pt idx="1">
                  <c:v>0.36773412409320844</c:v>
                </c:pt>
                <c:pt idx="2">
                  <c:v>0.36325018725823166</c:v>
                </c:pt>
                <c:pt idx="3">
                  <c:v>0.1737756389866508</c:v>
                </c:pt>
                <c:pt idx="4">
                  <c:v>6.744374557506233E-2</c:v>
                </c:pt>
                <c:pt idx="5">
                  <c:v>1.7648447039267795E-2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4C02-84E6-2434320661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distribution'!$A$3</c:f>
              <c:strCache>
                <c:ptCount val="1"/>
                <c:pt idx="0">
                  <c:v>BFA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distribution'!$B$3:$G$3</c:f>
              <c:numCache>
                <c:formatCode>0.00%</c:formatCode>
                <c:ptCount val="6"/>
                <c:pt idx="0">
                  <c:v>0</c:v>
                </c:pt>
                <c:pt idx="1">
                  <c:v>0.4797639123102867</c:v>
                </c:pt>
                <c:pt idx="2">
                  <c:v>0.45868465430016864</c:v>
                </c:pt>
                <c:pt idx="3">
                  <c:v>4.7217537942664416E-2</c:v>
                </c:pt>
                <c:pt idx="4">
                  <c:v>1.3912310286677909E-2</c:v>
                </c:pt>
                <c:pt idx="5">
                  <c:v>4.2158516020236085E-4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4-4FA0-9A7F-B6D43BB8C5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distribution'!$A$4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distribution'!$B$4:$G$4</c:f>
              <c:numCache>
                <c:formatCode>0.00%</c:formatCode>
                <c:ptCount val="6"/>
                <c:pt idx="0">
                  <c:v>0</c:v>
                </c:pt>
                <c:pt idx="1">
                  <c:v>0.48640483383685801</c:v>
                </c:pt>
                <c:pt idx="2">
                  <c:v>0.3252769385699899</c:v>
                </c:pt>
                <c:pt idx="3">
                  <c:v>0.12185297079556898</c:v>
                </c:pt>
                <c:pt idx="4">
                  <c:v>5.2366565961732128E-2</c:v>
                </c:pt>
                <c:pt idx="5">
                  <c:v>1.4098690835850957E-2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2-420B-BF5A-75A54A2B0D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distribution'!$A$5</c:f>
              <c:strCache>
                <c:ptCount val="1"/>
                <c:pt idx="0">
                  <c:v>CIV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distribution'!$B$5:$G$5</c:f>
              <c:numCache>
                <c:formatCode>0.00%</c:formatCode>
                <c:ptCount val="6"/>
                <c:pt idx="0">
                  <c:v>0</c:v>
                </c:pt>
                <c:pt idx="1">
                  <c:v>0.18665043619395416</c:v>
                </c:pt>
                <c:pt idx="2">
                  <c:v>0.3564617569486711</c:v>
                </c:pt>
                <c:pt idx="3">
                  <c:v>0.32116047879894499</c:v>
                </c:pt>
                <c:pt idx="4">
                  <c:v>0.12984378170014202</c:v>
                </c:pt>
                <c:pt idx="5">
                  <c:v>5.883546358287685E-3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0-4157-9417-DB94164CA1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distribution'!$A$6</c:f>
              <c:strCache>
                <c:ptCount val="1"/>
                <c:pt idx="0">
                  <c:v>CMR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distribution'!$B$6:$G$6</c:f>
              <c:numCache>
                <c:formatCode>0.00%</c:formatCode>
                <c:ptCount val="6"/>
                <c:pt idx="0">
                  <c:v>3.9872408293460922E-3</c:v>
                </c:pt>
                <c:pt idx="1">
                  <c:v>0.50212652844231787</c:v>
                </c:pt>
                <c:pt idx="2">
                  <c:v>0.32961190855927697</c:v>
                </c:pt>
                <c:pt idx="3">
                  <c:v>0.12068048910154174</c:v>
                </c:pt>
                <c:pt idx="4">
                  <c:v>4.1467304625199361E-2</c:v>
                </c:pt>
                <c:pt idx="5">
                  <c:v>2.1265284423179162E-3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C-49DF-B594-2B032C722C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distribution'!$A$7</c:f>
              <c:strCache>
                <c:ptCount val="1"/>
                <c:pt idx="0">
                  <c:v>COG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distribution'!$B$7:$G$7</c:f>
              <c:numCache>
                <c:formatCode>0.00%</c:formatCode>
                <c:ptCount val="6"/>
                <c:pt idx="0">
                  <c:v>0</c:v>
                </c:pt>
                <c:pt idx="1">
                  <c:v>0.44529750479846447</c:v>
                </c:pt>
                <c:pt idx="2">
                  <c:v>0.29942418426103645</c:v>
                </c:pt>
                <c:pt idx="3">
                  <c:v>0.11612284069097889</c:v>
                </c:pt>
                <c:pt idx="4">
                  <c:v>0.13147792706333974</c:v>
                </c:pt>
                <c:pt idx="5">
                  <c:v>7.677543186180422E-3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6-4F90-A1BE-6F7084B612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distribution'!$A$8</c:f>
              <c:strCache>
                <c:ptCount val="1"/>
                <c:pt idx="0">
                  <c:v>CPV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distribution'!$B$8:$G$8</c:f>
              <c:numCache>
                <c:formatCode>0.00%</c:formatCode>
                <c:ptCount val="6"/>
                <c:pt idx="0">
                  <c:v>4.1603630862329802E-3</c:v>
                </c:pt>
                <c:pt idx="1">
                  <c:v>0.20385779122541603</c:v>
                </c:pt>
                <c:pt idx="2">
                  <c:v>0.30295007564296522</c:v>
                </c:pt>
                <c:pt idx="3">
                  <c:v>0.26966717095310139</c:v>
                </c:pt>
                <c:pt idx="4">
                  <c:v>0.17095310136157338</c:v>
                </c:pt>
                <c:pt idx="5">
                  <c:v>4.8411497730711045E-2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C-4E98-84EC-66A6664C7E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distribution'!$A$10</c:f>
              <c:strCache>
                <c:ptCount val="1"/>
                <c:pt idx="0">
                  <c:v>GAB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distribution'!$B$10:$G$10</c:f>
              <c:numCache>
                <c:formatCode>0.00%</c:formatCode>
                <c:ptCount val="6"/>
                <c:pt idx="0">
                  <c:v>0</c:v>
                </c:pt>
                <c:pt idx="1">
                  <c:v>0.21811785400175901</c:v>
                </c:pt>
                <c:pt idx="2">
                  <c:v>0.22691292875989447</c:v>
                </c:pt>
                <c:pt idx="3">
                  <c:v>0.33333333333333331</c:v>
                </c:pt>
                <c:pt idx="4">
                  <c:v>0.19700967458223395</c:v>
                </c:pt>
                <c:pt idx="5">
                  <c:v>2.4626209322779244E-2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1-4B29-A33A-E4FEED9B7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distribution'!$A$11</c:f>
              <c:strCache>
                <c:ptCount val="1"/>
                <c:pt idx="0">
                  <c:v>GHA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distribution'!$B$11:$G$11</c:f>
              <c:numCache>
                <c:formatCode>0.00%</c:formatCode>
                <c:ptCount val="6"/>
                <c:pt idx="0">
                  <c:v>4.5892611289582378E-4</c:v>
                </c:pt>
                <c:pt idx="1">
                  <c:v>0.39352914180816889</c:v>
                </c:pt>
                <c:pt idx="2">
                  <c:v>0.4456172556218449</c:v>
                </c:pt>
                <c:pt idx="3">
                  <c:v>0.11748508490133089</c:v>
                </c:pt>
                <c:pt idx="4">
                  <c:v>4.2221202386415788E-2</c:v>
                </c:pt>
                <c:pt idx="5">
                  <c:v>6.8838916934373562E-4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B-4D1A-8C0A-A35C2D63EE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distribution'!$A$12</c:f>
              <c:strCache>
                <c:ptCount val="1"/>
                <c:pt idx="0">
                  <c:v>GNB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distribution'!$B$12:$G$12</c:f>
              <c:numCache>
                <c:formatCode>0.00%</c:formatCode>
                <c:ptCount val="6"/>
                <c:pt idx="0">
                  <c:v>0</c:v>
                </c:pt>
                <c:pt idx="1">
                  <c:v>0.52402745995423339</c:v>
                </c:pt>
                <c:pt idx="2">
                  <c:v>0.32723112128146453</c:v>
                </c:pt>
                <c:pt idx="3">
                  <c:v>9.3821510297482841E-2</c:v>
                </c:pt>
                <c:pt idx="4">
                  <c:v>4.3478260869565216E-2</c:v>
                </c:pt>
                <c:pt idx="5">
                  <c:v>1.1441647597254004E-2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C-494E-A161-AC3B77B43C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distribution'!$A$13</c:f>
              <c:strCache>
                <c:ptCount val="1"/>
                <c:pt idx="0">
                  <c:v>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distribution'!$B$1:$G$1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distribution'!$B$13:$G$13</c:f>
              <c:numCache>
                <c:formatCode>0.00%</c:formatCode>
                <c:ptCount val="6"/>
                <c:pt idx="0">
                  <c:v>9.1008372770294869E-4</c:v>
                </c:pt>
                <c:pt idx="1">
                  <c:v>0.29122679286494357</c:v>
                </c:pt>
                <c:pt idx="2">
                  <c:v>0.49126319621405168</c:v>
                </c:pt>
                <c:pt idx="3">
                  <c:v>0.17127775755369495</c:v>
                </c:pt>
                <c:pt idx="4">
                  <c:v>4.4230069166363309E-2</c:v>
                </c:pt>
                <c:pt idx="5">
                  <c:v>1.0921004732435385E-3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0-47D1-AC15-6E04148472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398128"/>
        <c:axId val="316984400"/>
      </c:barChart>
      <c:catAx>
        <c:axId val="3263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84400"/>
        <c:crosses val="autoZero"/>
        <c:auto val="1"/>
        <c:lblAlgn val="ctr"/>
        <c:lblOffset val="100"/>
        <c:noMultiLvlLbl val="0"/>
      </c:catAx>
      <c:valAx>
        <c:axId val="31698440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263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distribution'!$A$216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distribution'!$B$216:$G$216</c:f>
              <c:numCache>
                <c:formatCode>0.00%</c:formatCode>
                <c:ptCount val="6"/>
                <c:pt idx="0">
                  <c:v>0</c:v>
                </c:pt>
                <c:pt idx="1">
                  <c:v>0.28747247489357414</c:v>
                </c:pt>
                <c:pt idx="2">
                  <c:v>0.27178258735557548</c:v>
                </c:pt>
                <c:pt idx="3">
                  <c:v>0.25114397272132999</c:v>
                </c:pt>
                <c:pt idx="4">
                  <c:v>0.13575699246202377</c:v>
                </c:pt>
                <c:pt idx="5">
                  <c:v>5.3843972567496616E-2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C-4EFA-8A97-F7D5F5B79211}"/>
            </c:ext>
          </c:extLst>
        </c:ser>
        <c:ser>
          <c:idx val="1"/>
          <c:order val="1"/>
          <c:tx>
            <c:strRef>
              <c:f>'Doctors distribution'!$A$217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distribution'!$B$217:$G$217</c:f>
              <c:numCache>
                <c:formatCode>0.00%</c:formatCode>
                <c:ptCount val="6"/>
                <c:pt idx="0">
                  <c:v>9.6273049759095664E-3</c:v>
                </c:pt>
                <c:pt idx="1">
                  <c:v>0.3275992964925577</c:v>
                </c:pt>
                <c:pt idx="2">
                  <c:v>0.38621639847768657</c:v>
                </c:pt>
                <c:pt idx="3">
                  <c:v>0.17590959830524627</c:v>
                </c:pt>
                <c:pt idx="4">
                  <c:v>8.0800436018606592E-2</c:v>
                </c:pt>
                <c:pt idx="5">
                  <c:v>1.9846965729993234E-2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C-4EFA-8A97-F7D5F5B79211}"/>
            </c:ext>
          </c:extLst>
        </c:ser>
        <c:ser>
          <c:idx val="2"/>
          <c:order val="2"/>
          <c:tx>
            <c:strRef>
              <c:f>'Doctors distribution'!$A$218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distribution'!$B$218:$G$218</c:f>
              <c:numCache>
                <c:formatCode>0.00%</c:formatCode>
                <c:ptCount val="6"/>
                <c:pt idx="0">
                  <c:v>8.4136314403189787E-3</c:v>
                </c:pt>
                <c:pt idx="1">
                  <c:v>0.4783415903533122</c:v>
                </c:pt>
                <c:pt idx="2">
                  <c:v>0.34535536267218658</c:v>
                </c:pt>
                <c:pt idx="3">
                  <c:v>0.1147456275792092</c:v>
                </c:pt>
                <c:pt idx="4">
                  <c:v>4.184484163081776E-2</c:v>
                </c:pt>
                <c:pt idx="5">
                  <c:v>1.1298946324155327E-2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C-4EFA-8A97-F7D5F5B79211}"/>
            </c:ext>
          </c:extLst>
        </c:ser>
        <c:ser>
          <c:idx val="3"/>
          <c:order val="3"/>
          <c:tx>
            <c:strRef>
              <c:f>'Doctors distribution'!$A$219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distribution'!$B$215:$G$215</c:f>
              <c:strCache>
                <c:ptCount val="6"/>
                <c:pt idx="0">
                  <c:v>Medical Doctors Stock By Age Group &lt; 25 yrs</c:v>
                </c:pt>
                <c:pt idx="1">
                  <c:v>Medical Doctors Stock By Age Group 25-34 yrs</c:v>
                </c:pt>
                <c:pt idx="2">
                  <c:v>Medical Doctors Stock By Age Group 35-44 yrs</c:v>
                </c:pt>
                <c:pt idx="3">
                  <c:v>Medical Doctors Stock By Age Group 45-54 yrs</c:v>
                </c:pt>
                <c:pt idx="4">
                  <c:v>Medical Doctors Stock By Age Group 55-64 yrs</c:v>
                </c:pt>
                <c:pt idx="5">
                  <c:v>Medical Doctors Stock By Age Group ≥ 65 yrs</c:v>
                </c:pt>
              </c:strCache>
            </c:strRef>
          </c:cat>
          <c:val>
            <c:numRef>
              <c:f>'Doctors distribution'!$B$219:$G$219</c:f>
              <c:numCache>
                <c:formatCode>0.00%</c:formatCode>
                <c:ptCount val="6"/>
                <c:pt idx="0">
                  <c:v>1.0147857047578982E-2</c:v>
                </c:pt>
                <c:pt idx="1">
                  <c:v>0.36773412409320844</c:v>
                </c:pt>
                <c:pt idx="2">
                  <c:v>0.36325018725823166</c:v>
                </c:pt>
                <c:pt idx="3">
                  <c:v>0.1737756389866508</c:v>
                </c:pt>
                <c:pt idx="4">
                  <c:v>6.744374557506233E-2</c:v>
                </c:pt>
                <c:pt idx="5">
                  <c:v>1.7648447039267795E-2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C-4EFA-8A97-F7D5F5B792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5256752"/>
        <c:axId val="316965056"/>
      </c:barChart>
      <c:catAx>
        <c:axId val="3152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65056"/>
        <c:crosses val="autoZero"/>
        <c:auto val="1"/>
        <c:lblAlgn val="ctr"/>
        <c:lblOffset val="100"/>
        <c:noMultiLvlLbl val="0"/>
      </c:catAx>
      <c:valAx>
        <c:axId val="31696505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525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307974</xdr:colOff>
      <xdr:row>2</xdr:row>
      <xdr:rowOff>0</xdr:rowOff>
    </xdr:from>
    <xdr:to>
      <xdr:col>20</xdr:col>
      <xdr:colOff>114300</xdr:colOff>
      <xdr:row>18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B8373-3A71-6F25-5B65-9BCDD5690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19</xdr:col>
      <xdr:colOff>415926</xdr:colOff>
      <xdr:row>36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543EA8-2E6A-4AA0-BE1B-07FF9060C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20</xdr:col>
      <xdr:colOff>158750</xdr:colOff>
      <xdr:row>56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B43DB3-02FB-4ACD-826C-1166D0132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59</xdr:row>
      <xdr:rowOff>0</xdr:rowOff>
    </xdr:from>
    <xdr:to>
      <xdr:col>20</xdr:col>
      <xdr:colOff>158750</xdr:colOff>
      <xdr:row>76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24A35C-9707-4695-B0DD-13CCA5013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78</xdr:row>
      <xdr:rowOff>0</xdr:rowOff>
    </xdr:from>
    <xdr:to>
      <xdr:col>20</xdr:col>
      <xdr:colOff>158750</xdr:colOff>
      <xdr:row>95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796217-B6F8-4C46-BBC0-8CB3E3D42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98</xdr:row>
      <xdr:rowOff>0</xdr:rowOff>
    </xdr:from>
    <xdr:to>
      <xdr:col>20</xdr:col>
      <xdr:colOff>158750</xdr:colOff>
      <xdr:row>115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6F5F04-BABB-4B58-9840-5C2B4EB9D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119</xdr:row>
      <xdr:rowOff>0</xdr:rowOff>
    </xdr:from>
    <xdr:to>
      <xdr:col>20</xdr:col>
      <xdr:colOff>158750</xdr:colOff>
      <xdr:row>136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633A52-1982-466A-B618-F4C8DAC08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139</xdr:row>
      <xdr:rowOff>0</xdr:rowOff>
    </xdr:from>
    <xdr:to>
      <xdr:col>20</xdr:col>
      <xdr:colOff>158750</xdr:colOff>
      <xdr:row>156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94EC16-BEB5-4EE7-BBE2-DA8AB1CE6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159</xdr:row>
      <xdr:rowOff>0</xdr:rowOff>
    </xdr:from>
    <xdr:to>
      <xdr:col>20</xdr:col>
      <xdr:colOff>158750</xdr:colOff>
      <xdr:row>176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A753DC-1FF3-4D6C-8B1F-361F8986B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178</xdr:row>
      <xdr:rowOff>0</xdr:rowOff>
    </xdr:from>
    <xdr:to>
      <xdr:col>20</xdr:col>
      <xdr:colOff>158750</xdr:colOff>
      <xdr:row>195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37A6A24-0130-45A3-8CFA-642EA16BA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198</xdr:row>
      <xdr:rowOff>0</xdr:rowOff>
    </xdr:from>
    <xdr:to>
      <xdr:col>20</xdr:col>
      <xdr:colOff>158750</xdr:colOff>
      <xdr:row>215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062971-9EE9-4658-B5A0-261E09B88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314324</xdr:colOff>
      <xdr:row>222</xdr:row>
      <xdr:rowOff>95250</xdr:rowOff>
    </xdr:from>
    <xdr:to>
      <xdr:col>18</xdr:col>
      <xdr:colOff>228600</xdr:colOff>
      <xdr:row>249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80A6DDC-C01C-93E5-52FF-4591EE116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3.004811805557" createdVersion="8" refreshedVersion="8" minRefreshableVersion="3" recordCount="60" xr:uid="{294CCA42-39C1-4709-96CF-0685169FC82F}">
  <cacheSource type="worksheet">
    <worksheetSource ref="A1:A1048576" sheet="available"/>
  </cacheSource>
  <cacheFields count="6">
    <cacheField name="2018" numFmtId="0">
      <sharedItems containsBlank="1"/>
    </cacheField>
    <cacheField name="2019" numFmtId="0">
      <sharedItems containsBlank="1" count="9">
        <m/>
        <s v="BDI"/>
        <s v="BFA"/>
        <s v="BWA"/>
        <s v="GAB"/>
        <s v="GHA"/>
        <s v="MOZ"/>
        <s v="SEN"/>
        <s v="TCD"/>
      </sharedItems>
    </cacheField>
    <cacheField name="2020" numFmtId="0">
      <sharedItems containsBlank="1" count="12">
        <m/>
        <s v="BFA"/>
        <s v="BWA"/>
        <s v="CMR"/>
        <s v="GAB"/>
        <s v="GNB"/>
        <s v="KEN"/>
        <s v="MOZ"/>
        <s v="MWI"/>
        <s v="SEN"/>
        <s v="SLE"/>
        <s v="TCD"/>
      </sharedItems>
    </cacheField>
    <cacheField name="2021" numFmtId="0">
      <sharedItems containsBlank="1" count="11">
        <m/>
        <s v="BEN"/>
        <s v="BFA"/>
        <s v="BWA"/>
        <s v="CMR"/>
        <s v="GHA"/>
        <s v="GNB"/>
        <s v="KEN"/>
        <s v="MOZ"/>
        <s v="SEN"/>
        <s v="TCD"/>
      </sharedItems>
    </cacheField>
    <cacheField name="2022" numFmtId="0">
      <sharedItems containsBlank="1"/>
    </cacheField>
    <cacheField name="Country" numFmtId="0">
      <sharedItems containsBlank="1" count="48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3.007770138887" createdVersion="8" refreshedVersion="8" minRefreshableVersion="3" recordCount="21" xr:uid="{E3152813-E1A6-48E8-B5C0-6997D86DAF43}">
  <cacheSource type="worksheet">
    <worksheetSource ref="A2:E23" sheet="available"/>
  </cacheSource>
  <cacheFields count="5">
    <cacheField name="2018" numFmtId="0">
      <sharedItems containsBlank="1" count="20">
        <s v="BEN"/>
        <s v="BWA"/>
        <s v="CIV"/>
        <s v="CPV"/>
        <s v="DZA"/>
        <s v="ERI"/>
        <s v="GHA"/>
        <s v="KEN"/>
        <s v="MDG"/>
        <s v="MOZ"/>
        <s v="MWI"/>
        <s v="SLE"/>
        <s v="SWZ"/>
        <s v="SYC"/>
        <s v="TGO"/>
        <s v="UGA"/>
        <s v="ZAF"/>
        <s v="ZMB"/>
        <s v="ZWE"/>
        <m/>
      </sharedItems>
    </cacheField>
    <cacheField name="2019" numFmtId="0">
      <sharedItems containsBlank="1" count="9">
        <s v="BDI"/>
        <s v="BFA"/>
        <s v="BWA"/>
        <s v="GAB"/>
        <s v="GHA"/>
        <s v="MOZ"/>
        <s v="SEN"/>
        <s v="TCD"/>
        <m/>
      </sharedItems>
    </cacheField>
    <cacheField name="2020" numFmtId="0">
      <sharedItems containsBlank="1"/>
    </cacheField>
    <cacheField name="2021" numFmtId="0">
      <sharedItems containsBlank="1"/>
    </cacheField>
    <cacheField name="202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423390046293" createdVersion="8" refreshedVersion="8" minRefreshableVersion="3" recordCount="25" xr:uid="{B8E47832-5EF6-4998-8FA8-3633F5463292}">
  <cacheSource type="worksheet">
    <worksheetSource ref="A1:H26" sheet="Med 1"/>
  </cacheSource>
  <cacheFields count="8">
    <cacheField name="Country" numFmtId="0">
      <sharedItems/>
    </cacheField>
    <cacheField name="Medical Doctors Stock By Age Group &lt; 25 yrs" numFmtId="10">
      <sharedItems containsSemiMixedTypes="0" containsString="0" containsNumber="1" minValue="0" maxValue="8.2034047710869931E-2"/>
    </cacheField>
    <cacheField name="Medical Doctors Stock By Age Group 25-34 yrs" numFmtId="10">
      <sharedItems containsSemiMixedTypes="0" containsString="0" containsNumber="1" minValue="0.14374225526641884" maxValue="1"/>
    </cacheField>
    <cacheField name="Medical Doctors Stock By Age Group 35-44 yrs" numFmtId="10">
      <sharedItems containsSemiMixedTypes="0" containsString="0" containsNumber="1" minValue="0" maxValue="0.85625774473358118"/>
    </cacheField>
    <cacheField name="Medical Doctors Stock By Age Group 45-54 yrs" numFmtId="10">
      <sharedItems containsSemiMixedTypes="0" containsString="0" containsNumber="1" minValue="0" maxValue="0.43020679468242246"/>
    </cacheField>
    <cacheField name="Medical Doctors Stock By Age Group 55-64 yrs" numFmtId="10">
      <sharedItems containsSemiMixedTypes="0" containsString="0" containsNumber="1" minValue="0" maxValue="0.19700967458223395"/>
    </cacheField>
    <cacheField name="Medical Doctors Stock By Age Group ≥ 65 yrs" numFmtId="10">
      <sharedItems containsSemiMixedTypes="0" containsString="0" containsNumber="1" minValue="0" maxValue="0.12280701754385964"/>
    </cacheField>
    <cacheField name="Income" numFmtId="0">
      <sharedItems containsBlank="1" count="4">
        <m/>
        <s v="Low-Income Economies"/>
        <s v="High/Upper-Middle-Income Economies "/>
        <s v="Lower-Middle-Income Econom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m/>
    <x v="0"/>
    <x v="0"/>
    <x v="0"/>
    <m/>
    <x v="0"/>
  </r>
  <r>
    <m/>
    <x v="1"/>
    <x v="0"/>
    <x v="0"/>
    <m/>
    <x v="1"/>
  </r>
  <r>
    <s v="BEN"/>
    <x v="0"/>
    <x v="1"/>
    <x v="1"/>
    <m/>
    <x v="2"/>
  </r>
  <r>
    <s v="BWA"/>
    <x v="2"/>
    <x v="2"/>
    <x v="2"/>
    <s v="BFA"/>
    <x v="3"/>
  </r>
  <r>
    <s v="CIV"/>
    <x v="3"/>
    <x v="3"/>
    <x v="3"/>
    <s v="BWA"/>
    <x v="4"/>
  </r>
  <r>
    <s v="CPV"/>
    <x v="4"/>
    <x v="4"/>
    <x v="4"/>
    <m/>
    <x v="5"/>
  </r>
  <r>
    <s v="DZA"/>
    <x v="5"/>
    <x v="5"/>
    <x v="5"/>
    <s v="CIV"/>
    <x v="6"/>
  </r>
  <r>
    <s v="ERI"/>
    <x v="6"/>
    <x v="6"/>
    <x v="6"/>
    <s v="CMR"/>
    <x v="7"/>
  </r>
  <r>
    <s v="GHA"/>
    <x v="7"/>
    <x v="7"/>
    <x v="7"/>
    <m/>
    <x v="8"/>
  </r>
  <r>
    <s v="KEN"/>
    <x v="8"/>
    <x v="8"/>
    <x v="8"/>
    <s v="COG"/>
    <x v="9"/>
  </r>
  <r>
    <s v="MDG"/>
    <x v="0"/>
    <x v="9"/>
    <x v="9"/>
    <m/>
    <x v="10"/>
  </r>
  <r>
    <s v="MOZ"/>
    <x v="0"/>
    <x v="10"/>
    <x v="10"/>
    <s v="CPV"/>
    <x v="11"/>
  </r>
  <r>
    <s v="MWI"/>
    <x v="0"/>
    <x v="11"/>
    <x v="0"/>
    <m/>
    <x v="12"/>
  </r>
  <r>
    <s v="SLE"/>
    <x v="0"/>
    <x v="0"/>
    <x v="0"/>
    <s v="ERI"/>
    <x v="13"/>
  </r>
  <r>
    <s v="SWZ"/>
    <x v="0"/>
    <x v="0"/>
    <x v="0"/>
    <m/>
    <x v="14"/>
  </r>
  <r>
    <s v="SYC"/>
    <x v="0"/>
    <x v="0"/>
    <x v="0"/>
    <s v="GAB"/>
    <x v="15"/>
  </r>
  <r>
    <s v="TGO"/>
    <x v="0"/>
    <x v="0"/>
    <x v="0"/>
    <s v="GHA"/>
    <x v="16"/>
  </r>
  <r>
    <s v="UGA"/>
    <x v="0"/>
    <x v="0"/>
    <x v="0"/>
    <m/>
    <x v="17"/>
  </r>
  <r>
    <s v="ZAF"/>
    <x v="0"/>
    <x v="0"/>
    <x v="0"/>
    <m/>
    <x v="18"/>
  </r>
  <r>
    <s v="ZMB"/>
    <x v="0"/>
    <x v="0"/>
    <x v="0"/>
    <s v="GNB"/>
    <x v="19"/>
  </r>
  <r>
    <s v="ZWE"/>
    <x v="0"/>
    <x v="0"/>
    <x v="0"/>
    <m/>
    <x v="20"/>
  </r>
  <r>
    <m/>
    <x v="0"/>
    <x v="0"/>
    <x v="0"/>
    <s v="KEN"/>
    <x v="21"/>
  </r>
  <r>
    <m/>
    <x v="0"/>
    <x v="0"/>
    <x v="0"/>
    <s v="MOZ"/>
    <x v="22"/>
  </r>
  <r>
    <m/>
    <x v="0"/>
    <x v="0"/>
    <x v="0"/>
    <s v="MWI"/>
    <x v="23"/>
  </r>
  <r>
    <m/>
    <x v="0"/>
    <x v="0"/>
    <x v="0"/>
    <s v="NGA"/>
    <x v="24"/>
  </r>
  <r>
    <m/>
    <x v="0"/>
    <x v="0"/>
    <x v="0"/>
    <s v="SEN"/>
    <x v="25"/>
  </r>
  <r>
    <m/>
    <x v="0"/>
    <x v="0"/>
    <x v="0"/>
    <s v="SWZ"/>
    <x v="26"/>
  </r>
  <r>
    <m/>
    <x v="0"/>
    <x v="0"/>
    <x v="0"/>
    <s v="SYC"/>
    <x v="27"/>
  </r>
  <r>
    <m/>
    <x v="0"/>
    <x v="0"/>
    <x v="0"/>
    <s v="TCD"/>
    <x v="28"/>
  </r>
  <r>
    <m/>
    <x v="0"/>
    <x v="0"/>
    <x v="0"/>
    <s v="TGO"/>
    <x v="29"/>
  </r>
  <r>
    <m/>
    <x v="0"/>
    <x v="0"/>
    <x v="0"/>
    <s v="ZMB"/>
    <x v="30"/>
  </r>
  <r>
    <m/>
    <x v="0"/>
    <x v="0"/>
    <x v="0"/>
    <s v="ZWE"/>
    <x v="31"/>
  </r>
  <r>
    <m/>
    <x v="0"/>
    <x v="0"/>
    <x v="0"/>
    <m/>
    <x v="32"/>
  </r>
  <r>
    <m/>
    <x v="0"/>
    <x v="0"/>
    <x v="0"/>
    <m/>
    <x v="33"/>
  </r>
  <r>
    <m/>
    <x v="0"/>
    <x v="0"/>
    <x v="0"/>
    <m/>
    <x v="34"/>
  </r>
  <r>
    <m/>
    <x v="0"/>
    <x v="0"/>
    <x v="0"/>
    <m/>
    <x v="35"/>
  </r>
  <r>
    <m/>
    <x v="0"/>
    <x v="0"/>
    <x v="0"/>
    <m/>
    <x v="36"/>
  </r>
  <r>
    <m/>
    <x v="0"/>
    <x v="0"/>
    <x v="0"/>
    <m/>
    <x v="37"/>
  </r>
  <r>
    <m/>
    <x v="0"/>
    <x v="0"/>
    <x v="0"/>
    <m/>
    <x v="38"/>
  </r>
  <r>
    <m/>
    <x v="0"/>
    <x v="0"/>
    <x v="0"/>
    <m/>
    <x v="39"/>
  </r>
  <r>
    <m/>
    <x v="0"/>
    <x v="0"/>
    <x v="0"/>
    <m/>
    <x v="40"/>
  </r>
  <r>
    <m/>
    <x v="0"/>
    <x v="0"/>
    <x v="0"/>
    <m/>
    <x v="41"/>
  </r>
  <r>
    <m/>
    <x v="0"/>
    <x v="0"/>
    <x v="0"/>
    <m/>
    <x v="42"/>
  </r>
  <r>
    <m/>
    <x v="0"/>
    <x v="0"/>
    <x v="0"/>
    <m/>
    <x v="43"/>
  </r>
  <r>
    <m/>
    <x v="0"/>
    <x v="0"/>
    <x v="0"/>
    <m/>
    <x v="44"/>
  </r>
  <r>
    <m/>
    <x v="0"/>
    <x v="0"/>
    <x v="0"/>
    <m/>
    <x v="45"/>
  </r>
  <r>
    <m/>
    <x v="0"/>
    <x v="0"/>
    <x v="0"/>
    <m/>
    <x v="46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  <r>
    <m/>
    <x v="0"/>
    <x v="0"/>
    <x v="0"/>
    <m/>
    <x v="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s v="BFA"/>
    <s v="BEN"/>
    <s v="BFA"/>
  </r>
  <r>
    <x v="1"/>
    <x v="1"/>
    <s v="BWA"/>
    <s v="BFA"/>
    <s v="BWA"/>
  </r>
  <r>
    <x v="2"/>
    <x v="2"/>
    <s v="CMR"/>
    <s v="BWA"/>
    <s v="CIV"/>
  </r>
  <r>
    <x v="3"/>
    <x v="3"/>
    <s v="GAB"/>
    <s v="CMR"/>
    <s v="CMR"/>
  </r>
  <r>
    <x v="4"/>
    <x v="4"/>
    <s v="GNB"/>
    <s v="GHA"/>
    <s v="COG"/>
  </r>
  <r>
    <x v="5"/>
    <x v="5"/>
    <s v="KEN"/>
    <s v="GNB"/>
    <s v="CPV"/>
  </r>
  <r>
    <x v="6"/>
    <x v="6"/>
    <s v="MOZ"/>
    <s v="KEN"/>
    <s v="ERI"/>
  </r>
  <r>
    <x v="7"/>
    <x v="7"/>
    <s v="MWI"/>
    <s v="MOZ"/>
    <s v="GAB"/>
  </r>
  <r>
    <x v="8"/>
    <x v="8"/>
    <s v="SEN"/>
    <s v="SEN"/>
    <s v="GHA"/>
  </r>
  <r>
    <x v="9"/>
    <x v="8"/>
    <s v="SLE"/>
    <s v="TCD"/>
    <s v="GNB"/>
  </r>
  <r>
    <x v="10"/>
    <x v="8"/>
    <s v="TCD"/>
    <m/>
    <s v="KEN"/>
  </r>
  <r>
    <x v="11"/>
    <x v="8"/>
    <m/>
    <m/>
    <s v="MOZ"/>
  </r>
  <r>
    <x v="12"/>
    <x v="8"/>
    <m/>
    <m/>
    <s v="MWI"/>
  </r>
  <r>
    <x v="13"/>
    <x v="8"/>
    <m/>
    <m/>
    <s v="NGA"/>
  </r>
  <r>
    <x v="14"/>
    <x v="8"/>
    <m/>
    <m/>
    <s v="SEN"/>
  </r>
  <r>
    <x v="15"/>
    <x v="8"/>
    <m/>
    <m/>
    <s v="SWZ"/>
  </r>
  <r>
    <x v="16"/>
    <x v="8"/>
    <m/>
    <m/>
    <s v="SYC"/>
  </r>
  <r>
    <x v="17"/>
    <x v="8"/>
    <m/>
    <m/>
    <s v="TCD"/>
  </r>
  <r>
    <x v="18"/>
    <x v="8"/>
    <m/>
    <m/>
    <s v="TGO"/>
  </r>
  <r>
    <x v="19"/>
    <x v="8"/>
    <m/>
    <m/>
    <s v="ZMB"/>
  </r>
  <r>
    <x v="19"/>
    <x v="8"/>
    <m/>
    <m/>
    <s v="ZW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AFRO"/>
    <n v="1.0147857047578982E-2"/>
    <n v="0.36773412409320844"/>
    <n v="0.36325018725823166"/>
    <n v="0.1737756389866508"/>
    <n v="6.744374557506233E-2"/>
    <n v="1.7648447039267795E-2"/>
    <x v="0"/>
  </r>
  <r>
    <s v="BFA"/>
    <n v="0"/>
    <n v="0.4797639123102867"/>
    <n v="0.45868465430016864"/>
    <n v="4.7217537942664416E-2"/>
    <n v="1.3912310286677909E-2"/>
    <n v="4.2158516020236085E-4"/>
    <x v="1"/>
  </r>
  <r>
    <s v="BWA"/>
    <n v="0"/>
    <n v="0.48640483383685801"/>
    <n v="0.3252769385699899"/>
    <n v="0.12185297079556898"/>
    <n v="5.2366565961732128E-2"/>
    <n v="1.4098690835850957E-2"/>
    <x v="2"/>
  </r>
  <r>
    <s v="CIV"/>
    <n v="0"/>
    <n v="0.18665043619395416"/>
    <n v="0.3564617569486711"/>
    <n v="0.32116047879894499"/>
    <n v="0.12984378170014202"/>
    <n v="5.883546358287685E-3"/>
    <x v="3"/>
  </r>
  <r>
    <s v="CMR"/>
    <n v="3.9872408293460922E-3"/>
    <n v="0.50212652844231787"/>
    <n v="0.32961190855927697"/>
    <n v="0.12068048910154174"/>
    <n v="4.1467304625199361E-2"/>
    <n v="2.1265284423179162E-3"/>
    <x v="3"/>
  </r>
  <r>
    <s v="COG"/>
    <n v="0"/>
    <n v="0.44529750479846447"/>
    <n v="0.29942418426103645"/>
    <n v="0.11612284069097889"/>
    <n v="0.13147792706333974"/>
    <n v="7.677543186180422E-3"/>
    <x v="3"/>
  </r>
  <r>
    <s v="CPV"/>
    <n v="4.1603630862329802E-3"/>
    <n v="0.20385779122541603"/>
    <n v="0.30295007564296522"/>
    <n v="0.26966717095310139"/>
    <n v="0.17095310136157338"/>
    <n v="4.8411497730711045E-2"/>
    <x v="3"/>
  </r>
  <r>
    <s v="GAB"/>
    <n v="0"/>
    <n v="0.21811785400175901"/>
    <n v="0.22691292875989447"/>
    <n v="0.33333333333333331"/>
    <n v="0.19700967458223395"/>
    <n v="2.4626209322779244E-2"/>
    <x v="2"/>
  </r>
  <r>
    <s v="GHA"/>
    <n v="4.5892611289582378E-4"/>
    <n v="0.39352914180816889"/>
    <n v="0.4456172556218449"/>
    <n v="0.11748508490133089"/>
    <n v="4.2221202386415788E-2"/>
    <n v="6.8838916934373562E-4"/>
    <x v="3"/>
  </r>
  <r>
    <s v="GNB"/>
    <n v="0"/>
    <n v="0.52402745995423339"/>
    <n v="0.32723112128146453"/>
    <n v="9.3821510297482841E-2"/>
    <n v="4.3478260869565216E-2"/>
    <n v="1.1441647597254004E-2"/>
    <x v="1"/>
  </r>
  <r>
    <s v="KEN"/>
    <n v="9.1008372770294869E-4"/>
    <n v="0.29122679286494357"/>
    <n v="0.49126319621405168"/>
    <n v="0.17127775755369495"/>
    <n v="4.4230069166363309E-2"/>
    <n v="1.0921004732435385E-3"/>
    <x v="3"/>
  </r>
  <r>
    <s v="MOZ"/>
    <n v="2.5575447570332483E-3"/>
    <n v="0.33418584825234443"/>
    <n v="0.38235294117647056"/>
    <n v="0.17732310315430519"/>
    <n v="8.2267689684569476E-2"/>
    <n v="2.1312872975277068E-2"/>
    <x v="1"/>
  </r>
  <r>
    <s v="MWI"/>
    <n v="5.8653846153846154E-2"/>
    <n v="0.37692307692307692"/>
    <n v="0.31826923076923075"/>
    <n v="0.2048076923076923"/>
    <n v="2.8846153846153848E-2"/>
    <n v="1.2500000000000001E-2"/>
    <x v="1"/>
  </r>
  <r>
    <s v="NGA"/>
    <n v="1.5643758867828428E-2"/>
    <n v="0.38865645577909558"/>
    <n v="0.35225743078546223"/>
    <n v="0.16069414632371667"/>
    <n v="6.2957034234365342E-2"/>
    <n v="1.979117400953178E-2"/>
    <x v="3"/>
  </r>
  <r>
    <s v="SEN"/>
    <n v="1.4224751066856331E-3"/>
    <n v="0.48079658605974396"/>
    <n v="0.35135135135135137"/>
    <n v="9.1038406827880516E-2"/>
    <n v="6.8278805120910391E-2"/>
    <n v="7.1123755334281651E-3"/>
    <x v="3"/>
  </r>
  <r>
    <s v="SWZ"/>
    <n v="0"/>
    <n v="0.14374225526641884"/>
    <n v="0.85625774473358118"/>
    <n v="0"/>
    <n v="0"/>
    <n v="0"/>
    <x v="3"/>
  </r>
  <r>
    <s v="SYC"/>
    <n v="0"/>
    <n v="0.15789473684210525"/>
    <n v="0.26315789473684209"/>
    <n v="0.2982456140350877"/>
    <n v="0.15789473684210525"/>
    <n v="0.12280701754385964"/>
    <x v="2"/>
  </r>
  <r>
    <s v="TCD"/>
    <n v="1.9880715705765406E-3"/>
    <n v="0.58316766070245196"/>
    <n v="0.28098078197481774"/>
    <n v="8.5487077534791248E-2"/>
    <n v="4.8376408217362492E-2"/>
    <n v="0"/>
    <x v="1"/>
  </r>
  <r>
    <s v="TGO"/>
    <n v="4.10958904109589E-3"/>
    <n v="0.29178082191780824"/>
    <n v="0.36575342465753424"/>
    <n v="0.21232876712328766"/>
    <n v="8.7671232876712329E-2"/>
    <n v="3.8356164383561646E-2"/>
    <x v="1"/>
  </r>
  <r>
    <s v="ZMB"/>
    <n v="4.1968714231209459E-3"/>
    <n v="0.36398321251430754"/>
    <n v="0.28462418924074778"/>
    <n v="0.18428080885158338"/>
    <n v="0.10587561999236933"/>
    <n v="5.7039297977871044E-2"/>
    <x v="3"/>
  </r>
  <r>
    <s v="ZWE"/>
    <n v="0"/>
    <n v="0.15989660265878877"/>
    <n v="0.4098966026587888"/>
    <n v="0.43020679468242246"/>
    <n v="0"/>
    <n v="0"/>
    <x v="3"/>
  </r>
  <r>
    <s v="BEN"/>
    <n v="1.2341197822141561E-2"/>
    <n v="0.40471869328493648"/>
    <n v="0.33248638838475497"/>
    <n v="0.16624319419237749"/>
    <n v="8.0217785843920142E-2"/>
    <n v="3.9927404718693282E-3"/>
    <x v="3"/>
  </r>
  <r>
    <s v="SLE"/>
    <n v="0"/>
    <n v="1"/>
    <n v="0"/>
    <n v="0"/>
    <n v="0"/>
    <n v="0"/>
    <x v="1"/>
  </r>
  <r>
    <s v="BDI"/>
    <n v="0"/>
    <n v="0.23688394276629571"/>
    <n v="0.62957074721780604"/>
    <n v="9.6979332273449917E-2"/>
    <n v="3.0206677265500796E-2"/>
    <n v="6.3593004769475362E-3"/>
    <x v="1"/>
  </r>
  <r>
    <s v="DZA"/>
    <n v="8.2034047710869931E-2"/>
    <n v="0.29430885350669383"/>
    <n v="0.20861109580739354"/>
    <n v="0.13796760509062861"/>
    <n v="0.17288303674728664"/>
    <n v="0.1041953611371274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2C4DF-572B-4F57-B1D8-E1AF839738B1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0" firstDataRow="1" firstDataCol="1"/>
  <pivotFields count="6">
    <pivotField dataField="1" showAll="0"/>
    <pivotField dataField="1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dataField="1" showAll="0">
      <items count="13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t="default"/>
      </items>
    </pivotField>
    <pivotField dataField="1" showAll="0">
      <items count="12">
        <item x="1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dataField="1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5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2018" fld="0" subtotal="count" baseField="0" baseItem="0"/>
    <dataField name="Count of 2022" fld="4" subtotal="count" baseField="0" baseItem="0"/>
    <dataField name="Count of 2021" fld="3" subtotal="count" baseField="0" baseItem="0"/>
    <dataField name="Count of 2020" fld="2" subtotal="count" baseField="0" baseItem="0"/>
    <dataField name="Count of 2019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54EAB-232A-482A-8B68-1DE3856CD897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14" firstHeaderRow="1" firstDataRow="2" firstDataCol="1"/>
  <pivotFields count="5">
    <pivotField axis="axisCol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2020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11F33-C32C-4906-B679-DFC1AD661673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8">
    <pivotField showAll="0"/>
    <pivotField dataField="1" numFmtId="10" showAll="0"/>
    <pivotField dataField="1" numFmtId="10" showAll="0"/>
    <pivotField dataField="1" numFmtId="10" showAll="0"/>
    <pivotField dataField="1" numFmtId="10" showAll="0"/>
    <pivotField dataField="1" numFmtId="10" showAll="0"/>
    <pivotField dataField="1" numFmtId="10"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Medical Doctors Stock By Age Group &lt; 25 yrs" fld="1" subtotal="average" baseField="7" baseItem="0"/>
    <dataField name="Average of Medical Doctors Stock By Age Group 25-34 yrs" fld="2" subtotal="average" baseField="7" baseItem="0"/>
    <dataField name="Average of Medical Doctors Stock By Age Group 35-44 yrs" fld="3" subtotal="average" baseField="0" baseItem="0"/>
    <dataField name="Average of Medical Doctors Stock By Age Group 45-54 yrs" fld="4" subtotal="average" baseField="7" baseItem="0"/>
    <dataField name="Average of Medical Doctors Stock By Age Group 55-64 yrs" fld="5" subtotal="average" baseField="0" baseItem="0"/>
    <dataField name="Average of Medical Doctors Stock By Age Group ≥ 65 yrs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A5EA-B8A1-48F4-ABDC-82B5CA5EE299}">
  <dimension ref="A3:F52"/>
  <sheetViews>
    <sheetView workbookViewId="0">
      <selection activeCell="I13" sqref="I13"/>
    </sheetView>
  </sheetViews>
  <sheetFormatPr defaultRowHeight="14.5" x14ac:dyDescent="0.35"/>
  <cols>
    <col min="1" max="1" width="12.36328125" bestFit="1" customWidth="1"/>
    <col min="2" max="6" width="12.54296875" bestFit="1" customWidth="1"/>
  </cols>
  <sheetData>
    <row r="3" spans="1:6" x14ac:dyDescent="0.35">
      <c r="A3" s="1" t="s">
        <v>49</v>
      </c>
      <c r="B3" t="s">
        <v>52</v>
      </c>
      <c r="C3" t="s">
        <v>56</v>
      </c>
      <c r="D3" t="s">
        <v>55</v>
      </c>
      <c r="E3" t="s">
        <v>54</v>
      </c>
      <c r="F3" t="s">
        <v>53</v>
      </c>
    </row>
    <row r="4" spans="1:6" x14ac:dyDescent="0.35">
      <c r="A4" s="2" t="s">
        <v>28</v>
      </c>
    </row>
    <row r="5" spans="1:6" x14ac:dyDescent="0.35">
      <c r="A5" s="2" t="s">
        <v>19</v>
      </c>
      <c r="F5">
        <v>1</v>
      </c>
    </row>
    <row r="6" spans="1:6" x14ac:dyDescent="0.35">
      <c r="A6" s="2" t="s">
        <v>0</v>
      </c>
      <c r="B6">
        <v>1</v>
      </c>
      <c r="D6">
        <v>1</v>
      </c>
      <c r="E6">
        <v>1</v>
      </c>
    </row>
    <row r="7" spans="1:6" x14ac:dyDescent="0.35">
      <c r="A7" s="2" t="s">
        <v>20</v>
      </c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35">
      <c r="A8" s="2" t="s">
        <v>1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35">
      <c r="A9" s="2" t="s">
        <v>29</v>
      </c>
      <c r="B9">
        <v>1</v>
      </c>
      <c r="D9">
        <v>1</v>
      </c>
      <c r="E9">
        <v>1</v>
      </c>
      <c r="F9">
        <v>1</v>
      </c>
    </row>
    <row r="10" spans="1:6" x14ac:dyDescent="0.35">
      <c r="A10" s="2" t="s">
        <v>2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35">
      <c r="A11" s="2" t="s">
        <v>24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35">
      <c r="A12" s="2" t="s">
        <v>30</v>
      </c>
      <c r="B12">
        <v>1</v>
      </c>
      <c r="D12">
        <v>1</v>
      </c>
      <c r="E12">
        <v>1</v>
      </c>
      <c r="F12">
        <v>1</v>
      </c>
    </row>
    <row r="13" spans="1:6" x14ac:dyDescent="0.35">
      <c r="A13" s="2" t="s">
        <v>26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35">
      <c r="A14" s="2" t="s">
        <v>31</v>
      </c>
      <c r="B14">
        <v>1</v>
      </c>
      <c r="D14">
        <v>1</v>
      </c>
      <c r="E14">
        <v>1</v>
      </c>
    </row>
    <row r="15" spans="1:6" x14ac:dyDescent="0.35">
      <c r="A15" s="2" t="s">
        <v>3</v>
      </c>
      <c r="B15">
        <v>1</v>
      </c>
      <c r="C15">
        <v>1</v>
      </c>
      <c r="D15">
        <v>1</v>
      </c>
      <c r="E15">
        <v>1</v>
      </c>
    </row>
    <row r="16" spans="1:6" x14ac:dyDescent="0.35">
      <c r="A16" s="2" t="s">
        <v>4</v>
      </c>
      <c r="B16">
        <v>1</v>
      </c>
      <c r="E16">
        <v>1</v>
      </c>
    </row>
    <row r="17" spans="1:3" x14ac:dyDescent="0.35">
      <c r="A17" s="2" t="s">
        <v>5</v>
      </c>
      <c r="B17">
        <v>1</v>
      </c>
      <c r="C17">
        <v>1</v>
      </c>
    </row>
    <row r="18" spans="1:3" x14ac:dyDescent="0.35">
      <c r="A18" s="2" t="s">
        <v>32</v>
      </c>
      <c r="B18">
        <v>1</v>
      </c>
    </row>
    <row r="19" spans="1:3" x14ac:dyDescent="0.35">
      <c r="A19" s="2" t="s">
        <v>21</v>
      </c>
      <c r="B19">
        <v>1</v>
      </c>
      <c r="C19">
        <v>1</v>
      </c>
    </row>
    <row r="20" spans="1:3" x14ac:dyDescent="0.35">
      <c r="A20" s="2" t="s">
        <v>6</v>
      </c>
      <c r="B20">
        <v>1</v>
      </c>
      <c r="C20">
        <v>1</v>
      </c>
    </row>
    <row r="21" spans="1:3" x14ac:dyDescent="0.35">
      <c r="A21" s="2" t="s">
        <v>33</v>
      </c>
      <c r="B21">
        <v>1</v>
      </c>
    </row>
    <row r="22" spans="1:3" x14ac:dyDescent="0.35">
      <c r="A22" s="2" t="s">
        <v>34</v>
      </c>
      <c r="B22">
        <v>1</v>
      </c>
    </row>
    <row r="23" spans="1:3" x14ac:dyDescent="0.35">
      <c r="A23" s="2" t="s">
        <v>25</v>
      </c>
      <c r="B23">
        <v>1</v>
      </c>
      <c r="C23">
        <v>1</v>
      </c>
    </row>
    <row r="24" spans="1:3" x14ac:dyDescent="0.35">
      <c r="A24" s="2" t="s">
        <v>35</v>
      </c>
      <c r="B24">
        <v>1</v>
      </c>
    </row>
    <row r="25" spans="1:3" x14ac:dyDescent="0.35">
      <c r="A25" s="2" t="s">
        <v>7</v>
      </c>
      <c r="C25">
        <v>1</v>
      </c>
    </row>
    <row r="26" spans="1:3" x14ac:dyDescent="0.35">
      <c r="A26" s="2" t="s">
        <v>36</v>
      </c>
      <c r="C26">
        <v>1</v>
      </c>
    </row>
    <row r="27" spans="1:3" x14ac:dyDescent="0.35">
      <c r="A27" s="2" t="s">
        <v>37</v>
      </c>
      <c r="C27">
        <v>1</v>
      </c>
    </row>
    <row r="28" spans="1:3" x14ac:dyDescent="0.35">
      <c r="A28" s="2" t="s">
        <v>8</v>
      </c>
      <c r="C28">
        <v>1</v>
      </c>
    </row>
    <row r="29" spans="1:3" x14ac:dyDescent="0.35">
      <c r="A29" s="2" t="s">
        <v>38</v>
      </c>
      <c r="C29">
        <v>1</v>
      </c>
    </row>
    <row r="30" spans="1:3" x14ac:dyDescent="0.35">
      <c r="A30" s="2" t="s">
        <v>9</v>
      </c>
      <c r="C30">
        <v>1</v>
      </c>
    </row>
    <row r="31" spans="1:3" x14ac:dyDescent="0.35">
      <c r="A31" s="2" t="s">
        <v>39</v>
      </c>
      <c r="C31">
        <v>1</v>
      </c>
    </row>
    <row r="32" spans="1:3" x14ac:dyDescent="0.35">
      <c r="A32" s="2" t="s">
        <v>40</v>
      </c>
      <c r="C32">
        <v>1</v>
      </c>
    </row>
    <row r="33" spans="1:3" x14ac:dyDescent="0.35">
      <c r="A33" s="2" t="s">
        <v>10</v>
      </c>
      <c r="C33">
        <v>1</v>
      </c>
    </row>
    <row r="34" spans="1:3" x14ac:dyDescent="0.35">
      <c r="A34" s="2" t="s">
        <v>41</v>
      </c>
      <c r="C34">
        <v>1</v>
      </c>
    </row>
    <row r="35" spans="1:3" x14ac:dyDescent="0.35">
      <c r="A35" s="2" t="s">
        <v>42</v>
      </c>
      <c r="C35">
        <v>1</v>
      </c>
    </row>
    <row r="36" spans="1:3" x14ac:dyDescent="0.35">
      <c r="A36" s="2" t="s">
        <v>27</v>
      </c>
    </row>
    <row r="37" spans="1:3" x14ac:dyDescent="0.35">
      <c r="A37" s="2" t="s">
        <v>43</v>
      </c>
    </row>
    <row r="38" spans="1:3" x14ac:dyDescent="0.35">
      <c r="A38" s="2" t="s">
        <v>22</v>
      </c>
    </row>
    <row r="39" spans="1:3" x14ac:dyDescent="0.35">
      <c r="A39" s="2" t="s">
        <v>11</v>
      </c>
    </row>
    <row r="40" spans="1:3" x14ac:dyDescent="0.35">
      <c r="A40" s="2" t="s">
        <v>44</v>
      </c>
    </row>
    <row r="41" spans="1:3" x14ac:dyDescent="0.35">
      <c r="A41" s="2" t="s">
        <v>45</v>
      </c>
    </row>
    <row r="42" spans="1:3" x14ac:dyDescent="0.35">
      <c r="A42" s="2" t="s">
        <v>12</v>
      </c>
    </row>
    <row r="43" spans="1:3" x14ac:dyDescent="0.35">
      <c r="A43" s="2" t="s">
        <v>13</v>
      </c>
    </row>
    <row r="44" spans="1:3" x14ac:dyDescent="0.35">
      <c r="A44" s="2" t="s">
        <v>23</v>
      </c>
    </row>
    <row r="45" spans="1:3" x14ac:dyDescent="0.35">
      <c r="A45" s="2" t="s">
        <v>14</v>
      </c>
    </row>
    <row r="46" spans="1:3" x14ac:dyDescent="0.35">
      <c r="A46" s="2" t="s">
        <v>46</v>
      </c>
    </row>
    <row r="47" spans="1:3" x14ac:dyDescent="0.35">
      <c r="A47" s="2" t="s">
        <v>15</v>
      </c>
    </row>
    <row r="48" spans="1:3" x14ac:dyDescent="0.35">
      <c r="A48" s="2" t="s">
        <v>16</v>
      </c>
    </row>
    <row r="49" spans="1:6" x14ac:dyDescent="0.35">
      <c r="A49" s="2" t="s">
        <v>17</v>
      </c>
    </row>
    <row r="50" spans="1:6" x14ac:dyDescent="0.35">
      <c r="A50" s="2" t="s">
        <v>18</v>
      </c>
    </row>
    <row r="51" spans="1:6" x14ac:dyDescent="0.35">
      <c r="A51" s="2" t="s">
        <v>50</v>
      </c>
    </row>
    <row r="52" spans="1:6" x14ac:dyDescent="0.35">
      <c r="A52" s="2" t="s">
        <v>51</v>
      </c>
      <c r="B52">
        <v>19</v>
      </c>
      <c r="C52">
        <v>21</v>
      </c>
      <c r="D52">
        <v>10</v>
      </c>
      <c r="E52">
        <v>11</v>
      </c>
      <c r="F5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E5AA-373B-49E1-8201-5C0E8F6FABF0}">
  <dimension ref="A1:G25"/>
  <sheetViews>
    <sheetView topLeftCell="A16" workbookViewId="0">
      <selection activeCell="A24" sqref="A24:XFD24"/>
    </sheetView>
  </sheetViews>
  <sheetFormatPr defaultRowHeight="14.5" x14ac:dyDescent="0.35"/>
  <sheetData>
    <row r="1" spans="1:7" ht="116" x14ac:dyDescent="0.35">
      <c r="A1" s="6" t="s">
        <v>49</v>
      </c>
      <c r="B1" s="6" t="s">
        <v>59</v>
      </c>
      <c r="C1" s="7" t="s">
        <v>60</v>
      </c>
      <c r="D1" s="7" t="s">
        <v>61</v>
      </c>
      <c r="E1" s="7" t="s">
        <v>62</v>
      </c>
      <c r="F1" s="7" t="s">
        <v>63</v>
      </c>
      <c r="G1" s="8" t="s">
        <v>64</v>
      </c>
    </row>
    <row r="2" spans="1:7" x14ac:dyDescent="0.35">
      <c r="A2" s="9" t="s">
        <v>65</v>
      </c>
      <c r="B2" s="6">
        <v>989</v>
      </c>
      <c r="C2" s="7">
        <v>35839</v>
      </c>
      <c r="D2" s="7">
        <v>35402</v>
      </c>
      <c r="E2" s="7">
        <v>16936</v>
      </c>
      <c r="F2" s="7">
        <v>6573</v>
      </c>
      <c r="G2" s="8">
        <v>1720</v>
      </c>
    </row>
    <row r="3" spans="1:7" x14ac:dyDescent="0.35">
      <c r="A3" s="10" t="s">
        <v>20</v>
      </c>
      <c r="B3" s="11">
        <v>0</v>
      </c>
      <c r="C3" s="12">
        <v>1138</v>
      </c>
      <c r="D3" s="12">
        <v>1088</v>
      </c>
      <c r="E3" s="12">
        <v>112</v>
      </c>
      <c r="F3" s="12">
        <v>33</v>
      </c>
      <c r="G3" s="13">
        <v>1</v>
      </c>
    </row>
    <row r="4" spans="1:7" x14ac:dyDescent="0.35">
      <c r="A4" s="10" t="s">
        <v>1</v>
      </c>
      <c r="B4" s="11"/>
      <c r="C4" s="12">
        <v>483</v>
      </c>
      <c r="D4" s="12">
        <v>323</v>
      </c>
      <c r="E4" s="12">
        <v>121</v>
      </c>
      <c r="F4" s="12">
        <v>52</v>
      </c>
      <c r="G4" s="13">
        <v>14</v>
      </c>
    </row>
    <row r="5" spans="1:7" x14ac:dyDescent="0.35">
      <c r="A5" s="10" t="s">
        <v>2</v>
      </c>
      <c r="B5" s="11">
        <v>0</v>
      </c>
      <c r="C5" s="12">
        <v>920</v>
      </c>
      <c r="D5" s="12">
        <v>1757</v>
      </c>
      <c r="E5" s="12">
        <v>1583</v>
      </c>
      <c r="F5" s="12">
        <v>640</v>
      </c>
      <c r="G5" s="13">
        <v>29</v>
      </c>
    </row>
    <row r="6" spans="1:7" x14ac:dyDescent="0.35">
      <c r="A6" s="10" t="s">
        <v>24</v>
      </c>
      <c r="B6" s="11">
        <v>15</v>
      </c>
      <c r="C6" s="12">
        <v>1889</v>
      </c>
      <c r="D6" s="12">
        <v>1240</v>
      </c>
      <c r="E6" s="12">
        <v>454</v>
      </c>
      <c r="F6" s="12">
        <v>156</v>
      </c>
      <c r="G6" s="13">
        <v>8</v>
      </c>
    </row>
    <row r="7" spans="1:7" x14ac:dyDescent="0.35">
      <c r="A7" s="10" t="s">
        <v>26</v>
      </c>
      <c r="B7" s="11"/>
      <c r="C7" s="12">
        <v>464</v>
      </c>
      <c r="D7" s="12">
        <v>312</v>
      </c>
      <c r="E7" s="12">
        <v>121</v>
      </c>
      <c r="F7" s="12">
        <v>137</v>
      </c>
      <c r="G7" s="13">
        <v>8</v>
      </c>
    </row>
    <row r="8" spans="1:7" x14ac:dyDescent="0.35">
      <c r="A8" s="10" t="s">
        <v>3</v>
      </c>
      <c r="B8" s="11">
        <v>11</v>
      </c>
      <c r="C8" s="12">
        <v>539</v>
      </c>
      <c r="D8" s="12">
        <v>801</v>
      </c>
      <c r="E8" s="12">
        <v>713</v>
      </c>
      <c r="F8" s="12">
        <v>452</v>
      </c>
      <c r="G8" s="13">
        <v>128</v>
      </c>
    </row>
    <row r="9" spans="1:7" x14ac:dyDescent="0.35">
      <c r="A9" s="10" t="s">
        <v>5</v>
      </c>
      <c r="B9" s="11"/>
      <c r="C9" s="12">
        <v>175</v>
      </c>
      <c r="D9" s="12"/>
      <c r="E9" s="12"/>
      <c r="F9" s="12"/>
      <c r="G9" s="13"/>
    </row>
    <row r="10" spans="1:7" x14ac:dyDescent="0.35">
      <c r="A10" s="10" t="s">
        <v>21</v>
      </c>
      <c r="B10" s="11">
        <v>0</v>
      </c>
      <c r="C10" s="12">
        <v>248</v>
      </c>
      <c r="D10" s="12">
        <v>258</v>
      </c>
      <c r="E10" s="12">
        <v>379</v>
      </c>
      <c r="F10" s="12">
        <v>224</v>
      </c>
      <c r="G10" s="13">
        <v>28</v>
      </c>
    </row>
    <row r="11" spans="1:7" x14ac:dyDescent="0.35">
      <c r="A11" s="10" t="s">
        <v>6</v>
      </c>
      <c r="B11" s="11">
        <v>2</v>
      </c>
      <c r="C11" s="12">
        <v>1715</v>
      </c>
      <c r="D11" s="12">
        <v>1942</v>
      </c>
      <c r="E11" s="12">
        <v>512</v>
      </c>
      <c r="F11" s="12">
        <v>184</v>
      </c>
      <c r="G11" s="13">
        <v>3</v>
      </c>
    </row>
    <row r="12" spans="1:7" x14ac:dyDescent="0.35">
      <c r="A12" s="10" t="s">
        <v>25</v>
      </c>
      <c r="B12" s="11">
        <v>0</v>
      </c>
      <c r="C12" s="12">
        <v>229</v>
      </c>
      <c r="D12" s="12">
        <v>143</v>
      </c>
      <c r="E12" s="12">
        <v>41</v>
      </c>
      <c r="F12" s="12">
        <v>19</v>
      </c>
      <c r="G12" s="13">
        <v>5</v>
      </c>
    </row>
    <row r="13" spans="1:7" x14ac:dyDescent="0.35">
      <c r="A13" s="10" t="s">
        <v>7</v>
      </c>
      <c r="B13" s="11">
        <v>5</v>
      </c>
      <c r="C13" s="12">
        <v>1600</v>
      </c>
      <c r="D13" s="12">
        <v>2699</v>
      </c>
      <c r="E13" s="12">
        <v>941</v>
      </c>
      <c r="F13" s="12">
        <v>243</v>
      </c>
      <c r="G13" s="13">
        <v>6</v>
      </c>
    </row>
    <row r="14" spans="1:7" x14ac:dyDescent="0.35">
      <c r="A14" s="10" t="s">
        <v>9</v>
      </c>
      <c r="B14" s="11">
        <v>6</v>
      </c>
      <c r="C14" s="12">
        <v>784</v>
      </c>
      <c r="D14" s="12">
        <v>897</v>
      </c>
      <c r="E14" s="12">
        <v>416</v>
      </c>
      <c r="F14" s="12">
        <v>193</v>
      </c>
      <c r="G14" s="13">
        <v>50</v>
      </c>
    </row>
    <row r="15" spans="1:7" x14ac:dyDescent="0.35">
      <c r="A15" s="10" t="s">
        <v>10</v>
      </c>
      <c r="B15" s="11">
        <v>61</v>
      </c>
      <c r="C15" s="12">
        <v>392</v>
      </c>
      <c r="D15" s="12">
        <v>331</v>
      </c>
      <c r="E15" s="12">
        <v>213</v>
      </c>
      <c r="F15" s="12">
        <v>30</v>
      </c>
      <c r="G15" s="13">
        <v>13</v>
      </c>
    </row>
    <row r="16" spans="1:7" x14ac:dyDescent="0.35">
      <c r="A16" s="10" t="s">
        <v>27</v>
      </c>
      <c r="B16" s="11">
        <v>860</v>
      </c>
      <c r="C16" s="12">
        <v>21366</v>
      </c>
      <c r="D16" s="12">
        <v>19365</v>
      </c>
      <c r="E16" s="12">
        <v>8834</v>
      </c>
      <c r="F16" s="12">
        <v>3461</v>
      </c>
      <c r="G16" s="13">
        <v>1088</v>
      </c>
    </row>
    <row r="17" spans="1:7" x14ac:dyDescent="0.35">
      <c r="A17" s="10" t="s">
        <v>22</v>
      </c>
      <c r="B17" s="11">
        <v>1</v>
      </c>
      <c r="C17" s="12">
        <v>338</v>
      </c>
      <c r="D17" s="12">
        <v>247</v>
      </c>
      <c r="E17" s="12">
        <v>64</v>
      </c>
      <c r="F17" s="12">
        <v>48</v>
      </c>
      <c r="G17" s="13">
        <v>5</v>
      </c>
    </row>
    <row r="18" spans="1:7" x14ac:dyDescent="0.35">
      <c r="A18" s="10" t="s">
        <v>12</v>
      </c>
      <c r="B18" s="11"/>
      <c r="C18" s="12">
        <v>116</v>
      </c>
      <c r="D18" s="12">
        <v>691</v>
      </c>
      <c r="E18" s="12"/>
      <c r="F18" s="12"/>
      <c r="G18" s="13"/>
    </row>
    <row r="19" spans="1:7" x14ac:dyDescent="0.35">
      <c r="A19" s="10" t="s">
        <v>13</v>
      </c>
      <c r="B19" s="11"/>
      <c r="C19" s="12">
        <v>9</v>
      </c>
      <c r="D19" s="12">
        <v>15</v>
      </c>
      <c r="E19" s="12">
        <v>17</v>
      </c>
      <c r="F19" s="12">
        <v>9</v>
      </c>
      <c r="G19" s="13">
        <v>7</v>
      </c>
    </row>
    <row r="20" spans="1:7" x14ac:dyDescent="0.35">
      <c r="A20" s="10" t="s">
        <v>23</v>
      </c>
      <c r="B20" s="11">
        <v>3</v>
      </c>
      <c r="C20" s="12">
        <v>880</v>
      </c>
      <c r="D20" s="12">
        <v>424</v>
      </c>
      <c r="E20" s="12">
        <v>129</v>
      </c>
      <c r="F20" s="12">
        <v>73</v>
      </c>
      <c r="G20" s="13">
        <v>0</v>
      </c>
    </row>
    <row r="21" spans="1:7" x14ac:dyDescent="0.35">
      <c r="A21" s="10" t="s">
        <v>14</v>
      </c>
      <c r="B21" s="11">
        <v>3</v>
      </c>
      <c r="C21" s="12">
        <v>213</v>
      </c>
      <c r="D21" s="12">
        <v>267</v>
      </c>
      <c r="E21" s="12">
        <v>155</v>
      </c>
      <c r="F21" s="12">
        <v>64</v>
      </c>
      <c r="G21" s="13">
        <v>28</v>
      </c>
    </row>
    <row r="22" spans="1:7" x14ac:dyDescent="0.35">
      <c r="A22" s="10" t="s">
        <v>17</v>
      </c>
      <c r="B22" s="11">
        <v>22</v>
      </c>
      <c r="C22" s="12">
        <v>1908</v>
      </c>
      <c r="D22" s="12">
        <v>1492</v>
      </c>
      <c r="E22" s="12">
        <v>966</v>
      </c>
      <c r="F22" s="12">
        <v>555</v>
      </c>
      <c r="G22" s="13">
        <v>299</v>
      </c>
    </row>
    <row r="23" spans="1:7" x14ac:dyDescent="0.35">
      <c r="A23" s="10" t="s">
        <v>18</v>
      </c>
      <c r="B23" s="11">
        <v>0</v>
      </c>
      <c r="C23" s="12">
        <v>433</v>
      </c>
      <c r="D23" s="12">
        <v>1110</v>
      </c>
      <c r="E23" s="12">
        <v>1165</v>
      </c>
      <c r="F23" s="12">
        <v>0</v>
      </c>
      <c r="G23" s="13">
        <v>0</v>
      </c>
    </row>
    <row r="24" spans="1:7" x14ac:dyDescent="0.35">
      <c r="A24" s="18"/>
      <c r="B24" s="19"/>
      <c r="C24" s="20"/>
      <c r="D24" s="20"/>
      <c r="E24" s="20"/>
      <c r="F24" s="20"/>
      <c r="G24" s="21"/>
    </row>
    <row r="25" spans="1:7" ht="29" x14ac:dyDescent="0.35">
      <c r="A25" s="14" t="s">
        <v>51</v>
      </c>
      <c r="B25" s="15">
        <v>1978</v>
      </c>
      <c r="C25" s="16">
        <v>71678</v>
      </c>
      <c r="D25" s="16">
        <v>70804</v>
      </c>
      <c r="E25" s="16">
        <v>33872</v>
      </c>
      <c r="F25" s="16">
        <v>13146</v>
      </c>
      <c r="G25" s="17">
        <v>3440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8298-5B44-409D-B7C1-10F8CD09B721}">
  <dimension ref="A3:V14"/>
  <sheetViews>
    <sheetView tabSelected="1" workbookViewId="0">
      <selection activeCell="A3" sqref="A3"/>
    </sheetView>
  </sheetViews>
  <sheetFormatPr defaultRowHeight="14.5" x14ac:dyDescent="0.35"/>
  <cols>
    <col min="1" max="1" width="12.54296875" bestFit="1" customWidth="1"/>
    <col min="2" max="2" width="15.26953125" bestFit="1" customWidth="1"/>
    <col min="3" max="3" width="4.90625" bestFit="1" customWidth="1"/>
    <col min="4" max="4" width="3.6328125" bestFit="1" customWidth="1"/>
    <col min="5" max="5" width="4.1796875" bestFit="1" customWidth="1"/>
    <col min="6" max="6" width="4.26953125" bestFit="1" customWidth="1"/>
    <col min="7" max="7" width="3.453125" bestFit="1" customWidth="1"/>
    <col min="8" max="8" width="4.54296875" bestFit="1" customWidth="1"/>
    <col min="9" max="9" width="4.1796875" bestFit="1" customWidth="1"/>
    <col min="10" max="10" width="5.08984375" bestFit="1" customWidth="1"/>
    <col min="11" max="12" width="4.90625" bestFit="1" customWidth="1"/>
    <col min="13" max="13" width="3.54296875" bestFit="1" customWidth="1"/>
    <col min="14" max="14" width="4.54296875" bestFit="1" customWidth="1"/>
    <col min="15" max="15" width="3.81640625" bestFit="1" customWidth="1"/>
    <col min="16" max="16" width="4.453125" bestFit="1" customWidth="1"/>
    <col min="17" max="17" width="4.54296875" bestFit="1" customWidth="1"/>
    <col min="18" max="18" width="3.90625" bestFit="1" customWidth="1"/>
    <col min="19" max="20" width="4.6328125" bestFit="1" customWidth="1"/>
    <col min="21" max="21" width="6.7265625" bestFit="1" customWidth="1"/>
    <col min="22" max="22" width="10.7265625" bestFit="1" customWidth="1"/>
  </cols>
  <sheetData>
    <row r="3" spans="1:22" x14ac:dyDescent="0.35">
      <c r="A3" s="1" t="s">
        <v>54</v>
      </c>
      <c r="B3" s="1" t="s">
        <v>57</v>
      </c>
    </row>
    <row r="4" spans="1:22" x14ac:dyDescent="0.35">
      <c r="A4" s="1" t="s">
        <v>49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50</v>
      </c>
      <c r="V4" t="s">
        <v>51</v>
      </c>
    </row>
    <row r="5" spans="1:22" x14ac:dyDescent="0.35">
      <c r="A5" s="2" t="s">
        <v>19</v>
      </c>
      <c r="B5">
        <v>1</v>
      </c>
      <c r="V5">
        <v>1</v>
      </c>
    </row>
    <row r="6" spans="1:22" x14ac:dyDescent="0.35">
      <c r="A6" s="2" t="s">
        <v>20</v>
      </c>
      <c r="C6">
        <v>1</v>
      </c>
      <c r="V6">
        <v>1</v>
      </c>
    </row>
    <row r="7" spans="1:22" x14ac:dyDescent="0.35">
      <c r="A7" s="2" t="s">
        <v>1</v>
      </c>
      <c r="D7">
        <v>1</v>
      </c>
      <c r="V7">
        <v>1</v>
      </c>
    </row>
    <row r="8" spans="1:22" x14ac:dyDescent="0.35">
      <c r="A8" s="2" t="s">
        <v>21</v>
      </c>
      <c r="E8">
        <v>1</v>
      </c>
      <c r="V8">
        <v>1</v>
      </c>
    </row>
    <row r="9" spans="1:22" x14ac:dyDescent="0.35">
      <c r="A9" s="2" t="s">
        <v>6</v>
      </c>
      <c r="F9">
        <v>1</v>
      </c>
      <c r="V9">
        <v>1</v>
      </c>
    </row>
    <row r="10" spans="1:22" x14ac:dyDescent="0.35">
      <c r="A10" s="2" t="s">
        <v>9</v>
      </c>
      <c r="G10">
        <v>1</v>
      </c>
      <c r="V10">
        <v>1</v>
      </c>
    </row>
    <row r="11" spans="1:22" x14ac:dyDescent="0.35">
      <c r="A11" s="2" t="s">
        <v>22</v>
      </c>
      <c r="H11">
        <v>1</v>
      </c>
      <c r="V11">
        <v>1</v>
      </c>
    </row>
    <row r="12" spans="1:22" x14ac:dyDescent="0.35">
      <c r="A12" s="2" t="s">
        <v>23</v>
      </c>
      <c r="I12">
        <v>1</v>
      </c>
      <c r="V12">
        <v>1</v>
      </c>
    </row>
    <row r="13" spans="1:22" x14ac:dyDescent="0.35">
      <c r="A13" s="2" t="s">
        <v>50</v>
      </c>
      <c r="J13">
        <v>1</v>
      </c>
      <c r="K13">
        <v>1</v>
      </c>
      <c r="L13">
        <v>1</v>
      </c>
      <c r="V13">
        <v>3</v>
      </c>
    </row>
    <row r="14" spans="1:22" x14ac:dyDescent="0.35">
      <c r="A14" s="2" t="s">
        <v>51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V14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ACFD-96E8-4126-931C-BE1B9938C377}">
  <sheetPr filterMode="1"/>
  <dimension ref="A1:B49"/>
  <sheetViews>
    <sheetView workbookViewId="0">
      <selection sqref="A1:B49"/>
    </sheetView>
  </sheetViews>
  <sheetFormatPr defaultRowHeight="14" x14ac:dyDescent="0.3"/>
  <cols>
    <col min="1" max="1" width="8.453125" style="3" bestFit="1" customWidth="1"/>
    <col min="2" max="2" width="27.36328125" style="3" bestFit="1" customWidth="1"/>
    <col min="3" max="16384" width="8.7265625" style="3"/>
  </cols>
  <sheetData>
    <row r="1" spans="1:2" x14ac:dyDescent="0.3">
      <c r="B1" s="3" t="s">
        <v>58</v>
      </c>
    </row>
    <row r="2" spans="1:2" hidden="1" x14ac:dyDescent="0.3">
      <c r="A2" s="4" t="s">
        <v>47</v>
      </c>
      <c r="B2" s="4" t="s">
        <v>48</v>
      </c>
    </row>
    <row r="3" spans="1:2" hidden="1" x14ac:dyDescent="0.3">
      <c r="A3" s="5" t="s">
        <v>28</v>
      </c>
      <c r="B3" s="5"/>
    </row>
    <row r="4" spans="1:2" x14ac:dyDescent="0.3">
      <c r="A4" s="5" t="s">
        <v>19</v>
      </c>
      <c r="B4" s="5">
        <v>2019</v>
      </c>
    </row>
    <row r="5" spans="1:2" hidden="1" x14ac:dyDescent="0.3">
      <c r="A5" s="5" t="s">
        <v>0</v>
      </c>
      <c r="B5" s="5">
        <v>2021</v>
      </c>
    </row>
    <row r="6" spans="1:2" hidden="1" x14ac:dyDescent="0.3">
      <c r="A6" s="5" t="s">
        <v>20</v>
      </c>
      <c r="B6" s="5">
        <v>2022</v>
      </c>
    </row>
    <row r="7" spans="1:2" hidden="1" x14ac:dyDescent="0.3">
      <c r="A7" s="5" t="s">
        <v>1</v>
      </c>
      <c r="B7" s="5">
        <v>2022</v>
      </c>
    </row>
    <row r="8" spans="1:2" hidden="1" x14ac:dyDescent="0.3">
      <c r="A8" s="5" t="s">
        <v>29</v>
      </c>
      <c r="B8" s="5"/>
    </row>
    <row r="9" spans="1:2" hidden="1" x14ac:dyDescent="0.3">
      <c r="A9" s="5" t="s">
        <v>2</v>
      </c>
      <c r="B9" s="5">
        <v>2022</v>
      </c>
    </row>
    <row r="10" spans="1:2" hidden="1" x14ac:dyDescent="0.3">
      <c r="A10" s="5" t="s">
        <v>24</v>
      </c>
      <c r="B10" s="5">
        <v>2022</v>
      </c>
    </row>
    <row r="11" spans="1:2" hidden="1" x14ac:dyDescent="0.3">
      <c r="A11" s="5" t="s">
        <v>30</v>
      </c>
      <c r="B11" s="5"/>
    </row>
    <row r="12" spans="1:2" hidden="1" x14ac:dyDescent="0.3">
      <c r="A12" s="5" t="s">
        <v>26</v>
      </c>
      <c r="B12" s="5">
        <v>2022</v>
      </c>
    </row>
    <row r="13" spans="1:2" hidden="1" x14ac:dyDescent="0.3">
      <c r="A13" s="5" t="s">
        <v>31</v>
      </c>
      <c r="B13" s="5"/>
    </row>
    <row r="14" spans="1:2" hidden="1" x14ac:dyDescent="0.3">
      <c r="A14" s="5" t="s">
        <v>3</v>
      </c>
      <c r="B14" s="5">
        <v>2022</v>
      </c>
    </row>
    <row r="15" spans="1:2" hidden="1" x14ac:dyDescent="0.3">
      <c r="A15" s="5" t="s">
        <v>4</v>
      </c>
      <c r="B15" s="5">
        <v>2018</v>
      </c>
    </row>
    <row r="16" spans="1:2" hidden="1" x14ac:dyDescent="0.3">
      <c r="A16" s="5" t="s">
        <v>5</v>
      </c>
      <c r="B16" s="5">
        <v>2022</v>
      </c>
    </row>
    <row r="17" spans="1:2" hidden="1" x14ac:dyDescent="0.3">
      <c r="A17" s="5" t="s">
        <v>32</v>
      </c>
      <c r="B17" s="5"/>
    </row>
    <row r="18" spans="1:2" hidden="1" x14ac:dyDescent="0.3">
      <c r="A18" s="5" t="s">
        <v>21</v>
      </c>
      <c r="B18" s="5">
        <v>2022</v>
      </c>
    </row>
    <row r="19" spans="1:2" hidden="1" x14ac:dyDescent="0.3">
      <c r="A19" s="5" t="s">
        <v>6</v>
      </c>
      <c r="B19" s="5">
        <v>2022</v>
      </c>
    </row>
    <row r="20" spans="1:2" hidden="1" x14ac:dyDescent="0.3">
      <c r="A20" s="5" t="s">
        <v>33</v>
      </c>
      <c r="B20" s="5"/>
    </row>
    <row r="21" spans="1:2" hidden="1" x14ac:dyDescent="0.3">
      <c r="A21" s="5" t="s">
        <v>34</v>
      </c>
      <c r="B21" s="5"/>
    </row>
    <row r="22" spans="1:2" hidden="1" x14ac:dyDescent="0.3">
      <c r="A22" s="5" t="s">
        <v>25</v>
      </c>
      <c r="B22" s="5">
        <v>2022</v>
      </c>
    </row>
    <row r="23" spans="1:2" hidden="1" x14ac:dyDescent="0.3">
      <c r="A23" s="5" t="s">
        <v>35</v>
      </c>
      <c r="B23" s="5"/>
    </row>
    <row r="24" spans="1:2" hidden="1" x14ac:dyDescent="0.3">
      <c r="A24" s="5" t="s">
        <v>7</v>
      </c>
      <c r="B24" s="5">
        <v>2022</v>
      </c>
    </row>
    <row r="25" spans="1:2" hidden="1" x14ac:dyDescent="0.3">
      <c r="A25" s="5" t="s">
        <v>36</v>
      </c>
      <c r="B25" s="5"/>
    </row>
    <row r="26" spans="1:2" hidden="1" x14ac:dyDescent="0.3">
      <c r="A26" s="5" t="s">
        <v>37</v>
      </c>
      <c r="B26" s="5"/>
    </row>
    <row r="27" spans="1:2" hidden="1" x14ac:dyDescent="0.3">
      <c r="A27" s="5" t="s">
        <v>8</v>
      </c>
      <c r="B27" s="5">
        <v>2018</v>
      </c>
    </row>
    <row r="28" spans="1:2" hidden="1" x14ac:dyDescent="0.3">
      <c r="A28" s="5" t="s">
        <v>38</v>
      </c>
      <c r="B28" s="5"/>
    </row>
    <row r="29" spans="1:2" hidden="1" x14ac:dyDescent="0.3">
      <c r="A29" s="5" t="s">
        <v>9</v>
      </c>
      <c r="B29" s="5">
        <v>2022</v>
      </c>
    </row>
    <row r="30" spans="1:2" hidden="1" x14ac:dyDescent="0.3">
      <c r="A30" s="5" t="s">
        <v>39</v>
      </c>
      <c r="B30" s="5"/>
    </row>
    <row r="31" spans="1:2" hidden="1" x14ac:dyDescent="0.3">
      <c r="A31" s="5" t="s">
        <v>40</v>
      </c>
      <c r="B31" s="5"/>
    </row>
    <row r="32" spans="1:2" hidden="1" x14ac:dyDescent="0.3">
      <c r="A32" s="5" t="s">
        <v>10</v>
      </c>
      <c r="B32" s="5">
        <v>2022</v>
      </c>
    </row>
    <row r="33" spans="1:2" hidden="1" x14ac:dyDescent="0.3">
      <c r="A33" s="5" t="s">
        <v>41</v>
      </c>
      <c r="B33" s="5"/>
    </row>
    <row r="34" spans="1:2" hidden="1" x14ac:dyDescent="0.3">
      <c r="A34" s="5" t="s">
        <v>42</v>
      </c>
      <c r="B34" s="5"/>
    </row>
    <row r="35" spans="1:2" hidden="1" x14ac:dyDescent="0.3">
      <c r="A35" s="5" t="s">
        <v>27</v>
      </c>
      <c r="B35" s="5">
        <v>2022</v>
      </c>
    </row>
    <row r="36" spans="1:2" hidden="1" x14ac:dyDescent="0.3">
      <c r="A36" s="5" t="s">
        <v>43</v>
      </c>
      <c r="B36" s="5"/>
    </row>
    <row r="37" spans="1:2" hidden="1" x14ac:dyDescent="0.3">
      <c r="A37" s="5" t="s">
        <v>22</v>
      </c>
      <c r="B37" s="5">
        <v>2022</v>
      </c>
    </row>
    <row r="38" spans="1:2" hidden="1" x14ac:dyDescent="0.3">
      <c r="A38" s="5" t="s">
        <v>11</v>
      </c>
      <c r="B38" s="5">
        <v>2020</v>
      </c>
    </row>
    <row r="39" spans="1:2" hidden="1" x14ac:dyDescent="0.3">
      <c r="A39" s="5" t="s">
        <v>44</v>
      </c>
      <c r="B39" s="5"/>
    </row>
    <row r="40" spans="1:2" hidden="1" x14ac:dyDescent="0.3">
      <c r="A40" s="5" t="s">
        <v>45</v>
      </c>
      <c r="B40" s="5"/>
    </row>
    <row r="41" spans="1:2" hidden="1" x14ac:dyDescent="0.3">
      <c r="A41" s="5" t="s">
        <v>12</v>
      </c>
      <c r="B41" s="5">
        <v>2022</v>
      </c>
    </row>
    <row r="42" spans="1:2" hidden="1" x14ac:dyDescent="0.3">
      <c r="A42" s="5" t="s">
        <v>13</v>
      </c>
      <c r="B42" s="5">
        <v>2022</v>
      </c>
    </row>
    <row r="43" spans="1:2" hidden="1" x14ac:dyDescent="0.3">
      <c r="A43" s="5" t="s">
        <v>23</v>
      </c>
      <c r="B43" s="5">
        <v>2022</v>
      </c>
    </row>
    <row r="44" spans="1:2" hidden="1" x14ac:dyDescent="0.3">
      <c r="A44" s="5" t="s">
        <v>14</v>
      </c>
      <c r="B44" s="5">
        <v>2022</v>
      </c>
    </row>
    <row r="45" spans="1:2" hidden="1" x14ac:dyDescent="0.3">
      <c r="A45" s="5" t="s">
        <v>46</v>
      </c>
      <c r="B45" s="5"/>
    </row>
    <row r="46" spans="1:2" hidden="1" x14ac:dyDescent="0.3">
      <c r="A46" s="5" t="s">
        <v>15</v>
      </c>
      <c r="B46" s="5">
        <v>2018</v>
      </c>
    </row>
    <row r="47" spans="1:2" hidden="1" x14ac:dyDescent="0.3">
      <c r="A47" s="5" t="s">
        <v>16</v>
      </c>
      <c r="B47" s="5">
        <v>2018</v>
      </c>
    </row>
    <row r="48" spans="1:2" hidden="1" x14ac:dyDescent="0.3">
      <c r="A48" s="5" t="s">
        <v>17</v>
      </c>
      <c r="B48" s="5">
        <v>2022</v>
      </c>
    </row>
    <row r="49" spans="1:2" hidden="1" x14ac:dyDescent="0.3">
      <c r="A49" s="5" t="s">
        <v>18</v>
      </c>
      <c r="B49" s="5">
        <v>2022</v>
      </c>
    </row>
  </sheetData>
  <autoFilter ref="A1:B49" xr:uid="{6BFBACFD-96E8-4126-931C-BE1B9938C377}">
    <filterColumn colId="1">
      <filters>
        <filter val="2019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876E-A0CA-4CFE-847B-E9916916DB8F}">
  <dimension ref="A1:N28"/>
  <sheetViews>
    <sheetView topLeftCell="A46" workbookViewId="0">
      <selection activeCell="D25" sqref="D25"/>
    </sheetView>
  </sheetViews>
  <sheetFormatPr defaultRowHeight="14.5" x14ac:dyDescent="0.35"/>
  <cols>
    <col min="2" max="2" width="12.26953125" customWidth="1"/>
    <col min="3" max="3" width="12.1796875" customWidth="1"/>
    <col min="4" max="4" width="13.36328125" customWidth="1"/>
    <col min="5" max="5" width="12.54296875" customWidth="1"/>
    <col min="6" max="7" width="15" customWidth="1"/>
  </cols>
  <sheetData>
    <row r="1" spans="1:14" x14ac:dyDescent="0.35">
      <c r="D1" t="s">
        <v>73</v>
      </c>
      <c r="J1" t="s">
        <v>74</v>
      </c>
    </row>
    <row r="2" spans="1:14" s="22" customFormat="1" ht="87" x14ac:dyDescent="0.35">
      <c r="A2" s="22" t="s">
        <v>47</v>
      </c>
      <c r="B2" s="22" t="s">
        <v>66</v>
      </c>
      <c r="C2" s="22" t="s">
        <v>67</v>
      </c>
      <c r="D2" s="22" t="s">
        <v>68</v>
      </c>
      <c r="E2" s="22" t="s">
        <v>69</v>
      </c>
      <c r="F2" s="22" t="s">
        <v>70</v>
      </c>
      <c r="G2" s="22" t="s">
        <v>71</v>
      </c>
      <c r="H2" s="22" t="s">
        <v>72</v>
      </c>
      <c r="I2" s="22" t="s">
        <v>66</v>
      </c>
      <c r="J2" s="22" t="s">
        <v>67</v>
      </c>
      <c r="K2" s="22" t="s">
        <v>68</v>
      </c>
      <c r="L2" s="22" t="s">
        <v>69</v>
      </c>
      <c r="M2" s="22" t="s">
        <v>70</v>
      </c>
      <c r="N2" s="22" t="s">
        <v>71</v>
      </c>
    </row>
    <row r="3" spans="1:14" x14ac:dyDescent="0.35">
      <c r="A3" t="s">
        <v>65</v>
      </c>
      <c r="B3">
        <v>989</v>
      </c>
      <c r="C3">
        <v>35839</v>
      </c>
      <c r="D3">
        <v>35402</v>
      </c>
      <c r="E3">
        <v>16936</v>
      </c>
      <c r="F3">
        <v>6573</v>
      </c>
      <c r="G3">
        <v>1720</v>
      </c>
      <c r="H3">
        <f>SUM(B3:G3)</f>
        <v>97459</v>
      </c>
      <c r="I3">
        <f>B3/H3</f>
        <v>1.0147857047578982E-2</v>
      </c>
      <c r="J3">
        <f>C3/H3</f>
        <v>0.36773412409320844</v>
      </c>
      <c r="K3">
        <f>D3/H3</f>
        <v>0.36325018725823166</v>
      </c>
      <c r="L3">
        <f>E3/H3</f>
        <v>0.1737756389866508</v>
      </c>
      <c r="M3">
        <f>F3/H3</f>
        <v>6.744374557506233E-2</v>
      </c>
      <c r="N3">
        <f>G3/H3</f>
        <v>1.7648447039267795E-2</v>
      </c>
    </row>
    <row r="4" spans="1:14" x14ac:dyDescent="0.35">
      <c r="A4" t="s">
        <v>20</v>
      </c>
      <c r="B4">
        <v>0</v>
      </c>
      <c r="C4">
        <v>1138</v>
      </c>
      <c r="D4">
        <v>1088</v>
      </c>
      <c r="E4">
        <v>112</v>
      </c>
      <c r="F4">
        <v>33</v>
      </c>
      <c r="G4">
        <v>1</v>
      </c>
      <c r="H4">
        <f t="shared" ref="H4:H28" si="0">SUM(B4:G4)</f>
        <v>2372</v>
      </c>
      <c r="I4">
        <f t="shared" ref="I4:I28" si="1">B4/H4</f>
        <v>0</v>
      </c>
      <c r="J4">
        <f t="shared" ref="J4:J28" si="2">C4/H4</f>
        <v>0.4797639123102867</v>
      </c>
      <c r="K4">
        <f t="shared" ref="K4:K28" si="3">D4/H4</f>
        <v>0.45868465430016864</v>
      </c>
      <c r="L4">
        <f t="shared" ref="L4:L28" si="4">E4/H4</f>
        <v>4.7217537942664416E-2</v>
      </c>
      <c r="M4">
        <f t="shared" ref="M4:M28" si="5">F4/H4</f>
        <v>1.3912310286677909E-2</v>
      </c>
      <c r="N4">
        <f t="shared" ref="N4:N28" si="6">G4/H4</f>
        <v>4.2158516020236085E-4</v>
      </c>
    </row>
    <row r="5" spans="1:14" x14ac:dyDescent="0.35">
      <c r="A5" t="s">
        <v>1</v>
      </c>
      <c r="C5">
        <v>483</v>
      </c>
      <c r="D5">
        <v>323</v>
      </c>
      <c r="E5">
        <v>121</v>
      </c>
      <c r="F5">
        <v>52</v>
      </c>
      <c r="G5">
        <v>14</v>
      </c>
      <c r="H5">
        <f t="shared" si="0"/>
        <v>993</v>
      </c>
      <c r="I5">
        <f t="shared" si="1"/>
        <v>0</v>
      </c>
      <c r="J5">
        <f t="shared" si="2"/>
        <v>0.48640483383685801</v>
      </c>
      <c r="K5">
        <f t="shared" si="3"/>
        <v>0.3252769385699899</v>
      </c>
      <c r="L5">
        <f t="shared" si="4"/>
        <v>0.12185297079556898</v>
      </c>
      <c r="M5">
        <f t="shared" si="5"/>
        <v>5.2366565961732128E-2</v>
      </c>
      <c r="N5">
        <f t="shared" si="6"/>
        <v>1.4098690835850957E-2</v>
      </c>
    </row>
    <row r="6" spans="1:14" x14ac:dyDescent="0.35">
      <c r="A6" t="s">
        <v>2</v>
      </c>
      <c r="B6">
        <v>0</v>
      </c>
      <c r="C6">
        <v>920</v>
      </c>
      <c r="D6">
        <v>1757</v>
      </c>
      <c r="E6">
        <v>1583</v>
      </c>
      <c r="F6">
        <v>640</v>
      </c>
      <c r="G6">
        <v>29</v>
      </c>
      <c r="H6">
        <f t="shared" si="0"/>
        <v>4929</v>
      </c>
      <c r="I6">
        <f t="shared" si="1"/>
        <v>0</v>
      </c>
      <c r="J6">
        <f t="shared" si="2"/>
        <v>0.18665043619395416</v>
      </c>
      <c r="K6">
        <f t="shared" si="3"/>
        <v>0.3564617569486711</v>
      </c>
      <c r="L6">
        <f t="shared" si="4"/>
        <v>0.32116047879894499</v>
      </c>
      <c r="M6">
        <f t="shared" si="5"/>
        <v>0.12984378170014202</v>
      </c>
      <c r="N6">
        <f t="shared" si="6"/>
        <v>5.883546358287685E-3</v>
      </c>
    </row>
    <row r="7" spans="1:14" x14ac:dyDescent="0.35">
      <c r="A7" t="s">
        <v>24</v>
      </c>
      <c r="B7">
        <v>15</v>
      </c>
      <c r="C7">
        <v>1889</v>
      </c>
      <c r="D7">
        <v>1240</v>
      </c>
      <c r="E7">
        <v>454</v>
      </c>
      <c r="F7">
        <v>156</v>
      </c>
      <c r="G7">
        <v>8</v>
      </c>
      <c r="H7">
        <f t="shared" si="0"/>
        <v>3762</v>
      </c>
      <c r="I7">
        <f t="shared" si="1"/>
        <v>3.9872408293460922E-3</v>
      </c>
      <c r="J7">
        <f t="shared" si="2"/>
        <v>0.50212652844231787</v>
      </c>
      <c r="K7">
        <f t="shared" si="3"/>
        <v>0.32961190855927697</v>
      </c>
      <c r="L7">
        <f t="shared" si="4"/>
        <v>0.12068048910154174</v>
      </c>
      <c r="M7">
        <f t="shared" si="5"/>
        <v>4.1467304625199361E-2</v>
      </c>
      <c r="N7">
        <f t="shared" si="6"/>
        <v>2.1265284423179162E-3</v>
      </c>
    </row>
    <row r="8" spans="1:14" x14ac:dyDescent="0.35">
      <c r="A8" t="s">
        <v>26</v>
      </c>
      <c r="C8">
        <v>464</v>
      </c>
      <c r="D8">
        <v>312</v>
      </c>
      <c r="E8">
        <v>121</v>
      </c>
      <c r="F8">
        <v>137</v>
      </c>
      <c r="G8">
        <v>8</v>
      </c>
      <c r="H8">
        <f t="shared" si="0"/>
        <v>1042</v>
      </c>
      <c r="I8">
        <f t="shared" si="1"/>
        <v>0</v>
      </c>
      <c r="J8">
        <f t="shared" si="2"/>
        <v>0.44529750479846447</v>
      </c>
      <c r="K8">
        <f t="shared" si="3"/>
        <v>0.29942418426103645</v>
      </c>
      <c r="L8">
        <f t="shared" si="4"/>
        <v>0.11612284069097889</v>
      </c>
      <c r="M8">
        <f t="shared" si="5"/>
        <v>0.13147792706333974</v>
      </c>
      <c r="N8">
        <f t="shared" si="6"/>
        <v>7.677543186180422E-3</v>
      </c>
    </row>
    <row r="9" spans="1:14" x14ac:dyDescent="0.35">
      <c r="A9" t="s">
        <v>3</v>
      </c>
      <c r="B9">
        <v>11</v>
      </c>
      <c r="C9">
        <v>539</v>
      </c>
      <c r="D9">
        <v>801</v>
      </c>
      <c r="E9">
        <v>713</v>
      </c>
      <c r="F9">
        <v>452</v>
      </c>
      <c r="G9">
        <v>128</v>
      </c>
      <c r="H9">
        <f t="shared" si="0"/>
        <v>2644</v>
      </c>
      <c r="I9">
        <f t="shared" si="1"/>
        <v>4.1603630862329802E-3</v>
      </c>
      <c r="J9">
        <f t="shared" si="2"/>
        <v>0.20385779122541603</v>
      </c>
      <c r="K9">
        <f t="shared" si="3"/>
        <v>0.30295007564296522</v>
      </c>
      <c r="L9">
        <f t="shared" si="4"/>
        <v>0.26966717095310139</v>
      </c>
      <c r="M9">
        <f t="shared" si="5"/>
        <v>0.17095310136157338</v>
      </c>
      <c r="N9">
        <f t="shared" si="6"/>
        <v>4.8411497730711045E-2</v>
      </c>
    </row>
    <row r="10" spans="1:14" x14ac:dyDescent="0.35">
      <c r="A10" t="s">
        <v>5</v>
      </c>
      <c r="C10">
        <v>175</v>
      </c>
      <c r="H10">
        <f t="shared" si="0"/>
        <v>175</v>
      </c>
      <c r="I10">
        <f t="shared" si="1"/>
        <v>0</v>
      </c>
      <c r="J10">
        <f t="shared" si="2"/>
        <v>1</v>
      </c>
      <c r="K10">
        <f t="shared" si="3"/>
        <v>0</v>
      </c>
      <c r="L10">
        <f t="shared" si="4"/>
        <v>0</v>
      </c>
      <c r="M10">
        <f t="shared" si="5"/>
        <v>0</v>
      </c>
      <c r="N10">
        <f t="shared" si="6"/>
        <v>0</v>
      </c>
    </row>
    <row r="11" spans="1:14" x14ac:dyDescent="0.35">
      <c r="A11" t="s">
        <v>21</v>
      </c>
      <c r="B11">
        <v>0</v>
      </c>
      <c r="C11">
        <v>248</v>
      </c>
      <c r="D11">
        <v>258</v>
      </c>
      <c r="E11">
        <v>379</v>
      </c>
      <c r="F11">
        <v>224</v>
      </c>
      <c r="G11">
        <v>28</v>
      </c>
      <c r="H11">
        <f t="shared" si="0"/>
        <v>1137</v>
      </c>
      <c r="I11">
        <f t="shared" si="1"/>
        <v>0</v>
      </c>
      <c r="J11">
        <f t="shared" si="2"/>
        <v>0.21811785400175901</v>
      </c>
      <c r="K11">
        <f t="shared" si="3"/>
        <v>0.22691292875989447</v>
      </c>
      <c r="L11">
        <f t="shared" si="4"/>
        <v>0.33333333333333331</v>
      </c>
      <c r="M11">
        <f t="shared" si="5"/>
        <v>0.19700967458223395</v>
      </c>
      <c r="N11">
        <f t="shared" si="6"/>
        <v>2.4626209322779244E-2</v>
      </c>
    </row>
    <row r="12" spans="1:14" x14ac:dyDescent="0.35">
      <c r="A12" t="s">
        <v>6</v>
      </c>
      <c r="B12">
        <v>2</v>
      </c>
      <c r="C12">
        <v>1715</v>
      </c>
      <c r="D12">
        <v>1942</v>
      </c>
      <c r="E12">
        <v>512</v>
      </c>
      <c r="F12">
        <v>184</v>
      </c>
      <c r="G12">
        <v>3</v>
      </c>
      <c r="H12">
        <f t="shared" si="0"/>
        <v>4358</v>
      </c>
      <c r="I12">
        <f t="shared" si="1"/>
        <v>4.5892611289582378E-4</v>
      </c>
      <c r="J12">
        <f t="shared" si="2"/>
        <v>0.39352914180816889</v>
      </c>
      <c r="K12">
        <f t="shared" si="3"/>
        <v>0.4456172556218449</v>
      </c>
      <c r="L12">
        <f t="shared" si="4"/>
        <v>0.11748508490133089</v>
      </c>
      <c r="M12">
        <f t="shared" si="5"/>
        <v>4.2221202386415788E-2</v>
      </c>
      <c r="N12">
        <f t="shared" si="6"/>
        <v>6.8838916934373562E-4</v>
      </c>
    </row>
    <row r="13" spans="1:14" x14ac:dyDescent="0.35">
      <c r="A13" t="s">
        <v>25</v>
      </c>
      <c r="B13">
        <v>0</v>
      </c>
      <c r="C13">
        <v>229</v>
      </c>
      <c r="D13">
        <v>143</v>
      </c>
      <c r="E13">
        <v>41</v>
      </c>
      <c r="F13">
        <v>19</v>
      </c>
      <c r="G13">
        <v>5</v>
      </c>
      <c r="H13">
        <f t="shared" si="0"/>
        <v>437</v>
      </c>
      <c r="I13">
        <f t="shared" si="1"/>
        <v>0</v>
      </c>
      <c r="J13">
        <f t="shared" si="2"/>
        <v>0.52402745995423339</v>
      </c>
      <c r="K13">
        <f t="shared" si="3"/>
        <v>0.32723112128146453</v>
      </c>
      <c r="L13">
        <f t="shared" si="4"/>
        <v>9.3821510297482841E-2</v>
      </c>
      <c r="M13">
        <f t="shared" si="5"/>
        <v>4.3478260869565216E-2</v>
      </c>
      <c r="N13">
        <f t="shared" si="6"/>
        <v>1.1441647597254004E-2</v>
      </c>
    </row>
    <row r="14" spans="1:14" x14ac:dyDescent="0.35">
      <c r="A14" t="s">
        <v>7</v>
      </c>
      <c r="B14">
        <v>5</v>
      </c>
      <c r="C14">
        <v>1600</v>
      </c>
      <c r="D14">
        <v>2699</v>
      </c>
      <c r="E14">
        <v>941</v>
      </c>
      <c r="F14">
        <v>243</v>
      </c>
      <c r="G14">
        <v>6</v>
      </c>
      <c r="H14">
        <f t="shared" si="0"/>
        <v>5494</v>
      </c>
      <c r="I14">
        <f t="shared" si="1"/>
        <v>9.1008372770294869E-4</v>
      </c>
      <c r="J14">
        <f t="shared" si="2"/>
        <v>0.29122679286494357</v>
      </c>
      <c r="K14">
        <f t="shared" si="3"/>
        <v>0.49126319621405168</v>
      </c>
      <c r="L14">
        <f t="shared" si="4"/>
        <v>0.17127775755369495</v>
      </c>
      <c r="M14">
        <f t="shared" si="5"/>
        <v>4.4230069166363309E-2</v>
      </c>
      <c r="N14">
        <f t="shared" si="6"/>
        <v>1.0921004732435385E-3</v>
      </c>
    </row>
    <row r="15" spans="1:14" x14ac:dyDescent="0.35">
      <c r="A15" t="s">
        <v>9</v>
      </c>
      <c r="B15">
        <v>6</v>
      </c>
      <c r="C15">
        <v>784</v>
      </c>
      <c r="D15">
        <v>897</v>
      </c>
      <c r="E15">
        <v>416</v>
      </c>
      <c r="F15">
        <v>193</v>
      </c>
      <c r="G15">
        <v>50</v>
      </c>
      <c r="H15">
        <f t="shared" si="0"/>
        <v>2346</v>
      </c>
      <c r="I15">
        <f t="shared" si="1"/>
        <v>2.5575447570332483E-3</v>
      </c>
      <c r="J15">
        <f t="shared" si="2"/>
        <v>0.33418584825234443</v>
      </c>
      <c r="K15">
        <f t="shared" si="3"/>
        <v>0.38235294117647056</v>
      </c>
      <c r="L15">
        <f t="shared" si="4"/>
        <v>0.17732310315430519</v>
      </c>
      <c r="M15">
        <f t="shared" si="5"/>
        <v>8.2267689684569476E-2</v>
      </c>
      <c r="N15">
        <f t="shared" si="6"/>
        <v>2.1312872975277068E-2</v>
      </c>
    </row>
    <row r="16" spans="1:14" x14ac:dyDescent="0.35">
      <c r="A16" t="s">
        <v>10</v>
      </c>
      <c r="B16">
        <v>61</v>
      </c>
      <c r="C16">
        <v>392</v>
      </c>
      <c r="D16">
        <v>331</v>
      </c>
      <c r="E16">
        <v>213</v>
      </c>
      <c r="F16">
        <v>30</v>
      </c>
      <c r="G16">
        <v>13</v>
      </c>
      <c r="H16">
        <f t="shared" si="0"/>
        <v>1040</v>
      </c>
      <c r="I16">
        <f t="shared" si="1"/>
        <v>5.8653846153846154E-2</v>
      </c>
      <c r="J16">
        <f t="shared" si="2"/>
        <v>0.37692307692307692</v>
      </c>
      <c r="K16">
        <f t="shared" si="3"/>
        <v>0.31826923076923075</v>
      </c>
      <c r="L16">
        <f t="shared" si="4"/>
        <v>0.2048076923076923</v>
      </c>
      <c r="M16">
        <f t="shared" si="5"/>
        <v>2.8846153846153848E-2</v>
      </c>
      <c r="N16">
        <f t="shared" si="6"/>
        <v>1.2500000000000001E-2</v>
      </c>
    </row>
    <row r="17" spans="1:14" x14ac:dyDescent="0.35">
      <c r="A17" t="s">
        <v>27</v>
      </c>
      <c r="B17">
        <v>860</v>
      </c>
      <c r="C17">
        <v>21366</v>
      </c>
      <c r="D17">
        <v>19365</v>
      </c>
      <c r="E17">
        <v>8834</v>
      </c>
      <c r="F17">
        <v>3461</v>
      </c>
      <c r="G17">
        <v>1088</v>
      </c>
      <c r="H17">
        <f t="shared" si="0"/>
        <v>54974</v>
      </c>
      <c r="I17">
        <f t="shared" si="1"/>
        <v>1.5643758867828428E-2</v>
      </c>
      <c r="J17">
        <f t="shared" si="2"/>
        <v>0.38865645577909558</v>
      </c>
      <c r="K17">
        <f t="shared" si="3"/>
        <v>0.35225743078546223</v>
      </c>
      <c r="L17">
        <f t="shared" si="4"/>
        <v>0.16069414632371667</v>
      </c>
      <c r="M17">
        <f t="shared" si="5"/>
        <v>6.2957034234365342E-2</v>
      </c>
      <c r="N17">
        <f t="shared" si="6"/>
        <v>1.979117400953178E-2</v>
      </c>
    </row>
    <row r="18" spans="1:14" x14ac:dyDescent="0.35">
      <c r="A18" t="s">
        <v>22</v>
      </c>
      <c r="B18">
        <v>1</v>
      </c>
      <c r="C18">
        <v>338</v>
      </c>
      <c r="D18">
        <v>247</v>
      </c>
      <c r="E18">
        <v>64</v>
      </c>
      <c r="F18">
        <v>48</v>
      </c>
      <c r="G18">
        <v>5</v>
      </c>
      <c r="H18">
        <f t="shared" si="0"/>
        <v>703</v>
      </c>
      <c r="I18">
        <f t="shared" si="1"/>
        <v>1.4224751066856331E-3</v>
      </c>
      <c r="J18">
        <f t="shared" si="2"/>
        <v>0.48079658605974396</v>
      </c>
      <c r="K18">
        <f t="shared" si="3"/>
        <v>0.35135135135135137</v>
      </c>
      <c r="L18">
        <f t="shared" si="4"/>
        <v>9.1038406827880516E-2</v>
      </c>
      <c r="M18">
        <f t="shared" si="5"/>
        <v>6.8278805120910391E-2</v>
      </c>
      <c r="N18">
        <f t="shared" si="6"/>
        <v>7.1123755334281651E-3</v>
      </c>
    </row>
    <row r="19" spans="1:14" x14ac:dyDescent="0.35">
      <c r="A19" t="s">
        <v>12</v>
      </c>
      <c r="C19">
        <v>116</v>
      </c>
      <c r="D19">
        <v>691</v>
      </c>
      <c r="H19">
        <f t="shared" si="0"/>
        <v>807</v>
      </c>
      <c r="I19">
        <f t="shared" si="1"/>
        <v>0</v>
      </c>
      <c r="J19">
        <f t="shared" si="2"/>
        <v>0.14374225526641884</v>
      </c>
      <c r="K19">
        <f t="shared" si="3"/>
        <v>0.85625774473358118</v>
      </c>
      <c r="L19">
        <f t="shared" si="4"/>
        <v>0</v>
      </c>
      <c r="M19">
        <f t="shared" si="5"/>
        <v>0</v>
      </c>
      <c r="N19">
        <f t="shared" si="6"/>
        <v>0</v>
      </c>
    </row>
    <row r="20" spans="1:14" x14ac:dyDescent="0.35">
      <c r="A20" t="s">
        <v>13</v>
      </c>
      <c r="C20">
        <v>9</v>
      </c>
      <c r="D20">
        <v>15</v>
      </c>
      <c r="E20">
        <v>17</v>
      </c>
      <c r="F20">
        <v>9</v>
      </c>
      <c r="G20">
        <v>7</v>
      </c>
      <c r="H20">
        <f t="shared" si="0"/>
        <v>57</v>
      </c>
      <c r="I20">
        <f t="shared" si="1"/>
        <v>0</v>
      </c>
      <c r="J20">
        <f t="shared" si="2"/>
        <v>0.15789473684210525</v>
      </c>
      <c r="K20">
        <f t="shared" si="3"/>
        <v>0.26315789473684209</v>
      </c>
      <c r="L20">
        <f t="shared" si="4"/>
        <v>0.2982456140350877</v>
      </c>
      <c r="M20">
        <f t="shared" si="5"/>
        <v>0.15789473684210525</v>
      </c>
      <c r="N20">
        <f t="shared" si="6"/>
        <v>0.12280701754385964</v>
      </c>
    </row>
    <row r="21" spans="1:14" x14ac:dyDescent="0.35">
      <c r="A21" t="s">
        <v>23</v>
      </c>
      <c r="B21">
        <v>3</v>
      </c>
      <c r="C21">
        <v>880</v>
      </c>
      <c r="D21">
        <v>424</v>
      </c>
      <c r="E21">
        <v>129</v>
      </c>
      <c r="F21">
        <v>73</v>
      </c>
      <c r="G21">
        <v>0</v>
      </c>
      <c r="H21">
        <f t="shared" si="0"/>
        <v>1509</v>
      </c>
      <c r="I21">
        <f t="shared" si="1"/>
        <v>1.9880715705765406E-3</v>
      </c>
      <c r="J21">
        <f t="shared" si="2"/>
        <v>0.58316766070245196</v>
      </c>
      <c r="K21">
        <f t="shared" si="3"/>
        <v>0.28098078197481774</v>
      </c>
      <c r="L21">
        <f t="shared" si="4"/>
        <v>8.5487077534791248E-2</v>
      </c>
      <c r="M21">
        <f t="shared" si="5"/>
        <v>4.8376408217362492E-2</v>
      </c>
      <c r="N21">
        <f t="shared" si="6"/>
        <v>0</v>
      </c>
    </row>
    <row r="22" spans="1:14" x14ac:dyDescent="0.35">
      <c r="A22" t="s">
        <v>14</v>
      </c>
      <c r="B22">
        <v>3</v>
      </c>
      <c r="C22">
        <v>213</v>
      </c>
      <c r="D22">
        <v>267</v>
      </c>
      <c r="E22">
        <v>155</v>
      </c>
      <c r="F22">
        <v>64</v>
      </c>
      <c r="G22">
        <v>28</v>
      </c>
      <c r="H22">
        <f t="shared" si="0"/>
        <v>730</v>
      </c>
      <c r="I22">
        <f t="shared" si="1"/>
        <v>4.10958904109589E-3</v>
      </c>
      <c r="J22">
        <f t="shared" si="2"/>
        <v>0.29178082191780824</v>
      </c>
      <c r="K22">
        <f t="shared" si="3"/>
        <v>0.36575342465753424</v>
      </c>
      <c r="L22">
        <f t="shared" si="4"/>
        <v>0.21232876712328766</v>
      </c>
      <c r="M22">
        <f t="shared" si="5"/>
        <v>8.7671232876712329E-2</v>
      </c>
      <c r="N22">
        <f t="shared" si="6"/>
        <v>3.8356164383561646E-2</v>
      </c>
    </row>
    <row r="23" spans="1:14" x14ac:dyDescent="0.35">
      <c r="A23" t="s">
        <v>17</v>
      </c>
      <c r="B23">
        <v>22</v>
      </c>
      <c r="C23">
        <v>1908</v>
      </c>
      <c r="D23">
        <v>1492</v>
      </c>
      <c r="E23">
        <v>966</v>
      </c>
      <c r="F23">
        <v>555</v>
      </c>
      <c r="G23">
        <v>299</v>
      </c>
      <c r="H23">
        <f t="shared" si="0"/>
        <v>5242</v>
      </c>
      <c r="I23">
        <f t="shared" si="1"/>
        <v>4.1968714231209459E-3</v>
      </c>
      <c r="J23">
        <f t="shared" si="2"/>
        <v>0.36398321251430754</v>
      </c>
      <c r="K23">
        <f t="shared" si="3"/>
        <v>0.28462418924074778</v>
      </c>
      <c r="L23">
        <f t="shared" si="4"/>
        <v>0.18428080885158338</v>
      </c>
      <c r="M23">
        <f t="shared" si="5"/>
        <v>0.10587561999236933</v>
      </c>
      <c r="N23">
        <f t="shared" si="6"/>
        <v>5.7039297977871044E-2</v>
      </c>
    </row>
    <row r="24" spans="1:14" x14ac:dyDescent="0.35">
      <c r="A24" t="s">
        <v>18</v>
      </c>
      <c r="B24">
        <v>0</v>
      </c>
      <c r="C24">
        <v>433</v>
      </c>
      <c r="D24">
        <v>1110</v>
      </c>
      <c r="E24">
        <v>1165</v>
      </c>
      <c r="F24">
        <v>0</v>
      </c>
      <c r="G24">
        <v>0</v>
      </c>
      <c r="H24">
        <f t="shared" si="0"/>
        <v>2708</v>
      </c>
      <c r="I24">
        <f t="shared" si="1"/>
        <v>0</v>
      </c>
      <c r="J24">
        <f t="shared" si="2"/>
        <v>0.15989660265878877</v>
      </c>
      <c r="K24">
        <f t="shared" si="3"/>
        <v>0.4098966026587888</v>
      </c>
      <c r="L24">
        <f t="shared" si="4"/>
        <v>0.43020679468242246</v>
      </c>
      <c r="M24">
        <f t="shared" si="5"/>
        <v>0</v>
      </c>
      <c r="N24">
        <f t="shared" si="6"/>
        <v>0</v>
      </c>
    </row>
    <row r="25" spans="1:14" x14ac:dyDescent="0.35">
      <c r="A25" s="10" t="s">
        <v>0</v>
      </c>
      <c r="B25" s="11">
        <v>34</v>
      </c>
      <c r="C25" s="12">
        <v>1115</v>
      </c>
      <c r="D25" s="12">
        <v>916</v>
      </c>
      <c r="E25" s="12">
        <v>458</v>
      </c>
      <c r="F25" s="12">
        <v>221</v>
      </c>
      <c r="G25" s="13">
        <v>11</v>
      </c>
      <c r="H25">
        <f t="shared" si="0"/>
        <v>2755</v>
      </c>
      <c r="I25">
        <f t="shared" si="1"/>
        <v>1.2341197822141561E-2</v>
      </c>
      <c r="J25">
        <f t="shared" si="2"/>
        <v>0.40471869328493648</v>
      </c>
      <c r="K25">
        <f t="shared" si="3"/>
        <v>0.33248638838475497</v>
      </c>
      <c r="L25">
        <f t="shared" si="4"/>
        <v>0.16624319419237749</v>
      </c>
      <c r="M25">
        <f t="shared" si="5"/>
        <v>8.0217785843920142E-2</v>
      </c>
      <c r="N25">
        <f t="shared" si="6"/>
        <v>3.9927404718693282E-3</v>
      </c>
    </row>
    <row r="26" spans="1:14" s="20" customFormat="1" x14ac:dyDescent="0.35">
      <c r="A26" s="10" t="s">
        <v>11</v>
      </c>
      <c r="B26" s="11"/>
      <c r="C26" s="12">
        <v>150</v>
      </c>
      <c r="D26" s="12"/>
      <c r="E26" s="12"/>
      <c r="F26" s="12"/>
      <c r="G26" s="13"/>
      <c r="H26">
        <f t="shared" si="0"/>
        <v>150</v>
      </c>
      <c r="I26">
        <f t="shared" si="1"/>
        <v>0</v>
      </c>
      <c r="J26">
        <f t="shared" si="2"/>
        <v>1</v>
      </c>
      <c r="K26">
        <f t="shared" si="3"/>
        <v>0</v>
      </c>
      <c r="L26">
        <f t="shared" si="4"/>
        <v>0</v>
      </c>
      <c r="M26">
        <f t="shared" si="5"/>
        <v>0</v>
      </c>
      <c r="N26">
        <f t="shared" si="6"/>
        <v>0</v>
      </c>
    </row>
    <row r="27" spans="1:14" s="20" customFormat="1" x14ac:dyDescent="0.35">
      <c r="A27" s="10" t="s">
        <v>19</v>
      </c>
      <c r="B27" s="11">
        <v>0</v>
      </c>
      <c r="C27" s="12">
        <v>149</v>
      </c>
      <c r="D27" s="12">
        <v>396</v>
      </c>
      <c r="E27" s="12">
        <v>61</v>
      </c>
      <c r="F27" s="12">
        <v>19</v>
      </c>
      <c r="G27" s="13">
        <v>4</v>
      </c>
      <c r="H27">
        <f t="shared" si="0"/>
        <v>629</v>
      </c>
      <c r="I27">
        <f t="shared" si="1"/>
        <v>0</v>
      </c>
      <c r="J27">
        <f t="shared" si="2"/>
        <v>0.23688394276629571</v>
      </c>
      <c r="K27">
        <f t="shared" si="3"/>
        <v>0.62957074721780604</v>
      </c>
      <c r="L27">
        <f t="shared" si="4"/>
        <v>9.6979332273449917E-2</v>
      </c>
      <c r="M27">
        <f t="shared" si="5"/>
        <v>3.0206677265500796E-2</v>
      </c>
      <c r="N27">
        <f t="shared" si="6"/>
        <v>6.3593004769475362E-3</v>
      </c>
    </row>
    <row r="28" spans="1:14" x14ac:dyDescent="0.35">
      <c r="A28" s="10" t="s">
        <v>4</v>
      </c>
      <c r="B28" s="11">
        <v>5956</v>
      </c>
      <c r="C28" s="12">
        <v>21368</v>
      </c>
      <c r="D28" s="12">
        <v>15146</v>
      </c>
      <c r="E28" s="12">
        <v>10017</v>
      </c>
      <c r="F28" s="12">
        <v>12552</v>
      </c>
      <c r="G28" s="13">
        <v>7565</v>
      </c>
      <c r="H28">
        <f t="shared" si="0"/>
        <v>72604</v>
      </c>
      <c r="I28">
        <f t="shared" si="1"/>
        <v>8.2034047710869931E-2</v>
      </c>
      <c r="J28">
        <f t="shared" si="2"/>
        <v>0.29430885350669383</v>
      </c>
      <c r="K28">
        <f t="shared" si="3"/>
        <v>0.20861109580739354</v>
      </c>
      <c r="L28">
        <f t="shared" si="4"/>
        <v>0.13796760509062861</v>
      </c>
      <c r="M28">
        <f t="shared" si="5"/>
        <v>0.17288303674728664</v>
      </c>
      <c r="N28">
        <f t="shared" si="6"/>
        <v>0.10419536113712743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F12D-2F55-47E7-B104-1E1F6A25FDCD}">
  <dimension ref="A1:G219"/>
  <sheetViews>
    <sheetView topLeftCell="A212" workbookViewId="0">
      <selection activeCell="B219" sqref="B219:G219"/>
    </sheetView>
  </sheetViews>
  <sheetFormatPr defaultRowHeight="14.5" x14ac:dyDescent="0.35"/>
  <cols>
    <col min="1" max="1" width="13" customWidth="1"/>
  </cols>
  <sheetData>
    <row r="1" spans="1:7" s="22" customFormat="1" ht="87" x14ac:dyDescent="0.35">
      <c r="A1" s="22" t="s">
        <v>47</v>
      </c>
      <c r="B1" s="22" t="s">
        <v>66</v>
      </c>
      <c r="C1" s="22" t="s">
        <v>67</v>
      </c>
      <c r="D1" s="22" t="s">
        <v>68</v>
      </c>
      <c r="E1" s="22" t="s">
        <v>69</v>
      </c>
      <c r="F1" s="22" t="s">
        <v>70</v>
      </c>
      <c r="G1" s="22" t="s">
        <v>71</v>
      </c>
    </row>
    <row r="2" spans="1:7" x14ac:dyDescent="0.35">
      <c r="A2" t="s">
        <v>75</v>
      </c>
      <c r="B2" s="23">
        <v>1.0147857047578982E-2</v>
      </c>
      <c r="C2" s="23">
        <v>0.36773412409320844</v>
      </c>
      <c r="D2" s="23">
        <v>0.36325018725823166</v>
      </c>
      <c r="E2" s="23">
        <v>0.1737756389866508</v>
      </c>
      <c r="F2" s="23">
        <v>6.744374557506233E-2</v>
      </c>
      <c r="G2" s="23">
        <v>1.7648447039267795E-2</v>
      </c>
    </row>
    <row r="3" spans="1:7" x14ac:dyDescent="0.35">
      <c r="A3" t="s">
        <v>20</v>
      </c>
      <c r="B3" s="23">
        <v>0</v>
      </c>
      <c r="C3" s="23">
        <v>0.4797639123102867</v>
      </c>
      <c r="D3" s="23">
        <v>0.45868465430016864</v>
      </c>
      <c r="E3" s="23">
        <v>4.7217537942664416E-2</v>
      </c>
      <c r="F3" s="23">
        <v>1.3912310286677909E-2</v>
      </c>
      <c r="G3" s="23">
        <v>4.2158516020236085E-4</v>
      </c>
    </row>
    <row r="4" spans="1:7" x14ac:dyDescent="0.35">
      <c r="A4" t="s">
        <v>1</v>
      </c>
      <c r="B4" s="23">
        <v>0</v>
      </c>
      <c r="C4" s="23">
        <v>0.48640483383685801</v>
      </c>
      <c r="D4" s="23">
        <v>0.3252769385699899</v>
      </c>
      <c r="E4" s="23">
        <v>0.12185297079556898</v>
      </c>
      <c r="F4" s="23">
        <v>5.2366565961732128E-2</v>
      </c>
      <c r="G4" s="23">
        <v>1.4098690835850957E-2</v>
      </c>
    </row>
    <row r="5" spans="1:7" x14ac:dyDescent="0.35">
      <c r="A5" t="s">
        <v>2</v>
      </c>
      <c r="B5" s="23">
        <v>0</v>
      </c>
      <c r="C5" s="23">
        <v>0.18665043619395416</v>
      </c>
      <c r="D5" s="23">
        <v>0.3564617569486711</v>
      </c>
      <c r="E5" s="23">
        <v>0.32116047879894499</v>
      </c>
      <c r="F5" s="23">
        <v>0.12984378170014202</v>
      </c>
      <c r="G5" s="23">
        <v>5.883546358287685E-3</v>
      </c>
    </row>
    <row r="6" spans="1:7" x14ac:dyDescent="0.35">
      <c r="A6" t="s">
        <v>24</v>
      </c>
      <c r="B6" s="23">
        <v>3.9872408293460922E-3</v>
      </c>
      <c r="C6" s="23">
        <v>0.50212652844231787</v>
      </c>
      <c r="D6" s="23">
        <v>0.32961190855927697</v>
      </c>
      <c r="E6" s="23">
        <v>0.12068048910154174</v>
      </c>
      <c r="F6" s="23">
        <v>4.1467304625199361E-2</v>
      </c>
      <c r="G6" s="23">
        <v>2.1265284423179162E-3</v>
      </c>
    </row>
    <row r="7" spans="1:7" x14ac:dyDescent="0.35">
      <c r="A7" t="s">
        <v>26</v>
      </c>
      <c r="B7" s="23">
        <v>0</v>
      </c>
      <c r="C7" s="23">
        <v>0.44529750479846447</v>
      </c>
      <c r="D7" s="23">
        <v>0.29942418426103645</v>
      </c>
      <c r="E7" s="23">
        <v>0.11612284069097889</v>
      </c>
      <c r="F7" s="23">
        <v>0.13147792706333974</v>
      </c>
      <c r="G7" s="23">
        <v>7.677543186180422E-3</v>
      </c>
    </row>
    <row r="8" spans="1:7" x14ac:dyDescent="0.35">
      <c r="A8" t="s">
        <v>3</v>
      </c>
      <c r="B8" s="23">
        <v>4.1603630862329802E-3</v>
      </c>
      <c r="C8" s="23">
        <v>0.20385779122541603</v>
      </c>
      <c r="D8" s="23">
        <v>0.30295007564296522</v>
      </c>
      <c r="E8" s="23">
        <v>0.26966717095310139</v>
      </c>
      <c r="F8" s="23">
        <v>0.17095310136157338</v>
      </c>
      <c r="G8" s="23">
        <v>4.8411497730711045E-2</v>
      </c>
    </row>
    <row r="9" spans="1:7" x14ac:dyDescent="0.35">
      <c r="A9" s="24" t="s">
        <v>5</v>
      </c>
      <c r="B9" s="23">
        <v>0</v>
      </c>
      <c r="C9" s="23">
        <v>1</v>
      </c>
      <c r="D9" s="23">
        <v>0</v>
      </c>
      <c r="E9" s="23">
        <v>0</v>
      </c>
      <c r="F9" s="23">
        <v>0</v>
      </c>
      <c r="G9" s="23">
        <v>0</v>
      </c>
    </row>
    <row r="10" spans="1:7" x14ac:dyDescent="0.35">
      <c r="A10" t="s">
        <v>21</v>
      </c>
      <c r="B10" s="23">
        <v>0</v>
      </c>
      <c r="C10" s="23">
        <v>0.21811785400175901</v>
      </c>
      <c r="D10" s="23">
        <v>0.22691292875989447</v>
      </c>
      <c r="E10" s="23">
        <v>0.33333333333333331</v>
      </c>
      <c r="F10" s="23">
        <v>0.19700967458223395</v>
      </c>
      <c r="G10" s="23">
        <v>2.4626209322779244E-2</v>
      </c>
    </row>
    <row r="11" spans="1:7" x14ac:dyDescent="0.35">
      <c r="A11" t="s">
        <v>6</v>
      </c>
      <c r="B11" s="23">
        <v>4.5892611289582378E-4</v>
      </c>
      <c r="C11" s="23">
        <v>0.39352914180816889</v>
      </c>
      <c r="D11" s="23">
        <v>0.4456172556218449</v>
      </c>
      <c r="E11" s="23">
        <v>0.11748508490133089</v>
      </c>
      <c r="F11" s="23">
        <v>4.2221202386415788E-2</v>
      </c>
      <c r="G11" s="23">
        <v>6.8838916934373562E-4</v>
      </c>
    </row>
    <row r="12" spans="1:7" x14ac:dyDescent="0.35">
      <c r="A12" t="s">
        <v>25</v>
      </c>
      <c r="B12" s="23">
        <v>0</v>
      </c>
      <c r="C12" s="23">
        <v>0.52402745995423339</v>
      </c>
      <c r="D12" s="23">
        <v>0.32723112128146453</v>
      </c>
      <c r="E12" s="23">
        <v>9.3821510297482841E-2</v>
      </c>
      <c r="F12" s="23">
        <v>4.3478260869565216E-2</v>
      </c>
      <c r="G12" s="23">
        <v>1.1441647597254004E-2</v>
      </c>
    </row>
    <row r="13" spans="1:7" x14ac:dyDescent="0.35">
      <c r="A13" t="s">
        <v>7</v>
      </c>
      <c r="B13" s="23">
        <v>9.1008372770294869E-4</v>
      </c>
      <c r="C13" s="23">
        <v>0.29122679286494357</v>
      </c>
      <c r="D13" s="23">
        <v>0.49126319621405168</v>
      </c>
      <c r="E13" s="23">
        <v>0.17127775755369495</v>
      </c>
      <c r="F13" s="23">
        <v>4.4230069166363309E-2</v>
      </c>
      <c r="G13" s="23">
        <v>1.0921004732435385E-3</v>
      </c>
    </row>
    <row r="14" spans="1:7" x14ac:dyDescent="0.35">
      <c r="A14" t="s">
        <v>9</v>
      </c>
      <c r="B14" s="23">
        <v>2.5575447570332483E-3</v>
      </c>
      <c r="C14" s="23">
        <v>0.33418584825234443</v>
      </c>
      <c r="D14" s="23">
        <v>0.38235294117647056</v>
      </c>
      <c r="E14" s="23">
        <v>0.17732310315430519</v>
      </c>
      <c r="F14" s="23">
        <v>8.2267689684569476E-2</v>
      </c>
      <c r="G14" s="23">
        <v>2.1312872975277068E-2</v>
      </c>
    </row>
    <row r="15" spans="1:7" x14ac:dyDescent="0.35">
      <c r="A15" t="s">
        <v>10</v>
      </c>
      <c r="B15" s="23">
        <v>5.8653846153846154E-2</v>
      </c>
      <c r="C15" s="23">
        <v>0.37692307692307692</v>
      </c>
      <c r="D15" s="23">
        <v>0.31826923076923075</v>
      </c>
      <c r="E15" s="23">
        <v>0.2048076923076923</v>
      </c>
      <c r="F15" s="23">
        <v>2.8846153846153848E-2</v>
      </c>
      <c r="G15" s="23">
        <v>1.2500000000000001E-2</v>
      </c>
    </row>
    <row r="16" spans="1:7" x14ac:dyDescent="0.35">
      <c r="A16" t="s">
        <v>27</v>
      </c>
      <c r="B16" s="23">
        <v>1.5643758867828428E-2</v>
      </c>
      <c r="C16" s="23">
        <v>0.38865645577909558</v>
      </c>
      <c r="D16" s="23">
        <v>0.35225743078546223</v>
      </c>
      <c r="E16" s="23">
        <v>0.16069414632371667</v>
      </c>
      <c r="F16" s="23">
        <v>6.2957034234365342E-2</v>
      </c>
      <c r="G16" s="23">
        <v>1.979117400953178E-2</v>
      </c>
    </row>
    <row r="17" spans="1:7" x14ac:dyDescent="0.35">
      <c r="A17" t="s">
        <v>22</v>
      </c>
      <c r="B17" s="23">
        <v>1.4224751066856331E-3</v>
      </c>
      <c r="C17" s="23">
        <v>0.48079658605974396</v>
      </c>
      <c r="D17" s="23">
        <v>0.35135135135135137</v>
      </c>
      <c r="E17" s="23">
        <v>9.1038406827880516E-2</v>
      </c>
      <c r="F17" s="23">
        <v>6.8278805120910391E-2</v>
      </c>
      <c r="G17" s="23">
        <v>7.1123755334281651E-3</v>
      </c>
    </row>
    <row r="18" spans="1:7" x14ac:dyDescent="0.35">
      <c r="A18" t="s">
        <v>12</v>
      </c>
      <c r="B18" s="23">
        <v>0</v>
      </c>
      <c r="C18" s="23">
        <v>0.14374225526641884</v>
      </c>
      <c r="D18" s="23">
        <v>0.85625774473358118</v>
      </c>
      <c r="E18" s="23">
        <v>0</v>
      </c>
      <c r="F18" s="23">
        <v>0</v>
      </c>
      <c r="G18" s="23">
        <v>0</v>
      </c>
    </row>
    <row r="19" spans="1:7" x14ac:dyDescent="0.35">
      <c r="A19" t="s">
        <v>13</v>
      </c>
      <c r="B19" s="23">
        <v>0</v>
      </c>
      <c r="C19" s="23">
        <v>0.15789473684210525</v>
      </c>
      <c r="D19" s="23">
        <v>0.26315789473684209</v>
      </c>
      <c r="E19" s="23">
        <v>0.2982456140350877</v>
      </c>
      <c r="F19" s="23">
        <v>0.15789473684210525</v>
      </c>
      <c r="G19" s="23">
        <v>0.12280701754385964</v>
      </c>
    </row>
    <row r="20" spans="1:7" x14ac:dyDescent="0.35">
      <c r="A20" t="s">
        <v>23</v>
      </c>
      <c r="B20" s="23">
        <v>1.9880715705765406E-3</v>
      </c>
      <c r="C20" s="23">
        <v>0.58316766070245196</v>
      </c>
      <c r="D20" s="23">
        <v>0.28098078197481774</v>
      </c>
      <c r="E20" s="23">
        <v>8.5487077534791248E-2</v>
      </c>
      <c r="F20" s="23">
        <v>4.8376408217362492E-2</v>
      </c>
      <c r="G20" s="23">
        <v>0</v>
      </c>
    </row>
    <row r="21" spans="1:7" x14ac:dyDescent="0.35">
      <c r="A21" t="s">
        <v>14</v>
      </c>
      <c r="B21" s="23">
        <v>4.10958904109589E-3</v>
      </c>
      <c r="C21" s="23">
        <v>0.29178082191780824</v>
      </c>
      <c r="D21" s="23">
        <v>0.36575342465753424</v>
      </c>
      <c r="E21" s="23">
        <v>0.21232876712328766</v>
      </c>
      <c r="F21" s="23">
        <v>8.7671232876712329E-2</v>
      </c>
      <c r="G21" s="23">
        <v>3.8356164383561646E-2</v>
      </c>
    </row>
    <row r="22" spans="1:7" x14ac:dyDescent="0.35">
      <c r="A22" t="s">
        <v>17</v>
      </c>
      <c r="B22" s="23">
        <v>4.1968714231209459E-3</v>
      </c>
      <c r="C22" s="23">
        <v>0.36398321251430754</v>
      </c>
      <c r="D22" s="23">
        <v>0.28462418924074778</v>
      </c>
      <c r="E22" s="23">
        <v>0.18428080885158338</v>
      </c>
      <c r="F22" s="23">
        <v>0.10587561999236933</v>
      </c>
      <c r="G22" s="23">
        <v>5.7039297977871044E-2</v>
      </c>
    </row>
    <row r="23" spans="1:7" x14ac:dyDescent="0.35">
      <c r="A23" t="s">
        <v>18</v>
      </c>
      <c r="B23" s="23">
        <v>0</v>
      </c>
      <c r="C23" s="23">
        <v>0.15989660265878877</v>
      </c>
      <c r="D23" s="23">
        <v>0.4098966026587888</v>
      </c>
      <c r="E23" s="23">
        <v>0.43020679468242246</v>
      </c>
      <c r="F23" s="23">
        <v>0</v>
      </c>
      <c r="G23" s="23">
        <v>0</v>
      </c>
    </row>
    <row r="24" spans="1:7" x14ac:dyDescent="0.35">
      <c r="A24" t="s">
        <v>0</v>
      </c>
      <c r="B24" s="23">
        <v>1.2341197822141561E-2</v>
      </c>
      <c r="C24" s="23">
        <v>0.40471869328493648</v>
      </c>
      <c r="D24" s="23">
        <v>0.33248638838475497</v>
      </c>
      <c r="E24" s="23">
        <v>0.16624319419237749</v>
      </c>
      <c r="F24" s="23">
        <v>8.0217785843920142E-2</v>
      </c>
      <c r="G24" s="23">
        <v>3.9927404718693282E-3</v>
      </c>
    </row>
    <row r="25" spans="1:7" x14ac:dyDescent="0.35">
      <c r="A25" t="s">
        <v>11</v>
      </c>
      <c r="B25" s="23">
        <v>0</v>
      </c>
      <c r="C25" s="23">
        <v>1</v>
      </c>
      <c r="D25" s="23">
        <v>0</v>
      </c>
      <c r="E25" s="23">
        <v>0</v>
      </c>
      <c r="F25" s="23">
        <v>0</v>
      </c>
      <c r="G25" s="23">
        <v>0</v>
      </c>
    </row>
    <row r="26" spans="1:7" x14ac:dyDescent="0.35">
      <c r="A26" t="s">
        <v>19</v>
      </c>
      <c r="B26" s="23">
        <v>0</v>
      </c>
      <c r="C26" s="23">
        <v>0.23688394276629571</v>
      </c>
      <c r="D26" s="23">
        <v>0.62957074721780604</v>
      </c>
      <c r="E26" s="23">
        <v>9.6979332273449917E-2</v>
      </c>
      <c r="F26" s="23">
        <v>3.0206677265500796E-2</v>
      </c>
      <c r="G26" s="23">
        <v>6.3593004769475362E-3</v>
      </c>
    </row>
    <row r="27" spans="1:7" x14ac:dyDescent="0.35">
      <c r="A27" t="s">
        <v>4</v>
      </c>
      <c r="B27" s="23">
        <v>8.2034047710869931E-2</v>
      </c>
      <c r="C27" s="23">
        <v>0.29430885350669383</v>
      </c>
      <c r="D27" s="23">
        <v>0.20861109580739354</v>
      </c>
      <c r="E27" s="23">
        <v>0.13796760509062861</v>
      </c>
      <c r="F27" s="23">
        <v>0.17288303674728664</v>
      </c>
      <c r="G27" s="23">
        <v>0.10419536113712743</v>
      </c>
    </row>
    <row r="215" spans="1:7" s="22" customFormat="1" ht="87" x14ac:dyDescent="0.35">
      <c r="A215" s="22" t="s">
        <v>134</v>
      </c>
      <c r="B215" s="22" t="s">
        <v>66</v>
      </c>
      <c r="C215" s="22" t="s">
        <v>67</v>
      </c>
      <c r="D215" s="22" t="s">
        <v>68</v>
      </c>
      <c r="E215" s="22" t="s">
        <v>69</v>
      </c>
      <c r="F215" s="22" t="s">
        <v>70</v>
      </c>
      <c r="G215" s="22" t="s">
        <v>71</v>
      </c>
    </row>
    <row r="216" spans="1:7" x14ac:dyDescent="0.35">
      <c r="A216" t="s">
        <v>83</v>
      </c>
      <c r="B216" s="23">
        <v>0</v>
      </c>
      <c r="C216" s="23">
        <v>0.28747247489357414</v>
      </c>
      <c r="D216" s="23">
        <v>0.27178258735557548</v>
      </c>
      <c r="E216" s="23">
        <v>0.25114397272132999</v>
      </c>
      <c r="F216" s="23">
        <v>0.13575699246202377</v>
      </c>
      <c r="G216" s="23">
        <v>5.3843972567496616E-2</v>
      </c>
    </row>
    <row r="217" spans="1:7" x14ac:dyDescent="0.35">
      <c r="A217" t="s">
        <v>79</v>
      </c>
      <c r="B217" s="23">
        <v>9.6273049759095664E-3</v>
      </c>
      <c r="C217" s="23">
        <v>0.3275992964925577</v>
      </c>
      <c r="D217" s="23">
        <v>0.38621639847768657</v>
      </c>
      <c r="E217" s="23">
        <v>0.17590959830524627</v>
      </c>
      <c r="F217" s="23">
        <v>8.0800436018606592E-2</v>
      </c>
      <c r="G217" s="23">
        <v>1.9846965729993234E-2</v>
      </c>
    </row>
    <row r="218" spans="1:7" x14ac:dyDescent="0.35">
      <c r="A218" t="s">
        <v>85</v>
      </c>
      <c r="B218" s="23">
        <v>8.4136314403189787E-3</v>
      </c>
      <c r="C218" s="23">
        <v>0.4783415903533122</v>
      </c>
      <c r="D218" s="23">
        <v>0.34535536267218658</v>
      </c>
      <c r="E218" s="23">
        <v>0.1147456275792092</v>
      </c>
      <c r="F218" s="23">
        <v>4.184484163081776E-2</v>
      </c>
      <c r="G218" s="23">
        <v>1.1298946324155327E-2</v>
      </c>
    </row>
    <row r="219" spans="1:7" x14ac:dyDescent="0.35">
      <c r="A219" t="s">
        <v>75</v>
      </c>
      <c r="B219" s="23">
        <v>1.0147857047578982E-2</v>
      </c>
      <c r="C219" s="23">
        <v>0.36773412409320844</v>
      </c>
      <c r="D219" s="23">
        <v>0.36325018725823166</v>
      </c>
      <c r="E219" s="23">
        <v>0.1737756389866508</v>
      </c>
      <c r="F219" s="23">
        <v>6.744374557506233E-2</v>
      </c>
      <c r="G219" s="23">
        <v>1.7648447039267795E-2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0427-6846-4AC8-A2C8-0EF0406CA2E2}">
  <dimension ref="A1:C49"/>
  <sheetViews>
    <sheetView topLeftCell="A31" workbookViewId="0">
      <selection activeCell="G42" sqref="G42"/>
    </sheetView>
  </sheetViews>
  <sheetFormatPr defaultRowHeight="14.5" x14ac:dyDescent="0.35"/>
  <cols>
    <col min="1" max="1" width="20.90625" bestFit="1" customWidth="1"/>
    <col min="2" max="2" width="20.90625" customWidth="1"/>
    <col min="3" max="3" width="34.26953125" bestFit="1" customWidth="1"/>
  </cols>
  <sheetData>
    <row r="1" spans="1:3" x14ac:dyDescent="0.35">
      <c r="A1" s="22" t="s">
        <v>47</v>
      </c>
      <c r="B1" s="22" t="s">
        <v>76</v>
      </c>
      <c r="C1" s="22" t="s">
        <v>77</v>
      </c>
    </row>
    <row r="2" spans="1:3" x14ac:dyDescent="0.35">
      <c r="A2" t="s">
        <v>78</v>
      </c>
      <c r="B2" t="s">
        <v>4</v>
      </c>
      <c r="C2" t="s">
        <v>79</v>
      </c>
    </row>
    <row r="3" spans="1:3" x14ac:dyDescent="0.35">
      <c r="A3" t="s">
        <v>80</v>
      </c>
      <c r="B3" t="s">
        <v>28</v>
      </c>
      <c r="C3" t="s">
        <v>79</v>
      </c>
    </row>
    <row r="4" spans="1:3" x14ac:dyDescent="0.35">
      <c r="A4" t="s">
        <v>81</v>
      </c>
      <c r="B4" t="s">
        <v>0</v>
      </c>
      <c r="C4" t="s">
        <v>79</v>
      </c>
    </row>
    <row r="5" spans="1:3" x14ac:dyDescent="0.35">
      <c r="A5" t="s">
        <v>82</v>
      </c>
      <c r="B5" t="s">
        <v>1</v>
      </c>
      <c r="C5" t="s">
        <v>83</v>
      </c>
    </row>
    <row r="6" spans="1:3" x14ac:dyDescent="0.35">
      <c r="A6" t="s">
        <v>84</v>
      </c>
      <c r="B6" t="s">
        <v>20</v>
      </c>
      <c r="C6" t="s">
        <v>85</v>
      </c>
    </row>
    <row r="7" spans="1:3" x14ac:dyDescent="0.35">
      <c r="A7" t="s">
        <v>86</v>
      </c>
      <c r="B7" t="s">
        <v>19</v>
      </c>
      <c r="C7" t="s">
        <v>85</v>
      </c>
    </row>
    <row r="8" spans="1:3" x14ac:dyDescent="0.35">
      <c r="A8" t="s">
        <v>87</v>
      </c>
      <c r="B8" t="s">
        <v>24</v>
      </c>
      <c r="C8" t="s">
        <v>79</v>
      </c>
    </row>
    <row r="9" spans="1:3" x14ac:dyDescent="0.35">
      <c r="A9" t="s">
        <v>88</v>
      </c>
      <c r="B9" t="s">
        <v>3</v>
      </c>
      <c r="C9" t="s">
        <v>79</v>
      </c>
    </row>
    <row r="10" spans="1:3" x14ac:dyDescent="0.35">
      <c r="A10" t="s">
        <v>89</v>
      </c>
      <c r="B10" t="s">
        <v>29</v>
      </c>
      <c r="C10" t="s">
        <v>85</v>
      </c>
    </row>
    <row r="11" spans="1:3" x14ac:dyDescent="0.35">
      <c r="A11" t="s">
        <v>90</v>
      </c>
      <c r="B11" t="s">
        <v>23</v>
      </c>
      <c r="C11" t="s">
        <v>85</v>
      </c>
    </row>
    <row r="12" spans="1:3" x14ac:dyDescent="0.35">
      <c r="A12" t="s">
        <v>91</v>
      </c>
      <c r="B12" t="s">
        <v>31</v>
      </c>
      <c r="C12" t="s">
        <v>79</v>
      </c>
    </row>
    <row r="13" spans="1:3" x14ac:dyDescent="0.35">
      <c r="A13" t="s">
        <v>92</v>
      </c>
      <c r="B13" t="s">
        <v>26</v>
      </c>
      <c r="C13" t="s">
        <v>79</v>
      </c>
    </row>
    <row r="14" spans="1:3" x14ac:dyDescent="0.35">
      <c r="A14" t="s">
        <v>93</v>
      </c>
      <c r="B14" t="s">
        <v>2</v>
      </c>
      <c r="C14" t="s">
        <v>79</v>
      </c>
    </row>
    <row r="15" spans="1:3" x14ac:dyDescent="0.35">
      <c r="A15" t="s">
        <v>94</v>
      </c>
      <c r="B15" t="s">
        <v>30</v>
      </c>
      <c r="C15" t="s">
        <v>85</v>
      </c>
    </row>
    <row r="16" spans="1:3" x14ac:dyDescent="0.35">
      <c r="A16" t="s">
        <v>95</v>
      </c>
      <c r="B16" t="s">
        <v>35</v>
      </c>
      <c r="C16" t="s">
        <v>83</v>
      </c>
    </row>
    <row r="17" spans="1:3" x14ac:dyDescent="0.35">
      <c r="A17" t="s">
        <v>96</v>
      </c>
      <c r="B17" t="s">
        <v>5</v>
      </c>
      <c r="C17" t="s">
        <v>85</v>
      </c>
    </row>
    <row r="18" spans="1:3" x14ac:dyDescent="0.35">
      <c r="A18" t="s">
        <v>97</v>
      </c>
      <c r="B18" t="s">
        <v>12</v>
      </c>
      <c r="C18" t="s">
        <v>79</v>
      </c>
    </row>
    <row r="19" spans="1:3" x14ac:dyDescent="0.35">
      <c r="A19" t="s">
        <v>98</v>
      </c>
      <c r="B19" t="s">
        <v>32</v>
      </c>
      <c r="C19" t="s">
        <v>85</v>
      </c>
    </row>
    <row r="20" spans="1:3" x14ac:dyDescent="0.35">
      <c r="A20" t="s">
        <v>99</v>
      </c>
      <c r="B20" t="s">
        <v>21</v>
      </c>
      <c r="C20" t="s">
        <v>83</v>
      </c>
    </row>
    <row r="21" spans="1:3" x14ac:dyDescent="0.35">
      <c r="A21" t="s">
        <v>100</v>
      </c>
      <c r="B21" t="s">
        <v>34</v>
      </c>
      <c r="C21" t="s">
        <v>85</v>
      </c>
    </row>
    <row r="22" spans="1:3" x14ac:dyDescent="0.35">
      <c r="A22" t="s">
        <v>101</v>
      </c>
      <c r="B22" t="s">
        <v>6</v>
      </c>
      <c r="C22" t="s">
        <v>79</v>
      </c>
    </row>
    <row r="23" spans="1:3" x14ac:dyDescent="0.35">
      <c r="A23" t="s">
        <v>102</v>
      </c>
      <c r="B23" t="s">
        <v>33</v>
      </c>
      <c r="C23" t="s">
        <v>85</v>
      </c>
    </row>
    <row r="24" spans="1:3" x14ac:dyDescent="0.35">
      <c r="A24" t="s">
        <v>103</v>
      </c>
      <c r="B24" t="s">
        <v>25</v>
      </c>
      <c r="C24" t="s">
        <v>85</v>
      </c>
    </row>
    <row r="25" spans="1:3" x14ac:dyDescent="0.35">
      <c r="A25" t="s">
        <v>104</v>
      </c>
      <c r="B25" t="s">
        <v>7</v>
      </c>
      <c r="C25" t="s">
        <v>79</v>
      </c>
    </row>
    <row r="26" spans="1:3" x14ac:dyDescent="0.35">
      <c r="A26" t="s">
        <v>105</v>
      </c>
      <c r="B26" t="s">
        <v>37</v>
      </c>
      <c r="C26" t="s">
        <v>79</v>
      </c>
    </row>
    <row r="27" spans="1:3" x14ac:dyDescent="0.35">
      <c r="A27" t="s">
        <v>106</v>
      </c>
      <c r="B27" t="s">
        <v>36</v>
      </c>
      <c r="C27" t="s">
        <v>85</v>
      </c>
    </row>
    <row r="28" spans="1:3" x14ac:dyDescent="0.35">
      <c r="A28" t="s">
        <v>107</v>
      </c>
      <c r="B28" t="s">
        <v>8</v>
      </c>
      <c r="C28" t="s">
        <v>85</v>
      </c>
    </row>
    <row r="29" spans="1:3" x14ac:dyDescent="0.35">
      <c r="A29" t="s">
        <v>108</v>
      </c>
      <c r="B29" t="s">
        <v>10</v>
      </c>
      <c r="C29" t="s">
        <v>85</v>
      </c>
    </row>
    <row r="30" spans="1:3" x14ac:dyDescent="0.35">
      <c r="A30" t="s">
        <v>109</v>
      </c>
      <c r="B30" t="s">
        <v>38</v>
      </c>
      <c r="C30" t="s">
        <v>85</v>
      </c>
    </row>
    <row r="31" spans="1:3" x14ac:dyDescent="0.35">
      <c r="A31" t="s">
        <v>110</v>
      </c>
      <c r="B31" t="s">
        <v>39</v>
      </c>
      <c r="C31" t="s">
        <v>79</v>
      </c>
    </row>
    <row r="32" spans="1:3" x14ac:dyDescent="0.35">
      <c r="A32" t="s">
        <v>111</v>
      </c>
      <c r="B32" t="s">
        <v>40</v>
      </c>
      <c r="C32" t="s">
        <v>83</v>
      </c>
    </row>
    <row r="33" spans="1:3" x14ac:dyDescent="0.35">
      <c r="A33" t="s">
        <v>112</v>
      </c>
      <c r="B33" t="s">
        <v>9</v>
      </c>
      <c r="C33" t="s">
        <v>85</v>
      </c>
    </row>
    <row r="34" spans="1:3" x14ac:dyDescent="0.35">
      <c r="A34" t="s">
        <v>113</v>
      </c>
      <c r="B34" t="s">
        <v>41</v>
      </c>
      <c r="C34" t="s">
        <v>83</v>
      </c>
    </row>
    <row r="35" spans="1:3" x14ac:dyDescent="0.35">
      <c r="A35" t="s">
        <v>114</v>
      </c>
      <c r="B35" t="s">
        <v>42</v>
      </c>
      <c r="C35" t="s">
        <v>85</v>
      </c>
    </row>
    <row r="36" spans="1:3" x14ac:dyDescent="0.35">
      <c r="A36" t="s">
        <v>115</v>
      </c>
      <c r="B36" t="s">
        <v>27</v>
      </c>
      <c r="C36" t="s">
        <v>79</v>
      </c>
    </row>
    <row r="37" spans="1:3" x14ac:dyDescent="0.35">
      <c r="A37" t="s">
        <v>116</v>
      </c>
      <c r="B37" t="s">
        <v>43</v>
      </c>
      <c r="C37" t="s">
        <v>85</v>
      </c>
    </row>
    <row r="38" spans="1:3" x14ac:dyDescent="0.35">
      <c r="A38" t="s">
        <v>117</v>
      </c>
      <c r="B38" t="s">
        <v>45</v>
      </c>
      <c r="C38" t="s">
        <v>79</v>
      </c>
    </row>
    <row r="39" spans="1:3" x14ac:dyDescent="0.35">
      <c r="A39" t="s">
        <v>118</v>
      </c>
      <c r="B39" t="s">
        <v>22</v>
      </c>
      <c r="C39" t="s">
        <v>79</v>
      </c>
    </row>
    <row r="40" spans="1:3" x14ac:dyDescent="0.35">
      <c r="A40" t="s">
        <v>119</v>
      </c>
      <c r="B40" t="s">
        <v>13</v>
      </c>
      <c r="C40" t="s">
        <v>83</v>
      </c>
    </row>
    <row r="41" spans="1:3" x14ac:dyDescent="0.35">
      <c r="A41" t="s">
        <v>120</v>
      </c>
      <c r="B41" t="s">
        <v>11</v>
      </c>
      <c r="C41" t="s">
        <v>85</v>
      </c>
    </row>
    <row r="42" spans="1:3" x14ac:dyDescent="0.35">
      <c r="A42" t="s">
        <v>121</v>
      </c>
      <c r="B42" t="s">
        <v>16</v>
      </c>
      <c r="C42" t="s">
        <v>83</v>
      </c>
    </row>
    <row r="43" spans="1:3" x14ac:dyDescent="0.35">
      <c r="A43" t="s">
        <v>122</v>
      </c>
      <c r="B43" t="s">
        <v>44</v>
      </c>
      <c r="C43" t="s">
        <v>85</v>
      </c>
    </row>
    <row r="44" spans="1:3" x14ac:dyDescent="0.35">
      <c r="A44" t="s">
        <v>123</v>
      </c>
      <c r="B44" t="s">
        <v>46</v>
      </c>
      <c r="C44" t="s">
        <v>79</v>
      </c>
    </row>
    <row r="45" spans="1:3" x14ac:dyDescent="0.35">
      <c r="A45" t="s">
        <v>124</v>
      </c>
      <c r="B45" t="s">
        <v>14</v>
      </c>
      <c r="C45" t="s">
        <v>85</v>
      </c>
    </row>
    <row r="46" spans="1:3" x14ac:dyDescent="0.35">
      <c r="A46" t="s">
        <v>125</v>
      </c>
      <c r="B46" t="s">
        <v>15</v>
      </c>
      <c r="C46" t="s">
        <v>85</v>
      </c>
    </row>
    <row r="47" spans="1:3" x14ac:dyDescent="0.35">
      <c r="A47" t="s">
        <v>126</v>
      </c>
      <c r="B47" t="s">
        <v>17</v>
      </c>
      <c r="C47" t="s">
        <v>79</v>
      </c>
    </row>
    <row r="48" spans="1:3" x14ac:dyDescent="0.35">
      <c r="A48" t="s">
        <v>127</v>
      </c>
      <c r="B48" t="s">
        <v>18</v>
      </c>
      <c r="C48" t="s">
        <v>79</v>
      </c>
    </row>
    <row r="49" spans="1:2" x14ac:dyDescent="0.35">
      <c r="A49" t="s">
        <v>75</v>
      </c>
      <c r="B49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EEBE-EBDC-4D8F-B7FA-F2DFD7CC9682}">
  <dimension ref="A3:G8"/>
  <sheetViews>
    <sheetView topLeftCell="F1" workbookViewId="0">
      <selection activeCell="A3" sqref="A3:G7"/>
    </sheetView>
  </sheetViews>
  <sheetFormatPr defaultRowHeight="14.5" x14ac:dyDescent="0.35"/>
  <cols>
    <col min="1" max="1" width="34.26953125" bestFit="1" customWidth="1"/>
    <col min="2" max="2" width="48.08984375" bestFit="1" customWidth="1"/>
    <col min="3" max="6" width="49.26953125" bestFit="1" customWidth="1"/>
    <col min="7" max="7" width="48.08984375" bestFit="1" customWidth="1"/>
  </cols>
  <sheetData>
    <row r="3" spans="1:7" x14ac:dyDescent="0.35">
      <c r="A3" s="1" t="s">
        <v>49</v>
      </c>
      <c r="B3" t="s">
        <v>128</v>
      </c>
      <c r="C3" t="s">
        <v>129</v>
      </c>
      <c r="D3" t="s">
        <v>133</v>
      </c>
      <c r="E3" t="s">
        <v>130</v>
      </c>
      <c r="F3" t="s">
        <v>131</v>
      </c>
      <c r="G3" t="s">
        <v>132</v>
      </c>
    </row>
    <row r="4" spans="1:7" x14ac:dyDescent="0.35">
      <c r="A4" s="2" t="s">
        <v>83</v>
      </c>
      <c r="B4">
        <v>0</v>
      </c>
      <c r="C4">
        <v>0.28747247489357414</v>
      </c>
      <c r="D4">
        <v>0.27178258735557548</v>
      </c>
      <c r="E4">
        <v>0.25114397272132999</v>
      </c>
      <c r="F4">
        <v>0.13575699246202377</v>
      </c>
      <c r="G4">
        <v>5.3843972567496616E-2</v>
      </c>
    </row>
    <row r="5" spans="1:7" x14ac:dyDescent="0.35">
      <c r="A5" s="2" t="s">
        <v>79</v>
      </c>
      <c r="B5">
        <v>9.6273049759095664E-3</v>
      </c>
      <c r="C5">
        <v>0.3275992964925577</v>
      </c>
      <c r="D5">
        <v>0.38621639847768657</v>
      </c>
      <c r="E5">
        <v>0.17590959830524627</v>
      </c>
      <c r="F5">
        <v>8.0800436018606592E-2</v>
      </c>
      <c r="G5">
        <v>1.9846965729993234E-2</v>
      </c>
    </row>
    <row r="6" spans="1:7" x14ac:dyDescent="0.35">
      <c r="A6" s="2" t="s">
        <v>85</v>
      </c>
      <c r="B6">
        <v>8.4136314403189787E-3</v>
      </c>
      <c r="C6">
        <v>0.4783415903533122</v>
      </c>
      <c r="D6">
        <v>0.34535536267218658</v>
      </c>
      <c r="E6">
        <v>0.1147456275792092</v>
      </c>
      <c r="F6">
        <v>4.184484163081776E-2</v>
      </c>
      <c r="G6">
        <v>1.1298946324155327E-2</v>
      </c>
    </row>
    <row r="7" spans="1:7" x14ac:dyDescent="0.35">
      <c r="A7" s="2" t="s">
        <v>50</v>
      </c>
      <c r="B7">
        <v>1.0147857047578982E-2</v>
      </c>
      <c r="C7">
        <v>0.36773412409320844</v>
      </c>
      <c r="D7">
        <v>0.36325018725823166</v>
      </c>
      <c r="E7">
        <v>0.1737756389866508</v>
      </c>
      <c r="F7">
        <v>6.744374557506233E-2</v>
      </c>
      <c r="G7">
        <v>1.7648447039267795E-2</v>
      </c>
    </row>
    <row r="8" spans="1:7" x14ac:dyDescent="0.35">
      <c r="A8" s="2" t="s">
        <v>51</v>
      </c>
      <c r="B8">
        <v>8.1044749302782073E-3</v>
      </c>
      <c r="C8">
        <v>0.37262700504014717</v>
      </c>
      <c r="D8">
        <v>0.35849016123649508</v>
      </c>
      <c r="E8">
        <v>0.16527989423010062</v>
      </c>
      <c r="F8">
        <v>7.4395164969982441E-2</v>
      </c>
      <c r="G8">
        <v>2.1103299592996495E-2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1B72-39F6-4E05-BFA2-7C42B6619C5E}">
  <dimension ref="A1:H26"/>
  <sheetViews>
    <sheetView workbookViewId="0">
      <selection activeCell="H13" sqref="H13"/>
    </sheetView>
  </sheetViews>
  <sheetFormatPr defaultRowHeight="14.5" x14ac:dyDescent="0.35"/>
  <cols>
    <col min="8" max="8" width="34.26953125" bestFit="1" customWidth="1"/>
  </cols>
  <sheetData>
    <row r="1" spans="1:8" s="22" customFormat="1" ht="87" x14ac:dyDescent="0.35">
      <c r="A1" s="22" t="s">
        <v>47</v>
      </c>
      <c r="B1" s="22" t="s">
        <v>66</v>
      </c>
      <c r="C1" s="22" t="s">
        <v>67</v>
      </c>
      <c r="D1" s="22" t="s">
        <v>68</v>
      </c>
      <c r="E1" s="22" t="s">
        <v>69</v>
      </c>
      <c r="F1" s="22" t="s">
        <v>70</v>
      </c>
      <c r="G1" s="22" t="s">
        <v>71</v>
      </c>
      <c r="H1" s="22" t="s">
        <v>77</v>
      </c>
    </row>
    <row r="2" spans="1:8" x14ac:dyDescent="0.35">
      <c r="A2" t="s">
        <v>75</v>
      </c>
      <c r="B2" s="23">
        <v>1.0147857047578982E-2</v>
      </c>
      <c r="C2" s="23">
        <v>0.36773412409320844</v>
      </c>
      <c r="D2" s="23">
        <v>0.36325018725823166</v>
      </c>
      <c r="E2" s="23">
        <v>0.1737756389866508</v>
      </c>
      <c r="F2" s="23">
        <v>6.744374557506233E-2</v>
      </c>
      <c r="G2" s="23">
        <v>1.7648447039267795E-2</v>
      </c>
    </row>
    <row r="3" spans="1:8" x14ac:dyDescent="0.35">
      <c r="A3" t="s">
        <v>20</v>
      </c>
      <c r="B3" s="23">
        <v>0</v>
      </c>
      <c r="C3" s="23">
        <v>0.4797639123102867</v>
      </c>
      <c r="D3" s="23">
        <v>0.45868465430016864</v>
      </c>
      <c r="E3" s="23">
        <v>4.7217537942664416E-2</v>
      </c>
      <c r="F3" s="23">
        <v>1.3912310286677909E-2</v>
      </c>
      <c r="G3" s="23">
        <v>4.2158516020236085E-4</v>
      </c>
      <c r="H3" t="s">
        <v>85</v>
      </c>
    </row>
    <row r="4" spans="1:8" x14ac:dyDescent="0.35">
      <c r="A4" t="s">
        <v>1</v>
      </c>
      <c r="B4" s="23">
        <v>0</v>
      </c>
      <c r="C4" s="23">
        <v>0.48640483383685801</v>
      </c>
      <c r="D4" s="23">
        <v>0.3252769385699899</v>
      </c>
      <c r="E4" s="23">
        <v>0.12185297079556898</v>
      </c>
      <c r="F4" s="23">
        <v>5.2366565961732128E-2</v>
      </c>
      <c r="G4" s="23">
        <v>1.4098690835850957E-2</v>
      </c>
      <c r="H4" t="s">
        <v>83</v>
      </c>
    </row>
    <row r="5" spans="1:8" x14ac:dyDescent="0.35">
      <c r="A5" t="s">
        <v>2</v>
      </c>
      <c r="B5" s="23">
        <v>0</v>
      </c>
      <c r="C5" s="23">
        <v>0.18665043619395416</v>
      </c>
      <c r="D5" s="23">
        <v>0.3564617569486711</v>
      </c>
      <c r="E5" s="23">
        <v>0.32116047879894499</v>
      </c>
      <c r="F5" s="23">
        <v>0.12984378170014202</v>
      </c>
      <c r="G5" s="23">
        <v>5.883546358287685E-3</v>
      </c>
      <c r="H5" t="s">
        <v>79</v>
      </c>
    </row>
    <row r="6" spans="1:8" x14ac:dyDescent="0.35">
      <c r="A6" t="s">
        <v>24</v>
      </c>
      <c r="B6" s="23">
        <v>3.9872408293460922E-3</v>
      </c>
      <c r="C6" s="23">
        <v>0.50212652844231787</v>
      </c>
      <c r="D6" s="23">
        <v>0.32961190855927697</v>
      </c>
      <c r="E6" s="23">
        <v>0.12068048910154174</v>
      </c>
      <c r="F6" s="23">
        <v>4.1467304625199361E-2</v>
      </c>
      <c r="G6" s="23">
        <v>2.1265284423179162E-3</v>
      </c>
      <c r="H6" t="s">
        <v>79</v>
      </c>
    </row>
    <row r="7" spans="1:8" x14ac:dyDescent="0.35">
      <c r="A7" t="s">
        <v>26</v>
      </c>
      <c r="B7" s="23">
        <v>0</v>
      </c>
      <c r="C7" s="23">
        <v>0.44529750479846447</v>
      </c>
      <c r="D7" s="23">
        <v>0.29942418426103645</v>
      </c>
      <c r="E7" s="23">
        <v>0.11612284069097889</v>
      </c>
      <c r="F7" s="23">
        <v>0.13147792706333974</v>
      </c>
      <c r="G7" s="23">
        <v>7.677543186180422E-3</v>
      </c>
      <c r="H7" t="s">
        <v>79</v>
      </c>
    </row>
    <row r="8" spans="1:8" x14ac:dyDescent="0.35">
      <c r="A8" t="s">
        <v>3</v>
      </c>
      <c r="B8" s="23">
        <v>4.1603630862329802E-3</v>
      </c>
      <c r="C8" s="23">
        <v>0.20385779122541603</v>
      </c>
      <c r="D8" s="23">
        <v>0.30295007564296522</v>
      </c>
      <c r="E8" s="23">
        <v>0.26966717095310139</v>
      </c>
      <c r="F8" s="23">
        <v>0.17095310136157338</v>
      </c>
      <c r="G8" s="23">
        <v>4.8411497730711045E-2</v>
      </c>
      <c r="H8" t="s">
        <v>79</v>
      </c>
    </row>
    <row r="9" spans="1:8" x14ac:dyDescent="0.35">
      <c r="A9" t="s">
        <v>21</v>
      </c>
      <c r="B9" s="23">
        <v>0</v>
      </c>
      <c r="C9" s="23">
        <v>0.21811785400175901</v>
      </c>
      <c r="D9" s="23">
        <v>0.22691292875989447</v>
      </c>
      <c r="E9" s="23">
        <v>0.33333333333333331</v>
      </c>
      <c r="F9" s="23">
        <v>0.19700967458223395</v>
      </c>
      <c r="G9" s="23">
        <v>2.4626209322779244E-2</v>
      </c>
      <c r="H9" t="s">
        <v>83</v>
      </c>
    </row>
    <row r="10" spans="1:8" x14ac:dyDescent="0.35">
      <c r="A10" t="s">
        <v>6</v>
      </c>
      <c r="B10" s="23">
        <v>4.5892611289582378E-4</v>
      </c>
      <c r="C10" s="23">
        <v>0.39352914180816889</v>
      </c>
      <c r="D10" s="23">
        <v>0.4456172556218449</v>
      </c>
      <c r="E10" s="23">
        <v>0.11748508490133089</v>
      </c>
      <c r="F10" s="23">
        <v>4.2221202386415788E-2</v>
      </c>
      <c r="G10" s="23">
        <v>6.8838916934373562E-4</v>
      </c>
      <c r="H10" t="s">
        <v>79</v>
      </c>
    </row>
    <row r="11" spans="1:8" x14ac:dyDescent="0.35">
      <c r="A11" t="s">
        <v>25</v>
      </c>
      <c r="B11" s="23">
        <v>0</v>
      </c>
      <c r="C11" s="23">
        <v>0.52402745995423339</v>
      </c>
      <c r="D11" s="23">
        <v>0.32723112128146453</v>
      </c>
      <c r="E11" s="23">
        <v>9.3821510297482841E-2</v>
      </c>
      <c r="F11" s="23">
        <v>4.3478260869565216E-2</v>
      </c>
      <c r="G11" s="23">
        <v>1.1441647597254004E-2</v>
      </c>
      <c r="H11" t="s">
        <v>85</v>
      </c>
    </row>
    <row r="12" spans="1:8" x14ac:dyDescent="0.35">
      <c r="A12" t="s">
        <v>7</v>
      </c>
      <c r="B12" s="23">
        <v>9.1008372770294869E-4</v>
      </c>
      <c r="C12" s="23">
        <v>0.29122679286494357</v>
      </c>
      <c r="D12" s="23">
        <v>0.49126319621405168</v>
      </c>
      <c r="E12" s="23">
        <v>0.17127775755369495</v>
      </c>
      <c r="F12" s="23">
        <v>4.4230069166363309E-2</v>
      </c>
      <c r="G12" s="23">
        <v>1.0921004732435385E-3</v>
      </c>
      <c r="H12" t="s">
        <v>79</v>
      </c>
    </row>
    <row r="13" spans="1:8" x14ac:dyDescent="0.35">
      <c r="A13" t="s">
        <v>9</v>
      </c>
      <c r="B13" s="23">
        <v>2.5575447570332483E-3</v>
      </c>
      <c r="C13" s="23">
        <v>0.33418584825234443</v>
      </c>
      <c r="D13" s="23">
        <v>0.38235294117647056</v>
      </c>
      <c r="E13" s="23">
        <v>0.17732310315430519</v>
      </c>
      <c r="F13" s="23">
        <v>8.2267689684569476E-2</v>
      </c>
      <c r="G13" s="23">
        <v>2.1312872975277068E-2</v>
      </c>
      <c r="H13" t="s">
        <v>85</v>
      </c>
    </row>
    <row r="14" spans="1:8" x14ac:dyDescent="0.35">
      <c r="A14" t="s">
        <v>10</v>
      </c>
      <c r="B14" s="23">
        <v>5.8653846153846154E-2</v>
      </c>
      <c r="C14" s="23">
        <v>0.37692307692307692</v>
      </c>
      <c r="D14" s="23">
        <v>0.31826923076923075</v>
      </c>
      <c r="E14" s="23">
        <v>0.2048076923076923</v>
      </c>
      <c r="F14" s="23">
        <v>2.8846153846153848E-2</v>
      </c>
      <c r="G14" s="23">
        <v>1.2500000000000001E-2</v>
      </c>
      <c r="H14" t="s">
        <v>85</v>
      </c>
    </row>
    <row r="15" spans="1:8" x14ac:dyDescent="0.35">
      <c r="A15" t="s">
        <v>27</v>
      </c>
      <c r="B15" s="23">
        <v>1.5643758867828428E-2</v>
      </c>
      <c r="C15" s="23">
        <v>0.38865645577909558</v>
      </c>
      <c r="D15" s="23">
        <v>0.35225743078546223</v>
      </c>
      <c r="E15" s="23">
        <v>0.16069414632371667</v>
      </c>
      <c r="F15" s="23">
        <v>6.2957034234365342E-2</v>
      </c>
      <c r="G15" s="23">
        <v>1.979117400953178E-2</v>
      </c>
      <c r="H15" t="s">
        <v>79</v>
      </c>
    </row>
    <row r="16" spans="1:8" x14ac:dyDescent="0.35">
      <c r="A16" t="s">
        <v>22</v>
      </c>
      <c r="B16" s="23">
        <v>1.4224751066856331E-3</v>
      </c>
      <c r="C16" s="23">
        <v>0.48079658605974396</v>
      </c>
      <c r="D16" s="23">
        <v>0.35135135135135137</v>
      </c>
      <c r="E16" s="23">
        <v>9.1038406827880516E-2</v>
      </c>
      <c r="F16" s="23">
        <v>6.8278805120910391E-2</v>
      </c>
      <c r="G16" s="23">
        <v>7.1123755334281651E-3</v>
      </c>
      <c r="H16" t="s">
        <v>79</v>
      </c>
    </row>
    <row r="17" spans="1:8" x14ac:dyDescent="0.35">
      <c r="A17" t="s">
        <v>12</v>
      </c>
      <c r="B17" s="23">
        <v>0</v>
      </c>
      <c r="C17" s="23">
        <v>0.14374225526641884</v>
      </c>
      <c r="D17" s="23">
        <v>0.85625774473358118</v>
      </c>
      <c r="E17" s="23">
        <v>0</v>
      </c>
      <c r="F17" s="23">
        <v>0</v>
      </c>
      <c r="G17" s="23">
        <v>0</v>
      </c>
      <c r="H17" t="s">
        <v>79</v>
      </c>
    </row>
    <row r="18" spans="1:8" x14ac:dyDescent="0.35">
      <c r="A18" t="s">
        <v>13</v>
      </c>
      <c r="B18" s="23">
        <v>0</v>
      </c>
      <c r="C18" s="23">
        <v>0.15789473684210525</v>
      </c>
      <c r="D18" s="23">
        <v>0.26315789473684209</v>
      </c>
      <c r="E18" s="23">
        <v>0.2982456140350877</v>
      </c>
      <c r="F18" s="23">
        <v>0.15789473684210525</v>
      </c>
      <c r="G18" s="23">
        <v>0.12280701754385964</v>
      </c>
      <c r="H18" t="s">
        <v>83</v>
      </c>
    </row>
    <row r="19" spans="1:8" x14ac:dyDescent="0.35">
      <c r="A19" t="s">
        <v>23</v>
      </c>
      <c r="B19" s="23">
        <v>1.9880715705765406E-3</v>
      </c>
      <c r="C19" s="23">
        <v>0.58316766070245196</v>
      </c>
      <c r="D19" s="23">
        <v>0.28098078197481774</v>
      </c>
      <c r="E19" s="23">
        <v>8.5487077534791248E-2</v>
      </c>
      <c r="F19" s="23">
        <v>4.8376408217362492E-2</v>
      </c>
      <c r="G19" s="23">
        <v>0</v>
      </c>
      <c r="H19" t="s">
        <v>85</v>
      </c>
    </row>
    <row r="20" spans="1:8" x14ac:dyDescent="0.35">
      <c r="A20" t="s">
        <v>14</v>
      </c>
      <c r="B20" s="23">
        <v>4.10958904109589E-3</v>
      </c>
      <c r="C20" s="23">
        <v>0.29178082191780824</v>
      </c>
      <c r="D20" s="23">
        <v>0.36575342465753424</v>
      </c>
      <c r="E20" s="23">
        <v>0.21232876712328766</v>
      </c>
      <c r="F20" s="23">
        <v>8.7671232876712329E-2</v>
      </c>
      <c r="G20" s="23">
        <v>3.8356164383561646E-2</v>
      </c>
      <c r="H20" t="s">
        <v>85</v>
      </c>
    </row>
    <row r="21" spans="1:8" x14ac:dyDescent="0.35">
      <c r="A21" t="s">
        <v>17</v>
      </c>
      <c r="B21" s="23">
        <v>4.1968714231209459E-3</v>
      </c>
      <c r="C21" s="23">
        <v>0.36398321251430754</v>
      </c>
      <c r="D21" s="23">
        <v>0.28462418924074778</v>
      </c>
      <c r="E21" s="23">
        <v>0.18428080885158338</v>
      </c>
      <c r="F21" s="23">
        <v>0.10587561999236933</v>
      </c>
      <c r="G21" s="23">
        <v>5.7039297977871044E-2</v>
      </c>
      <c r="H21" t="s">
        <v>79</v>
      </c>
    </row>
    <row r="22" spans="1:8" x14ac:dyDescent="0.35">
      <c r="A22" t="s">
        <v>18</v>
      </c>
      <c r="B22" s="23">
        <v>0</v>
      </c>
      <c r="C22" s="23">
        <v>0.15989660265878877</v>
      </c>
      <c r="D22" s="23">
        <v>0.4098966026587888</v>
      </c>
      <c r="E22" s="23">
        <v>0.43020679468242246</v>
      </c>
      <c r="F22" s="23">
        <v>0</v>
      </c>
      <c r="G22" s="23">
        <v>0</v>
      </c>
      <c r="H22" t="s">
        <v>79</v>
      </c>
    </row>
    <row r="23" spans="1:8" x14ac:dyDescent="0.35">
      <c r="A23" t="s">
        <v>0</v>
      </c>
      <c r="B23" s="23">
        <v>1.2341197822141561E-2</v>
      </c>
      <c r="C23" s="23">
        <v>0.40471869328493648</v>
      </c>
      <c r="D23" s="23">
        <v>0.33248638838475497</v>
      </c>
      <c r="E23" s="23">
        <v>0.16624319419237749</v>
      </c>
      <c r="F23" s="23">
        <v>8.0217785843920142E-2</v>
      </c>
      <c r="G23" s="23">
        <v>3.9927404718693282E-3</v>
      </c>
      <c r="H23" t="s">
        <v>79</v>
      </c>
    </row>
    <row r="24" spans="1:8" x14ac:dyDescent="0.35">
      <c r="A24" t="s">
        <v>11</v>
      </c>
      <c r="B24" s="23">
        <v>0</v>
      </c>
      <c r="C24" s="23">
        <v>1</v>
      </c>
      <c r="D24" s="23">
        <v>0</v>
      </c>
      <c r="E24" s="23">
        <v>0</v>
      </c>
      <c r="F24" s="23">
        <v>0</v>
      </c>
      <c r="G24" s="23">
        <v>0</v>
      </c>
      <c r="H24" t="s">
        <v>85</v>
      </c>
    </row>
    <row r="25" spans="1:8" x14ac:dyDescent="0.35">
      <c r="A25" t="s">
        <v>19</v>
      </c>
      <c r="B25" s="23">
        <v>0</v>
      </c>
      <c r="C25" s="23">
        <v>0.23688394276629571</v>
      </c>
      <c r="D25" s="23">
        <v>0.62957074721780604</v>
      </c>
      <c r="E25" s="23">
        <v>9.6979332273449917E-2</v>
      </c>
      <c r="F25" s="23">
        <v>3.0206677265500796E-2</v>
      </c>
      <c r="G25" s="23">
        <v>6.3593004769475362E-3</v>
      </c>
      <c r="H25" t="s">
        <v>85</v>
      </c>
    </row>
    <row r="26" spans="1:8" x14ac:dyDescent="0.35">
      <c r="A26" t="s">
        <v>4</v>
      </c>
      <c r="B26" s="23">
        <v>8.2034047710869931E-2</v>
      </c>
      <c r="C26" s="23">
        <v>0.29430885350669383</v>
      </c>
      <c r="D26" s="23">
        <v>0.20861109580739354</v>
      </c>
      <c r="E26" s="23">
        <v>0.13796760509062861</v>
      </c>
      <c r="F26" s="23">
        <v>0.17288303674728664</v>
      </c>
      <c r="G26" s="23">
        <v>0.10419536113712743</v>
      </c>
      <c r="H26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91F3-8612-47FD-81C3-E5555608DC5B}">
  <dimension ref="A1:AA49"/>
  <sheetViews>
    <sheetView topLeftCell="P1" workbookViewId="0">
      <selection activeCell="X8" sqref="X8"/>
    </sheetView>
  </sheetViews>
  <sheetFormatPr defaultRowHeight="14.5" x14ac:dyDescent="0.35"/>
  <cols>
    <col min="1" max="1" width="18.54296875" bestFit="1" customWidth="1"/>
    <col min="2" max="2" width="18.54296875" customWidth="1"/>
    <col min="3" max="3" width="29.7265625" bestFit="1" customWidth="1"/>
    <col min="13" max="13" width="9.1796875" bestFit="1" customWidth="1"/>
    <col min="14" max="15" width="11.08984375" bestFit="1" customWidth="1"/>
    <col min="16" max="17" width="10.08984375" bestFit="1" customWidth="1"/>
    <col min="18" max="18" width="9.1796875" bestFit="1" customWidth="1"/>
  </cols>
  <sheetData>
    <row r="1" spans="1:27" ht="98.5" x14ac:dyDescent="0.35">
      <c r="A1" s="25" t="s">
        <v>47</v>
      </c>
      <c r="B1" s="25" t="s">
        <v>136</v>
      </c>
      <c r="C1" s="25" t="s">
        <v>137</v>
      </c>
      <c r="D1" s="26">
        <v>2013</v>
      </c>
      <c r="E1" s="26">
        <v>2018</v>
      </c>
      <c r="F1" s="26" t="s">
        <v>135</v>
      </c>
      <c r="G1" s="25" t="s">
        <v>138</v>
      </c>
      <c r="H1" s="25" t="s">
        <v>139</v>
      </c>
      <c r="I1" s="25" t="s">
        <v>140</v>
      </c>
      <c r="J1" s="25" t="s">
        <v>141</v>
      </c>
      <c r="K1" s="25" t="s">
        <v>142</v>
      </c>
      <c r="L1" s="25" t="s">
        <v>143</v>
      </c>
      <c r="M1" s="25" t="s">
        <v>138</v>
      </c>
      <c r="N1" s="25" t="s">
        <v>67</v>
      </c>
      <c r="O1" s="25" t="s">
        <v>68</v>
      </c>
      <c r="P1" s="25" t="s">
        <v>69</v>
      </c>
      <c r="Q1" s="25" t="s">
        <v>70</v>
      </c>
      <c r="R1" s="25" t="s">
        <v>71</v>
      </c>
      <c r="S1" s="25" t="s">
        <v>148</v>
      </c>
      <c r="T1">
        <v>2023</v>
      </c>
      <c r="U1">
        <v>2024</v>
      </c>
      <c r="V1">
        <v>2025</v>
      </c>
      <c r="W1">
        <v>2026</v>
      </c>
      <c r="X1">
        <v>2027</v>
      </c>
      <c r="Y1">
        <v>2028</v>
      </c>
      <c r="Z1">
        <v>2029</v>
      </c>
      <c r="AA1">
        <v>2030</v>
      </c>
    </row>
    <row r="2" spans="1:27" x14ac:dyDescent="0.35">
      <c r="A2" s="27" t="s">
        <v>78</v>
      </c>
      <c r="B2" s="27" t="s">
        <v>4</v>
      </c>
      <c r="C2" s="27" t="s">
        <v>79</v>
      </c>
      <c r="D2" s="28">
        <v>0</v>
      </c>
      <c r="E2" s="28">
        <v>73168</v>
      </c>
      <c r="F2" s="29">
        <v>48033.824348850052</v>
      </c>
      <c r="G2" s="34">
        <v>8.2034047710869931E-2</v>
      </c>
      <c r="H2" s="34">
        <v>0.29430885350669383</v>
      </c>
      <c r="I2" s="34">
        <v>0.20861109580739354</v>
      </c>
      <c r="J2" s="34">
        <v>0.13796760509062861</v>
      </c>
      <c r="K2" s="34">
        <v>0.17288303674728664</v>
      </c>
      <c r="L2" s="34">
        <v>0.10419536113712743</v>
      </c>
      <c r="M2" s="35">
        <f>F2*G2</f>
        <v>3940.4090383691109</v>
      </c>
      <c r="N2" s="35">
        <f>F2*H2</f>
        <v>14136.779773651973</v>
      </c>
      <c r="O2" s="35">
        <f>F2*I2</f>
        <v>10020.388733233471</v>
      </c>
      <c r="P2" s="35">
        <f>F2*J2</f>
        <v>6627.1117087547645</v>
      </c>
      <c r="Q2" s="35">
        <f>F2*K2</f>
        <v>8304.2334200149544</v>
      </c>
      <c r="R2" s="35">
        <f>F2*L2</f>
        <v>5004.9016748257764</v>
      </c>
      <c r="S2">
        <f>VLOOKUP(A2,'Education graduates'!$A$2:$E$49,5,FALSE)</f>
        <v>0</v>
      </c>
    </row>
    <row r="3" spans="1:27" x14ac:dyDescent="0.35">
      <c r="A3" s="27" t="s">
        <v>80</v>
      </c>
      <c r="B3" s="27" t="s">
        <v>28</v>
      </c>
      <c r="C3" s="32" t="s">
        <v>79</v>
      </c>
      <c r="D3" s="28">
        <v>0</v>
      </c>
      <c r="E3" s="28">
        <v>6593</v>
      </c>
      <c r="F3" s="28">
        <v>8693</v>
      </c>
      <c r="G3" s="33">
        <v>9.6273049759095664E-3</v>
      </c>
      <c r="H3" s="33">
        <v>0.3275992964925577</v>
      </c>
      <c r="I3" s="33">
        <v>0.38621639847768657</v>
      </c>
      <c r="J3" s="33">
        <v>0.17590959830524627</v>
      </c>
      <c r="K3" s="33">
        <v>8.0800436018606592E-2</v>
      </c>
      <c r="L3" s="33">
        <v>1.9846965729993234E-2</v>
      </c>
      <c r="M3" s="35">
        <f t="shared" ref="M3:M49" si="0">F3*G3</f>
        <v>83.690162155581859</v>
      </c>
      <c r="N3" s="35">
        <f t="shared" ref="N3:N49" si="1">F3*H3</f>
        <v>2847.820684409804</v>
      </c>
      <c r="O3" s="35">
        <f t="shared" ref="O3:O49" si="2">F3*I3</f>
        <v>3357.3791519665292</v>
      </c>
      <c r="P3" s="35">
        <f t="shared" ref="P3:P49" si="3">F3*J3</f>
        <v>1529.1821380675058</v>
      </c>
      <c r="Q3" s="35">
        <f t="shared" ref="Q3:Q49" si="4">F3*K3</f>
        <v>702.39819030974706</v>
      </c>
      <c r="R3" s="35">
        <f t="shared" ref="R3:R49" si="5">F3*L3</f>
        <v>172.52967309083118</v>
      </c>
      <c r="S3">
        <f>VLOOKUP(A3,'Education graduates'!$A$3:$E$49,5,FALSE)</f>
        <v>0</v>
      </c>
    </row>
    <row r="4" spans="1:27" x14ac:dyDescent="0.35">
      <c r="A4" s="27" t="s">
        <v>81</v>
      </c>
      <c r="B4" s="27" t="s">
        <v>0</v>
      </c>
      <c r="C4" s="27" t="s">
        <v>79</v>
      </c>
      <c r="D4" s="28">
        <v>0</v>
      </c>
      <c r="E4" s="28">
        <v>908</v>
      </c>
      <c r="F4" s="28">
        <v>2608</v>
      </c>
      <c r="G4" s="34">
        <v>1.2341197822141561E-2</v>
      </c>
      <c r="H4" s="34">
        <v>0.40471869328493648</v>
      </c>
      <c r="I4" s="34">
        <v>0.33248638838475497</v>
      </c>
      <c r="J4" s="34">
        <v>0.16624319419237749</v>
      </c>
      <c r="K4" s="34">
        <v>8.0217785843920142E-2</v>
      </c>
      <c r="L4" s="34">
        <v>3.9927404718693282E-3</v>
      </c>
      <c r="M4" s="35">
        <f t="shared" si="0"/>
        <v>32.185843920145189</v>
      </c>
      <c r="N4" s="35">
        <f t="shared" si="1"/>
        <v>1055.5063520871142</v>
      </c>
      <c r="O4" s="35">
        <f t="shared" si="2"/>
        <v>867.12450090744096</v>
      </c>
      <c r="P4" s="35">
        <f t="shared" si="3"/>
        <v>433.56225045372048</v>
      </c>
      <c r="Q4" s="35">
        <f t="shared" si="4"/>
        <v>209.20798548094373</v>
      </c>
      <c r="R4" s="35">
        <f t="shared" si="5"/>
        <v>10.413067150635207</v>
      </c>
      <c r="S4">
        <f>VLOOKUP(A4,'Education graduates'!$A$3:$E$49,5,FALSE)</f>
        <v>291</v>
      </c>
    </row>
    <row r="5" spans="1:27" x14ac:dyDescent="0.35">
      <c r="A5" s="27" t="s">
        <v>82</v>
      </c>
      <c r="B5" s="27" t="s">
        <v>1</v>
      </c>
      <c r="C5" s="27" t="s">
        <v>83</v>
      </c>
      <c r="D5" s="28">
        <v>819</v>
      </c>
      <c r="E5" s="28">
        <v>925</v>
      </c>
      <c r="F5" s="28">
        <v>992</v>
      </c>
      <c r="G5" s="34">
        <v>0</v>
      </c>
      <c r="H5" s="34">
        <v>0.48640483383685801</v>
      </c>
      <c r="I5" s="34">
        <v>0.3252769385699899</v>
      </c>
      <c r="J5" s="34">
        <v>0.12185297079556898</v>
      </c>
      <c r="K5" s="34">
        <v>5.2366565961732128E-2</v>
      </c>
      <c r="L5" s="34">
        <v>1.4098690835850957E-2</v>
      </c>
      <c r="M5" s="35">
        <f t="shared" si="0"/>
        <v>0</v>
      </c>
      <c r="N5" s="35">
        <f t="shared" si="1"/>
        <v>482.51359516616316</v>
      </c>
      <c r="O5" s="35">
        <f t="shared" si="2"/>
        <v>322.67472306142997</v>
      </c>
      <c r="P5" s="35">
        <f t="shared" si="3"/>
        <v>120.87814702920443</v>
      </c>
      <c r="Q5" s="35">
        <f t="shared" si="4"/>
        <v>51.947633434038273</v>
      </c>
      <c r="R5" s="35">
        <f t="shared" si="5"/>
        <v>13.985901309164149</v>
      </c>
      <c r="S5">
        <f>VLOOKUP(A5,'Education graduates'!$A$3:$E$49,5,FALSE)</f>
        <v>8</v>
      </c>
    </row>
    <row r="6" spans="1:27" x14ac:dyDescent="0.35">
      <c r="A6" s="27" t="s">
        <v>84</v>
      </c>
      <c r="B6" s="27" t="s">
        <v>20</v>
      </c>
      <c r="C6" s="27" t="s">
        <v>85</v>
      </c>
      <c r="D6" s="28">
        <v>803</v>
      </c>
      <c r="E6" s="28">
        <v>1684</v>
      </c>
      <c r="F6" s="28">
        <v>3323</v>
      </c>
      <c r="G6" s="34">
        <v>0</v>
      </c>
      <c r="H6" s="34">
        <v>0.4797639123102867</v>
      </c>
      <c r="I6" s="34">
        <v>0.45868465430016864</v>
      </c>
      <c r="J6" s="34">
        <v>4.7217537942664416E-2</v>
      </c>
      <c r="K6" s="34">
        <v>1.3912310286677909E-2</v>
      </c>
      <c r="L6" s="34">
        <v>4.2158516020236085E-4</v>
      </c>
      <c r="M6" s="35">
        <f t="shared" si="0"/>
        <v>0</v>
      </c>
      <c r="N6" s="35">
        <f t="shared" si="1"/>
        <v>1594.2554806070827</v>
      </c>
      <c r="O6" s="35">
        <f t="shared" si="2"/>
        <v>1524.2091062394604</v>
      </c>
      <c r="P6" s="35">
        <f t="shared" si="3"/>
        <v>156.90387858347384</v>
      </c>
      <c r="Q6" s="35">
        <f t="shared" si="4"/>
        <v>46.230607082630691</v>
      </c>
      <c r="R6" s="35">
        <f t="shared" si="5"/>
        <v>1.4009274873524451</v>
      </c>
      <c r="S6">
        <f>VLOOKUP(A6,'Education graduates'!$A$3:$E$49,5,FALSE)</f>
        <v>578</v>
      </c>
    </row>
    <row r="7" spans="1:27" x14ac:dyDescent="0.35">
      <c r="A7" s="27" t="s">
        <v>86</v>
      </c>
      <c r="B7" s="27" t="s">
        <v>19</v>
      </c>
      <c r="C7" s="27" t="s">
        <v>85</v>
      </c>
      <c r="D7" s="28">
        <v>554</v>
      </c>
      <c r="E7" s="28">
        <v>1084</v>
      </c>
      <c r="F7" s="28">
        <v>1014.8610394397346</v>
      </c>
      <c r="G7" s="34">
        <v>0</v>
      </c>
      <c r="H7" s="34">
        <v>0.23688394276629571</v>
      </c>
      <c r="I7" s="34">
        <v>0.62957074721780604</v>
      </c>
      <c r="J7" s="34">
        <v>9.6979332273449917E-2</v>
      </c>
      <c r="K7" s="34">
        <v>3.0206677265500796E-2</v>
      </c>
      <c r="L7" s="34">
        <v>6.3593004769475362E-3</v>
      </c>
      <c r="M7" s="35">
        <f t="shared" si="0"/>
        <v>0</v>
      </c>
      <c r="N7" s="35">
        <f t="shared" si="1"/>
        <v>240.40428438238544</v>
      </c>
      <c r="O7" s="35">
        <f t="shared" si="2"/>
        <v>638.92682292231302</v>
      </c>
      <c r="P7" s="35">
        <f t="shared" si="3"/>
        <v>98.420545955204773</v>
      </c>
      <c r="Q7" s="35">
        <f t="shared" si="4"/>
        <v>30.655579887686738</v>
      </c>
      <c r="R7" s="35">
        <f t="shared" si="5"/>
        <v>6.4538062921445762</v>
      </c>
      <c r="S7">
        <f>VLOOKUP(A7,'Education graduates'!$A$3:$E$49,5,FALSE)</f>
        <v>319</v>
      </c>
    </row>
    <row r="8" spans="1:27" x14ac:dyDescent="0.35">
      <c r="A8" s="27" t="s">
        <v>87</v>
      </c>
      <c r="B8" s="27" t="s">
        <v>24</v>
      </c>
      <c r="C8" s="27" t="s">
        <v>79</v>
      </c>
      <c r="D8" s="28">
        <v>1842</v>
      </c>
      <c r="E8" s="28">
        <v>3259</v>
      </c>
      <c r="F8" s="28">
        <v>3759</v>
      </c>
      <c r="G8" s="34">
        <v>3.9872408293460922E-3</v>
      </c>
      <c r="H8" s="34">
        <v>0.50212652844231787</v>
      </c>
      <c r="I8" s="34">
        <v>0.32961190855927697</v>
      </c>
      <c r="J8" s="34">
        <v>0.12068048910154174</v>
      </c>
      <c r="K8" s="34">
        <v>4.1467304625199361E-2</v>
      </c>
      <c r="L8" s="34">
        <v>2.1265284423179162E-3</v>
      </c>
      <c r="M8" s="35">
        <f t="shared" si="0"/>
        <v>14.988038277511961</v>
      </c>
      <c r="N8" s="35">
        <f t="shared" si="1"/>
        <v>1887.4936204146729</v>
      </c>
      <c r="O8" s="35">
        <f t="shared" si="2"/>
        <v>1239.011164274322</v>
      </c>
      <c r="P8" s="35">
        <f t="shared" si="3"/>
        <v>453.63795853269539</v>
      </c>
      <c r="Q8" s="35">
        <f t="shared" si="4"/>
        <v>155.8755980861244</v>
      </c>
      <c r="R8" s="35">
        <f t="shared" si="5"/>
        <v>7.993620414673047</v>
      </c>
      <c r="S8">
        <f>VLOOKUP(A8,'Education graduates'!$A$3:$E$49,5,FALSE)</f>
        <v>0</v>
      </c>
    </row>
    <row r="9" spans="1:27" x14ac:dyDescent="0.35">
      <c r="A9" s="27" t="s">
        <v>88</v>
      </c>
      <c r="B9" s="27" t="s">
        <v>3</v>
      </c>
      <c r="C9" s="27" t="s">
        <v>79</v>
      </c>
      <c r="D9" s="28">
        <v>308</v>
      </c>
      <c r="E9" s="28">
        <v>452</v>
      </c>
      <c r="F9" s="28">
        <v>2644</v>
      </c>
      <c r="G9" s="34">
        <v>4.1603630862329802E-3</v>
      </c>
      <c r="H9" s="34">
        <v>0.20385779122541603</v>
      </c>
      <c r="I9" s="34">
        <v>0.30295007564296522</v>
      </c>
      <c r="J9" s="34">
        <v>0.26966717095310139</v>
      </c>
      <c r="K9" s="34">
        <v>0.17095310136157338</v>
      </c>
      <c r="L9" s="34">
        <v>4.8411497730711045E-2</v>
      </c>
      <c r="M9" s="35">
        <f t="shared" si="0"/>
        <v>11</v>
      </c>
      <c r="N9" s="35">
        <f t="shared" si="1"/>
        <v>539</v>
      </c>
      <c r="O9" s="35">
        <f t="shared" si="2"/>
        <v>801</v>
      </c>
      <c r="P9" s="35">
        <f t="shared" si="3"/>
        <v>713.00000000000011</v>
      </c>
      <c r="Q9" s="35">
        <f t="shared" si="4"/>
        <v>452</v>
      </c>
      <c r="R9" s="35">
        <f t="shared" si="5"/>
        <v>128</v>
      </c>
      <c r="S9">
        <f>VLOOKUP(A9,'Education graduates'!$A$3:$E$49,5,FALSE)</f>
        <v>0</v>
      </c>
    </row>
    <row r="10" spans="1:27" x14ac:dyDescent="0.35">
      <c r="A10" s="27" t="s">
        <v>89</v>
      </c>
      <c r="B10" s="27" t="s">
        <v>29</v>
      </c>
      <c r="C10" s="32" t="s">
        <v>85</v>
      </c>
      <c r="D10" s="28">
        <v>324</v>
      </c>
      <c r="E10" s="28">
        <v>335</v>
      </c>
      <c r="F10" s="29">
        <v>146.38957816377172</v>
      </c>
      <c r="G10" s="33">
        <v>8.4136314403189787E-3</v>
      </c>
      <c r="H10" s="33">
        <v>0.4783415903533122</v>
      </c>
      <c r="I10" s="33">
        <v>0.34535536267218658</v>
      </c>
      <c r="J10" s="33">
        <v>0.1147456275792092</v>
      </c>
      <c r="K10" s="33">
        <v>4.184484163081776E-2</v>
      </c>
      <c r="L10" s="33">
        <v>1.1298946324155327E-2</v>
      </c>
      <c r="M10" s="35">
        <f t="shared" si="0"/>
        <v>1.2316679573737424</v>
      </c>
      <c r="N10" s="35">
        <f t="shared" si="1"/>
        <v>70.024223630009061</v>
      </c>
      <c r="O10" s="35">
        <f t="shared" si="2"/>
        <v>50.556425858177789</v>
      </c>
      <c r="P10" s="35">
        <f t="shared" si="3"/>
        <v>16.797564017457685</v>
      </c>
      <c r="Q10" s="35">
        <f t="shared" si="4"/>
        <v>6.1256487146652452</v>
      </c>
      <c r="R10" s="35">
        <f t="shared" si="5"/>
        <v>1.6540479860881974</v>
      </c>
      <c r="S10">
        <f>VLOOKUP(A10,'Education graduates'!$A$3:$E$49,5,FALSE)</f>
        <v>0</v>
      </c>
    </row>
    <row r="11" spans="1:27" x14ac:dyDescent="0.35">
      <c r="A11" s="27" t="s">
        <v>90</v>
      </c>
      <c r="B11" s="27" t="s">
        <v>23</v>
      </c>
      <c r="C11" s="27" t="s">
        <v>85</v>
      </c>
      <c r="D11" s="28">
        <v>573</v>
      </c>
      <c r="E11" s="28">
        <v>803</v>
      </c>
      <c r="F11" s="28">
        <v>1507</v>
      </c>
      <c r="G11" s="34">
        <v>1.9880715705765406E-3</v>
      </c>
      <c r="H11" s="34">
        <v>0.58316766070245196</v>
      </c>
      <c r="I11" s="34">
        <v>0.28098078197481774</v>
      </c>
      <c r="J11" s="34">
        <v>8.5487077534791248E-2</v>
      </c>
      <c r="K11" s="34">
        <v>4.8376408217362492E-2</v>
      </c>
      <c r="L11" s="34">
        <v>0</v>
      </c>
      <c r="M11" s="35">
        <f t="shared" si="0"/>
        <v>2.9960238568588466</v>
      </c>
      <c r="N11" s="35">
        <f t="shared" si="1"/>
        <v>878.83366467859514</v>
      </c>
      <c r="O11" s="35">
        <f t="shared" si="2"/>
        <v>423.43803843605031</v>
      </c>
      <c r="P11" s="35">
        <f t="shared" si="3"/>
        <v>128.82902584493041</v>
      </c>
      <c r="Q11" s="35">
        <f t="shared" si="4"/>
        <v>72.90324718356527</v>
      </c>
      <c r="R11" s="35">
        <f t="shared" si="5"/>
        <v>0</v>
      </c>
      <c r="S11">
        <f>VLOOKUP(A11,'Education graduates'!$A$3:$E$49,5,FALSE)</f>
        <v>113</v>
      </c>
    </row>
    <row r="12" spans="1:27" x14ac:dyDescent="0.35">
      <c r="A12" s="27" t="s">
        <v>91</v>
      </c>
      <c r="B12" s="27" t="s">
        <v>31</v>
      </c>
      <c r="C12" s="32" t="s">
        <v>79</v>
      </c>
      <c r="D12" s="28">
        <v>123</v>
      </c>
      <c r="E12" s="28">
        <v>220</v>
      </c>
      <c r="F12" s="28">
        <v>354</v>
      </c>
      <c r="G12" s="33">
        <v>9.6273049759095664E-3</v>
      </c>
      <c r="H12" s="33">
        <v>0.3275992964925577</v>
      </c>
      <c r="I12" s="33">
        <v>0.38621639847768657</v>
      </c>
      <c r="J12" s="33">
        <v>0.17590959830524627</v>
      </c>
      <c r="K12" s="33">
        <v>8.0800436018606592E-2</v>
      </c>
      <c r="L12" s="33">
        <v>1.9846965729993234E-2</v>
      </c>
      <c r="M12" s="35">
        <f t="shared" si="0"/>
        <v>3.4080659614719866</v>
      </c>
      <c r="N12" s="35">
        <f t="shared" si="1"/>
        <v>115.97015095836542</v>
      </c>
      <c r="O12" s="35">
        <f t="shared" si="2"/>
        <v>136.72060506110105</v>
      </c>
      <c r="P12" s="35">
        <f t="shared" si="3"/>
        <v>62.271997800057179</v>
      </c>
      <c r="Q12" s="35">
        <f t="shared" si="4"/>
        <v>28.603354350586734</v>
      </c>
      <c r="R12" s="35">
        <f t="shared" si="5"/>
        <v>7.0258258684176047</v>
      </c>
      <c r="S12">
        <f>VLOOKUP(A12,'Education graduates'!$A$3:$E$49,5,FALSE)</f>
        <v>0</v>
      </c>
    </row>
    <row r="13" spans="1:27" x14ac:dyDescent="0.35">
      <c r="A13" s="27" t="s">
        <v>92</v>
      </c>
      <c r="B13" s="27" t="s">
        <v>26</v>
      </c>
      <c r="C13" s="27" t="s">
        <v>79</v>
      </c>
      <c r="D13" s="28">
        <v>0</v>
      </c>
      <c r="E13" s="28">
        <v>544</v>
      </c>
      <c r="F13" s="28">
        <v>1042</v>
      </c>
      <c r="G13" s="34">
        <v>0</v>
      </c>
      <c r="H13" s="34">
        <v>0.44529750479846447</v>
      </c>
      <c r="I13" s="34">
        <v>0.29942418426103645</v>
      </c>
      <c r="J13" s="34">
        <v>0.11612284069097889</v>
      </c>
      <c r="K13" s="34">
        <v>0.13147792706333974</v>
      </c>
      <c r="L13" s="34">
        <v>7.677543186180422E-3</v>
      </c>
      <c r="M13" s="35">
        <f t="shared" si="0"/>
        <v>0</v>
      </c>
      <c r="N13" s="35">
        <f t="shared" si="1"/>
        <v>464</v>
      </c>
      <c r="O13" s="35">
        <f t="shared" si="2"/>
        <v>312</v>
      </c>
      <c r="P13" s="35">
        <f t="shared" si="3"/>
        <v>121</v>
      </c>
      <c r="Q13" s="35">
        <f t="shared" si="4"/>
        <v>137</v>
      </c>
      <c r="R13" s="35">
        <f t="shared" si="5"/>
        <v>8</v>
      </c>
      <c r="S13">
        <f>VLOOKUP(A13,'Education graduates'!$A$3:$E$49,5,FALSE)</f>
        <v>39</v>
      </c>
    </row>
    <row r="14" spans="1:27" x14ac:dyDescent="0.35">
      <c r="A14" s="27" t="s">
        <v>93</v>
      </c>
      <c r="B14" s="27" t="s">
        <v>2</v>
      </c>
      <c r="C14" s="27" t="s">
        <v>79</v>
      </c>
      <c r="D14" s="28">
        <v>5240</v>
      </c>
      <c r="E14" s="28">
        <v>5602</v>
      </c>
      <c r="F14" s="28">
        <v>6327.5519796794806</v>
      </c>
      <c r="G14" s="34">
        <v>0</v>
      </c>
      <c r="H14" s="34">
        <v>0.18665043619395416</v>
      </c>
      <c r="I14" s="34">
        <v>0.3564617569486711</v>
      </c>
      <c r="J14" s="34">
        <v>0.32116047879894499</v>
      </c>
      <c r="K14" s="34">
        <v>0.12984378170014202</v>
      </c>
      <c r="L14" s="34">
        <v>5.883546358287685E-3</v>
      </c>
      <c r="M14" s="35">
        <f t="shared" si="0"/>
        <v>0</v>
      </c>
      <c r="N14" s="35">
        <f t="shared" si="1"/>
        <v>1181.0403370470933</v>
      </c>
      <c r="O14" s="35">
        <f t="shared" si="2"/>
        <v>2255.5302958605898</v>
      </c>
      <c r="P14" s="35">
        <f t="shared" si="3"/>
        <v>2032.1596234190743</v>
      </c>
      <c r="Q14" s="35">
        <f t="shared" si="4"/>
        <v>821.59327794580395</v>
      </c>
      <c r="R14" s="35">
        <f t="shared" si="5"/>
        <v>37.228445406919242</v>
      </c>
      <c r="S14">
        <f>VLOOKUP(A14,'Education graduates'!$A$3:$E$49,5,FALSE)</f>
        <v>265</v>
      </c>
    </row>
    <row r="15" spans="1:27" x14ac:dyDescent="0.35">
      <c r="A15" s="27" t="s">
        <v>94</v>
      </c>
      <c r="B15" s="27" t="s">
        <v>30</v>
      </c>
      <c r="C15" s="32" t="s">
        <v>85</v>
      </c>
      <c r="D15" s="28">
        <v>6418</v>
      </c>
      <c r="E15" s="28">
        <v>31546</v>
      </c>
      <c r="F15" s="28">
        <v>21289.958719118578</v>
      </c>
      <c r="G15" s="33">
        <v>8.4136314403189787E-3</v>
      </c>
      <c r="H15" s="33">
        <v>0.4783415903533122</v>
      </c>
      <c r="I15" s="33">
        <v>0.34535536267218658</v>
      </c>
      <c r="J15" s="33">
        <v>0.1147456275792092</v>
      </c>
      <c r="K15" s="33">
        <v>4.184484163081776E-2</v>
      </c>
      <c r="L15" s="33">
        <v>1.1298946324155327E-2</v>
      </c>
      <c r="M15" s="35">
        <f t="shared" si="0"/>
        <v>179.12586604226925</v>
      </c>
      <c r="N15" s="35">
        <f t="shared" si="1"/>
        <v>10183.872712259546</v>
      </c>
      <c r="O15" s="35">
        <f t="shared" si="2"/>
        <v>7352.6014147170772</v>
      </c>
      <c r="P15" s="35">
        <f t="shared" si="3"/>
        <v>2442.9296743607179</v>
      </c>
      <c r="Q15" s="35">
        <f t="shared" si="4"/>
        <v>890.87495092816459</v>
      </c>
      <c r="R15" s="35">
        <f t="shared" si="5"/>
        <v>240.5541008108035</v>
      </c>
      <c r="S15">
        <f>VLOOKUP(A15,'Education graduates'!$A$3:$E$49,5,FALSE)</f>
        <v>27</v>
      </c>
    </row>
    <row r="16" spans="1:27" x14ac:dyDescent="0.35">
      <c r="A16" s="27" t="s">
        <v>95</v>
      </c>
      <c r="B16" s="27" t="s">
        <v>35</v>
      </c>
      <c r="C16" s="32" t="s">
        <v>83</v>
      </c>
      <c r="D16" s="28">
        <v>0</v>
      </c>
      <c r="E16" s="28">
        <v>246</v>
      </c>
      <c r="F16" s="28">
        <v>274.68237599257924</v>
      </c>
      <c r="G16" s="33">
        <v>0</v>
      </c>
      <c r="H16" s="33">
        <v>0.28747247489357414</v>
      </c>
      <c r="I16" s="33">
        <v>0.27178258735557548</v>
      </c>
      <c r="J16" s="33">
        <v>0.25114397272132999</v>
      </c>
      <c r="K16" s="33">
        <v>0.13575699246202377</v>
      </c>
      <c r="L16" s="33">
        <v>5.3843972567496616E-2</v>
      </c>
      <c r="M16" s="35">
        <f t="shared" si="0"/>
        <v>0</v>
      </c>
      <c r="N16" s="35">
        <f t="shared" si="1"/>
        <v>78.963622436234033</v>
      </c>
      <c r="O16" s="35">
        <f t="shared" si="2"/>
        <v>74.653886848240191</v>
      </c>
      <c r="P16" s="35">
        <f t="shared" si="3"/>
        <v>68.984823143310422</v>
      </c>
      <c r="Q16" s="35">
        <f t="shared" si="4"/>
        <v>37.290053247075356</v>
      </c>
      <c r="R16" s="35">
        <f t="shared" si="5"/>
        <v>14.789990317719228</v>
      </c>
      <c r="S16">
        <f>VLOOKUP(A16,'Education graduates'!$A$3:$E$49,5,FALSE)</f>
        <v>0</v>
      </c>
    </row>
    <row r="17" spans="1:19" x14ac:dyDescent="0.35">
      <c r="A17" s="27" t="s">
        <v>96</v>
      </c>
      <c r="B17" s="27" t="s">
        <v>5</v>
      </c>
      <c r="C17" s="27" t="s">
        <v>85</v>
      </c>
      <c r="D17" s="28">
        <v>172</v>
      </c>
      <c r="E17" s="28">
        <v>280</v>
      </c>
      <c r="F17" s="28">
        <v>298.81764752330793</v>
      </c>
      <c r="G17" s="33">
        <v>8.4136314403189787E-3</v>
      </c>
      <c r="H17" s="33">
        <v>0.4783415903533122</v>
      </c>
      <c r="I17" s="33">
        <v>0.34535536267218658</v>
      </c>
      <c r="J17" s="33">
        <v>0.1147456275792092</v>
      </c>
      <c r="K17" s="33">
        <v>4.184484163081776E-2</v>
      </c>
      <c r="L17" s="34">
        <v>0</v>
      </c>
      <c r="M17" s="35">
        <f t="shared" si="0"/>
        <v>2.514141554124258</v>
      </c>
      <c r="N17" s="35">
        <f t="shared" si="1"/>
        <v>142.93690874193459</v>
      </c>
      <c r="O17" s="35">
        <f t="shared" si="2"/>
        <v>103.19827703326163</v>
      </c>
      <c r="P17" s="35">
        <f t="shared" si="3"/>
        <v>34.288018496804895</v>
      </c>
      <c r="Q17" s="35">
        <f t="shared" si="4"/>
        <v>12.503977137106343</v>
      </c>
      <c r="R17" s="35">
        <f t="shared" si="5"/>
        <v>0</v>
      </c>
      <c r="S17">
        <f>VLOOKUP(A17,'Education graduates'!$A$3:$E$49,5,FALSE)</f>
        <v>45</v>
      </c>
    </row>
    <row r="18" spans="1:19" x14ac:dyDescent="0.35">
      <c r="A18" s="27" t="s">
        <v>97</v>
      </c>
      <c r="B18" s="27" t="s">
        <v>12</v>
      </c>
      <c r="C18" s="27" t="s">
        <v>79</v>
      </c>
      <c r="D18" s="28">
        <v>0</v>
      </c>
      <c r="E18" s="28">
        <v>278</v>
      </c>
      <c r="F18" s="28">
        <v>687</v>
      </c>
      <c r="G18" s="34">
        <v>0</v>
      </c>
      <c r="H18" s="34">
        <v>0.14374225526641884</v>
      </c>
      <c r="I18" s="34">
        <v>0.85625774473358118</v>
      </c>
      <c r="J18" s="34">
        <v>0</v>
      </c>
      <c r="K18" s="34">
        <v>0</v>
      </c>
      <c r="L18" s="34">
        <v>0</v>
      </c>
      <c r="M18" s="35">
        <f t="shared" si="0"/>
        <v>0</v>
      </c>
      <c r="N18" s="35">
        <f t="shared" si="1"/>
        <v>98.750929368029745</v>
      </c>
      <c r="O18" s="35">
        <f t="shared" si="2"/>
        <v>588.24907063197031</v>
      </c>
      <c r="P18" s="35">
        <f t="shared" si="3"/>
        <v>0</v>
      </c>
      <c r="Q18" s="35">
        <f t="shared" si="4"/>
        <v>0</v>
      </c>
      <c r="R18" s="35">
        <f t="shared" si="5"/>
        <v>0</v>
      </c>
      <c r="S18">
        <f>VLOOKUP(A18,'Education graduates'!$A$3:$E$49,5,FALSE)</f>
        <v>0</v>
      </c>
    </row>
    <row r="19" spans="1:19" x14ac:dyDescent="0.35">
      <c r="A19" s="27" t="s">
        <v>98</v>
      </c>
      <c r="B19" s="27" t="s">
        <v>32</v>
      </c>
      <c r="C19" s="32" t="s">
        <v>85</v>
      </c>
      <c r="D19" s="28">
        <v>0</v>
      </c>
      <c r="E19" s="28">
        <v>11263</v>
      </c>
      <c r="F19" s="28">
        <v>23741</v>
      </c>
      <c r="G19" s="33">
        <v>8.4136314403189787E-3</v>
      </c>
      <c r="H19" s="33">
        <v>0.4783415903533122</v>
      </c>
      <c r="I19" s="33">
        <v>0.34535536267218658</v>
      </c>
      <c r="J19" s="33">
        <v>0.1147456275792092</v>
      </c>
      <c r="K19" s="33">
        <v>4.184484163081776E-2</v>
      </c>
      <c r="L19" s="33">
        <v>1.1298946324155327E-2</v>
      </c>
      <c r="M19" s="35">
        <f t="shared" si="0"/>
        <v>199.74802402461287</v>
      </c>
      <c r="N19" s="35">
        <f t="shared" si="1"/>
        <v>11356.307696577986</v>
      </c>
      <c r="O19" s="35">
        <f t="shared" si="2"/>
        <v>8199.0816652003814</v>
      </c>
      <c r="P19" s="35">
        <f t="shared" si="3"/>
        <v>2724.1759443580054</v>
      </c>
      <c r="Q19" s="35">
        <f t="shared" si="4"/>
        <v>993.4383851572444</v>
      </c>
      <c r="R19" s="35">
        <f t="shared" si="5"/>
        <v>268.24828468177162</v>
      </c>
      <c r="S19">
        <f>VLOOKUP(A19,'Education graduates'!$A$3:$E$49,5,FALSE)</f>
        <v>2936</v>
      </c>
    </row>
    <row r="20" spans="1:19" x14ac:dyDescent="0.35">
      <c r="A20" s="27" t="s">
        <v>99</v>
      </c>
      <c r="B20" s="27" t="s">
        <v>21</v>
      </c>
      <c r="C20" s="27" t="s">
        <v>83</v>
      </c>
      <c r="D20" s="28">
        <v>0</v>
      </c>
      <c r="E20" s="28">
        <v>1368</v>
      </c>
      <c r="F20" s="28">
        <v>1265.3898201501661</v>
      </c>
      <c r="G20" s="34">
        <v>0</v>
      </c>
      <c r="H20" s="34">
        <v>0.21811785400175901</v>
      </c>
      <c r="I20" s="34">
        <v>0.22691292875989447</v>
      </c>
      <c r="J20" s="34">
        <v>0.33333333333333331</v>
      </c>
      <c r="K20" s="34">
        <v>0.19700967458223395</v>
      </c>
      <c r="L20" s="34">
        <v>2.4626209322779244E-2</v>
      </c>
      <c r="M20" s="35">
        <f t="shared" si="0"/>
        <v>0</v>
      </c>
      <c r="N20" s="35">
        <f t="shared" si="1"/>
        <v>276.00411204682604</v>
      </c>
      <c r="O20" s="35">
        <f t="shared" si="2"/>
        <v>287.13331011323032</v>
      </c>
      <c r="P20" s="35">
        <f t="shared" si="3"/>
        <v>421.79660671672201</v>
      </c>
      <c r="Q20" s="35">
        <f t="shared" si="4"/>
        <v>249.29403668745576</v>
      </c>
      <c r="R20" s="35">
        <f t="shared" si="5"/>
        <v>31.16175458593197</v>
      </c>
      <c r="S20">
        <f>VLOOKUP(A20,'Education graduates'!$A$3:$E$49,5,FALSE)</f>
        <v>62</v>
      </c>
    </row>
    <row r="21" spans="1:19" x14ac:dyDescent="0.35">
      <c r="A21" s="27" t="s">
        <v>100</v>
      </c>
      <c r="B21" s="27" t="s">
        <v>34</v>
      </c>
      <c r="C21" s="32" t="s">
        <v>85</v>
      </c>
      <c r="D21" s="28">
        <v>213</v>
      </c>
      <c r="E21" s="28">
        <v>298</v>
      </c>
      <c r="F21" s="28">
        <v>273.86722731906218</v>
      </c>
      <c r="G21" s="33">
        <v>8.4136314403189787E-3</v>
      </c>
      <c r="H21" s="33">
        <v>0.4783415903533122</v>
      </c>
      <c r="I21" s="33">
        <v>0.34535536267218658</v>
      </c>
      <c r="J21" s="33">
        <v>0.1147456275792092</v>
      </c>
      <c r="K21" s="33">
        <v>4.184484163081776E-2</v>
      </c>
      <c r="L21" s="33">
        <v>1.1298946324155327E-2</v>
      </c>
      <c r="M21" s="35">
        <f t="shared" si="0"/>
        <v>2.3042179142446462</v>
      </c>
      <c r="N21" s="35">
        <f t="shared" si="1"/>
        <v>131.00208506145228</v>
      </c>
      <c r="O21" s="35">
        <f t="shared" si="2"/>
        <v>94.581515614800878</v>
      </c>
      <c r="P21" s="35">
        <f t="shared" si="3"/>
        <v>31.425066872103734</v>
      </c>
      <c r="Q21" s="35">
        <f t="shared" si="4"/>
        <v>11.459930755037323</v>
      </c>
      <c r="R21" s="35">
        <f t="shared" si="5"/>
        <v>3.0944111014233289</v>
      </c>
      <c r="S21">
        <f>VLOOKUP(A21,'Education graduates'!$A$3:$E$49,5,FALSE)</f>
        <v>0</v>
      </c>
    </row>
    <row r="22" spans="1:19" x14ac:dyDescent="0.35">
      <c r="A22" s="27" t="s">
        <v>101</v>
      </c>
      <c r="B22" s="27" t="s">
        <v>6</v>
      </c>
      <c r="C22" s="27" t="s">
        <v>79</v>
      </c>
      <c r="D22" s="28">
        <v>2730</v>
      </c>
      <c r="E22" s="28">
        <v>4406</v>
      </c>
      <c r="F22" s="28">
        <v>4726</v>
      </c>
      <c r="G22" s="34">
        <v>4.5892611289582378E-4</v>
      </c>
      <c r="H22" s="34">
        <v>0.39352914180816889</v>
      </c>
      <c r="I22" s="34">
        <v>0.4456172556218449</v>
      </c>
      <c r="J22" s="34">
        <v>0.11748508490133089</v>
      </c>
      <c r="K22" s="34">
        <v>4.2221202386415788E-2</v>
      </c>
      <c r="L22" s="34">
        <v>6.8838916934373562E-4</v>
      </c>
      <c r="M22" s="35">
        <f t="shared" si="0"/>
        <v>2.1688848095456632</v>
      </c>
      <c r="N22" s="35">
        <f t="shared" si="1"/>
        <v>1859.8187241854062</v>
      </c>
      <c r="O22" s="35">
        <f t="shared" si="2"/>
        <v>2105.9871500688391</v>
      </c>
      <c r="P22" s="35">
        <f t="shared" si="3"/>
        <v>555.23451124368978</v>
      </c>
      <c r="Q22" s="35">
        <f t="shared" si="4"/>
        <v>199.53740247820102</v>
      </c>
      <c r="R22" s="35">
        <f t="shared" si="5"/>
        <v>3.2533272143184946</v>
      </c>
      <c r="S22">
        <f>VLOOKUP(A22,'Education graduates'!$A$3:$E$49,5,FALSE)</f>
        <v>0</v>
      </c>
    </row>
    <row r="23" spans="1:19" x14ac:dyDescent="0.35">
      <c r="A23" s="27" t="s">
        <v>102</v>
      </c>
      <c r="B23" s="27" t="s">
        <v>33</v>
      </c>
      <c r="C23" s="32" t="s">
        <v>85</v>
      </c>
      <c r="D23" s="28">
        <v>1844</v>
      </c>
      <c r="E23" s="28">
        <v>2787</v>
      </c>
      <c r="F23" s="29">
        <v>341.34169736316329</v>
      </c>
      <c r="G23" s="33">
        <v>8.4136314403189787E-3</v>
      </c>
      <c r="H23" s="33">
        <v>0.4783415903533122</v>
      </c>
      <c r="I23" s="33">
        <v>0.34535536267218658</v>
      </c>
      <c r="J23" s="33">
        <v>0.1147456275792092</v>
      </c>
      <c r="K23" s="33">
        <v>4.184484163081776E-2</v>
      </c>
      <c r="L23" s="33">
        <v>1.1298946324155327E-2</v>
      </c>
      <c r="M23" s="35">
        <f t="shared" si="0"/>
        <v>2.8719232368265564</v>
      </c>
      <c r="N23" s="35">
        <f t="shared" si="1"/>
        <v>163.27793037059453</v>
      </c>
      <c r="O23" s="35">
        <f t="shared" si="2"/>
        <v>117.88418568799501</v>
      </c>
      <c r="P23" s="35">
        <f t="shared" si="3"/>
        <v>39.167467282888666</v>
      </c>
      <c r="Q23" s="35">
        <f t="shared" si="4"/>
        <v>14.283389268156093</v>
      </c>
      <c r="R23" s="35">
        <f t="shared" si="5"/>
        <v>3.8568015167024536</v>
      </c>
      <c r="S23">
        <f>VLOOKUP(A23,'Education graduates'!$A$3:$E$49,5,FALSE)</f>
        <v>841</v>
      </c>
    </row>
    <row r="24" spans="1:19" x14ac:dyDescent="0.35">
      <c r="A24" s="27" t="s">
        <v>103</v>
      </c>
      <c r="B24" s="27" t="s">
        <v>25</v>
      </c>
      <c r="C24" s="27" t="s">
        <v>85</v>
      </c>
      <c r="D24" s="28">
        <v>354</v>
      </c>
      <c r="E24" s="28">
        <v>578</v>
      </c>
      <c r="F24" s="28">
        <v>530.87376425855507</v>
      </c>
      <c r="G24" s="34">
        <v>0</v>
      </c>
      <c r="H24" s="34">
        <v>0.52402745995423339</v>
      </c>
      <c r="I24" s="34">
        <v>0.32723112128146453</v>
      </c>
      <c r="J24" s="34">
        <v>9.3821510297482841E-2</v>
      </c>
      <c r="K24" s="34">
        <v>4.3478260869565216E-2</v>
      </c>
      <c r="L24" s="34">
        <v>1.1441647597254004E-2</v>
      </c>
      <c r="M24" s="35">
        <f t="shared" si="0"/>
        <v>0</v>
      </c>
      <c r="N24" s="35">
        <f t="shared" si="1"/>
        <v>278.19243024075308</v>
      </c>
      <c r="O24" s="35">
        <f t="shared" si="2"/>
        <v>173.71841713723884</v>
      </c>
      <c r="P24" s="35">
        <f t="shared" si="3"/>
        <v>49.807378340047499</v>
      </c>
      <c r="Q24" s="35">
        <f t="shared" si="4"/>
        <v>23.081468011241522</v>
      </c>
      <c r="R24" s="35">
        <f t="shared" si="5"/>
        <v>6.0740705292740849</v>
      </c>
      <c r="S24">
        <f>VLOOKUP(A24,'Education graduates'!$A$3:$E$49,5,FALSE)</f>
        <v>69</v>
      </c>
    </row>
    <row r="25" spans="1:19" x14ac:dyDescent="0.35">
      <c r="A25" s="27" t="s">
        <v>104</v>
      </c>
      <c r="B25" s="27" t="s">
        <v>7</v>
      </c>
      <c r="C25" s="27" t="s">
        <v>79</v>
      </c>
      <c r="D25" s="28">
        <v>8682</v>
      </c>
      <c r="E25" s="28">
        <v>8042</v>
      </c>
      <c r="F25" s="28">
        <v>12792</v>
      </c>
      <c r="G25" s="34">
        <v>9.1008372770294869E-4</v>
      </c>
      <c r="H25" s="34">
        <v>0.29122679286494357</v>
      </c>
      <c r="I25" s="34">
        <v>0.49126319621405168</v>
      </c>
      <c r="J25" s="34">
        <v>0.17127775755369495</v>
      </c>
      <c r="K25" s="34">
        <v>4.4230069166363309E-2</v>
      </c>
      <c r="L25" s="34">
        <v>1.0921004732435385E-3</v>
      </c>
      <c r="M25" s="35">
        <f t="shared" si="0"/>
        <v>11.64179104477612</v>
      </c>
      <c r="N25" s="35">
        <f t="shared" si="1"/>
        <v>3725.373134328358</v>
      </c>
      <c r="O25" s="35">
        <f t="shared" si="2"/>
        <v>6284.2388059701489</v>
      </c>
      <c r="P25" s="35">
        <f t="shared" si="3"/>
        <v>2190.9850746268658</v>
      </c>
      <c r="Q25" s="35">
        <f t="shared" si="4"/>
        <v>565.79104477611941</v>
      </c>
      <c r="R25" s="35">
        <f t="shared" si="5"/>
        <v>13.970149253731345</v>
      </c>
      <c r="S25">
        <f>VLOOKUP(A25,'Education graduates'!$A$3:$E$49,5,FALSE)</f>
        <v>538</v>
      </c>
    </row>
    <row r="26" spans="1:19" x14ac:dyDescent="0.35">
      <c r="A26" s="27" t="s">
        <v>105</v>
      </c>
      <c r="B26" s="27" t="s">
        <v>37</v>
      </c>
      <c r="C26" s="32" t="s">
        <v>79</v>
      </c>
      <c r="D26" s="28">
        <v>0</v>
      </c>
      <c r="E26" s="28">
        <v>998</v>
      </c>
      <c r="F26" s="28">
        <v>536.60977859778598</v>
      </c>
      <c r="G26" s="33">
        <v>9.6273049759095664E-3</v>
      </c>
      <c r="H26" s="33">
        <v>0.3275992964925577</v>
      </c>
      <c r="I26" s="33">
        <v>0.38621639847768657</v>
      </c>
      <c r="J26" s="33">
        <v>0.17590959830524627</v>
      </c>
      <c r="K26" s="33">
        <v>8.0800436018606592E-2</v>
      </c>
      <c r="L26" s="33">
        <v>1.9846965729993234E-2</v>
      </c>
      <c r="M26" s="35">
        <f t="shared" si="0"/>
        <v>5.1661059916161953</v>
      </c>
      <c r="N26" s="35">
        <f t="shared" si="1"/>
        <v>175.79298595966182</v>
      </c>
      <c r="O26" s="35">
        <f t="shared" si="2"/>
        <v>207.24749607794567</v>
      </c>
      <c r="P26" s="35">
        <f t="shared" si="3"/>
        <v>94.394810599803677</v>
      </c>
      <c r="Q26" s="35">
        <f t="shared" si="4"/>
        <v>43.358304082549054</v>
      </c>
      <c r="R26" s="35">
        <f t="shared" si="5"/>
        <v>10.650075886209514</v>
      </c>
      <c r="S26">
        <f>VLOOKUP(A26,'Education graduates'!$A$3:$E$49,5,FALSE)</f>
        <v>0</v>
      </c>
    </row>
    <row r="27" spans="1:19" x14ac:dyDescent="0.35">
      <c r="A27" s="27" t="s">
        <v>106</v>
      </c>
      <c r="B27" s="27" t="s">
        <v>36</v>
      </c>
      <c r="C27" s="32" t="s">
        <v>85</v>
      </c>
      <c r="D27" s="28">
        <v>168</v>
      </c>
      <c r="E27" s="28">
        <v>693</v>
      </c>
      <c r="F27" s="28">
        <v>954</v>
      </c>
      <c r="G27" s="33">
        <v>8.4136314403189787E-3</v>
      </c>
      <c r="H27" s="33">
        <v>0.4783415903533122</v>
      </c>
      <c r="I27" s="33">
        <v>0.34535536267218658</v>
      </c>
      <c r="J27" s="33">
        <v>0.1147456275792092</v>
      </c>
      <c r="K27" s="33">
        <v>4.184484163081776E-2</v>
      </c>
      <c r="L27" s="33">
        <v>1.1298946324155327E-2</v>
      </c>
      <c r="M27" s="35">
        <f t="shared" si="0"/>
        <v>8.0266043940643055</v>
      </c>
      <c r="N27" s="35">
        <f t="shared" si="1"/>
        <v>456.33787719705981</v>
      </c>
      <c r="O27" s="35">
        <f t="shared" si="2"/>
        <v>329.46901598926598</v>
      </c>
      <c r="P27" s="35">
        <f t="shared" si="3"/>
        <v>109.46732871056557</v>
      </c>
      <c r="Q27" s="35">
        <f t="shared" si="4"/>
        <v>39.919978915800144</v>
      </c>
      <c r="R27" s="35">
        <f t="shared" si="5"/>
        <v>10.779194793244182</v>
      </c>
      <c r="S27">
        <f>VLOOKUP(A27,'Education graduates'!$A$3:$E$49,5,FALSE)</f>
        <v>62</v>
      </c>
    </row>
    <row r="28" spans="1:19" x14ac:dyDescent="0.35">
      <c r="A28" s="27" t="s">
        <v>107</v>
      </c>
      <c r="B28" s="27" t="s">
        <v>8</v>
      </c>
      <c r="C28" s="32" t="s">
        <v>85</v>
      </c>
      <c r="D28" s="28">
        <v>3523</v>
      </c>
      <c r="E28" s="28">
        <v>5230</v>
      </c>
      <c r="F28" s="28">
        <v>5230</v>
      </c>
      <c r="G28" s="33">
        <v>8.4136314403189787E-3</v>
      </c>
      <c r="H28" s="33">
        <v>0.4783415903533122</v>
      </c>
      <c r="I28" s="33">
        <v>0.34535536267218658</v>
      </c>
      <c r="J28" s="33">
        <v>0.1147456275792092</v>
      </c>
      <c r="K28" s="33">
        <v>4.184484163081776E-2</v>
      </c>
      <c r="L28" s="33">
        <v>1.1298946324155327E-2</v>
      </c>
      <c r="M28" s="35">
        <f t="shared" si="0"/>
        <v>44.003292432868257</v>
      </c>
      <c r="N28" s="35">
        <f t="shared" si="1"/>
        <v>2501.7265175478228</v>
      </c>
      <c r="O28" s="35">
        <f t="shared" si="2"/>
        <v>1806.2085467755358</v>
      </c>
      <c r="P28" s="35">
        <f t="shared" si="3"/>
        <v>600.11963223926409</v>
      </c>
      <c r="Q28" s="35">
        <f t="shared" si="4"/>
        <v>218.84852172917689</v>
      </c>
      <c r="R28" s="35">
        <f t="shared" si="5"/>
        <v>59.09348927533236</v>
      </c>
      <c r="S28">
        <f>VLOOKUP(A28,'Education graduates'!$A$3:$E$49,5,FALSE)</f>
        <v>404</v>
      </c>
    </row>
    <row r="29" spans="1:19" x14ac:dyDescent="0.35">
      <c r="A29" s="27" t="s">
        <v>108</v>
      </c>
      <c r="B29" s="27" t="s">
        <v>10</v>
      </c>
      <c r="C29" s="27" t="s">
        <v>85</v>
      </c>
      <c r="D29" s="28">
        <v>200</v>
      </c>
      <c r="E29" s="28">
        <v>2760</v>
      </c>
      <c r="F29" s="28">
        <v>1103.5637751855782</v>
      </c>
      <c r="G29" s="34">
        <v>5.8653846153846154E-2</v>
      </c>
      <c r="H29" s="34">
        <v>0.37692307692307692</v>
      </c>
      <c r="I29" s="34">
        <v>0.31826923076923075</v>
      </c>
      <c r="J29" s="34">
        <v>0.2048076923076923</v>
      </c>
      <c r="K29" s="34">
        <v>2.8846153846153848E-2</v>
      </c>
      <c r="L29" s="34">
        <v>1.2500000000000001E-2</v>
      </c>
      <c r="M29" s="35">
        <f t="shared" si="0"/>
        <v>64.72825989069257</v>
      </c>
      <c r="N29" s="35">
        <f t="shared" si="1"/>
        <v>415.95865372379484</v>
      </c>
      <c r="O29" s="35">
        <f t="shared" si="2"/>
        <v>351.23039383310226</v>
      </c>
      <c r="P29" s="35">
        <f t="shared" si="3"/>
        <v>226.01835011012321</v>
      </c>
      <c r="Q29" s="35">
        <f t="shared" si="4"/>
        <v>31.833570438045527</v>
      </c>
      <c r="R29" s="35">
        <f t="shared" si="5"/>
        <v>13.794547189819728</v>
      </c>
      <c r="S29">
        <f>VLOOKUP(A29,'Education graduates'!$A$3:$E$49,5,FALSE)</f>
        <v>101</v>
      </c>
    </row>
    <row r="30" spans="1:19" x14ac:dyDescent="0.35">
      <c r="A30" s="27" t="s">
        <v>109</v>
      </c>
      <c r="B30" s="27" t="s">
        <v>38</v>
      </c>
      <c r="C30" s="32" t="s">
        <v>85</v>
      </c>
      <c r="D30" s="28">
        <v>1971</v>
      </c>
      <c r="E30" s="28">
        <v>2866</v>
      </c>
      <c r="F30" s="28">
        <v>4402</v>
      </c>
      <c r="G30" s="33">
        <v>8.4136314403189787E-3</v>
      </c>
      <c r="H30" s="33">
        <v>0.4783415903533122</v>
      </c>
      <c r="I30" s="33">
        <v>0.34535536267218658</v>
      </c>
      <c r="J30" s="33">
        <v>0.1147456275792092</v>
      </c>
      <c r="K30" s="33">
        <v>4.184484163081776E-2</v>
      </c>
      <c r="L30" s="33">
        <v>1.1298946324155327E-2</v>
      </c>
      <c r="M30" s="35">
        <f t="shared" si="0"/>
        <v>37.036805600284147</v>
      </c>
      <c r="N30" s="35">
        <f t="shared" si="1"/>
        <v>2105.6596807352803</v>
      </c>
      <c r="O30" s="35">
        <f t="shared" si="2"/>
        <v>1520.2543064829654</v>
      </c>
      <c r="P30" s="35">
        <f t="shared" si="3"/>
        <v>505.11025260367887</v>
      </c>
      <c r="Q30" s="35">
        <f t="shared" si="4"/>
        <v>184.20099285885979</v>
      </c>
      <c r="R30" s="35">
        <f t="shared" si="5"/>
        <v>49.73796171893175</v>
      </c>
      <c r="S30">
        <f>VLOOKUP(A30,'Education graduates'!$A$3:$E$49,5,FALSE)</f>
        <v>0</v>
      </c>
    </row>
    <row r="31" spans="1:19" x14ac:dyDescent="0.35">
      <c r="A31" s="27" t="s">
        <v>110</v>
      </c>
      <c r="B31" s="27" t="s">
        <v>39</v>
      </c>
      <c r="C31" s="32" t="s">
        <v>79</v>
      </c>
      <c r="D31" s="28">
        <v>622</v>
      </c>
      <c r="E31" s="28">
        <v>1626</v>
      </c>
      <c r="F31" s="28">
        <v>1273.0346943092873</v>
      </c>
      <c r="G31" s="33">
        <v>9.6273049759095664E-3</v>
      </c>
      <c r="H31" s="33">
        <v>0.3275992964925577</v>
      </c>
      <c r="I31" s="33">
        <v>0.38621639847768657</v>
      </c>
      <c r="J31" s="33">
        <v>0.17590959830524627</v>
      </c>
      <c r="K31" s="33">
        <v>8.0800436018606592E-2</v>
      </c>
      <c r="L31" s="33">
        <v>1.9846965729993234E-2</v>
      </c>
      <c r="M31" s="35">
        <f t="shared" si="0"/>
        <v>12.255893247029315</v>
      </c>
      <c r="N31" s="35">
        <f t="shared" si="1"/>
        <v>417.04527026634076</v>
      </c>
      <c r="O31" s="35">
        <f t="shared" si="2"/>
        <v>491.66687477327559</v>
      </c>
      <c r="P31" s="35">
        <f t="shared" si="3"/>
        <v>223.9390217045887</v>
      </c>
      <c r="Q31" s="35">
        <f t="shared" si="4"/>
        <v>102.86175836700397</v>
      </c>
      <c r="R31" s="35">
        <f t="shared" si="5"/>
        <v>25.265875951048837</v>
      </c>
      <c r="S31">
        <f>VLOOKUP(A31,'Education graduates'!$A$3:$E$49,5,FALSE)</f>
        <v>87</v>
      </c>
    </row>
    <row r="32" spans="1:19" x14ac:dyDescent="0.35">
      <c r="A32" s="27" t="s">
        <v>111</v>
      </c>
      <c r="B32" s="27" t="s">
        <v>40</v>
      </c>
      <c r="C32" s="32" t="s">
        <v>83</v>
      </c>
      <c r="D32" s="28">
        <v>2046</v>
      </c>
      <c r="E32" s="28">
        <v>2395</v>
      </c>
      <c r="F32" s="28">
        <v>1833.6554988586008</v>
      </c>
      <c r="G32" s="33">
        <v>0</v>
      </c>
      <c r="H32" s="33">
        <v>0.28747247489357414</v>
      </c>
      <c r="I32" s="33">
        <v>0.27178258735557548</v>
      </c>
      <c r="J32" s="33">
        <v>0.25114397272132999</v>
      </c>
      <c r="K32" s="33">
        <v>0.13575699246202377</v>
      </c>
      <c r="L32" s="33">
        <v>5.3843972567496616E-2</v>
      </c>
      <c r="M32" s="35">
        <f t="shared" si="0"/>
        <v>0</v>
      </c>
      <c r="N32" s="35">
        <f t="shared" si="1"/>
        <v>527.12548435909332</v>
      </c>
      <c r="O32" s="35">
        <f t="shared" si="2"/>
        <v>498.35563579856898</v>
      </c>
      <c r="P32" s="35">
        <f t="shared" si="3"/>
        <v>460.51152658566116</v>
      </c>
      <c r="Q32" s="35">
        <f t="shared" si="4"/>
        <v>248.93155573649551</v>
      </c>
      <c r="R32" s="35">
        <f t="shared" si="5"/>
        <v>98.731296378781821</v>
      </c>
      <c r="S32">
        <f>VLOOKUP(A32,'Education graduates'!$A$3:$E$49,5,FALSE)</f>
        <v>0</v>
      </c>
    </row>
    <row r="33" spans="1:19" x14ac:dyDescent="0.35">
      <c r="A33" s="27" t="s">
        <v>112</v>
      </c>
      <c r="B33" s="27" t="s">
        <v>9</v>
      </c>
      <c r="C33" s="27" t="s">
        <v>85</v>
      </c>
      <c r="D33" s="28">
        <v>1452</v>
      </c>
      <c r="E33" s="28">
        <v>2473</v>
      </c>
      <c r="F33" s="28">
        <v>5719</v>
      </c>
      <c r="G33" s="34">
        <v>2.5575447570332483E-3</v>
      </c>
      <c r="H33" s="34">
        <v>0.33418584825234443</v>
      </c>
      <c r="I33" s="34">
        <v>0.38235294117647056</v>
      </c>
      <c r="J33" s="34">
        <v>0.17732310315430519</v>
      </c>
      <c r="K33" s="34">
        <v>8.2267689684569476E-2</v>
      </c>
      <c r="L33" s="34">
        <v>2.1312872975277068E-2</v>
      </c>
      <c r="M33" s="35">
        <f t="shared" si="0"/>
        <v>14.626598465473148</v>
      </c>
      <c r="N33" s="35">
        <f t="shared" si="1"/>
        <v>1911.2088661551577</v>
      </c>
      <c r="O33" s="35">
        <f t="shared" si="2"/>
        <v>2186.6764705882351</v>
      </c>
      <c r="P33" s="35">
        <f t="shared" si="3"/>
        <v>1014.1108269394714</v>
      </c>
      <c r="Q33" s="35">
        <f t="shared" si="4"/>
        <v>470.48891730605283</v>
      </c>
      <c r="R33" s="35">
        <f t="shared" si="5"/>
        <v>121.88832054560955</v>
      </c>
      <c r="S33">
        <f>VLOOKUP(A33,'Education graduates'!$A$3:$E$49,5,FALSE)</f>
        <v>0</v>
      </c>
    </row>
    <row r="34" spans="1:19" x14ac:dyDescent="0.35">
      <c r="A34" s="27" t="s">
        <v>113</v>
      </c>
      <c r="B34" s="27" t="s">
        <v>41</v>
      </c>
      <c r="C34" s="32" t="s">
        <v>83</v>
      </c>
      <c r="D34" s="28">
        <v>0</v>
      </c>
      <c r="E34" s="28">
        <v>1445</v>
      </c>
      <c r="F34" s="28">
        <v>1597</v>
      </c>
      <c r="G34" s="33">
        <v>0</v>
      </c>
      <c r="H34" s="33">
        <v>0.28747247489357414</v>
      </c>
      <c r="I34" s="33">
        <v>0.27178258735557548</v>
      </c>
      <c r="J34" s="33">
        <v>0.25114397272132999</v>
      </c>
      <c r="K34" s="33">
        <v>0.13575699246202377</v>
      </c>
      <c r="L34" s="33">
        <v>5.3843972567496616E-2</v>
      </c>
      <c r="M34" s="35">
        <f t="shared" si="0"/>
        <v>0</v>
      </c>
      <c r="N34" s="35">
        <f t="shared" si="1"/>
        <v>459.09354240503791</v>
      </c>
      <c r="O34" s="35">
        <f t="shared" si="2"/>
        <v>434.03679200685406</v>
      </c>
      <c r="P34" s="35">
        <f t="shared" si="3"/>
        <v>401.07692443596397</v>
      </c>
      <c r="Q34" s="35">
        <f t="shared" si="4"/>
        <v>216.80391696185197</v>
      </c>
      <c r="R34" s="35">
        <f t="shared" si="5"/>
        <v>85.988824190292092</v>
      </c>
      <c r="S34">
        <f>VLOOKUP(A34,'Education graduates'!$A$3:$E$49,5,FALSE)</f>
        <v>73</v>
      </c>
    </row>
    <row r="35" spans="1:19" x14ac:dyDescent="0.35">
      <c r="A35" s="27" t="s">
        <v>114</v>
      </c>
      <c r="B35" s="27" t="s">
        <v>42</v>
      </c>
      <c r="C35" s="32" t="s">
        <v>85</v>
      </c>
      <c r="D35" s="28">
        <v>946</v>
      </c>
      <c r="E35" s="28">
        <v>1065</v>
      </c>
      <c r="F35" s="29">
        <v>705.66936761273496</v>
      </c>
      <c r="G35" s="33">
        <v>8.4136314403189787E-3</v>
      </c>
      <c r="H35" s="33">
        <v>0.4783415903533122</v>
      </c>
      <c r="I35" s="33">
        <v>0.34535536267218658</v>
      </c>
      <c r="J35" s="33">
        <v>0.1147456275792092</v>
      </c>
      <c r="K35" s="33">
        <v>4.184484163081776E-2</v>
      </c>
      <c r="L35" s="33">
        <v>1.1298946324155327E-2</v>
      </c>
      <c r="M35" s="35">
        <f t="shared" si="0"/>
        <v>5.9372419778165177</v>
      </c>
      <c r="N35" s="35">
        <f t="shared" si="1"/>
        <v>337.55100756749175</v>
      </c>
      <c r="O35" s="35">
        <f t="shared" si="2"/>
        <v>243.70670037854865</v>
      </c>
      <c r="P35" s="35">
        <f t="shared" si="3"/>
        <v>80.972474450146947</v>
      </c>
      <c r="Q35" s="35">
        <f t="shared" si="4"/>
        <v>29.528622931474214</v>
      </c>
      <c r="R35" s="35">
        <f t="shared" si="5"/>
        <v>7.9733203072569259</v>
      </c>
      <c r="S35">
        <f>VLOOKUP(A35,'Education graduates'!$A$3:$E$49,5,FALSE)</f>
        <v>196</v>
      </c>
    </row>
    <row r="36" spans="1:19" x14ac:dyDescent="0.35">
      <c r="A36" s="27" t="s">
        <v>115</v>
      </c>
      <c r="B36" s="27" t="s">
        <v>27</v>
      </c>
      <c r="C36" s="27" t="s">
        <v>79</v>
      </c>
      <c r="D36" s="28">
        <v>65759</v>
      </c>
      <c r="E36" s="28">
        <v>83907</v>
      </c>
      <c r="F36" s="28">
        <v>86181</v>
      </c>
      <c r="G36" s="34">
        <v>1.5643758867828428E-2</v>
      </c>
      <c r="H36" s="34">
        <v>0.38865645577909558</v>
      </c>
      <c r="I36" s="34">
        <v>0.35225743078546223</v>
      </c>
      <c r="J36" s="34">
        <v>0.16069414632371667</v>
      </c>
      <c r="K36" s="34">
        <v>6.2957034234365342E-2</v>
      </c>
      <c r="L36" s="34">
        <v>1.979117400953178E-2</v>
      </c>
      <c r="M36" s="35">
        <f t="shared" si="0"/>
        <v>1348.1947829883218</v>
      </c>
      <c r="N36" s="35">
        <f t="shared" si="1"/>
        <v>33494.802015498237</v>
      </c>
      <c r="O36" s="35">
        <f t="shared" si="2"/>
        <v>30357.897642521923</v>
      </c>
      <c r="P36" s="35">
        <f t="shared" si="3"/>
        <v>13848.782224324226</v>
      </c>
      <c r="Q36" s="35">
        <f t="shared" si="4"/>
        <v>5425.7001673518398</v>
      </c>
      <c r="R36" s="35">
        <f t="shared" si="5"/>
        <v>1705.6231673154582</v>
      </c>
      <c r="S36">
        <f>VLOOKUP(A36,'Education graduates'!$A$3:$E$49,5,FALSE)</f>
        <v>3766</v>
      </c>
    </row>
    <row r="37" spans="1:19" x14ac:dyDescent="0.35">
      <c r="A37" s="27" t="s">
        <v>116</v>
      </c>
      <c r="B37" s="27" t="s">
        <v>43</v>
      </c>
      <c r="C37" s="32" t="s">
        <v>85</v>
      </c>
      <c r="D37" s="28">
        <v>1104</v>
      </c>
      <c r="E37" s="28">
        <v>1648</v>
      </c>
      <c r="F37" s="28">
        <v>1648</v>
      </c>
      <c r="G37" s="33">
        <v>8.4136314403189787E-3</v>
      </c>
      <c r="H37" s="33">
        <v>0.4783415903533122</v>
      </c>
      <c r="I37" s="33">
        <v>0.34535536267218658</v>
      </c>
      <c r="J37" s="33">
        <v>0.1147456275792092</v>
      </c>
      <c r="K37" s="33">
        <v>4.184484163081776E-2</v>
      </c>
      <c r="L37" s="33">
        <v>1.1298946324155327E-2</v>
      </c>
      <c r="M37" s="35">
        <f t="shared" si="0"/>
        <v>13.865664613645677</v>
      </c>
      <c r="N37" s="35">
        <f t="shared" si="1"/>
        <v>788.30694090225848</v>
      </c>
      <c r="O37" s="35">
        <f t="shared" si="2"/>
        <v>569.14563768376354</v>
      </c>
      <c r="P37" s="35">
        <f t="shared" si="3"/>
        <v>189.10079425053675</v>
      </c>
      <c r="Q37" s="35">
        <f t="shared" si="4"/>
        <v>68.960299007587665</v>
      </c>
      <c r="R37" s="35">
        <f t="shared" si="5"/>
        <v>18.620663542207978</v>
      </c>
      <c r="S37">
        <f>VLOOKUP(A37,'Education graduates'!$A$3:$E$49,5,FALSE)</f>
        <v>0</v>
      </c>
    </row>
    <row r="38" spans="1:19" x14ac:dyDescent="0.35">
      <c r="A38" s="27" t="s">
        <v>117</v>
      </c>
      <c r="B38" s="27" t="s">
        <v>45</v>
      </c>
      <c r="C38" s="32" t="s">
        <v>79</v>
      </c>
      <c r="D38" s="28">
        <v>63</v>
      </c>
      <c r="E38" s="28">
        <v>60</v>
      </c>
      <c r="F38" s="28">
        <v>105</v>
      </c>
      <c r="G38" s="33">
        <v>9.6273049759095664E-3</v>
      </c>
      <c r="H38" s="33">
        <v>0.3275992964925577</v>
      </c>
      <c r="I38" s="33">
        <v>0.38621639847768657</v>
      </c>
      <c r="J38" s="33">
        <v>0.17590959830524627</v>
      </c>
      <c r="K38" s="33">
        <v>8.0800436018606592E-2</v>
      </c>
      <c r="L38" s="33">
        <v>1.9846965729993234E-2</v>
      </c>
      <c r="M38" s="35">
        <f t="shared" si="0"/>
        <v>1.0108670224705045</v>
      </c>
      <c r="N38" s="35">
        <f t="shared" si="1"/>
        <v>34.397926131718556</v>
      </c>
      <c r="O38" s="35">
        <f t="shared" si="2"/>
        <v>40.552721840157091</v>
      </c>
      <c r="P38" s="35">
        <f t="shared" si="3"/>
        <v>18.470507822050859</v>
      </c>
      <c r="Q38" s="35">
        <f t="shared" si="4"/>
        <v>8.484045781953693</v>
      </c>
      <c r="R38" s="35">
        <f t="shared" si="5"/>
        <v>2.0839314016492896</v>
      </c>
      <c r="S38">
        <f>VLOOKUP(A38,'Education graduates'!$A$3:$E$49,5,FALSE)</f>
        <v>0</v>
      </c>
    </row>
    <row r="39" spans="1:19" x14ac:dyDescent="0.35">
      <c r="A39" s="27" t="s">
        <v>118</v>
      </c>
      <c r="B39" s="27" t="s">
        <v>22</v>
      </c>
      <c r="C39" s="27" t="s">
        <v>79</v>
      </c>
      <c r="D39" s="28">
        <v>0</v>
      </c>
      <c r="E39" s="28">
        <v>2883</v>
      </c>
      <c r="F39" s="28">
        <v>2560.8623058327948</v>
      </c>
      <c r="G39" s="34">
        <v>1.4224751066856331E-3</v>
      </c>
      <c r="H39" s="34">
        <v>0.48079658605974396</v>
      </c>
      <c r="I39" s="34">
        <v>0.35135135135135137</v>
      </c>
      <c r="J39" s="34">
        <v>9.1038406827880516E-2</v>
      </c>
      <c r="K39" s="34">
        <v>6.8278805120910391E-2</v>
      </c>
      <c r="L39" s="34">
        <v>7.1123755334281651E-3</v>
      </c>
      <c r="M39" s="35">
        <f t="shared" si="0"/>
        <v>3.6427628816967212</v>
      </c>
      <c r="N39" s="35">
        <f t="shared" si="1"/>
        <v>1231.2538540134917</v>
      </c>
      <c r="O39" s="35">
        <f t="shared" si="2"/>
        <v>899.76243177909009</v>
      </c>
      <c r="P39" s="35">
        <f t="shared" si="3"/>
        <v>233.13682442859016</v>
      </c>
      <c r="Q39" s="35">
        <f t="shared" si="4"/>
        <v>174.85261832144263</v>
      </c>
      <c r="R39" s="35">
        <f t="shared" si="5"/>
        <v>18.213814408483604</v>
      </c>
      <c r="S39">
        <f>VLOOKUP(A39,'Education graduates'!$A$3:$E$49,5,FALSE)</f>
        <v>0</v>
      </c>
    </row>
    <row r="40" spans="1:19" x14ac:dyDescent="0.35">
      <c r="A40" s="27" t="s">
        <v>119</v>
      </c>
      <c r="B40" s="27" t="s">
        <v>13</v>
      </c>
      <c r="C40" s="27" t="s">
        <v>83</v>
      </c>
      <c r="D40" s="28">
        <v>93</v>
      </c>
      <c r="E40" s="28">
        <v>240</v>
      </c>
      <c r="F40" s="28">
        <v>828</v>
      </c>
      <c r="G40" s="34">
        <v>0</v>
      </c>
      <c r="H40" s="34">
        <v>0.15789473684210525</v>
      </c>
      <c r="I40" s="34">
        <v>0.26315789473684209</v>
      </c>
      <c r="J40" s="34">
        <v>0.2982456140350877</v>
      </c>
      <c r="K40" s="34">
        <v>0.15789473684210525</v>
      </c>
      <c r="L40" s="34">
        <v>0.12280701754385964</v>
      </c>
      <c r="M40" s="35">
        <f t="shared" si="0"/>
        <v>0</v>
      </c>
      <c r="N40" s="35">
        <f t="shared" si="1"/>
        <v>130.73684210526315</v>
      </c>
      <c r="O40" s="35">
        <f t="shared" si="2"/>
        <v>217.89473684210526</v>
      </c>
      <c r="P40" s="35">
        <f t="shared" si="3"/>
        <v>246.94736842105263</v>
      </c>
      <c r="Q40" s="35">
        <f t="shared" si="4"/>
        <v>130.73684210526315</v>
      </c>
      <c r="R40" s="35">
        <f t="shared" si="5"/>
        <v>101.68421052631578</v>
      </c>
      <c r="S40">
        <f>VLOOKUP(A40,'Education graduates'!$A$3:$E$49,5,FALSE)</f>
        <v>0</v>
      </c>
    </row>
    <row r="41" spans="1:19" x14ac:dyDescent="0.35">
      <c r="A41" s="27" t="s">
        <v>120</v>
      </c>
      <c r="B41" s="27" t="s">
        <v>11</v>
      </c>
      <c r="C41" s="27" t="s">
        <v>85</v>
      </c>
      <c r="D41" s="28">
        <v>0</v>
      </c>
      <c r="E41" s="28">
        <v>566</v>
      </c>
      <c r="F41" s="28">
        <v>1106</v>
      </c>
      <c r="G41" s="34">
        <v>0</v>
      </c>
      <c r="H41" s="34">
        <v>1</v>
      </c>
      <c r="I41" s="34">
        <v>0</v>
      </c>
      <c r="J41" s="34">
        <v>0</v>
      </c>
      <c r="K41" s="34">
        <v>0</v>
      </c>
      <c r="L41" s="34">
        <v>0</v>
      </c>
      <c r="M41" s="35">
        <f t="shared" si="0"/>
        <v>0</v>
      </c>
      <c r="N41" s="35">
        <f t="shared" si="1"/>
        <v>1106</v>
      </c>
      <c r="O41" s="35">
        <f t="shared" si="2"/>
        <v>0</v>
      </c>
      <c r="P41" s="35">
        <f t="shared" si="3"/>
        <v>0</v>
      </c>
      <c r="Q41" s="35">
        <f t="shared" si="4"/>
        <v>0</v>
      </c>
      <c r="R41" s="35">
        <f t="shared" si="5"/>
        <v>0</v>
      </c>
      <c r="S41">
        <f>VLOOKUP(A41,'Education graduates'!$A$3:$E$49,5,FALSE)</f>
        <v>0</v>
      </c>
    </row>
    <row r="42" spans="1:19" x14ac:dyDescent="0.35">
      <c r="A42" s="27" t="s">
        <v>121</v>
      </c>
      <c r="B42" s="27" t="s">
        <v>16</v>
      </c>
      <c r="C42" s="32" t="s">
        <v>83</v>
      </c>
      <c r="D42" s="28">
        <v>0</v>
      </c>
      <c r="E42" s="28">
        <v>43503</v>
      </c>
      <c r="F42" s="28">
        <v>48021</v>
      </c>
      <c r="G42" s="33">
        <v>0</v>
      </c>
      <c r="H42" s="33">
        <v>0.28747247489357414</v>
      </c>
      <c r="I42" s="33">
        <v>0.27178258735557548</v>
      </c>
      <c r="J42" s="33">
        <v>0.25114397272132999</v>
      </c>
      <c r="K42" s="33">
        <v>0.13575699246202377</v>
      </c>
      <c r="L42" s="33">
        <v>5.3843972567496616E-2</v>
      </c>
      <c r="M42" s="35">
        <f t="shared" si="0"/>
        <v>0</v>
      </c>
      <c r="N42" s="35">
        <f t="shared" si="1"/>
        <v>13804.715716864324</v>
      </c>
      <c r="O42" s="35">
        <f t="shared" si="2"/>
        <v>13051.27162740209</v>
      </c>
      <c r="P42" s="35">
        <f t="shared" si="3"/>
        <v>12060.184714050987</v>
      </c>
      <c r="Q42" s="35">
        <f t="shared" si="4"/>
        <v>6519.1865350188436</v>
      </c>
      <c r="R42" s="35">
        <f t="shared" si="5"/>
        <v>2585.6414066637549</v>
      </c>
      <c r="S42">
        <f>VLOOKUP(A42,'Education graduates'!$A$3:$E$49,5,FALSE)</f>
        <v>0</v>
      </c>
    </row>
    <row r="43" spans="1:19" x14ac:dyDescent="0.35">
      <c r="A43" s="27" t="s">
        <v>122</v>
      </c>
      <c r="B43" s="27" t="s">
        <v>44</v>
      </c>
      <c r="C43" s="32" t="s">
        <v>85</v>
      </c>
      <c r="D43" s="28">
        <v>0</v>
      </c>
      <c r="E43" s="28">
        <v>411</v>
      </c>
      <c r="F43" s="28">
        <v>456</v>
      </c>
      <c r="G43" s="33">
        <v>8.4136314403189787E-3</v>
      </c>
      <c r="H43" s="33">
        <v>0.4783415903533122</v>
      </c>
      <c r="I43" s="33">
        <v>0.34535536267218658</v>
      </c>
      <c r="J43" s="33">
        <v>0.1147456275792092</v>
      </c>
      <c r="K43" s="33">
        <v>4.184484163081776E-2</v>
      </c>
      <c r="L43" s="33">
        <v>1.1298946324155327E-2</v>
      </c>
      <c r="M43" s="35">
        <f t="shared" si="0"/>
        <v>3.8366159367854542</v>
      </c>
      <c r="N43" s="35">
        <f t="shared" si="1"/>
        <v>218.12376520111036</v>
      </c>
      <c r="O43" s="35">
        <f t="shared" si="2"/>
        <v>157.48204537851709</v>
      </c>
      <c r="P43" s="35">
        <f t="shared" si="3"/>
        <v>52.324006176119397</v>
      </c>
      <c r="Q43" s="35">
        <f t="shared" si="4"/>
        <v>19.081247783652898</v>
      </c>
      <c r="R43" s="35">
        <f t="shared" si="5"/>
        <v>5.1523195238148292</v>
      </c>
      <c r="S43">
        <f>VLOOKUP(A43,'Education graduates'!$A$3:$E$49,5,FALSE)</f>
        <v>0</v>
      </c>
    </row>
    <row r="44" spans="1:19" x14ac:dyDescent="0.35">
      <c r="A44" s="27" t="s">
        <v>123</v>
      </c>
      <c r="B44" s="27" t="s">
        <v>46</v>
      </c>
      <c r="C44" s="32" t="s">
        <v>79</v>
      </c>
      <c r="D44" s="28">
        <v>1481</v>
      </c>
      <c r="E44" s="28">
        <v>2885</v>
      </c>
      <c r="F44" s="28">
        <v>8693</v>
      </c>
      <c r="G44" s="33">
        <v>9.6273049759095664E-3</v>
      </c>
      <c r="H44" s="33">
        <v>0.3275992964925577</v>
      </c>
      <c r="I44" s="33">
        <v>0.38621639847768657</v>
      </c>
      <c r="J44" s="33">
        <v>0.17590959830524627</v>
      </c>
      <c r="K44" s="33">
        <v>8.0800436018606592E-2</v>
      </c>
      <c r="L44" s="33">
        <v>1.9846965729993234E-2</v>
      </c>
      <c r="M44" s="35">
        <f t="shared" si="0"/>
        <v>83.690162155581859</v>
      </c>
      <c r="N44" s="35">
        <f t="shared" si="1"/>
        <v>2847.820684409804</v>
      </c>
      <c r="O44" s="35">
        <f t="shared" si="2"/>
        <v>3357.3791519665292</v>
      </c>
      <c r="P44" s="35">
        <f t="shared" si="3"/>
        <v>1529.1821380675058</v>
      </c>
      <c r="Q44" s="35">
        <f t="shared" si="4"/>
        <v>702.39819030974706</v>
      </c>
      <c r="R44" s="35">
        <f t="shared" si="5"/>
        <v>172.52967309083118</v>
      </c>
      <c r="S44">
        <f>VLOOKUP(A44,'Education graduates'!$A$3:$E$49,5,FALSE)</f>
        <v>1380</v>
      </c>
    </row>
    <row r="45" spans="1:19" x14ac:dyDescent="0.35">
      <c r="A45" s="27" t="s">
        <v>124</v>
      </c>
      <c r="B45" s="27" t="s">
        <v>14</v>
      </c>
      <c r="C45" s="27" t="s">
        <v>85</v>
      </c>
      <c r="D45" s="28">
        <v>361</v>
      </c>
      <c r="E45" s="28">
        <v>611</v>
      </c>
      <c r="F45" s="28">
        <v>730</v>
      </c>
      <c r="G45" s="34">
        <v>4.10958904109589E-3</v>
      </c>
      <c r="H45" s="34">
        <v>0.29178082191780824</v>
      </c>
      <c r="I45" s="34">
        <v>0.36575342465753424</v>
      </c>
      <c r="J45" s="34">
        <v>0.21232876712328766</v>
      </c>
      <c r="K45" s="34">
        <v>8.7671232876712329E-2</v>
      </c>
      <c r="L45" s="34">
        <v>3.8356164383561646E-2</v>
      </c>
      <c r="M45" s="35">
        <f t="shared" si="0"/>
        <v>2.9999999999999996</v>
      </c>
      <c r="N45" s="35">
        <f t="shared" si="1"/>
        <v>213.00000000000003</v>
      </c>
      <c r="O45" s="35">
        <f t="shared" si="2"/>
        <v>267</v>
      </c>
      <c r="P45" s="35">
        <f t="shared" si="3"/>
        <v>155</v>
      </c>
      <c r="Q45" s="35">
        <f t="shared" si="4"/>
        <v>64</v>
      </c>
      <c r="R45" s="35">
        <f t="shared" si="5"/>
        <v>28</v>
      </c>
      <c r="S45">
        <f>VLOOKUP(A45,'Education graduates'!$A$3:$E$49,5,FALSE)</f>
        <v>91</v>
      </c>
    </row>
    <row r="46" spans="1:19" x14ac:dyDescent="0.35">
      <c r="A46" s="27" t="s">
        <v>125</v>
      </c>
      <c r="B46" s="27" t="s">
        <v>15</v>
      </c>
      <c r="C46" s="32" t="s">
        <v>85</v>
      </c>
      <c r="D46" s="28">
        <v>3370</v>
      </c>
      <c r="E46" s="28">
        <v>17186</v>
      </c>
      <c r="F46" s="28">
        <v>9051.7813279678066</v>
      </c>
      <c r="G46" s="33">
        <v>8.4136314403189787E-3</v>
      </c>
      <c r="H46" s="33">
        <v>0.4783415903533122</v>
      </c>
      <c r="I46" s="33">
        <v>0.34535536267218658</v>
      </c>
      <c r="J46" s="33">
        <v>0.1147456275792092</v>
      </c>
      <c r="K46" s="33">
        <v>4.184484163081776E-2</v>
      </c>
      <c r="L46" s="33">
        <v>1.1298946324155327E-2</v>
      </c>
      <c r="M46" s="35">
        <f t="shared" si="0"/>
        <v>76.158351971882212</v>
      </c>
      <c r="N46" s="35">
        <f t="shared" si="1"/>
        <v>4329.8434759505371</v>
      </c>
      <c r="O46" s="35">
        <f t="shared" si="2"/>
        <v>3126.0812233496486</v>
      </c>
      <c r="P46" s="35">
        <f t="shared" si="3"/>
        <v>1038.6523291874337</v>
      </c>
      <c r="Q46" s="35">
        <f t="shared" si="4"/>
        <v>378.77035614560612</v>
      </c>
      <c r="R46" s="35">
        <f t="shared" si="5"/>
        <v>102.27559136269967</v>
      </c>
      <c r="S46">
        <f>VLOOKUP(A46,'Education graduates'!$A$3:$E$49,5,FALSE)</f>
        <v>390</v>
      </c>
    </row>
    <row r="47" spans="1:19" x14ac:dyDescent="0.35">
      <c r="A47" s="27" t="s">
        <v>126</v>
      </c>
      <c r="B47" s="27" t="s">
        <v>17</v>
      </c>
      <c r="C47" s="27" t="s">
        <v>79</v>
      </c>
      <c r="D47" s="28">
        <v>0</v>
      </c>
      <c r="E47" s="28">
        <v>4021</v>
      </c>
      <c r="F47" s="28">
        <v>6531</v>
      </c>
      <c r="G47" s="34">
        <v>4.1968714231209459E-3</v>
      </c>
      <c r="H47" s="34">
        <v>0.36398321251430754</v>
      </c>
      <c r="I47" s="34">
        <v>0.28462418924074778</v>
      </c>
      <c r="J47" s="34">
        <v>0.18428080885158338</v>
      </c>
      <c r="K47" s="34">
        <v>0.10587561999236933</v>
      </c>
      <c r="L47" s="34">
        <v>5.7039297977871044E-2</v>
      </c>
      <c r="M47" s="35">
        <f t="shared" si="0"/>
        <v>27.409767264402898</v>
      </c>
      <c r="N47" s="35">
        <f t="shared" si="1"/>
        <v>2377.1743609309424</v>
      </c>
      <c r="O47" s="35">
        <f t="shared" si="2"/>
        <v>1858.8805799313238</v>
      </c>
      <c r="P47" s="35">
        <f t="shared" si="3"/>
        <v>1203.537962609691</v>
      </c>
      <c r="Q47" s="35">
        <f t="shared" si="4"/>
        <v>691.47367417016414</v>
      </c>
      <c r="R47" s="35">
        <f t="shared" si="5"/>
        <v>372.52365509347578</v>
      </c>
      <c r="S47">
        <f>VLOOKUP(A47,'Education graduates'!$A$3:$E$49,5,FALSE)</f>
        <v>0</v>
      </c>
    </row>
    <row r="48" spans="1:19" x14ac:dyDescent="0.35">
      <c r="A48" s="27" t="s">
        <v>127</v>
      </c>
      <c r="B48" s="27" t="s">
        <v>18</v>
      </c>
      <c r="C48" s="27" t="s">
        <v>79</v>
      </c>
      <c r="D48" s="28">
        <v>1114</v>
      </c>
      <c r="E48" s="28">
        <v>3026</v>
      </c>
      <c r="F48" s="28">
        <v>3131.5983655333839</v>
      </c>
      <c r="G48" s="34">
        <v>0</v>
      </c>
      <c r="H48" s="34">
        <v>0.15989660265878877</v>
      </c>
      <c r="I48" s="34">
        <v>0.4098966026587888</v>
      </c>
      <c r="J48" s="34">
        <v>0.43020679468242246</v>
      </c>
      <c r="K48" s="34">
        <v>0</v>
      </c>
      <c r="L48" s="34">
        <v>0</v>
      </c>
      <c r="M48" s="35">
        <f t="shared" si="0"/>
        <v>0</v>
      </c>
      <c r="N48" s="35">
        <f t="shared" si="1"/>
        <v>500.73193954060383</v>
      </c>
      <c r="O48" s="35">
        <f t="shared" si="2"/>
        <v>1283.6315309239499</v>
      </c>
      <c r="P48" s="35">
        <f t="shared" si="3"/>
        <v>1347.2348950688302</v>
      </c>
      <c r="Q48" s="35">
        <f t="shared" si="4"/>
        <v>0</v>
      </c>
      <c r="R48" s="35">
        <f t="shared" si="5"/>
        <v>0</v>
      </c>
      <c r="S48">
        <f>VLOOKUP(A48,'Education graduates'!$A$3:$E$49,5,FALSE)</f>
        <v>51</v>
      </c>
    </row>
    <row r="49" spans="1:19" x14ac:dyDescent="0.35">
      <c r="A49" s="30" t="s">
        <v>75</v>
      </c>
      <c r="B49" s="27" t="s">
        <v>75</v>
      </c>
      <c r="C49" s="27"/>
      <c r="D49" s="31">
        <v>115272</v>
      </c>
      <c r="E49" s="31">
        <v>339167</v>
      </c>
      <c r="F49" s="31">
        <v>339063.33331175643</v>
      </c>
      <c r="G49" s="34">
        <v>1.0147857047578982E-2</v>
      </c>
      <c r="H49" s="34">
        <v>0.36773412409320844</v>
      </c>
      <c r="I49" s="34">
        <v>0.36325018725823166</v>
      </c>
      <c r="J49" s="34">
        <v>0.1737756389866508</v>
      </c>
      <c r="K49" s="34">
        <v>6.744374557506233E-2</v>
      </c>
      <c r="L49" s="34">
        <v>1.7648447039267795E-2</v>
      </c>
      <c r="M49" s="35">
        <f t="shared" si="0"/>
        <v>3440.7662365233291</v>
      </c>
      <c r="N49" s="35">
        <f t="shared" si="1"/>
        <v>124685.15788752233</v>
      </c>
      <c r="O49" s="35">
        <f t="shared" si="2"/>
        <v>123164.81931789574</v>
      </c>
      <c r="P49" s="35">
        <f t="shared" si="3"/>
        <v>58920.947403194237</v>
      </c>
      <c r="Q49" s="35">
        <f t="shared" si="4"/>
        <v>22867.701185710655</v>
      </c>
      <c r="R49" s="35">
        <f t="shared" si="5"/>
        <v>5983.9412809101377</v>
      </c>
      <c r="S49">
        <f>VLOOKUP(A49,'Education graduates'!$A$3:$E$49,5,FALSE)</f>
        <v>12194</v>
      </c>
    </row>
  </sheetData>
  <autoFilter ref="A1:L49" xr:uid="{616891F3-8612-47FD-81C3-E5555608DC5B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FA5D-D78F-4067-82BB-F614310C507D}">
  <dimension ref="A1:E49"/>
  <sheetViews>
    <sheetView topLeftCell="C1" workbookViewId="0">
      <selection activeCell="A16" sqref="A16"/>
    </sheetView>
  </sheetViews>
  <sheetFormatPr defaultRowHeight="14" x14ac:dyDescent="0.3"/>
  <cols>
    <col min="1" max="1" width="18.54296875" style="36" bestFit="1" customWidth="1"/>
    <col min="2" max="2" width="12.6328125" style="36" customWidth="1"/>
    <col min="3" max="3" width="27.54296875" style="36" bestFit="1" customWidth="1"/>
    <col min="4" max="4" width="26.7265625" style="36" bestFit="1" customWidth="1"/>
    <col min="5" max="16384" width="8.7265625" style="36"/>
  </cols>
  <sheetData>
    <row r="1" spans="1:5" x14ac:dyDescent="0.3">
      <c r="A1" s="36" t="s">
        <v>146</v>
      </c>
      <c r="B1" s="36" t="s">
        <v>136</v>
      </c>
      <c r="C1" s="36" t="s">
        <v>144</v>
      </c>
      <c r="D1" s="36" t="s">
        <v>145</v>
      </c>
      <c r="E1" s="36" t="s">
        <v>147</v>
      </c>
    </row>
    <row r="2" spans="1:5" s="27" customFormat="1" x14ac:dyDescent="0.3">
      <c r="A2" s="27" t="s">
        <v>78</v>
      </c>
      <c r="B2" s="27" t="s">
        <v>4</v>
      </c>
      <c r="E2" s="27">
        <v>0</v>
      </c>
    </row>
    <row r="3" spans="1:5" x14ac:dyDescent="0.3">
      <c r="A3" s="36" t="s">
        <v>80</v>
      </c>
      <c r="B3" s="36" t="s">
        <v>28</v>
      </c>
      <c r="E3" s="36">
        <f>C3+D3</f>
        <v>0</v>
      </c>
    </row>
    <row r="4" spans="1:5" x14ac:dyDescent="0.3">
      <c r="A4" s="36" t="s">
        <v>81</v>
      </c>
      <c r="B4" s="36" t="s">
        <v>0</v>
      </c>
      <c r="C4" s="36">
        <v>173</v>
      </c>
      <c r="D4" s="36">
        <v>118</v>
      </c>
      <c r="E4" s="36">
        <f t="shared" ref="E4:E49" si="0">C4+D4</f>
        <v>291</v>
      </c>
    </row>
    <row r="5" spans="1:5" x14ac:dyDescent="0.3">
      <c r="A5" s="36" t="s">
        <v>82</v>
      </c>
      <c r="B5" s="36" t="s">
        <v>1</v>
      </c>
      <c r="C5" s="36">
        <v>8</v>
      </c>
      <c r="E5" s="36">
        <f t="shared" si="0"/>
        <v>8</v>
      </c>
    </row>
    <row r="6" spans="1:5" x14ac:dyDescent="0.3">
      <c r="A6" s="36" t="s">
        <v>84</v>
      </c>
      <c r="B6" s="36" t="s">
        <v>20</v>
      </c>
      <c r="C6" s="36">
        <v>325</v>
      </c>
      <c r="D6" s="36">
        <v>253</v>
      </c>
      <c r="E6" s="36">
        <f t="shared" si="0"/>
        <v>578</v>
      </c>
    </row>
    <row r="7" spans="1:5" x14ac:dyDescent="0.3">
      <c r="A7" s="36" t="s">
        <v>86</v>
      </c>
      <c r="B7" s="36" t="s">
        <v>19</v>
      </c>
      <c r="C7" s="36">
        <v>319</v>
      </c>
      <c r="E7" s="36">
        <f t="shared" si="0"/>
        <v>319</v>
      </c>
    </row>
    <row r="8" spans="1:5" x14ac:dyDescent="0.3">
      <c r="A8" s="36" t="s">
        <v>87</v>
      </c>
      <c r="B8" s="36" t="s">
        <v>24</v>
      </c>
      <c r="E8" s="36">
        <f t="shared" si="0"/>
        <v>0</v>
      </c>
    </row>
    <row r="9" spans="1:5" x14ac:dyDescent="0.3">
      <c r="A9" s="36" t="s">
        <v>88</v>
      </c>
      <c r="B9" s="36" t="s">
        <v>3</v>
      </c>
      <c r="E9" s="36">
        <f t="shared" si="0"/>
        <v>0</v>
      </c>
    </row>
    <row r="10" spans="1:5" x14ac:dyDescent="0.3">
      <c r="A10" s="27" t="s">
        <v>89</v>
      </c>
      <c r="B10" s="36" t="s">
        <v>29</v>
      </c>
      <c r="E10" s="36">
        <f t="shared" si="0"/>
        <v>0</v>
      </c>
    </row>
    <row r="11" spans="1:5" x14ac:dyDescent="0.3">
      <c r="A11" s="36" t="s">
        <v>90</v>
      </c>
      <c r="B11" s="36" t="s">
        <v>23</v>
      </c>
      <c r="C11" s="36">
        <v>107</v>
      </c>
      <c r="D11" s="36">
        <v>6</v>
      </c>
      <c r="E11" s="36">
        <f t="shared" si="0"/>
        <v>113</v>
      </c>
    </row>
    <row r="12" spans="1:5" s="27" customFormat="1" x14ac:dyDescent="0.3">
      <c r="A12" s="27" t="s">
        <v>91</v>
      </c>
      <c r="B12" s="27" t="s">
        <v>31</v>
      </c>
      <c r="E12" s="27">
        <v>0</v>
      </c>
    </row>
    <row r="13" spans="1:5" x14ac:dyDescent="0.3">
      <c r="A13" s="36" t="s">
        <v>92</v>
      </c>
      <c r="B13" s="36" t="s">
        <v>26</v>
      </c>
      <c r="C13" s="36">
        <v>39</v>
      </c>
      <c r="D13" s="36">
        <v>0</v>
      </c>
      <c r="E13" s="36">
        <f t="shared" si="0"/>
        <v>39</v>
      </c>
    </row>
    <row r="14" spans="1:5" x14ac:dyDescent="0.3">
      <c r="A14" s="36" t="s">
        <v>93</v>
      </c>
      <c r="B14" s="36" t="s">
        <v>2</v>
      </c>
      <c r="C14" s="36">
        <v>254</v>
      </c>
      <c r="D14" s="36">
        <v>11</v>
      </c>
      <c r="E14" s="36">
        <f t="shared" si="0"/>
        <v>265</v>
      </c>
    </row>
    <row r="15" spans="1:5" x14ac:dyDescent="0.3">
      <c r="A15" s="36" t="s">
        <v>94</v>
      </c>
      <c r="B15" s="36" t="s">
        <v>30</v>
      </c>
      <c r="D15" s="36">
        <v>27</v>
      </c>
      <c r="E15" s="36">
        <f t="shared" si="0"/>
        <v>27</v>
      </c>
    </row>
    <row r="16" spans="1:5" x14ac:dyDescent="0.3">
      <c r="A16" s="27" t="s">
        <v>95</v>
      </c>
      <c r="B16" s="27" t="s">
        <v>35</v>
      </c>
    </row>
    <row r="17" spans="1:5" x14ac:dyDescent="0.3">
      <c r="A17" s="36" t="s">
        <v>96</v>
      </c>
      <c r="B17" s="36" t="s">
        <v>5</v>
      </c>
      <c r="C17" s="36">
        <v>44</v>
      </c>
      <c r="D17" s="36">
        <v>1</v>
      </c>
      <c r="E17" s="36">
        <f t="shared" si="0"/>
        <v>45</v>
      </c>
    </row>
    <row r="18" spans="1:5" x14ac:dyDescent="0.3">
      <c r="A18" s="36" t="s">
        <v>97</v>
      </c>
      <c r="B18" s="36" t="s">
        <v>12</v>
      </c>
      <c r="E18" s="36">
        <f t="shared" si="0"/>
        <v>0</v>
      </c>
    </row>
    <row r="19" spans="1:5" x14ac:dyDescent="0.3">
      <c r="A19" s="36" t="s">
        <v>98</v>
      </c>
      <c r="B19" s="36" t="s">
        <v>32</v>
      </c>
      <c r="C19" s="36">
        <v>2895</v>
      </c>
      <c r="D19" s="36">
        <v>41</v>
      </c>
      <c r="E19" s="36">
        <f t="shared" si="0"/>
        <v>2936</v>
      </c>
    </row>
    <row r="20" spans="1:5" x14ac:dyDescent="0.3">
      <c r="A20" s="36" t="s">
        <v>99</v>
      </c>
      <c r="B20" s="36" t="s">
        <v>21</v>
      </c>
      <c r="C20" s="36">
        <v>46</v>
      </c>
      <c r="D20" s="36">
        <v>16</v>
      </c>
      <c r="E20" s="36">
        <f t="shared" si="0"/>
        <v>62</v>
      </c>
    </row>
    <row r="21" spans="1:5" x14ac:dyDescent="0.3">
      <c r="A21" s="36" t="s">
        <v>100</v>
      </c>
      <c r="B21" s="36" t="s">
        <v>34</v>
      </c>
      <c r="E21" s="36">
        <f t="shared" si="0"/>
        <v>0</v>
      </c>
    </row>
    <row r="22" spans="1:5" x14ac:dyDescent="0.3">
      <c r="A22" s="36" t="s">
        <v>101</v>
      </c>
      <c r="B22" s="36" t="s">
        <v>6</v>
      </c>
      <c r="E22" s="36">
        <f t="shared" si="0"/>
        <v>0</v>
      </c>
    </row>
    <row r="23" spans="1:5" x14ac:dyDescent="0.3">
      <c r="A23" s="36" t="s">
        <v>102</v>
      </c>
      <c r="B23" s="36" t="s">
        <v>33</v>
      </c>
      <c r="C23" s="36">
        <v>767</v>
      </c>
      <c r="D23" s="36">
        <v>74</v>
      </c>
      <c r="E23" s="36">
        <f t="shared" si="0"/>
        <v>841</v>
      </c>
    </row>
    <row r="24" spans="1:5" x14ac:dyDescent="0.3">
      <c r="A24" s="36" t="s">
        <v>103</v>
      </c>
      <c r="B24" s="36" t="s">
        <v>25</v>
      </c>
      <c r="C24" s="36">
        <v>69</v>
      </c>
      <c r="E24" s="36">
        <f t="shared" si="0"/>
        <v>69</v>
      </c>
    </row>
    <row r="25" spans="1:5" x14ac:dyDescent="0.3">
      <c r="A25" s="27" t="s">
        <v>104</v>
      </c>
      <c r="B25" s="27" t="s">
        <v>7</v>
      </c>
      <c r="E25" s="36">
        <v>538</v>
      </c>
    </row>
    <row r="26" spans="1:5" x14ac:dyDescent="0.3">
      <c r="A26" s="36" t="s">
        <v>105</v>
      </c>
      <c r="B26" s="36" t="s">
        <v>37</v>
      </c>
      <c r="E26" s="36">
        <f t="shared" si="0"/>
        <v>0</v>
      </c>
    </row>
    <row r="27" spans="1:5" x14ac:dyDescent="0.3">
      <c r="A27" s="36" t="s">
        <v>106</v>
      </c>
      <c r="B27" s="36" t="s">
        <v>36</v>
      </c>
      <c r="C27" s="36">
        <v>47</v>
      </c>
      <c r="D27" s="36">
        <v>15</v>
      </c>
      <c r="E27" s="36">
        <f t="shared" si="0"/>
        <v>62</v>
      </c>
    </row>
    <row r="28" spans="1:5" x14ac:dyDescent="0.3">
      <c r="A28" s="36" t="s">
        <v>107</v>
      </c>
      <c r="B28" s="36" t="s">
        <v>8</v>
      </c>
      <c r="C28" s="36">
        <v>367</v>
      </c>
      <c r="D28" s="36">
        <v>37</v>
      </c>
      <c r="E28" s="36">
        <f t="shared" si="0"/>
        <v>404</v>
      </c>
    </row>
    <row r="29" spans="1:5" x14ac:dyDescent="0.3">
      <c r="A29" s="36" t="s">
        <v>108</v>
      </c>
      <c r="B29" s="36" t="s">
        <v>10</v>
      </c>
      <c r="C29" s="36">
        <v>101</v>
      </c>
      <c r="E29" s="36">
        <f t="shared" si="0"/>
        <v>101</v>
      </c>
    </row>
    <row r="30" spans="1:5" x14ac:dyDescent="0.3">
      <c r="A30" s="36" t="s">
        <v>109</v>
      </c>
      <c r="B30" s="36" t="s">
        <v>38</v>
      </c>
      <c r="E30" s="36">
        <f t="shared" si="0"/>
        <v>0</v>
      </c>
    </row>
    <row r="31" spans="1:5" x14ac:dyDescent="0.3">
      <c r="A31" s="36" t="s">
        <v>110</v>
      </c>
      <c r="B31" s="36" t="s">
        <v>39</v>
      </c>
      <c r="C31" s="36">
        <v>74</v>
      </c>
      <c r="D31" s="36">
        <v>13</v>
      </c>
      <c r="E31" s="36">
        <f t="shared" si="0"/>
        <v>87</v>
      </c>
    </row>
    <row r="32" spans="1:5" x14ac:dyDescent="0.3">
      <c r="A32" s="36" t="s">
        <v>111</v>
      </c>
      <c r="B32" s="36" t="s">
        <v>40</v>
      </c>
      <c r="E32" s="36">
        <f t="shared" si="0"/>
        <v>0</v>
      </c>
    </row>
    <row r="33" spans="1:5" x14ac:dyDescent="0.3">
      <c r="A33" s="36" t="s">
        <v>112</v>
      </c>
      <c r="B33" s="36" t="s">
        <v>9</v>
      </c>
      <c r="E33" s="36">
        <f t="shared" si="0"/>
        <v>0</v>
      </c>
    </row>
    <row r="34" spans="1:5" x14ac:dyDescent="0.3">
      <c r="A34" s="36" t="s">
        <v>113</v>
      </c>
      <c r="B34" s="36" t="s">
        <v>41</v>
      </c>
      <c r="C34" s="36">
        <v>70</v>
      </c>
      <c r="D34" s="36">
        <v>3</v>
      </c>
      <c r="E34" s="36">
        <f t="shared" si="0"/>
        <v>73</v>
      </c>
    </row>
    <row r="35" spans="1:5" x14ac:dyDescent="0.3">
      <c r="A35" s="36" t="s">
        <v>114</v>
      </c>
      <c r="B35" s="36" t="s">
        <v>42</v>
      </c>
      <c r="C35" s="36">
        <v>196</v>
      </c>
      <c r="E35" s="36">
        <f t="shared" si="0"/>
        <v>196</v>
      </c>
    </row>
    <row r="36" spans="1:5" x14ac:dyDescent="0.3">
      <c r="A36" s="36" t="s">
        <v>115</v>
      </c>
      <c r="B36" s="36" t="s">
        <v>27</v>
      </c>
      <c r="C36" s="36">
        <v>3766</v>
      </c>
      <c r="E36" s="36">
        <f t="shared" si="0"/>
        <v>3766</v>
      </c>
    </row>
    <row r="37" spans="1:5" x14ac:dyDescent="0.3">
      <c r="A37" s="36" t="s">
        <v>116</v>
      </c>
      <c r="B37" s="36" t="s">
        <v>43</v>
      </c>
      <c r="E37" s="36">
        <f t="shared" si="0"/>
        <v>0</v>
      </c>
    </row>
    <row r="38" spans="1:5" x14ac:dyDescent="0.3">
      <c r="A38" s="27" t="s">
        <v>117</v>
      </c>
      <c r="B38" s="27" t="s">
        <v>45</v>
      </c>
    </row>
    <row r="39" spans="1:5" x14ac:dyDescent="0.3">
      <c r="A39" s="36" t="s">
        <v>118</v>
      </c>
      <c r="B39" s="36" t="s">
        <v>22</v>
      </c>
      <c r="E39" s="36">
        <f t="shared" si="0"/>
        <v>0</v>
      </c>
    </row>
    <row r="40" spans="1:5" x14ac:dyDescent="0.3">
      <c r="A40" s="27" t="s">
        <v>119</v>
      </c>
      <c r="B40" s="27" t="s">
        <v>13</v>
      </c>
    </row>
    <row r="41" spans="1:5" x14ac:dyDescent="0.3">
      <c r="A41" s="36" t="s">
        <v>120</v>
      </c>
      <c r="B41" s="36" t="s">
        <v>11</v>
      </c>
      <c r="E41" s="36">
        <f t="shared" si="0"/>
        <v>0</v>
      </c>
    </row>
    <row r="42" spans="1:5" x14ac:dyDescent="0.3">
      <c r="A42" s="36" t="s">
        <v>121</v>
      </c>
      <c r="B42" s="36" t="s">
        <v>16</v>
      </c>
      <c r="E42" s="36">
        <f t="shared" si="0"/>
        <v>0</v>
      </c>
    </row>
    <row r="43" spans="1:5" x14ac:dyDescent="0.3">
      <c r="A43" s="36" t="s">
        <v>122</v>
      </c>
      <c r="B43" s="36" t="s">
        <v>44</v>
      </c>
      <c r="E43" s="36">
        <f t="shared" si="0"/>
        <v>0</v>
      </c>
    </row>
    <row r="44" spans="1:5" x14ac:dyDescent="0.3">
      <c r="A44" s="36" t="s">
        <v>123</v>
      </c>
      <c r="B44" s="36" t="s">
        <v>46</v>
      </c>
      <c r="C44" s="36">
        <v>1076</v>
      </c>
      <c r="D44" s="36">
        <v>304</v>
      </c>
      <c r="E44" s="36">
        <f t="shared" si="0"/>
        <v>1380</v>
      </c>
    </row>
    <row r="45" spans="1:5" x14ac:dyDescent="0.3">
      <c r="A45" s="36" t="s">
        <v>124</v>
      </c>
      <c r="B45" s="36" t="s">
        <v>14</v>
      </c>
      <c r="C45" s="36">
        <v>40</v>
      </c>
      <c r="D45" s="36">
        <v>51</v>
      </c>
      <c r="E45" s="36">
        <f t="shared" si="0"/>
        <v>91</v>
      </c>
    </row>
    <row r="46" spans="1:5" x14ac:dyDescent="0.3">
      <c r="A46" s="36" t="s">
        <v>125</v>
      </c>
      <c r="B46" s="36" t="s">
        <v>15</v>
      </c>
      <c r="C46" s="36">
        <v>62</v>
      </c>
      <c r="D46" s="36">
        <v>328</v>
      </c>
      <c r="E46" s="36">
        <f t="shared" si="0"/>
        <v>390</v>
      </c>
    </row>
    <row r="47" spans="1:5" x14ac:dyDescent="0.3">
      <c r="A47" s="36" t="s">
        <v>126</v>
      </c>
      <c r="B47" s="36" t="s">
        <v>17</v>
      </c>
      <c r="E47" s="36">
        <f t="shared" si="0"/>
        <v>0</v>
      </c>
    </row>
    <row r="48" spans="1:5" x14ac:dyDescent="0.3">
      <c r="A48" s="36" t="s">
        <v>127</v>
      </c>
      <c r="B48" s="36" t="s">
        <v>18</v>
      </c>
      <c r="D48" s="36">
        <v>51</v>
      </c>
      <c r="E48" s="36">
        <f t="shared" si="0"/>
        <v>51</v>
      </c>
    </row>
    <row r="49" spans="1:5" x14ac:dyDescent="0.3">
      <c r="A49" s="36" t="s">
        <v>75</v>
      </c>
      <c r="B49" s="36" t="s">
        <v>75</v>
      </c>
      <c r="C49" s="36">
        <v>10845</v>
      </c>
      <c r="D49" s="36">
        <v>1349</v>
      </c>
      <c r="E49" s="36">
        <f t="shared" si="0"/>
        <v>12194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Sheet4</vt:lpstr>
      <vt:lpstr>Sheet3</vt:lpstr>
      <vt:lpstr>available</vt:lpstr>
      <vt:lpstr>Medical doctors</vt:lpstr>
      <vt:lpstr>Doctors distribution</vt:lpstr>
      <vt:lpstr>Income</vt:lpstr>
      <vt:lpstr>Sheet10</vt:lpstr>
      <vt:lpstr>Med 1</vt:lpstr>
      <vt:lpstr>Total medical doctors</vt:lpstr>
      <vt:lpstr>Education graduates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2024-02-20T20:55:01Z</dcterms:created>
  <dcterms:modified xsi:type="dcterms:W3CDTF">2024-03-04T17:38:27Z</dcterms:modified>
</cp:coreProperties>
</file>