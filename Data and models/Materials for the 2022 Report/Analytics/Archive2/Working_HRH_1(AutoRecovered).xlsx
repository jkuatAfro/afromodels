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E8E4C528-5BFB-4815-A5E8-E8F23CB85A1E}" xr6:coauthVersionLast="47" xr6:coauthVersionMax="47" xr10:uidLastSave="{00000000-0000-0000-0000-000000000000}"/>
  <bookViews>
    <workbookView xWindow="-110" yWindow="-110" windowWidth="19420" windowHeight="10300" firstSheet="1" activeTab="1" xr2:uid="{511C484B-609D-4F71-8857-E52B5D8AD752}"/>
  </bookViews>
  <sheets>
    <sheet name="HWF density" sheetId="1" r:id="rId1"/>
    <sheet name="HWF density (2)" sheetId="2" r:id="rId2"/>
    <sheet name="Sheet1" sheetId="7" r:id="rId3"/>
    <sheet name="Sheet3" sheetId="3" r:id="rId4"/>
    <sheet name="Sheet5" sheetId="5" r:id="rId5"/>
    <sheet name="HRH with economic blocks" sheetId="6" r:id="rId6"/>
    <sheet name="HWF density (3)" sheetId="4" r:id="rId7"/>
  </sheets>
  <definedNames>
    <definedName name="_xlnm._FilterDatabase" localSheetId="1" hidden="1">'HWF density (2)'!$A$1:$F$49</definedName>
  </definedNames>
  <calcPr calcId="191029"/>
  <pivotCaches>
    <pivotCache cacheId="5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2" i="6"/>
  <c r="G40" i="6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6" i="1"/>
  <c r="C5" i="1"/>
  <c r="C3" i="1"/>
  <c r="C4" i="1"/>
  <c r="C2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" i="1"/>
  <c r="B6" i="1"/>
  <c r="B3" i="1"/>
  <c r="B4" i="1"/>
  <c r="B2" i="1"/>
  <c r="I49" i="1"/>
  <c r="H49" i="1"/>
  <c r="G49" i="1"/>
  <c r="G45" i="6"/>
  <c r="G46" i="6"/>
  <c r="G44" i="6"/>
  <c r="G41" i="6"/>
  <c r="G43" i="6"/>
  <c r="G42" i="6"/>
  <c r="G48" i="6"/>
  <c r="G47" i="6"/>
  <c r="E3" i="6"/>
  <c r="E4" i="6"/>
  <c r="E6" i="6"/>
  <c r="E5" i="6"/>
  <c r="E16" i="4"/>
  <c r="E10" i="4"/>
  <c r="E43" i="4"/>
  <c r="E11" i="4"/>
  <c r="E4" i="4"/>
  <c r="E28" i="4"/>
  <c r="E30" i="4"/>
  <c r="E44" i="4"/>
  <c r="E46" i="4"/>
  <c r="E8" i="4"/>
  <c r="E3" i="4"/>
  <c r="E39" i="4"/>
  <c r="E33" i="4"/>
  <c r="E23" i="4"/>
  <c r="E29" i="4"/>
  <c r="E19" i="4"/>
  <c r="E41" i="4"/>
  <c r="E7" i="4"/>
  <c r="E6" i="4"/>
  <c r="E21" i="4"/>
  <c r="E14" i="4"/>
  <c r="E13" i="4"/>
  <c r="E31" i="4"/>
  <c r="E24" i="4"/>
  <c r="E37" i="4"/>
  <c r="E25" i="4"/>
  <c r="E15" i="4"/>
  <c r="E17" i="4"/>
  <c r="E12" i="4"/>
  <c r="E36" i="4"/>
  <c r="E27" i="4"/>
  <c r="E9" i="4"/>
  <c r="E47" i="4"/>
  <c r="E45" i="4"/>
  <c r="E34" i="4"/>
  <c r="E38" i="4"/>
  <c r="E48" i="4"/>
  <c r="E2" i="4"/>
  <c r="E26" i="4"/>
  <c r="E20" i="4"/>
  <c r="E18" i="4"/>
  <c r="E22" i="4"/>
  <c r="E5" i="4"/>
  <c r="E42" i="4"/>
  <c r="E32" i="4"/>
  <c r="E40" i="4"/>
  <c r="E35" i="4"/>
  <c r="F49" i="2" l="1"/>
  <c r="F48" i="2"/>
  <c r="F47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48" i="2"/>
  <c r="E47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9" i="2"/>
  <c r="D32" i="2"/>
  <c r="F32" i="2" s="1"/>
  <c r="C32" i="2"/>
  <c r="B32" i="2"/>
  <c r="E32" i="2" l="1"/>
</calcChain>
</file>

<file path=xl/sharedStrings.xml><?xml version="1.0" encoding="utf-8"?>
<sst xmlns="http://schemas.openxmlformats.org/spreadsheetml/2006/main" count="395" uniqueCount="83">
  <si>
    <t>Country</t>
  </si>
  <si>
    <t>Density of Doctors, Nurses and Midwives per 10,000 in 2005</t>
  </si>
  <si>
    <t>Density of Doctors, Nurses and Midwives per 10,000 2013</t>
  </si>
  <si>
    <t>Density of Doctors, Nurses and Midwives per 10,000 in 2021</t>
  </si>
  <si>
    <t>South Sudan</t>
  </si>
  <si>
    <t>Burundi</t>
  </si>
  <si>
    <t>Niger</t>
  </si>
  <si>
    <t>Ethiopia</t>
  </si>
  <si>
    <t>Chad</t>
  </si>
  <si>
    <t>Mozambique</t>
  </si>
  <si>
    <t>Senegal</t>
  </si>
  <si>
    <t>Liberia</t>
  </si>
  <si>
    <t>United Republic of Tanzania</t>
  </si>
  <si>
    <t>Togo</t>
  </si>
  <si>
    <t>Burkina Faso</t>
  </si>
  <si>
    <t>Rwanda</t>
  </si>
  <si>
    <t>Sierra Leone</t>
  </si>
  <si>
    <t>Central African Republic</t>
  </si>
  <si>
    <t>Equatorial Guinea</t>
  </si>
  <si>
    <t>Guinea</t>
  </si>
  <si>
    <t>Madagascar</t>
  </si>
  <si>
    <t>Malawi</t>
  </si>
  <si>
    <t>Lesotho</t>
  </si>
  <si>
    <t>Democratic Republic of the Congo</t>
  </si>
  <si>
    <t>Côte d'Ivoire</t>
  </si>
  <si>
    <t>Mauritania</t>
  </si>
  <si>
    <t>Mali</t>
  </si>
  <si>
    <t>Benin</t>
  </si>
  <si>
    <t>Uganda</t>
  </si>
  <si>
    <t>Guinea-Bissau</t>
  </si>
  <si>
    <t>Zimbabwe</t>
  </si>
  <si>
    <t>Eritrea</t>
  </si>
  <si>
    <t>Angola</t>
  </si>
  <si>
    <t>Ghana</t>
  </si>
  <si>
    <t>Kenya</t>
  </si>
  <si>
    <t>Comoros</t>
  </si>
  <si>
    <t>Congo</t>
  </si>
  <si>
    <t>Gambia</t>
  </si>
  <si>
    <t>Cape Verde</t>
  </si>
  <si>
    <t>Cameroon</t>
  </si>
  <si>
    <t>Nigeria</t>
  </si>
  <si>
    <t>Zambia</t>
  </si>
  <si>
    <t>Sao Tome and Principe</t>
  </si>
  <si>
    <t>Botswana</t>
  </si>
  <si>
    <t>Algeria</t>
  </si>
  <si>
    <t>Namibia</t>
  </si>
  <si>
    <t>South Africa</t>
  </si>
  <si>
    <t>Mauritius</t>
  </si>
  <si>
    <t>Gabon</t>
  </si>
  <si>
    <t>Eswatini</t>
  </si>
  <si>
    <t>Seychelles</t>
  </si>
  <si>
    <t>AFRO HWF Density</t>
  </si>
  <si>
    <t>Percentage chage</t>
  </si>
  <si>
    <t>Compound annual growth rate</t>
  </si>
  <si>
    <t>AFRO</t>
  </si>
  <si>
    <t>Lower-Middle-Income Economies</t>
  </si>
  <si>
    <t>Upper-Middle-Income Economies </t>
  </si>
  <si>
    <t>Low-Income Economies</t>
  </si>
  <si>
    <t>High-Income Economies </t>
  </si>
  <si>
    <t>Income</t>
  </si>
  <si>
    <t>COMESA</t>
  </si>
  <si>
    <t>UMA</t>
  </si>
  <si>
    <t>ECCAS</t>
  </si>
  <si>
    <t>CEN-SAD</t>
  </si>
  <si>
    <t>EAC</t>
  </si>
  <si>
    <t>IGAD</t>
  </si>
  <si>
    <t>ECOWAS</t>
  </si>
  <si>
    <t>SADC</t>
  </si>
  <si>
    <t>Row Labels</t>
  </si>
  <si>
    <t>Grand Total</t>
  </si>
  <si>
    <t>Average of Density of Doctors, Nurses and Midwives per 10,000 in 2005</t>
  </si>
  <si>
    <t>Average of Density of Doctors, Nurses and Midwives per 10,000 in 2021</t>
  </si>
  <si>
    <t>Average of Density of Doctors, Nurses and Midwives per 10,000 2013</t>
  </si>
  <si>
    <t>Income group</t>
  </si>
  <si>
    <t>Block</t>
  </si>
  <si>
    <t>Average of Density of Doctors, Nurses and Midwives per 10,000 in 2013</t>
  </si>
  <si>
    <t>Density of Doctors, Nurses and Midwives per 10,000 in 2013</t>
  </si>
  <si>
    <t>Compound annual growth</t>
  </si>
  <si>
    <t>SDG threshold</t>
  </si>
  <si>
    <t>MDG threshold</t>
  </si>
  <si>
    <t>Density of Doctors, Nurses and Midwives per 1,000 in 2005</t>
  </si>
  <si>
    <t>Density of Doctors, Nurses and Midwives per 1,000 in 2013</t>
  </si>
  <si>
    <t>Density of Doctors, Nurses and Midwives per 1,000 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</si>
</sst>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164" fontId="0" fillId="0" borderId="0" xfId="0" applyNumberFormat="1"/>
    <xf numFmtId="43" fontId="0" fillId="0" borderId="0" xfId="0" applyNumberFormat="1"/>
    <xf numFmtId="165" fontId="0" fillId="0" borderId="0" xfId="2" applyNumberFormat="1" applyFont="1"/>
    <xf numFmtId="0" fontId="3" fillId="0" borderId="0" xfId="0" applyFont="1" applyAlignment="1">
      <alignment horizontal="left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'HWF density'!$D$1</c:f>
              <c:strCache>
                <c:ptCount val="1"/>
                <c:pt idx="0">
                  <c:v>Density of Doctors, Nurses and Midwives per 1,000 in 2021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4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41F0-4B2C-A300-8C7B3852EC6F}"/>
              </c:ext>
            </c:extLst>
          </c:dPt>
          <c:cat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cat>
          <c:val>
            <c:numRef>
              <c:f>'HWF density'!$D$2:$D$49</c:f>
              <c:numCache>
                <c:formatCode>_(* #,##0.00_);_(* \(#,##0.00\);_(* "-"??_);_(@_)</c:formatCode>
                <c:ptCount val="48"/>
                <c:pt idx="0">
                  <c:v>0.26</c:v>
                </c:pt>
                <c:pt idx="1">
                  <c:v>0.27</c:v>
                </c:pt>
                <c:pt idx="2">
                  <c:v>0.30100000000000005</c:v>
                </c:pt>
                <c:pt idx="3">
                  <c:v>0.39800000000000002</c:v>
                </c:pt>
                <c:pt idx="4">
                  <c:v>0.41100000000000003</c:v>
                </c:pt>
                <c:pt idx="5">
                  <c:v>0.45</c:v>
                </c:pt>
                <c:pt idx="6">
                  <c:v>0.48699999999999999</c:v>
                </c:pt>
                <c:pt idx="7">
                  <c:v>0.54500000000000015</c:v>
                </c:pt>
                <c:pt idx="8">
                  <c:v>0.57800000000000007</c:v>
                </c:pt>
                <c:pt idx="9">
                  <c:v>0.6</c:v>
                </c:pt>
                <c:pt idx="10">
                  <c:v>0.61</c:v>
                </c:pt>
                <c:pt idx="11">
                  <c:v>0.61199999999999988</c:v>
                </c:pt>
                <c:pt idx="12">
                  <c:v>0.64</c:v>
                </c:pt>
                <c:pt idx="13">
                  <c:v>0.65299999999999991</c:v>
                </c:pt>
                <c:pt idx="14">
                  <c:v>0.79500000000000015</c:v>
                </c:pt>
                <c:pt idx="15">
                  <c:v>0.85</c:v>
                </c:pt>
                <c:pt idx="16">
                  <c:v>0.874</c:v>
                </c:pt>
                <c:pt idx="17">
                  <c:v>0.89600000000000013</c:v>
                </c:pt>
                <c:pt idx="18">
                  <c:v>0.90199999999999991</c:v>
                </c:pt>
                <c:pt idx="19">
                  <c:v>0.99</c:v>
                </c:pt>
                <c:pt idx="20">
                  <c:v>1.01</c:v>
                </c:pt>
                <c:pt idx="21">
                  <c:v>1.0289999999999999</c:v>
                </c:pt>
                <c:pt idx="22">
                  <c:v>1.034</c:v>
                </c:pt>
                <c:pt idx="23">
                  <c:v>1.1459999999999999</c:v>
                </c:pt>
                <c:pt idx="24">
                  <c:v>1.2719999999999998</c:v>
                </c:pt>
                <c:pt idx="25">
                  <c:v>1.3190000000000002</c:v>
                </c:pt>
                <c:pt idx="26">
                  <c:v>1.425</c:v>
                </c:pt>
                <c:pt idx="27">
                  <c:v>1.4339999999999999</c:v>
                </c:pt>
                <c:pt idx="28">
                  <c:v>1.5249999999999999</c:v>
                </c:pt>
                <c:pt idx="29">
                  <c:v>1.873</c:v>
                </c:pt>
                <c:pt idx="30">
                  <c:v>1.9579999999999997</c:v>
                </c:pt>
                <c:pt idx="31">
                  <c:v>1.9760000000000002</c:v>
                </c:pt>
                <c:pt idx="32">
                  <c:v>2.0270000000000001</c:v>
                </c:pt>
                <c:pt idx="33">
                  <c:v>2.1590000000000003</c:v>
                </c:pt>
                <c:pt idx="34">
                  <c:v>2.218</c:v>
                </c:pt>
                <c:pt idx="35">
                  <c:v>2.59</c:v>
                </c:pt>
                <c:pt idx="36">
                  <c:v>2.6420000000000003</c:v>
                </c:pt>
                <c:pt idx="37">
                  <c:v>2.6459999999999999</c:v>
                </c:pt>
                <c:pt idx="38">
                  <c:v>3.29</c:v>
                </c:pt>
                <c:pt idx="39">
                  <c:v>3.5780000000000003</c:v>
                </c:pt>
                <c:pt idx="40">
                  <c:v>3.6890000000000001</c:v>
                </c:pt>
                <c:pt idx="41">
                  <c:v>4.2949999999999999</c:v>
                </c:pt>
                <c:pt idx="42">
                  <c:v>4.7329999999999997</c:v>
                </c:pt>
                <c:pt idx="43">
                  <c:v>5.3650000000000002</c:v>
                </c:pt>
                <c:pt idx="44">
                  <c:v>5.8220000000000001</c:v>
                </c:pt>
                <c:pt idx="45">
                  <c:v>6.5069999999999997</c:v>
                </c:pt>
                <c:pt idx="46">
                  <c:v>11.552</c:v>
                </c:pt>
                <c:pt idx="47">
                  <c:v>1.9624680851063832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0-4B2C-A300-8C7B3852E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26496239"/>
        <c:axId val="1718299823"/>
      </c:barChart>
      <c:lineChart>
        <c:grouping val="standard"/>
        <c:varyColors val="0"/>
        <c:ser>
          <c:idx val="3"/>
          <c:order val="3"/>
          <c:tx>
            <c:strRef>
              <c:f>'HWF density'!$E$1</c:f>
              <c:strCache>
                <c:ptCount val="1"/>
                <c:pt idx="0">
                  <c:v>SDG threshold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cat>
          <c:val>
            <c:numRef>
              <c:f>'HWF density'!$E$2:$E$49</c:f>
              <c:numCache>
                <c:formatCode>_(* #,##0.00_);_(* \(#,##0.00\);_(* "-"??_);_(@_)</c:formatCode>
                <c:ptCount val="48"/>
                <c:pt idx="0">
                  <c:v>4.45</c:v>
                </c:pt>
                <c:pt idx="1">
                  <c:v>4.45</c:v>
                </c:pt>
                <c:pt idx="2">
                  <c:v>4.45</c:v>
                </c:pt>
                <c:pt idx="3">
                  <c:v>4.45</c:v>
                </c:pt>
                <c:pt idx="4">
                  <c:v>4.45</c:v>
                </c:pt>
                <c:pt idx="5">
                  <c:v>4.45</c:v>
                </c:pt>
                <c:pt idx="6">
                  <c:v>4.45</c:v>
                </c:pt>
                <c:pt idx="7">
                  <c:v>4.45</c:v>
                </c:pt>
                <c:pt idx="8">
                  <c:v>4.45</c:v>
                </c:pt>
                <c:pt idx="9">
                  <c:v>4.45</c:v>
                </c:pt>
                <c:pt idx="10">
                  <c:v>4.45</c:v>
                </c:pt>
                <c:pt idx="11">
                  <c:v>4.45</c:v>
                </c:pt>
                <c:pt idx="12">
                  <c:v>4.45</c:v>
                </c:pt>
                <c:pt idx="13">
                  <c:v>4.45</c:v>
                </c:pt>
                <c:pt idx="14">
                  <c:v>4.45</c:v>
                </c:pt>
                <c:pt idx="15">
                  <c:v>4.45</c:v>
                </c:pt>
                <c:pt idx="16">
                  <c:v>4.45</c:v>
                </c:pt>
                <c:pt idx="17">
                  <c:v>4.45</c:v>
                </c:pt>
                <c:pt idx="18">
                  <c:v>4.45</c:v>
                </c:pt>
                <c:pt idx="19">
                  <c:v>4.45</c:v>
                </c:pt>
                <c:pt idx="20">
                  <c:v>4.45</c:v>
                </c:pt>
                <c:pt idx="21">
                  <c:v>4.45</c:v>
                </c:pt>
                <c:pt idx="22">
                  <c:v>4.45</c:v>
                </c:pt>
                <c:pt idx="23">
                  <c:v>4.45</c:v>
                </c:pt>
                <c:pt idx="24">
                  <c:v>4.45</c:v>
                </c:pt>
                <c:pt idx="25">
                  <c:v>4.45</c:v>
                </c:pt>
                <c:pt idx="26">
                  <c:v>4.45</c:v>
                </c:pt>
                <c:pt idx="27">
                  <c:v>4.45</c:v>
                </c:pt>
                <c:pt idx="28">
                  <c:v>4.45</c:v>
                </c:pt>
                <c:pt idx="29">
                  <c:v>4.45</c:v>
                </c:pt>
                <c:pt idx="30">
                  <c:v>4.45</c:v>
                </c:pt>
                <c:pt idx="31">
                  <c:v>4.45</c:v>
                </c:pt>
                <c:pt idx="32">
                  <c:v>4.45</c:v>
                </c:pt>
                <c:pt idx="33">
                  <c:v>4.45</c:v>
                </c:pt>
                <c:pt idx="34">
                  <c:v>4.45</c:v>
                </c:pt>
                <c:pt idx="35">
                  <c:v>4.45</c:v>
                </c:pt>
                <c:pt idx="36">
                  <c:v>4.45</c:v>
                </c:pt>
                <c:pt idx="37">
                  <c:v>4.45</c:v>
                </c:pt>
                <c:pt idx="38">
                  <c:v>4.45</c:v>
                </c:pt>
                <c:pt idx="39">
                  <c:v>4.45</c:v>
                </c:pt>
                <c:pt idx="40">
                  <c:v>4.45</c:v>
                </c:pt>
                <c:pt idx="41">
                  <c:v>4.45</c:v>
                </c:pt>
                <c:pt idx="42">
                  <c:v>4.45</c:v>
                </c:pt>
                <c:pt idx="43">
                  <c:v>4.45</c:v>
                </c:pt>
                <c:pt idx="44">
                  <c:v>4.45</c:v>
                </c:pt>
                <c:pt idx="45">
                  <c:v>4.45</c:v>
                </c:pt>
                <c:pt idx="46">
                  <c:v>4.45</c:v>
                </c:pt>
                <c:pt idx="47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3-48D1-8A59-0F1110CF534D}"/>
            </c:ext>
          </c:extLst>
        </c:ser>
        <c:ser>
          <c:idx val="4"/>
          <c:order val="4"/>
          <c:tx>
            <c:strRef>
              <c:f>'HWF density'!$F$1</c:f>
              <c:strCache>
                <c:ptCount val="1"/>
                <c:pt idx="0">
                  <c:v>MDG threshold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cat>
          <c:val>
            <c:numRef>
              <c:f>'HWF density'!$F$2:$F$49</c:f>
              <c:numCache>
                <c:formatCode>_(* #,##0.00_);_(* \(#,##0.00\);_(* "-"??_);_(@_)</c:formatCode>
                <c:ptCount val="48"/>
                <c:pt idx="0">
                  <c:v>2.2799999999999998</c:v>
                </c:pt>
                <c:pt idx="1">
                  <c:v>2.2799999999999998</c:v>
                </c:pt>
                <c:pt idx="2">
                  <c:v>2.2799999999999998</c:v>
                </c:pt>
                <c:pt idx="3">
                  <c:v>2.2799999999999998</c:v>
                </c:pt>
                <c:pt idx="4">
                  <c:v>2.2799999999999998</c:v>
                </c:pt>
                <c:pt idx="5">
                  <c:v>2.2799999999999998</c:v>
                </c:pt>
                <c:pt idx="6">
                  <c:v>2.2799999999999998</c:v>
                </c:pt>
                <c:pt idx="7">
                  <c:v>2.2799999999999998</c:v>
                </c:pt>
                <c:pt idx="8">
                  <c:v>2.2799999999999998</c:v>
                </c:pt>
                <c:pt idx="9">
                  <c:v>2.2799999999999998</c:v>
                </c:pt>
                <c:pt idx="10">
                  <c:v>2.2799999999999998</c:v>
                </c:pt>
                <c:pt idx="11">
                  <c:v>2.2799999999999998</c:v>
                </c:pt>
                <c:pt idx="12">
                  <c:v>2.2799999999999998</c:v>
                </c:pt>
                <c:pt idx="13">
                  <c:v>2.2799999999999998</c:v>
                </c:pt>
                <c:pt idx="14">
                  <c:v>2.2799999999999998</c:v>
                </c:pt>
                <c:pt idx="15">
                  <c:v>2.2799999999999998</c:v>
                </c:pt>
                <c:pt idx="16">
                  <c:v>2.2799999999999998</c:v>
                </c:pt>
                <c:pt idx="17">
                  <c:v>2.2799999999999998</c:v>
                </c:pt>
                <c:pt idx="18">
                  <c:v>2.2799999999999998</c:v>
                </c:pt>
                <c:pt idx="19">
                  <c:v>2.2799999999999998</c:v>
                </c:pt>
                <c:pt idx="20">
                  <c:v>2.2799999999999998</c:v>
                </c:pt>
                <c:pt idx="21">
                  <c:v>2.2799999999999998</c:v>
                </c:pt>
                <c:pt idx="22">
                  <c:v>2.2799999999999998</c:v>
                </c:pt>
                <c:pt idx="23">
                  <c:v>2.2799999999999998</c:v>
                </c:pt>
                <c:pt idx="24">
                  <c:v>2.2799999999999998</c:v>
                </c:pt>
                <c:pt idx="25">
                  <c:v>2.2799999999999998</c:v>
                </c:pt>
                <c:pt idx="26">
                  <c:v>2.2799999999999998</c:v>
                </c:pt>
                <c:pt idx="27">
                  <c:v>2.2799999999999998</c:v>
                </c:pt>
                <c:pt idx="28">
                  <c:v>2.2799999999999998</c:v>
                </c:pt>
                <c:pt idx="29">
                  <c:v>2.2799999999999998</c:v>
                </c:pt>
                <c:pt idx="30">
                  <c:v>2.2799999999999998</c:v>
                </c:pt>
                <c:pt idx="31">
                  <c:v>2.2799999999999998</c:v>
                </c:pt>
                <c:pt idx="32">
                  <c:v>2.2799999999999998</c:v>
                </c:pt>
                <c:pt idx="33">
                  <c:v>2.2799999999999998</c:v>
                </c:pt>
                <c:pt idx="34">
                  <c:v>2.2799999999999998</c:v>
                </c:pt>
                <c:pt idx="35">
                  <c:v>2.2799999999999998</c:v>
                </c:pt>
                <c:pt idx="36">
                  <c:v>2.2799999999999998</c:v>
                </c:pt>
                <c:pt idx="37">
                  <c:v>2.2799999999999998</c:v>
                </c:pt>
                <c:pt idx="38">
                  <c:v>2.2799999999999998</c:v>
                </c:pt>
                <c:pt idx="39">
                  <c:v>2.2799999999999998</c:v>
                </c:pt>
                <c:pt idx="40">
                  <c:v>2.2799999999999998</c:v>
                </c:pt>
                <c:pt idx="41">
                  <c:v>2.2799999999999998</c:v>
                </c:pt>
                <c:pt idx="42">
                  <c:v>2.2799999999999998</c:v>
                </c:pt>
                <c:pt idx="43">
                  <c:v>2.2799999999999998</c:v>
                </c:pt>
                <c:pt idx="44">
                  <c:v>2.2799999999999998</c:v>
                </c:pt>
                <c:pt idx="45">
                  <c:v>2.2799999999999998</c:v>
                </c:pt>
                <c:pt idx="46">
                  <c:v>2.2799999999999998</c:v>
                </c:pt>
                <c:pt idx="47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83-48D1-8A59-0F1110CF5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496239"/>
        <c:axId val="1718299823"/>
      </c:lineChart>
      <c:scatterChart>
        <c:scatterStyle val="lineMarker"/>
        <c:varyColors val="0"/>
        <c:ser>
          <c:idx val="0"/>
          <c:order val="0"/>
          <c:tx>
            <c:strRef>
              <c:f>'HWF density'!$B$1</c:f>
              <c:strCache>
                <c:ptCount val="1"/>
                <c:pt idx="0">
                  <c:v>Density of Doctors, Nurses and Midwives per 1,000 in 2005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xVal>
          <c:yVal>
            <c:numRef>
              <c:f>'HWF density'!$B$2:$B$49</c:f>
              <c:numCache>
                <c:formatCode>_(* #,##0.00_);_(* \(#,##0.00\);_(* "-"??_);_(@_)</c:formatCode>
                <c:ptCount val="48"/>
                <c:pt idx="0">
                  <c:v>0.22855928236202</c:v>
                </c:pt>
                <c:pt idx="1">
                  <c:v>0.56569009522005209</c:v>
                </c:pt>
                <c:pt idx="2">
                  <c:v>0.48138114788603348</c:v>
                </c:pt>
                <c:pt idx="3">
                  <c:v>0</c:v>
                </c:pt>
                <c:pt idx="4">
                  <c:v>0.28167814409362335</c:v>
                </c:pt>
                <c:pt idx="5">
                  <c:v>0.76419814380029227</c:v>
                </c:pt>
                <c:pt idx="6">
                  <c:v>0.59236323700604721</c:v>
                </c:pt>
                <c:pt idx="7">
                  <c:v>0.7350783440409302</c:v>
                </c:pt>
                <c:pt idx="8">
                  <c:v>0.3852704101098377</c:v>
                </c:pt>
                <c:pt idx="9">
                  <c:v>0.36707103864901219</c:v>
                </c:pt>
                <c:pt idx="10">
                  <c:v>1.6446923230999928</c:v>
                </c:pt>
                <c:pt idx="11">
                  <c:v>1.0111351450816843</c:v>
                </c:pt>
                <c:pt idx="12">
                  <c:v>0.3499510330047737</c:v>
                </c:pt>
                <c:pt idx="13">
                  <c:v>0.32677973333270877</c:v>
                </c:pt>
                <c:pt idx="14">
                  <c:v>0.59223334542682249</c:v>
                </c:pt>
                <c:pt idx="15">
                  <c:v>0.59639076663538182</c:v>
                </c:pt>
                <c:pt idx="16">
                  <c:v>0.22895671054697994</c:v>
                </c:pt>
                <c:pt idx="17">
                  <c:v>0.47328650182291476</c:v>
                </c:pt>
                <c:pt idx="18">
                  <c:v>0.21018738042028512</c:v>
                </c:pt>
                <c:pt idx="19">
                  <c:v>0.40967872616476197</c:v>
                </c:pt>
                <c:pt idx="20">
                  <c:v>1.3195184437844334</c:v>
                </c:pt>
                <c:pt idx="21">
                  <c:v>0.6680100964814486</c:v>
                </c:pt>
                <c:pt idx="22">
                  <c:v>1.2222674607172677</c:v>
                </c:pt>
                <c:pt idx="23">
                  <c:v>0.72944959291686595</c:v>
                </c:pt>
                <c:pt idx="24">
                  <c:v>0.93685103548063053</c:v>
                </c:pt>
                <c:pt idx="25">
                  <c:v>0.46141385621624809</c:v>
                </c:pt>
                <c:pt idx="26">
                  <c:v>1.0948017137085737</c:v>
                </c:pt>
                <c:pt idx="27">
                  <c:v>0.6318414736464828</c:v>
                </c:pt>
                <c:pt idx="28">
                  <c:v>0.96226880342228083</c:v>
                </c:pt>
                <c:pt idx="29">
                  <c:v>1.1493970978949519</c:v>
                </c:pt>
                <c:pt idx="30">
                  <c:v>1.7659523657989191</c:v>
                </c:pt>
                <c:pt idx="31">
                  <c:v>0.35362327127006687</c:v>
                </c:pt>
                <c:pt idx="32">
                  <c:v>1.3843475857064491</c:v>
                </c:pt>
                <c:pt idx="33">
                  <c:v>1.9630162807040743</c:v>
                </c:pt>
                <c:pt idx="34">
                  <c:v>0.77783344452635927</c:v>
                </c:pt>
                <c:pt idx="35">
                  <c:v>3.4787929315962929</c:v>
                </c:pt>
                <c:pt idx="36">
                  <c:v>2.4702804308067465</c:v>
                </c:pt>
                <c:pt idx="37">
                  <c:v>0.94752729160961802</c:v>
                </c:pt>
                <c:pt idx="38">
                  <c:v>3.1709770097605645</c:v>
                </c:pt>
                <c:pt idx="39">
                  <c:v>0.60717944607399876</c:v>
                </c:pt>
                <c:pt idx="40">
                  <c:v>5.2993419869835678</c:v>
                </c:pt>
                <c:pt idx="41">
                  <c:v>6.7913543410232151</c:v>
                </c:pt>
                <c:pt idx="42">
                  <c:v>1.0500742436916699</c:v>
                </c:pt>
                <c:pt idx="43">
                  <c:v>3.0393362818823206</c:v>
                </c:pt>
                <c:pt idx="44">
                  <c:v>4.5798929608122041</c:v>
                </c:pt>
                <c:pt idx="45">
                  <c:v>4.8338393302837126</c:v>
                </c:pt>
                <c:pt idx="46">
                  <c:v>8.5164463294680317</c:v>
                </c:pt>
                <c:pt idx="47">
                  <c:v>1.5315264481515469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0-4B2C-A300-8C7B3852EC6F}"/>
            </c:ext>
          </c:extLst>
        </c:ser>
        <c:ser>
          <c:idx val="1"/>
          <c:order val="1"/>
          <c:tx>
            <c:strRef>
              <c:f>'HWF density'!$C$1</c:f>
              <c:strCache>
                <c:ptCount val="1"/>
                <c:pt idx="0">
                  <c:v>Density of Doctors, Nurses and Midwives per 1,000 in 2013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strRef>
              <c:f>'HWF density'!$A$2:$A$49</c:f>
              <c:strCache>
                <c:ptCount val="48"/>
                <c:pt idx="0">
                  <c:v>Niger</c:v>
                </c:pt>
                <c:pt idx="1">
                  <c:v>Equatorial Guinea</c:v>
                </c:pt>
                <c:pt idx="2">
                  <c:v>Central African Republic</c:v>
                </c:pt>
                <c:pt idx="3">
                  <c:v>South Sudan</c:v>
                </c:pt>
                <c:pt idx="4">
                  <c:v>Chad</c:v>
                </c:pt>
                <c:pt idx="5">
                  <c:v>Benin</c:v>
                </c:pt>
                <c:pt idx="6">
                  <c:v>Madagascar</c:v>
                </c:pt>
                <c:pt idx="7">
                  <c:v>Mali</c:v>
                </c:pt>
                <c:pt idx="8">
                  <c:v>Togo</c:v>
                </c:pt>
                <c:pt idx="9">
                  <c:v>United Republic of Tanzania</c:v>
                </c:pt>
                <c:pt idx="10">
                  <c:v>Cameroon</c:v>
                </c:pt>
                <c:pt idx="11">
                  <c:v>Angola</c:v>
                </c:pt>
                <c:pt idx="12">
                  <c:v>Senegal</c:v>
                </c:pt>
                <c:pt idx="13">
                  <c:v>Mozambique</c:v>
                </c:pt>
                <c:pt idx="14">
                  <c:v>Guinea</c:v>
                </c:pt>
                <c:pt idx="15">
                  <c:v>Malawi</c:v>
                </c:pt>
                <c:pt idx="16">
                  <c:v>Ethiopia</c:v>
                </c:pt>
                <c:pt idx="17">
                  <c:v>Sierra Leone</c:v>
                </c:pt>
                <c:pt idx="18">
                  <c:v>Burundi</c:v>
                </c:pt>
                <c:pt idx="19">
                  <c:v>Burkina Faso</c:v>
                </c:pt>
                <c:pt idx="20">
                  <c:v>Gambia</c:v>
                </c:pt>
                <c:pt idx="21">
                  <c:v>Côte d'Ivoire</c:v>
                </c:pt>
                <c:pt idx="22">
                  <c:v>Congo</c:v>
                </c:pt>
                <c:pt idx="23">
                  <c:v>Mauritania</c:v>
                </c:pt>
                <c:pt idx="24">
                  <c:v>Guinea-Bissau</c:v>
                </c:pt>
                <c:pt idx="25">
                  <c:v>Rwanda</c:v>
                </c:pt>
                <c:pt idx="26">
                  <c:v>Kenya</c:v>
                </c:pt>
                <c:pt idx="27">
                  <c:v>Democratic Republic of the Congo</c:v>
                </c:pt>
                <c:pt idx="28">
                  <c:v>Eritrea</c:v>
                </c:pt>
                <c:pt idx="29">
                  <c:v>Comoros</c:v>
                </c:pt>
                <c:pt idx="30">
                  <c:v>Nigeria</c:v>
                </c:pt>
                <c:pt idx="31">
                  <c:v>Liberia</c:v>
                </c:pt>
                <c:pt idx="32">
                  <c:v>Cape Verde</c:v>
                </c:pt>
                <c:pt idx="33">
                  <c:v>Zambia</c:v>
                </c:pt>
                <c:pt idx="34">
                  <c:v>Uganda</c:v>
                </c:pt>
                <c:pt idx="35">
                  <c:v>Namibia</c:v>
                </c:pt>
                <c:pt idx="36">
                  <c:v>Sao Tome and Principe</c:v>
                </c:pt>
                <c:pt idx="37">
                  <c:v>Zimbabwe</c:v>
                </c:pt>
                <c:pt idx="38">
                  <c:v>Algeria</c:v>
                </c:pt>
                <c:pt idx="39">
                  <c:v>Lesotho</c:v>
                </c:pt>
                <c:pt idx="40">
                  <c:v>Gabon</c:v>
                </c:pt>
                <c:pt idx="41">
                  <c:v>Eswatini</c:v>
                </c:pt>
                <c:pt idx="42">
                  <c:v>Ghana</c:v>
                </c:pt>
                <c:pt idx="43">
                  <c:v>Botswana</c:v>
                </c:pt>
                <c:pt idx="44">
                  <c:v>South Africa</c:v>
                </c:pt>
                <c:pt idx="45">
                  <c:v>Mauritius</c:v>
                </c:pt>
                <c:pt idx="46">
                  <c:v>Seychelles</c:v>
                </c:pt>
                <c:pt idx="47">
                  <c:v>AFRO HWF Density</c:v>
                </c:pt>
              </c:strCache>
            </c:strRef>
          </c:xVal>
          <c:yVal>
            <c:numRef>
              <c:f>'HWF density'!$C$2:$C$49</c:f>
              <c:numCache>
                <c:formatCode>_(* #,##0.00_);_(* \(#,##0.00\);_(* "-"??_);_(@_)</c:formatCode>
                <c:ptCount val="48"/>
                <c:pt idx="0">
                  <c:v>0.28399999999999997</c:v>
                </c:pt>
                <c:pt idx="1">
                  <c:v>0.51300000000000012</c:v>
                </c:pt>
                <c:pt idx="2">
                  <c:v>0.47199999999999998</c:v>
                </c:pt>
                <c:pt idx="3">
                  <c:v>0</c:v>
                </c:pt>
                <c:pt idx="4">
                  <c:v>0.35300000000000004</c:v>
                </c:pt>
                <c:pt idx="5">
                  <c:v>0.87999999999999989</c:v>
                </c:pt>
                <c:pt idx="6">
                  <c:v>0.53200000000000003</c:v>
                </c:pt>
                <c:pt idx="7">
                  <c:v>0.77200000000000002</c:v>
                </c:pt>
                <c:pt idx="8">
                  <c:v>0.52200000000000002</c:v>
                </c:pt>
                <c:pt idx="9">
                  <c:v>0.53699999999999992</c:v>
                </c:pt>
                <c:pt idx="10">
                  <c:v>1.7429999999999999</c:v>
                </c:pt>
                <c:pt idx="11">
                  <c:v>1.4470000000000001</c:v>
                </c:pt>
                <c:pt idx="12">
                  <c:v>0.72700000000000009</c:v>
                </c:pt>
                <c:pt idx="13">
                  <c:v>0.49099999999999999</c:v>
                </c:pt>
                <c:pt idx="14">
                  <c:v>0.60799999999999998</c:v>
                </c:pt>
                <c:pt idx="15">
                  <c:v>0.60899999999999999</c:v>
                </c:pt>
                <c:pt idx="16">
                  <c:v>0.33499999999999996</c:v>
                </c:pt>
                <c:pt idx="17">
                  <c:v>1.2210000000000001</c:v>
                </c:pt>
                <c:pt idx="18">
                  <c:v>0.72</c:v>
                </c:pt>
                <c:pt idx="19">
                  <c:v>0.67800000000000005</c:v>
                </c:pt>
                <c:pt idx="20">
                  <c:v>1.536</c:v>
                </c:pt>
                <c:pt idx="21">
                  <c:v>0.7390000000000001</c:v>
                </c:pt>
                <c:pt idx="22">
                  <c:v>2.1949999999999998</c:v>
                </c:pt>
                <c:pt idx="23">
                  <c:v>0.98399999999999999</c:v>
                </c:pt>
                <c:pt idx="24">
                  <c:v>0.93599999999999994</c:v>
                </c:pt>
                <c:pt idx="25">
                  <c:v>0.81099999999999994</c:v>
                </c:pt>
                <c:pt idx="26">
                  <c:v>1.607</c:v>
                </c:pt>
                <c:pt idx="27">
                  <c:v>0.92600000000000016</c:v>
                </c:pt>
                <c:pt idx="28">
                  <c:v>1.3959999999999999</c:v>
                </c:pt>
                <c:pt idx="29">
                  <c:v>2.0009999999999999</c:v>
                </c:pt>
                <c:pt idx="30">
                  <c:v>2.3439999999999999</c:v>
                </c:pt>
                <c:pt idx="31">
                  <c:v>0.97899999999999987</c:v>
                </c:pt>
                <c:pt idx="32">
                  <c:v>1.6120000000000001</c:v>
                </c:pt>
                <c:pt idx="33">
                  <c:v>0.87200000000000011</c:v>
                </c:pt>
                <c:pt idx="34">
                  <c:v>1.6640000000000001</c:v>
                </c:pt>
                <c:pt idx="35">
                  <c:v>3.5529999999999999</c:v>
                </c:pt>
                <c:pt idx="36">
                  <c:v>2.4670000000000001</c:v>
                </c:pt>
                <c:pt idx="37">
                  <c:v>1.5530000000000002</c:v>
                </c:pt>
                <c:pt idx="38">
                  <c:v>3.411</c:v>
                </c:pt>
                <c:pt idx="39">
                  <c:v>0.72499999999999998</c:v>
                </c:pt>
                <c:pt idx="40">
                  <c:v>5.0619999999999994</c:v>
                </c:pt>
                <c:pt idx="41">
                  <c:v>6.5789999999999988</c:v>
                </c:pt>
                <c:pt idx="42">
                  <c:v>1.5589999999999999</c:v>
                </c:pt>
                <c:pt idx="43">
                  <c:v>4</c:v>
                </c:pt>
                <c:pt idx="44">
                  <c:v>4.516</c:v>
                </c:pt>
                <c:pt idx="45">
                  <c:v>5.2670000000000003</c:v>
                </c:pt>
                <c:pt idx="46">
                  <c:v>8.9120000000000008</c:v>
                </c:pt>
                <c:pt idx="47">
                  <c:v>1.7749999999999999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F0-4B2C-A300-8C7B3852E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96239"/>
        <c:axId val="1718299823"/>
      </c:scatterChart>
      <c:catAx>
        <c:axId val="16264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718299823"/>
        <c:crosses val="autoZero"/>
        <c:auto val="1"/>
        <c:lblAlgn val="ctr"/>
        <c:lblOffset val="100"/>
        <c:noMultiLvlLbl val="0"/>
      </c:catAx>
      <c:valAx>
        <c:axId val="1718299823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62649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567807950648727E-2"/>
          <c:y val="0.91382786479238898"/>
          <c:w val="0.91986168099735821"/>
          <c:h val="8.61721352076109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'HWF density (2)'!$D$1</c:f>
              <c:strCache>
                <c:ptCount val="1"/>
                <c:pt idx="0">
                  <c:v>Density of Doctors, Nurses and Midwives per 10,000 in 2021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7-4D99-AB32-DFD905F59C51}"/>
              </c:ext>
            </c:extLst>
          </c:dPt>
          <c:cat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cat>
          <c:val>
            <c:numRef>
              <c:f>'HWF density (2)'!$D$2:$D$49</c:f>
              <c:numCache>
                <c:formatCode>_(* #,##0.00_);_(* \(#,##0.00\);_(* "-"??_);_(@_)</c:formatCode>
                <c:ptCount val="48"/>
                <c:pt idx="0">
                  <c:v>115.52</c:v>
                </c:pt>
                <c:pt idx="1">
                  <c:v>65.069999999999993</c:v>
                </c:pt>
                <c:pt idx="2">
                  <c:v>58.22</c:v>
                </c:pt>
                <c:pt idx="3">
                  <c:v>53.65</c:v>
                </c:pt>
                <c:pt idx="4">
                  <c:v>47.33</c:v>
                </c:pt>
                <c:pt idx="5">
                  <c:v>42.949999999999996</c:v>
                </c:pt>
                <c:pt idx="6">
                  <c:v>36.89</c:v>
                </c:pt>
                <c:pt idx="7">
                  <c:v>35.78</c:v>
                </c:pt>
                <c:pt idx="8">
                  <c:v>32.9</c:v>
                </c:pt>
                <c:pt idx="9">
                  <c:v>26.46</c:v>
                </c:pt>
                <c:pt idx="10">
                  <c:v>26.42</c:v>
                </c:pt>
                <c:pt idx="11">
                  <c:v>25.9</c:v>
                </c:pt>
                <c:pt idx="12">
                  <c:v>22.18</c:v>
                </c:pt>
                <c:pt idx="13">
                  <c:v>21.590000000000003</c:v>
                </c:pt>
                <c:pt idx="14">
                  <c:v>20.27</c:v>
                </c:pt>
                <c:pt idx="15">
                  <c:v>19.760000000000002</c:v>
                </c:pt>
                <c:pt idx="16">
                  <c:v>19.579999999999998</c:v>
                </c:pt>
                <c:pt idx="17">
                  <c:v>18.73</c:v>
                </c:pt>
                <c:pt idx="18">
                  <c:v>15.25</c:v>
                </c:pt>
                <c:pt idx="19">
                  <c:v>14.34</c:v>
                </c:pt>
                <c:pt idx="20">
                  <c:v>14.25</c:v>
                </c:pt>
                <c:pt idx="21">
                  <c:v>13.190000000000001</c:v>
                </c:pt>
                <c:pt idx="22">
                  <c:v>12.719999999999999</c:v>
                </c:pt>
                <c:pt idx="23">
                  <c:v>11.459999999999999</c:v>
                </c:pt>
                <c:pt idx="24">
                  <c:v>10.34</c:v>
                </c:pt>
                <c:pt idx="25">
                  <c:v>10.29</c:v>
                </c:pt>
                <c:pt idx="26">
                  <c:v>10.1</c:v>
                </c:pt>
                <c:pt idx="27">
                  <c:v>9.9</c:v>
                </c:pt>
                <c:pt idx="28">
                  <c:v>9.02</c:v>
                </c:pt>
                <c:pt idx="29">
                  <c:v>8.9600000000000009</c:v>
                </c:pt>
                <c:pt idx="30" formatCode="_(* #,##0.00_);_(* \(#,##0.00\);_(* &quot;-&quot;??_);_(@_)">
                  <c:v>27.634000000000004</c:v>
                </c:pt>
                <c:pt idx="31">
                  <c:v>8.74</c:v>
                </c:pt>
                <c:pt idx="32">
                  <c:v>8.5</c:v>
                </c:pt>
                <c:pt idx="33">
                  <c:v>7.9500000000000011</c:v>
                </c:pt>
                <c:pt idx="34">
                  <c:v>6.5299999999999994</c:v>
                </c:pt>
                <c:pt idx="35">
                  <c:v>6.4</c:v>
                </c:pt>
                <c:pt idx="36">
                  <c:v>6.1199999999999992</c:v>
                </c:pt>
                <c:pt idx="37">
                  <c:v>6.1</c:v>
                </c:pt>
                <c:pt idx="38">
                  <c:v>6</c:v>
                </c:pt>
                <c:pt idx="39">
                  <c:v>5.7800000000000011</c:v>
                </c:pt>
                <c:pt idx="40">
                  <c:v>5.4500000000000011</c:v>
                </c:pt>
                <c:pt idx="41">
                  <c:v>4.87</c:v>
                </c:pt>
                <c:pt idx="42">
                  <c:v>4.5</c:v>
                </c:pt>
                <c:pt idx="43">
                  <c:v>4.1100000000000003</c:v>
                </c:pt>
                <c:pt idx="44">
                  <c:v>3.98</c:v>
                </c:pt>
                <c:pt idx="45">
                  <c:v>3.0100000000000002</c:v>
                </c:pt>
                <c:pt idx="46">
                  <c:v>2.7</c:v>
                </c:pt>
                <c:pt idx="47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C3-4B63-A924-E9B3C589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26496239"/>
        <c:axId val="1718299823"/>
      </c:barChart>
      <c:scatterChart>
        <c:scatterStyle val="lineMarker"/>
        <c:varyColors val="0"/>
        <c:ser>
          <c:idx val="0"/>
          <c:order val="0"/>
          <c:tx>
            <c:strRef>
              <c:f>'HWF density (2)'!$B$1</c:f>
              <c:strCache>
                <c:ptCount val="1"/>
                <c:pt idx="0">
                  <c:v>Density of Doctors, Nurses and Midwives per 10,000 in 2005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xVal>
          <c:yVal>
            <c:numRef>
              <c:f>'HWF density (2)'!$B$2:$B$49</c:f>
              <c:numCache>
                <c:formatCode>_(* #,##0.00_);_(* \(#,##0.00\);_(* "-"??_);_(@_)</c:formatCode>
                <c:ptCount val="48"/>
                <c:pt idx="0">
                  <c:v>85.164463294680317</c:v>
                </c:pt>
                <c:pt idx="1">
                  <c:v>48.338393302837126</c:v>
                </c:pt>
                <c:pt idx="2">
                  <c:v>45.798929608122037</c:v>
                </c:pt>
                <c:pt idx="3">
                  <c:v>30.393362818823206</c:v>
                </c:pt>
                <c:pt idx="4">
                  <c:v>10.500742436916699</c:v>
                </c:pt>
                <c:pt idx="5">
                  <c:v>67.913543410232151</c:v>
                </c:pt>
                <c:pt idx="6">
                  <c:v>52.993419869835677</c:v>
                </c:pt>
                <c:pt idx="7">
                  <c:v>6.0717944607399872</c:v>
                </c:pt>
                <c:pt idx="8">
                  <c:v>31.709770097605645</c:v>
                </c:pt>
                <c:pt idx="9">
                  <c:v>9.4752729160961806</c:v>
                </c:pt>
                <c:pt idx="10">
                  <c:v>24.702804308067464</c:v>
                </c:pt>
                <c:pt idx="11">
                  <c:v>34.787929315962927</c:v>
                </c:pt>
                <c:pt idx="12">
                  <c:v>7.7783344452635923</c:v>
                </c:pt>
                <c:pt idx="13">
                  <c:v>19.630162807040744</c:v>
                </c:pt>
                <c:pt idx="14">
                  <c:v>13.84347585706449</c:v>
                </c:pt>
                <c:pt idx="15">
                  <c:v>3.5362327127006687</c:v>
                </c:pt>
                <c:pt idx="16">
                  <c:v>17.65952365798919</c:v>
                </c:pt>
                <c:pt idx="17">
                  <c:v>11.49397097894952</c:v>
                </c:pt>
                <c:pt idx="18">
                  <c:v>9.6226880342228078</c:v>
                </c:pt>
                <c:pt idx="19">
                  <c:v>6.3184147364648275</c:v>
                </c:pt>
                <c:pt idx="20">
                  <c:v>10.948017137085737</c:v>
                </c:pt>
                <c:pt idx="21">
                  <c:v>4.6141385621624806</c:v>
                </c:pt>
                <c:pt idx="22">
                  <c:v>9.3685103548063058</c:v>
                </c:pt>
                <c:pt idx="23">
                  <c:v>7.2944959291686597</c:v>
                </c:pt>
                <c:pt idx="24">
                  <c:v>12.222674607172676</c:v>
                </c:pt>
                <c:pt idx="25">
                  <c:v>6.6801009648144856</c:v>
                </c:pt>
                <c:pt idx="26">
                  <c:v>13.195184437844334</c:v>
                </c:pt>
                <c:pt idx="27">
                  <c:v>4.09678726164762</c:v>
                </c:pt>
                <c:pt idx="28">
                  <c:v>2.1018738042028513</c:v>
                </c:pt>
                <c:pt idx="29">
                  <c:v>4.7328650182291474</c:v>
                </c:pt>
                <c:pt idx="30" formatCode="_(* #,##0.00_);_(* \(#,##0.00\);_(* &quot;-&quot;??_);_(@_)">
                  <c:v>20.432929238224979</c:v>
                </c:pt>
                <c:pt idx="31">
                  <c:v>2.2895671054697995</c:v>
                </c:pt>
                <c:pt idx="32">
                  <c:v>5.9639076663538182</c:v>
                </c:pt>
                <c:pt idx="33">
                  <c:v>5.9223334542682249</c:v>
                </c:pt>
                <c:pt idx="34">
                  <c:v>3.2677973333270876</c:v>
                </c:pt>
                <c:pt idx="35">
                  <c:v>3.499510330047737</c:v>
                </c:pt>
                <c:pt idx="36">
                  <c:v>10.111351450816844</c:v>
                </c:pt>
                <c:pt idx="37">
                  <c:v>16.446923230999928</c:v>
                </c:pt>
                <c:pt idx="38">
                  <c:v>3.6707103864901218</c:v>
                </c:pt>
                <c:pt idx="39">
                  <c:v>3.8527041010983769</c:v>
                </c:pt>
                <c:pt idx="40">
                  <c:v>7.3507834404093018</c:v>
                </c:pt>
                <c:pt idx="41">
                  <c:v>5.9236323700604725</c:v>
                </c:pt>
                <c:pt idx="42">
                  <c:v>7.6419814380029223</c:v>
                </c:pt>
                <c:pt idx="43">
                  <c:v>2.8167814409362335</c:v>
                </c:pt>
                <c:pt idx="45">
                  <c:v>4.8138114788603348</c:v>
                </c:pt>
                <c:pt idx="46">
                  <c:v>5.6569009522005214</c:v>
                </c:pt>
                <c:pt idx="47">
                  <c:v>2.2855928236201999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C3-4B63-A924-E9B3C589FE43}"/>
            </c:ext>
          </c:extLst>
        </c:ser>
        <c:ser>
          <c:idx val="1"/>
          <c:order val="1"/>
          <c:tx>
            <c:strRef>
              <c:f>'HWF density (2)'!$C$1</c:f>
              <c:strCache>
                <c:ptCount val="1"/>
                <c:pt idx="0">
                  <c:v>Density of Doctors, Nurses and Midwives per 10,000 2013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xVal>
          <c:yVal>
            <c:numRef>
              <c:f>'HWF density (2)'!$C$2:$C$49</c:f>
              <c:numCache>
                <c:formatCode>_(* #,##0.00_);_(* \(#,##0.00\);_(* "-"??_);_(@_)</c:formatCode>
                <c:ptCount val="48"/>
                <c:pt idx="0">
                  <c:v>89.12</c:v>
                </c:pt>
                <c:pt idx="1">
                  <c:v>52.67</c:v>
                </c:pt>
                <c:pt idx="2">
                  <c:v>45.160000000000004</c:v>
                </c:pt>
                <c:pt idx="3">
                  <c:v>40</c:v>
                </c:pt>
                <c:pt idx="4">
                  <c:v>15.59</c:v>
                </c:pt>
                <c:pt idx="5">
                  <c:v>65.789999999999992</c:v>
                </c:pt>
                <c:pt idx="6">
                  <c:v>50.62</c:v>
                </c:pt>
                <c:pt idx="7">
                  <c:v>7.25</c:v>
                </c:pt>
                <c:pt idx="8">
                  <c:v>34.11</c:v>
                </c:pt>
                <c:pt idx="9">
                  <c:v>15.530000000000001</c:v>
                </c:pt>
                <c:pt idx="10">
                  <c:v>24.67</c:v>
                </c:pt>
                <c:pt idx="11">
                  <c:v>35.53</c:v>
                </c:pt>
                <c:pt idx="12">
                  <c:v>16.64</c:v>
                </c:pt>
                <c:pt idx="13">
                  <c:v>8.7200000000000006</c:v>
                </c:pt>
                <c:pt idx="14">
                  <c:v>16.12</c:v>
                </c:pt>
                <c:pt idx="15">
                  <c:v>9.7899999999999991</c:v>
                </c:pt>
                <c:pt idx="16">
                  <c:v>23.439999999999998</c:v>
                </c:pt>
                <c:pt idx="17">
                  <c:v>20.009999999999998</c:v>
                </c:pt>
                <c:pt idx="18">
                  <c:v>13.959999999999999</c:v>
                </c:pt>
                <c:pt idx="19">
                  <c:v>9.2600000000000016</c:v>
                </c:pt>
                <c:pt idx="20">
                  <c:v>16.07</c:v>
                </c:pt>
                <c:pt idx="21">
                  <c:v>8.11</c:v>
                </c:pt>
                <c:pt idx="22">
                  <c:v>9.36</c:v>
                </c:pt>
                <c:pt idx="23">
                  <c:v>9.84</c:v>
                </c:pt>
                <c:pt idx="24">
                  <c:v>21.95</c:v>
                </c:pt>
                <c:pt idx="25">
                  <c:v>7.3900000000000006</c:v>
                </c:pt>
                <c:pt idx="26">
                  <c:v>15.36</c:v>
                </c:pt>
                <c:pt idx="27">
                  <c:v>6.78</c:v>
                </c:pt>
                <c:pt idx="28">
                  <c:v>7.2</c:v>
                </c:pt>
                <c:pt idx="29">
                  <c:v>12.21</c:v>
                </c:pt>
                <c:pt idx="30" formatCode="_(* #,##0.00_);_(* \(#,##0.00\);_(* &quot;-&quot;??_);_(@_)">
                  <c:v>23.608333333333341</c:v>
                </c:pt>
                <c:pt idx="31">
                  <c:v>3.3499999999999996</c:v>
                </c:pt>
                <c:pt idx="32">
                  <c:v>6.09</c:v>
                </c:pt>
                <c:pt idx="33">
                  <c:v>6.08</c:v>
                </c:pt>
                <c:pt idx="34">
                  <c:v>4.91</c:v>
                </c:pt>
                <c:pt idx="35">
                  <c:v>7.2700000000000005</c:v>
                </c:pt>
                <c:pt idx="36">
                  <c:v>14.47</c:v>
                </c:pt>
                <c:pt idx="37">
                  <c:v>17.43</c:v>
                </c:pt>
                <c:pt idx="38">
                  <c:v>5.3699999999999992</c:v>
                </c:pt>
                <c:pt idx="39">
                  <c:v>5.2200000000000006</c:v>
                </c:pt>
                <c:pt idx="40">
                  <c:v>7.7200000000000006</c:v>
                </c:pt>
                <c:pt idx="41">
                  <c:v>5.32</c:v>
                </c:pt>
                <c:pt idx="42">
                  <c:v>8.7999999999999989</c:v>
                </c:pt>
                <c:pt idx="43">
                  <c:v>3.5300000000000002</c:v>
                </c:pt>
                <c:pt idx="45">
                  <c:v>4.72</c:v>
                </c:pt>
                <c:pt idx="46">
                  <c:v>5.1300000000000008</c:v>
                </c:pt>
                <c:pt idx="47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C3-4B63-A924-E9B3C589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96239"/>
        <c:axId val="1718299823"/>
      </c:scatterChart>
      <c:catAx>
        <c:axId val="16264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718299823"/>
        <c:crosses val="autoZero"/>
        <c:auto val="1"/>
        <c:lblAlgn val="ctr"/>
        <c:lblOffset val="100"/>
        <c:noMultiLvlLbl val="0"/>
      </c:catAx>
      <c:valAx>
        <c:axId val="17182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62649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'HWF density (2)'!$F$1</c:f>
              <c:strCache>
                <c:ptCount val="1"/>
                <c:pt idx="0">
                  <c:v>Compound annual growth rate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8-4DEA-A867-1832AC5168C2}"/>
              </c:ext>
            </c:extLst>
          </c:dPt>
          <c:cat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cat>
          <c:val>
            <c:numRef>
              <c:f>'HWF density (2)'!$F$2:$F$49</c:f>
              <c:numCache>
                <c:formatCode>0.0%</c:formatCode>
                <c:ptCount val="48"/>
                <c:pt idx="0">
                  <c:v>1.923639452536885E-2</c:v>
                </c:pt>
                <c:pt idx="1">
                  <c:v>1.8750974628579442E-2</c:v>
                </c:pt>
                <c:pt idx="2">
                  <c:v>1.5111048252463011E-2</c:v>
                </c:pt>
                <c:pt idx="3">
                  <c:v>3.6154305005485332E-2</c:v>
                </c:pt>
                <c:pt idx="4">
                  <c:v>9.8676362917325733E-2</c:v>
                </c:pt>
                <c:pt idx="5">
                  <c:v>-2.8231262011735314E-2</c:v>
                </c:pt>
                <c:pt idx="6">
                  <c:v>-2.2384858801704821E-2</c:v>
                </c:pt>
                <c:pt idx="7">
                  <c:v>0.11723672907584115</c:v>
                </c:pt>
                <c:pt idx="8">
                  <c:v>2.3056426280327891E-3</c:v>
                </c:pt>
                <c:pt idx="9">
                  <c:v>6.6288884656939162E-2</c:v>
                </c:pt>
                <c:pt idx="10">
                  <c:v>4.2091164997248853E-3</c:v>
                </c:pt>
                <c:pt idx="11">
                  <c:v>-1.8270256409630203E-2</c:v>
                </c:pt>
                <c:pt idx="12">
                  <c:v>6.7682644210604437E-2</c:v>
                </c:pt>
                <c:pt idx="13">
                  <c:v>5.9654064959722142E-3</c:v>
                </c:pt>
                <c:pt idx="14">
                  <c:v>2.4119269037311097E-2</c:v>
                </c:pt>
                <c:pt idx="15">
                  <c:v>0.11353245996198602</c:v>
                </c:pt>
                <c:pt idx="16">
                  <c:v>6.4729480126466399E-3</c:v>
                </c:pt>
                <c:pt idx="17">
                  <c:v>3.0989471011589442E-2</c:v>
                </c:pt>
                <c:pt idx="18">
                  <c:v>2.9196592913822927E-2</c:v>
                </c:pt>
                <c:pt idx="19">
                  <c:v>5.2558672335021983E-2</c:v>
                </c:pt>
                <c:pt idx="20">
                  <c:v>1.6611369065457682E-2</c:v>
                </c:pt>
                <c:pt idx="21">
                  <c:v>6.7848483443429197E-2</c:v>
                </c:pt>
                <c:pt idx="22">
                  <c:v>1.9297679789256561E-2</c:v>
                </c:pt>
                <c:pt idx="23">
                  <c:v>2.8636269080991816E-2</c:v>
                </c:pt>
                <c:pt idx="24">
                  <c:v>-1.0400099302849575E-2</c:v>
                </c:pt>
                <c:pt idx="25">
                  <c:v>2.7370335736692564E-2</c:v>
                </c:pt>
                <c:pt idx="26">
                  <c:v>-1.6568490117665702E-2</c:v>
                </c:pt>
                <c:pt idx="27">
                  <c:v>5.6694595910245171E-2</c:v>
                </c:pt>
                <c:pt idx="28">
                  <c:v>9.5311112280165977E-2</c:v>
                </c:pt>
                <c:pt idx="29">
                  <c:v>4.0696258505925176E-2</c:v>
                </c:pt>
                <c:pt idx="30">
                  <c:v>1.9047833809088477E-2</c:v>
                </c:pt>
                <c:pt idx="31">
                  <c:v>8.7326264221228023E-2</c:v>
                </c:pt>
                <c:pt idx="32">
                  <c:v>2.2393314438830858E-2</c:v>
                </c:pt>
                <c:pt idx="33">
                  <c:v>1.8572958143859619E-2</c:v>
                </c:pt>
                <c:pt idx="34">
                  <c:v>4.4217889375264274E-2</c:v>
                </c:pt>
                <c:pt idx="35">
                  <c:v>3.8450484722514888E-2</c:v>
                </c:pt>
                <c:pt idx="36">
                  <c:v>-3.0893763238080463E-2</c:v>
                </c:pt>
                <c:pt idx="37">
                  <c:v>-6.0108281258822838E-2</c:v>
                </c:pt>
                <c:pt idx="38">
                  <c:v>3.1187335511394298E-2</c:v>
                </c:pt>
                <c:pt idx="39">
                  <c:v>2.5675865287637878E-2</c:v>
                </c:pt>
                <c:pt idx="40">
                  <c:v>-1.8525705464372932E-2</c:v>
                </c:pt>
                <c:pt idx="41">
                  <c:v>-1.2166377534393868E-2</c:v>
                </c:pt>
                <c:pt idx="42">
                  <c:v>-3.2556951302654569E-2</c:v>
                </c:pt>
                <c:pt idx="43">
                  <c:v>2.3895282314687183E-2</c:v>
                </c:pt>
                <c:pt idx="45">
                  <c:v>-2.8920382489630914E-2</c:v>
                </c:pt>
                <c:pt idx="46">
                  <c:v>-4.5174356235571644E-2</c:v>
                </c:pt>
                <c:pt idx="47">
                  <c:v>8.0879076406465966E-3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A-4081-9CD4-F6AAC2D9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28233519"/>
        <c:axId val="1919890143"/>
      </c:barChart>
      <c:catAx>
        <c:axId val="18282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19890143"/>
        <c:crosses val="autoZero"/>
        <c:auto val="1"/>
        <c:lblAlgn val="ctr"/>
        <c:lblOffset val="100"/>
        <c:noMultiLvlLbl val="0"/>
      </c:catAx>
      <c:valAx>
        <c:axId val="1919890143"/>
        <c:scaling>
          <c:orientation val="minMax"/>
          <c:max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8282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'HWF density (2)'!$D$1</c:f>
              <c:strCache>
                <c:ptCount val="1"/>
                <c:pt idx="0">
                  <c:v>Density of Doctors, Nurses and Midwives per 10,000 in 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cat>
          <c:val>
            <c:numRef>
              <c:f>'HWF density (2)'!$D$2:$D$49</c:f>
              <c:numCache>
                <c:formatCode>_(* #,##0.00_);_(* \(#,##0.00\);_(* "-"??_);_(@_)</c:formatCode>
                <c:ptCount val="48"/>
                <c:pt idx="0">
                  <c:v>115.52</c:v>
                </c:pt>
                <c:pt idx="1">
                  <c:v>65.069999999999993</c:v>
                </c:pt>
                <c:pt idx="2">
                  <c:v>58.22</c:v>
                </c:pt>
                <c:pt idx="3">
                  <c:v>53.65</c:v>
                </c:pt>
                <c:pt idx="4">
                  <c:v>47.33</c:v>
                </c:pt>
                <c:pt idx="5">
                  <c:v>42.949999999999996</c:v>
                </c:pt>
                <c:pt idx="6">
                  <c:v>36.89</c:v>
                </c:pt>
                <c:pt idx="7">
                  <c:v>35.78</c:v>
                </c:pt>
                <c:pt idx="8">
                  <c:v>32.9</c:v>
                </c:pt>
                <c:pt idx="9">
                  <c:v>26.46</c:v>
                </c:pt>
                <c:pt idx="10">
                  <c:v>26.42</c:v>
                </c:pt>
                <c:pt idx="11">
                  <c:v>25.9</c:v>
                </c:pt>
                <c:pt idx="12">
                  <c:v>22.18</c:v>
                </c:pt>
                <c:pt idx="13">
                  <c:v>21.590000000000003</c:v>
                </c:pt>
                <c:pt idx="14">
                  <c:v>20.27</c:v>
                </c:pt>
                <c:pt idx="15">
                  <c:v>19.760000000000002</c:v>
                </c:pt>
                <c:pt idx="16">
                  <c:v>19.579999999999998</c:v>
                </c:pt>
                <c:pt idx="17">
                  <c:v>18.73</c:v>
                </c:pt>
                <c:pt idx="18">
                  <c:v>15.25</c:v>
                </c:pt>
                <c:pt idx="19">
                  <c:v>14.34</c:v>
                </c:pt>
                <c:pt idx="20">
                  <c:v>14.25</c:v>
                </c:pt>
                <c:pt idx="21">
                  <c:v>13.190000000000001</c:v>
                </c:pt>
                <c:pt idx="22">
                  <c:v>12.719999999999999</c:v>
                </c:pt>
                <c:pt idx="23">
                  <c:v>11.459999999999999</c:v>
                </c:pt>
                <c:pt idx="24">
                  <c:v>10.34</c:v>
                </c:pt>
                <c:pt idx="25">
                  <c:v>10.29</c:v>
                </c:pt>
                <c:pt idx="26">
                  <c:v>10.1</c:v>
                </c:pt>
                <c:pt idx="27">
                  <c:v>9.9</c:v>
                </c:pt>
                <c:pt idx="28">
                  <c:v>9.02</c:v>
                </c:pt>
                <c:pt idx="29">
                  <c:v>8.9600000000000009</c:v>
                </c:pt>
                <c:pt idx="30" formatCode="_(* #,##0.00_);_(* \(#,##0.00\);_(* &quot;-&quot;??_);_(@_)">
                  <c:v>27.634000000000004</c:v>
                </c:pt>
                <c:pt idx="31">
                  <c:v>8.74</c:v>
                </c:pt>
                <c:pt idx="32">
                  <c:v>8.5</c:v>
                </c:pt>
                <c:pt idx="33">
                  <c:v>7.9500000000000011</c:v>
                </c:pt>
                <c:pt idx="34">
                  <c:v>6.5299999999999994</c:v>
                </c:pt>
                <c:pt idx="35">
                  <c:v>6.4</c:v>
                </c:pt>
                <c:pt idx="36">
                  <c:v>6.1199999999999992</c:v>
                </c:pt>
                <c:pt idx="37">
                  <c:v>6.1</c:v>
                </c:pt>
                <c:pt idx="38">
                  <c:v>6</c:v>
                </c:pt>
                <c:pt idx="39">
                  <c:v>5.7800000000000011</c:v>
                </c:pt>
                <c:pt idx="40">
                  <c:v>5.4500000000000011</c:v>
                </c:pt>
                <c:pt idx="41">
                  <c:v>4.87</c:v>
                </c:pt>
                <c:pt idx="42">
                  <c:v>4.5</c:v>
                </c:pt>
                <c:pt idx="43">
                  <c:v>4.1100000000000003</c:v>
                </c:pt>
                <c:pt idx="44">
                  <c:v>3.98</c:v>
                </c:pt>
                <c:pt idx="45">
                  <c:v>3.0100000000000002</c:v>
                </c:pt>
                <c:pt idx="46">
                  <c:v>2.7</c:v>
                </c:pt>
                <c:pt idx="47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8-4B5E-9989-5BF7B342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23292495"/>
        <c:axId val="849616879"/>
      </c:barChart>
      <c:scatterChart>
        <c:scatterStyle val="lineMarker"/>
        <c:varyColors val="0"/>
        <c:ser>
          <c:idx val="0"/>
          <c:order val="0"/>
          <c:tx>
            <c:strRef>
              <c:f>'HWF density (2)'!$B$1</c:f>
              <c:strCache>
                <c:ptCount val="1"/>
                <c:pt idx="0">
                  <c:v>Density of Doctors, Nurses and Midwives per 10,000 in 2005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xVal>
          <c:yVal>
            <c:numRef>
              <c:f>'HWF density (2)'!$B$2:$B$49</c:f>
              <c:numCache>
                <c:formatCode>_(* #,##0.00_);_(* \(#,##0.00\);_(* "-"??_);_(@_)</c:formatCode>
                <c:ptCount val="48"/>
                <c:pt idx="0">
                  <c:v>85.164463294680317</c:v>
                </c:pt>
                <c:pt idx="1">
                  <c:v>48.338393302837126</c:v>
                </c:pt>
                <c:pt idx="2">
                  <c:v>45.798929608122037</c:v>
                </c:pt>
                <c:pt idx="3">
                  <c:v>30.393362818823206</c:v>
                </c:pt>
                <c:pt idx="4">
                  <c:v>10.500742436916699</c:v>
                </c:pt>
                <c:pt idx="5">
                  <c:v>67.913543410232151</c:v>
                </c:pt>
                <c:pt idx="6">
                  <c:v>52.993419869835677</c:v>
                </c:pt>
                <c:pt idx="7">
                  <c:v>6.0717944607399872</c:v>
                </c:pt>
                <c:pt idx="8">
                  <c:v>31.709770097605645</c:v>
                </c:pt>
                <c:pt idx="9">
                  <c:v>9.4752729160961806</c:v>
                </c:pt>
                <c:pt idx="10">
                  <c:v>24.702804308067464</c:v>
                </c:pt>
                <c:pt idx="11">
                  <c:v>34.787929315962927</c:v>
                </c:pt>
                <c:pt idx="12">
                  <c:v>7.7783344452635923</c:v>
                </c:pt>
                <c:pt idx="13">
                  <c:v>19.630162807040744</c:v>
                </c:pt>
                <c:pt idx="14">
                  <c:v>13.84347585706449</c:v>
                </c:pt>
                <c:pt idx="15">
                  <c:v>3.5362327127006687</c:v>
                </c:pt>
                <c:pt idx="16">
                  <c:v>17.65952365798919</c:v>
                </c:pt>
                <c:pt idx="17">
                  <c:v>11.49397097894952</c:v>
                </c:pt>
                <c:pt idx="18">
                  <c:v>9.6226880342228078</c:v>
                </c:pt>
                <c:pt idx="19">
                  <c:v>6.3184147364648275</c:v>
                </c:pt>
                <c:pt idx="20">
                  <c:v>10.948017137085737</c:v>
                </c:pt>
                <c:pt idx="21">
                  <c:v>4.6141385621624806</c:v>
                </c:pt>
                <c:pt idx="22">
                  <c:v>9.3685103548063058</c:v>
                </c:pt>
                <c:pt idx="23">
                  <c:v>7.2944959291686597</c:v>
                </c:pt>
                <c:pt idx="24">
                  <c:v>12.222674607172676</c:v>
                </c:pt>
                <c:pt idx="25">
                  <c:v>6.6801009648144856</c:v>
                </c:pt>
                <c:pt idx="26">
                  <c:v>13.195184437844334</c:v>
                </c:pt>
                <c:pt idx="27">
                  <c:v>4.09678726164762</c:v>
                </c:pt>
                <c:pt idx="28">
                  <c:v>2.1018738042028513</c:v>
                </c:pt>
                <c:pt idx="29">
                  <c:v>4.7328650182291474</c:v>
                </c:pt>
                <c:pt idx="30" formatCode="_(* #,##0.00_);_(* \(#,##0.00\);_(* &quot;-&quot;??_);_(@_)">
                  <c:v>20.432929238224979</c:v>
                </c:pt>
                <c:pt idx="31">
                  <c:v>2.2895671054697995</c:v>
                </c:pt>
                <c:pt idx="32">
                  <c:v>5.9639076663538182</c:v>
                </c:pt>
                <c:pt idx="33">
                  <c:v>5.9223334542682249</c:v>
                </c:pt>
                <c:pt idx="34">
                  <c:v>3.2677973333270876</c:v>
                </c:pt>
                <c:pt idx="35">
                  <c:v>3.499510330047737</c:v>
                </c:pt>
                <c:pt idx="36">
                  <c:v>10.111351450816844</c:v>
                </c:pt>
                <c:pt idx="37">
                  <c:v>16.446923230999928</c:v>
                </c:pt>
                <c:pt idx="38">
                  <c:v>3.6707103864901218</c:v>
                </c:pt>
                <c:pt idx="39">
                  <c:v>3.8527041010983769</c:v>
                </c:pt>
                <c:pt idx="40">
                  <c:v>7.3507834404093018</c:v>
                </c:pt>
                <c:pt idx="41">
                  <c:v>5.9236323700604725</c:v>
                </c:pt>
                <c:pt idx="42">
                  <c:v>7.6419814380029223</c:v>
                </c:pt>
                <c:pt idx="43">
                  <c:v>2.8167814409362335</c:v>
                </c:pt>
                <c:pt idx="45">
                  <c:v>4.8138114788603348</c:v>
                </c:pt>
                <c:pt idx="46">
                  <c:v>5.6569009522005214</c:v>
                </c:pt>
                <c:pt idx="47">
                  <c:v>2.2855928236201999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8-4B5E-9989-5BF7B3426C45}"/>
            </c:ext>
          </c:extLst>
        </c:ser>
        <c:ser>
          <c:idx val="1"/>
          <c:order val="1"/>
          <c:tx>
            <c:strRef>
              <c:f>'HWF density (2)'!$C$1</c:f>
              <c:strCache>
                <c:ptCount val="1"/>
                <c:pt idx="0">
                  <c:v>Density of Doctors, Nurses and Midwives per 10,000 2013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'HWF density (2)'!$A$2:$A$49</c:f>
              <c:strCache>
                <c:ptCount val="48"/>
                <c:pt idx="0">
                  <c:v>Seychelles</c:v>
                </c:pt>
                <c:pt idx="1">
                  <c:v>Mauritius</c:v>
                </c:pt>
                <c:pt idx="2">
                  <c:v>South Africa</c:v>
                </c:pt>
                <c:pt idx="3">
                  <c:v>Botswana</c:v>
                </c:pt>
                <c:pt idx="4">
                  <c:v>Ghana</c:v>
                </c:pt>
                <c:pt idx="5">
                  <c:v>Eswatini</c:v>
                </c:pt>
                <c:pt idx="6">
                  <c:v>Gabon</c:v>
                </c:pt>
                <c:pt idx="7">
                  <c:v>Lesotho</c:v>
                </c:pt>
                <c:pt idx="8">
                  <c:v>Algeria</c:v>
                </c:pt>
                <c:pt idx="9">
                  <c:v>Zimbabwe</c:v>
                </c:pt>
                <c:pt idx="10">
                  <c:v>Sao Tome and Principe</c:v>
                </c:pt>
                <c:pt idx="11">
                  <c:v>Namibia</c:v>
                </c:pt>
                <c:pt idx="12">
                  <c:v>Uganda</c:v>
                </c:pt>
                <c:pt idx="13">
                  <c:v>Zambia</c:v>
                </c:pt>
                <c:pt idx="14">
                  <c:v>Cape Verde</c:v>
                </c:pt>
                <c:pt idx="15">
                  <c:v>Liberia</c:v>
                </c:pt>
                <c:pt idx="16">
                  <c:v>Nigeria</c:v>
                </c:pt>
                <c:pt idx="17">
                  <c:v>Comoros</c:v>
                </c:pt>
                <c:pt idx="18">
                  <c:v>Eritrea</c:v>
                </c:pt>
                <c:pt idx="19">
                  <c:v>Democratic Republic of the Congo</c:v>
                </c:pt>
                <c:pt idx="20">
                  <c:v>Kenya</c:v>
                </c:pt>
                <c:pt idx="21">
                  <c:v>Rwanda</c:v>
                </c:pt>
                <c:pt idx="22">
                  <c:v>Guinea-Bissau</c:v>
                </c:pt>
                <c:pt idx="23">
                  <c:v>Mauritania</c:v>
                </c:pt>
                <c:pt idx="24">
                  <c:v>Congo</c:v>
                </c:pt>
                <c:pt idx="25">
                  <c:v>Côte d'Ivoire</c:v>
                </c:pt>
                <c:pt idx="26">
                  <c:v>Gambia</c:v>
                </c:pt>
                <c:pt idx="27">
                  <c:v>Burkina Faso</c:v>
                </c:pt>
                <c:pt idx="28">
                  <c:v>Burundi</c:v>
                </c:pt>
                <c:pt idx="29">
                  <c:v>Sierra Leone</c:v>
                </c:pt>
                <c:pt idx="30">
                  <c:v>AFRO HWF Density</c:v>
                </c:pt>
                <c:pt idx="31">
                  <c:v>Ethiopia</c:v>
                </c:pt>
                <c:pt idx="32">
                  <c:v>Malawi</c:v>
                </c:pt>
                <c:pt idx="33">
                  <c:v>Guinea</c:v>
                </c:pt>
                <c:pt idx="34">
                  <c:v>Mozambique</c:v>
                </c:pt>
                <c:pt idx="35">
                  <c:v>Senegal</c:v>
                </c:pt>
                <c:pt idx="36">
                  <c:v>Angola</c:v>
                </c:pt>
                <c:pt idx="37">
                  <c:v>Cameroon</c:v>
                </c:pt>
                <c:pt idx="38">
                  <c:v>United Republic of Tanzania</c:v>
                </c:pt>
                <c:pt idx="39">
                  <c:v>Togo</c:v>
                </c:pt>
                <c:pt idx="40">
                  <c:v>Mali</c:v>
                </c:pt>
                <c:pt idx="41">
                  <c:v>Madagascar</c:v>
                </c:pt>
                <c:pt idx="42">
                  <c:v>Benin</c:v>
                </c:pt>
                <c:pt idx="43">
                  <c:v>Chad</c:v>
                </c:pt>
                <c:pt idx="44">
                  <c:v>South Sudan</c:v>
                </c:pt>
                <c:pt idx="45">
                  <c:v>Central African Republic</c:v>
                </c:pt>
                <c:pt idx="46">
                  <c:v>Equatorial Guinea</c:v>
                </c:pt>
                <c:pt idx="47">
                  <c:v>Niger</c:v>
                </c:pt>
              </c:strCache>
            </c:strRef>
          </c:xVal>
          <c:yVal>
            <c:numRef>
              <c:f>'HWF density (2)'!$C$2:$C$49</c:f>
              <c:numCache>
                <c:formatCode>_(* #,##0.00_);_(* \(#,##0.00\);_(* "-"??_);_(@_)</c:formatCode>
                <c:ptCount val="48"/>
                <c:pt idx="0">
                  <c:v>89.12</c:v>
                </c:pt>
                <c:pt idx="1">
                  <c:v>52.67</c:v>
                </c:pt>
                <c:pt idx="2">
                  <c:v>45.160000000000004</c:v>
                </c:pt>
                <c:pt idx="3">
                  <c:v>40</c:v>
                </c:pt>
                <c:pt idx="4">
                  <c:v>15.59</c:v>
                </c:pt>
                <c:pt idx="5">
                  <c:v>65.789999999999992</c:v>
                </c:pt>
                <c:pt idx="6">
                  <c:v>50.62</c:v>
                </c:pt>
                <c:pt idx="7">
                  <c:v>7.25</c:v>
                </c:pt>
                <c:pt idx="8">
                  <c:v>34.11</c:v>
                </c:pt>
                <c:pt idx="9">
                  <c:v>15.530000000000001</c:v>
                </c:pt>
                <c:pt idx="10">
                  <c:v>24.67</c:v>
                </c:pt>
                <c:pt idx="11">
                  <c:v>35.53</c:v>
                </c:pt>
                <c:pt idx="12">
                  <c:v>16.64</c:v>
                </c:pt>
                <c:pt idx="13">
                  <c:v>8.7200000000000006</c:v>
                </c:pt>
                <c:pt idx="14">
                  <c:v>16.12</c:v>
                </c:pt>
                <c:pt idx="15">
                  <c:v>9.7899999999999991</c:v>
                </c:pt>
                <c:pt idx="16">
                  <c:v>23.439999999999998</c:v>
                </c:pt>
                <c:pt idx="17">
                  <c:v>20.009999999999998</c:v>
                </c:pt>
                <c:pt idx="18">
                  <c:v>13.959999999999999</c:v>
                </c:pt>
                <c:pt idx="19">
                  <c:v>9.2600000000000016</c:v>
                </c:pt>
                <c:pt idx="20">
                  <c:v>16.07</c:v>
                </c:pt>
                <c:pt idx="21">
                  <c:v>8.11</c:v>
                </c:pt>
                <c:pt idx="22">
                  <c:v>9.36</c:v>
                </c:pt>
                <c:pt idx="23">
                  <c:v>9.84</c:v>
                </c:pt>
                <c:pt idx="24">
                  <c:v>21.95</c:v>
                </c:pt>
                <c:pt idx="25">
                  <c:v>7.3900000000000006</c:v>
                </c:pt>
                <c:pt idx="26">
                  <c:v>15.36</c:v>
                </c:pt>
                <c:pt idx="27">
                  <c:v>6.78</c:v>
                </c:pt>
                <c:pt idx="28">
                  <c:v>7.2</c:v>
                </c:pt>
                <c:pt idx="29">
                  <c:v>12.21</c:v>
                </c:pt>
                <c:pt idx="30" formatCode="_(* #,##0.00_);_(* \(#,##0.00\);_(* &quot;-&quot;??_);_(@_)">
                  <c:v>23.608333333333341</c:v>
                </c:pt>
                <c:pt idx="31">
                  <c:v>3.3499999999999996</c:v>
                </c:pt>
                <c:pt idx="32">
                  <c:v>6.09</c:v>
                </c:pt>
                <c:pt idx="33">
                  <c:v>6.08</c:v>
                </c:pt>
                <c:pt idx="34">
                  <c:v>4.91</c:v>
                </c:pt>
                <c:pt idx="35">
                  <c:v>7.2700000000000005</c:v>
                </c:pt>
                <c:pt idx="36">
                  <c:v>14.47</c:v>
                </c:pt>
                <c:pt idx="37">
                  <c:v>17.43</c:v>
                </c:pt>
                <c:pt idx="38">
                  <c:v>5.3699999999999992</c:v>
                </c:pt>
                <c:pt idx="39">
                  <c:v>5.2200000000000006</c:v>
                </c:pt>
                <c:pt idx="40">
                  <c:v>7.7200000000000006</c:v>
                </c:pt>
                <c:pt idx="41">
                  <c:v>5.32</c:v>
                </c:pt>
                <c:pt idx="42">
                  <c:v>8.7999999999999989</c:v>
                </c:pt>
                <c:pt idx="43">
                  <c:v>3.5300000000000002</c:v>
                </c:pt>
                <c:pt idx="45">
                  <c:v>4.72</c:v>
                </c:pt>
                <c:pt idx="46">
                  <c:v>5.1300000000000008</c:v>
                </c:pt>
                <c:pt idx="47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48-4B5E-9989-5BF7B342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292495"/>
        <c:axId val="849616879"/>
      </c:scatterChart>
      <c:catAx>
        <c:axId val="5232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49616879"/>
        <c:crosses val="autoZero"/>
        <c:auto val="1"/>
        <c:lblAlgn val="ctr"/>
        <c:lblOffset val="100"/>
        <c:noMultiLvlLbl val="0"/>
      </c:catAx>
      <c:valAx>
        <c:axId val="84961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2329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'HRH with economic blocks'!$B$1</c:f>
              <c:strCache>
                <c:ptCount val="1"/>
                <c:pt idx="0">
                  <c:v>Average of Density of Doctors, Nurses and Midwives per 10,000 in 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blocks'!$A$2:$A$6</c:f>
              <c:strCache>
                <c:ptCount val="5"/>
                <c:pt idx="0">
                  <c:v>Upper-Middle-Income Economies </c:v>
                </c:pt>
                <c:pt idx="1">
                  <c:v>Lower-Middle-Income Economies</c:v>
                </c:pt>
                <c:pt idx="2">
                  <c:v>High-Income Economies </c:v>
                </c:pt>
                <c:pt idx="3">
                  <c:v>Low-Income Economies</c:v>
                </c:pt>
                <c:pt idx="4">
                  <c:v>AFRO HWF Density</c:v>
                </c:pt>
              </c:strCache>
            </c:strRef>
          </c:cat>
          <c:val>
            <c:numRef>
              <c:f>'HRH with economic blocks'!$B$2:$B$6</c:f>
              <c:numCache>
                <c:formatCode>0.0</c:formatCode>
                <c:ptCount val="5"/>
                <c:pt idx="0">
                  <c:v>33.926108512988876</c:v>
                </c:pt>
                <c:pt idx="1">
                  <c:v>15.342990863436901</c:v>
                </c:pt>
                <c:pt idx="2">
                  <c:v>66.751428298758725</c:v>
                </c:pt>
                <c:pt idx="3">
                  <c:v>5.4925970290974249</c:v>
                </c:pt>
                <c:pt idx="4">
                  <c:v>15.315264481515467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5-4C5E-A4DB-C640942E5529}"/>
            </c:ext>
          </c:extLst>
        </c:ser>
        <c:ser>
          <c:idx val="1"/>
          <c:order val="1"/>
          <c:tx>
            <c:strRef>
              <c:f>'HRH with economic blocks'!$C$1</c:f>
              <c:strCache>
                <c:ptCount val="1"/>
                <c:pt idx="0">
                  <c:v>Average of Density of Doctors, Nurses and Midwives per 10,000 in 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blocks'!$A$2:$A$6</c:f>
              <c:strCache>
                <c:ptCount val="5"/>
                <c:pt idx="0">
                  <c:v>Upper-Middle-Income Economies </c:v>
                </c:pt>
                <c:pt idx="1">
                  <c:v>Lower-Middle-Income Economies</c:v>
                </c:pt>
                <c:pt idx="2">
                  <c:v>High-Income Economies </c:v>
                </c:pt>
                <c:pt idx="3">
                  <c:v>Low-Income Economies</c:v>
                </c:pt>
                <c:pt idx="4">
                  <c:v>AFRO HWF Density</c:v>
                </c:pt>
              </c:strCache>
            </c:strRef>
          </c:cat>
          <c:val>
            <c:numRef>
              <c:f>'HRH with economic blocks'!$C$2:$C$6</c:f>
              <c:numCache>
                <c:formatCode>0.0</c:formatCode>
                <c:ptCount val="5"/>
                <c:pt idx="0">
                  <c:v>35.287999999999997</c:v>
                </c:pt>
                <c:pt idx="1">
                  <c:v>17.885263157894741</c:v>
                </c:pt>
                <c:pt idx="2">
                  <c:v>70.89500000000001</c:v>
                </c:pt>
                <c:pt idx="3">
                  <c:v>7.9224999999999994</c:v>
                </c:pt>
                <c:pt idx="4">
                  <c:v>17.750000000000004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5-4C5E-A4DB-C640942E5529}"/>
            </c:ext>
          </c:extLst>
        </c:ser>
        <c:ser>
          <c:idx val="2"/>
          <c:order val="2"/>
          <c:tx>
            <c:strRef>
              <c:f>'HRH with economic blocks'!$D$1</c:f>
              <c:strCache>
                <c:ptCount val="1"/>
                <c:pt idx="0">
                  <c:v>Average of Density of Doctors, Nurses and Midwives per 10,000 in 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blocks'!$A$2:$A$6</c:f>
              <c:strCache>
                <c:ptCount val="5"/>
                <c:pt idx="0">
                  <c:v>Upper-Middle-Income Economies </c:v>
                </c:pt>
                <c:pt idx="1">
                  <c:v>Lower-Middle-Income Economies</c:v>
                </c:pt>
                <c:pt idx="2">
                  <c:v>High-Income Economies </c:v>
                </c:pt>
                <c:pt idx="3">
                  <c:v>Low-Income Economies</c:v>
                </c:pt>
                <c:pt idx="4">
                  <c:v>AFRO HWF Density</c:v>
                </c:pt>
              </c:strCache>
            </c:strRef>
          </c:cat>
          <c:val>
            <c:numRef>
              <c:f>'HRH with economic blocks'!$D$2:$D$6</c:f>
              <c:numCache>
                <c:formatCode>0.0</c:formatCode>
                <c:ptCount val="5"/>
                <c:pt idx="0">
                  <c:v>35.472000000000001</c:v>
                </c:pt>
                <c:pt idx="1">
                  <c:v>19.340526315789472</c:v>
                </c:pt>
                <c:pt idx="2">
                  <c:v>90.294999999999987</c:v>
                </c:pt>
                <c:pt idx="3">
                  <c:v>9.3780952380952378</c:v>
                </c:pt>
                <c:pt idx="4">
                  <c:v>19.624680851063832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5-4C5E-A4DB-C640942E55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5285151"/>
        <c:axId val="1919909983"/>
      </c:barChart>
      <c:catAx>
        <c:axId val="170528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19909983"/>
        <c:crosses val="autoZero"/>
        <c:auto val="1"/>
        <c:lblAlgn val="ctr"/>
        <c:lblOffset val="100"/>
        <c:noMultiLvlLbl val="0"/>
      </c:catAx>
      <c:valAx>
        <c:axId val="191990998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70528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'HRH with economic blocks'!$B$39</c:f>
              <c:strCache>
                <c:ptCount val="1"/>
                <c:pt idx="0">
                  <c:v>Average of Density of Doctors, Nurses and Midwives per 10,000 in 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blocks'!$A$40:$A$48</c:f>
              <c:strCache>
                <c:ptCount val="9"/>
                <c:pt idx="0">
                  <c:v>ECCAS</c:v>
                </c:pt>
                <c:pt idx="1">
                  <c:v>UMA</c:v>
                </c:pt>
                <c:pt idx="2">
                  <c:v>SADC</c:v>
                </c:pt>
                <c:pt idx="3">
                  <c:v>COMESA</c:v>
                </c:pt>
                <c:pt idx="4">
                  <c:v>CEN-SAD</c:v>
                </c:pt>
                <c:pt idx="5">
                  <c:v>ECOWAS</c:v>
                </c:pt>
                <c:pt idx="6">
                  <c:v>IGAD</c:v>
                </c:pt>
                <c:pt idx="7">
                  <c:v>EAC</c:v>
                </c:pt>
                <c:pt idx="8">
                  <c:v>AFRO HWF Density</c:v>
                </c:pt>
              </c:strCache>
            </c:strRef>
          </c:cat>
          <c:val>
            <c:numRef>
              <c:f>'HRH with economic blocks'!$B$40:$B$48</c:f>
              <c:numCache>
                <c:formatCode>0.0</c:formatCode>
                <c:ptCount val="9"/>
                <c:pt idx="0">
                  <c:v>13.818495587955738</c:v>
                </c:pt>
                <c:pt idx="1">
                  <c:v>19.502133013387152</c:v>
                </c:pt>
                <c:pt idx="2">
                  <c:v>25.52197772520319</c:v>
                </c:pt>
                <c:pt idx="3">
                  <c:v>19.83842537140816</c:v>
                </c:pt>
                <c:pt idx="4">
                  <c:v>8.4481317089432011</c:v>
                </c:pt>
                <c:pt idx="5">
                  <c:v>7.6110885526306475</c:v>
                </c:pt>
                <c:pt idx="6">
                  <c:v>7.6596516805104846</c:v>
                </c:pt>
                <c:pt idx="7">
                  <c:v>5.9052481786116013</c:v>
                </c:pt>
                <c:pt idx="8">
                  <c:v>15.315264481515467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3-4EDF-9829-72B2F51AAB2A}"/>
            </c:ext>
          </c:extLst>
        </c:ser>
        <c:ser>
          <c:idx val="1"/>
          <c:order val="1"/>
          <c:tx>
            <c:strRef>
              <c:f>'HRH with economic blocks'!$C$39</c:f>
              <c:strCache>
                <c:ptCount val="1"/>
                <c:pt idx="0">
                  <c:v>Average of Density of Doctors, Nurses and Midwives per 10,000 in 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blocks'!$A$40:$A$48</c:f>
              <c:strCache>
                <c:ptCount val="9"/>
                <c:pt idx="0">
                  <c:v>ECCAS</c:v>
                </c:pt>
                <c:pt idx="1">
                  <c:v>UMA</c:v>
                </c:pt>
                <c:pt idx="2">
                  <c:v>SADC</c:v>
                </c:pt>
                <c:pt idx="3">
                  <c:v>COMESA</c:v>
                </c:pt>
                <c:pt idx="4">
                  <c:v>CEN-SAD</c:v>
                </c:pt>
                <c:pt idx="5">
                  <c:v>ECOWAS</c:v>
                </c:pt>
                <c:pt idx="6">
                  <c:v>IGAD</c:v>
                </c:pt>
                <c:pt idx="7">
                  <c:v>EAC</c:v>
                </c:pt>
                <c:pt idx="8">
                  <c:v>AFRO HWF Density</c:v>
                </c:pt>
              </c:strCache>
            </c:strRef>
          </c:cat>
          <c:val>
            <c:numRef>
              <c:f>'HRH with economic blocks'!$C$40:$C$48</c:f>
              <c:numCache>
                <c:formatCode>0.0</c:formatCode>
                <c:ptCount val="9"/>
                <c:pt idx="0">
                  <c:v>15.898000000000001</c:v>
                </c:pt>
                <c:pt idx="1">
                  <c:v>21.975000000000001</c:v>
                </c:pt>
                <c:pt idx="2">
                  <c:v>27.012666666666671</c:v>
                </c:pt>
                <c:pt idx="3">
                  <c:v>22.522666666666669</c:v>
                </c:pt>
                <c:pt idx="4">
                  <c:v>11.216818181818182</c:v>
                </c:pt>
                <c:pt idx="5">
                  <c:v>10.264666666666669</c:v>
                </c:pt>
                <c:pt idx="6">
                  <c:v>12.504999999999999</c:v>
                </c:pt>
                <c:pt idx="7">
                  <c:v>10.441666666666666</c:v>
                </c:pt>
                <c:pt idx="8">
                  <c:v>17.75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3-4EDF-9829-72B2F51AAB2A}"/>
            </c:ext>
          </c:extLst>
        </c:ser>
        <c:ser>
          <c:idx val="2"/>
          <c:order val="2"/>
          <c:tx>
            <c:strRef>
              <c:f>'HRH with economic blocks'!$D$39</c:f>
              <c:strCache>
                <c:ptCount val="1"/>
                <c:pt idx="0">
                  <c:v>Average of Density of Doctors, Nurses and Midwives per 10,000 in 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blocks'!$A$40:$A$48</c:f>
              <c:strCache>
                <c:ptCount val="9"/>
                <c:pt idx="0">
                  <c:v>ECCAS</c:v>
                </c:pt>
                <c:pt idx="1">
                  <c:v>UMA</c:v>
                </c:pt>
                <c:pt idx="2">
                  <c:v>SADC</c:v>
                </c:pt>
                <c:pt idx="3">
                  <c:v>COMESA</c:v>
                </c:pt>
                <c:pt idx="4">
                  <c:v>CEN-SAD</c:v>
                </c:pt>
                <c:pt idx="5">
                  <c:v>ECOWAS</c:v>
                </c:pt>
                <c:pt idx="6">
                  <c:v>IGAD</c:v>
                </c:pt>
                <c:pt idx="7">
                  <c:v>EAC</c:v>
                </c:pt>
                <c:pt idx="8">
                  <c:v>AFRO HWF Density</c:v>
                </c:pt>
              </c:strCache>
            </c:strRef>
          </c:cat>
          <c:val>
            <c:numRef>
              <c:f>'HRH with economic blocks'!$D$40:$D$48</c:f>
              <c:numCache>
                <c:formatCode>0.0</c:formatCode>
                <c:ptCount val="9"/>
                <c:pt idx="0">
                  <c:v>11.905000000000001</c:v>
                </c:pt>
                <c:pt idx="1">
                  <c:v>22.18</c:v>
                </c:pt>
                <c:pt idx="2">
                  <c:v>32.766666666666666</c:v>
                </c:pt>
                <c:pt idx="3">
                  <c:v>26.710666666666661</c:v>
                </c:pt>
                <c:pt idx="4">
                  <c:v>12.946363636363634</c:v>
                </c:pt>
                <c:pt idx="5">
                  <c:v>12.772666666666668</c:v>
                </c:pt>
                <c:pt idx="6">
                  <c:v>12.88</c:v>
                </c:pt>
                <c:pt idx="7">
                  <c:v>11.851428571428571</c:v>
                </c:pt>
                <c:pt idx="8">
                  <c:v>19.624680851063829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B3-4EDF-9829-72B2F51AAB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1719867311"/>
        <c:axId val="1952431471"/>
      </c:barChart>
      <c:catAx>
        <c:axId val="171986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52431471"/>
        <c:crosses val="autoZero"/>
        <c:auto val="1"/>
        <c:lblAlgn val="ctr"/>
        <c:lblOffset val="100"/>
        <c:noMultiLvlLbl val="0"/>
      </c:catAx>
      <c:valAx>
        <c:axId val="1952431471"/>
        <c:scaling>
          <c:orientation val="minMax"/>
          <c:max val="1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71986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'HRH with economic blocks'!$E$1</c:f>
              <c:strCache>
                <c:ptCount val="1"/>
                <c:pt idx="0">
                  <c:v>Compound annual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D4-4FD3-A2ED-6700F52FF9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blocks'!$A$2:$A$6</c:f>
              <c:strCache>
                <c:ptCount val="5"/>
                <c:pt idx="0">
                  <c:v>Upper-Middle-Income Economies </c:v>
                </c:pt>
                <c:pt idx="1">
                  <c:v>Lower-Middle-Income Economies</c:v>
                </c:pt>
                <c:pt idx="2">
                  <c:v>High-Income Economies </c:v>
                </c:pt>
                <c:pt idx="3">
                  <c:v>Low-Income Economies</c:v>
                </c:pt>
                <c:pt idx="4">
                  <c:v>AFRO HWF Density</c:v>
                </c:pt>
              </c:strCache>
            </c:strRef>
          </c:cat>
          <c:val>
            <c:numRef>
              <c:f>'HRH with economic blocks'!$E$2:$E$6</c:f>
              <c:numCache>
                <c:formatCode>0.0%</c:formatCode>
                <c:ptCount val="5"/>
                <c:pt idx="0">
                  <c:v>2.7888047690425299E-3</c:v>
                </c:pt>
                <c:pt idx="1">
                  <c:v>1.4576716250992217E-2</c:v>
                </c:pt>
                <c:pt idx="2">
                  <c:v>1.9061035168428386E-2</c:v>
                </c:pt>
                <c:pt idx="3">
                  <c:v>3.4001232260677305E-2</c:v>
                </c:pt>
                <c:pt idx="4">
                  <c:v>1.5616812001811864E-2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4-4FD3-A2ED-6700F52FF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828477215"/>
        <c:axId val="1952426511"/>
      </c:barChart>
      <c:catAx>
        <c:axId val="18284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52426511"/>
        <c:crosses val="autoZero"/>
        <c:auto val="1"/>
        <c:lblAlgn val="ctr"/>
        <c:lblOffset val="100"/>
        <c:noMultiLvlLbl val="0"/>
      </c:catAx>
      <c:valAx>
        <c:axId val="1952426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Annual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K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82847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CC-4358-8890-2D2CA1CAE4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'HRH with economic blocks'!$A$40:$A$48</c:f>
              <c:strCache>
                <c:ptCount val="9"/>
                <c:pt idx="0">
                  <c:v>ECCAS</c:v>
                </c:pt>
                <c:pt idx="1">
                  <c:v>UMA</c:v>
                </c:pt>
                <c:pt idx="2">
                  <c:v>SADC</c:v>
                </c:pt>
                <c:pt idx="3">
                  <c:v>COMESA</c:v>
                </c:pt>
                <c:pt idx="4">
                  <c:v>CEN-SAD</c:v>
                </c:pt>
                <c:pt idx="5">
                  <c:v>ECOWAS</c:v>
                </c:pt>
                <c:pt idx="6">
                  <c:v>IGAD</c:v>
                </c:pt>
                <c:pt idx="7">
                  <c:v>EAC</c:v>
                </c:pt>
                <c:pt idx="8">
                  <c:v>AFRO HWF Density</c:v>
                </c:pt>
              </c:strCache>
            </c:strRef>
          </c:cat>
          <c:val>
            <c:numRef>
              <c:f>'HRH with economic blocks'!$G$40:$G$48</c:f>
              <c:numCache>
                <c:formatCode>0.0%</c:formatCode>
                <c:ptCount val="9"/>
                <c:pt idx="0">
                  <c:v>-9.2723364725354473E-3</c:v>
                </c:pt>
                <c:pt idx="1">
                  <c:v>8.0741173514511377E-3</c:v>
                </c:pt>
                <c:pt idx="2">
                  <c:v>1.5739569048326629E-2</c:v>
                </c:pt>
                <c:pt idx="3">
                  <c:v>1.8764013304290117E-2</c:v>
                </c:pt>
                <c:pt idx="4">
                  <c:v>2.7038432079698582E-2</c:v>
                </c:pt>
                <c:pt idx="5">
                  <c:v>3.2885486984085999E-2</c:v>
                </c:pt>
                <c:pt idx="6">
                  <c:v>3.3015118599940552E-2</c:v>
                </c:pt>
                <c:pt idx="7">
                  <c:v>4.4499615187602704E-2</c:v>
                </c:pt>
                <c:pt idx="8">
                  <c:v>1.5616812001811864E-2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C-4358-8890-2D2CA1CAE4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837293263"/>
        <c:axId val="1952432463"/>
      </c:barChart>
      <c:catAx>
        <c:axId val="18372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952432463"/>
        <c:crosses val="autoZero"/>
        <c:auto val="1"/>
        <c:lblAlgn val="ctr"/>
        <c:lblOffset val="100"/>
        <c:noMultiLvlLbl val="0"/>
      </c:catAx>
      <c:valAx>
        <c:axId val="195243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Annual growth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K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183729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250824</xdr:colOff>
      <xdr:row>33</xdr:row>
      <xdr:rowOff>57150</xdr:rowOff>
    </xdr:from>
    <xdr:to>
      <xdr:col>30</xdr:col>
      <xdr:colOff>355600</xdr:colOff>
      <xdr:row>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50250-46C1-16DB-0EB0-8BD5A95C8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168274</xdr:colOff>
      <xdr:row>33</xdr:row>
      <xdr:rowOff>44450</xdr:rowOff>
    </xdr:from>
    <xdr:to>
      <xdr:col>25</xdr:col>
      <xdr:colOff>501650</xdr:colOff>
      <xdr:row>65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55AB3-9104-402C-BA36-834DE1920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2041524</xdr:colOff>
      <xdr:row>70</xdr:row>
      <xdr:rowOff>114300</xdr:rowOff>
    </xdr:from>
    <xdr:to>
      <xdr:col>19</xdr:col>
      <xdr:colOff>171450</xdr:colOff>
      <xdr:row>104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7C559-718C-CBAA-33D0-9D3E44D3B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165100</xdr:colOff>
      <xdr:row>31</xdr:row>
      <xdr:rowOff>88900</xdr:rowOff>
    </xdr:from>
    <xdr:to>
      <xdr:col>21</xdr:col>
      <xdr:colOff>387350</xdr:colOff>
      <xdr:row>50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6482E1-3311-0F11-FA25-DC2268A9C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530224</xdr:colOff>
      <xdr:row>10</xdr:row>
      <xdr:rowOff>69850</xdr:rowOff>
    </xdr:from>
    <xdr:to>
      <xdr:col>36</xdr:col>
      <xdr:colOff>209550</xdr:colOff>
      <xdr:row>32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DBDC4-4013-7F1F-1702-C85B260DD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34924</xdr:colOff>
      <xdr:row>37</xdr:row>
      <xdr:rowOff>171450</xdr:rowOff>
    </xdr:from>
    <xdr:to>
      <xdr:col>24</xdr:col>
      <xdr:colOff>546100</xdr:colOff>
      <xdr:row>69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F2C5E0-78ED-0086-24AE-6C04E71A8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1831974</xdr:colOff>
      <xdr:row>10</xdr:row>
      <xdr:rowOff>0</xdr:rowOff>
    </xdr:from>
    <xdr:to>
      <xdr:col>11</xdr:col>
      <xdr:colOff>177800</xdr:colOff>
      <xdr:row>24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F81C2-9EC9-C37F-2161-7EF43715E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1235074</xdr:colOff>
      <xdr:row>73</xdr:row>
      <xdr:rowOff>101600</xdr:rowOff>
    </xdr:from>
    <xdr:to>
      <xdr:col>13</xdr:col>
      <xdr:colOff>438150</xdr:colOff>
      <xdr:row>96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0C1D7C-7403-0D5F-CB95-ADBC05345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23.496119097224" createdVersion="8" refreshedVersion="8" minRefreshableVersion="3" recordCount="47" xr:uid="{F276E43F-6879-4E87-8732-B86E64786E5B}">
  <cacheSource type="worksheet">
    <worksheetSource ref="A1:M48" sheet="HWF density (3)"/>
  </cacheSource>
  <cacheFields count="13">
    <cacheField name="Country" numFmtId="0">
      <sharedItems/>
    </cacheField>
    <cacheField name="Density of Doctors, Nurses and Midwives per 10,000 in 2005" numFmtId="43">
      <sharedItems containsString="0" containsBlank="1" containsNumber="1" minValue="2.1018738042028513" maxValue="85.164463294680317"/>
    </cacheField>
    <cacheField name="Density of Doctors, Nurses and Midwives per 10,000 2013" numFmtId="43">
      <sharedItems containsString="0" containsBlank="1" containsNumber="1" minValue="2.84" maxValue="89.12"/>
    </cacheField>
    <cacheField name="Density of Doctors, Nurses and Midwives per 10,000 in 2021" numFmtId="43">
      <sharedItems containsSemiMixedTypes="0" containsString="0" containsNumber="1" minValue="2.6" maxValue="115.52"/>
    </cacheField>
    <cacheField name="Income" numFmtId="0">
      <sharedItems/>
    </cacheField>
    <cacheField name="COMESA" numFmtId="0">
      <sharedItems containsSemiMixedTypes="0" containsString="0" containsNumber="1" containsInteger="1" minValue="0" maxValue="1"/>
    </cacheField>
    <cacheField name="UMA" numFmtId="0">
      <sharedItems containsSemiMixedTypes="0" containsString="0" containsNumber="1" containsInteger="1" minValue="0" maxValue="1"/>
    </cacheField>
    <cacheField name="ECCAS" numFmtId="0">
      <sharedItems containsSemiMixedTypes="0" containsString="0" containsNumber="1" containsInteger="1" minValue="0" maxValue="1"/>
    </cacheField>
    <cacheField name="CEN-SAD" numFmtId="0">
      <sharedItems containsSemiMixedTypes="0" containsString="0" containsNumber="1" containsInteger="1" minValue="0" maxValue="1"/>
    </cacheField>
    <cacheField name="EAC" numFmtId="0">
      <sharedItems containsSemiMixedTypes="0" containsString="0" containsNumber="1" containsInteger="1" minValue="0" maxValue="1" count="2">
        <n v="0"/>
        <n v="1"/>
      </sharedItems>
    </cacheField>
    <cacheField name="IGAD" numFmtId="0">
      <sharedItems containsSemiMixedTypes="0" containsString="0" containsNumber="1" containsInteger="1" minValue="0" maxValue="1" count="2">
        <n v="0"/>
        <n v="1"/>
      </sharedItems>
    </cacheField>
    <cacheField name="ECOWAS" numFmtId="0">
      <sharedItems containsSemiMixedTypes="0" containsString="0" containsNumber="1" containsInteger="1" minValue="0" maxValue="1" count="2">
        <n v="0"/>
        <n v="1"/>
      </sharedItems>
    </cacheField>
    <cacheField name="SADC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n v="31.709770097605645"/>
    <n v="34.11"/>
    <n v="32.9"/>
    <s v="Lower-Middle-Income Economies"/>
    <n v="0"/>
    <n v="1"/>
    <n v="0"/>
    <n v="0"/>
    <x v="0"/>
    <x v="0"/>
    <x v="0"/>
    <x v="0"/>
  </r>
  <r>
    <s v="Angola"/>
    <n v="10.111351450816844"/>
    <n v="14.47"/>
    <n v="6.1199999999999992"/>
    <s v="Lower-Middle-Income Economies"/>
    <n v="0"/>
    <n v="0"/>
    <n v="1"/>
    <n v="0"/>
    <x v="0"/>
    <x v="0"/>
    <x v="0"/>
    <x v="1"/>
  </r>
  <r>
    <s v="Benin"/>
    <n v="7.6419814380029223"/>
    <n v="8.7999999999999989"/>
    <n v="4.5"/>
    <s v="Lower-Middle-Income Economies"/>
    <n v="0"/>
    <n v="0"/>
    <n v="0"/>
    <n v="1"/>
    <x v="0"/>
    <x v="0"/>
    <x v="1"/>
    <x v="0"/>
  </r>
  <r>
    <s v="Botswana"/>
    <n v="30.393362818823206"/>
    <n v="40"/>
    <n v="53.65"/>
    <s v="Upper-Middle-Income Economies "/>
    <n v="0"/>
    <n v="0"/>
    <n v="0"/>
    <n v="0"/>
    <x v="0"/>
    <x v="0"/>
    <x v="0"/>
    <x v="1"/>
  </r>
  <r>
    <s v="Burkina Faso"/>
    <n v="4.09678726164762"/>
    <n v="6.78"/>
    <n v="9.9"/>
    <s v="Low-Income Economies"/>
    <n v="0"/>
    <n v="0"/>
    <n v="0"/>
    <n v="1"/>
    <x v="0"/>
    <x v="0"/>
    <x v="1"/>
    <x v="0"/>
  </r>
  <r>
    <s v="Burundi"/>
    <n v="2.1018738042028513"/>
    <n v="7.2"/>
    <n v="9.02"/>
    <s v="Low-Income Economies"/>
    <n v="1"/>
    <n v="0"/>
    <n v="1"/>
    <n v="0"/>
    <x v="1"/>
    <x v="0"/>
    <x v="0"/>
    <x v="0"/>
  </r>
  <r>
    <s v="Cameroon"/>
    <n v="16.446923230999928"/>
    <n v="17.43"/>
    <n v="6.1"/>
    <s v="Lower-Middle-Income Economies"/>
    <n v="0"/>
    <n v="0"/>
    <n v="1"/>
    <n v="0"/>
    <x v="0"/>
    <x v="0"/>
    <x v="0"/>
    <x v="0"/>
  </r>
  <r>
    <s v="Cape Verde"/>
    <n v="13.84347585706449"/>
    <n v="16.12"/>
    <n v="20.27"/>
    <s v="Lower-Middle-Income Economies"/>
    <n v="0"/>
    <n v="0"/>
    <n v="0"/>
    <n v="1"/>
    <x v="0"/>
    <x v="0"/>
    <x v="1"/>
    <x v="0"/>
  </r>
  <r>
    <s v="Central African Republic"/>
    <n v="4.8138114788603348"/>
    <n v="4.72"/>
    <n v="3.0100000000000002"/>
    <s v="Low-Income Economies"/>
    <n v="0"/>
    <n v="0"/>
    <n v="1"/>
    <n v="1"/>
    <x v="0"/>
    <x v="0"/>
    <x v="0"/>
    <x v="0"/>
  </r>
  <r>
    <s v="Chad"/>
    <n v="2.8167814409362335"/>
    <n v="3.5300000000000002"/>
    <n v="4.1100000000000003"/>
    <s v="Low-Income Economies"/>
    <n v="0"/>
    <n v="0"/>
    <n v="1"/>
    <n v="1"/>
    <x v="0"/>
    <x v="0"/>
    <x v="0"/>
    <x v="0"/>
  </r>
  <r>
    <s v="Comoros"/>
    <n v="11.49397097894952"/>
    <n v="20.009999999999998"/>
    <n v="18.73"/>
    <s v="Lower-Middle-Income Economies"/>
    <n v="1"/>
    <n v="0"/>
    <n v="0"/>
    <n v="1"/>
    <x v="0"/>
    <x v="0"/>
    <x v="0"/>
    <x v="0"/>
  </r>
  <r>
    <s v="Congo"/>
    <n v="12.222674607172676"/>
    <n v="21.95"/>
    <n v="10.34"/>
    <s v="Lower-Middle-Income Economies"/>
    <n v="0"/>
    <n v="0"/>
    <n v="1"/>
    <n v="0"/>
    <x v="0"/>
    <x v="0"/>
    <x v="0"/>
    <x v="0"/>
  </r>
  <r>
    <s v="Côte d'Ivoire"/>
    <n v="6.6801009648144856"/>
    <n v="7.3900000000000006"/>
    <n v="10.29"/>
    <s v="Lower-Middle-Income Economies"/>
    <n v="0"/>
    <n v="0"/>
    <n v="0"/>
    <n v="1"/>
    <x v="0"/>
    <x v="0"/>
    <x v="1"/>
    <x v="0"/>
  </r>
  <r>
    <s v="Democratic Republic of the Congo"/>
    <n v="6.3184147364648275"/>
    <n v="9.2600000000000016"/>
    <n v="14.34"/>
    <s v="Low-Income Economies"/>
    <n v="1"/>
    <n v="0"/>
    <n v="1"/>
    <n v="0"/>
    <x v="1"/>
    <x v="0"/>
    <x v="0"/>
    <x v="1"/>
  </r>
  <r>
    <s v="Equatorial Guinea"/>
    <n v="5.6569009522005214"/>
    <n v="5.1300000000000008"/>
    <n v="2.7"/>
    <s v="Upper-Middle-Income Economies "/>
    <n v="0"/>
    <n v="0"/>
    <n v="1"/>
    <n v="0"/>
    <x v="0"/>
    <x v="0"/>
    <x v="0"/>
    <x v="0"/>
  </r>
  <r>
    <s v="Eritrea"/>
    <n v="9.6226880342228078"/>
    <n v="13.959999999999999"/>
    <n v="15.25"/>
    <s v="Low-Income Economies"/>
    <n v="1"/>
    <n v="0"/>
    <n v="0"/>
    <n v="1"/>
    <x v="0"/>
    <x v="1"/>
    <x v="0"/>
    <x v="0"/>
  </r>
  <r>
    <s v="Eswatini"/>
    <n v="67.913543410232151"/>
    <n v="65.789999999999992"/>
    <n v="42.949999999999996"/>
    <s v="Lower-Middle-Income Economies"/>
    <n v="1"/>
    <n v="0"/>
    <n v="0"/>
    <n v="0"/>
    <x v="0"/>
    <x v="0"/>
    <x v="0"/>
    <x v="1"/>
  </r>
  <r>
    <s v="Ethiopia"/>
    <n v="2.2895671054697995"/>
    <n v="3.3499999999999996"/>
    <n v="8.74"/>
    <s v="Low-Income Economies"/>
    <n v="1"/>
    <n v="0"/>
    <n v="0"/>
    <n v="0"/>
    <x v="0"/>
    <x v="1"/>
    <x v="0"/>
    <x v="0"/>
  </r>
  <r>
    <s v="Gabon"/>
    <n v="52.993419869835677"/>
    <n v="50.62"/>
    <n v="36.89"/>
    <s v="Upper-Middle-Income Economies "/>
    <n v="0"/>
    <n v="0"/>
    <n v="1"/>
    <n v="0"/>
    <x v="0"/>
    <x v="0"/>
    <x v="0"/>
    <x v="0"/>
  </r>
  <r>
    <s v="Gambia"/>
    <n v="13.195184437844334"/>
    <n v="15.36"/>
    <n v="10.1"/>
    <s v="Low-Income Economies"/>
    <n v="0"/>
    <n v="0"/>
    <n v="0"/>
    <n v="1"/>
    <x v="0"/>
    <x v="0"/>
    <x v="1"/>
    <x v="0"/>
  </r>
  <r>
    <s v="Ghana"/>
    <n v="10.500742436916699"/>
    <n v="15.59"/>
    <n v="47.33"/>
    <s v="Lower-Middle-Income Economies"/>
    <n v="0"/>
    <n v="0"/>
    <n v="0"/>
    <n v="1"/>
    <x v="0"/>
    <x v="0"/>
    <x v="1"/>
    <x v="0"/>
  </r>
  <r>
    <s v="Guinea"/>
    <n v="5.9223334542682249"/>
    <n v="6.08"/>
    <n v="7.9500000000000011"/>
    <s v="Low-Income Economies"/>
    <n v="0"/>
    <n v="0"/>
    <n v="0"/>
    <n v="1"/>
    <x v="0"/>
    <x v="0"/>
    <x v="1"/>
    <x v="0"/>
  </r>
  <r>
    <s v="Guinea-Bissau"/>
    <n v="9.3685103548063058"/>
    <n v="9.36"/>
    <n v="12.719999999999999"/>
    <s v="Low-Income Economies"/>
    <n v="0"/>
    <n v="0"/>
    <n v="0"/>
    <n v="1"/>
    <x v="0"/>
    <x v="0"/>
    <x v="1"/>
    <x v="0"/>
  </r>
  <r>
    <s v="Kenya"/>
    <n v="10.948017137085737"/>
    <n v="16.07"/>
    <n v="14.25"/>
    <s v="Lower-Middle-Income Economies"/>
    <n v="1"/>
    <n v="0"/>
    <n v="0"/>
    <n v="1"/>
    <x v="1"/>
    <x v="1"/>
    <x v="0"/>
    <x v="0"/>
  </r>
  <r>
    <s v="Lesotho"/>
    <n v="6.0717944607399872"/>
    <n v="7.25"/>
    <n v="35.78"/>
    <s v="Lower-Middle-Income Economies"/>
    <n v="0"/>
    <n v="0"/>
    <n v="0"/>
    <n v="0"/>
    <x v="0"/>
    <x v="0"/>
    <x v="0"/>
    <x v="1"/>
  </r>
  <r>
    <s v="Liberia"/>
    <n v="3.5362327127006687"/>
    <n v="9.7899999999999991"/>
    <n v="19.760000000000002"/>
    <s v="Low-Income Economies"/>
    <n v="0"/>
    <n v="0"/>
    <n v="0"/>
    <n v="1"/>
    <x v="0"/>
    <x v="0"/>
    <x v="1"/>
    <x v="0"/>
  </r>
  <r>
    <s v="Madagascar"/>
    <n v="5.9236323700604725"/>
    <n v="5.32"/>
    <n v="4.87"/>
    <s v="Low-Income Economies"/>
    <n v="1"/>
    <n v="0"/>
    <n v="0"/>
    <n v="0"/>
    <x v="0"/>
    <x v="0"/>
    <x v="0"/>
    <x v="1"/>
  </r>
  <r>
    <s v="Malawi"/>
    <n v="5.9639076663538182"/>
    <n v="6.09"/>
    <n v="8.5"/>
    <s v="Low-Income Economies"/>
    <n v="1"/>
    <n v="0"/>
    <n v="0"/>
    <n v="0"/>
    <x v="0"/>
    <x v="0"/>
    <x v="0"/>
    <x v="1"/>
  </r>
  <r>
    <s v="Mali"/>
    <n v="7.3507834404093018"/>
    <n v="7.7200000000000006"/>
    <n v="5.4500000000000011"/>
    <s v="Low-Income Economies"/>
    <n v="0"/>
    <n v="0"/>
    <n v="0"/>
    <n v="1"/>
    <x v="0"/>
    <x v="0"/>
    <x v="1"/>
    <x v="0"/>
  </r>
  <r>
    <s v="Mauritania"/>
    <n v="7.2944959291686597"/>
    <n v="9.84"/>
    <n v="11.459999999999999"/>
    <s v="Lower-Middle-Income Economies"/>
    <n v="0"/>
    <n v="1"/>
    <n v="0"/>
    <n v="1"/>
    <x v="0"/>
    <x v="0"/>
    <x v="0"/>
    <x v="0"/>
  </r>
  <r>
    <s v="Mauritius"/>
    <n v="48.338393302837126"/>
    <n v="52.67"/>
    <n v="65.069999999999993"/>
    <s v="High-Income Economies "/>
    <n v="1"/>
    <n v="0"/>
    <n v="0"/>
    <n v="0"/>
    <x v="0"/>
    <x v="0"/>
    <x v="0"/>
    <x v="1"/>
  </r>
  <r>
    <s v="Mozambique"/>
    <n v="3.2677973333270876"/>
    <n v="4.91"/>
    <n v="6.5299999999999994"/>
    <s v="Low-Income Economies"/>
    <n v="0"/>
    <n v="0"/>
    <n v="0"/>
    <n v="0"/>
    <x v="0"/>
    <x v="0"/>
    <x v="0"/>
    <x v="1"/>
  </r>
  <r>
    <s v="Namibia"/>
    <n v="34.787929315962927"/>
    <n v="35.53"/>
    <n v="25.9"/>
    <s v="Upper-Middle-Income Economies "/>
    <n v="0"/>
    <n v="0"/>
    <n v="0"/>
    <n v="0"/>
    <x v="0"/>
    <x v="0"/>
    <x v="0"/>
    <x v="1"/>
  </r>
  <r>
    <s v="Niger"/>
    <n v="2.2855928236201999"/>
    <n v="2.84"/>
    <n v="2.6"/>
    <s v="Low-Income Economies"/>
    <n v="0"/>
    <n v="0"/>
    <n v="0"/>
    <n v="1"/>
    <x v="0"/>
    <x v="0"/>
    <x v="1"/>
    <x v="0"/>
  </r>
  <r>
    <s v="Nigeria"/>
    <n v="17.65952365798919"/>
    <n v="23.439999999999998"/>
    <n v="19.579999999999998"/>
    <s v="Lower-Middle-Income Economies"/>
    <n v="0"/>
    <n v="0"/>
    <n v="0"/>
    <n v="1"/>
    <x v="0"/>
    <x v="0"/>
    <x v="1"/>
    <x v="0"/>
  </r>
  <r>
    <s v="Rwanda"/>
    <n v="4.6141385621624806"/>
    <n v="8.11"/>
    <n v="13.190000000000001"/>
    <s v="Low-Income Economies"/>
    <n v="1"/>
    <n v="0"/>
    <n v="0"/>
    <n v="0"/>
    <x v="1"/>
    <x v="0"/>
    <x v="0"/>
    <x v="0"/>
  </r>
  <r>
    <s v="Sao Tome and Principe"/>
    <n v="24.702804308067464"/>
    <n v="24.67"/>
    <n v="26.42"/>
    <s v="Lower-Middle-Income Economies"/>
    <n v="0"/>
    <n v="0"/>
    <n v="1"/>
    <n v="1"/>
    <x v="0"/>
    <x v="0"/>
    <x v="0"/>
    <x v="0"/>
  </r>
  <r>
    <s v="Senegal"/>
    <n v="3.499510330047737"/>
    <n v="7.2700000000000005"/>
    <n v="6.4"/>
    <s v="Lower-Middle-Income Economies"/>
    <n v="0"/>
    <n v="0"/>
    <n v="0"/>
    <n v="1"/>
    <x v="0"/>
    <x v="0"/>
    <x v="1"/>
    <x v="0"/>
  </r>
  <r>
    <s v="Seychelles"/>
    <n v="85.164463294680317"/>
    <n v="89.12"/>
    <n v="115.52"/>
    <s v="High-Income Economies "/>
    <n v="1"/>
    <n v="0"/>
    <n v="0"/>
    <n v="0"/>
    <x v="0"/>
    <x v="0"/>
    <x v="0"/>
    <x v="1"/>
  </r>
  <r>
    <s v="Sierra Leone"/>
    <n v="4.7328650182291474"/>
    <n v="12.21"/>
    <n v="8.9600000000000009"/>
    <s v="Low-Income Economies"/>
    <n v="0"/>
    <n v="0"/>
    <n v="0"/>
    <n v="1"/>
    <x v="0"/>
    <x v="0"/>
    <x v="1"/>
    <x v="0"/>
  </r>
  <r>
    <s v="South Africa"/>
    <n v="45.798929608122037"/>
    <n v="45.160000000000004"/>
    <n v="58.22"/>
    <s v="Upper-Middle-Income Economies "/>
    <n v="0"/>
    <n v="0"/>
    <n v="0"/>
    <n v="0"/>
    <x v="0"/>
    <x v="0"/>
    <x v="0"/>
    <x v="1"/>
  </r>
  <r>
    <s v="South Sudan"/>
    <m/>
    <m/>
    <n v="3.98"/>
    <s v="Low-Income Economies"/>
    <n v="0"/>
    <n v="0"/>
    <n v="0"/>
    <n v="0"/>
    <x v="1"/>
    <x v="1"/>
    <x v="0"/>
    <x v="0"/>
  </r>
  <r>
    <s v="Togo"/>
    <n v="3.8527041010983769"/>
    <n v="5.2200000000000006"/>
    <n v="5.7800000000000011"/>
    <s v="Low-Income Economies"/>
    <n v="0"/>
    <n v="0"/>
    <n v="0"/>
    <n v="1"/>
    <x v="0"/>
    <x v="0"/>
    <x v="1"/>
    <x v="0"/>
  </r>
  <r>
    <s v="Uganda"/>
    <n v="7.7783344452635923"/>
    <n v="16.64"/>
    <n v="22.18"/>
    <s v="Low-Income Economies"/>
    <n v="1"/>
    <n v="0"/>
    <n v="0"/>
    <n v="0"/>
    <x v="1"/>
    <x v="1"/>
    <x v="0"/>
    <x v="0"/>
  </r>
  <r>
    <s v="United Republic of Tanzania"/>
    <n v="3.6707103864901218"/>
    <n v="5.3699999999999992"/>
    <n v="6"/>
    <s v="Lower-Middle-Income Economies"/>
    <n v="0"/>
    <n v="0"/>
    <n v="0"/>
    <n v="0"/>
    <x v="1"/>
    <x v="0"/>
    <x v="0"/>
    <x v="1"/>
  </r>
  <r>
    <s v="Zambia"/>
    <n v="19.630162807040744"/>
    <n v="8.7200000000000006"/>
    <n v="21.590000000000003"/>
    <s v="Lower-Middle-Income Economies"/>
    <n v="1"/>
    <n v="0"/>
    <n v="0"/>
    <n v="0"/>
    <x v="0"/>
    <x v="0"/>
    <x v="0"/>
    <x v="1"/>
  </r>
  <r>
    <s v="Zimbabwe"/>
    <n v="9.4752729160961806"/>
    <n v="15.530000000000001"/>
    <n v="26.46"/>
    <s v="Lower-Middle-Income Economies"/>
    <n v="1"/>
    <n v="0"/>
    <n v="0"/>
    <n v="0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C2FD3-BC5B-4A9F-ADC5-E37CDD9AA25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13">
    <pivotField showAll="0"/>
    <pivotField dataField="1" showAll="0"/>
    <pivotField dataField="1" showAll="0"/>
    <pivotField dataField="1" numFmtId="43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ensity of Doctors, Nurses and Midwives per 10,000 in 2005" fld="1" subtotal="average" baseField="4" baseItem="0"/>
    <dataField name="Average of Density of Doctors, Nurses and Midwives per 10,000 in 2021" fld="3" subtotal="average" baseField="4" baseItem="0"/>
    <dataField name="Average of Density of Doctors, Nurses and Midwives per 10,000 2013" fld="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D220-6906-464F-9EA9-6E3EE5579C33}">
  <dimension ref="A1:I49"/>
  <sheetViews>
    <sheetView topLeftCell="A7" workbookViewId="0">
      <selection activeCell="A11" sqref="A11:XFD11"/>
    </sheetView>
  </sheetViews>
  <sheetFormatPr defaultRowHeight="14.5" x14ac:dyDescent="0.35"/>
  <cols>
    <col min="1" max="1" width="29.36328125" bestFit="1" customWidth="1"/>
  </cols>
  <sheetData>
    <row r="1" spans="1:9" x14ac:dyDescent="0.35">
      <c r="A1" s="1" t="s">
        <v>0</v>
      </c>
      <c r="B1" s="1" t="s">
        <v>80</v>
      </c>
      <c r="C1" s="1" t="s">
        <v>81</v>
      </c>
      <c r="D1" s="1" t="s">
        <v>82</v>
      </c>
      <c r="E1" s="1" t="s">
        <v>78</v>
      </c>
      <c r="F1" s="1" t="s">
        <v>79</v>
      </c>
      <c r="G1" s="1" t="s">
        <v>1</v>
      </c>
      <c r="H1" s="1" t="s">
        <v>76</v>
      </c>
      <c r="I1" s="1" t="s">
        <v>3</v>
      </c>
    </row>
    <row r="2" spans="1:9" x14ac:dyDescent="0.35">
      <c r="A2" s="1" t="s">
        <v>6</v>
      </c>
      <c r="B2" s="2">
        <f>G2/10</f>
        <v>0.22855928236202</v>
      </c>
      <c r="C2" s="2">
        <f>H2/10</f>
        <v>0.28399999999999997</v>
      </c>
      <c r="D2" s="2">
        <f>I2/10</f>
        <v>0.26</v>
      </c>
      <c r="E2" s="2">
        <v>4.45</v>
      </c>
      <c r="F2" s="2">
        <v>2.2799999999999998</v>
      </c>
      <c r="G2" s="2">
        <v>2.2855928236201999</v>
      </c>
      <c r="H2" s="2">
        <v>2.84</v>
      </c>
      <c r="I2" s="2">
        <v>2.6</v>
      </c>
    </row>
    <row r="3" spans="1:9" x14ac:dyDescent="0.35">
      <c r="A3" s="1" t="s">
        <v>18</v>
      </c>
      <c r="B3" s="2">
        <f t="shared" ref="B3:B49" si="0">G3/10</f>
        <v>0.56569009522005209</v>
      </c>
      <c r="C3" s="2">
        <f>H3/10</f>
        <v>0.51300000000000012</v>
      </c>
      <c r="D3" s="2">
        <f t="shared" ref="D3:D49" si="1">I3/10</f>
        <v>0.27</v>
      </c>
      <c r="E3" s="2">
        <v>4.45</v>
      </c>
      <c r="F3" s="2">
        <v>2.2799999999999998</v>
      </c>
      <c r="G3" s="2">
        <v>5.6569009522005214</v>
      </c>
      <c r="H3" s="2">
        <v>5.1300000000000008</v>
      </c>
      <c r="I3" s="2">
        <v>2.7</v>
      </c>
    </row>
    <row r="4" spans="1:9" x14ac:dyDescent="0.35">
      <c r="A4" s="1" t="s">
        <v>17</v>
      </c>
      <c r="B4" s="2">
        <f t="shared" si="0"/>
        <v>0.48138114788603348</v>
      </c>
      <c r="C4" s="2">
        <f>H4/10</f>
        <v>0.47199999999999998</v>
      </c>
      <c r="D4" s="2">
        <f t="shared" si="1"/>
        <v>0.30100000000000005</v>
      </c>
      <c r="E4" s="2">
        <v>4.45</v>
      </c>
      <c r="F4" s="2">
        <v>2.2799999999999998</v>
      </c>
      <c r="G4" s="2">
        <v>4.8138114788603348</v>
      </c>
      <c r="H4" s="2">
        <v>4.72</v>
      </c>
      <c r="I4" s="2">
        <v>3.0100000000000002</v>
      </c>
    </row>
    <row r="5" spans="1:9" x14ac:dyDescent="0.35">
      <c r="A5" s="1" t="s">
        <v>4</v>
      </c>
      <c r="B5" s="2">
        <f>G5/10</f>
        <v>0</v>
      </c>
      <c r="C5" s="2">
        <f>H5/10</f>
        <v>0</v>
      </c>
      <c r="D5" s="2">
        <f t="shared" si="1"/>
        <v>0.39800000000000002</v>
      </c>
      <c r="E5" s="2">
        <v>4.45</v>
      </c>
      <c r="F5" s="2">
        <v>2.2799999999999998</v>
      </c>
      <c r="G5" s="2"/>
      <c r="H5" s="2"/>
      <c r="I5" s="2">
        <v>3.98</v>
      </c>
    </row>
    <row r="6" spans="1:9" x14ac:dyDescent="0.35">
      <c r="A6" s="1" t="s">
        <v>8</v>
      </c>
      <c r="B6" s="2">
        <f t="shared" si="0"/>
        <v>0.28167814409362335</v>
      </c>
      <c r="C6" s="2">
        <f>H6/10</f>
        <v>0.35300000000000004</v>
      </c>
      <c r="D6" s="2">
        <f t="shared" si="1"/>
        <v>0.41100000000000003</v>
      </c>
      <c r="E6" s="2">
        <v>4.45</v>
      </c>
      <c r="F6" s="2">
        <v>2.2799999999999998</v>
      </c>
      <c r="G6" s="2">
        <v>2.8167814409362335</v>
      </c>
      <c r="H6" s="2">
        <v>3.5300000000000002</v>
      </c>
      <c r="I6" s="2">
        <v>4.1100000000000003</v>
      </c>
    </row>
    <row r="7" spans="1:9" x14ac:dyDescent="0.35">
      <c r="A7" s="1" t="s">
        <v>27</v>
      </c>
      <c r="B7" s="2">
        <f t="shared" si="0"/>
        <v>0.76419814380029227</v>
      </c>
      <c r="C7" s="2">
        <f t="shared" ref="C7:C49" si="2">H7/10</f>
        <v>0.87999999999999989</v>
      </c>
      <c r="D7" s="2">
        <f t="shared" si="1"/>
        <v>0.45</v>
      </c>
      <c r="E7" s="2">
        <v>4.45</v>
      </c>
      <c r="F7" s="2">
        <v>2.2799999999999998</v>
      </c>
      <c r="G7" s="2">
        <v>7.6419814380029223</v>
      </c>
      <c r="H7" s="2">
        <v>8.7999999999999989</v>
      </c>
      <c r="I7" s="2">
        <v>4.5</v>
      </c>
    </row>
    <row r="8" spans="1:9" x14ac:dyDescent="0.35">
      <c r="A8" s="1" t="s">
        <v>20</v>
      </c>
      <c r="B8" s="2">
        <f t="shared" si="0"/>
        <v>0.59236323700604721</v>
      </c>
      <c r="C8" s="2">
        <f t="shared" si="2"/>
        <v>0.53200000000000003</v>
      </c>
      <c r="D8" s="2">
        <f t="shared" si="1"/>
        <v>0.48699999999999999</v>
      </c>
      <c r="E8" s="2">
        <v>4.45</v>
      </c>
      <c r="F8" s="2">
        <v>2.2799999999999998</v>
      </c>
      <c r="G8" s="2">
        <v>5.9236323700604725</v>
      </c>
      <c r="H8" s="2">
        <v>5.32</v>
      </c>
      <c r="I8" s="2">
        <v>4.87</v>
      </c>
    </row>
    <row r="9" spans="1:9" x14ac:dyDescent="0.35">
      <c r="A9" s="1" t="s">
        <v>26</v>
      </c>
      <c r="B9" s="2">
        <f t="shared" si="0"/>
        <v>0.7350783440409302</v>
      </c>
      <c r="C9" s="2">
        <f t="shared" si="2"/>
        <v>0.77200000000000002</v>
      </c>
      <c r="D9" s="2">
        <f t="shared" si="1"/>
        <v>0.54500000000000015</v>
      </c>
      <c r="E9" s="2">
        <v>4.45</v>
      </c>
      <c r="F9" s="2">
        <v>2.2799999999999998</v>
      </c>
      <c r="G9" s="2">
        <v>7.3507834404093018</v>
      </c>
      <c r="H9" s="2">
        <v>7.7200000000000006</v>
      </c>
      <c r="I9" s="2">
        <v>5.4500000000000011</v>
      </c>
    </row>
    <row r="10" spans="1:9" x14ac:dyDescent="0.35">
      <c r="A10" s="1" t="s">
        <v>13</v>
      </c>
      <c r="B10" s="2">
        <f t="shared" si="0"/>
        <v>0.3852704101098377</v>
      </c>
      <c r="C10" s="2">
        <f t="shared" si="2"/>
        <v>0.52200000000000002</v>
      </c>
      <c r="D10" s="2">
        <f t="shared" si="1"/>
        <v>0.57800000000000007</v>
      </c>
      <c r="E10" s="2">
        <v>4.45</v>
      </c>
      <c r="F10" s="2">
        <v>2.2799999999999998</v>
      </c>
      <c r="G10" s="2">
        <v>3.8527041010983769</v>
      </c>
      <c r="H10" s="2">
        <v>5.2200000000000006</v>
      </c>
      <c r="I10" s="2">
        <v>5.7800000000000011</v>
      </c>
    </row>
    <row r="11" spans="1:9" x14ac:dyDescent="0.35">
      <c r="A11" s="1" t="s">
        <v>12</v>
      </c>
      <c r="B11" s="2">
        <f t="shared" si="0"/>
        <v>0.36707103864901219</v>
      </c>
      <c r="C11" s="2">
        <f t="shared" si="2"/>
        <v>0.53699999999999992</v>
      </c>
      <c r="D11" s="2">
        <f t="shared" si="1"/>
        <v>0.6</v>
      </c>
      <c r="E11" s="2">
        <v>4.45</v>
      </c>
      <c r="F11" s="2">
        <v>2.2799999999999998</v>
      </c>
      <c r="G11" s="2">
        <v>3.6707103864901218</v>
      </c>
      <c r="H11" s="2">
        <v>5.3699999999999992</v>
      </c>
      <c r="I11" s="2">
        <v>6</v>
      </c>
    </row>
    <row r="12" spans="1:9" x14ac:dyDescent="0.35">
      <c r="A12" s="1" t="s">
        <v>39</v>
      </c>
      <c r="B12" s="2">
        <f t="shared" si="0"/>
        <v>1.6446923230999928</v>
      </c>
      <c r="C12" s="2">
        <f t="shared" si="2"/>
        <v>1.7429999999999999</v>
      </c>
      <c r="D12" s="2">
        <f t="shared" si="1"/>
        <v>0.61</v>
      </c>
      <c r="E12" s="2">
        <v>4.45</v>
      </c>
      <c r="F12" s="2">
        <v>2.2799999999999998</v>
      </c>
      <c r="G12" s="2">
        <v>16.446923230999928</v>
      </c>
      <c r="H12" s="2">
        <v>17.43</v>
      </c>
      <c r="I12" s="2">
        <v>6.1</v>
      </c>
    </row>
    <row r="13" spans="1:9" x14ac:dyDescent="0.35">
      <c r="A13" s="1" t="s">
        <v>32</v>
      </c>
      <c r="B13" s="2">
        <f t="shared" si="0"/>
        <v>1.0111351450816843</v>
      </c>
      <c r="C13" s="2">
        <f t="shared" si="2"/>
        <v>1.4470000000000001</v>
      </c>
      <c r="D13" s="2">
        <f t="shared" si="1"/>
        <v>0.61199999999999988</v>
      </c>
      <c r="E13" s="2">
        <v>4.45</v>
      </c>
      <c r="F13" s="2">
        <v>2.2799999999999998</v>
      </c>
      <c r="G13" s="2">
        <v>10.111351450816844</v>
      </c>
      <c r="H13" s="2">
        <v>14.47</v>
      </c>
      <c r="I13" s="2">
        <v>6.1199999999999992</v>
      </c>
    </row>
    <row r="14" spans="1:9" x14ac:dyDescent="0.35">
      <c r="A14" s="1" t="s">
        <v>10</v>
      </c>
      <c r="B14" s="2">
        <f t="shared" si="0"/>
        <v>0.3499510330047737</v>
      </c>
      <c r="C14" s="2">
        <f t="shared" si="2"/>
        <v>0.72700000000000009</v>
      </c>
      <c r="D14" s="2">
        <f t="shared" si="1"/>
        <v>0.64</v>
      </c>
      <c r="E14" s="2">
        <v>4.45</v>
      </c>
      <c r="F14" s="2">
        <v>2.2799999999999998</v>
      </c>
      <c r="G14" s="2">
        <v>3.499510330047737</v>
      </c>
      <c r="H14" s="2">
        <v>7.2700000000000005</v>
      </c>
      <c r="I14" s="2">
        <v>6.4</v>
      </c>
    </row>
    <row r="15" spans="1:9" x14ac:dyDescent="0.35">
      <c r="A15" s="1" t="s">
        <v>9</v>
      </c>
      <c r="B15" s="2">
        <f t="shared" si="0"/>
        <v>0.32677973333270877</v>
      </c>
      <c r="C15" s="2">
        <f t="shared" si="2"/>
        <v>0.49099999999999999</v>
      </c>
      <c r="D15" s="2">
        <f t="shared" si="1"/>
        <v>0.65299999999999991</v>
      </c>
      <c r="E15" s="2">
        <v>4.45</v>
      </c>
      <c r="F15" s="2">
        <v>2.2799999999999998</v>
      </c>
      <c r="G15" s="2">
        <v>3.2677973333270876</v>
      </c>
      <c r="H15" s="2">
        <v>4.91</v>
      </c>
      <c r="I15" s="2">
        <v>6.5299999999999994</v>
      </c>
    </row>
    <row r="16" spans="1:9" x14ac:dyDescent="0.35">
      <c r="A16" s="1" t="s">
        <v>19</v>
      </c>
      <c r="B16" s="2">
        <f t="shared" si="0"/>
        <v>0.59223334542682249</v>
      </c>
      <c r="C16" s="2">
        <f t="shared" si="2"/>
        <v>0.60799999999999998</v>
      </c>
      <c r="D16" s="2">
        <f t="shared" si="1"/>
        <v>0.79500000000000015</v>
      </c>
      <c r="E16" s="2">
        <v>4.45</v>
      </c>
      <c r="F16" s="2">
        <v>2.2799999999999998</v>
      </c>
      <c r="G16" s="2">
        <v>5.9223334542682249</v>
      </c>
      <c r="H16" s="2">
        <v>6.08</v>
      </c>
      <c r="I16" s="2">
        <v>7.9500000000000011</v>
      </c>
    </row>
    <row r="17" spans="1:9" x14ac:dyDescent="0.35">
      <c r="A17" s="1" t="s">
        <v>21</v>
      </c>
      <c r="B17" s="2">
        <f t="shared" si="0"/>
        <v>0.59639076663538182</v>
      </c>
      <c r="C17" s="2">
        <f t="shared" si="2"/>
        <v>0.60899999999999999</v>
      </c>
      <c r="D17" s="2">
        <f t="shared" si="1"/>
        <v>0.85</v>
      </c>
      <c r="E17" s="2">
        <v>4.45</v>
      </c>
      <c r="F17" s="2">
        <v>2.2799999999999998</v>
      </c>
      <c r="G17" s="2">
        <v>5.9639076663538182</v>
      </c>
      <c r="H17" s="2">
        <v>6.09</v>
      </c>
      <c r="I17" s="2">
        <v>8.5</v>
      </c>
    </row>
    <row r="18" spans="1:9" x14ac:dyDescent="0.35">
      <c r="A18" s="1" t="s">
        <v>7</v>
      </c>
      <c r="B18" s="2">
        <f t="shared" si="0"/>
        <v>0.22895671054697994</v>
      </c>
      <c r="C18" s="2">
        <f t="shared" si="2"/>
        <v>0.33499999999999996</v>
      </c>
      <c r="D18" s="2">
        <f t="shared" si="1"/>
        <v>0.874</v>
      </c>
      <c r="E18" s="2">
        <v>4.45</v>
      </c>
      <c r="F18" s="2">
        <v>2.2799999999999998</v>
      </c>
      <c r="G18" s="2">
        <v>2.2895671054697995</v>
      </c>
      <c r="H18" s="2">
        <v>3.3499999999999996</v>
      </c>
      <c r="I18" s="2">
        <v>8.74</v>
      </c>
    </row>
    <row r="19" spans="1:9" x14ac:dyDescent="0.35">
      <c r="A19" s="1" t="s">
        <v>16</v>
      </c>
      <c r="B19" s="2">
        <f t="shared" si="0"/>
        <v>0.47328650182291476</v>
      </c>
      <c r="C19" s="2">
        <f t="shared" si="2"/>
        <v>1.2210000000000001</v>
      </c>
      <c r="D19" s="2">
        <f t="shared" si="1"/>
        <v>0.89600000000000013</v>
      </c>
      <c r="E19" s="2">
        <v>4.45</v>
      </c>
      <c r="F19" s="2">
        <v>2.2799999999999998</v>
      </c>
      <c r="G19" s="2">
        <v>4.7328650182291474</v>
      </c>
      <c r="H19" s="2">
        <v>12.21</v>
      </c>
      <c r="I19" s="2">
        <v>8.9600000000000009</v>
      </c>
    </row>
    <row r="20" spans="1:9" x14ac:dyDescent="0.35">
      <c r="A20" s="1" t="s">
        <v>5</v>
      </c>
      <c r="B20" s="2">
        <f t="shared" si="0"/>
        <v>0.21018738042028512</v>
      </c>
      <c r="C20" s="2">
        <f t="shared" si="2"/>
        <v>0.72</v>
      </c>
      <c r="D20" s="2">
        <f t="shared" si="1"/>
        <v>0.90199999999999991</v>
      </c>
      <c r="E20" s="2">
        <v>4.45</v>
      </c>
      <c r="F20" s="2">
        <v>2.2799999999999998</v>
      </c>
      <c r="G20" s="2">
        <v>2.1018738042028513</v>
      </c>
      <c r="H20" s="2">
        <v>7.2</v>
      </c>
      <c r="I20" s="2">
        <v>9.02</v>
      </c>
    </row>
    <row r="21" spans="1:9" x14ac:dyDescent="0.35">
      <c r="A21" s="1" t="s">
        <v>14</v>
      </c>
      <c r="B21" s="2">
        <f t="shared" si="0"/>
        <v>0.40967872616476197</v>
      </c>
      <c r="C21" s="2">
        <f t="shared" si="2"/>
        <v>0.67800000000000005</v>
      </c>
      <c r="D21" s="2">
        <f t="shared" si="1"/>
        <v>0.99</v>
      </c>
      <c r="E21" s="2">
        <v>4.45</v>
      </c>
      <c r="F21" s="2">
        <v>2.2799999999999998</v>
      </c>
      <c r="G21" s="2">
        <v>4.09678726164762</v>
      </c>
      <c r="H21" s="2">
        <v>6.78</v>
      </c>
      <c r="I21" s="2">
        <v>9.9</v>
      </c>
    </row>
    <row r="22" spans="1:9" x14ac:dyDescent="0.35">
      <c r="A22" s="1" t="s">
        <v>37</v>
      </c>
      <c r="B22" s="2">
        <f t="shared" si="0"/>
        <v>1.3195184437844334</v>
      </c>
      <c r="C22" s="2">
        <f t="shared" si="2"/>
        <v>1.536</v>
      </c>
      <c r="D22" s="2">
        <f t="shared" si="1"/>
        <v>1.01</v>
      </c>
      <c r="E22" s="2">
        <v>4.45</v>
      </c>
      <c r="F22" s="2">
        <v>2.2799999999999998</v>
      </c>
      <c r="G22" s="2">
        <v>13.195184437844334</v>
      </c>
      <c r="H22" s="2">
        <v>15.36</v>
      </c>
      <c r="I22" s="2">
        <v>10.1</v>
      </c>
    </row>
    <row r="23" spans="1:9" x14ac:dyDescent="0.35">
      <c r="A23" s="1" t="s">
        <v>24</v>
      </c>
      <c r="B23" s="2">
        <f t="shared" si="0"/>
        <v>0.6680100964814486</v>
      </c>
      <c r="C23" s="2">
        <f t="shared" si="2"/>
        <v>0.7390000000000001</v>
      </c>
      <c r="D23" s="2">
        <f t="shared" si="1"/>
        <v>1.0289999999999999</v>
      </c>
      <c r="E23" s="2">
        <v>4.45</v>
      </c>
      <c r="F23" s="2">
        <v>2.2799999999999998</v>
      </c>
      <c r="G23" s="2">
        <v>6.6801009648144856</v>
      </c>
      <c r="H23" s="2">
        <v>7.3900000000000006</v>
      </c>
      <c r="I23" s="2">
        <v>10.29</v>
      </c>
    </row>
    <row r="24" spans="1:9" x14ac:dyDescent="0.35">
      <c r="A24" s="1" t="s">
        <v>36</v>
      </c>
      <c r="B24" s="2">
        <f t="shared" si="0"/>
        <v>1.2222674607172677</v>
      </c>
      <c r="C24" s="2">
        <f t="shared" si="2"/>
        <v>2.1949999999999998</v>
      </c>
      <c r="D24" s="2">
        <f t="shared" si="1"/>
        <v>1.034</v>
      </c>
      <c r="E24" s="2">
        <v>4.45</v>
      </c>
      <c r="F24" s="2">
        <v>2.2799999999999998</v>
      </c>
      <c r="G24" s="2">
        <v>12.222674607172676</v>
      </c>
      <c r="H24" s="2">
        <v>21.95</v>
      </c>
      <c r="I24" s="2">
        <v>10.34</v>
      </c>
    </row>
    <row r="25" spans="1:9" x14ac:dyDescent="0.35">
      <c r="A25" s="1" t="s">
        <v>25</v>
      </c>
      <c r="B25" s="2">
        <f t="shared" si="0"/>
        <v>0.72944959291686595</v>
      </c>
      <c r="C25" s="2">
        <f t="shared" si="2"/>
        <v>0.98399999999999999</v>
      </c>
      <c r="D25" s="2">
        <f t="shared" si="1"/>
        <v>1.1459999999999999</v>
      </c>
      <c r="E25" s="2">
        <v>4.45</v>
      </c>
      <c r="F25" s="2">
        <v>2.2799999999999998</v>
      </c>
      <c r="G25" s="2">
        <v>7.2944959291686597</v>
      </c>
      <c r="H25" s="2">
        <v>9.84</v>
      </c>
      <c r="I25" s="2">
        <v>11.459999999999999</v>
      </c>
    </row>
    <row r="26" spans="1:9" x14ac:dyDescent="0.35">
      <c r="A26" s="1" t="s">
        <v>29</v>
      </c>
      <c r="B26" s="2">
        <f t="shared" si="0"/>
        <v>0.93685103548063053</v>
      </c>
      <c r="C26" s="2">
        <f t="shared" si="2"/>
        <v>0.93599999999999994</v>
      </c>
      <c r="D26" s="2">
        <f t="shared" si="1"/>
        <v>1.2719999999999998</v>
      </c>
      <c r="E26" s="2">
        <v>4.45</v>
      </c>
      <c r="F26" s="2">
        <v>2.2799999999999998</v>
      </c>
      <c r="G26" s="2">
        <v>9.3685103548063058</v>
      </c>
      <c r="H26" s="2">
        <v>9.36</v>
      </c>
      <c r="I26" s="2">
        <v>12.719999999999999</v>
      </c>
    </row>
    <row r="27" spans="1:9" x14ac:dyDescent="0.35">
      <c r="A27" s="1" t="s">
        <v>15</v>
      </c>
      <c r="B27" s="2">
        <f t="shared" si="0"/>
        <v>0.46141385621624809</v>
      </c>
      <c r="C27" s="2">
        <f t="shared" si="2"/>
        <v>0.81099999999999994</v>
      </c>
      <c r="D27" s="2">
        <f t="shared" si="1"/>
        <v>1.3190000000000002</v>
      </c>
      <c r="E27" s="2">
        <v>4.45</v>
      </c>
      <c r="F27" s="2">
        <v>2.2799999999999998</v>
      </c>
      <c r="G27" s="2">
        <v>4.6141385621624806</v>
      </c>
      <c r="H27" s="2">
        <v>8.11</v>
      </c>
      <c r="I27" s="2">
        <v>13.190000000000001</v>
      </c>
    </row>
    <row r="28" spans="1:9" x14ac:dyDescent="0.35">
      <c r="A28" s="1" t="s">
        <v>34</v>
      </c>
      <c r="B28" s="2">
        <f t="shared" si="0"/>
        <v>1.0948017137085737</v>
      </c>
      <c r="C28" s="2">
        <f t="shared" si="2"/>
        <v>1.607</v>
      </c>
      <c r="D28" s="2">
        <f t="shared" si="1"/>
        <v>1.425</v>
      </c>
      <c r="E28" s="2">
        <v>4.45</v>
      </c>
      <c r="F28" s="2">
        <v>2.2799999999999998</v>
      </c>
      <c r="G28" s="2">
        <v>10.948017137085737</v>
      </c>
      <c r="H28" s="2">
        <v>16.07</v>
      </c>
      <c r="I28" s="2">
        <v>14.25</v>
      </c>
    </row>
    <row r="29" spans="1:9" x14ac:dyDescent="0.35">
      <c r="A29" s="1" t="s">
        <v>23</v>
      </c>
      <c r="B29" s="2">
        <f t="shared" si="0"/>
        <v>0.6318414736464828</v>
      </c>
      <c r="C29" s="2">
        <f t="shared" si="2"/>
        <v>0.92600000000000016</v>
      </c>
      <c r="D29" s="2">
        <f t="shared" si="1"/>
        <v>1.4339999999999999</v>
      </c>
      <c r="E29" s="2">
        <v>4.45</v>
      </c>
      <c r="F29" s="2">
        <v>2.2799999999999998</v>
      </c>
      <c r="G29" s="2">
        <v>6.3184147364648275</v>
      </c>
      <c r="H29" s="2">
        <v>9.2600000000000016</v>
      </c>
      <c r="I29" s="2">
        <v>14.34</v>
      </c>
    </row>
    <row r="30" spans="1:9" x14ac:dyDescent="0.35">
      <c r="A30" s="1" t="s">
        <v>31</v>
      </c>
      <c r="B30" s="2">
        <f t="shared" si="0"/>
        <v>0.96226880342228083</v>
      </c>
      <c r="C30" s="2">
        <f t="shared" si="2"/>
        <v>1.3959999999999999</v>
      </c>
      <c r="D30" s="2">
        <f t="shared" si="1"/>
        <v>1.5249999999999999</v>
      </c>
      <c r="E30" s="2">
        <v>4.45</v>
      </c>
      <c r="F30" s="2">
        <v>2.2799999999999998</v>
      </c>
      <c r="G30" s="2">
        <v>9.6226880342228078</v>
      </c>
      <c r="H30" s="2">
        <v>13.959999999999999</v>
      </c>
      <c r="I30" s="2">
        <v>15.25</v>
      </c>
    </row>
    <row r="31" spans="1:9" x14ac:dyDescent="0.35">
      <c r="A31" s="1" t="s">
        <v>35</v>
      </c>
      <c r="B31" s="2">
        <f t="shared" si="0"/>
        <v>1.1493970978949519</v>
      </c>
      <c r="C31" s="2">
        <f t="shared" si="2"/>
        <v>2.0009999999999999</v>
      </c>
      <c r="D31" s="2">
        <f t="shared" si="1"/>
        <v>1.873</v>
      </c>
      <c r="E31" s="2">
        <v>4.45</v>
      </c>
      <c r="F31" s="2">
        <v>2.2799999999999998</v>
      </c>
      <c r="G31" s="2">
        <v>11.49397097894952</v>
      </c>
      <c r="H31" s="2">
        <v>20.009999999999998</v>
      </c>
      <c r="I31" s="2">
        <v>18.73</v>
      </c>
    </row>
    <row r="32" spans="1:9" x14ac:dyDescent="0.35">
      <c r="A32" s="1" t="s">
        <v>40</v>
      </c>
      <c r="B32" s="2">
        <f t="shared" si="0"/>
        <v>1.7659523657989191</v>
      </c>
      <c r="C32" s="2">
        <f t="shared" si="2"/>
        <v>2.3439999999999999</v>
      </c>
      <c r="D32" s="2">
        <f t="shared" si="1"/>
        <v>1.9579999999999997</v>
      </c>
      <c r="E32" s="2">
        <v>4.45</v>
      </c>
      <c r="F32" s="2">
        <v>2.2799999999999998</v>
      </c>
      <c r="G32" s="2">
        <v>17.65952365798919</v>
      </c>
      <c r="H32" s="2">
        <v>23.439999999999998</v>
      </c>
      <c r="I32" s="2">
        <v>19.579999999999998</v>
      </c>
    </row>
    <row r="33" spans="1:9" x14ac:dyDescent="0.35">
      <c r="A33" s="1" t="s">
        <v>11</v>
      </c>
      <c r="B33" s="2">
        <f t="shared" si="0"/>
        <v>0.35362327127006687</v>
      </c>
      <c r="C33" s="2">
        <f t="shared" si="2"/>
        <v>0.97899999999999987</v>
      </c>
      <c r="D33" s="2">
        <f t="shared" si="1"/>
        <v>1.9760000000000002</v>
      </c>
      <c r="E33" s="2">
        <v>4.45</v>
      </c>
      <c r="F33" s="2">
        <v>2.2799999999999998</v>
      </c>
      <c r="G33" s="2">
        <v>3.5362327127006687</v>
      </c>
      <c r="H33" s="2">
        <v>9.7899999999999991</v>
      </c>
      <c r="I33" s="2">
        <v>19.760000000000002</v>
      </c>
    </row>
    <row r="34" spans="1:9" x14ac:dyDescent="0.35">
      <c r="A34" s="1" t="s">
        <v>38</v>
      </c>
      <c r="B34" s="2">
        <f t="shared" si="0"/>
        <v>1.3843475857064491</v>
      </c>
      <c r="C34" s="2">
        <f t="shared" si="2"/>
        <v>1.6120000000000001</v>
      </c>
      <c r="D34" s="2">
        <f t="shared" si="1"/>
        <v>2.0270000000000001</v>
      </c>
      <c r="E34" s="2">
        <v>4.45</v>
      </c>
      <c r="F34" s="2">
        <v>2.2799999999999998</v>
      </c>
      <c r="G34" s="2">
        <v>13.84347585706449</v>
      </c>
      <c r="H34" s="2">
        <v>16.12</v>
      </c>
      <c r="I34" s="2">
        <v>20.27</v>
      </c>
    </row>
    <row r="35" spans="1:9" x14ac:dyDescent="0.35">
      <c r="A35" s="1" t="s">
        <v>41</v>
      </c>
      <c r="B35" s="2">
        <f t="shared" si="0"/>
        <v>1.9630162807040743</v>
      </c>
      <c r="C35" s="2">
        <f t="shared" si="2"/>
        <v>0.87200000000000011</v>
      </c>
      <c r="D35" s="2">
        <f t="shared" si="1"/>
        <v>2.1590000000000003</v>
      </c>
      <c r="E35" s="2">
        <v>4.45</v>
      </c>
      <c r="F35" s="2">
        <v>2.2799999999999998</v>
      </c>
      <c r="G35" s="2">
        <v>19.630162807040744</v>
      </c>
      <c r="H35" s="2">
        <v>8.7200000000000006</v>
      </c>
      <c r="I35" s="2">
        <v>21.590000000000003</v>
      </c>
    </row>
    <row r="36" spans="1:9" x14ac:dyDescent="0.35">
      <c r="A36" s="1" t="s">
        <v>28</v>
      </c>
      <c r="B36" s="2">
        <f t="shared" si="0"/>
        <v>0.77783344452635927</v>
      </c>
      <c r="C36" s="2">
        <f t="shared" si="2"/>
        <v>1.6640000000000001</v>
      </c>
      <c r="D36" s="2">
        <f t="shared" si="1"/>
        <v>2.218</v>
      </c>
      <c r="E36" s="2">
        <v>4.45</v>
      </c>
      <c r="F36" s="2">
        <v>2.2799999999999998</v>
      </c>
      <c r="G36" s="2">
        <v>7.7783344452635923</v>
      </c>
      <c r="H36" s="2">
        <v>16.64</v>
      </c>
      <c r="I36" s="2">
        <v>22.18</v>
      </c>
    </row>
    <row r="37" spans="1:9" x14ac:dyDescent="0.35">
      <c r="A37" s="1" t="s">
        <v>45</v>
      </c>
      <c r="B37" s="2">
        <f t="shared" si="0"/>
        <v>3.4787929315962929</v>
      </c>
      <c r="C37" s="2">
        <f t="shared" si="2"/>
        <v>3.5529999999999999</v>
      </c>
      <c r="D37" s="2">
        <f t="shared" si="1"/>
        <v>2.59</v>
      </c>
      <c r="E37" s="2">
        <v>4.45</v>
      </c>
      <c r="F37" s="2">
        <v>2.2799999999999998</v>
      </c>
      <c r="G37" s="2">
        <v>34.787929315962927</v>
      </c>
      <c r="H37" s="2">
        <v>35.53</v>
      </c>
      <c r="I37" s="2">
        <v>25.9</v>
      </c>
    </row>
    <row r="38" spans="1:9" x14ac:dyDescent="0.35">
      <c r="A38" s="1" t="s">
        <v>42</v>
      </c>
      <c r="B38" s="2">
        <f t="shared" si="0"/>
        <v>2.4702804308067465</v>
      </c>
      <c r="C38" s="2">
        <f t="shared" si="2"/>
        <v>2.4670000000000001</v>
      </c>
      <c r="D38" s="2">
        <f t="shared" si="1"/>
        <v>2.6420000000000003</v>
      </c>
      <c r="E38" s="2">
        <v>4.45</v>
      </c>
      <c r="F38" s="2">
        <v>2.2799999999999998</v>
      </c>
      <c r="G38" s="2">
        <v>24.702804308067464</v>
      </c>
      <c r="H38" s="2">
        <v>24.67</v>
      </c>
      <c r="I38" s="2">
        <v>26.42</v>
      </c>
    </row>
    <row r="39" spans="1:9" x14ac:dyDescent="0.35">
      <c r="A39" s="1" t="s">
        <v>30</v>
      </c>
      <c r="B39" s="2">
        <f t="shared" si="0"/>
        <v>0.94752729160961802</v>
      </c>
      <c r="C39" s="2">
        <f t="shared" si="2"/>
        <v>1.5530000000000002</v>
      </c>
      <c r="D39" s="2">
        <f t="shared" si="1"/>
        <v>2.6459999999999999</v>
      </c>
      <c r="E39" s="2">
        <v>4.45</v>
      </c>
      <c r="F39" s="2">
        <v>2.2799999999999998</v>
      </c>
      <c r="G39" s="2">
        <v>9.4752729160961806</v>
      </c>
      <c r="H39" s="2">
        <v>15.530000000000001</v>
      </c>
      <c r="I39" s="2">
        <v>26.46</v>
      </c>
    </row>
    <row r="40" spans="1:9" x14ac:dyDescent="0.35">
      <c r="A40" s="1" t="s">
        <v>44</v>
      </c>
      <c r="B40" s="2">
        <f t="shared" si="0"/>
        <v>3.1709770097605645</v>
      </c>
      <c r="C40" s="2">
        <f t="shared" si="2"/>
        <v>3.411</v>
      </c>
      <c r="D40" s="2">
        <f t="shared" si="1"/>
        <v>3.29</v>
      </c>
      <c r="E40" s="2">
        <v>4.45</v>
      </c>
      <c r="F40" s="2">
        <v>2.2799999999999998</v>
      </c>
      <c r="G40" s="2">
        <v>31.709770097605645</v>
      </c>
      <c r="H40" s="2">
        <v>34.11</v>
      </c>
      <c r="I40" s="2">
        <v>32.9</v>
      </c>
    </row>
    <row r="41" spans="1:9" x14ac:dyDescent="0.35">
      <c r="A41" s="1" t="s">
        <v>22</v>
      </c>
      <c r="B41" s="2">
        <f t="shared" si="0"/>
        <v>0.60717944607399876</v>
      </c>
      <c r="C41" s="2">
        <f t="shared" si="2"/>
        <v>0.72499999999999998</v>
      </c>
      <c r="D41" s="2">
        <f t="shared" si="1"/>
        <v>3.5780000000000003</v>
      </c>
      <c r="E41" s="2">
        <v>4.45</v>
      </c>
      <c r="F41" s="2">
        <v>2.2799999999999998</v>
      </c>
      <c r="G41" s="2">
        <v>6.0717944607399872</v>
      </c>
      <c r="H41" s="2">
        <v>7.25</v>
      </c>
      <c r="I41" s="2">
        <v>35.78</v>
      </c>
    </row>
    <row r="42" spans="1:9" x14ac:dyDescent="0.35">
      <c r="A42" s="1" t="s">
        <v>48</v>
      </c>
      <c r="B42" s="2">
        <f t="shared" si="0"/>
        <v>5.2993419869835678</v>
      </c>
      <c r="C42" s="2">
        <f t="shared" si="2"/>
        <v>5.0619999999999994</v>
      </c>
      <c r="D42" s="2">
        <f t="shared" si="1"/>
        <v>3.6890000000000001</v>
      </c>
      <c r="E42" s="2">
        <v>4.45</v>
      </c>
      <c r="F42" s="2">
        <v>2.2799999999999998</v>
      </c>
      <c r="G42" s="2">
        <v>52.993419869835677</v>
      </c>
      <c r="H42" s="2">
        <v>50.62</v>
      </c>
      <c r="I42" s="2">
        <v>36.89</v>
      </c>
    </row>
    <row r="43" spans="1:9" x14ac:dyDescent="0.35">
      <c r="A43" s="1" t="s">
        <v>49</v>
      </c>
      <c r="B43" s="2">
        <f t="shared" si="0"/>
        <v>6.7913543410232151</v>
      </c>
      <c r="C43" s="2">
        <f t="shared" si="2"/>
        <v>6.5789999999999988</v>
      </c>
      <c r="D43" s="2">
        <f t="shared" si="1"/>
        <v>4.2949999999999999</v>
      </c>
      <c r="E43" s="2">
        <v>4.45</v>
      </c>
      <c r="F43" s="2">
        <v>2.2799999999999998</v>
      </c>
      <c r="G43" s="2">
        <v>67.913543410232151</v>
      </c>
      <c r="H43" s="2">
        <v>65.789999999999992</v>
      </c>
      <c r="I43" s="2">
        <v>42.949999999999996</v>
      </c>
    </row>
    <row r="44" spans="1:9" x14ac:dyDescent="0.35">
      <c r="A44" s="1" t="s">
        <v>33</v>
      </c>
      <c r="B44" s="2">
        <f t="shared" si="0"/>
        <v>1.0500742436916699</v>
      </c>
      <c r="C44" s="2">
        <f t="shared" si="2"/>
        <v>1.5589999999999999</v>
      </c>
      <c r="D44" s="2">
        <f t="shared" si="1"/>
        <v>4.7329999999999997</v>
      </c>
      <c r="E44" s="2">
        <v>4.45</v>
      </c>
      <c r="F44" s="2">
        <v>2.2799999999999998</v>
      </c>
      <c r="G44" s="2">
        <v>10.500742436916699</v>
      </c>
      <c r="H44" s="2">
        <v>15.59</v>
      </c>
      <c r="I44" s="2">
        <v>47.33</v>
      </c>
    </row>
    <row r="45" spans="1:9" x14ac:dyDescent="0.35">
      <c r="A45" s="1" t="s">
        <v>43</v>
      </c>
      <c r="B45" s="2">
        <f t="shared" si="0"/>
        <v>3.0393362818823206</v>
      </c>
      <c r="C45" s="2">
        <f t="shared" si="2"/>
        <v>4</v>
      </c>
      <c r="D45" s="2">
        <f t="shared" si="1"/>
        <v>5.3650000000000002</v>
      </c>
      <c r="E45" s="2">
        <v>4.45</v>
      </c>
      <c r="F45" s="2">
        <v>2.2799999999999998</v>
      </c>
      <c r="G45" s="2">
        <v>30.393362818823206</v>
      </c>
      <c r="H45" s="2">
        <v>40</v>
      </c>
      <c r="I45" s="2">
        <v>53.65</v>
      </c>
    </row>
    <row r="46" spans="1:9" x14ac:dyDescent="0.35">
      <c r="A46" s="1" t="s">
        <v>46</v>
      </c>
      <c r="B46" s="2">
        <f t="shared" si="0"/>
        <v>4.5798929608122041</v>
      </c>
      <c r="C46" s="2">
        <f t="shared" si="2"/>
        <v>4.516</v>
      </c>
      <c r="D46" s="2">
        <f t="shared" si="1"/>
        <v>5.8220000000000001</v>
      </c>
      <c r="E46" s="2">
        <v>4.45</v>
      </c>
      <c r="F46" s="2">
        <v>2.2799999999999998</v>
      </c>
      <c r="G46" s="2">
        <v>45.798929608122037</v>
      </c>
      <c r="H46" s="2">
        <v>45.160000000000004</v>
      </c>
      <c r="I46" s="2">
        <v>58.22</v>
      </c>
    </row>
    <row r="47" spans="1:9" x14ac:dyDescent="0.35">
      <c r="A47" s="1" t="s">
        <v>47</v>
      </c>
      <c r="B47" s="2">
        <f t="shared" si="0"/>
        <v>4.8338393302837126</v>
      </c>
      <c r="C47" s="2">
        <f t="shared" si="2"/>
        <v>5.2670000000000003</v>
      </c>
      <c r="D47" s="2">
        <f t="shared" si="1"/>
        <v>6.5069999999999997</v>
      </c>
      <c r="E47" s="2">
        <v>4.45</v>
      </c>
      <c r="F47" s="2">
        <v>2.2799999999999998</v>
      </c>
      <c r="G47" s="2">
        <v>48.338393302837126</v>
      </c>
      <c r="H47" s="2">
        <v>52.67</v>
      </c>
      <c r="I47" s="2">
        <v>65.069999999999993</v>
      </c>
    </row>
    <row r="48" spans="1:9" x14ac:dyDescent="0.35">
      <c r="A48" s="1" t="s">
        <v>50</v>
      </c>
      <c r="B48" s="2">
        <f t="shared" si="0"/>
        <v>8.5164463294680317</v>
      </c>
      <c r="C48" s="2">
        <f t="shared" si="2"/>
        <v>8.9120000000000008</v>
      </c>
      <c r="D48" s="2">
        <f t="shared" si="1"/>
        <v>11.552</v>
      </c>
      <c r="E48" s="2">
        <v>4.45</v>
      </c>
      <c r="F48" s="2">
        <v>2.2799999999999998</v>
      </c>
      <c r="G48" s="2">
        <v>85.164463294680317</v>
      </c>
      <c r="H48" s="2">
        <v>89.12</v>
      </c>
      <c r="I48" s="2">
        <v>115.52</v>
      </c>
    </row>
    <row r="49" spans="1:9" x14ac:dyDescent="0.35">
      <c r="A49" s="1" t="s">
        <v>51</v>
      </c>
      <c r="B49" s="2">
        <f t="shared" si="0"/>
        <v>1.5315264481515469</v>
      </c>
      <c r="C49" s="2">
        <f t="shared" si="2"/>
        <v>1.7749999999999999</v>
      </c>
      <c r="D49" s="2">
        <f t="shared" si="1"/>
        <v>1.9624680851063832</v>
      </c>
      <c r="E49" s="2">
        <v>4.45</v>
      </c>
      <c r="F49" s="2">
        <v>2.2799999999999998</v>
      </c>
      <c r="G49" s="3">
        <f>AVERAGEIF(G2:G48,"&gt;0")</f>
        <v>15.315264481515468</v>
      </c>
      <c r="H49" s="3">
        <f>AVERAGEIF(H2:H48,"&gt;0")</f>
        <v>17.75</v>
      </c>
      <c r="I49" s="3">
        <f>AVERAGEIF(I2:I48,"&gt;0")</f>
        <v>19.624680851063832</v>
      </c>
    </row>
  </sheetData>
  <sortState xmlns:xlrd2="http://schemas.microsoft.com/office/spreadsheetml/2017/richdata2" ref="A2:D48">
    <sortCondition ref="D2:D4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CA23-4B0A-470A-BAE5-9FA3353AEF2C}">
  <dimension ref="A1:F49"/>
  <sheetViews>
    <sheetView tabSelected="1" topLeftCell="A34" workbookViewId="0">
      <selection activeCell="I5" sqref="I5"/>
    </sheetView>
  </sheetViews>
  <sheetFormatPr defaultRowHeight="14.5" x14ac:dyDescent="0.35"/>
  <cols>
    <col min="1" max="1" width="29.36328125" bestFit="1" customWidth="1"/>
    <col min="2" max="2" width="15.08984375" customWidth="1"/>
    <col min="3" max="3" width="12.1796875" customWidth="1"/>
    <col min="4" max="4" width="13.08984375" customWidth="1"/>
  </cols>
  <sheetData>
    <row r="1" spans="1:6" s="12" customFormat="1" ht="72.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52</v>
      </c>
      <c r="F1" s="11" t="s">
        <v>53</v>
      </c>
    </row>
    <row r="2" spans="1:6" x14ac:dyDescent="0.35">
      <c r="A2" s="1" t="s">
        <v>50</v>
      </c>
      <c r="B2" s="2">
        <v>85.164463294680317</v>
      </c>
      <c r="C2" s="2">
        <v>89.12</v>
      </c>
      <c r="D2" s="2">
        <v>115.52</v>
      </c>
      <c r="E2" s="4">
        <f t="shared" ref="E2:E45" si="0">((D2-B2)/B2)*100</f>
        <v>35.643430993377493</v>
      </c>
      <c r="F2" s="5">
        <f>((D2/B2)^(1/16))-1</f>
        <v>1.923639452536885E-2</v>
      </c>
    </row>
    <row r="3" spans="1:6" x14ac:dyDescent="0.35">
      <c r="A3" s="1" t="s">
        <v>47</v>
      </c>
      <c r="B3" s="2">
        <v>48.338393302837126</v>
      </c>
      <c r="C3" s="2">
        <v>52.67</v>
      </c>
      <c r="D3" s="2">
        <v>65.069999999999993</v>
      </c>
      <c r="E3" s="4">
        <f t="shared" si="0"/>
        <v>34.613493651599789</v>
      </c>
      <c r="F3" s="5">
        <f t="shared" ref="F2:F45" si="1">((D3/B3)^(1/16))-1</f>
        <v>1.8750974628579442E-2</v>
      </c>
    </row>
    <row r="4" spans="1:6" x14ac:dyDescent="0.35">
      <c r="A4" s="1" t="s">
        <v>46</v>
      </c>
      <c r="B4" s="2">
        <v>45.798929608122037</v>
      </c>
      <c r="C4" s="2">
        <v>45.160000000000004</v>
      </c>
      <c r="D4" s="2">
        <v>58.22</v>
      </c>
      <c r="E4" s="4">
        <f t="shared" si="0"/>
        <v>27.120874872314033</v>
      </c>
      <c r="F4" s="5">
        <f t="shared" si="1"/>
        <v>1.5111048252463011E-2</v>
      </c>
    </row>
    <row r="5" spans="1:6" x14ac:dyDescent="0.35">
      <c r="A5" s="1" t="s">
        <v>43</v>
      </c>
      <c r="B5" s="2">
        <v>30.393362818823206</v>
      </c>
      <c r="C5" s="2">
        <v>40</v>
      </c>
      <c r="D5" s="2">
        <v>53.65</v>
      </c>
      <c r="E5" s="4">
        <f t="shared" si="0"/>
        <v>76.518802212874917</v>
      </c>
      <c r="F5" s="5">
        <f t="shared" si="1"/>
        <v>3.6154305005485332E-2</v>
      </c>
    </row>
    <row r="6" spans="1:6" x14ac:dyDescent="0.35">
      <c r="A6" s="1" t="s">
        <v>33</v>
      </c>
      <c r="B6" s="2">
        <v>10.500742436916699</v>
      </c>
      <c r="C6" s="2">
        <v>15.59</v>
      </c>
      <c r="D6" s="2">
        <v>47.33</v>
      </c>
      <c r="E6" s="4">
        <f t="shared" si="0"/>
        <v>350.73003441742702</v>
      </c>
      <c r="F6" s="5">
        <f t="shared" si="1"/>
        <v>9.8676362917325733E-2</v>
      </c>
    </row>
    <row r="7" spans="1:6" x14ac:dyDescent="0.35">
      <c r="A7" s="1" t="s">
        <v>49</v>
      </c>
      <c r="B7" s="2">
        <v>67.913543410232151</v>
      </c>
      <c r="C7" s="2">
        <v>65.789999999999992</v>
      </c>
      <c r="D7" s="2">
        <v>42.949999999999996</v>
      </c>
      <c r="E7" s="4">
        <f t="shared" si="0"/>
        <v>-36.757827903986289</v>
      </c>
      <c r="F7" s="5">
        <f t="shared" si="1"/>
        <v>-2.8231262011735314E-2</v>
      </c>
    </row>
    <row r="8" spans="1:6" x14ac:dyDescent="0.35">
      <c r="A8" s="1" t="s">
        <v>48</v>
      </c>
      <c r="B8" s="2">
        <v>52.993419869835677</v>
      </c>
      <c r="C8" s="2">
        <v>50.62</v>
      </c>
      <c r="D8" s="2">
        <v>36.89</v>
      </c>
      <c r="E8" s="4">
        <f t="shared" si="0"/>
        <v>-30.387583796987379</v>
      </c>
      <c r="F8" s="5">
        <f t="shared" si="1"/>
        <v>-2.2384858801704821E-2</v>
      </c>
    </row>
    <row r="9" spans="1:6" x14ac:dyDescent="0.35">
      <c r="A9" s="1" t="s">
        <v>22</v>
      </c>
      <c r="B9" s="2">
        <v>6.0717944607399872</v>
      </c>
      <c r="C9" s="2">
        <v>7.25</v>
      </c>
      <c r="D9" s="2">
        <v>35.78</v>
      </c>
      <c r="E9" s="4">
        <f t="shared" si="0"/>
        <v>489.28213448844883</v>
      </c>
      <c r="F9" s="5">
        <f t="shared" si="1"/>
        <v>0.11723672907584115</v>
      </c>
    </row>
    <row r="10" spans="1:6" x14ac:dyDescent="0.35">
      <c r="A10" s="1" t="s">
        <v>44</v>
      </c>
      <c r="B10" s="2">
        <v>31.709770097605645</v>
      </c>
      <c r="C10" s="2">
        <v>34.11</v>
      </c>
      <c r="D10" s="2">
        <v>32.9</v>
      </c>
      <c r="E10" s="4">
        <f t="shared" si="0"/>
        <v>3.7535116108717097</v>
      </c>
      <c r="F10" s="5">
        <f t="shared" si="1"/>
        <v>2.3056426280327891E-3</v>
      </c>
    </row>
    <row r="11" spans="1:6" x14ac:dyDescent="0.35">
      <c r="A11" s="1" t="s">
        <v>30</v>
      </c>
      <c r="B11" s="2">
        <v>9.4752729160961806</v>
      </c>
      <c r="C11" s="2">
        <v>15.530000000000001</v>
      </c>
      <c r="D11" s="2">
        <v>26.46</v>
      </c>
      <c r="E11" s="4">
        <f t="shared" si="0"/>
        <v>179.25317016516649</v>
      </c>
      <c r="F11" s="5">
        <f t="shared" si="1"/>
        <v>6.6288884656939162E-2</v>
      </c>
    </row>
    <row r="12" spans="1:6" x14ac:dyDescent="0.35">
      <c r="A12" s="1" t="s">
        <v>42</v>
      </c>
      <c r="B12" s="2">
        <v>24.702804308067464</v>
      </c>
      <c r="C12" s="2">
        <v>24.67</v>
      </c>
      <c r="D12" s="2">
        <v>26.42</v>
      </c>
      <c r="E12" s="4">
        <f t="shared" si="0"/>
        <v>6.9514200514138995</v>
      </c>
      <c r="F12" s="5">
        <f t="shared" si="1"/>
        <v>4.2091164997248853E-3</v>
      </c>
    </row>
    <row r="13" spans="1:6" x14ac:dyDescent="0.35">
      <c r="A13" s="1" t="s">
        <v>45</v>
      </c>
      <c r="B13" s="2">
        <v>34.787929315962927</v>
      </c>
      <c r="C13" s="2">
        <v>35.53</v>
      </c>
      <c r="D13" s="2">
        <v>25.9</v>
      </c>
      <c r="E13" s="4">
        <f t="shared" si="0"/>
        <v>-25.548888625240991</v>
      </c>
      <c r="F13" s="5">
        <f t="shared" si="1"/>
        <v>-1.8270256409630203E-2</v>
      </c>
    </row>
    <row r="14" spans="1:6" x14ac:dyDescent="0.35">
      <c r="A14" s="1" t="s">
        <v>28</v>
      </c>
      <c r="B14" s="2">
        <v>7.7783344452635923</v>
      </c>
      <c r="C14" s="2">
        <v>16.64</v>
      </c>
      <c r="D14" s="2">
        <v>22.18</v>
      </c>
      <c r="E14" s="4">
        <f t="shared" si="0"/>
        <v>185.15101987554564</v>
      </c>
      <c r="F14" s="5">
        <f t="shared" si="1"/>
        <v>6.7682644210604437E-2</v>
      </c>
    </row>
    <row r="15" spans="1:6" x14ac:dyDescent="0.35">
      <c r="A15" s="1" t="s">
        <v>41</v>
      </c>
      <c r="B15" s="2">
        <v>19.630162807040744</v>
      </c>
      <c r="C15" s="2">
        <v>8.7200000000000006</v>
      </c>
      <c r="D15" s="2">
        <v>21.590000000000003</v>
      </c>
      <c r="E15" s="4">
        <f t="shared" si="0"/>
        <v>9.9838050872218211</v>
      </c>
      <c r="F15" s="5">
        <f t="shared" si="1"/>
        <v>5.9654064959722142E-3</v>
      </c>
    </row>
    <row r="16" spans="1:6" x14ac:dyDescent="0.35">
      <c r="A16" s="1" t="s">
        <v>38</v>
      </c>
      <c r="B16" s="2">
        <v>13.84347585706449</v>
      </c>
      <c r="C16" s="2">
        <v>16.12</v>
      </c>
      <c r="D16" s="2">
        <v>20.27</v>
      </c>
      <c r="E16" s="4">
        <f t="shared" si="0"/>
        <v>46.422764118564757</v>
      </c>
      <c r="F16" s="5">
        <f t="shared" si="1"/>
        <v>2.4119269037311097E-2</v>
      </c>
    </row>
    <row r="17" spans="1:6" x14ac:dyDescent="0.35">
      <c r="A17" s="1" t="s">
        <v>11</v>
      </c>
      <c r="B17" s="2">
        <v>3.5362327127006687</v>
      </c>
      <c r="C17" s="2">
        <v>9.7899999999999991</v>
      </c>
      <c r="D17" s="2">
        <v>19.760000000000002</v>
      </c>
      <c r="E17" s="4">
        <f t="shared" si="0"/>
        <v>458.78675430579972</v>
      </c>
      <c r="F17" s="5">
        <f t="shared" si="1"/>
        <v>0.11353245996198602</v>
      </c>
    </row>
    <row r="18" spans="1:6" x14ac:dyDescent="0.35">
      <c r="A18" s="1" t="s">
        <v>40</v>
      </c>
      <c r="B18" s="2">
        <v>17.65952365798919</v>
      </c>
      <c r="C18" s="2">
        <v>23.439999999999998</v>
      </c>
      <c r="D18" s="2">
        <v>19.579999999999998</v>
      </c>
      <c r="E18" s="4">
        <f t="shared" si="0"/>
        <v>10.87501780458264</v>
      </c>
      <c r="F18" s="5">
        <f t="shared" si="1"/>
        <v>6.4729480126466399E-3</v>
      </c>
    </row>
    <row r="19" spans="1:6" x14ac:dyDescent="0.35">
      <c r="A19" s="1" t="s">
        <v>35</v>
      </c>
      <c r="B19" s="2">
        <v>11.49397097894952</v>
      </c>
      <c r="C19" s="2">
        <v>20.009999999999998</v>
      </c>
      <c r="D19" s="2">
        <v>18.73</v>
      </c>
      <c r="E19" s="4">
        <f t="shared" si="0"/>
        <v>62.954996443812242</v>
      </c>
      <c r="F19" s="5">
        <f t="shared" si="1"/>
        <v>3.0989471011589442E-2</v>
      </c>
    </row>
    <row r="20" spans="1:6" x14ac:dyDescent="0.35">
      <c r="A20" s="1" t="s">
        <v>31</v>
      </c>
      <c r="B20" s="2">
        <v>9.6226880342228078</v>
      </c>
      <c r="C20" s="2">
        <v>13.959999999999999</v>
      </c>
      <c r="D20" s="2">
        <v>15.25</v>
      </c>
      <c r="E20" s="4">
        <f t="shared" si="0"/>
        <v>58.47962591911763</v>
      </c>
      <c r="F20" s="5">
        <f t="shared" si="1"/>
        <v>2.9196592913822927E-2</v>
      </c>
    </row>
    <row r="21" spans="1:6" x14ac:dyDescent="0.35">
      <c r="A21" s="1" t="s">
        <v>23</v>
      </c>
      <c r="B21" s="2">
        <v>6.3184147364648275</v>
      </c>
      <c r="C21" s="2">
        <v>9.2600000000000016</v>
      </c>
      <c r="D21" s="2">
        <v>14.34</v>
      </c>
      <c r="E21" s="4">
        <f t="shared" si="0"/>
        <v>126.95566211000695</v>
      </c>
      <c r="F21" s="5">
        <f t="shared" si="1"/>
        <v>5.2558672335021983E-2</v>
      </c>
    </row>
    <row r="22" spans="1:6" x14ac:dyDescent="0.35">
      <c r="A22" s="1" t="s">
        <v>34</v>
      </c>
      <c r="B22" s="2">
        <v>10.948017137085737</v>
      </c>
      <c r="C22" s="2">
        <v>16.07</v>
      </c>
      <c r="D22" s="2">
        <v>14.25</v>
      </c>
      <c r="E22" s="4">
        <f t="shared" si="0"/>
        <v>30.160556213681826</v>
      </c>
      <c r="F22" s="5">
        <f t="shared" si="1"/>
        <v>1.6611369065457682E-2</v>
      </c>
    </row>
    <row r="23" spans="1:6" x14ac:dyDescent="0.35">
      <c r="A23" s="1" t="s">
        <v>15</v>
      </c>
      <c r="B23" s="2">
        <v>4.6141385621624806</v>
      </c>
      <c r="C23" s="2">
        <v>8.11</v>
      </c>
      <c r="D23" s="2">
        <v>13.190000000000001</v>
      </c>
      <c r="E23" s="4">
        <f t="shared" si="0"/>
        <v>185.86050943858788</v>
      </c>
      <c r="F23" s="5">
        <f t="shared" si="1"/>
        <v>6.7848483443429197E-2</v>
      </c>
    </row>
    <row r="24" spans="1:6" x14ac:dyDescent="0.35">
      <c r="A24" s="1" t="s">
        <v>29</v>
      </c>
      <c r="B24" s="2">
        <v>9.3685103548063058</v>
      </c>
      <c r="C24" s="2">
        <v>9.36</v>
      </c>
      <c r="D24" s="2">
        <v>12.719999999999999</v>
      </c>
      <c r="E24" s="4">
        <f t="shared" si="0"/>
        <v>35.773986666666659</v>
      </c>
      <c r="F24" s="5">
        <f t="shared" si="1"/>
        <v>1.9297679789256561E-2</v>
      </c>
    </row>
    <row r="25" spans="1:6" x14ac:dyDescent="0.35">
      <c r="A25" s="1" t="s">
        <v>25</v>
      </c>
      <c r="B25" s="2">
        <v>7.2944959291686597</v>
      </c>
      <c r="C25" s="2">
        <v>9.84</v>
      </c>
      <c r="D25" s="2">
        <v>11.459999999999999</v>
      </c>
      <c r="E25" s="4">
        <f t="shared" si="0"/>
        <v>57.104755575702605</v>
      </c>
      <c r="F25" s="5">
        <f t="shared" si="1"/>
        <v>2.8636269080991816E-2</v>
      </c>
    </row>
    <row r="26" spans="1:6" x14ac:dyDescent="0.35">
      <c r="A26" s="1" t="s">
        <v>36</v>
      </c>
      <c r="B26" s="2">
        <v>12.222674607172676</v>
      </c>
      <c r="C26" s="2">
        <v>21.95</v>
      </c>
      <c r="D26" s="2">
        <v>10.34</v>
      </c>
      <c r="E26" s="4">
        <f t="shared" si="0"/>
        <v>-15.403131210478756</v>
      </c>
      <c r="F26" s="5">
        <f t="shared" si="1"/>
        <v>-1.0400099302849575E-2</v>
      </c>
    </row>
    <row r="27" spans="1:6" x14ac:dyDescent="0.35">
      <c r="A27" s="1" t="s">
        <v>24</v>
      </c>
      <c r="B27" s="2">
        <v>6.6801009648144856</v>
      </c>
      <c r="C27" s="2">
        <v>7.3900000000000006</v>
      </c>
      <c r="D27" s="2">
        <v>10.29</v>
      </c>
      <c r="E27" s="4">
        <f t="shared" si="0"/>
        <v>54.039587937362334</v>
      </c>
      <c r="F27" s="5">
        <f t="shared" si="1"/>
        <v>2.7370335736692564E-2</v>
      </c>
    </row>
    <row r="28" spans="1:6" x14ac:dyDescent="0.35">
      <c r="A28" s="1" t="s">
        <v>37</v>
      </c>
      <c r="B28" s="2">
        <v>13.195184437844334</v>
      </c>
      <c r="C28" s="2">
        <v>15.36</v>
      </c>
      <c r="D28" s="2">
        <v>10.1</v>
      </c>
      <c r="E28" s="4">
        <f t="shared" si="0"/>
        <v>-23.456924398625439</v>
      </c>
      <c r="F28" s="5">
        <f t="shared" si="1"/>
        <v>-1.6568490117665702E-2</v>
      </c>
    </row>
    <row r="29" spans="1:6" x14ac:dyDescent="0.35">
      <c r="A29" s="1" t="s">
        <v>14</v>
      </c>
      <c r="B29" s="2">
        <v>4.09678726164762</v>
      </c>
      <c r="C29" s="2">
        <v>6.78</v>
      </c>
      <c r="D29" s="2">
        <v>9.9</v>
      </c>
      <c r="E29" s="4">
        <f t="shared" si="0"/>
        <v>141.65277247075019</v>
      </c>
      <c r="F29" s="5">
        <f t="shared" si="1"/>
        <v>5.6694595910245171E-2</v>
      </c>
    </row>
    <row r="30" spans="1:6" x14ac:dyDescent="0.35">
      <c r="A30" s="1" t="s">
        <v>5</v>
      </c>
      <c r="B30" s="2">
        <v>2.1018738042028513</v>
      </c>
      <c r="C30" s="2">
        <v>7.2</v>
      </c>
      <c r="D30" s="2">
        <v>9.02</v>
      </c>
      <c r="E30" s="4">
        <f t="shared" si="0"/>
        <v>329.14089237726103</v>
      </c>
      <c r="F30" s="5">
        <f t="shared" si="1"/>
        <v>9.5311112280165977E-2</v>
      </c>
    </row>
    <row r="31" spans="1:6" x14ac:dyDescent="0.35">
      <c r="A31" s="1" t="s">
        <v>16</v>
      </c>
      <c r="B31" s="2">
        <v>4.7328650182291474</v>
      </c>
      <c r="C31" s="2">
        <v>12.21</v>
      </c>
      <c r="D31" s="2">
        <v>8.9600000000000009</v>
      </c>
      <c r="E31" s="4">
        <f t="shared" si="0"/>
        <v>89.314505389221551</v>
      </c>
      <c r="F31" s="5">
        <f t="shared" si="1"/>
        <v>4.0696258505925176E-2</v>
      </c>
    </row>
    <row r="32" spans="1:6" x14ac:dyDescent="0.35">
      <c r="A32" s="1" t="s">
        <v>51</v>
      </c>
      <c r="B32" s="3">
        <f>AVERAGEIF(B1:B31,"&gt;0")</f>
        <v>20.432929238224979</v>
      </c>
      <c r="C32" s="3">
        <f>AVERAGEIF(C1:C31,"&gt;0")</f>
        <v>23.608333333333341</v>
      </c>
      <c r="D32" s="3">
        <f>AVERAGEIF(D1:D31,"&gt;0")</f>
        <v>27.634000000000004</v>
      </c>
      <c r="E32" s="4">
        <f t="shared" si="0"/>
        <v>35.242478833155232</v>
      </c>
      <c r="F32" s="5">
        <f t="shared" si="1"/>
        <v>1.9047833809088477E-2</v>
      </c>
    </row>
    <row r="33" spans="1:6" x14ac:dyDescent="0.35">
      <c r="A33" s="1" t="s">
        <v>7</v>
      </c>
      <c r="B33" s="2">
        <v>2.2895671054697995</v>
      </c>
      <c r="C33" s="2">
        <v>3.3499999999999996</v>
      </c>
      <c r="D33" s="2">
        <v>8.74</v>
      </c>
      <c r="E33" s="4">
        <f t="shared" si="0"/>
        <v>281.73154999999997</v>
      </c>
      <c r="F33" s="5">
        <f t="shared" si="1"/>
        <v>8.7326264221228023E-2</v>
      </c>
    </row>
    <row r="34" spans="1:6" x14ac:dyDescent="0.35">
      <c r="A34" s="1" t="s">
        <v>21</v>
      </c>
      <c r="B34" s="2">
        <v>5.9639076663538182</v>
      </c>
      <c r="C34" s="2">
        <v>6.09</v>
      </c>
      <c r="D34" s="2">
        <v>8.5</v>
      </c>
      <c r="E34" s="4">
        <f t="shared" si="0"/>
        <v>42.524003984063761</v>
      </c>
      <c r="F34" s="5">
        <f t="shared" si="1"/>
        <v>2.2393314438830858E-2</v>
      </c>
    </row>
    <row r="35" spans="1:6" x14ac:dyDescent="0.35">
      <c r="A35" s="1" t="s">
        <v>19</v>
      </c>
      <c r="B35" s="2">
        <v>5.9223334542682249</v>
      </c>
      <c r="C35" s="2">
        <v>6.08</v>
      </c>
      <c r="D35" s="2">
        <v>7.9500000000000011</v>
      </c>
      <c r="E35" s="4">
        <f t="shared" si="0"/>
        <v>34.237628822984249</v>
      </c>
      <c r="F35" s="5">
        <f t="shared" si="1"/>
        <v>1.8572958143859619E-2</v>
      </c>
    </row>
    <row r="36" spans="1:6" x14ac:dyDescent="0.35">
      <c r="A36" s="1" t="s">
        <v>9</v>
      </c>
      <c r="B36" s="2">
        <v>3.2677973333270876</v>
      </c>
      <c r="C36" s="2">
        <v>4.91</v>
      </c>
      <c r="D36" s="2">
        <v>6.5299999999999994</v>
      </c>
      <c r="E36" s="4">
        <f t="shared" si="0"/>
        <v>99.828793952516037</v>
      </c>
      <c r="F36" s="5">
        <f t="shared" si="1"/>
        <v>4.4217889375264274E-2</v>
      </c>
    </row>
    <row r="37" spans="1:6" x14ac:dyDescent="0.35">
      <c r="A37" s="1" t="s">
        <v>10</v>
      </c>
      <c r="B37" s="2">
        <v>3.499510330047737</v>
      </c>
      <c r="C37" s="2">
        <v>7.2700000000000005</v>
      </c>
      <c r="D37" s="2">
        <v>6.4</v>
      </c>
      <c r="E37" s="4">
        <f t="shared" si="0"/>
        <v>82.882729193506847</v>
      </c>
      <c r="F37" s="5">
        <f t="shared" si="1"/>
        <v>3.8450484722514888E-2</v>
      </c>
    </row>
    <row r="38" spans="1:6" x14ac:dyDescent="0.35">
      <c r="A38" s="1" t="s">
        <v>32</v>
      </c>
      <c r="B38" s="2">
        <v>10.111351450816844</v>
      </c>
      <c r="C38" s="2">
        <v>14.47</v>
      </c>
      <c r="D38" s="2">
        <v>6.1199999999999992</v>
      </c>
      <c r="E38" s="4">
        <f t="shared" si="0"/>
        <v>-39.473966167938947</v>
      </c>
      <c r="F38" s="5">
        <f t="shared" si="1"/>
        <v>-3.0893763238080463E-2</v>
      </c>
    </row>
    <row r="39" spans="1:6" x14ac:dyDescent="0.35">
      <c r="A39" s="1" t="s">
        <v>39</v>
      </c>
      <c r="B39" s="2">
        <v>16.446923230999928</v>
      </c>
      <c r="C39" s="2">
        <v>17.43</v>
      </c>
      <c r="D39" s="2">
        <v>6.1</v>
      </c>
      <c r="E39" s="4">
        <f t="shared" si="0"/>
        <v>-62.910996091339236</v>
      </c>
      <c r="F39" s="5">
        <f t="shared" si="1"/>
        <v>-6.0108281258822838E-2</v>
      </c>
    </row>
    <row r="40" spans="1:6" x14ac:dyDescent="0.35">
      <c r="A40" s="1" t="s">
        <v>12</v>
      </c>
      <c r="B40" s="2">
        <v>3.6707103864901218</v>
      </c>
      <c r="C40" s="2">
        <v>5.3699999999999992</v>
      </c>
      <c r="D40" s="2">
        <v>6</v>
      </c>
      <c r="E40" s="4">
        <f t="shared" si="0"/>
        <v>63.456098908884769</v>
      </c>
      <c r="F40" s="5">
        <f t="shared" si="1"/>
        <v>3.1187335511394298E-2</v>
      </c>
    </row>
    <row r="41" spans="1:6" x14ac:dyDescent="0.35">
      <c r="A41" s="1" t="s">
        <v>13</v>
      </c>
      <c r="B41" s="2">
        <v>3.8527041010983769</v>
      </c>
      <c r="C41" s="2">
        <v>5.2200000000000006</v>
      </c>
      <c r="D41" s="2">
        <v>5.7800000000000011</v>
      </c>
      <c r="E41" s="4">
        <f t="shared" si="0"/>
        <v>50.024498334875155</v>
      </c>
      <c r="F41" s="5">
        <f t="shared" si="1"/>
        <v>2.5675865287637878E-2</v>
      </c>
    </row>
    <row r="42" spans="1:6" x14ac:dyDescent="0.35">
      <c r="A42" s="1" t="s">
        <v>26</v>
      </c>
      <c r="B42" s="2">
        <v>7.3507834404093018</v>
      </c>
      <c r="C42" s="2">
        <v>7.7200000000000006</v>
      </c>
      <c r="D42" s="2">
        <v>5.4500000000000011</v>
      </c>
      <c r="E42" s="4">
        <f t="shared" si="0"/>
        <v>-25.858242945373217</v>
      </c>
      <c r="F42" s="5">
        <f t="shared" si="1"/>
        <v>-1.8525705464372932E-2</v>
      </c>
    </row>
    <row r="43" spans="1:6" x14ac:dyDescent="0.35">
      <c r="A43" s="1" t="s">
        <v>20</v>
      </c>
      <c r="B43" s="2">
        <v>5.9236323700604725</v>
      </c>
      <c r="C43" s="2">
        <v>5.32</v>
      </c>
      <c r="D43" s="2">
        <v>4.87</v>
      </c>
      <c r="E43" s="4">
        <f t="shared" si="0"/>
        <v>-17.786930454796543</v>
      </c>
      <c r="F43" s="5">
        <f t="shared" si="1"/>
        <v>-1.2166377534393868E-2</v>
      </c>
    </row>
    <row r="44" spans="1:6" x14ac:dyDescent="0.35">
      <c r="A44" s="1" t="s">
        <v>27</v>
      </c>
      <c r="B44" s="2">
        <v>7.6419814380029223</v>
      </c>
      <c r="C44" s="2">
        <v>8.7999999999999989</v>
      </c>
      <c r="D44" s="2">
        <v>4.5</v>
      </c>
      <c r="E44" s="4">
        <f t="shared" si="0"/>
        <v>-41.114748360655739</v>
      </c>
      <c r="F44" s="5">
        <f t="shared" si="1"/>
        <v>-3.2556951302654569E-2</v>
      </c>
    </row>
    <row r="45" spans="1:6" x14ac:dyDescent="0.35">
      <c r="A45" s="1" t="s">
        <v>8</v>
      </c>
      <c r="B45" s="2">
        <v>2.8167814409362335</v>
      </c>
      <c r="C45" s="2">
        <v>3.5300000000000002</v>
      </c>
      <c r="D45" s="2">
        <v>4.1100000000000003</v>
      </c>
      <c r="E45" s="4">
        <f t="shared" si="0"/>
        <v>45.91121413502109</v>
      </c>
      <c r="F45" s="5">
        <f t="shared" si="1"/>
        <v>2.3895282314687183E-2</v>
      </c>
    </row>
    <row r="46" spans="1:6" x14ac:dyDescent="0.35">
      <c r="A46" s="1" t="s">
        <v>4</v>
      </c>
      <c r="B46" s="2"/>
      <c r="C46" s="2"/>
      <c r="D46" s="2">
        <v>3.98</v>
      </c>
      <c r="E46" s="4"/>
      <c r="F46" s="5"/>
    </row>
    <row r="47" spans="1:6" x14ac:dyDescent="0.35">
      <c r="A47" s="1" t="s">
        <v>17</v>
      </c>
      <c r="B47" s="2">
        <v>4.8138114788603348</v>
      </c>
      <c r="C47" s="2">
        <v>4.72</v>
      </c>
      <c r="D47" s="2">
        <v>3.0100000000000002</v>
      </c>
      <c r="E47" s="4">
        <f>((D47-B47)/B47)*100</f>
        <v>-37.471585390946494</v>
      </c>
      <c r="F47" s="5">
        <f>((D47/B47)^(1/16))-1</f>
        <v>-2.8920382489630914E-2</v>
      </c>
    </row>
    <row r="48" spans="1:6" x14ac:dyDescent="0.35">
      <c r="A48" s="1" t="s">
        <v>18</v>
      </c>
      <c r="B48" s="2">
        <v>5.6569009522005214</v>
      </c>
      <c r="C48" s="2">
        <v>5.1300000000000008</v>
      </c>
      <c r="D48" s="2">
        <v>2.7</v>
      </c>
      <c r="E48" s="4">
        <f>((D48-B48)/B48)*100</f>
        <v>-52.270686320754713</v>
      </c>
      <c r="F48" s="5">
        <f>((D48/B48)^(1/16))-1</f>
        <v>-4.5174356235571644E-2</v>
      </c>
    </row>
    <row r="49" spans="1:6" x14ac:dyDescent="0.35">
      <c r="A49" s="1" t="s">
        <v>6</v>
      </c>
      <c r="B49" s="2">
        <v>2.2855928236201999</v>
      </c>
      <c r="C49" s="2">
        <v>2.84</v>
      </c>
      <c r="D49" s="2">
        <v>2.6</v>
      </c>
      <c r="E49" s="4">
        <f>((D49-B49)/B49)*100</f>
        <v>13.756044958253058</v>
      </c>
      <c r="F49" s="5">
        <f>((D49/B49)^(1/16))-1</f>
        <v>8.0879076406465966E-3</v>
      </c>
    </row>
  </sheetData>
  <autoFilter ref="A1:F49" xr:uid="{B6CDCA23-4B0A-470A-BAE5-9FA3353AEF2C}">
    <sortState xmlns:xlrd2="http://schemas.microsoft.com/office/spreadsheetml/2017/richdata2" ref="A2:F49">
      <sortCondition descending="1" ref="D2:D49"/>
    </sortState>
  </autoFilter>
  <sortState xmlns:xlrd2="http://schemas.microsoft.com/office/spreadsheetml/2017/richdata2" ref="A2:F48">
    <sortCondition ref="F2:F4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CB62-893D-4BB7-9D81-058331C0C780}">
  <dimension ref="A1:D49"/>
  <sheetViews>
    <sheetView workbookViewId="0">
      <selection activeCell="D13" sqref="D13"/>
    </sheetView>
  </sheetViews>
  <sheetFormatPr defaultRowHeight="14.5" x14ac:dyDescent="0.35"/>
  <cols>
    <col min="1" max="1" width="29.36328125" bestFit="1" customWidth="1"/>
    <col min="2" max="2" width="18.1796875" customWidth="1"/>
    <col min="3" max="3" width="18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51</v>
      </c>
      <c r="B2">
        <v>20.432929238224979</v>
      </c>
      <c r="C2">
        <v>23.608333333333341</v>
      </c>
      <c r="D2">
        <v>27.634000000000004</v>
      </c>
    </row>
    <row r="3" spans="1:4" x14ac:dyDescent="0.35">
      <c r="A3" t="s">
        <v>44</v>
      </c>
      <c r="B3">
        <v>31.709770097605645</v>
      </c>
      <c r="C3">
        <v>34.11</v>
      </c>
      <c r="D3">
        <v>32.9</v>
      </c>
    </row>
    <row r="4" spans="1:4" x14ac:dyDescent="0.35">
      <c r="A4" t="s">
        <v>32</v>
      </c>
      <c r="B4">
        <v>10.111351450816844</v>
      </c>
      <c r="C4">
        <v>14.47</v>
      </c>
      <c r="D4">
        <v>6.1199999999999992</v>
      </c>
    </row>
    <row r="5" spans="1:4" x14ac:dyDescent="0.35">
      <c r="A5" t="s">
        <v>27</v>
      </c>
      <c r="B5">
        <v>7.6419814380029223</v>
      </c>
      <c r="C5">
        <v>8.7999999999999989</v>
      </c>
      <c r="D5">
        <v>4.5</v>
      </c>
    </row>
    <row r="6" spans="1:4" x14ac:dyDescent="0.35">
      <c r="A6" t="s">
        <v>43</v>
      </c>
      <c r="B6">
        <v>30.393362818823206</v>
      </c>
      <c r="C6">
        <v>40</v>
      </c>
      <c r="D6">
        <v>53.65</v>
      </c>
    </row>
    <row r="7" spans="1:4" x14ac:dyDescent="0.35">
      <c r="A7" t="s">
        <v>14</v>
      </c>
      <c r="B7">
        <v>4.09678726164762</v>
      </c>
      <c r="C7">
        <v>6.78</v>
      </c>
      <c r="D7">
        <v>9.9</v>
      </c>
    </row>
    <row r="8" spans="1:4" x14ac:dyDescent="0.35">
      <c r="A8" t="s">
        <v>5</v>
      </c>
      <c r="B8">
        <v>2.1018738042028513</v>
      </c>
      <c r="C8">
        <v>7.2</v>
      </c>
      <c r="D8">
        <v>9.02</v>
      </c>
    </row>
    <row r="9" spans="1:4" x14ac:dyDescent="0.35">
      <c r="A9" t="s">
        <v>39</v>
      </c>
      <c r="B9">
        <v>16.446923230999928</v>
      </c>
      <c r="C9">
        <v>17.43</v>
      </c>
      <c r="D9">
        <v>6.1</v>
      </c>
    </row>
    <row r="10" spans="1:4" x14ac:dyDescent="0.35">
      <c r="A10" t="s">
        <v>38</v>
      </c>
      <c r="B10">
        <v>13.84347585706449</v>
      </c>
      <c r="C10">
        <v>16.12</v>
      </c>
      <c r="D10">
        <v>20.27</v>
      </c>
    </row>
    <row r="11" spans="1:4" x14ac:dyDescent="0.35">
      <c r="A11" t="s">
        <v>17</v>
      </c>
      <c r="B11">
        <v>4.8138114788603348</v>
      </c>
      <c r="C11">
        <v>4.72</v>
      </c>
      <c r="D11">
        <v>3.0100000000000002</v>
      </c>
    </row>
    <row r="12" spans="1:4" x14ac:dyDescent="0.35">
      <c r="A12" t="s">
        <v>8</v>
      </c>
      <c r="B12">
        <v>2.8167814409362335</v>
      </c>
      <c r="C12">
        <v>3.5300000000000002</v>
      </c>
      <c r="D12">
        <v>4.1100000000000003</v>
      </c>
    </row>
    <row r="13" spans="1:4" x14ac:dyDescent="0.35">
      <c r="A13" t="s">
        <v>35</v>
      </c>
      <c r="B13">
        <v>11.49397097894952</v>
      </c>
      <c r="C13">
        <v>20.009999999999998</v>
      </c>
      <c r="D13">
        <v>18.73</v>
      </c>
    </row>
    <row r="14" spans="1:4" x14ac:dyDescent="0.35">
      <c r="A14" t="s">
        <v>36</v>
      </c>
      <c r="B14">
        <v>12.222674607172676</v>
      </c>
      <c r="C14">
        <v>21.95</v>
      </c>
      <c r="D14">
        <v>10.34</v>
      </c>
    </row>
    <row r="15" spans="1:4" x14ac:dyDescent="0.35">
      <c r="A15" t="s">
        <v>24</v>
      </c>
      <c r="B15">
        <v>6.6801009648144856</v>
      </c>
      <c r="C15">
        <v>7.3900000000000006</v>
      </c>
      <c r="D15">
        <v>10.29</v>
      </c>
    </row>
    <row r="16" spans="1:4" x14ac:dyDescent="0.35">
      <c r="A16" t="s">
        <v>23</v>
      </c>
      <c r="B16">
        <v>6.3184147364648275</v>
      </c>
      <c r="C16">
        <v>9.2600000000000016</v>
      </c>
      <c r="D16">
        <v>14.34</v>
      </c>
    </row>
    <row r="17" spans="1:4" x14ac:dyDescent="0.35">
      <c r="A17" t="s">
        <v>18</v>
      </c>
      <c r="B17">
        <v>5.6569009522005214</v>
      </c>
      <c r="C17">
        <v>5.13</v>
      </c>
      <c r="D17">
        <v>2.7</v>
      </c>
    </row>
    <row r="18" spans="1:4" x14ac:dyDescent="0.35">
      <c r="A18" t="s">
        <v>31</v>
      </c>
      <c r="B18">
        <v>9.6226880342228078</v>
      </c>
      <c r="C18">
        <v>13.959999999999999</v>
      </c>
      <c r="D18">
        <v>15.25</v>
      </c>
    </row>
    <row r="19" spans="1:4" x14ac:dyDescent="0.35">
      <c r="A19" t="s">
        <v>49</v>
      </c>
      <c r="B19">
        <v>67.913543410232151</v>
      </c>
      <c r="C19">
        <v>65.789999999999992</v>
      </c>
      <c r="D19">
        <v>42.949999999999996</v>
      </c>
    </row>
    <row r="20" spans="1:4" x14ac:dyDescent="0.35">
      <c r="A20" t="s">
        <v>7</v>
      </c>
      <c r="B20">
        <v>2.2895671054697995</v>
      </c>
      <c r="C20">
        <v>3.3499999999999996</v>
      </c>
      <c r="D20">
        <v>8.74</v>
      </c>
    </row>
    <row r="21" spans="1:4" x14ac:dyDescent="0.35">
      <c r="A21" t="s">
        <v>48</v>
      </c>
      <c r="B21">
        <v>52.993419869835677</v>
      </c>
      <c r="C21">
        <v>50.62</v>
      </c>
      <c r="D21">
        <v>36.89</v>
      </c>
    </row>
    <row r="22" spans="1:4" x14ac:dyDescent="0.35">
      <c r="A22" t="s">
        <v>37</v>
      </c>
      <c r="B22">
        <v>13.195184437844334</v>
      </c>
      <c r="C22">
        <v>15.36</v>
      </c>
      <c r="D22">
        <v>10.1</v>
      </c>
    </row>
    <row r="23" spans="1:4" x14ac:dyDescent="0.35">
      <c r="A23" t="s">
        <v>33</v>
      </c>
      <c r="B23">
        <v>10.500742436916699</v>
      </c>
      <c r="C23">
        <v>15.59</v>
      </c>
      <c r="D23">
        <v>47.33</v>
      </c>
    </row>
    <row r="24" spans="1:4" x14ac:dyDescent="0.35">
      <c r="A24" t="s">
        <v>19</v>
      </c>
      <c r="B24">
        <v>5.9223334542682249</v>
      </c>
      <c r="C24">
        <v>6.08</v>
      </c>
      <c r="D24">
        <v>7.9500000000000011</v>
      </c>
    </row>
    <row r="25" spans="1:4" x14ac:dyDescent="0.35">
      <c r="A25" t="s">
        <v>29</v>
      </c>
      <c r="B25">
        <v>9.3685103548063058</v>
      </c>
      <c r="C25">
        <v>9.36</v>
      </c>
      <c r="D25">
        <v>12.719999999999999</v>
      </c>
    </row>
    <row r="26" spans="1:4" x14ac:dyDescent="0.35">
      <c r="A26" t="s">
        <v>34</v>
      </c>
      <c r="B26">
        <v>10.948017137085737</v>
      </c>
      <c r="C26">
        <v>16.07</v>
      </c>
      <c r="D26">
        <v>14.25</v>
      </c>
    </row>
    <row r="27" spans="1:4" x14ac:dyDescent="0.35">
      <c r="A27" t="s">
        <v>22</v>
      </c>
      <c r="B27">
        <v>6.0717944607399872</v>
      </c>
      <c r="C27">
        <v>7.25</v>
      </c>
      <c r="D27">
        <v>35.78</v>
      </c>
    </row>
    <row r="28" spans="1:4" x14ac:dyDescent="0.35">
      <c r="A28" t="s">
        <v>11</v>
      </c>
      <c r="B28">
        <v>3.5362327127006687</v>
      </c>
      <c r="C28">
        <v>9.7899999999999991</v>
      </c>
      <c r="D28">
        <v>19.760000000000002</v>
      </c>
    </row>
    <row r="29" spans="1:4" x14ac:dyDescent="0.35">
      <c r="A29" t="s">
        <v>20</v>
      </c>
      <c r="B29">
        <v>5.9236323700604725</v>
      </c>
      <c r="C29">
        <v>5.32</v>
      </c>
      <c r="D29">
        <v>4.87</v>
      </c>
    </row>
    <row r="30" spans="1:4" x14ac:dyDescent="0.35">
      <c r="A30" t="s">
        <v>21</v>
      </c>
      <c r="B30">
        <v>5.9639076663538182</v>
      </c>
      <c r="C30">
        <v>6.09</v>
      </c>
      <c r="D30">
        <v>8.5</v>
      </c>
    </row>
    <row r="31" spans="1:4" x14ac:dyDescent="0.35">
      <c r="A31" t="s">
        <v>26</v>
      </c>
      <c r="B31">
        <v>7.3507834404093018</v>
      </c>
      <c r="C31">
        <v>7.7200000000000006</v>
      </c>
      <c r="D31">
        <v>5.4500000000000011</v>
      </c>
    </row>
    <row r="32" spans="1:4" x14ac:dyDescent="0.35">
      <c r="A32" t="s">
        <v>25</v>
      </c>
      <c r="B32">
        <v>7.2944959291686597</v>
      </c>
      <c r="C32">
        <v>9.84</v>
      </c>
      <c r="D32">
        <v>11.459999999999999</v>
      </c>
    </row>
    <row r="33" spans="1:4" x14ac:dyDescent="0.35">
      <c r="A33" t="s">
        <v>47</v>
      </c>
      <c r="B33">
        <v>48.338393302837126</v>
      </c>
      <c r="C33">
        <v>52.67</v>
      </c>
      <c r="D33">
        <v>65.069999999999993</v>
      </c>
    </row>
    <row r="34" spans="1:4" x14ac:dyDescent="0.35">
      <c r="A34" t="s">
        <v>9</v>
      </c>
      <c r="B34">
        <v>3.2677973333270876</v>
      </c>
      <c r="C34">
        <v>4.91</v>
      </c>
      <c r="D34">
        <v>6.5299999999999994</v>
      </c>
    </row>
    <row r="35" spans="1:4" x14ac:dyDescent="0.35">
      <c r="A35" t="s">
        <v>45</v>
      </c>
      <c r="B35">
        <v>34.787929315962927</v>
      </c>
      <c r="C35">
        <v>35.53</v>
      </c>
      <c r="D35">
        <v>25.9</v>
      </c>
    </row>
    <row r="36" spans="1:4" x14ac:dyDescent="0.35">
      <c r="A36" t="s">
        <v>6</v>
      </c>
      <c r="B36">
        <v>2.2855928236201999</v>
      </c>
      <c r="C36">
        <v>2.84</v>
      </c>
      <c r="D36">
        <v>2.6</v>
      </c>
    </row>
    <row r="37" spans="1:4" x14ac:dyDescent="0.35">
      <c r="A37" t="s">
        <v>40</v>
      </c>
      <c r="B37">
        <v>17.65952365798919</v>
      </c>
      <c r="C37">
        <v>23.439999999999998</v>
      </c>
      <c r="D37">
        <v>19.579999999999998</v>
      </c>
    </row>
    <row r="38" spans="1:4" x14ac:dyDescent="0.35">
      <c r="A38" t="s">
        <v>15</v>
      </c>
      <c r="B38">
        <v>4.6141385621624806</v>
      </c>
      <c r="C38">
        <v>8.11</v>
      </c>
      <c r="D38">
        <v>13.190000000000001</v>
      </c>
    </row>
    <row r="39" spans="1:4" x14ac:dyDescent="0.35">
      <c r="A39" t="s">
        <v>42</v>
      </c>
      <c r="B39">
        <v>24.702804308067464</v>
      </c>
      <c r="C39">
        <v>24.67</v>
      </c>
      <c r="D39">
        <v>26.42</v>
      </c>
    </row>
    <row r="40" spans="1:4" x14ac:dyDescent="0.35">
      <c r="A40" t="s">
        <v>10</v>
      </c>
      <c r="B40">
        <v>3.499510330047737</v>
      </c>
      <c r="C40">
        <v>7.2700000000000005</v>
      </c>
      <c r="D40">
        <v>6.4</v>
      </c>
    </row>
    <row r="41" spans="1:4" x14ac:dyDescent="0.35">
      <c r="A41" t="s">
        <v>50</v>
      </c>
      <c r="B41">
        <v>85.164463294680317</v>
      </c>
      <c r="C41">
        <v>89.12</v>
      </c>
      <c r="D41">
        <v>115.52</v>
      </c>
    </row>
    <row r="42" spans="1:4" x14ac:dyDescent="0.35">
      <c r="A42" t="s">
        <v>16</v>
      </c>
      <c r="B42">
        <v>4.7328650182291474</v>
      </c>
      <c r="C42">
        <v>12.21</v>
      </c>
      <c r="D42">
        <v>8.9600000000000009</v>
      </c>
    </row>
    <row r="43" spans="1:4" x14ac:dyDescent="0.35">
      <c r="A43" t="s">
        <v>46</v>
      </c>
      <c r="B43">
        <v>45.798929608122037</v>
      </c>
      <c r="C43">
        <v>45.160000000000004</v>
      </c>
      <c r="D43">
        <v>58.22</v>
      </c>
    </row>
    <row r="44" spans="1:4" x14ac:dyDescent="0.35">
      <c r="A44" t="s">
        <v>4</v>
      </c>
      <c r="D44">
        <v>3.98</v>
      </c>
    </row>
    <row r="45" spans="1:4" x14ac:dyDescent="0.35">
      <c r="A45" t="s">
        <v>13</v>
      </c>
      <c r="B45">
        <v>3.8527041010983769</v>
      </c>
      <c r="C45">
        <v>5.2200000000000006</v>
      </c>
      <c r="D45">
        <v>5.7800000000000011</v>
      </c>
    </row>
    <row r="46" spans="1:4" x14ac:dyDescent="0.35">
      <c r="A46" t="s">
        <v>28</v>
      </c>
      <c r="B46">
        <v>7.7783344452635923</v>
      </c>
      <c r="C46">
        <v>16.64</v>
      </c>
      <c r="D46">
        <v>22.18</v>
      </c>
    </row>
    <row r="47" spans="1:4" x14ac:dyDescent="0.35">
      <c r="A47" t="s">
        <v>12</v>
      </c>
      <c r="B47">
        <v>3.6707103864901218</v>
      </c>
      <c r="C47">
        <v>5.3699999999999992</v>
      </c>
      <c r="D47">
        <v>6</v>
      </c>
    </row>
    <row r="48" spans="1:4" x14ac:dyDescent="0.35">
      <c r="A48" t="s">
        <v>41</v>
      </c>
      <c r="B48">
        <v>19.630162807040744</v>
      </c>
      <c r="C48">
        <v>8.7200000000000006</v>
      </c>
      <c r="D48">
        <v>21.590000000000003</v>
      </c>
    </row>
    <row r="49" spans="1:4" x14ac:dyDescent="0.35">
      <c r="A49" t="s">
        <v>30</v>
      </c>
      <c r="B49">
        <v>9.4752729160961806</v>
      </c>
      <c r="C49">
        <v>15.530000000000001</v>
      </c>
      <c r="D49">
        <v>26.46</v>
      </c>
    </row>
  </sheetData>
  <sortState xmlns:xlrd2="http://schemas.microsoft.com/office/spreadsheetml/2017/richdata2" ref="A2:D49">
    <sortCondition ref="A2:A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1DB6-D693-4BB9-84FE-3F5EE59E152D}">
  <dimension ref="A1:C47"/>
  <sheetViews>
    <sheetView topLeftCell="A5" workbookViewId="0">
      <selection activeCell="G19" sqref="G19"/>
    </sheetView>
  </sheetViews>
  <sheetFormatPr defaultRowHeight="14.5" x14ac:dyDescent="0.35"/>
  <sheetData>
    <row r="1" spans="1:3" x14ac:dyDescent="0.35">
      <c r="A1" t="s">
        <v>44</v>
      </c>
      <c r="B1" t="s">
        <v>54</v>
      </c>
      <c r="C1" t="s">
        <v>55</v>
      </c>
    </row>
    <row r="2" spans="1:3" x14ac:dyDescent="0.35">
      <c r="A2" t="s">
        <v>32</v>
      </c>
      <c r="B2" t="s">
        <v>54</v>
      </c>
      <c r="C2" t="s">
        <v>55</v>
      </c>
    </row>
    <row r="3" spans="1:3" x14ac:dyDescent="0.35">
      <c r="A3" t="s">
        <v>27</v>
      </c>
      <c r="B3" t="s">
        <v>54</v>
      </c>
      <c r="C3" t="s">
        <v>55</v>
      </c>
    </row>
    <row r="4" spans="1:3" x14ac:dyDescent="0.35">
      <c r="A4" t="s">
        <v>43</v>
      </c>
      <c r="B4" t="s">
        <v>54</v>
      </c>
      <c r="C4" t="s">
        <v>56</v>
      </c>
    </row>
    <row r="5" spans="1:3" x14ac:dyDescent="0.35">
      <c r="A5" t="s">
        <v>14</v>
      </c>
      <c r="B5" t="s">
        <v>54</v>
      </c>
      <c r="C5" t="s">
        <v>57</v>
      </c>
    </row>
    <row r="6" spans="1:3" x14ac:dyDescent="0.35">
      <c r="A6" t="s">
        <v>5</v>
      </c>
      <c r="B6" t="s">
        <v>54</v>
      </c>
      <c r="C6" t="s">
        <v>57</v>
      </c>
    </row>
    <row r="7" spans="1:3" x14ac:dyDescent="0.35">
      <c r="A7" s="1" t="s">
        <v>38</v>
      </c>
      <c r="B7" t="s">
        <v>54</v>
      </c>
      <c r="C7" t="s">
        <v>55</v>
      </c>
    </row>
    <row r="8" spans="1:3" x14ac:dyDescent="0.35">
      <c r="A8" t="s">
        <v>39</v>
      </c>
      <c r="B8" t="s">
        <v>54</v>
      </c>
      <c r="C8" t="s">
        <v>55</v>
      </c>
    </row>
    <row r="9" spans="1:3" x14ac:dyDescent="0.35">
      <c r="A9" s="6" t="s">
        <v>17</v>
      </c>
      <c r="B9" t="s">
        <v>54</v>
      </c>
      <c r="C9" t="s">
        <v>57</v>
      </c>
    </row>
    <row r="10" spans="1:3" x14ac:dyDescent="0.35">
      <c r="A10" t="s">
        <v>8</v>
      </c>
      <c r="B10" t="s">
        <v>54</v>
      </c>
      <c r="C10" t="s">
        <v>57</v>
      </c>
    </row>
    <row r="11" spans="1:3" x14ac:dyDescent="0.35">
      <c r="A11" t="s">
        <v>35</v>
      </c>
      <c r="B11" t="s">
        <v>54</v>
      </c>
      <c r="C11" t="s">
        <v>55</v>
      </c>
    </row>
    <row r="12" spans="1:3" x14ac:dyDescent="0.35">
      <c r="A12" s="6" t="s">
        <v>36</v>
      </c>
      <c r="B12" t="s">
        <v>54</v>
      </c>
      <c r="C12" t="s">
        <v>55</v>
      </c>
    </row>
    <row r="13" spans="1:3" x14ac:dyDescent="0.35">
      <c r="A13" s="1" t="s">
        <v>24</v>
      </c>
      <c r="B13" t="s">
        <v>54</v>
      </c>
      <c r="C13" t="s">
        <v>55</v>
      </c>
    </row>
    <row r="14" spans="1:3" x14ac:dyDescent="0.35">
      <c r="A14" s="6" t="s">
        <v>23</v>
      </c>
      <c r="B14" t="s">
        <v>54</v>
      </c>
      <c r="C14" t="s">
        <v>57</v>
      </c>
    </row>
    <row r="15" spans="1:3" x14ac:dyDescent="0.35">
      <c r="A15" t="s">
        <v>18</v>
      </c>
      <c r="B15" s="7" t="s">
        <v>54</v>
      </c>
      <c r="C15" t="s">
        <v>56</v>
      </c>
    </row>
    <row r="16" spans="1:3" x14ac:dyDescent="0.35">
      <c r="A16" t="s">
        <v>31</v>
      </c>
      <c r="B16" t="s">
        <v>54</v>
      </c>
      <c r="C16" t="s">
        <v>57</v>
      </c>
    </row>
    <row r="17" spans="1:3" x14ac:dyDescent="0.35">
      <c r="A17" t="s">
        <v>49</v>
      </c>
      <c r="B17" t="s">
        <v>54</v>
      </c>
      <c r="C17" t="s">
        <v>55</v>
      </c>
    </row>
    <row r="18" spans="1:3" x14ac:dyDescent="0.35">
      <c r="A18" t="s">
        <v>7</v>
      </c>
      <c r="B18" t="s">
        <v>54</v>
      </c>
      <c r="C18" t="s">
        <v>57</v>
      </c>
    </row>
    <row r="19" spans="1:3" x14ac:dyDescent="0.35">
      <c r="A19" t="s">
        <v>48</v>
      </c>
      <c r="B19" t="s">
        <v>54</v>
      </c>
      <c r="C19" t="s">
        <v>56</v>
      </c>
    </row>
    <row r="20" spans="1:3" x14ac:dyDescent="0.35">
      <c r="A20" t="s">
        <v>37</v>
      </c>
      <c r="B20" t="s">
        <v>54</v>
      </c>
      <c r="C20" t="s">
        <v>57</v>
      </c>
    </row>
    <row r="21" spans="1:3" x14ac:dyDescent="0.35">
      <c r="A21" t="s">
        <v>33</v>
      </c>
      <c r="B21" t="s">
        <v>54</v>
      </c>
      <c r="C21" t="s">
        <v>55</v>
      </c>
    </row>
    <row r="22" spans="1:3" x14ac:dyDescent="0.35">
      <c r="A22" t="s">
        <v>19</v>
      </c>
      <c r="B22" t="s">
        <v>54</v>
      </c>
      <c r="C22" t="s">
        <v>57</v>
      </c>
    </row>
    <row r="23" spans="1:3" x14ac:dyDescent="0.35">
      <c r="A23" t="s">
        <v>29</v>
      </c>
      <c r="B23" t="s">
        <v>54</v>
      </c>
      <c r="C23" t="s">
        <v>57</v>
      </c>
    </row>
    <row r="24" spans="1:3" x14ac:dyDescent="0.35">
      <c r="A24" t="s">
        <v>34</v>
      </c>
      <c r="B24" t="s">
        <v>54</v>
      </c>
      <c r="C24" t="s">
        <v>55</v>
      </c>
    </row>
    <row r="25" spans="1:3" x14ac:dyDescent="0.35">
      <c r="A25" t="s">
        <v>22</v>
      </c>
      <c r="B25" t="s">
        <v>54</v>
      </c>
      <c r="C25" t="s">
        <v>55</v>
      </c>
    </row>
    <row r="26" spans="1:3" x14ac:dyDescent="0.35">
      <c r="A26" t="s">
        <v>11</v>
      </c>
      <c r="B26" t="s">
        <v>54</v>
      </c>
      <c r="C26" t="s">
        <v>57</v>
      </c>
    </row>
    <row r="27" spans="1:3" x14ac:dyDescent="0.35">
      <c r="A27" t="s">
        <v>20</v>
      </c>
      <c r="B27" t="s">
        <v>54</v>
      </c>
      <c r="C27" t="s">
        <v>57</v>
      </c>
    </row>
    <row r="28" spans="1:3" x14ac:dyDescent="0.35">
      <c r="A28" t="s">
        <v>21</v>
      </c>
      <c r="B28" t="s">
        <v>54</v>
      </c>
      <c r="C28" t="s">
        <v>57</v>
      </c>
    </row>
    <row r="29" spans="1:3" x14ac:dyDescent="0.35">
      <c r="A29" t="s">
        <v>26</v>
      </c>
      <c r="B29" t="s">
        <v>54</v>
      </c>
      <c r="C29" t="s">
        <v>57</v>
      </c>
    </row>
    <row r="30" spans="1:3" x14ac:dyDescent="0.35">
      <c r="A30" t="s">
        <v>25</v>
      </c>
      <c r="B30" s="7" t="s">
        <v>54</v>
      </c>
      <c r="C30" t="s">
        <v>55</v>
      </c>
    </row>
    <row r="31" spans="1:3" x14ac:dyDescent="0.35">
      <c r="A31" t="s">
        <v>47</v>
      </c>
      <c r="B31" t="s">
        <v>54</v>
      </c>
      <c r="C31" t="s">
        <v>58</v>
      </c>
    </row>
    <row r="32" spans="1:3" x14ac:dyDescent="0.35">
      <c r="A32" t="s">
        <v>9</v>
      </c>
      <c r="B32" t="s">
        <v>54</v>
      </c>
      <c r="C32" t="s">
        <v>57</v>
      </c>
    </row>
    <row r="33" spans="1:3" x14ac:dyDescent="0.35">
      <c r="A33" t="s">
        <v>45</v>
      </c>
      <c r="B33" t="s">
        <v>54</v>
      </c>
      <c r="C33" t="s">
        <v>56</v>
      </c>
    </row>
    <row r="34" spans="1:3" x14ac:dyDescent="0.35">
      <c r="A34" t="s">
        <v>6</v>
      </c>
      <c r="B34" t="s">
        <v>54</v>
      </c>
      <c r="C34" t="s">
        <v>57</v>
      </c>
    </row>
    <row r="35" spans="1:3" x14ac:dyDescent="0.35">
      <c r="A35" s="6" t="s">
        <v>40</v>
      </c>
      <c r="B35" t="s">
        <v>54</v>
      </c>
      <c r="C35" t="s">
        <v>55</v>
      </c>
    </row>
    <row r="36" spans="1:3" x14ac:dyDescent="0.35">
      <c r="A36" s="6" t="s">
        <v>15</v>
      </c>
      <c r="B36" t="s">
        <v>54</v>
      </c>
      <c r="C36" t="s">
        <v>57</v>
      </c>
    </row>
    <row r="37" spans="1:3" x14ac:dyDescent="0.35">
      <c r="A37" t="s">
        <v>42</v>
      </c>
      <c r="B37" t="s">
        <v>54</v>
      </c>
      <c r="C37" t="s">
        <v>55</v>
      </c>
    </row>
    <row r="38" spans="1:3" x14ac:dyDescent="0.35">
      <c r="A38" t="s">
        <v>10</v>
      </c>
      <c r="B38" t="s">
        <v>54</v>
      </c>
      <c r="C38" t="s">
        <v>55</v>
      </c>
    </row>
    <row r="39" spans="1:3" x14ac:dyDescent="0.35">
      <c r="A39" t="s">
        <v>50</v>
      </c>
      <c r="B39" t="s">
        <v>54</v>
      </c>
      <c r="C39" t="s">
        <v>58</v>
      </c>
    </row>
    <row r="40" spans="1:3" x14ac:dyDescent="0.35">
      <c r="A40" t="s">
        <v>16</v>
      </c>
      <c r="B40" t="s">
        <v>54</v>
      </c>
      <c r="C40" t="s">
        <v>57</v>
      </c>
    </row>
    <row r="41" spans="1:3" x14ac:dyDescent="0.35">
      <c r="A41" t="s">
        <v>46</v>
      </c>
      <c r="B41" t="s">
        <v>54</v>
      </c>
      <c r="C41" t="s">
        <v>56</v>
      </c>
    </row>
    <row r="42" spans="1:3" x14ac:dyDescent="0.35">
      <c r="A42" t="s">
        <v>4</v>
      </c>
      <c r="B42" t="s">
        <v>54</v>
      </c>
      <c r="C42" t="s">
        <v>57</v>
      </c>
    </row>
    <row r="43" spans="1:3" x14ac:dyDescent="0.35">
      <c r="A43" t="s">
        <v>13</v>
      </c>
      <c r="B43" t="s">
        <v>54</v>
      </c>
      <c r="C43" t="s">
        <v>57</v>
      </c>
    </row>
    <row r="44" spans="1:3" x14ac:dyDescent="0.35">
      <c r="A44" t="s">
        <v>28</v>
      </c>
      <c r="B44" t="s">
        <v>54</v>
      </c>
      <c r="C44" t="s">
        <v>57</v>
      </c>
    </row>
    <row r="45" spans="1:3" x14ac:dyDescent="0.35">
      <c r="A45" s="6" t="s">
        <v>12</v>
      </c>
      <c r="B45" t="s">
        <v>54</v>
      </c>
      <c r="C45" t="s">
        <v>55</v>
      </c>
    </row>
    <row r="46" spans="1:3" x14ac:dyDescent="0.35">
      <c r="A46" t="s">
        <v>41</v>
      </c>
      <c r="B46" t="s">
        <v>54</v>
      </c>
      <c r="C46" t="s">
        <v>55</v>
      </c>
    </row>
    <row r="47" spans="1:3" x14ac:dyDescent="0.35">
      <c r="A47" t="s">
        <v>30</v>
      </c>
      <c r="B47" t="s">
        <v>54</v>
      </c>
      <c r="C47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E7EF-8062-4C46-8ACF-C0839CB9D863}">
  <dimension ref="A3:D6"/>
  <sheetViews>
    <sheetView workbookViewId="0">
      <selection activeCell="C11" sqref="C11"/>
    </sheetView>
  </sheetViews>
  <sheetFormatPr defaultRowHeight="14.5" x14ac:dyDescent="0.35"/>
  <cols>
    <col min="1" max="1" width="12.36328125" bestFit="1" customWidth="1"/>
    <col min="2" max="3" width="61.1796875" bestFit="1" customWidth="1"/>
    <col min="4" max="4" width="59.1796875" bestFit="1" customWidth="1"/>
    <col min="5" max="6" width="11.81640625" bestFit="1" customWidth="1"/>
    <col min="7" max="7" width="10.81640625" bestFit="1" customWidth="1"/>
    <col min="8" max="16" width="11.81640625" bestFit="1" customWidth="1"/>
    <col min="17" max="17" width="10.81640625" bestFit="1" customWidth="1"/>
    <col min="18" max="22" width="11.81640625" bestFit="1" customWidth="1"/>
    <col min="23" max="23" width="10.81640625" bestFit="1" customWidth="1"/>
    <col min="24" max="40" width="11.81640625" bestFit="1" customWidth="1"/>
    <col min="41" max="41" width="10.81640625" bestFit="1" customWidth="1"/>
    <col min="42" max="43" width="11.81640625" bestFit="1" customWidth="1"/>
    <col min="44" max="44" width="10.81640625" bestFit="1" customWidth="1"/>
    <col min="45" max="47" width="11.81640625" bestFit="1" customWidth="1"/>
    <col min="48" max="48" width="6.7265625" bestFit="1" customWidth="1"/>
    <col min="49" max="49" width="10.7265625" bestFit="1" customWidth="1"/>
  </cols>
  <sheetData>
    <row r="3" spans="1:4" x14ac:dyDescent="0.35">
      <c r="A3" s="8" t="s">
        <v>68</v>
      </c>
      <c r="B3" t="s">
        <v>70</v>
      </c>
      <c r="C3" t="s">
        <v>71</v>
      </c>
      <c r="D3" t="s">
        <v>72</v>
      </c>
    </row>
    <row r="4" spans="1:4" x14ac:dyDescent="0.35">
      <c r="A4" s="9">
        <v>0</v>
      </c>
      <c r="B4">
        <v>10.376532266827855</v>
      </c>
      <c r="C4">
        <v>13.464374999999999</v>
      </c>
      <c r="D4">
        <v>13.268064516129032</v>
      </c>
    </row>
    <row r="5" spans="1:4" x14ac:dyDescent="0.35">
      <c r="A5" s="9">
        <v>1</v>
      </c>
      <c r="B5">
        <v>25.52197772520319</v>
      </c>
      <c r="C5">
        <v>32.766666666666666</v>
      </c>
      <c r="D5">
        <v>27.012666666666671</v>
      </c>
    </row>
    <row r="6" spans="1:4" x14ac:dyDescent="0.35">
      <c r="A6" s="9" t="s">
        <v>69</v>
      </c>
      <c r="B6">
        <v>15.315264481515467</v>
      </c>
      <c r="C6">
        <v>19.624680851063829</v>
      </c>
      <c r="D6">
        <v>17.75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A470-C88F-4853-80EC-B93903DCC055}">
  <dimension ref="A1:K48"/>
  <sheetViews>
    <sheetView topLeftCell="A31" workbookViewId="0">
      <selection activeCell="I5" sqref="I5"/>
    </sheetView>
  </sheetViews>
  <sheetFormatPr defaultRowHeight="14.5" x14ac:dyDescent="0.35"/>
  <cols>
    <col min="1" max="1" width="29.6328125" bestFit="1" customWidth="1"/>
  </cols>
  <sheetData>
    <row r="1" spans="1:5" x14ac:dyDescent="0.35">
      <c r="A1" t="s">
        <v>73</v>
      </c>
      <c r="B1" t="s">
        <v>70</v>
      </c>
      <c r="C1" t="s">
        <v>75</v>
      </c>
      <c r="D1" t="s">
        <v>71</v>
      </c>
      <c r="E1" t="s">
        <v>77</v>
      </c>
    </row>
    <row r="2" spans="1:5" x14ac:dyDescent="0.35">
      <c r="A2" t="s">
        <v>56</v>
      </c>
      <c r="B2" s="10">
        <v>33.926108512988876</v>
      </c>
      <c r="C2" s="10">
        <v>35.287999999999997</v>
      </c>
      <c r="D2" s="10">
        <v>35.472000000000001</v>
      </c>
      <c r="E2" s="5">
        <f>(((D2/B2)^(1/16))-1)</f>
        <v>2.7888047690425299E-3</v>
      </c>
    </row>
    <row r="3" spans="1:5" x14ac:dyDescent="0.35">
      <c r="A3" t="s">
        <v>55</v>
      </c>
      <c r="B3" s="10">
        <v>15.342990863436901</v>
      </c>
      <c r="C3" s="10">
        <v>17.885263157894741</v>
      </c>
      <c r="D3" s="10">
        <v>19.340526315789472</v>
      </c>
      <c r="E3" s="5">
        <f>(((D3/B3)^(1/16))-1)</f>
        <v>1.4576716250992217E-2</v>
      </c>
    </row>
    <row r="4" spans="1:5" x14ac:dyDescent="0.35">
      <c r="A4" t="s">
        <v>58</v>
      </c>
      <c r="B4" s="10">
        <v>66.751428298758725</v>
      </c>
      <c r="C4" s="10">
        <v>70.89500000000001</v>
      </c>
      <c r="D4" s="10">
        <v>90.294999999999987</v>
      </c>
      <c r="E4" s="5">
        <f>(((D4/B4)^(1/16))-1)</f>
        <v>1.9061035168428386E-2</v>
      </c>
    </row>
    <row r="5" spans="1:5" x14ac:dyDescent="0.35">
      <c r="A5" t="s">
        <v>57</v>
      </c>
      <c r="B5" s="10">
        <v>5.4925970290974249</v>
      </c>
      <c r="C5" s="10">
        <v>7.9224999999999994</v>
      </c>
      <c r="D5" s="10">
        <v>9.3780952380952378</v>
      </c>
      <c r="E5" s="5">
        <f>(((D5/B5)^(1/16))-1)</f>
        <v>3.4001232260677305E-2</v>
      </c>
    </row>
    <row r="6" spans="1:5" x14ac:dyDescent="0.35">
      <c r="A6" s="1" t="s">
        <v>51</v>
      </c>
      <c r="B6" s="10">
        <v>15.315264481515467</v>
      </c>
      <c r="C6" s="10">
        <v>17.750000000000004</v>
      </c>
      <c r="D6" s="10">
        <v>19.624680851063832</v>
      </c>
      <c r="E6" s="5">
        <f>(((D6/B6)^(1/16))-1)</f>
        <v>1.5616812001811864E-2</v>
      </c>
    </row>
    <row r="39" spans="1:11" x14ac:dyDescent="0.35">
      <c r="A39" t="s">
        <v>74</v>
      </c>
      <c r="B39" t="s">
        <v>70</v>
      </c>
      <c r="C39" t="s">
        <v>75</v>
      </c>
      <c r="D39" t="s">
        <v>71</v>
      </c>
      <c r="I39" t="s">
        <v>70</v>
      </c>
      <c r="J39" t="s">
        <v>75</v>
      </c>
      <c r="K39" t="s">
        <v>71</v>
      </c>
    </row>
    <row r="40" spans="1:11" x14ac:dyDescent="0.35">
      <c r="A40" s="9" t="s">
        <v>62</v>
      </c>
      <c r="B40" s="10">
        <v>13.818495587955738</v>
      </c>
      <c r="C40" s="10">
        <v>15.898000000000001</v>
      </c>
      <c r="D40" s="10">
        <v>11.905000000000001</v>
      </c>
      <c r="E40" s="10"/>
      <c r="F40" s="10"/>
      <c r="G40" s="5">
        <f>(((D40/B40)^(1/16))-1)</f>
        <v>-9.2723364725354473E-3</v>
      </c>
    </row>
    <row r="41" spans="1:11" x14ac:dyDescent="0.35">
      <c r="A41" s="9" t="s">
        <v>61</v>
      </c>
      <c r="B41" s="10">
        <v>19.502133013387152</v>
      </c>
      <c r="C41" s="10">
        <v>21.975000000000001</v>
      </c>
      <c r="D41" s="10">
        <v>22.18</v>
      </c>
      <c r="E41" s="10"/>
      <c r="F41" s="10"/>
      <c r="G41" s="5">
        <f t="shared" ref="G41:G47" si="0">(((D41/B41)^(1/16))-1)</f>
        <v>8.0741173514511377E-3</v>
      </c>
    </row>
    <row r="42" spans="1:11" x14ac:dyDescent="0.35">
      <c r="A42" s="9" t="s">
        <v>67</v>
      </c>
      <c r="B42" s="10">
        <v>25.52197772520319</v>
      </c>
      <c r="C42" s="10">
        <v>27.012666666666671</v>
      </c>
      <c r="D42" s="10">
        <v>32.766666666666666</v>
      </c>
      <c r="E42" s="10"/>
      <c r="F42" s="10"/>
      <c r="G42" s="5">
        <f t="shared" si="0"/>
        <v>1.5739569048326629E-2</v>
      </c>
    </row>
    <row r="43" spans="1:11" x14ac:dyDescent="0.35">
      <c r="A43" s="9" t="s">
        <v>60</v>
      </c>
      <c r="B43" s="10">
        <v>19.83842537140816</v>
      </c>
      <c r="C43" s="10">
        <v>22.522666666666669</v>
      </c>
      <c r="D43" s="10">
        <v>26.710666666666661</v>
      </c>
      <c r="E43" s="10"/>
      <c r="F43" s="10"/>
      <c r="G43" s="5">
        <f t="shared" si="0"/>
        <v>1.8764013304290117E-2</v>
      </c>
    </row>
    <row r="44" spans="1:11" x14ac:dyDescent="0.35">
      <c r="A44" s="9" t="s">
        <v>63</v>
      </c>
      <c r="B44" s="10">
        <v>8.4481317089432011</v>
      </c>
      <c r="C44" s="10">
        <v>11.216818181818182</v>
      </c>
      <c r="D44" s="10">
        <v>12.946363636363634</v>
      </c>
      <c r="E44" s="10"/>
      <c r="F44" s="10"/>
      <c r="G44" s="5">
        <f t="shared" si="0"/>
        <v>2.7038432079698582E-2</v>
      </c>
    </row>
    <row r="45" spans="1:11" x14ac:dyDescent="0.35">
      <c r="A45" s="9" t="s">
        <v>66</v>
      </c>
      <c r="B45" s="10">
        <v>7.6110885526306475</v>
      </c>
      <c r="C45" s="10">
        <v>10.264666666666669</v>
      </c>
      <c r="D45" s="10">
        <v>12.772666666666668</v>
      </c>
      <c r="E45" s="10"/>
      <c r="F45" s="10"/>
      <c r="G45" s="5">
        <f t="shared" si="0"/>
        <v>3.2885486984085999E-2</v>
      </c>
    </row>
    <row r="46" spans="1:11" x14ac:dyDescent="0.35">
      <c r="A46" s="9" t="s">
        <v>65</v>
      </c>
      <c r="B46" s="10">
        <v>7.6596516805104846</v>
      </c>
      <c r="C46" s="10">
        <v>12.504999999999999</v>
      </c>
      <c r="D46" s="10">
        <v>12.88</v>
      </c>
      <c r="E46" s="10"/>
      <c r="F46" s="10"/>
      <c r="G46" s="5">
        <f t="shared" si="0"/>
        <v>3.3015118599940552E-2</v>
      </c>
    </row>
    <row r="47" spans="1:11" x14ac:dyDescent="0.35">
      <c r="A47" s="9" t="s">
        <v>64</v>
      </c>
      <c r="B47" s="10">
        <v>5.9052481786116013</v>
      </c>
      <c r="C47" s="10">
        <v>10.441666666666666</v>
      </c>
      <c r="D47" s="10">
        <v>11.851428571428571</v>
      </c>
      <c r="E47" s="10"/>
      <c r="F47" s="10"/>
      <c r="G47" s="5">
        <f t="shared" si="0"/>
        <v>4.4499615187602704E-2</v>
      </c>
    </row>
    <row r="48" spans="1:11" x14ac:dyDescent="0.35">
      <c r="A48" s="1" t="s">
        <v>51</v>
      </c>
      <c r="B48" s="10">
        <v>15.315264481515467</v>
      </c>
      <c r="C48" s="10">
        <v>17.75</v>
      </c>
      <c r="D48" s="10">
        <v>19.624680851063829</v>
      </c>
      <c r="E48" s="10"/>
      <c r="F48" s="10"/>
      <c r="G48" s="5">
        <f>(((D48/B48)^(1/16))-1)</f>
        <v>1.5616812001811864E-2</v>
      </c>
    </row>
  </sheetData>
  <sortState xmlns:xlrd2="http://schemas.microsoft.com/office/spreadsheetml/2017/richdata2" ref="A40:G47">
    <sortCondition ref="G40:G47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9F57-8953-48F5-B0E8-BCA316316E31}">
  <dimension ref="A1:M48"/>
  <sheetViews>
    <sheetView topLeftCell="D1" workbookViewId="0">
      <selection activeCell="J16" sqref="J16"/>
    </sheetView>
  </sheetViews>
  <sheetFormatPr defaultRowHeight="14.5" x14ac:dyDescent="0.35"/>
  <cols>
    <col min="1" max="1" width="29.36328125" bestFit="1" customWidth="1"/>
    <col min="2" max="3" width="8.7265625" customWidth="1"/>
    <col min="4" max="4" width="31.453125" customWidth="1"/>
    <col min="5" max="5" width="29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 spans="1:13" x14ac:dyDescent="0.35">
      <c r="A2" s="1" t="s">
        <v>44</v>
      </c>
      <c r="B2" s="2">
        <v>31.709770097605645</v>
      </c>
      <c r="C2" s="2">
        <v>34.11</v>
      </c>
      <c r="D2" s="2">
        <v>32.9</v>
      </c>
      <c r="E2" t="str">
        <f>VLOOKUP(A2,Sheet3!A$1:C$47,3,FALSE)</f>
        <v>Lower-Middle-Income Economies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 s="1" t="s">
        <v>32</v>
      </c>
      <c r="B3" s="2">
        <v>10.111351450816844</v>
      </c>
      <c r="C3" s="2">
        <v>14.47</v>
      </c>
      <c r="D3" s="2">
        <v>6.1199999999999992</v>
      </c>
      <c r="E3" t="str">
        <f>VLOOKUP(A3,Sheet3!A$1:C$47,3,FALSE)</f>
        <v>Lower-Middle-Income Economies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x14ac:dyDescent="0.35">
      <c r="A4" s="1" t="s">
        <v>27</v>
      </c>
      <c r="B4" s="2">
        <v>7.6419814380029223</v>
      </c>
      <c r="C4" s="2">
        <v>8.7999999999999989</v>
      </c>
      <c r="D4" s="2">
        <v>4.5</v>
      </c>
      <c r="E4" t="str">
        <f>VLOOKUP(A4,Sheet3!A$1:C$47,3,FALSE)</f>
        <v>Lower-Middle-Income Economies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</row>
    <row r="5" spans="1:13" x14ac:dyDescent="0.35">
      <c r="A5" s="1" t="s">
        <v>43</v>
      </c>
      <c r="B5" s="2">
        <v>30.393362818823206</v>
      </c>
      <c r="C5" s="2">
        <v>40</v>
      </c>
      <c r="D5" s="2">
        <v>53.65</v>
      </c>
      <c r="E5" t="str">
        <f>VLOOKUP(A5,Sheet3!A$1:C$47,3,FALSE)</f>
        <v>Upper-Middle-Income Economies 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 spans="1:13" x14ac:dyDescent="0.35">
      <c r="A6" s="1" t="s">
        <v>14</v>
      </c>
      <c r="B6" s="2">
        <v>4.09678726164762</v>
      </c>
      <c r="C6" s="2">
        <v>6.78</v>
      </c>
      <c r="D6" s="2">
        <v>9.9</v>
      </c>
      <c r="E6" t="str">
        <f>VLOOKUP(A6,Sheet3!A$1:C$47,3,FALSE)</f>
        <v>Low-Income Economies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</row>
    <row r="7" spans="1:13" x14ac:dyDescent="0.35">
      <c r="A7" s="1" t="s">
        <v>5</v>
      </c>
      <c r="B7" s="2">
        <v>2.1018738042028513</v>
      </c>
      <c r="C7" s="2">
        <v>7.2</v>
      </c>
      <c r="D7" s="2">
        <v>9.02</v>
      </c>
      <c r="E7" t="str">
        <f>VLOOKUP(A7,Sheet3!A$1:C$47,3,FALSE)</f>
        <v>Low-Income Economies</v>
      </c>
      <c r="F7">
        <v>1</v>
      </c>
      <c r="G7">
        <v>0</v>
      </c>
      <c r="H7" s="7">
        <v>1</v>
      </c>
      <c r="I7">
        <v>0</v>
      </c>
      <c r="J7">
        <v>1</v>
      </c>
      <c r="K7">
        <v>0</v>
      </c>
      <c r="L7">
        <v>0</v>
      </c>
      <c r="M7">
        <v>0</v>
      </c>
    </row>
    <row r="8" spans="1:13" x14ac:dyDescent="0.35">
      <c r="A8" s="1" t="s">
        <v>39</v>
      </c>
      <c r="B8" s="2">
        <v>16.446923230999928</v>
      </c>
      <c r="C8" s="2">
        <v>17.43</v>
      </c>
      <c r="D8" s="2">
        <v>6.1</v>
      </c>
      <c r="E8" t="str">
        <f>VLOOKUP(A8,Sheet3!A$1:C$47,3,FALSE)</f>
        <v>Lower-Middle-Income Economies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 s="1" t="s">
        <v>38</v>
      </c>
      <c r="B9" s="2">
        <v>13.84347585706449</v>
      </c>
      <c r="C9" s="2">
        <v>16.12</v>
      </c>
      <c r="D9" s="2">
        <v>20.27</v>
      </c>
      <c r="E9" t="str">
        <f>VLOOKUP(A9,Sheet3!A$1:C$47,3,FALSE)</f>
        <v>Lower-Middle-Income Economies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</row>
    <row r="10" spans="1:13" x14ac:dyDescent="0.35">
      <c r="A10" s="1" t="s">
        <v>17</v>
      </c>
      <c r="B10" s="2">
        <v>4.8138114788603348</v>
      </c>
      <c r="C10" s="2">
        <v>4.72</v>
      </c>
      <c r="D10" s="2">
        <v>3.0100000000000002</v>
      </c>
      <c r="E10" t="str">
        <f>VLOOKUP(A10,Sheet3!A$1:C$47,3,FALSE)</f>
        <v>Low-Income Economies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 s="1" t="s">
        <v>8</v>
      </c>
      <c r="B11" s="2">
        <v>2.8167814409362335</v>
      </c>
      <c r="C11" s="2">
        <v>3.5300000000000002</v>
      </c>
      <c r="D11" s="2">
        <v>4.1100000000000003</v>
      </c>
      <c r="E11" t="str">
        <f>VLOOKUP(A11,Sheet3!A$1:C$47,3,FALSE)</f>
        <v>Low-Income Economies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 s="1" t="s">
        <v>35</v>
      </c>
      <c r="B12" s="2">
        <v>11.49397097894952</v>
      </c>
      <c r="C12" s="2">
        <v>20.009999999999998</v>
      </c>
      <c r="D12" s="2">
        <v>18.73</v>
      </c>
      <c r="E12" t="str">
        <f>VLOOKUP(A12,Sheet3!A$1:C$47,3,FALSE)</f>
        <v>Lower-Middle-Income Economies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 s="1" t="s">
        <v>36</v>
      </c>
      <c r="B13" s="2">
        <v>12.222674607172676</v>
      </c>
      <c r="C13" s="2">
        <v>21.95</v>
      </c>
      <c r="D13" s="2">
        <v>10.34</v>
      </c>
      <c r="E13" t="str">
        <f>VLOOKUP(A13,Sheet3!A$1:C$47,3,FALSE)</f>
        <v>Lower-Middle-Income Economies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 s="1" t="s">
        <v>24</v>
      </c>
      <c r="B14" s="2">
        <v>6.6801009648144856</v>
      </c>
      <c r="C14" s="2">
        <v>7.3900000000000006</v>
      </c>
      <c r="D14" s="2">
        <v>10.29</v>
      </c>
      <c r="E14" t="str">
        <f>VLOOKUP(A14,Sheet3!A$1:C$47,3,FALSE)</f>
        <v>Lower-Middle-Income Economies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</row>
    <row r="15" spans="1:13" x14ac:dyDescent="0.35">
      <c r="A15" s="1" t="s">
        <v>23</v>
      </c>
      <c r="B15" s="2">
        <v>6.3184147364648275</v>
      </c>
      <c r="C15" s="2">
        <v>9.2600000000000016</v>
      </c>
      <c r="D15" s="2">
        <v>14.34</v>
      </c>
      <c r="E15" t="str">
        <f>VLOOKUP(A15,Sheet3!A$1:C$47,3,FALSE)</f>
        <v>Low-Income Economies</v>
      </c>
      <c r="F15">
        <v>1</v>
      </c>
      <c r="G15">
        <v>0</v>
      </c>
      <c r="H15" s="7">
        <v>1</v>
      </c>
      <c r="I15">
        <v>0</v>
      </c>
      <c r="J15">
        <v>1</v>
      </c>
      <c r="K15">
        <v>0</v>
      </c>
      <c r="L15">
        <v>0</v>
      </c>
      <c r="M15">
        <v>1</v>
      </c>
    </row>
    <row r="16" spans="1:13" x14ac:dyDescent="0.35">
      <c r="A16" s="1" t="s">
        <v>18</v>
      </c>
      <c r="B16" s="2">
        <v>5.6569009522005214</v>
      </c>
      <c r="C16" s="2">
        <v>5.1300000000000008</v>
      </c>
      <c r="D16" s="2">
        <v>2.7</v>
      </c>
      <c r="E16" t="str">
        <f>VLOOKUP(A16,Sheet3!A$1:C$47,3,FALSE)</f>
        <v>Upper-Middle-Income Economies 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 s="1" t="s">
        <v>31</v>
      </c>
      <c r="B17" s="2">
        <v>9.6226880342228078</v>
      </c>
      <c r="C17" s="2">
        <v>13.959999999999999</v>
      </c>
      <c r="D17" s="2">
        <v>15.25</v>
      </c>
      <c r="E17" t="str">
        <f>VLOOKUP(A17,Sheet3!A$1:C$47,3,FALSE)</f>
        <v>Low-Income Economies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</row>
    <row r="18" spans="1:13" x14ac:dyDescent="0.35">
      <c r="A18" s="1" t="s">
        <v>49</v>
      </c>
      <c r="B18" s="2">
        <v>67.913543410232151</v>
      </c>
      <c r="C18" s="2">
        <v>65.789999999999992</v>
      </c>
      <c r="D18" s="2">
        <v>42.949999999999996</v>
      </c>
      <c r="E18" t="str">
        <f>VLOOKUP(A18,Sheet3!A$1:C$47,3,FALSE)</f>
        <v>Lower-Middle-Income Economies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 x14ac:dyDescent="0.35">
      <c r="A19" s="1" t="s">
        <v>7</v>
      </c>
      <c r="B19" s="2">
        <v>2.2895671054697995</v>
      </c>
      <c r="C19" s="2">
        <v>3.3499999999999996</v>
      </c>
      <c r="D19" s="2">
        <v>8.74</v>
      </c>
      <c r="E19" t="str">
        <f>VLOOKUP(A19,Sheet3!A$1:C$47,3,FALSE)</f>
        <v>Low-Income Economies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 x14ac:dyDescent="0.35">
      <c r="A20" s="1" t="s">
        <v>48</v>
      </c>
      <c r="B20" s="2">
        <v>52.993419869835677</v>
      </c>
      <c r="C20" s="2">
        <v>50.62</v>
      </c>
      <c r="D20" s="2">
        <v>36.89</v>
      </c>
      <c r="E20" t="str">
        <f>VLOOKUP(A20,Sheet3!A$1:C$47,3,FALSE)</f>
        <v>Upper-Middle-Income Economies 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 s="1" t="s">
        <v>37</v>
      </c>
      <c r="B21" s="2">
        <v>13.195184437844334</v>
      </c>
      <c r="C21" s="2">
        <v>15.36</v>
      </c>
      <c r="D21" s="2">
        <v>10.1</v>
      </c>
      <c r="E21" t="str">
        <f>VLOOKUP(A21,Sheet3!A$1:C$47,3,FALSE)</f>
        <v>Low-Income Economies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</row>
    <row r="22" spans="1:13" x14ac:dyDescent="0.35">
      <c r="A22" s="1" t="s">
        <v>33</v>
      </c>
      <c r="B22" s="2">
        <v>10.500742436916699</v>
      </c>
      <c r="C22" s="2">
        <v>15.59</v>
      </c>
      <c r="D22" s="2">
        <v>47.33</v>
      </c>
      <c r="E22" t="str">
        <f>VLOOKUP(A22,Sheet3!A$1:C$47,3,FALSE)</f>
        <v>Lower-Middle-Income Economies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</row>
    <row r="23" spans="1:13" x14ac:dyDescent="0.35">
      <c r="A23" s="1" t="s">
        <v>19</v>
      </c>
      <c r="B23" s="2">
        <v>5.9223334542682249</v>
      </c>
      <c r="C23" s="2">
        <v>6.08</v>
      </c>
      <c r="D23" s="2">
        <v>7.9500000000000011</v>
      </c>
      <c r="E23" t="str">
        <f>VLOOKUP(A23,Sheet3!A$1:C$47,3,FALSE)</f>
        <v>Low-Income Economies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</row>
    <row r="24" spans="1:13" x14ac:dyDescent="0.35">
      <c r="A24" s="1" t="s">
        <v>29</v>
      </c>
      <c r="B24" s="2">
        <v>9.3685103548063058</v>
      </c>
      <c r="C24" s="2">
        <v>9.36</v>
      </c>
      <c r="D24" s="2">
        <v>12.719999999999999</v>
      </c>
      <c r="E24" t="str">
        <f>VLOOKUP(A24,Sheet3!A$1:C$47,3,FALSE)</f>
        <v>Low-Income Economies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</row>
    <row r="25" spans="1:13" x14ac:dyDescent="0.35">
      <c r="A25" s="1" t="s">
        <v>34</v>
      </c>
      <c r="B25" s="2">
        <v>10.948017137085737</v>
      </c>
      <c r="C25" s="2">
        <v>16.07</v>
      </c>
      <c r="D25" s="2">
        <v>14.25</v>
      </c>
      <c r="E25" t="str">
        <f>VLOOKUP(A25,Sheet3!A$1:C$47,3,FALSE)</f>
        <v>Lower-Middle-Income Economies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</row>
    <row r="26" spans="1:13" x14ac:dyDescent="0.35">
      <c r="A26" s="1" t="s">
        <v>22</v>
      </c>
      <c r="B26" s="2">
        <v>6.0717944607399872</v>
      </c>
      <c r="C26" s="2">
        <v>7.25</v>
      </c>
      <c r="D26" s="2">
        <v>35.78</v>
      </c>
      <c r="E26" t="str">
        <f>VLOOKUP(A26,Sheet3!A$1:C$47,3,FALSE)</f>
        <v>Lower-Middle-Income Economies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7" spans="1:13" x14ac:dyDescent="0.35">
      <c r="A27" s="1" t="s">
        <v>11</v>
      </c>
      <c r="B27" s="2">
        <v>3.5362327127006687</v>
      </c>
      <c r="C27" s="2">
        <v>9.7899999999999991</v>
      </c>
      <c r="D27" s="2">
        <v>19.760000000000002</v>
      </c>
      <c r="E27" t="str">
        <f>VLOOKUP(A27,Sheet3!A$1:C$47,3,FALSE)</f>
        <v>Low-Income Economies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</row>
    <row r="28" spans="1:13" x14ac:dyDescent="0.35">
      <c r="A28" s="1" t="s">
        <v>20</v>
      </c>
      <c r="B28" s="2">
        <v>5.9236323700604725</v>
      </c>
      <c r="C28" s="2">
        <v>5.32</v>
      </c>
      <c r="D28" s="2">
        <v>4.87</v>
      </c>
      <c r="E28" t="str">
        <f>VLOOKUP(A28,Sheet3!A$1:C$47,3,FALSE)</f>
        <v>Low-Income Economies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 spans="1:13" x14ac:dyDescent="0.35">
      <c r="A29" s="1" t="s">
        <v>21</v>
      </c>
      <c r="B29" s="2">
        <v>5.9639076663538182</v>
      </c>
      <c r="C29" s="2">
        <v>6.09</v>
      </c>
      <c r="D29" s="2">
        <v>8.5</v>
      </c>
      <c r="E29" t="str">
        <f>VLOOKUP(A29,Sheet3!A$1:C$47,3,FALSE)</f>
        <v>Low-Income Economies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 x14ac:dyDescent="0.35">
      <c r="A30" s="1" t="s">
        <v>26</v>
      </c>
      <c r="B30" s="2">
        <v>7.3507834404093018</v>
      </c>
      <c r="C30" s="2">
        <v>7.7200000000000006</v>
      </c>
      <c r="D30" s="2">
        <v>5.4500000000000011</v>
      </c>
      <c r="E30" t="str">
        <f>VLOOKUP(A30,Sheet3!A$1:C$47,3,FALSE)</f>
        <v>Low-Income Economies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</row>
    <row r="31" spans="1:13" x14ac:dyDescent="0.35">
      <c r="A31" s="1" t="s">
        <v>25</v>
      </c>
      <c r="B31" s="2">
        <v>7.2944959291686597</v>
      </c>
      <c r="C31" s="2">
        <v>9.84</v>
      </c>
      <c r="D31" s="2">
        <v>11.459999999999999</v>
      </c>
      <c r="E31" t="str">
        <f>VLOOKUP(A31,Sheet3!A$1:C$47,3,FALSE)</f>
        <v>Lower-Middle-Income Economies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 s="1" t="s">
        <v>47</v>
      </c>
      <c r="B32" s="2">
        <v>48.338393302837126</v>
      </c>
      <c r="C32" s="2">
        <v>52.67</v>
      </c>
      <c r="D32" s="2">
        <v>65.069999999999993</v>
      </c>
      <c r="E32" t="str">
        <f>VLOOKUP(A32,Sheet3!A$1:C$47,3,FALSE)</f>
        <v>High-Income Economies 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 x14ac:dyDescent="0.35">
      <c r="A33" s="1" t="s">
        <v>9</v>
      </c>
      <c r="B33" s="2">
        <v>3.2677973333270876</v>
      </c>
      <c r="C33" s="2">
        <v>4.91</v>
      </c>
      <c r="D33" s="2">
        <v>6.5299999999999994</v>
      </c>
      <c r="E33" t="str">
        <f>VLOOKUP(A33,Sheet3!A$1:C$47,3,FALSE)</f>
        <v>Low-Income Economies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</row>
    <row r="34" spans="1:13" x14ac:dyDescent="0.35">
      <c r="A34" s="1" t="s">
        <v>45</v>
      </c>
      <c r="B34" s="2">
        <v>34.787929315962927</v>
      </c>
      <c r="C34" s="2">
        <v>35.53</v>
      </c>
      <c r="D34" s="2">
        <v>25.9</v>
      </c>
      <c r="E34" t="str">
        <f>VLOOKUP(A34,Sheet3!A$1:C$47,3,FALSE)</f>
        <v>Upper-Middle-Income Economies 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</row>
    <row r="35" spans="1:13" x14ac:dyDescent="0.35">
      <c r="A35" s="1" t="s">
        <v>6</v>
      </c>
      <c r="B35" s="2">
        <v>2.2855928236201999</v>
      </c>
      <c r="C35" s="2">
        <v>2.84</v>
      </c>
      <c r="D35" s="2">
        <v>2.6</v>
      </c>
      <c r="E35" t="str">
        <f>VLOOKUP(A35,Sheet3!A$1:C$47,3,FALSE)</f>
        <v>Low-Income Economies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</row>
    <row r="36" spans="1:13" x14ac:dyDescent="0.35">
      <c r="A36" s="1" t="s">
        <v>40</v>
      </c>
      <c r="B36" s="2">
        <v>17.65952365798919</v>
      </c>
      <c r="C36" s="2">
        <v>23.439999999999998</v>
      </c>
      <c r="D36" s="2">
        <v>19.579999999999998</v>
      </c>
      <c r="E36" t="str">
        <f>VLOOKUP(A36,Sheet3!A$1:C$47,3,FALSE)</f>
        <v>Lower-Middle-Income Economies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</row>
    <row r="37" spans="1:13" x14ac:dyDescent="0.35">
      <c r="A37" s="1" t="s">
        <v>15</v>
      </c>
      <c r="B37" s="2">
        <v>4.6141385621624806</v>
      </c>
      <c r="C37" s="2">
        <v>8.11</v>
      </c>
      <c r="D37" s="2">
        <v>13.190000000000001</v>
      </c>
      <c r="E37" t="str">
        <f>VLOOKUP(A37,Sheet3!A$1:C$47,3,FALSE)</f>
        <v>Low-Income Economies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</row>
    <row r="38" spans="1:13" x14ac:dyDescent="0.35">
      <c r="A38" s="1" t="s">
        <v>42</v>
      </c>
      <c r="B38" s="2">
        <v>24.702804308067464</v>
      </c>
      <c r="C38" s="2">
        <v>24.67</v>
      </c>
      <c r="D38" s="2">
        <v>26.42</v>
      </c>
      <c r="E38" t="str">
        <f>VLOOKUP(A38,Sheet3!A$1:C$47,3,FALSE)</f>
        <v>Lower-Middle-Income Economies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 s="1" t="s">
        <v>10</v>
      </c>
      <c r="B39" s="2">
        <v>3.499510330047737</v>
      </c>
      <c r="C39" s="2">
        <v>7.2700000000000005</v>
      </c>
      <c r="D39" s="2">
        <v>6.4</v>
      </c>
      <c r="E39" t="str">
        <f>VLOOKUP(A39,Sheet3!A$1:C$47,3,FALSE)</f>
        <v>Lower-Middle-Income Economies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</row>
    <row r="40" spans="1:13" x14ac:dyDescent="0.35">
      <c r="A40" s="1" t="s">
        <v>50</v>
      </c>
      <c r="B40" s="2">
        <v>85.164463294680317</v>
      </c>
      <c r="C40" s="2">
        <v>89.12</v>
      </c>
      <c r="D40" s="2">
        <v>115.52</v>
      </c>
      <c r="E40" t="str">
        <f>VLOOKUP(A40,Sheet3!A$1:C$47,3,FALSE)</f>
        <v>High-Income Economies 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</row>
    <row r="41" spans="1:13" x14ac:dyDescent="0.35">
      <c r="A41" s="1" t="s">
        <v>16</v>
      </c>
      <c r="B41" s="2">
        <v>4.7328650182291474</v>
      </c>
      <c r="C41" s="2">
        <v>12.21</v>
      </c>
      <c r="D41" s="2">
        <v>8.9600000000000009</v>
      </c>
      <c r="E41" t="str">
        <f>VLOOKUP(A41,Sheet3!A$1:C$47,3,FALSE)</f>
        <v>Low-Income Economies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</row>
    <row r="42" spans="1:13" x14ac:dyDescent="0.35">
      <c r="A42" s="1" t="s">
        <v>46</v>
      </c>
      <c r="B42" s="2">
        <v>45.798929608122037</v>
      </c>
      <c r="C42" s="2">
        <v>45.160000000000004</v>
      </c>
      <c r="D42" s="2">
        <v>58.22</v>
      </c>
      <c r="E42" t="str">
        <f>VLOOKUP(A42,Sheet3!A$1:C$47,3,FALSE)</f>
        <v>Upper-Middle-Income Economies 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</row>
    <row r="43" spans="1:13" x14ac:dyDescent="0.35">
      <c r="A43" s="1" t="s">
        <v>4</v>
      </c>
      <c r="B43" s="2"/>
      <c r="C43" s="2"/>
      <c r="D43" s="2">
        <v>3.98</v>
      </c>
      <c r="E43" t="str">
        <f>VLOOKUP(A43,Sheet3!A$1:C$47,3,FALSE)</f>
        <v>Low-Income Economies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</row>
    <row r="44" spans="1:13" x14ac:dyDescent="0.35">
      <c r="A44" s="1" t="s">
        <v>13</v>
      </c>
      <c r="B44" s="2">
        <v>3.8527041010983769</v>
      </c>
      <c r="C44" s="2">
        <v>5.2200000000000006</v>
      </c>
      <c r="D44" s="2">
        <v>5.7800000000000011</v>
      </c>
      <c r="E44" t="str">
        <f>VLOOKUP(A44,Sheet3!A$1:C$47,3,FALSE)</f>
        <v>Low-Income Economies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</row>
    <row r="45" spans="1:13" x14ac:dyDescent="0.35">
      <c r="A45" s="1" t="s">
        <v>28</v>
      </c>
      <c r="B45" s="2">
        <v>7.7783344452635923</v>
      </c>
      <c r="C45" s="2">
        <v>16.64</v>
      </c>
      <c r="D45" s="2">
        <v>22.18</v>
      </c>
      <c r="E45" t="str">
        <f>VLOOKUP(A45,Sheet3!A$1:C$47,3,FALSE)</f>
        <v>Low-Income Economies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</row>
    <row r="46" spans="1:13" x14ac:dyDescent="0.35">
      <c r="A46" s="1" t="s">
        <v>12</v>
      </c>
      <c r="B46" s="2">
        <v>3.6707103864901218</v>
      </c>
      <c r="C46" s="2">
        <v>5.3699999999999992</v>
      </c>
      <c r="D46" s="2">
        <v>6</v>
      </c>
      <c r="E46" t="str">
        <f>VLOOKUP(A46,Sheet3!A$1:C$47,3,FALSE)</f>
        <v>Lower-Middle-Income Economies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</row>
    <row r="47" spans="1:13" x14ac:dyDescent="0.35">
      <c r="A47" s="1" t="s">
        <v>41</v>
      </c>
      <c r="B47" s="2">
        <v>19.630162807040744</v>
      </c>
      <c r="C47" s="2">
        <v>8.7200000000000006</v>
      </c>
      <c r="D47" s="2">
        <v>21.590000000000003</v>
      </c>
      <c r="E47" t="str">
        <f>VLOOKUP(A47,Sheet3!A$1:C$47,3,FALSE)</f>
        <v>Lower-Middle-Income Economies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 x14ac:dyDescent="0.35">
      <c r="A48" s="1" t="s">
        <v>30</v>
      </c>
      <c r="B48" s="2">
        <v>9.4752729160961806</v>
      </c>
      <c r="C48" s="2">
        <v>15.530000000000001</v>
      </c>
      <c r="D48" s="2">
        <v>26.46</v>
      </c>
      <c r="E48" t="str">
        <f>VLOOKUP(A48,Sheet3!A$1:C$47,3,FALSE)</f>
        <v>Lower-Middle-Income Economies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</row>
  </sheetData>
  <sortState xmlns:xlrd2="http://schemas.microsoft.com/office/spreadsheetml/2017/richdata2" ref="A2:E48">
    <sortCondition ref="A2:A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HWF density</vt:lpstr>
      <vt:lpstr>HWF density (2)</vt:lpstr>
      <vt:lpstr>Sheet1</vt:lpstr>
      <vt:lpstr>Sheet3</vt:lpstr>
      <vt:lpstr>Sheet5</vt:lpstr>
      <vt:lpstr>HRH with economic blocks</vt:lpstr>
      <vt:lpstr>HWF density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2024-02-01T06:58:37Z</dcterms:created>
  <dcterms:modified xsi:type="dcterms:W3CDTF">2024-02-15T08:02:17Z</dcterms:modified>
</cp:coreProperties>
</file>