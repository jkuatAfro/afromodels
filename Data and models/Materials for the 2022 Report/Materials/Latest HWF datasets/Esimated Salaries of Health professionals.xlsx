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78676BB1-53B3-43FB-B5AF-215D1685990E}" xr6:coauthVersionLast="47" xr6:coauthVersionMax="47" xr10:uidLastSave="{00000000-0000-0000-0000-000000000000}"/>
  <bookViews>
    <workbookView xWindow="-110" yWindow="-110" windowWidth="19420" windowHeight="10300" firstSheet="8" activeTab="11" xr2:uid="{B4346FEA-C1DF-7444-9611-FB6402C06676}"/>
  </bookViews>
  <sheets>
    <sheet name="Population 7 Sept 2021" sheetId="8" r:id="rId1"/>
    <sheet name="GDP per capita 7 sept 2021" sheetId="7" r:id="rId2"/>
    <sheet name="AFRO" sheetId="1" r:id="rId3"/>
    <sheet name="Health buget allocated to HRH" sheetId="17" r:id="rId4"/>
    <sheet name="Income relativities in Lesotho" sheetId="10" r:id="rId5"/>
    <sheet name="ESA_USD" sheetId="3" r:id="rId6"/>
    <sheet name="Data for correlation" sheetId="15" r:id="rId7"/>
    <sheet name="ESA_Int$ PPP" sheetId="6" r:id="rId8"/>
    <sheet name="Wage Index_ESA" sheetId="4" r:id="rId9"/>
    <sheet name="Training and employments" sheetId="9" r:id="rId10"/>
    <sheet name="Sheet2" sheetId="2" r:id="rId11"/>
    <sheet name="PPP conversion factor" sheetId="5" r:id="rId12"/>
    <sheet name="Cross-country relativities-USD" sheetId="11" r:id="rId13"/>
    <sheet name="Cross-country relativities-Int$" sheetId="14" r:id="rId14"/>
    <sheet name="Cross country wage index" sheetId="12" r:id="rId15"/>
    <sheet name="Global Wage Index _ ILO 2017" sheetId="13" r:id="rId16"/>
    <sheet name="Correlation-GDP vs cadres" sheetId="16" r:id="rId17"/>
  </sheets>
  <externalReferences>
    <externalReference r:id="rId18"/>
    <externalReference r:id="rId19"/>
    <externalReference r:id="rId20"/>
  </externalReferences>
  <definedNames>
    <definedName name="_xlnm._FilterDatabase" localSheetId="16" hidden="1">'Correlation-GDP vs cadres'!$A$49:$D$127</definedName>
    <definedName name="_xlnm._FilterDatabase" localSheetId="3" hidden="1">'Health buget allocated to HRH'!$A$1:$D$22</definedName>
    <definedName name="_xlnm._FilterDatabase" localSheetId="11" hidden="1">'PPP conversion factor'!$A$4:$AK$268</definedName>
    <definedName name="_Hlk24031923" localSheetId="10">Sheet2!$C$10</definedName>
    <definedName name="Cost_drivers">'[1]2_Cost drivers &amp; standard cost'!$C$5:$C$40</definedName>
    <definedName name="Cost_reference_table">'[1]2_Cost drivers &amp; standard cost'!$C$4:$U$40</definedName>
    <definedName name="Country_Name">'[1]1_Stratgies and interventions'!$L$9:$L$25</definedName>
    <definedName name="CPI">[1]CPI!$A$4:$M$269</definedName>
    <definedName name="Exchange_rate">[2]Basic_Inputs!$D$23</definedName>
    <definedName name="Official_exchange_rate">'[1]Official Xch rate'!$A$1:$I$19</definedName>
    <definedName name="OLE_LINK1" localSheetId="2">AFRO!$C$8</definedName>
    <definedName name="OLE_LINK1" localSheetId="7">'ESA_Int$ PPP'!$C$8</definedName>
    <definedName name="OLE_LINK1" localSheetId="5">ESA_USD!$C$8</definedName>
    <definedName name="PPP_conversion_factor">'[1]Price PPP Conversion'!$A$2:$N$18</definedName>
    <definedName name="Strategic_Direction">'[1]1_Stratgies and interventions'!$D$9:$D$13</definedName>
    <definedName name="Threshohod_Low_density">'[3]Need and Supply'!$D$44</definedName>
    <definedName name="Zero_reduction">'[1]3_Main_Costing the Plan'!$M$4</definedName>
  </definedNames>
  <calcPr calcId="191029"/>
  <pivotCaches>
    <pivotCache cacheId="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7" l="1"/>
  <c r="U10" i="3" l="1"/>
  <c r="U9" i="3"/>
  <c r="U8" i="3"/>
  <c r="U7" i="3"/>
  <c r="R5" i="3"/>
  <c r="R6" i="3"/>
  <c r="R7" i="3"/>
  <c r="R8" i="3"/>
  <c r="R9" i="3"/>
  <c r="R10" i="3"/>
  <c r="R11" i="3"/>
  <c r="R12" i="3"/>
  <c r="R13" i="3"/>
  <c r="R14" i="3"/>
  <c r="R15" i="3"/>
  <c r="R4" i="3"/>
  <c r="H5" i="11" l="1"/>
  <c r="I5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I4" i="11"/>
  <c r="H4" i="11"/>
  <c r="G5" i="11"/>
  <c r="G6" i="11"/>
  <c r="G7" i="11"/>
  <c r="G8" i="11"/>
  <c r="G9" i="11"/>
  <c r="G10" i="11"/>
  <c r="G11" i="11"/>
  <c r="G12" i="11"/>
  <c r="G13" i="11"/>
  <c r="G14" i="11"/>
  <c r="G15" i="11"/>
  <c r="G4" i="11"/>
  <c r="Q6" i="4"/>
  <c r="Q7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17" i="4"/>
  <c r="D16" i="4"/>
  <c r="D15" i="4"/>
  <c r="D14" i="4"/>
  <c r="D13" i="4"/>
  <c r="D12" i="4"/>
  <c r="D11" i="4"/>
  <c r="D10" i="4"/>
  <c r="D9" i="4"/>
  <c r="D8" i="4"/>
  <c r="D7" i="4"/>
  <c r="D6" i="4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N15" i="6"/>
  <c r="M15" i="6"/>
  <c r="L15" i="6"/>
  <c r="K15" i="6"/>
  <c r="J15" i="6"/>
  <c r="I15" i="6"/>
  <c r="H15" i="6"/>
  <c r="G15" i="6"/>
  <c r="F15" i="6"/>
  <c r="E15" i="6"/>
  <c r="D15" i="6"/>
  <c r="C15" i="6"/>
  <c r="O15" i="6" s="1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O13" i="6" s="1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O12" i="6" s="1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O11" i="6" s="1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O9" i="6" s="1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O8" i="6" s="1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O5" i="6" s="1"/>
  <c r="J5" i="6"/>
  <c r="I5" i="6"/>
  <c r="H5" i="6"/>
  <c r="G5" i="6"/>
  <c r="F5" i="6"/>
  <c r="E5" i="6"/>
  <c r="D5" i="6"/>
  <c r="C5" i="6"/>
  <c r="N4" i="6"/>
  <c r="M4" i="6"/>
  <c r="L4" i="6"/>
  <c r="K4" i="6"/>
  <c r="J4" i="6"/>
  <c r="I4" i="6"/>
  <c r="H4" i="6"/>
  <c r="G4" i="6"/>
  <c r="F4" i="6"/>
  <c r="E4" i="6"/>
  <c r="D4" i="6"/>
  <c r="C4" i="6"/>
  <c r="O14" i="6"/>
  <c r="O10" i="6"/>
  <c r="O6" i="6"/>
  <c r="O7" i="6" l="1"/>
  <c r="G19" i="6"/>
  <c r="J21" i="6"/>
  <c r="L19" i="6"/>
  <c r="C19" i="6"/>
  <c r="D16" i="6"/>
  <c r="E18" i="6"/>
  <c r="I17" i="6"/>
  <c r="K18" i="6"/>
  <c r="M21" i="6"/>
  <c r="N18" i="6"/>
  <c r="F17" i="6"/>
  <c r="N21" i="6"/>
  <c r="G18" i="6"/>
  <c r="H21" i="6"/>
  <c r="H22" i="6" s="1"/>
  <c r="K17" i="6"/>
  <c r="J16" i="6"/>
  <c r="K19" i="6"/>
  <c r="F16" i="6"/>
  <c r="F19" i="6"/>
  <c r="H16" i="6"/>
  <c r="I16" i="6"/>
  <c r="K16" i="6"/>
  <c r="K27" i="6" s="1"/>
  <c r="J19" i="6"/>
  <c r="E21" i="6"/>
  <c r="F21" i="6"/>
  <c r="L18" i="6"/>
  <c r="K21" i="6"/>
  <c r="J17" i="6"/>
  <c r="G16" i="6"/>
  <c r="G27" i="6" s="1"/>
  <c r="M17" i="6"/>
  <c r="N17" i="6"/>
  <c r="I19" i="6"/>
  <c r="D21" i="6"/>
  <c r="L16" i="6"/>
  <c r="L27" i="6" s="1"/>
  <c r="M16" i="6"/>
  <c r="M27" i="6" s="1"/>
  <c r="N16" i="6"/>
  <c r="N27" i="6" s="1"/>
  <c r="G21" i="6"/>
  <c r="I18" i="6"/>
  <c r="E17" i="6"/>
  <c r="G17" i="6"/>
  <c r="H17" i="6"/>
  <c r="M18" i="6"/>
  <c r="L21" i="6"/>
  <c r="E16" i="6"/>
  <c r="E27" i="6" s="1"/>
  <c r="D19" i="6"/>
  <c r="E19" i="6"/>
  <c r="L17" i="6"/>
  <c r="H19" i="6"/>
  <c r="D18" i="6"/>
  <c r="F18" i="6"/>
  <c r="H18" i="6"/>
  <c r="M19" i="6"/>
  <c r="D17" i="6"/>
  <c r="N19" i="6"/>
  <c r="J18" i="6"/>
  <c r="I21" i="6"/>
  <c r="C21" i="6"/>
  <c r="C16" i="6"/>
  <c r="C27" i="6" s="1"/>
  <c r="C18" i="6"/>
  <c r="O4" i="6"/>
  <c r="O17" i="6" s="1"/>
  <c r="C17" i="6"/>
  <c r="D27" i="6"/>
  <c r="F27" i="6"/>
  <c r="M22" i="6" l="1"/>
  <c r="J22" i="6"/>
  <c r="D22" i="6"/>
  <c r="D24" i="6" s="1"/>
  <c r="D29" i="6" s="1"/>
  <c r="I22" i="6"/>
  <c r="M24" i="6"/>
  <c r="M29" i="6" s="1"/>
  <c r="K22" i="6"/>
  <c r="K24" i="6" s="1"/>
  <c r="K29" i="6" s="1"/>
  <c r="M23" i="6"/>
  <c r="M28" i="6" s="1"/>
  <c r="J23" i="6"/>
  <c r="J28" i="6" s="1"/>
  <c r="I23" i="6"/>
  <c r="I28" i="6" s="1"/>
  <c r="I27" i="6"/>
  <c r="I24" i="6"/>
  <c r="I29" i="6" s="1"/>
  <c r="H27" i="6"/>
  <c r="H24" i="6"/>
  <c r="H29" i="6" s="1"/>
  <c r="H23" i="6"/>
  <c r="H28" i="6" s="1"/>
  <c r="G24" i="6"/>
  <c r="G29" i="6" s="1"/>
  <c r="E24" i="6"/>
  <c r="E29" i="6" s="1"/>
  <c r="L22" i="6"/>
  <c r="L24" i="6" s="1"/>
  <c r="L29" i="6" s="1"/>
  <c r="J24" i="6"/>
  <c r="J29" i="6" s="1"/>
  <c r="J27" i="6"/>
  <c r="N22" i="6"/>
  <c r="G22" i="6"/>
  <c r="G23" i="6" s="1"/>
  <c r="G28" i="6" s="1"/>
  <c r="D23" i="6"/>
  <c r="D28" i="6" s="1"/>
  <c r="F22" i="6"/>
  <c r="F23" i="6" s="1"/>
  <c r="F28" i="6" s="1"/>
  <c r="E22" i="6"/>
  <c r="E23" i="6" s="1"/>
  <c r="E28" i="6" s="1"/>
  <c r="O21" i="6"/>
  <c r="O16" i="6"/>
  <c r="C22" i="6"/>
  <c r="C24" i="6" s="1"/>
  <c r="C29" i="6" s="1"/>
  <c r="K23" i="6" l="1"/>
  <c r="K28" i="6" s="1"/>
  <c r="L23" i="6"/>
  <c r="L28" i="6" s="1"/>
  <c r="N24" i="6"/>
  <c r="N29" i="6" s="1"/>
  <c r="N23" i="6"/>
  <c r="N28" i="6" s="1"/>
  <c r="F24" i="6"/>
  <c r="F29" i="6" s="1"/>
  <c r="O27" i="6"/>
  <c r="C23" i="6"/>
  <c r="C28" i="6" s="1"/>
  <c r="O22" i="6"/>
  <c r="O23" i="6" s="1"/>
  <c r="O28" i="6" s="1"/>
  <c r="O24" i="6" l="1"/>
  <c r="O29" i="6" s="1"/>
  <c r="E7" i="4" l="1"/>
  <c r="F7" i="4"/>
  <c r="G7" i="4"/>
  <c r="H7" i="4"/>
  <c r="I7" i="4"/>
  <c r="J7" i="4"/>
  <c r="K7" i="4"/>
  <c r="L7" i="4"/>
  <c r="M7" i="4"/>
  <c r="N7" i="4"/>
  <c r="O7" i="4"/>
  <c r="P7" i="4"/>
  <c r="E8" i="4"/>
  <c r="F8" i="4"/>
  <c r="G8" i="4"/>
  <c r="H8" i="4"/>
  <c r="I8" i="4"/>
  <c r="J8" i="4"/>
  <c r="K8" i="4"/>
  <c r="L8" i="4"/>
  <c r="M8" i="4"/>
  <c r="N8" i="4"/>
  <c r="O8" i="4"/>
  <c r="P8" i="4"/>
  <c r="E9" i="4"/>
  <c r="F9" i="4"/>
  <c r="G9" i="4"/>
  <c r="H9" i="4"/>
  <c r="I9" i="4"/>
  <c r="I20" i="4" s="1"/>
  <c r="J9" i="4"/>
  <c r="K9" i="4"/>
  <c r="L9" i="4"/>
  <c r="M9" i="4"/>
  <c r="N9" i="4"/>
  <c r="O9" i="4"/>
  <c r="P9" i="4"/>
  <c r="E10" i="4"/>
  <c r="F10" i="4"/>
  <c r="G10" i="4"/>
  <c r="H10" i="4"/>
  <c r="I10" i="4"/>
  <c r="J10" i="4"/>
  <c r="K10" i="4"/>
  <c r="L10" i="4"/>
  <c r="M10" i="4"/>
  <c r="M18" i="4" s="1"/>
  <c r="N10" i="4"/>
  <c r="O10" i="4"/>
  <c r="O18" i="4" s="1"/>
  <c r="P10" i="4"/>
  <c r="E11" i="4"/>
  <c r="F11" i="4"/>
  <c r="G11" i="4"/>
  <c r="H11" i="4"/>
  <c r="I11" i="4"/>
  <c r="J11" i="4"/>
  <c r="Q11" i="4" s="1"/>
  <c r="K11" i="4"/>
  <c r="L11" i="4"/>
  <c r="M11" i="4"/>
  <c r="N11" i="4"/>
  <c r="O11" i="4"/>
  <c r="P11" i="4"/>
  <c r="E12" i="4"/>
  <c r="F12" i="4"/>
  <c r="G12" i="4"/>
  <c r="G19" i="4" s="1"/>
  <c r="H12" i="4"/>
  <c r="I12" i="4"/>
  <c r="J12" i="4"/>
  <c r="K12" i="4"/>
  <c r="L12" i="4"/>
  <c r="M12" i="4"/>
  <c r="N12" i="4"/>
  <c r="O12" i="4"/>
  <c r="P12" i="4"/>
  <c r="E13" i="4"/>
  <c r="F13" i="4"/>
  <c r="G13" i="4"/>
  <c r="H13" i="4"/>
  <c r="I13" i="4"/>
  <c r="I19" i="4" s="1"/>
  <c r="J13" i="4"/>
  <c r="K13" i="4"/>
  <c r="K20" i="4" s="1"/>
  <c r="L13" i="4"/>
  <c r="M13" i="4"/>
  <c r="N13" i="4"/>
  <c r="O13" i="4"/>
  <c r="P13" i="4"/>
  <c r="E14" i="4"/>
  <c r="F14" i="4"/>
  <c r="Q14" i="4" s="1"/>
  <c r="G14" i="4"/>
  <c r="H14" i="4"/>
  <c r="I14" i="4"/>
  <c r="J14" i="4"/>
  <c r="K14" i="4"/>
  <c r="L14" i="4"/>
  <c r="M14" i="4"/>
  <c r="N14" i="4"/>
  <c r="O14" i="4"/>
  <c r="P14" i="4"/>
  <c r="E15" i="4"/>
  <c r="F15" i="4"/>
  <c r="G15" i="4"/>
  <c r="H15" i="4"/>
  <c r="I15" i="4"/>
  <c r="J15" i="4"/>
  <c r="Q15" i="4" s="1"/>
  <c r="K15" i="4"/>
  <c r="L15" i="4"/>
  <c r="M15" i="4"/>
  <c r="N15" i="4"/>
  <c r="O15" i="4"/>
  <c r="P15" i="4"/>
  <c r="E16" i="4"/>
  <c r="F16" i="4"/>
  <c r="G16" i="4"/>
  <c r="H16" i="4"/>
  <c r="I16" i="4"/>
  <c r="J16" i="4"/>
  <c r="K16" i="4"/>
  <c r="L16" i="4"/>
  <c r="M16" i="4"/>
  <c r="N16" i="4"/>
  <c r="O16" i="4"/>
  <c r="P16" i="4"/>
  <c r="E17" i="4"/>
  <c r="F17" i="4"/>
  <c r="G17" i="4"/>
  <c r="H17" i="4"/>
  <c r="I17" i="4"/>
  <c r="J17" i="4"/>
  <c r="K17" i="4"/>
  <c r="Q17" i="4" s="1"/>
  <c r="L17" i="4"/>
  <c r="M17" i="4"/>
  <c r="N17" i="4"/>
  <c r="O17" i="4"/>
  <c r="P17" i="4"/>
  <c r="F6" i="4"/>
  <c r="G6" i="4"/>
  <c r="H6" i="4"/>
  <c r="I6" i="4"/>
  <c r="J6" i="4"/>
  <c r="K6" i="4"/>
  <c r="L6" i="4"/>
  <c r="M6" i="4"/>
  <c r="M20" i="4" s="1"/>
  <c r="N6" i="4"/>
  <c r="O6" i="4"/>
  <c r="P6" i="4"/>
  <c r="E6" i="4"/>
  <c r="E21" i="4" s="1"/>
  <c r="F21" i="4" l="1"/>
  <c r="Q16" i="4"/>
  <c r="F18" i="4"/>
  <c r="N20" i="4"/>
  <c r="Q13" i="4"/>
  <c r="Q9" i="4"/>
  <c r="J18" i="4"/>
  <c r="Q10" i="4"/>
  <c r="N19" i="4"/>
  <c r="E18" i="4"/>
  <c r="Q19" i="4"/>
  <c r="J20" i="4"/>
  <c r="E19" i="4"/>
  <c r="P23" i="4"/>
  <c r="Q12" i="4"/>
  <c r="F19" i="4"/>
  <c r="O23" i="4"/>
  <c r="N23" i="4"/>
  <c r="M23" i="4"/>
  <c r="J19" i="4"/>
  <c r="N18" i="4"/>
  <c r="O20" i="4"/>
  <c r="P20" i="4"/>
  <c r="H19" i="4"/>
  <c r="K19" i="4"/>
  <c r="G21" i="4"/>
  <c r="L23" i="4"/>
  <c r="G18" i="4"/>
  <c r="H18" i="4"/>
  <c r="M19" i="4"/>
  <c r="I21" i="4"/>
  <c r="E23" i="4"/>
  <c r="J23" i="4"/>
  <c r="J24" i="4" s="1"/>
  <c r="J25" i="4" s="1"/>
  <c r="I18" i="4"/>
  <c r="J21" i="4"/>
  <c r="F23" i="4"/>
  <c r="O19" i="4"/>
  <c r="K21" i="4"/>
  <c r="G23" i="4"/>
  <c r="G24" i="4" s="1"/>
  <c r="Q8" i="4"/>
  <c r="K18" i="4"/>
  <c r="P19" i="4"/>
  <c r="L21" i="4"/>
  <c r="H23" i="4"/>
  <c r="H21" i="4"/>
  <c r="L18" i="4"/>
  <c r="E20" i="4"/>
  <c r="M21" i="4"/>
  <c r="I23" i="4"/>
  <c r="L19" i="4"/>
  <c r="F20" i="4"/>
  <c r="L20" i="4"/>
  <c r="G20" i="4"/>
  <c r="K23" i="4"/>
  <c r="H20" i="4"/>
  <c r="N21" i="4"/>
  <c r="P24" i="4"/>
  <c r="O21" i="4"/>
  <c r="P21" i="4"/>
  <c r="P18" i="4"/>
  <c r="F27" i="3"/>
  <c r="G27" i="3"/>
  <c r="H27" i="3"/>
  <c r="N27" i="3"/>
  <c r="O15" i="3"/>
  <c r="O14" i="3"/>
  <c r="O13" i="3"/>
  <c r="O12" i="3"/>
  <c r="O16" i="3" s="1"/>
  <c r="O27" i="3" s="1"/>
  <c r="O11" i="3"/>
  <c r="O10" i="3"/>
  <c r="O9" i="3"/>
  <c r="O8" i="3"/>
  <c r="O7" i="3"/>
  <c r="O6" i="3"/>
  <c r="O5" i="3"/>
  <c r="O4" i="3"/>
  <c r="O21" i="3" s="1"/>
  <c r="N21" i="3"/>
  <c r="N22" i="3" s="1"/>
  <c r="M21" i="3"/>
  <c r="L21" i="3"/>
  <c r="K21" i="3"/>
  <c r="K22" i="3" s="1"/>
  <c r="J21" i="3"/>
  <c r="J22" i="3" s="1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M27" i="3" s="1"/>
  <c r="L16" i="3"/>
  <c r="L27" i="3" s="1"/>
  <c r="K16" i="3"/>
  <c r="K27" i="3" s="1"/>
  <c r="J16" i="3"/>
  <c r="J27" i="3" s="1"/>
  <c r="I16" i="3"/>
  <c r="I27" i="3" s="1"/>
  <c r="H16" i="3"/>
  <c r="G16" i="3"/>
  <c r="F16" i="3"/>
  <c r="E16" i="3"/>
  <c r="E27" i="3" s="1"/>
  <c r="D16" i="3"/>
  <c r="D27" i="3" s="1"/>
  <c r="C16" i="3"/>
  <c r="C27" i="3" s="1"/>
  <c r="H24" i="4" l="1"/>
  <c r="Q23" i="4"/>
  <c r="L24" i="4"/>
  <c r="I24" i="4"/>
  <c r="I26" i="4" s="1"/>
  <c r="E24" i="4"/>
  <c r="E25" i="4" s="1"/>
  <c r="H25" i="4"/>
  <c r="F24" i="4"/>
  <c r="F25" i="4" s="1"/>
  <c r="G25" i="4"/>
  <c r="O24" i="4"/>
  <c r="O26" i="4" s="1"/>
  <c r="L22" i="3"/>
  <c r="O17" i="3"/>
  <c r="P25" i="4"/>
  <c r="L25" i="4"/>
  <c r="M24" i="4"/>
  <c r="O20" i="3"/>
  <c r="O22" i="3" s="1"/>
  <c r="N24" i="4"/>
  <c r="N26" i="4" s="1"/>
  <c r="C22" i="3"/>
  <c r="C24" i="3" s="1"/>
  <c r="C29" i="3" s="1"/>
  <c r="D22" i="3"/>
  <c r="D23" i="3" s="1"/>
  <c r="D28" i="3" s="1"/>
  <c r="E22" i="3"/>
  <c r="E23" i="3" s="1"/>
  <c r="E28" i="3" s="1"/>
  <c r="F22" i="3"/>
  <c r="F23" i="3" s="1"/>
  <c r="F28" i="3" s="1"/>
  <c r="J26" i="4"/>
  <c r="K24" i="4"/>
  <c r="L26" i="4"/>
  <c r="P26" i="4"/>
  <c r="Q18" i="4"/>
  <c r="G26" i="4"/>
  <c r="I25" i="4"/>
  <c r="H26" i="4"/>
  <c r="H22" i="3"/>
  <c r="H24" i="3" s="1"/>
  <c r="H29" i="3" s="1"/>
  <c r="I22" i="3"/>
  <c r="I24" i="3" s="1"/>
  <c r="I29" i="3" s="1"/>
  <c r="M22" i="3"/>
  <c r="J23" i="3"/>
  <c r="J28" i="3" s="1"/>
  <c r="G22" i="3"/>
  <c r="K23" i="3"/>
  <c r="K28" i="3" s="1"/>
  <c r="L24" i="3"/>
  <c r="L29" i="3" s="1"/>
  <c r="N24" i="3"/>
  <c r="N29" i="3" s="1"/>
  <c r="L23" i="3"/>
  <c r="L28" i="3" s="1"/>
  <c r="G23" i="3"/>
  <c r="G28" i="3" s="1"/>
  <c r="M24" i="3"/>
  <c r="M29" i="3" s="1"/>
  <c r="M23" i="3"/>
  <c r="M28" i="3" s="1"/>
  <c r="K24" i="3"/>
  <c r="K29" i="3" s="1"/>
  <c r="N23" i="3"/>
  <c r="N28" i="3" s="1"/>
  <c r="C23" i="3"/>
  <c r="C28" i="3" s="1"/>
  <c r="D24" i="3"/>
  <c r="D29" i="3" s="1"/>
  <c r="G24" i="3"/>
  <c r="G29" i="3" s="1"/>
  <c r="J24" i="3"/>
  <c r="J29" i="3" s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10" i="2"/>
  <c r="E26" i="4" l="1"/>
  <c r="F26" i="4"/>
  <c r="Q24" i="4"/>
  <c r="O25" i="4"/>
  <c r="N25" i="4"/>
  <c r="O24" i="3"/>
  <c r="O29" i="3" s="1"/>
  <c r="O23" i="3"/>
  <c r="O28" i="3" s="1"/>
  <c r="H23" i="3"/>
  <c r="H28" i="3" s="1"/>
  <c r="Q25" i="4"/>
  <c r="M26" i="4"/>
  <c r="M25" i="4"/>
  <c r="I23" i="3"/>
  <c r="I28" i="3" s="1"/>
  <c r="F24" i="3"/>
  <c r="F29" i="3" s="1"/>
  <c r="E24" i="3"/>
  <c r="E29" i="3" s="1"/>
  <c r="Q26" i="4"/>
  <c r="K25" i="4"/>
  <c r="K26" i="4"/>
  <c r="D17" i="1"/>
  <c r="E17" i="1"/>
  <c r="F17" i="1"/>
  <c r="G17" i="1"/>
  <c r="H17" i="1"/>
  <c r="I17" i="1"/>
  <c r="J17" i="1"/>
  <c r="K17" i="1"/>
  <c r="L17" i="1"/>
  <c r="M17" i="1"/>
  <c r="N17" i="1"/>
  <c r="D18" i="1"/>
  <c r="E18" i="1"/>
  <c r="F18" i="1"/>
  <c r="G18" i="1"/>
  <c r="H18" i="1"/>
  <c r="I18" i="1"/>
  <c r="J18" i="1"/>
  <c r="K18" i="1"/>
  <c r="L18" i="1"/>
  <c r="M18" i="1"/>
  <c r="N18" i="1"/>
  <c r="D19" i="1"/>
  <c r="E19" i="1"/>
  <c r="F19" i="1"/>
  <c r="G19" i="1"/>
  <c r="H19" i="1"/>
  <c r="I19" i="1"/>
  <c r="J19" i="1"/>
  <c r="K19" i="1"/>
  <c r="L19" i="1"/>
  <c r="M19" i="1"/>
  <c r="N19" i="1"/>
  <c r="D20" i="1"/>
  <c r="E20" i="1"/>
  <c r="F20" i="1"/>
  <c r="G20" i="1"/>
  <c r="H20" i="1"/>
  <c r="I20" i="1"/>
  <c r="J20" i="1"/>
  <c r="K20" i="1"/>
  <c r="L20" i="1"/>
  <c r="M20" i="1"/>
  <c r="N20" i="1"/>
  <c r="D21" i="1"/>
  <c r="E21" i="1"/>
  <c r="F21" i="1"/>
  <c r="G21" i="1"/>
  <c r="H21" i="1"/>
  <c r="I21" i="1"/>
  <c r="J21" i="1"/>
  <c r="K21" i="1"/>
  <c r="L21" i="1"/>
  <c r="M21" i="1"/>
  <c r="N21" i="1"/>
  <c r="D22" i="1"/>
  <c r="E22" i="1"/>
  <c r="F22" i="1"/>
  <c r="G22" i="1"/>
  <c r="H22" i="1"/>
  <c r="I22" i="1"/>
  <c r="J22" i="1"/>
  <c r="K22" i="1"/>
  <c r="L22" i="1"/>
  <c r="M22" i="1"/>
  <c r="N22" i="1"/>
  <c r="C22" i="1"/>
  <c r="C21" i="1"/>
  <c r="C20" i="1"/>
  <c r="C19" i="1"/>
  <c r="C18" i="1"/>
  <c r="C17" i="1"/>
  <c r="H23" i="1" l="1"/>
  <c r="H24" i="1" s="1"/>
  <c r="J23" i="1"/>
  <c r="J25" i="1" s="1"/>
  <c r="K23" i="1"/>
  <c r="K24" i="1" s="1"/>
  <c r="G23" i="1"/>
  <c r="G25" i="1" s="1"/>
  <c r="I23" i="1"/>
  <c r="I24" i="1" s="1"/>
  <c r="C23" i="1"/>
  <c r="C24" i="1" s="1"/>
  <c r="M23" i="1"/>
  <c r="M25" i="1" s="1"/>
  <c r="E23" i="1"/>
  <c r="E24" i="1" s="1"/>
  <c r="D23" i="1"/>
  <c r="D25" i="1" s="1"/>
  <c r="N23" i="1"/>
  <c r="N25" i="1" s="1"/>
  <c r="L23" i="1"/>
  <c r="L25" i="1" s="1"/>
  <c r="K25" i="1"/>
  <c r="C25" i="1"/>
  <c r="I25" i="1"/>
  <c r="D24" i="1"/>
  <c r="F23" i="1"/>
  <c r="F25" i="1" s="1"/>
  <c r="H25" i="1"/>
  <c r="J24" i="1" l="1"/>
  <c r="G24" i="1"/>
  <c r="M24" i="1"/>
  <c r="E25" i="1"/>
  <c r="N24" i="1"/>
  <c r="L24" i="1"/>
  <c r="F24" i="1"/>
</calcChain>
</file>

<file path=xl/sharedStrings.xml><?xml version="1.0" encoding="utf-8"?>
<sst xmlns="http://schemas.openxmlformats.org/spreadsheetml/2006/main" count="4045" uniqueCount="832">
  <si>
    <t>Physicians generalists</t>
  </si>
  <si>
    <t>Physicians specialists</t>
  </si>
  <si>
    <t>Nurses</t>
  </si>
  <si>
    <t>Midwives</t>
  </si>
  <si>
    <t>Environment and public health workers</t>
  </si>
  <si>
    <t>Community Health workers</t>
  </si>
  <si>
    <t>Zimbabawe</t>
  </si>
  <si>
    <t>South Africa</t>
  </si>
  <si>
    <t>Kenya</t>
  </si>
  <si>
    <t>Namiba</t>
  </si>
  <si>
    <t>Lesotho</t>
  </si>
  <si>
    <t>Ethiopia</t>
  </si>
  <si>
    <t>Sierra Leone</t>
  </si>
  <si>
    <t>Seychelles</t>
  </si>
  <si>
    <t>Rwanda</t>
  </si>
  <si>
    <t>Botswana</t>
  </si>
  <si>
    <t>Malawi</t>
  </si>
  <si>
    <t>Eswatini</t>
  </si>
  <si>
    <t>Last Year Available</t>
  </si>
  <si>
    <t>No</t>
  </si>
  <si>
    <t>Country</t>
  </si>
  <si>
    <t xml:space="preserve">Dentists </t>
  </si>
  <si>
    <t xml:space="preserve">Pharmacists </t>
  </si>
  <si>
    <t>Laboratory Scientists</t>
  </si>
  <si>
    <t>Radiographers</t>
  </si>
  <si>
    <t>Physiotherapist</t>
  </si>
  <si>
    <t>Mean</t>
  </si>
  <si>
    <t>Min</t>
  </si>
  <si>
    <t>Max</t>
  </si>
  <si>
    <t>Median</t>
  </si>
  <si>
    <t>N</t>
  </si>
  <si>
    <t>SD</t>
  </si>
  <si>
    <t>SEM</t>
  </si>
  <si>
    <t>95% LCL</t>
  </si>
  <si>
    <t>95% UCL</t>
  </si>
  <si>
    <t>Clinical Officer/Physician Assistant</t>
  </si>
  <si>
    <t>Health worker category</t>
  </si>
  <si>
    <t>Medical Specialists</t>
  </si>
  <si>
    <t>Medical Practitioners</t>
  </si>
  <si>
    <t>Professional Nurse</t>
  </si>
  <si>
    <t>Enrolled Nurses</t>
  </si>
  <si>
    <t>Nursing Assistants</t>
  </si>
  <si>
    <t>Student Nurse</t>
  </si>
  <si>
    <t>Occupational Therapy</t>
  </si>
  <si>
    <t>Physiotherapy</t>
  </si>
  <si>
    <t>Speech Therapy &amp; Audiology</t>
  </si>
  <si>
    <t>Psychologists &amp; Vocational Counsellors</t>
  </si>
  <si>
    <t>Radiography</t>
  </si>
  <si>
    <t>Pharmacists</t>
  </si>
  <si>
    <t>Pharmaceutical Assistants</t>
  </si>
  <si>
    <t>Community Health Workers</t>
  </si>
  <si>
    <t>1302849</t>
  </si>
  <si>
    <t>981843</t>
  </si>
  <si>
    <t>461759</t>
  </si>
  <si>
    <t>297428</t>
  </si>
  <si>
    <t>227965</t>
  </si>
  <si>
    <t>192623</t>
  </si>
  <si>
    <t>546180</t>
  </si>
  <si>
    <t>876957</t>
  </si>
  <si>
    <t>773730</t>
  </si>
  <si>
    <t>253427</t>
  </si>
  <si>
    <t>42000</t>
  </si>
  <si>
    <t>Zambia</t>
  </si>
  <si>
    <t>Source</t>
  </si>
  <si>
    <t>NHWA</t>
  </si>
  <si>
    <t xml:space="preserve">SADC </t>
  </si>
  <si>
    <t>HLMA</t>
  </si>
  <si>
    <t>SADC</t>
  </si>
  <si>
    <t>Data Source</t>
  </si>
  <si>
    <t>Average</t>
  </si>
  <si>
    <t>Average Monthly Income (Before Tax)</t>
  </si>
  <si>
    <t>Descriptive Analysis of salaries of health workers in Eastern and Southern Africa</t>
  </si>
  <si>
    <t>GDP Per capita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</si>
  <si>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</si>
  <si>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</si>
  <si>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</si>
  <si>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</si>
  <si>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</si>
  <si>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</si>
  <si>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</si>
  <si>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</si>
  <si>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</si>
  <si>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</si>
  <si>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</si>
  <si>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</si>
  <si>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</si>
  <si>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</si>
  <si>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</si>
  <si>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</si>
  <si>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</si>
  <si>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</si>
  <si>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</si>
  <si>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</si>
  <si>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</si>
  <si>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</si>
  <si>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</si>
  <si>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</si>
  <si>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</si>
  <si>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</si>
  <si>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</si>
  <si>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</si>
  <si>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</si>
  <si>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</si>
  <si>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</si>
  <si>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</si>
  <si>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</si>
  <si>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</si>
  <si>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</si>
  <si>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</si>
  <si>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</si>
  <si>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Aruba</t>
  </si>
  <si>
    <t>ABW</t>
  </si>
  <si>
    <t>Price level ratio of PPP conversion factor (GDP) to market exchange rate</t>
  </si>
  <si>
    <t>PA.NUS.PPPC.RF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</si>
  <si>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</si>
  <si>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</si>
  <si>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</si>
  <si>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</si>
  <si>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</si>
  <si>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</si>
  <si>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</si>
  <si>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</si>
  <si>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</si>
  <si>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</si>
  <si>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</si>
  <si>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</si>
  <si>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</si>
  <si>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</si>
  <si>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</si>
  <si>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</si>
  <si>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</si>
  <si>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</si>
  <si>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</si>
  <si>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</si>
  <si>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</si>
  <si>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</si>
  <si>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</si>
  <si>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</si>
  <si>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</si>
  <si>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</si>
  <si>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</si>
  <si>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</si>
  <si>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</si>
  <si>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</si>
  <si>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</si>
  <si>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</si>
  <si>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</si>
  <si>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</si>
  <si>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</si>
  <si>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</si>
  <si>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</si>
  <si>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</si>
  <si>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</si>
  <si>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</si>
  <si>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</si>
  <si>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</si>
  <si>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</si>
  <si>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</si>
  <si>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</si>
  <si>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</si>
  <si>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</si>
  <si>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</si>
  <si>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</si>
  <si>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</si>
  <si>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</si>
  <si>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</si>
  <si>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</si>
  <si>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</si>
  <si>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</si>
  <si>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</si>
  <si>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</si>
  <si>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</si>
  <si>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</si>
  <si>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</si>
  <si>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</si>
  <si>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</si>
  <si>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</si>
  <si>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</si>
  <si>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</si>
  <si>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</si>
  <si>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</si>
  <si>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</si>
  <si>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</si>
  <si>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</si>
  <si>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</si>
  <si>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</si>
  <si>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</si>
  <si>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</si>
  <si>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</si>
  <si>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</si>
  <si>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</si>
  <si>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</si>
  <si>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</si>
  <si>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</si>
  <si>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</si>
  <si>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</si>
  <si>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</si>
  <si>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</si>
  <si>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</si>
  <si>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</si>
  <si>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</si>
  <si>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</si>
  <si>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</si>
  <si>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</si>
  <si>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</si>
  <si>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</si>
  <si>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</si>
  <si>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</si>
  <si>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</si>
  <si>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</si>
  <si>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</si>
  <si>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</si>
  <si>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</si>
  <si>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</si>
  <si>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</si>
  <si>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</si>
  <si>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</si>
  <si>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</si>
  <si>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</si>
  <si>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</si>
  <si>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</si>
  <si>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</si>
  <si>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</si>
  <si>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</si>
  <si>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</si>
  <si>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</si>
  <si>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</si>
  <si>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</si>
  <si>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</si>
  <si>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</si>
  <si>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</si>
  <si>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</si>
  <si>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</si>
  <si>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</si>
  <si>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</si>
  <si>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</si>
  <si>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</si>
  <si>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</si>
  <si>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</si>
  <si>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</si>
  <si>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</si>
  <si>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</si>
  <si>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</si>
  <si>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</si>
  <si>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</si>
  <si>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</si>
  <si>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</si>
  <si>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</si>
  <si>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</si>
  <si>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</si>
  <si>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</si>
  <si>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</si>
  <si>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</si>
  <si>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</si>
  <si>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</si>
  <si>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</si>
  <si>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</si>
  <si>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</si>
  <si>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</si>
  <si>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</si>
  <si>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</si>
  <si>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</si>
  <si>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</si>
  <si>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</si>
  <si>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</si>
  <si>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</si>
  <si>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</si>
  <si>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</si>
  <si>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</si>
  <si>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</si>
  <si>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</si>
  <si>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</si>
  <si>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</si>
  <si>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</si>
  <si>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</si>
  <si>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</si>
  <si>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</si>
  <si>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</si>
  <si>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</si>
  <si>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</si>
  <si>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</si>
  <si>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</si>
  <si>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</si>
  <si>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</si>
  <si>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</si>
  <si>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</si>
  <si>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</si>
  <si>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</si>
  <si>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</si>
  <si>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</si>
  <si>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</si>
  <si>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</si>
  <si>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</si>
  <si>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</si>
  <si>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</si>
  <si>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</si>
  <si>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</si>
  <si>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</si>
  <si>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</si>
  <si>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</si>
  <si>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</si>
  <si>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</si>
  <si>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</si>
  <si>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</si>
  <si>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</si>
  <si>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</si>
  <si>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</si>
  <si>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</si>
  <si>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</si>
  <si>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</si>
  <si>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</si>
  <si>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</si>
  <si>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</si>
  <si>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</si>
  <si>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</si>
  <si>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</si>
  <si>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</si>
  <si>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</si>
  <si>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</si>
  <si>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</si>
  <si>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</si>
  <si>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</si>
  <si>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</si>
  <si>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</si>
  <si>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</si>
  <si>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</si>
  <si>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</si>
  <si>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</si>
  <si>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</si>
  <si>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</si>
  <si>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</si>
  <si>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</si>
  <si>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</si>
  <si>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</si>
  <si>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</si>
  <si>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</si>
  <si>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</si>
  <si>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</si>
  <si>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</si>
  <si>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</si>
  <si>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</si>
  <si>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</si>
  <si>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</si>
  <si>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</si>
  <si>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</si>
  <si>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</si>
  <si>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</si>
  <si>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</si>
  <si>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</si>
  <si>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</si>
  <si>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</si>
  <si>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</si>
  <si>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</si>
  <si>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</si>
  <si>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</si>
  <si>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</si>
  <si>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</si>
  <si>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</si>
  <si>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</si>
  <si>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</si>
  <si>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</si>
  <si>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</si>
  <si>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</si>
  <si>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</si>
  <si>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</si>
  <si>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</si>
  <si>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</si>
  <si>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</si>
  <si>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</si>
  <si>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</si>
  <si>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</si>
  <si>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</si>
  <si>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</si>
  <si>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</si>
  <si>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</si>
  <si>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</si>
  <si>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</si>
  <si>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</si>
  <si>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</si>
  <si>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</si>
  <si>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</si>
  <si>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</si>
  <si>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</si>
  <si>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</si>
  <si>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</si>
  <si>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</si>
  <si>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</si>
  <si>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</si>
  <si>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</si>
  <si>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</si>
  <si>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</si>
  <si>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</si>
  <si>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</si>
  <si>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</si>
  <si>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</si>
  <si>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</si>
  <si>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</si>
  <si>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</si>
  <si>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</si>
  <si>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</si>
  <si>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</si>
  <si>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</si>
  <si>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</si>
  <si>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</si>
  <si>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</si>
  <si>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</si>
  <si>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</si>
  <si>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</si>
  <si>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</si>
  <si>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</si>
  <si>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</si>
  <si>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</si>
  <si>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</si>
  <si>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</si>
  <si>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</si>
  <si>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</si>
  <si>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</si>
  <si>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</si>
  <si>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</si>
  <si>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</si>
  <si>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</si>
  <si>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</si>
  <si>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</si>
  <si>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</si>
  <si>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</si>
  <si>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</si>
  <si>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</si>
  <si>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</si>
  <si>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</si>
  <si>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</si>
  <si>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</si>
  <si>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</si>
  <si>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</si>
  <si>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</si>
  <si>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</si>
  <si>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</si>
  <si>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</si>
  <si>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</si>
  <si>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</si>
  <si>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</si>
  <si>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</si>
  <si>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</si>
  <si>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</si>
  <si>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</si>
  <si>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</si>
  <si>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</si>
  <si>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</si>
  <si>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</si>
  <si>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</si>
  <si>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</si>
  <si>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</si>
  <si>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</si>
  <si>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</si>
  <si>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</si>
  <si>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</si>
  <si>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</si>
  <si>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</si>
  <si>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</si>
  <si>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</si>
  <si>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</si>
  <si>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</si>
  <si>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</si>
  <si>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</si>
  <si>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</si>
  <si>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</si>
  <si>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</si>
  <si>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</si>
  <si>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</si>
  <si>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</si>
  <si>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</si>
  <si>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</si>
  <si>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</si>
  <si>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</si>
  <si>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</si>
  <si>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</si>
  <si>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</si>
  <si>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</si>
  <si>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</si>
  <si>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</si>
  <si>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</si>
  <si>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</si>
  <si>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</si>
  <si>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</si>
  <si>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</si>
  <si>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</si>
  <si>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</si>
  <si>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</si>
  <si>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</si>
  <si>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</si>
  <si>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</si>
  <si>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</si>
  <si>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</si>
  <si>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</si>
  <si>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</si>
  <si>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</si>
  <si>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</si>
  <si>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</si>
  <si>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</si>
  <si>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</si>
  <si>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</si>
  <si>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</si>
  <si>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</si>
  <si>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</si>
  <si>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</si>
  <si>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</si>
  <si>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</si>
  <si>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</si>
  <si>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</si>
  <si>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</si>
  <si>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</si>
  <si>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</si>
  <si>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</si>
  <si>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</si>
  <si>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</si>
  <si>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</si>
  <si>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</si>
  <si>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</si>
  <si>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</si>
  <si>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</si>
  <si>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</si>
  <si>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</si>
  <si>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</si>
  <si>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</si>
  <si>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</si>
  <si>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</si>
  <si>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</si>
  <si>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</si>
  <si>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</si>
  <si>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</si>
  <si>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</si>
  <si>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</si>
  <si>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</si>
  <si>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</si>
  <si>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</si>
  <si>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</si>
  <si>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</si>
  <si>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</si>
  <si>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</si>
  <si>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</si>
  <si>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</si>
  <si>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</si>
  <si>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</si>
  <si>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</si>
  <si>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</si>
  <si>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</si>
  <si>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</si>
  <si>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</si>
  <si>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</si>
  <si>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</si>
  <si>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SWZ</t>
  </si>
  <si>
    <t>Sint Maarten (Dutch part)</t>
  </si>
  <si>
    <t>SXM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</si>
  <si>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</si>
  <si>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</si>
  <si>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</si>
  <si>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</si>
  <si>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</si>
  <si>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</si>
  <si>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</si>
  <si>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</si>
  <si>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</si>
  <si>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</si>
  <si>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</si>
  <si>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</si>
  <si>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</si>
  <si>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</si>
  <si>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</si>
  <si>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</si>
  <si>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</si>
  <si>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</si>
  <si>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</si>
  <si>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</si>
  <si>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</si>
  <si>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</si>
  <si>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</si>
  <si>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</si>
  <si>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</si>
  <si>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</si>
  <si>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</si>
  <si>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</si>
  <si>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</si>
  <si>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</si>
  <si>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</si>
  <si>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</si>
  <si>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</si>
  <si>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</si>
  <si>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</si>
  <si>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</si>
  <si>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</si>
  <si>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</si>
  <si>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</si>
  <si>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</si>
  <si>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</si>
  <si>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</si>
  <si>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</si>
  <si>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</si>
  <si>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</si>
  <si>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</si>
  <si>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</si>
  <si>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</si>
  <si>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</si>
  <si>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</si>
  <si>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</si>
  <si>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</si>
  <si>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</si>
  <si>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</si>
  <si>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</si>
  <si>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</si>
  <si>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</si>
  <si>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</si>
  <si>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</si>
  <si>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</si>
  <si>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</si>
  <si>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</si>
  <si>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</si>
  <si>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</si>
  <si>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</si>
  <si>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</si>
  <si>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</si>
  <si>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</si>
  <si>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</si>
  <si>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</si>
  <si>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</si>
  <si>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</si>
  <si>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</si>
  <si>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ZAF</t>
  </si>
  <si>
    <t>ZMB</t>
  </si>
  <si>
    <t>Zimbabwe</t>
  </si>
  <si>
    <t>ZWE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</si>
  <si>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</si>
  <si>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</si>
  <si>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</si>
  <si>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</si>
  <si>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</si>
  <si>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</si>
  <si>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</si>
  <si>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</si>
  <si>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</si>
  <si>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</si>
  <si>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</si>
  <si>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</si>
  <si>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</si>
  <si>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</si>
  <si>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</si>
  <si>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</si>
  <si>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</si>
  <si>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</si>
  <si>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</si>
  <si>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</si>
  <si>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</si>
  <si>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</si>
  <si>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</si>
  <si>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</si>
  <si>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</si>
  <si>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</si>
  <si>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</si>
  <si>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</si>
  <si>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</si>
  <si>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</si>
  <si>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GDP per capita (current US$)</t>
  </si>
  <si>
    <t>NY.GDP.PCAP.CD</t>
  </si>
  <si>
    <t>Africa Eastern and Southern</t>
  </si>
  <si>
    <t>AFE</t>
  </si>
  <si>
    <t>Africa Western and Central</t>
  </si>
  <si>
    <t>AFW</t>
  </si>
  <si>
    <t>Korea, Dem. People's Rep.</t>
  </si>
  <si>
    <t>Population, total</t>
  </si>
  <si>
    <t>SP.POP.TOTL</t>
  </si>
  <si>
    <t>Average Income</t>
  </si>
  <si>
    <t>Cost of need based on the SDG index (4.45 per 1000 pop)</t>
  </si>
  <si>
    <t>Cost of emplyment from the production pipeline</t>
  </si>
  <si>
    <t>SADC Member
States</t>
  </si>
  <si>
    <t>Doctors</t>
  </si>
  <si>
    <t>Nurses and Midwives</t>
  </si>
  <si>
    <t>Other Health Workers</t>
  </si>
  <si>
    <t>Cost for additional Training</t>
  </si>
  <si>
    <t>Overall Cost of Training and Employment</t>
  </si>
  <si>
    <t>DRC</t>
  </si>
  <si>
    <t>SADC Total</t>
  </si>
  <si>
    <t>No.</t>
  </si>
  <si>
    <t>List of cadres</t>
  </si>
  <si>
    <t>Total Annual Income per worker (LSL)</t>
  </si>
  <si>
    <t>Total Income per worker (USD)</t>
  </si>
  <si>
    <t>Wage Index (Income as multiples of GDP per capita)</t>
  </si>
  <si>
    <t>Wage Relativity (GP as Reference)</t>
  </si>
  <si>
    <t>Wage Relativity (Lawyer and Engineers in Public Sector as Reference)</t>
  </si>
  <si>
    <t>Generalist medical practitioners</t>
  </si>
  <si>
    <t>Specialist medical practitioners</t>
  </si>
  <si>
    <t>Nursing and Midwifery professionals</t>
  </si>
  <si>
    <t>Nursing associate professionals</t>
  </si>
  <si>
    <t>Dental specialists</t>
  </si>
  <si>
    <t>Dentists</t>
  </si>
  <si>
    <t>Dental assistants and therapists</t>
  </si>
  <si>
    <t>Environmental and occupational health &amp; hygiene workers</t>
  </si>
  <si>
    <t>Physiotherapists and physiotherapy assistants</t>
  </si>
  <si>
    <t>Optometrists and opticians</t>
  </si>
  <si>
    <t>Medical imaging and therapeutic equipment operators</t>
  </si>
  <si>
    <t>Medical and pathology laboratory technicians</t>
  </si>
  <si>
    <t>Medical and dental prosthetic technicians</t>
  </si>
  <si>
    <t>Community health workers</t>
  </si>
  <si>
    <t>Dieticians and nutritionists</t>
  </si>
  <si>
    <t>Pharmaceutical technicians and assistants</t>
  </si>
  <si>
    <t>Psychologists</t>
  </si>
  <si>
    <t>Health Educators</t>
  </si>
  <si>
    <t>Occupational Therapist</t>
  </si>
  <si>
    <t>Psychiatric Social Worker</t>
  </si>
  <si>
    <t>Epidemiologist</t>
  </si>
  <si>
    <t>Biomedical scientist</t>
  </si>
  <si>
    <t>Specialised Nursing professional</t>
  </si>
  <si>
    <t>Nurses &amp; Midwives</t>
  </si>
  <si>
    <t>Public Sector Income Before Tax</t>
  </si>
  <si>
    <t>Comparison with top paying country (SA)</t>
  </si>
  <si>
    <t>Cadre</t>
  </si>
  <si>
    <t>Wage Index</t>
  </si>
  <si>
    <t>Doctor</t>
  </si>
  <si>
    <t>Nurse</t>
  </si>
  <si>
    <t>Others</t>
  </si>
  <si>
    <t xml:space="preserve">High-income countries </t>
  </si>
  <si>
    <t xml:space="preserve">Upper middle-income countries </t>
  </si>
  <si>
    <t xml:space="preserve">Lower middle-income countries </t>
  </si>
  <si>
    <t xml:space="preserve">Lower-income countries </t>
  </si>
  <si>
    <t>Global</t>
  </si>
  <si>
    <t>Income Group</t>
  </si>
  <si>
    <t>Average of Wage Index</t>
  </si>
  <si>
    <t>Corr</t>
  </si>
  <si>
    <t>Sp Doctors</t>
  </si>
  <si>
    <t>Pharmacist</t>
  </si>
  <si>
    <t xml:space="preserve"> </t>
  </si>
  <si>
    <t>Clinical Officer/Physician Assistant vs. Community Health workers</t>
  </si>
  <si>
    <t xml:space="preserve">Community Health workers vs. Dentists </t>
  </si>
  <si>
    <t>Community Health workers vs. Physicians generalists</t>
  </si>
  <si>
    <t xml:space="preserve">Community Health workers vs. Pharmacists </t>
  </si>
  <si>
    <t>Community Health workers vs. Physicians specialists</t>
  </si>
  <si>
    <t>Community Health workers vs. Midwives</t>
  </si>
  <si>
    <t>Physiotherapist vs. Community Health workers</t>
  </si>
  <si>
    <t>GDP Per capita vs. Clinical Officer/Physician Assistant</t>
  </si>
  <si>
    <t>Community Health workers vs. Nurses</t>
  </si>
  <si>
    <t>Community Health workers vs. Environment and public health workers</t>
  </si>
  <si>
    <t xml:space="preserve">GDP Per capita vs. Dentists </t>
  </si>
  <si>
    <t>Clinical Officer/Physician Assistant vs. Laboratory Scientists</t>
  </si>
  <si>
    <t xml:space="preserve">Laboratory Scientists vs. Dentists </t>
  </si>
  <si>
    <t>Community Health workers vs. Radiographers</t>
  </si>
  <si>
    <t>GDP Per capita vs. Midwives</t>
  </si>
  <si>
    <t>GDP Per capita vs. Community Health workers</t>
  </si>
  <si>
    <t>Physiotherapist vs. Midwives</t>
  </si>
  <si>
    <t>Laboratory Scientists vs. Physicians generalists</t>
  </si>
  <si>
    <t>Physiotherapist vs. Nurses</t>
  </si>
  <si>
    <t>Clinical Officer/Physician Assistant vs. Nurses</t>
  </si>
  <si>
    <t>GDP Per capita vs. Physicians generalists</t>
  </si>
  <si>
    <t xml:space="preserve">Laboratory Scientists vs. Pharmacists </t>
  </si>
  <si>
    <t>Clinical Officer/Physician Assistant vs. Environment and public health workers</t>
  </si>
  <si>
    <t xml:space="preserve">GDP Per capita vs. Pharmacists </t>
  </si>
  <si>
    <t>GDP Per capita vs. Environment and public health workers</t>
  </si>
  <si>
    <t xml:space="preserve">Physiotherapist vs. Dentists </t>
  </si>
  <si>
    <t>Radiographers vs. Midwives</t>
  </si>
  <si>
    <t>GDP Per capita vs. Nurses</t>
  </si>
  <si>
    <t>Community Health workers vs. Laboratory Scientists</t>
  </si>
  <si>
    <t>Midwives vs. Physicians specialists</t>
  </si>
  <si>
    <t>GDP Per capita vs. Physiotherapist</t>
  </si>
  <si>
    <t>GDP Per capita vs. Physicians specialists</t>
  </si>
  <si>
    <t xml:space="preserve">Radiographers vs. Dentists </t>
  </si>
  <si>
    <t>Laboratory Scientists vs. Physicians specialists</t>
  </si>
  <si>
    <t>Nurses vs. Physicians specialists</t>
  </si>
  <si>
    <t>Dentists  vs. Midwives</t>
  </si>
  <si>
    <t>Pharmacists  vs. Midwives</t>
  </si>
  <si>
    <t>Clinical Officer/Physician Assistant vs. Midwives</t>
  </si>
  <si>
    <t>Dentists  vs. Nurses</t>
  </si>
  <si>
    <t xml:space="preserve">Environment and public health workers vs. Dentists </t>
  </si>
  <si>
    <t>Pharmacists  vs. Nurses</t>
  </si>
  <si>
    <t>Radiographers vs. Nurses</t>
  </si>
  <si>
    <t>Environment and public health workers vs. Physicians specialists</t>
  </si>
  <si>
    <t>GDP Per capita vs. Radiographers</t>
  </si>
  <si>
    <t>Physiotherapist vs. Physicians generalists</t>
  </si>
  <si>
    <t>Environment and public health workers vs. Midwives</t>
  </si>
  <si>
    <t>Clinical Officer/Physician Assistant vs. Physicians specialists</t>
  </si>
  <si>
    <t>Nurses vs. Physicians generalists</t>
  </si>
  <si>
    <t>Radiographers vs. Physicians generalists</t>
  </si>
  <si>
    <t>Physiotherapist vs. Radiographers</t>
  </si>
  <si>
    <t>Midwives vs. Physicians generalists</t>
  </si>
  <si>
    <t>Physiotherapist vs. Laboratory Scientists</t>
  </si>
  <si>
    <t>Laboratory Scientists vs. Midwives</t>
  </si>
  <si>
    <t>Physiotherapist vs. Environment and public health workers</t>
  </si>
  <si>
    <t>Environment and public health workers vs. Radiographers</t>
  </si>
  <si>
    <t xml:space="preserve">Environment and public health workers vs. Pharmacists </t>
  </si>
  <si>
    <t>GDP Per capita vs. Laboratory Scientists</t>
  </si>
  <si>
    <t>Clinical Officer/Physician Assistant vs. Physicians generalists</t>
  </si>
  <si>
    <t>Environment and public health workers vs. Laboratory Scientists</t>
  </si>
  <si>
    <t xml:space="preserve">Clinical Officer/Physician Assistant vs. Dentists </t>
  </si>
  <si>
    <t>Environment and public health workers vs. Physicians generalists</t>
  </si>
  <si>
    <t xml:space="preserve">Physiotherapist vs. Pharmacists </t>
  </si>
  <si>
    <t>Physiotherapist vs. Physicians specialists</t>
  </si>
  <si>
    <t xml:space="preserve">Pharmacists  vs. Dentists </t>
  </si>
  <si>
    <t>Dentists  vs. Physicians specialists</t>
  </si>
  <si>
    <t>Clinical Officer/Physician Assistant vs. Physiotherapist</t>
  </si>
  <si>
    <t>Environment and public health workers vs. Nurses</t>
  </si>
  <si>
    <t>Physicians specialists vs. Physicians generalists</t>
  </si>
  <si>
    <t xml:space="preserve">Radiographers vs. Pharmacists </t>
  </si>
  <si>
    <t>Clinical Officer/Physician Assistant vs. Radiographers</t>
  </si>
  <si>
    <t>Dentists  vs. Physicians generalists</t>
  </si>
  <si>
    <t>Pharmacists  vs. Physicians specialists</t>
  </si>
  <si>
    <t>Radiographers vs. Physicians specialists</t>
  </si>
  <si>
    <t>Pharmacists  vs. Physicians generalists</t>
  </si>
  <si>
    <t xml:space="preserve">Clinical Officer/Physician Assistant vs. Pharmacists </t>
  </si>
  <si>
    <t>Midwives vs. Nurses</t>
  </si>
  <si>
    <t>Laboratory Scientists vs. Nurses</t>
  </si>
  <si>
    <t>Radiographers vs. Laboratory Scientists</t>
  </si>
  <si>
    <t>p-value</t>
  </si>
  <si>
    <t>R</t>
  </si>
  <si>
    <t>VAR vs. VAR</t>
  </si>
  <si>
    <t>Correlations in bold are significant at the 5% level (2-tailed).</t>
  </si>
  <si>
    <t>p-value (2-tailed)</t>
  </si>
  <si>
    <t>Correlation Coefficients (Pairwise deletion)</t>
  </si>
  <si>
    <t xml:space="preserve">   Variables: Data for correlation!B:M;Data for correlation!Q:Q</t>
  </si>
  <si>
    <t>08/09/21 1:28:49 AM  Correlation [Esimated Salaries of Health professionals.xlsx]</t>
  </si>
  <si>
    <t xml:space="preserve"> Namibia</t>
  </si>
  <si>
    <t xml:space="preserve"> Seychelles</t>
  </si>
  <si>
    <t>United Republic of Tanzania</t>
  </si>
  <si>
    <t>latest Year</t>
  </si>
  <si>
    <t xml:space="preserve">Source </t>
  </si>
  <si>
    <t>Unicef health budget brief 2019</t>
  </si>
  <si>
    <t>Lauer et al (2018). Global/regional wage ceilings</t>
  </si>
  <si>
    <t>Ethiopia HLMA, 2020</t>
  </si>
  <si>
    <t>Kenya Productovity paper, 2019</t>
  </si>
  <si>
    <t>Lesotho HLMA report, 2021</t>
  </si>
  <si>
    <t>Public expenditure review</t>
  </si>
  <si>
    <t>Rwanda HLMA report, 2019</t>
  </si>
  <si>
    <t>Zimbabwe's HLMA (2021) show 35% and the MOF indicated that tey will hold it constant over the next years. I suggest that we use the 35%</t>
  </si>
  <si>
    <t>Country name</t>
  </si>
  <si>
    <t>% of Health Budget Allocated to HRH</t>
  </si>
  <si>
    <t>Sub-Regional Average</t>
  </si>
  <si>
    <t>Descriptive Analysis of salaries of annual income of health workers</t>
  </si>
  <si>
    <t>AFRO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</si>
</sst>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#,##0.#####"/>
    <numFmt numFmtId="167" formatCode="0.#####E+#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rgb="FF000000"/>
      <name val="Times New Roman"/>
      <family val="1"/>
    </font>
    <font>
      <b/>
      <i/>
      <sz val="16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/>
    <xf numFmtId="0" fontId="1" fillId="0" borderId="0"/>
    <xf numFmtId="0" fontId="6" fillId="0" borderId="0"/>
    <xf numFmtId="0" fontId="20" fillId="0" borderId="6">
      <alignment vertical="top" wrapText="1"/>
    </xf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164" fontId="0" fillId="0" borderId="1" xfId="1" applyFont="1" applyBorder="1"/>
    <xf numFmtId="164" fontId="0" fillId="0" borderId="0" xfId="0" applyNumberFormat="1"/>
    <xf numFmtId="0" fontId="0" fillId="2" borderId="2" xfId="0" applyFill="1" applyBorder="1"/>
    <xf numFmtId="164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0" fillId="0" borderId="0" xfId="1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1" applyFont="1" applyBorder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vertical="center" wrapText="1"/>
    </xf>
    <xf numFmtId="164" fontId="0" fillId="2" borderId="0" xfId="1" applyFont="1" applyFill="1" applyBorder="1" applyAlignment="1">
      <alignment horizontal="center"/>
    </xf>
    <xf numFmtId="0" fontId="0" fillId="2" borderId="9" xfId="0" applyFill="1" applyBorder="1"/>
    <xf numFmtId="164" fontId="0" fillId="2" borderId="8" xfId="0" applyNumberFormat="1" applyFill="1" applyBorder="1" applyAlignment="1">
      <alignment horizontal="center"/>
    </xf>
    <xf numFmtId="164" fontId="2" fillId="0" borderId="0" xfId="1" applyFont="1" applyBorder="1"/>
    <xf numFmtId="164" fontId="2" fillId="0" borderId="8" xfId="1" applyFont="1" applyBorder="1"/>
    <xf numFmtId="164" fontId="2" fillId="2" borderId="0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0" fillId="2" borderId="0" xfId="0" applyFill="1"/>
    <xf numFmtId="0" fontId="3" fillId="0" borderId="0" xfId="0" applyFont="1"/>
    <xf numFmtId="0" fontId="0" fillId="2" borderId="8" xfId="0" applyFill="1" applyBorder="1"/>
    <xf numFmtId="0" fontId="7" fillId="0" borderId="0" xfId="4"/>
    <xf numFmtId="14" fontId="7" fillId="0" borderId="0" xfId="4" applyNumberFormat="1"/>
    <xf numFmtId="0" fontId="8" fillId="0" borderId="0" xfId="5"/>
    <xf numFmtId="14" fontId="8" fillId="0" borderId="0" xfId="5" applyNumberFormat="1"/>
    <xf numFmtId="164" fontId="0" fillId="4" borderId="0" xfId="1" applyFont="1" applyFill="1" applyBorder="1"/>
    <xf numFmtId="164" fontId="0" fillId="4" borderId="8" xfId="1" applyFont="1" applyFill="1" applyBorder="1"/>
    <xf numFmtId="0" fontId="9" fillId="5" borderId="10" xfId="6" applyFont="1" applyFill="1" applyBorder="1" applyAlignment="1">
      <alignment horizontal="left" vertical="center" wrapText="1"/>
    </xf>
    <xf numFmtId="0" fontId="1" fillId="0" borderId="0" xfId="6" applyAlignment="1">
      <alignment horizontal="left" vertical="center" wrapText="1"/>
    </xf>
    <xf numFmtId="0" fontId="3" fillId="5" borderId="7" xfId="6" applyFont="1" applyFill="1" applyBorder="1" applyAlignment="1">
      <alignment horizontal="left" vertical="center" wrapText="1"/>
    </xf>
    <xf numFmtId="0" fontId="7" fillId="0" borderId="0" xfId="4" applyAlignment="1">
      <alignment vertical="center"/>
    </xf>
    <xf numFmtId="4" fontId="0" fillId="0" borderId="0" xfId="0" applyNumberForma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vertical="center"/>
    </xf>
    <xf numFmtId="4" fontId="11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164" fontId="0" fillId="0" borderId="0" xfId="1" applyFont="1"/>
    <xf numFmtId="0" fontId="4" fillId="2" borderId="0" xfId="0" applyFont="1" applyFill="1" applyAlignment="1">
      <alignment horizontal="left" vertical="center" wrapText="1"/>
    </xf>
    <xf numFmtId="0" fontId="12" fillId="0" borderId="0" xfId="0" applyFont="1"/>
    <xf numFmtId="0" fontId="15" fillId="5" borderId="8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13" fillId="0" borderId="0" xfId="0" applyFont="1"/>
    <xf numFmtId="164" fontId="13" fillId="0" borderId="0" xfId="1" applyFont="1" applyBorder="1"/>
    <xf numFmtId="165" fontId="13" fillId="7" borderId="0" xfId="3" applyNumberFormat="1" applyFont="1" applyFill="1" applyBorder="1"/>
    <xf numFmtId="0" fontId="13" fillId="0" borderId="8" xfId="0" applyFont="1" applyBorder="1"/>
    <xf numFmtId="164" fontId="13" fillId="0" borderId="8" xfId="1" applyFont="1" applyBorder="1"/>
    <xf numFmtId="165" fontId="13" fillId="7" borderId="8" xfId="3" applyNumberFormat="1" applyFont="1" applyFill="1" applyBorder="1"/>
    <xf numFmtId="165" fontId="14" fillId="7" borderId="0" xfId="3" applyNumberFormat="1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3" fillId="0" borderId="12" xfId="0" pivotButton="1" applyFont="1" applyBorder="1" applyAlignment="1">
      <alignment wrapText="1"/>
    </xf>
    <xf numFmtId="0" fontId="13" fillId="0" borderId="13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3" fillId="0" borderId="15" xfId="0" applyFont="1" applyBorder="1" applyAlignment="1">
      <alignment wrapText="1"/>
    </xf>
    <xf numFmtId="164" fontId="13" fillId="0" borderId="16" xfId="0" applyNumberFormat="1" applyFont="1" applyBorder="1" applyAlignment="1">
      <alignment wrapText="1"/>
    </xf>
    <xf numFmtId="164" fontId="13" fillId="0" borderId="17" xfId="0" applyNumberFormat="1" applyFont="1" applyBorder="1" applyAlignment="1">
      <alignment wrapText="1"/>
    </xf>
    <xf numFmtId="0" fontId="6" fillId="0" borderId="0" xfId="7" applyAlignment="1">
      <alignment vertical="center"/>
    </xf>
    <xf numFmtId="0" fontId="16" fillId="0" borderId="0" xfId="7" applyFont="1" applyAlignment="1">
      <alignment vertical="center"/>
    </xf>
    <xf numFmtId="166" fontId="16" fillId="0" borderId="18" xfId="7" applyNumberFormat="1" applyFont="1" applyBorder="1" applyAlignment="1">
      <alignment horizontal="right" vertical="center"/>
    </xf>
    <xf numFmtId="0" fontId="16" fillId="0" borderId="18" xfId="7" applyFont="1" applyBorder="1" applyAlignment="1">
      <alignment horizontal="right" vertical="center"/>
    </xf>
    <xf numFmtId="0" fontId="16" fillId="0" borderId="18" xfId="7" applyFont="1" applyBorder="1" applyAlignment="1">
      <alignment horizontal="center" vertical="center"/>
    </xf>
    <xf numFmtId="166" fontId="16" fillId="0" borderId="0" xfId="7" applyNumberFormat="1" applyFont="1" applyAlignment="1">
      <alignment horizontal="right" vertical="center"/>
    </xf>
    <xf numFmtId="0" fontId="16" fillId="0" borderId="0" xfId="7" applyFont="1" applyAlignment="1">
      <alignment horizontal="right" vertical="center"/>
    </xf>
    <xf numFmtId="0" fontId="16" fillId="0" borderId="0" xfId="7" applyFont="1" applyAlignment="1">
      <alignment horizontal="center" vertical="center"/>
    </xf>
    <xf numFmtId="167" fontId="16" fillId="0" borderId="0" xfId="7" applyNumberFormat="1" applyFont="1" applyAlignment="1">
      <alignment horizontal="right" vertical="center"/>
    </xf>
    <xf numFmtId="0" fontId="17" fillId="0" borderId="18" xfId="7" applyFont="1" applyBorder="1" applyAlignment="1">
      <alignment horizontal="center" vertical="center"/>
    </xf>
    <xf numFmtId="0" fontId="16" fillId="0" borderId="19" xfId="7" applyFont="1" applyBorder="1" applyAlignment="1">
      <alignment vertical="center"/>
    </xf>
    <xf numFmtId="0" fontId="16" fillId="0" borderId="20" xfId="7" applyFont="1" applyBorder="1" applyAlignment="1">
      <alignment vertical="center"/>
    </xf>
    <xf numFmtId="0" fontId="16" fillId="0" borderId="21" xfId="7" applyFont="1" applyBorder="1" applyAlignment="1">
      <alignment vertical="center"/>
    </xf>
    <xf numFmtId="0" fontId="16" fillId="0" borderId="21" xfId="7" applyFont="1" applyBorder="1" applyAlignment="1">
      <alignment horizontal="right" vertical="center"/>
    </xf>
    <xf numFmtId="0" fontId="17" fillId="0" borderId="21" xfId="7" applyFont="1" applyBorder="1" applyAlignment="1">
      <alignment horizontal="center" vertical="center"/>
    </xf>
    <xf numFmtId="166" fontId="16" fillId="0" borderId="21" xfId="7" applyNumberFormat="1" applyFont="1" applyBorder="1" applyAlignment="1">
      <alignment horizontal="right" vertical="center"/>
    </xf>
    <xf numFmtId="0" fontId="16" fillId="0" borderId="22" xfId="7" applyFont="1" applyBorder="1" applyAlignment="1">
      <alignment vertical="center"/>
    </xf>
    <xf numFmtId="166" fontId="16" fillId="0" borderId="22" xfId="7" applyNumberFormat="1" applyFont="1" applyBorder="1" applyAlignment="1">
      <alignment vertical="center"/>
    </xf>
    <xf numFmtId="166" fontId="18" fillId="0" borderId="22" xfId="7" applyNumberFormat="1" applyFont="1" applyBorder="1" applyAlignment="1">
      <alignment vertical="center"/>
    </xf>
    <xf numFmtId="0" fontId="18" fillId="0" borderId="22" xfId="7" applyFont="1" applyBorder="1" applyAlignment="1">
      <alignment horizontal="center" vertical="center"/>
    </xf>
    <xf numFmtId="167" fontId="16" fillId="0" borderId="21" xfId="7" applyNumberFormat="1" applyFont="1" applyBorder="1" applyAlignment="1">
      <alignment horizontal="right" vertical="center"/>
    </xf>
    <xf numFmtId="0" fontId="18" fillId="0" borderId="21" xfId="7" applyFont="1" applyBorder="1" applyAlignment="1">
      <alignment horizontal="center" vertical="center"/>
    </xf>
    <xf numFmtId="0" fontId="18" fillId="0" borderId="23" xfId="7" applyFont="1" applyBorder="1" applyAlignment="1">
      <alignment horizontal="center" vertical="center"/>
    </xf>
    <xf numFmtId="0" fontId="16" fillId="0" borderId="18" xfId="7" applyFont="1" applyBorder="1" applyAlignment="1">
      <alignment vertical="center"/>
    </xf>
    <xf numFmtId="0" fontId="16" fillId="0" borderId="0" xfId="7" applyFont="1" applyAlignment="1">
      <alignment horizontal="left" vertical="center"/>
    </xf>
    <xf numFmtId="0" fontId="6" fillId="0" borderId="0" xfId="7" applyAlignment="1">
      <alignment horizontal="left" vertical="center"/>
    </xf>
    <xf numFmtId="0" fontId="16" fillId="0" borderId="8" xfId="7" applyFont="1" applyBorder="1" applyAlignment="1">
      <alignment horizontal="left" vertical="center"/>
    </xf>
    <xf numFmtId="166" fontId="16" fillId="0" borderId="8" xfId="7" applyNumberFormat="1" applyFont="1" applyBorder="1" applyAlignment="1">
      <alignment horizontal="right" vertical="center"/>
    </xf>
    <xf numFmtId="0" fontId="16" fillId="0" borderId="8" xfId="7" applyFont="1" applyBorder="1" applyAlignment="1">
      <alignment horizontal="right" vertical="center"/>
    </xf>
    <xf numFmtId="0" fontId="17" fillId="5" borderId="25" xfId="7" applyFont="1" applyFill="1" applyBorder="1" applyAlignment="1">
      <alignment horizontal="left" vertical="center"/>
    </xf>
    <xf numFmtId="0" fontId="17" fillId="5" borderId="25" xfId="7" applyFont="1" applyFill="1" applyBorder="1" applyAlignment="1">
      <alignment horizontal="center" vertical="center"/>
    </xf>
    <xf numFmtId="0" fontId="21" fillId="8" borderId="1" xfId="8" applyFont="1" applyFill="1" applyBorder="1">
      <alignment vertical="top" wrapText="1"/>
    </xf>
    <xf numFmtId="0" fontId="22" fillId="9" borderId="1" xfId="0" applyFont="1" applyFill="1" applyBorder="1" applyAlignment="1">
      <alignment horizontal="left"/>
    </xf>
    <xf numFmtId="0" fontId="22" fillId="10" borderId="26" xfId="0" applyFont="1" applyFill="1" applyBorder="1" applyAlignment="1">
      <alignment horizontal="center"/>
    </xf>
    <xf numFmtId="0" fontId="22" fillId="10" borderId="27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9" fontId="0" fillId="10" borderId="26" xfId="3" applyFont="1" applyFill="1" applyBorder="1" applyAlignment="1">
      <alignment horizontal="center"/>
    </xf>
    <xf numFmtId="0" fontId="22" fillId="9" borderId="2" xfId="0" applyFont="1" applyFill="1" applyBorder="1" applyAlignment="1">
      <alignment horizontal="left"/>
    </xf>
    <xf numFmtId="9" fontId="0" fillId="0" borderId="0" xfId="0" applyNumberFormat="1" applyAlignment="1">
      <alignment horizontal="center"/>
    </xf>
    <xf numFmtId="9" fontId="0" fillId="0" borderId="0" xfId="3" applyFont="1"/>
    <xf numFmtId="0" fontId="9" fillId="5" borderId="10" xfId="6" applyFont="1" applyFill="1" applyBorder="1" applyAlignment="1">
      <alignment horizontal="center" vertical="center" wrapText="1"/>
    </xf>
    <xf numFmtId="0" fontId="9" fillId="5" borderId="10" xfId="6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wrapText="1"/>
    </xf>
    <xf numFmtId="0" fontId="14" fillId="7" borderId="7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8" fillId="0" borderId="19" xfId="7" applyFont="1" applyBorder="1" applyAlignment="1">
      <alignment vertical="center"/>
    </xf>
    <xf numFmtId="0" fontId="16" fillId="0" borderId="0" xfId="7" applyFont="1" applyAlignment="1">
      <alignment vertical="center"/>
    </xf>
    <xf numFmtId="0" fontId="19" fillId="0" borderId="24" xfId="7" applyFont="1" applyBorder="1" applyAlignment="1">
      <alignment vertical="center"/>
    </xf>
    <xf numFmtId="0" fontId="17" fillId="0" borderId="20" xfId="7" applyFont="1" applyBorder="1" applyAlignment="1">
      <alignment vertical="center"/>
    </xf>
  </cellXfs>
  <cellStyles count="9">
    <cellStyle name="Comma" xfId="1" builtinId="3"/>
    <cellStyle name="Header 2" xfId="8" xr:uid="{632F0329-B340-C140-8BCF-AD8EEC9E578E}"/>
    <cellStyle name="Normal" xfId="0" builtinId="0"/>
    <cellStyle name="Normal 2" xfId="4" xr:uid="{13BBBC25-1CDA-AE46-B464-D7A7768D6877}"/>
    <cellStyle name="Normal 2 2" xfId="6" xr:uid="{74511EED-C745-E64F-BAE0-2E40D5E65526}"/>
    <cellStyle name="Normal 3" xfId="2" xr:uid="{C2D6B91A-7D87-2249-9659-7BF37A9C8345}"/>
    <cellStyle name="Normal 4" xfId="5" xr:uid="{461EE2E0-BC26-F948-83E9-48C2802E3CC3}"/>
    <cellStyle name="Normal 5" xfId="7" xr:uid="{618DD86B-8A9A-B34F-A1A5-F495658CA1F2}"/>
    <cellStyle name="Percent" xfId="3" builtinId="5"/>
  </cellStyles>
  <dxfs count="69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fill>
        <patternFill patternType="solid">
          <fgColor indexed="64"/>
          <bgColor rgb="FFD0CECE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buget allocated to HRH'!$B$1</c:f>
              <c:strCache>
                <c:ptCount val="1"/>
                <c:pt idx="0">
                  <c:v>% of Health Budget Allocated to HRH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buget allocated to HRH'!$A$2:$A$22</c:f>
              <c:strCache>
                <c:ptCount val="21"/>
                <c:pt idx="0">
                  <c:v>Lesotho</c:v>
                </c:pt>
                <c:pt idx="1">
                  <c:v>Rwanda</c:v>
                </c:pt>
                <c:pt idx="2">
                  <c:v> Namibia</c:v>
                </c:pt>
                <c:pt idx="3">
                  <c:v>Zimbabwe</c:v>
                </c:pt>
                <c:pt idx="4">
                  <c:v>Kenya</c:v>
                </c:pt>
                <c:pt idx="5">
                  <c:v>Uganda</c:v>
                </c:pt>
                <c:pt idx="6">
                  <c:v>Eritrea</c:v>
                </c:pt>
                <c:pt idx="7">
                  <c:v>Ethiopia</c:v>
                </c:pt>
                <c:pt idx="8">
                  <c:v>Madagascar</c:v>
                </c:pt>
                <c:pt idx="9">
                  <c:v>Mozambique</c:v>
                </c:pt>
                <c:pt idx="10">
                  <c:v>South Sudan</c:v>
                </c:pt>
                <c:pt idx="11">
                  <c:v>Botswana</c:v>
                </c:pt>
                <c:pt idx="12">
                  <c:v>Malawi</c:v>
                </c:pt>
                <c:pt idx="13">
                  <c:v> Seychelles</c:v>
                </c:pt>
                <c:pt idx="14">
                  <c:v>Comoros</c:v>
                </c:pt>
                <c:pt idx="15">
                  <c:v>Eswatini</c:v>
                </c:pt>
                <c:pt idx="16">
                  <c:v>Mauritius</c:v>
                </c:pt>
                <c:pt idx="17">
                  <c:v>United Republic of Tanzania</c:v>
                </c:pt>
                <c:pt idx="18">
                  <c:v>South Africa</c:v>
                </c:pt>
                <c:pt idx="19">
                  <c:v>Zambia</c:v>
                </c:pt>
                <c:pt idx="20">
                  <c:v>Sub-Regional Average</c:v>
                </c:pt>
              </c:strCache>
            </c:strRef>
          </c:cat>
          <c:val>
            <c:numRef>
              <c:f>'Health buget allocated to HRH'!$B$2:$B$22</c:f>
              <c:numCache>
                <c:formatCode>0%</c:formatCode>
                <c:ptCount val="21"/>
                <c:pt idx="0">
                  <c:v>0.187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0.41</c:v>
                </c:pt>
                <c:pt idx="5">
                  <c:v>0.41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0.46099999999999997</c:v>
                </c:pt>
                <c:pt idx="12">
                  <c:v>0.51</c:v>
                </c:pt>
                <c:pt idx="13">
                  <c:v>0.54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0.59424999999999994</c:v>
                </c:pt>
                <c:pt idx="19">
                  <c:v>0.62</c:v>
                </c:pt>
                <c:pt idx="20">
                  <c:v>0.45911250000000009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2-C74D-AA31-8770A1AFD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365423"/>
        <c:axId val="454361455"/>
      </c:barChart>
      <c:catAx>
        <c:axId val="45436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54361455"/>
        <c:crosses val="autoZero"/>
        <c:auto val="1"/>
        <c:lblAlgn val="ctr"/>
        <c:lblOffset val="100"/>
        <c:noMultiLvlLbl val="0"/>
      </c:catAx>
      <c:valAx>
        <c:axId val="4543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5436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 buget allocated to HRH'!$B$41</c:f>
              <c:strCache>
                <c:ptCount val="1"/>
                <c:pt idx="0">
                  <c:v>% of Health Budget Allocated to HRH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F-47CD-8188-D2C540B7DC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buget allocated to HRH'!$A$42:$A$62</c:f>
              <c:strCache>
                <c:ptCount val="21"/>
                <c:pt idx="0">
                  <c:v>Lesotho</c:v>
                </c:pt>
                <c:pt idx="1">
                  <c:v>Rwanda</c:v>
                </c:pt>
                <c:pt idx="2">
                  <c:v> Namibia</c:v>
                </c:pt>
                <c:pt idx="3">
                  <c:v>Zimbabwe</c:v>
                </c:pt>
                <c:pt idx="4">
                  <c:v>Kenya</c:v>
                </c:pt>
                <c:pt idx="5">
                  <c:v>Uganda</c:v>
                </c:pt>
                <c:pt idx="6">
                  <c:v>Eritrea</c:v>
                </c:pt>
                <c:pt idx="7">
                  <c:v>Ethiopia</c:v>
                </c:pt>
                <c:pt idx="8">
                  <c:v>Madagascar</c:v>
                </c:pt>
                <c:pt idx="9">
                  <c:v>Mozambique</c:v>
                </c:pt>
                <c:pt idx="10">
                  <c:v>South Sudan</c:v>
                </c:pt>
                <c:pt idx="11">
                  <c:v>AFRO</c:v>
                </c:pt>
                <c:pt idx="12">
                  <c:v>Botswana</c:v>
                </c:pt>
                <c:pt idx="13">
                  <c:v>Malawi</c:v>
                </c:pt>
                <c:pt idx="14">
                  <c:v> Seychelles</c:v>
                </c:pt>
                <c:pt idx="15">
                  <c:v>Comoros</c:v>
                </c:pt>
                <c:pt idx="16">
                  <c:v>Eswatini</c:v>
                </c:pt>
                <c:pt idx="17">
                  <c:v>Mauritius</c:v>
                </c:pt>
                <c:pt idx="18">
                  <c:v>United Republic of Tanzania</c:v>
                </c:pt>
                <c:pt idx="19">
                  <c:v>South Africa</c:v>
                </c:pt>
                <c:pt idx="20">
                  <c:v>Zambia</c:v>
                </c:pt>
              </c:strCache>
            </c:strRef>
          </c:cat>
          <c:val>
            <c:numRef>
              <c:f>'Health buget allocated to HRH'!$B$42:$B$62</c:f>
              <c:numCache>
                <c:formatCode>0%</c:formatCode>
                <c:ptCount val="21"/>
                <c:pt idx="0">
                  <c:v>0.187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0.41</c:v>
                </c:pt>
                <c:pt idx="5">
                  <c:v>0.41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0.45911250000000009</c:v>
                </c:pt>
                <c:pt idx="12">
                  <c:v>0.46099999999999997</c:v>
                </c:pt>
                <c:pt idx="13">
                  <c:v>0.51</c:v>
                </c:pt>
                <c:pt idx="14">
                  <c:v>0.54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0.59424999999999994</c:v>
                </c:pt>
                <c:pt idx="2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7CD-8188-D2C540B7DC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964343007"/>
        <c:axId val="752953599"/>
      </c:barChart>
      <c:catAx>
        <c:axId val="964343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752953599"/>
        <c:crosses val="autoZero"/>
        <c:auto val="1"/>
        <c:lblAlgn val="ctr"/>
        <c:lblOffset val="100"/>
        <c:noMultiLvlLbl val="0"/>
      </c:catAx>
      <c:valAx>
        <c:axId val="75295359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96434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Unadjusted Income of Health Workers in 12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'Cross-country relativities-USD'!$C$3</c:f>
              <c:strCache>
                <c:ptCount val="1"/>
                <c:pt idx="0">
                  <c:v>Physicians specialists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'Cross-country relativities-USD'!$B$4:$B$15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Sierra Leone</c:v>
                </c:pt>
                <c:pt idx="5">
                  <c:v>Eswatini</c:v>
                </c:pt>
                <c:pt idx="6">
                  <c:v>Lesotho</c:v>
                </c:pt>
                <c:pt idx="7">
                  <c:v>Zambia</c:v>
                </c:pt>
                <c:pt idx="8">
                  <c:v>Kenya</c:v>
                </c:pt>
                <c:pt idx="9">
                  <c:v>Botswana</c:v>
                </c:pt>
                <c:pt idx="10">
                  <c:v>Namibia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relativities-USD'!$C$4:$C$15</c:f>
              <c:numCache>
                <c:formatCode>_(* #,##0.00_);_(* \(#,##0.00\);_(* "-"??_);_(@_)</c:formatCode>
                <c:ptCount val="12"/>
                <c:pt idx="0">
                  <c:v>5391</c:v>
                </c:pt>
                <c:pt idx="1">
                  <c:v>12679.06</c:v>
                </c:pt>
                <c:pt idx="2">
                  <c:v>14628.896907216495</c:v>
                </c:pt>
                <c:pt idx="3">
                  <c:v>18315.523764705882</c:v>
                </c:pt>
                <c:pt idx="4">
                  <c:v>28720.192740462258</c:v>
                </c:pt>
                <c:pt idx="5">
                  <c:v>31958.714285714286</c:v>
                </c:pt>
                <c:pt idx="6">
                  <c:v>33928.980000000003</c:v>
                </c:pt>
                <c:pt idx="7">
                  <c:v>37170.581538461534</c:v>
                </c:pt>
                <c:pt idx="8">
                  <c:v>49800</c:v>
                </c:pt>
                <c:pt idx="9">
                  <c:v>68600.559615384613</c:v>
                </c:pt>
                <c:pt idx="10">
                  <c:v>71841.183585313178</c:v>
                </c:pt>
                <c:pt idx="11">
                  <c:v>93060.642857142855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D-194B-B804-D9076D505979}"/>
            </c:ext>
          </c:extLst>
        </c:ser>
        <c:ser>
          <c:idx val="1"/>
          <c:order val="1"/>
          <c:tx>
            <c:strRef>
              <c:f>'Cross-country relativities-USD'!$D$3</c:f>
              <c:strCache>
                <c:ptCount val="1"/>
                <c:pt idx="0">
                  <c:v>Nurses &amp; 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'Cross-country relativities-USD'!$B$4:$B$15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Sierra Leone</c:v>
                </c:pt>
                <c:pt idx="5">
                  <c:v>Eswatini</c:v>
                </c:pt>
                <c:pt idx="6">
                  <c:v>Lesotho</c:v>
                </c:pt>
                <c:pt idx="7">
                  <c:v>Zambia</c:v>
                </c:pt>
                <c:pt idx="8">
                  <c:v>Kenya</c:v>
                </c:pt>
                <c:pt idx="9">
                  <c:v>Botswana</c:v>
                </c:pt>
                <c:pt idx="10">
                  <c:v>Namibia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relativities-USD'!$D$4:$D$15</c:f>
              <c:numCache>
                <c:formatCode>_(* #,##0.00_);_(* \(#,##0.00\);_(* "-"??_);_(@_)</c:formatCode>
                <c:ptCount val="12"/>
                <c:pt idx="0">
                  <c:v>3030.4285714285716</c:v>
                </c:pt>
                <c:pt idx="1">
                  <c:v>3577.84</c:v>
                </c:pt>
                <c:pt idx="2">
                  <c:v>5416.7938144329901</c:v>
                </c:pt>
                <c:pt idx="3">
                  <c:v>4623.8823529411766</c:v>
                </c:pt>
                <c:pt idx="4">
                  <c:v>4501.6988846318236</c:v>
                </c:pt>
                <c:pt idx="5">
                  <c:v>10845.357142857143</c:v>
                </c:pt>
                <c:pt idx="6">
                  <c:v>9854.51</c:v>
                </c:pt>
                <c:pt idx="7">
                  <c:v>5825.1178021978039</c:v>
                </c:pt>
                <c:pt idx="8">
                  <c:v>12002.4</c:v>
                </c:pt>
                <c:pt idx="9">
                  <c:v>29923.9</c:v>
                </c:pt>
                <c:pt idx="10">
                  <c:v>50651.83585313175</c:v>
                </c:pt>
                <c:pt idx="11">
                  <c:v>32982.785714285717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D-194B-B804-D9076D505979}"/>
            </c:ext>
          </c:extLst>
        </c:ser>
        <c:ser>
          <c:idx val="2"/>
          <c:order val="2"/>
          <c:tx>
            <c:strRef>
              <c:f>'Cross-country relativities-USD'!$E$3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'Cross-country relativities-USD'!$B$4:$B$15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Sierra Leone</c:v>
                </c:pt>
                <c:pt idx="5">
                  <c:v>Eswatini</c:v>
                </c:pt>
                <c:pt idx="6">
                  <c:v>Lesotho</c:v>
                </c:pt>
                <c:pt idx="7">
                  <c:v>Zambia</c:v>
                </c:pt>
                <c:pt idx="8">
                  <c:v>Kenya</c:v>
                </c:pt>
                <c:pt idx="9">
                  <c:v>Botswana</c:v>
                </c:pt>
                <c:pt idx="10">
                  <c:v>Namibia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relativities-USD'!$E$4:$E$15</c:f>
            </c:numRef>
          </c:val>
          <c:extLst>
            <c:ext xmlns:c16="http://schemas.microsoft.com/office/drawing/2014/chart" uri="{C3380CC4-5D6E-409C-BE32-E72D297353CC}">
              <c16:uniqueId val="{00000002-3C6D-194B-B804-D9076D505979}"/>
            </c:ext>
          </c:extLst>
        </c:ser>
        <c:ser>
          <c:idx val="3"/>
          <c:order val="3"/>
          <c:tx>
            <c:strRef>
              <c:f>'Cross-country relativities-USD'!$F$3</c:f>
              <c:strCache>
                <c:ptCount val="1"/>
                <c:pt idx="0">
                  <c:v>Pharmacists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'Cross-country relativities-USD'!$B$4:$B$15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Sierra Leone</c:v>
                </c:pt>
                <c:pt idx="5">
                  <c:v>Eswatini</c:v>
                </c:pt>
                <c:pt idx="6">
                  <c:v>Lesotho</c:v>
                </c:pt>
                <c:pt idx="7">
                  <c:v>Zambia</c:v>
                </c:pt>
                <c:pt idx="8">
                  <c:v>Kenya</c:v>
                </c:pt>
                <c:pt idx="9">
                  <c:v>Botswana</c:v>
                </c:pt>
                <c:pt idx="10">
                  <c:v>Namibia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relativities-USD'!$F$4:$F$15</c:f>
              <c:numCache>
                <c:formatCode>_(* #,##0.00_);_(* \(#,##0.00\);_(* "-"??_);_(@_)</c:formatCode>
                <c:ptCount val="12"/>
                <c:pt idx="0">
                  <c:v>3881.1428571428573</c:v>
                </c:pt>
                <c:pt idx="1">
                  <c:v>3577.84</c:v>
                </c:pt>
                <c:pt idx="2">
                  <c:v>5416.7938144329901</c:v>
                </c:pt>
                <c:pt idx="3">
                  <c:v>7682.9689411764712</c:v>
                </c:pt>
                <c:pt idx="4">
                  <c:v>10373.291678801197</c:v>
                </c:pt>
                <c:pt idx="5">
                  <c:v>17704.857142857141</c:v>
                </c:pt>
                <c:pt idx="6">
                  <c:v>17959.95</c:v>
                </c:pt>
                <c:pt idx="7">
                  <c:v>8329.7848138958016</c:v>
                </c:pt>
                <c:pt idx="8">
                  <c:v>32760</c:v>
                </c:pt>
                <c:pt idx="9">
                  <c:v>33827</c:v>
                </c:pt>
                <c:pt idx="10">
                  <c:v>45703.887688984876</c:v>
                </c:pt>
                <c:pt idx="11">
                  <c:v>55266.428571428572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D-194B-B804-D9076D50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856335"/>
        <c:axId val="570857983"/>
      </c:barChart>
      <c:catAx>
        <c:axId val="5708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570857983"/>
        <c:crosses val="autoZero"/>
        <c:auto val="1"/>
        <c:lblAlgn val="ctr"/>
        <c:lblOffset val="100"/>
        <c:noMultiLvlLbl val="0"/>
      </c:catAx>
      <c:valAx>
        <c:axId val="570857983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57085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Income as a mutiple of GDP per capita in Int$ PPP - 12 African countries</a:t>
            </a:r>
            <a:endParaRPr lang="en-GH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'Cross-country relativities-Int$'!$B$1</c:f>
              <c:strCache>
                <c:ptCount val="1"/>
                <c:pt idx="0">
                  <c:v>Physicians specialists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'Cross-country relativities-Int$'!$A$2:$A$13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Eswatini</c:v>
                </c:pt>
                <c:pt idx="5">
                  <c:v>Lesotho</c:v>
                </c:pt>
                <c:pt idx="6">
                  <c:v>Zambia</c:v>
                </c:pt>
                <c:pt idx="7">
                  <c:v>Sierra Leone</c:v>
                </c:pt>
                <c:pt idx="8">
                  <c:v>Namibia</c:v>
                </c:pt>
                <c:pt idx="9">
                  <c:v>Kenya</c:v>
                </c:pt>
                <c:pt idx="10">
                  <c:v>Botswana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relativities-Int$'!$B$2:$B$13</c:f>
              <c:numCache>
                <c:formatCode>_(* #,##0.00_);_(* \(#,##0.00\);_(* "-"??_);_(@_)</c:formatCode>
                <c:ptCount val="12"/>
                <c:pt idx="0">
                  <c:v>14533.386252684177</c:v>
                </c:pt>
                <c:pt idx="1">
                  <c:v>24477.906795498722</c:v>
                </c:pt>
                <c:pt idx="2">
                  <c:v>31229.686081615186</c:v>
                </c:pt>
                <c:pt idx="3">
                  <c:v>52970.700331827953</c:v>
                </c:pt>
                <c:pt idx="4">
                  <c:v>59580.751732828212</c:v>
                </c:pt>
                <c:pt idx="5">
                  <c:v>64845.539785145047</c:v>
                </c:pt>
                <c:pt idx="6">
                  <c:v>79331.170738927991</c:v>
                </c:pt>
                <c:pt idx="7">
                  <c:v>101885.31406389004</c:v>
                </c:pt>
                <c:pt idx="8">
                  <c:v>113171.12352077071</c:v>
                </c:pt>
                <c:pt idx="9">
                  <c:v>123621.50164805629</c:v>
                </c:pt>
                <c:pt idx="10">
                  <c:v>142346.77663140156</c:v>
                </c:pt>
                <c:pt idx="11">
                  <c:v>148843.33946105826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8-5F4E-874D-9FF9B8976F6B}"/>
            </c:ext>
          </c:extLst>
        </c:ser>
        <c:ser>
          <c:idx val="1"/>
          <c:order val="1"/>
          <c:tx>
            <c:strRef>
              <c:f>'Cross-country relativities-Int$'!$C$1</c:f>
              <c:strCache>
                <c:ptCount val="1"/>
                <c:pt idx="0">
                  <c:v>Nurses &amp; 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'Cross-country relativities-Int$'!$A$2:$A$13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Eswatini</c:v>
                </c:pt>
                <c:pt idx="5">
                  <c:v>Lesotho</c:v>
                </c:pt>
                <c:pt idx="6">
                  <c:v>Zambia</c:v>
                </c:pt>
                <c:pt idx="7">
                  <c:v>Sierra Leone</c:v>
                </c:pt>
                <c:pt idx="8">
                  <c:v>Namibia</c:v>
                </c:pt>
                <c:pt idx="9">
                  <c:v>Kenya</c:v>
                </c:pt>
                <c:pt idx="10">
                  <c:v>Botswana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relativities-Int$'!$C$2:$C$13</c:f>
              <c:numCache>
                <c:formatCode>_(* #,##0.00_);_(* \(#,##0.00\);_(* "-"??_);_(@_)</c:formatCode>
                <c:ptCount val="12"/>
                <c:pt idx="0">
                  <c:v>8169.61397509578</c:v>
                </c:pt>
                <c:pt idx="1">
                  <c:v>6907.2970747994841</c:v>
                </c:pt>
                <c:pt idx="2">
                  <c:v>11563.74068848127</c:v>
                </c:pt>
                <c:pt idx="3">
                  <c:v>13372.824584970736</c:v>
                </c:pt>
                <c:pt idx="4">
                  <c:v>20219.040278202618</c:v>
                </c:pt>
                <c:pt idx="5">
                  <c:v>18834.076953333395</c:v>
                </c:pt>
                <c:pt idx="6">
                  <c:v>12432.235273541795</c:v>
                </c:pt>
                <c:pt idx="7">
                  <c:v>15969.844242570172</c:v>
                </c:pt>
                <c:pt idx="8">
                  <c:v>79791.630452208483</c:v>
                </c:pt>
                <c:pt idx="9">
                  <c:v>29794.271312864072</c:v>
                </c:pt>
                <c:pt idx="10">
                  <c:v>62092.360953351905</c:v>
                </c:pt>
                <c:pt idx="11">
                  <c:v>52753.428514124666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8-5F4E-874D-9FF9B8976F6B}"/>
            </c:ext>
          </c:extLst>
        </c:ser>
        <c:ser>
          <c:idx val="2"/>
          <c:order val="2"/>
          <c:tx>
            <c:strRef>
              <c:f>'Cross-country relativities-Int$'!$D$1</c:f>
              <c:strCache>
                <c:ptCount val="1"/>
                <c:pt idx="0">
                  <c:v>Pharmacists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'Cross-country relativities-Int$'!$A$2:$A$13</c:f>
              <c:strCache>
                <c:ptCount val="12"/>
                <c:pt idx="0">
                  <c:v>Ethiopia</c:v>
                </c:pt>
                <c:pt idx="1">
                  <c:v>Zimbabwe</c:v>
                </c:pt>
                <c:pt idx="2">
                  <c:v>Malawi</c:v>
                </c:pt>
                <c:pt idx="3">
                  <c:v>Rwanda</c:v>
                </c:pt>
                <c:pt idx="4">
                  <c:v>Eswatini</c:v>
                </c:pt>
                <c:pt idx="5">
                  <c:v>Lesotho</c:v>
                </c:pt>
                <c:pt idx="6">
                  <c:v>Zambia</c:v>
                </c:pt>
                <c:pt idx="7">
                  <c:v>Sierra Leone</c:v>
                </c:pt>
                <c:pt idx="8">
                  <c:v>Namibia</c:v>
                </c:pt>
                <c:pt idx="9">
                  <c:v>Kenya</c:v>
                </c:pt>
                <c:pt idx="10">
                  <c:v>Botswana</c:v>
                </c:pt>
                <c:pt idx="11">
                  <c:v>South Africa</c:v>
                </c:pt>
              </c:strCache>
            </c:strRef>
          </c:cat>
          <c:val>
            <c:numRef>
              <c:f>'Cross-country relativities-Int$'!$D$2:$D$13</c:f>
              <c:numCache>
                <c:formatCode>_(* #,##0.00_);_(* \(#,##0.00\);_(* "-"??_);_(@_)</c:formatCode>
                <c:ptCount val="12"/>
                <c:pt idx="0">
                  <c:v>10463.021377240473</c:v>
                </c:pt>
                <c:pt idx="1">
                  <c:v>6907.2970747994841</c:v>
                </c:pt>
                <c:pt idx="2">
                  <c:v>11563.74068848127</c:v>
                </c:pt>
                <c:pt idx="3">
                  <c:v>22220.071381525991</c:v>
                </c:pt>
                <c:pt idx="4">
                  <c:v>33007.232032650747</c:v>
                </c:pt>
                <c:pt idx="5">
                  <c:v>34325.30692830187</c:v>
                </c:pt>
                <c:pt idx="6">
                  <c:v>17777.811213578552</c:v>
                </c:pt>
                <c:pt idx="7">
                  <c:v>36799.407654462222</c:v>
                </c:pt>
                <c:pt idx="8">
                  <c:v>71997.147887843937</c:v>
                </c:pt>
                <c:pt idx="9">
                  <c:v>81322.096264865948</c:v>
                </c:pt>
                <c:pt idx="10">
                  <c:v>70191.328468850479</c:v>
                </c:pt>
                <c:pt idx="11">
                  <c:v>88394.401071194443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8-5F4E-874D-9FF9B8976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4936239"/>
        <c:axId val="630107919"/>
      </c:barChart>
      <c:catAx>
        <c:axId val="23493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30107919"/>
        <c:crosses val="autoZero"/>
        <c:auto val="1"/>
        <c:lblAlgn val="ctr"/>
        <c:lblOffset val="100"/>
        <c:noMultiLvlLbl val="0"/>
      </c:catAx>
      <c:valAx>
        <c:axId val="6301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3493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Income as a mutiple of GDP per capita (USD) in 12 African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'Cross country wage index'!$B$1</c:f>
              <c:strCache>
                <c:ptCount val="1"/>
                <c:pt idx="0">
                  <c:v>Physicians specialists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 country wage index'!$A$2:$A$13</c:f>
              <c:strCache>
                <c:ptCount val="12"/>
                <c:pt idx="0">
                  <c:v>Ethiopia</c:v>
                </c:pt>
                <c:pt idx="1">
                  <c:v>Eswatini</c:v>
                </c:pt>
                <c:pt idx="2">
                  <c:v>Botswana</c:v>
                </c:pt>
                <c:pt idx="3">
                  <c:v>Zimbabwe</c:v>
                </c:pt>
                <c:pt idx="4">
                  <c:v>Namibia</c:v>
                </c:pt>
                <c:pt idx="5">
                  <c:v>South Africa</c:v>
                </c:pt>
                <c:pt idx="6">
                  <c:v>Rwanda</c:v>
                </c:pt>
                <c:pt idx="7">
                  <c:v>Malawi</c:v>
                </c:pt>
                <c:pt idx="8">
                  <c:v>Kenya</c:v>
                </c:pt>
                <c:pt idx="9">
                  <c:v>Zambia</c:v>
                </c:pt>
                <c:pt idx="10">
                  <c:v>Lesotho</c:v>
                </c:pt>
                <c:pt idx="11">
                  <c:v>Sierra Leone</c:v>
                </c:pt>
              </c:strCache>
            </c:strRef>
          </c:cat>
          <c:val>
            <c:numRef>
              <c:f>'Cross country wage index'!$B$2:$B$13</c:f>
              <c:numCache>
                <c:formatCode>_(* #,##0.00_);_(* \(#,##0.00\);_(* "-"??_);_(@_)</c:formatCode>
                <c:ptCount val="12"/>
                <c:pt idx="0">
                  <c:v>6.2996569407616425</c:v>
                </c:pt>
                <c:pt idx="1">
                  <c:v>8.2057574375735225</c:v>
                </c:pt>
                <c:pt idx="2">
                  <c:v>8.6064868909265915</c:v>
                </c:pt>
                <c:pt idx="3">
                  <c:v>10.966575844783526</c:v>
                </c:pt>
                <c:pt idx="4">
                  <c:v>14.261722672779083</c:v>
                </c:pt>
                <c:pt idx="5">
                  <c:v>15.506486064595597</c:v>
                </c:pt>
                <c:pt idx="6">
                  <c:v>22.331938855784742</c:v>
                </c:pt>
                <c:pt idx="7">
                  <c:v>25.087705235307453</c:v>
                </c:pt>
                <c:pt idx="8">
                  <c:v>27.414648014820191</c:v>
                </c:pt>
                <c:pt idx="9">
                  <c:v>28.483155930905522</c:v>
                </c:pt>
                <c:pt idx="10">
                  <c:v>30.474069514409159</c:v>
                </c:pt>
                <c:pt idx="11">
                  <c:v>54.442335921177822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8-474F-8F05-68FBCA0837E6}"/>
            </c:ext>
          </c:extLst>
        </c:ser>
        <c:ser>
          <c:idx val="1"/>
          <c:order val="1"/>
          <c:tx>
            <c:strRef>
              <c:f>'Cross country wage index'!$C$1</c:f>
              <c:strCache>
                <c:ptCount val="1"/>
                <c:pt idx="0">
                  <c:v>Nurses &amp; 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 country wage index'!$A$2:$A$13</c:f>
              <c:strCache>
                <c:ptCount val="12"/>
                <c:pt idx="0">
                  <c:v>Ethiopia</c:v>
                </c:pt>
                <c:pt idx="1">
                  <c:v>Eswatini</c:v>
                </c:pt>
                <c:pt idx="2">
                  <c:v>Botswana</c:v>
                </c:pt>
                <c:pt idx="3">
                  <c:v>Zimbabwe</c:v>
                </c:pt>
                <c:pt idx="4">
                  <c:v>Namibia</c:v>
                </c:pt>
                <c:pt idx="5">
                  <c:v>South Africa</c:v>
                </c:pt>
                <c:pt idx="6">
                  <c:v>Rwanda</c:v>
                </c:pt>
                <c:pt idx="7">
                  <c:v>Malawi</c:v>
                </c:pt>
                <c:pt idx="8">
                  <c:v>Kenya</c:v>
                </c:pt>
                <c:pt idx="9">
                  <c:v>Zambia</c:v>
                </c:pt>
                <c:pt idx="10">
                  <c:v>Lesotho</c:v>
                </c:pt>
                <c:pt idx="11">
                  <c:v>Sierra Leone</c:v>
                </c:pt>
              </c:strCache>
            </c:strRef>
          </c:cat>
          <c:val>
            <c:numRef>
              <c:f>'Cross country wage index'!$C$2:$C$13</c:f>
              <c:numCache>
                <c:formatCode>_(* #,##0.00_);_(* \(#,##0.00\);_(* "-"??_);_(@_)</c:formatCode>
                <c:ptCount val="12"/>
                <c:pt idx="0">
                  <c:v>3.541209494246409</c:v>
                </c:pt>
                <c:pt idx="1">
                  <c:v>2.784666781101456</c:v>
                </c:pt>
                <c:pt idx="2">
                  <c:v>3.7541917226232284</c:v>
                </c:pt>
                <c:pt idx="3">
                  <c:v>3.0946027324186725</c:v>
                </c:pt>
                <c:pt idx="4">
                  <c:v>10.055269133291025</c:v>
                </c:pt>
                <c:pt idx="5">
                  <c:v>5.4958475607699731</c:v>
                </c:pt>
                <c:pt idx="6">
                  <c:v>5.6378544948415579</c:v>
                </c:pt>
                <c:pt idx="7">
                  <c:v>9.2894855571710284</c:v>
                </c:pt>
                <c:pt idx="8">
                  <c:v>6.6072604685356993</c:v>
                </c:pt>
                <c:pt idx="9">
                  <c:v>4.4636842311496681</c:v>
                </c:pt>
                <c:pt idx="10">
                  <c:v>8.8510477700903536</c:v>
                </c:pt>
                <c:pt idx="11">
                  <c:v>8.5334734731022071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8-474F-8F05-68FBCA0837E6}"/>
            </c:ext>
          </c:extLst>
        </c:ser>
        <c:ser>
          <c:idx val="2"/>
          <c:order val="2"/>
          <c:tx>
            <c:strRef>
              <c:f>'Cross country wage index'!$D$1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 country wage index'!$A$2:$A$13</c:f>
              <c:strCache>
                <c:ptCount val="12"/>
                <c:pt idx="0">
                  <c:v>Ethiopia</c:v>
                </c:pt>
                <c:pt idx="1">
                  <c:v>Eswatini</c:v>
                </c:pt>
                <c:pt idx="2">
                  <c:v>Botswana</c:v>
                </c:pt>
                <c:pt idx="3">
                  <c:v>Zimbabwe</c:v>
                </c:pt>
                <c:pt idx="4">
                  <c:v>Namibia</c:v>
                </c:pt>
                <c:pt idx="5">
                  <c:v>South Africa</c:v>
                </c:pt>
                <c:pt idx="6">
                  <c:v>Rwanda</c:v>
                </c:pt>
                <c:pt idx="7">
                  <c:v>Malawi</c:v>
                </c:pt>
                <c:pt idx="8">
                  <c:v>Kenya</c:v>
                </c:pt>
                <c:pt idx="9">
                  <c:v>Zambia</c:v>
                </c:pt>
                <c:pt idx="10">
                  <c:v>Lesotho</c:v>
                </c:pt>
                <c:pt idx="11">
                  <c:v>Sierra Leone</c:v>
                </c:pt>
              </c:strCache>
            </c:strRef>
          </c:cat>
          <c:val>
            <c:numRef>
              <c:f>'Cross country wage index'!$D$2:$D$13</c:f>
            </c:numRef>
          </c:val>
          <c:extLst>
            <c:ext xmlns:c16="http://schemas.microsoft.com/office/drawing/2014/chart" uri="{C3380CC4-5D6E-409C-BE32-E72D297353CC}">
              <c16:uniqueId val="{00000002-85A8-474F-8F05-68FBCA0837E6}"/>
            </c:ext>
          </c:extLst>
        </c:ser>
        <c:ser>
          <c:idx val="3"/>
          <c:order val="3"/>
          <c:tx>
            <c:strRef>
              <c:f>'Cross country wage index'!$E$1</c:f>
              <c:strCache>
                <c:ptCount val="1"/>
                <c:pt idx="0">
                  <c:v>Pharmacists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'Cross country wage index'!$A$2:$A$13</c:f>
              <c:strCache>
                <c:ptCount val="12"/>
                <c:pt idx="0">
                  <c:v>Ethiopia</c:v>
                </c:pt>
                <c:pt idx="1">
                  <c:v>Eswatini</c:v>
                </c:pt>
                <c:pt idx="2">
                  <c:v>Botswana</c:v>
                </c:pt>
                <c:pt idx="3">
                  <c:v>Zimbabwe</c:v>
                </c:pt>
                <c:pt idx="4">
                  <c:v>Namibia</c:v>
                </c:pt>
                <c:pt idx="5">
                  <c:v>South Africa</c:v>
                </c:pt>
                <c:pt idx="6">
                  <c:v>Rwanda</c:v>
                </c:pt>
                <c:pt idx="7">
                  <c:v>Malawi</c:v>
                </c:pt>
                <c:pt idx="8">
                  <c:v>Kenya</c:v>
                </c:pt>
                <c:pt idx="9">
                  <c:v>Zambia</c:v>
                </c:pt>
                <c:pt idx="10">
                  <c:v>Lesotho</c:v>
                </c:pt>
                <c:pt idx="11">
                  <c:v>Sierra Leone</c:v>
                </c:pt>
              </c:strCache>
            </c:strRef>
          </c:cat>
          <c:val>
            <c:numRef>
              <c:f>'Cross country wage index'!$E$2:$E$13</c:f>
              <c:numCache>
                <c:formatCode>_(* #,##0.00_);_(* \(#,##0.00\);_(* "-"??_);_(@_)</c:formatCode>
                <c:ptCount val="12"/>
                <c:pt idx="0">
                  <c:v>4.5353122867904796</c:v>
                </c:pt>
                <c:pt idx="1">
                  <c:v>4.5459201481743712</c:v>
                </c:pt>
                <c:pt idx="2">
                  <c:v>4.2438667219572297</c:v>
                </c:pt>
                <c:pt idx="3">
                  <c:v>3.0946027324186725</c:v>
                </c:pt>
                <c:pt idx="4">
                  <c:v>9.0730154871974875</c:v>
                </c:pt>
                <c:pt idx="5">
                  <c:v>9.2089209591898609</c:v>
                </c:pt>
                <c:pt idx="6">
                  <c:v>9.3677688298422197</c:v>
                </c:pt>
                <c:pt idx="7">
                  <c:v>9.2894855571710284</c:v>
                </c:pt>
                <c:pt idx="8">
                  <c:v>18.03421423625521</c:v>
                </c:pt>
                <c:pt idx="9">
                  <c:v>6.3829660420992953</c:v>
                </c:pt>
                <c:pt idx="10">
                  <c:v>16.131129340620106</c:v>
                </c:pt>
                <c:pt idx="11">
                  <c:v>19.663733989849391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8-474F-8F05-68FBCA08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619199"/>
        <c:axId val="574492207"/>
      </c:barChart>
      <c:catAx>
        <c:axId val="57461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74492207"/>
        <c:crosses val="autoZero"/>
        <c:auto val="1"/>
        <c:lblAlgn val="ctr"/>
        <c:lblOffset val="100"/>
        <c:noMultiLvlLbl val="0"/>
      </c:catAx>
      <c:valAx>
        <c:axId val="574492207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7461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Physicians specialists vs. Physicians generalists (R = 0.95496, N = 11)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Physicians specialists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cadres'!$AMB$1:$AMB$11</c:f>
              <c:numCache>
                <c:formatCode>General</c:formatCode>
                <c:ptCount val="11"/>
                <c:pt idx="0">
                  <c:v>93060.642857142899</c:v>
                </c:pt>
                <c:pt idx="1">
                  <c:v>49800</c:v>
                </c:pt>
                <c:pt idx="2">
                  <c:v>71841.183585313207</c:v>
                </c:pt>
                <c:pt idx="3">
                  <c:v>33928.980000000003</c:v>
                </c:pt>
                <c:pt idx="4">
                  <c:v>5391</c:v>
                </c:pt>
                <c:pt idx="5">
                  <c:v>28720.192740462298</c:v>
                </c:pt>
                <c:pt idx="6">
                  <c:v>18315.5237647059</c:v>
                </c:pt>
                <c:pt idx="7">
                  <c:v>68600.559615384598</c:v>
                </c:pt>
                <c:pt idx="8">
                  <c:v>14628.8969072165</c:v>
                </c:pt>
                <c:pt idx="9">
                  <c:v>37170.581538461498</c:v>
                </c:pt>
                <c:pt idx="10">
                  <c:v>31958.714285714301</c:v>
                </c:pt>
              </c:numCache>
            </c:numRef>
          </c:xVal>
          <c:yVal>
            <c:numRef>
              <c:f>'Correlation-GDP vs cadres'!$AMA$1:$AMA$11</c:f>
              <c:numCache>
                <c:formatCode>General</c:formatCode>
                <c:ptCount val="11"/>
                <c:pt idx="0">
                  <c:v>70131.642857142899</c:v>
                </c:pt>
                <c:pt idx="1">
                  <c:v>38320.080000000002</c:v>
                </c:pt>
                <c:pt idx="2">
                  <c:v>67042.774658027396</c:v>
                </c:pt>
                <c:pt idx="3">
                  <c:v>28693.57</c:v>
                </c:pt>
                <c:pt idx="4">
                  <c:v>4350</c:v>
                </c:pt>
                <c:pt idx="5">
                  <c:v>9452.5853167774203</c:v>
                </c:pt>
                <c:pt idx="6">
                  <c:v>11152.2437647059</c:v>
                </c:pt>
                <c:pt idx="7">
                  <c:v>40332.199999999997</c:v>
                </c:pt>
                <c:pt idx="8">
                  <c:v>6021.5567010309296</c:v>
                </c:pt>
                <c:pt idx="9">
                  <c:v>25106.732307692298</c:v>
                </c:pt>
                <c:pt idx="10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1-2348-9EA3-3A6F20968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"/>
        <c:axId val="1002"/>
      </c:scatterChart>
      <c:valAx>
        <c:axId val="10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2"/>
        <c:crossesAt val="0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Nurses vs. Physicians generalists (R = 0.90084, N = 11)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Nurses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cadres'!$AMD$1:$AMD$11</c:f>
              <c:numCache>
                <c:formatCode>General</c:formatCode>
                <c:ptCount val="11"/>
                <c:pt idx="0">
                  <c:v>32982.785714285703</c:v>
                </c:pt>
                <c:pt idx="1">
                  <c:v>12002.4</c:v>
                </c:pt>
                <c:pt idx="2">
                  <c:v>50651.835853131699</c:v>
                </c:pt>
                <c:pt idx="3">
                  <c:v>9854.51</c:v>
                </c:pt>
                <c:pt idx="4">
                  <c:v>3030.4285714285702</c:v>
                </c:pt>
                <c:pt idx="5">
                  <c:v>4501.69888463182</c:v>
                </c:pt>
                <c:pt idx="6">
                  <c:v>4623.8823529411802</c:v>
                </c:pt>
                <c:pt idx="7">
                  <c:v>29923.9</c:v>
                </c:pt>
                <c:pt idx="8">
                  <c:v>5416.7938144329901</c:v>
                </c:pt>
                <c:pt idx="9">
                  <c:v>5825.1178021978003</c:v>
                </c:pt>
                <c:pt idx="10">
                  <c:v>10845.357142857099</c:v>
                </c:pt>
              </c:numCache>
            </c:numRef>
          </c:xVal>
          <c:yVal>
            <c:numRef>
              <c:f>'Correlation-GDP vs cadres'!$AMC$1:$AMC$11</c:f>
              <c:numCache>
                <c:formatCode>General</c:formatCode>
                <c:ptCount val="11"/>
                <c:pt idx="0">
                  <c:v>70131.642857142899</c:v>
                </c:pt>
                <c:pt idx="1">
                  <c:v>38320.080000000002</c:v>
                </c:pt>
                <c:pt idx="2">
                  <c:v>67042.774658027396</c:v>
                </c:pt>
                <c:pt idx="3">
                  <c:v>28693.57</c:v>
                </c:pt>
                <c:pt idx="4">
                  <c:v>4350</c:v>
                </c:pt>
                <c:pt idx="5">
                  <c:v>9452.5853167774203</c:v>
                </c:pt>
                <c:pt idx="6">
                  <c:v>11152.2437647059</c:v>
                </c:pt>
                <c:pt idx="7">
                  <c:v>40332.199999999997</c:v>
                </c:pt>
                <c:pt idx="8">
                  <c:v>6021.5567010309296</c:v>
                </c:pt>
                <c:pt idx="9">
                  <c:v>25106.732307692298</c:v>
                </c:pt>
                <c:pt idx="10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E-9043-A820-084A4AA10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"/>
        <c:axId val="1005"/>
      </c:scatterChart>
      <c:valAx>
        <c:axId val="10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5"/>
        <c:crossesAt val="0"/>
        <c:crossBetween val="midCat"/>
      </c:valAx>
      <c:valAx>
        <c:axId val="100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Midwives vs. Physicians generalists (R = 0.90646, N = 11)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Midwives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cadres'!$AMF$1:$AMF$11</c:f>
              <c:numCache>
                <c:formatCode>General</c:formatCode>
                <c:ptCount val="11"/>
                <c:pt idx="0">
                  <c:v>32982.785714285703</c:v>
                </c:pt>
                <c:pt idx="1">
                  <c:v>12002.4</c:v>
                </c:pt>
                <c:pt idx="2">
                  <c:v>50651.835853131699</c:v>
                </c:pt>
                <c:pt idx="3">
                  <c:v>9854.51</c:v>
                </c:pt>
                <c:pt idx="4">
                  <c:v>3881.1428571428601</c:v>
                </c:pt>
                <c:pt idx="5">
                  <c:v>4501.69888463182</c:v>
                </c:pt>
                <c:pt idx="6">
                  <c:v>4635.0635294117601</c:v>
                </c:pt>
                <c:pt idx="7">
                  <c:v>18169.0116646432</c:v>
                </c:pt>
                <c:pt idx="8">
                  <c:v>5416.7938144329901</c:v>
                </c:pt>
                <c:pt idx="9">
                  <c:v>6741.58210361069</c:v>
                </c:pt>
                <c:pt idx="10">
                  <c:v>10845.357142857099</c:v>
                </c:pt>
              </c:numCache>
            </c:numRef>
          </c:xVal>
          <c:yVal>
            <c:numRef>
              <c:f>'Correlation-GDP vs cadres'!$AME$1:$AME$11</c:f>
              <c:numCache>
                <c:formatCode>General</c:formatCode>
                <c:ptCount val="11"/>
                <c:pt idx="0">
                  <c:v>70131.642857142899</c:v>
                </c:pt>
                <c:pt idx="1">
                  <c:v>38320.080000000002</c:v>
                </c:pt>
                <c:pt idx="2">
                  <c:v>67042.774658027396</c:v>
                </c:pt>
                <c:pt idx="3">
                  <c:v>28693.57</c:v>
                </c:pt>
                <c:pt idx="4">
                  <c:v>4350</c:v>
                </c:pt>
                <c:pt idx="5">
                  <c:v>9452.5853167774203</c:v>
                </c:pt>
                <c:pt idx="6">
                  <c:v>11152.2437647059</c:v>
                </c:pt>
                <c:pt idx="7">
                  <c:v>40332.199999999997</c:v>
                </c:pt>
                <c:pt idx="8">
                  <c:v>6021.5567010309296</c:v>
                </c:pt>
                <c:pt idx="9">
                  <c:v>25106.732307692298</c:v>
                </c:pt>
                <c:pt idx="10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D-1F42-B5AC-DF2578722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"/>
        <c:axId val="1008"/>
      </c:scatterChart>
      <c:valAx>
        <c:axId val="10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8"/>
        <c:crossesAt val="0"/>
        <c:crossBetween val="midCat"/>
      </c:valAx>
      <c:valAx>
        <c:axId val="10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0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Dentists  vs. Physicians generalists (R = 0.96355,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Dentists 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cadres'!$AMH$1:$AMH$10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xVal>
          <c:yVal>
            <c:numRef>
              <c:f>'Correlation-GDP vs cadres'!$AMG$1:$AMG$10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67042.774658027396</c:v>
                </c:pt>
                <c:pt idx="2">
                  <c:v>28693.57</c:v>
                </c:pt>
                <c:pt idx="3">
                  <c:v>4350</c:v>
                </c:pt>
                <c:pt idx="4">
                  <c:v>9452.5853167774203</c:v>
                </c:pt>
                <c:pt idx="5">
                  <c:v>11152.2437647059</c:v>
                </c:pt>
                <c:pt idx="6">
                  <c:v>40332.199999999997</c:v>
                </c:pt>
                <c:pt idx="7">
                  <c:v>6021.5567010309296</c:v>
                </c:pt>
                <c:pt idx="8">
                  <c:v>25106.732307692298</c:v>
                </c:pt>
                <c:pt idx="9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8-FB4B-A2CA-4739CD0B0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"/>
        <c:axId val="1011"/>
      </c:scatterChart>
      <c:valAx>
        <c:axId val="101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1"/>
        <c:crossesAt val="0"/>
        <c:crossBetween val="midCat"/>
      </c:valAx>
      <c:valAx>
        <c:axId val="101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Pharmacists  vs. Physicians generalists (R = 0.96829, N = 11)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Pharmacists 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cadres'!$AMJ$1:$AMJ$11</c:f>
              <c:numCache>
                <c:formatCode>General</c:formatCode>
                <c:ptCount val="11"/>
                <c:pt idx="0">
                  <c:v>55266.428571428602</c:v>
                </c:pt>
                <c:pt idx="1">
                  <c:v>32760</c:v>
                </c:pt>
                <c:pt idx="2">
                  <c:v>45703.887688984898</c:v>
                </c:pt>
                <c:pt idx="3">
                  <c:v>17959.95</c:v>
                </c:pt>
                <c:pt idx="4">
                  <c:v>3881.1428571428601</c:v>
                </c:pt>
                <c:pt idx="5">
                  <c:v>10373.291678801201</c:v>
                </c:pt>
                <c:pt idx="6">
                  <c:v>7682.9689411764703</c:v>
                </c:pt>
                <c:pt idx="7">
                  <c:v>33827</c:v>
                </c:pt>
                <c:pt idx="8">
                  <c:v>5416.7938144329901</c:v>
                </c:pt>
                <c:pt idx="9">
                  <c:v>8329.7848138957997</c:v>
                </c:pt>
                <c:pt idx="10">
                  <c:v>17704.857142857101</c:v>
                </c:pt>
              </c:numCache>
            </c:numRef>
          </c:xVal>
          <c:yVal>
            <c:numRef>
              <c:f>'Correlation-GDP vs cadres'!$AMI$1:$AMI$11</c:f>
              <c:numCache>
                <c:formatCode>General</c:formatCode>
                <c:ptCount val="11"/>
                <c:pt idx="0">
                  <c:v>70131.642857142899</c:v>
                </c:pt>
                <c:pt idx="1">
                  <c:v>38320.080000000002</c:v>
                </c:pt>
                <c:pt idx="2">
                  <c:v>67042.774658027396</c:v>
                </c:pt>
                <c:pt idx="3">
                  <c:v>28693.57</c:v>
                </c:pt>
                <c:pt idx="4">
                  <c:v>4350</c:v>
                </c:pt>
                <c:pt idx="5">
                  <c:v>9452.5853167774203</c:v>
                </c:pt>
                <c:pt idx="6">
                  <c:v>11152.2437647059</c:v>
                </c:pt>
                <c:pt idx="7">
                  <c:v>40332.199999999997</c:v>
                </c:pt>
                <c:pt idx="8">
                  <c:v>6021.5567010309296</c:v>
                </c:pt>
                <c:pt idx="9">
                  <c:v>25106.732307692298</c:v>
                </c:pt>
                <c:pt idx="10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A-3F4A-A53C-F0A809D9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"/>
        <c:axId val="1014"/>
      </c:scatterChart>
      <c:valAx>
        <c:axId val="10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4"/>
        <c:crossesAt val="0"/>
        <c:crossBetween val="midCat"/>
      </c:valAx>
      <c:valAx>
        <c:axId val="101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Laboratory Scientists vs. Physicians generalists (R = 0.7205,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cadres'!$AML$1:$AML$9</c:f>
              <c:numCache>
                <c:formatCode>General</c:formatCode>
                <c:ptCount val="9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4951.3542135500802</c:v>
                </c:pt>
                <c:pt idx="4">
                  <c:v>4623.8823529411802</c:v>
                </c:pt>
                <c:pt idx="5">
                  <c:v>33827</c:v>
                </c:pt>
                <c:pt idx="6">
                  <c:v>5416.7938144329901</c:v>
                </c:pt>
                <c:pt idx="7">
                  <c:v>5825.1178021978003</c:v>
                </c:pt>
                <c:pt idx="8">
                  <c:v>9005.4285714285706</c:v>
                </c:pt>
              </c:numCache>
            </c:numRef>
          </c:xVal>
          <c:yVal>
            <c:numRef>
              <c:f>'Correlation-GDP vs cadres'!$AMK$1:$AMK$9</c:f>
              <c:numCache>
                <c:formatCode>General</c:formatCode>
                <c:ptCount val="9"/>
                <c:pt idx="0">
                  <c:v>38320.080000000002</c:v>
                </c:pt>
                <c:pt idx="1">
                  <c:v>28693.57</c:v>
                </c:pt>
                <c:pt idx="2">
                  <c:v>4350</c:v>
                </c:pt>
                <c:pt idx="3">
                  <c:v>9452.5853167774203</c:v>
                </c:pt>
                <c:pt idx="4">
                  <c:v>11152.2437647059</c:v>
                </c:pt>
                <c:pt idx="5">
                  <c:v>40332.199999999997</c:v>
                </c:pt>
                <c:pt idx="6">
                  <c:v>6021.5567010309296</c:v>
                </c:pt>
                <c:pt idx="7">
                  <c:v>25106.732307692298</c:v>
                </c:pt>
                <c:pt idx="8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3-3641-8B6E-F48623827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"/>
        <c:axId val="1017"/>
      </c:scatterChart>
      <c:valAx>
        <c:axId val="101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7"/>
        <c:crossesAt val="0"/>
        <c:crossBetween val="midCat"/>
      </c:valAx>
      <c:valAx>
        <c:axId val="101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Radiographers vs. Physicians generalists (R = 0.90231,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cadres'!$AMN$1:$AMN$9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29543.7753779698</c:v>
                </c:pt>
                <c:pt idx="2">
                  <c:v>12188.43</c:v>
                </c:pt>
                <c:pt idx="3">
                  <c:v>3881.1428571428601</c:v>
                </c:pt>
                <c:pt idx="4">
                  <c:v>7406.5711789468096</c:v>
                </c:pt>
                <c:pt idx="5">
                  <c:v>33827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7477.7857142857101</c:v>
                </c:pt>
              </c:numCache>
            </c:numRef>
          </c:xVal>
          <c:yVal>
            <c:numRef>
              <c:f>'Correlation-GDP vs cadres'!$AMM$1:$AMM$9</c:f>
              <c:numCache>
                <c:formatCode>General</c:formatCode>
                <c:ptCount val="9"/>
                <c:pt idx="0">
                  <c:v>70131.642857142899</c:v>
                </c:pt>
                <c:pt idx="1">
                  <c:v>67042.774658027396</c:v>
                </c:pt>
                <c:pt idx="2">
                  <c:v>28693.57</c:v>
                </c:pt>
                <c:pt idx="3">
                  <c:v>4350</c:v>
                </c:pt>
                <c:pt idx="4">
                  <c:v>9452.5853167774203</c:v>
                </c:pt>
                <c:pt idx="5">
                  <c:v>40332.199999999997</c:v>
                </c:pt>
                <c:pt idx="6">
                  <c:v>6021.5567010309296</c:v>
                </c:pt>
                <c:pt idx="7">
                  <c:v>25106.732307692298</c:v>
                </c:pt>
                <c:pt idx="8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A-6149-BC41-967E07FE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"/>
        <c:axId val="1020"/>
      </c:scatterChart>
      <c:valAx>
        <c:axId val="10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0"/>
        <c:crossesAt val="0"/>
        <c:crossBetween val="midCat"/>
      </c:valAx>
      <c:valAx>
        <c:axId val="10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1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200" b="1"/>
              <a:t>Environment and public health workers vs. Physicians generalists (R = 0.93466,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cadres'!$AMP$1:$AMP$10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cadres'!$AMO$1:$AMO$10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67042.774658027396</c:v>
                </c:pt>
                <c:pt idx="2">
                  <c:v>28693.57</c:v>
                </c:pt>
                <c:pt idx="3">
                  <c:v>4350</c:v>
                </c:pt>
                <c:pt idx="4">
                  <c:v>9452.5853167774203</c:v>
                </c:pt>
                <c:pt idx="5">
                  <c:v>11152.2437647059</c:v>
                </c:pt>
                <c:pt idx="6">
                  <c:v>40332.199999999997</c:v>
                </c:pt>
                <c:pt idx="7">
                  <c:v>6021.5567010309296</c:v>
                </c:pt>
                <c:pt idx="8">
                  <c:v>25106.732307692298</c:v>
                </c:pt>
                <c:pt idx="9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E-5542-990E-522AF5270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"/>
        <c:axId val="1023"/>
      </c:scatterChart>
      <c:valAx>
        <c:axId val="10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3"/>
        <c:crossesAt val="0"/>
        <c:crossBetween val="midCat"/>
      </c:valAx>
      <c:valAx>
        <c:axId val="102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Physicians generalists (R = 0.31429,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cadres'!$AMR$1:$AMR$8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xVal>
          <c:yVal>
            <c:numRef>
              <c:f>'Correlation-GDP vs cadres'!$AMQ$1:$AMQ$8</c:f>
              <c:numCache>
                <c:formatCode>General</c:formatCode>
                <c:ptCount val="8"/>
                <c:pt idx="0">
                  <c:v>70131.642857142899</c:v>
                </c:pt>
                <c:pt idx="1">
                  <c:v>38320.080000000002</c:v>
                </c:pt>
                <c:pt idx="2">
                  <c:v>28693.57</c:v>
                </c:pt>
                <c:pt idx="3">
                  <c:v>4350</c:v>
                </c:pt>
                <c:pt idx="4">
                  <c:v>9452.5853167774203</c:v>
                </c:pt>
                <c:pt idx="5">
                  <c:v>40332.199999999997</c:v>
                </c:pt>
                <c:pt idx="6">
                  <c:v>6021.5567010309296</c:v>
                </c:pt>
                <c:pt idx="7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3-3E4C-88FC-FDD5EAF4A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"/>
        <c:axId val="1026"/>
      </c:scatterChart>
      <c:valAx>
        <c:axId val="10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6"/>
        <c:crossesAt val="0"/>
        <c:crossBetween val="midCat"/>
      </c:valAx>
      <c:valAx>
        <c:axId val="102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Physicians generalists (R = 0.89294,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cadres'!$AMT$1:$AMT$9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xVal>
          <c:yVal>
            <c:numRef>
              <c:f>'Correlation-GDP vs cadres'!$AMS$1:$AMS$9</c:f>
              <c:numCache>
                <c:formatCode>General</c:formatCode>
                <c:ptCount val="9"/>
                <c:pt idx="0">
                  <c:v>70131.642857142899</c:v>
                </c:pt>
                <c:pt idx="1">
                  <c:v>67042.774658027396</c:v>
                </c:pt>
                <c:pt idx="2">
                  <c:v>28693.57</c:v>
                </c:pt>
                <c:pt idx="3">
                  <c:v>9452.5853167774203</c:v>
                </c:pt>
                <c:pt idx="4">
                  <c:v>11152.2437647059</c:v>
                </c:pt>
                <c:pt idx="5">
                  <c:v>40332.199999999997</c:v>
                </c:pt>
                <c:pt idx="6">
                  <c:v>6021.5567010309296</c:v>
                </c:pt>
                <c:pt idx="7">
                  <c:v>25106.732307692298</c:v>
                </c:pt>
                <c:pt idx="8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1-E740-B41F-292F008E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"/>
        <c:axId val="1029"/>
      </c:scatterChart>
      <c:valAx>
        <c:axId val="102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9"/>
        <c:crossesAt val="0"/>
        <c:crossBetween val="midCat"/>
      </c:valAx>
      <c:valAx>
        <c:axId val="102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2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Physicians generalists (R = 0.92296,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cadres'!$AMV$1:$AMV$8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cadres'!$AMU$1:$AMU$8</c:f>
              <c:numCache>
                <c:formatCode>General</c:formatCode>
                <c:ptCount val="8"/>
                <c:pt idx="0">
                  <c:v>38320.080000000002</c:v>
                </c:pt>
                <c:pt idx="1">
                  <c:v>4350</c:v>
                </c:pt>
                <c:pt idx="2">
                  <c:v>9452.5853167774203</c:v>
                </c:pt>
                <c:pt idx="3">
                  <c:v>11152.2437647059</c:v>
                </c:pt>
                <c:pt idx="4">
                  <c:v>40332.199999999997</c:v>
                </c:pt>
                <c:pt idx="5">
                  <c:v>6021.5567010309296</c:v>
                </c:pt>
                <c:pt idx="6">
                  <c:v>25106.732307692298</c:v>
                </c:pt>
                <c:pt idx="7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E-EF4D-AC40-644A9B15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"/>
        <c:axId val="1032"/>
      </c:scatterChart>
      <c:valAx>
        <c:axId val="10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2"/>
        <c:crossesAt val="0"/>
        <c:crossBetween val="midCat"/>
      </c:valAx>
      <c:valAx>
        <c:axId val="1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Physicians generalists (R = 0.76012, N = 11)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Physicians generalists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cadres'!$AMX$1:$AMX$11</c:f>
              <c:numCache>
                <c:formatCode>General</c:formatCode>
                <c:ptCount val="11"/>
                <c:pt idx="0">
                  <c:v>6001.4011214067996</c:v>
                </c:pt>
                <c:pt idx="1">
                  <c:v>1816.5471237521799</c:v>
                </c:pt>
                <c:pt idx="2">
                  <c:v>5037.3426291926298</c:v>
                </c:pt>
                <c:pt idx="3">
                  <c:v>1113.3721403358099</c:v>
                </c:pt>
                <c:pt idx="4">
                  <c:v>855.76088518690301</c:v>
                </c:pt>
                <c:pt idx="5">
                  <c:v>527.53417454467103</c:v>
                </c:pt>
                <c:pt idx="6">
                  <c:v>820.14928855859398</c:v>
                </c:pt>
                <c:pt idx="7">
                  <c:v>7970.7969680064098</c:v>
                </c:pt>
                <c:pt idx="8">
                  <c:v>583.11020358403903</c:v>
                </c:pt>
                <c:pt idx="9">
                  <c:v>1305.0022135408699</c:v>
                </c:pt>
                <c:pt idx="10">
                  <c:v>3894.6696302985802</c:v>
                </c:pt>
              </c:numCache>
            </c:numRef>
          </c:xVal>
          <c:yVal>
            <c:numRef>
              <c:f>'Correlation-GDP vs cadres'!$AMW$1:$AMW$11</c:f>
              <c:numCache>
                <c:formatCode>General</c:formatCode>
                <c:ptCount val="11"/>
                <c:pt idx="0">
                  <c:v>70131.642857142899</c:v>
                </c:pt>
                <c:pt idx="1">
                  <c:v>38320.080000000002</c:v>
                </c:pt>
                <c:pt idx="2">
                  <c:v>67042.774658027396</c:v>
                </c:pt>
                <c:pt idx="3">
                  <c:v>28693.57</c:v>
                </c:pt>
                <c:pt idx="4">
                  <c:v>4350</c:v>
                </c:pt>
                <c:pt idx="5">
                  <c:v>9452.5853167774203</c:v>
                </c:pt>
                <c:pt idx="6">
                  <c:v>11152.2437647059</c:v>
                </c:pt>
                <c:pt idx="7">
                  <c:v>40332.199999999997</c:v>
                </c:pt>
                <c:pt idx="8">
                  <c:v>6021.5567010309296</c:v>
                </c:pt>
                <c:pt idx="9">
                  <c:v>25106.732307692298</c:v>
                </c:pt>
                <c:pt idx="10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6-4A44-B94B-273AEF077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"/>
        <c:axId val="1035"/>
      </c:scatterChart>
      <c:valAx>
        <c:axId val="10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5"/>
        <c:crossesAt val="0"/>
        <c:crossBetween val="midCat"/>
      </c:valAx>
      <c:valAx>
        <c:axId val="103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Nurses vs. Physicians specialists (R = 0.86117,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Nurses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cadres'!$AMZ$1:$AMZ$12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3030.4285714285702</c:v>
                </c:pt>
                <c:pt idx="6">
                  <c:v>4501.69888463182</c:v>
                </c:pt>
                <c:pt idx="7">
                  <c:v>4623.8823529411802</c:v>
                </c:pt>
                <c:pt idx="8">
                  <c:v>29923.9</c:v>
                </c:pt>
                <c:pt idx="9">
                  <c:v>5416.7938144329901</c:v>
                </c:pt>
                <c:pt idx="10">
                  <c:v>5825.1178021978003</c:v>
                </c:pt>
                <c:pt idx="11">
                  <c:v>10845.357142857099</c:v>
                </c:pt>
              </c:numCache>
            </c:numRef>
          </c:xVal>
          <c:yVal>
            <c:numRef>
              <c:f>'Correlation-GDP vs cadres'!$AMY$1:$AMY$12</c:f>
              <c:numCache>
                <c:formatCode>General</c:formatCode>
                <c:ptCount val="12"/>
                <c:pt idx="0">
                  <c:v>12679.06</c:v>
                </c:pt>
                <c:pt idx="1">
                  <c:v>93060.642857142899</c:v>
                </c:pt>
                <c:pt idx="2">
                  <c:v>49800</c:v>
                </c:pt>
                <c:pt idx="3">
                  <c:v>71841.183585313207</c:v>
                </c:pt>
                <c:pt idx="4">
                  <c:v>33928.980000000003</c:v>
                </c:pt>
                <c:pt idx="5">
                  <c:v>5391</c:v>
                </c:pt>
                <c:pt idx="6">
                  <c:v>28720.192740462298</c:v>
                </c:pt>
                <c:pt idx="7">
                  <c:v>18315.5237647059</c:v>
                </c:pt>
                <c:pt idx="8">
                  <c:v>68600.559615384598</c:v>
                </c:pt>
                <c:pt idx="9">
                  <c:v>14628.8969072165</c:v>
                </c:pt>
                <c:pt idx="10">
                  <c:v>37170.581538461498</c:v>
                </c:pt>
                <c:pt idx="11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9-EF44-89F3-D0A765CF4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"/>
        <c:axId val="1038"/>
      </c:scatterChart>
      <c:valAx>
        <c:axId val="10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8"/>
        <c:crossesAt val="0"/>
        <c:crossBetween val="midCat"/>
      </c:valAx>
      <c:valAx>
        <c:axId val="103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3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Midwives vs. Physicians specialists (R = 0.82155,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Midwives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cadres'!$ANB$1:$ANB$12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3881.1428571428601</c:v>
                </c:pt>
                <c:pt idx="6">
                  <c:v>4501.69888463182</c:v>
                </c:pt>
                <c:pt idx="7">
                  <c:v>4635.0635294117601</c:v>
                </c:pt>
                <c:pt idx="8">
                  <c:v>18169.0116646432</c:v>
                </c:pt>
                <c:pt idx="9">
                  <c:v>5416.7938144329901</c:v>
                </c:pt>
                <c:pt idx="10">
                  <c:v>6741.58210361069</c:v>
                </c:pt>
                <c:pt idx="11">
                  <c:v>10845.357142857099</c:v>
                </c:pt>
              </c:numCache>
            </c:numRef>
          </c:xVal>
          <c:yVal>
            <c:numRef>
              <c:f>'Correlation-GDP vs cadres'!$ANA$1:$ANA$12</c:f>
              <c:numCache>
                <c:formatCode>General</c:formatCode>
                <c:ptCount val="12"/>
                <c:pt idx="0">
                  <c:v>12679.06</c:v>
                </c:pt>
                <c:pt idx="1">
                  <c:v>93060.642857142899</c:v>
                </c:pt>
                <c:pt idx="2">
                  <c:v>49800</c:v>
                </c:pt>
                <c:pt idx="3">
                  <c:v>71841.183585313207</c:v>
                </c:pt>
                <c:pt idx="4">
                  <c:v>33928.980000000003</c:v>
                </c:pt>
                <c:pt idx="5">
                  <c:v>5391</c:v>
                </c:pt>
                <c:pt idx="6">
                  <c:v>28720.192740462298</c:v>
                </c:pt>
                <c:pt idx="7">
                  <c:v>18315.5237647059</c:v>
                </c:pt>
                <c:pt idx="8">
                  <c:v>68600.559615384598</c:v>
                </c:pt>
                <c:pt idx="9">
                  <c:v>14628.8969072165</c:v>
                </c:pt>
                <c:pt idx="10">
                  <c:v>37170.581538461498</c:v>
                </c:pt>
                <c:pt idx="11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A-3540-86CF-0A43FD672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"/>
        <c:axId val="1041"/>
      </c:scatterChart>
      <c:valAx>
        <c:axId val="104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1"/>
        <c:crossesAt val="0"/>
        <c:crossBetween val="midCat"/>
      </c:valAx>
      <c:valAx>
        <c:axId val="104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Dentists  vs. Physicians specialists (R = 0.94197,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Dentists 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cadres'!$AND$1:$AND$10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xVal>
          <c:yVal>
            <c:numRef>
              <c:f>'Correlation-GDP vs cadres'!$ANC$1:$ANC$10</c:f>
              <c:numCache>
                <c:formatCode>General</c:formatCode>
                <c:ptCount val="10"/>
                <c:pt idx="0">
                  <c:v>49800</c:v>
                </c:pt>
                <c:pt idx="1">
                  <c:v>71841.183585313207</c:v>
                </c:pt>
                <c:pt idx="2">
                  <c:v>33928.980000000003</c:v>
                </c:pt>
                <c:pt idx="3">
                  <c:v>5391</c:v>
                </c:pt>
                <c:pt idx="4">
                  <c:v>28720.192740462298</c:v>
                </c:pt>
                <c:pt idx="5">
                  <c:v>18315.5237647059</c:v>
                </c:pt>
                <c:pt idx="6">
                  <c:v>68600.559615384598</c:v>
                </c:pt>
                <c:pt idx="7">
                  <c:v>14628.8969072165</c:v>
                </c:pt>
                <c:pt idx="8">
                  <c:v>37170.581538461498</c:v>
                </c:pt>
                <c:pt idx="9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2-3D49-84FD-FD586772D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"/>
        <c:axId val="1044"/>
      </c:scatterChart>
      <c:valAx>
        <c:axId val="104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4"/>
        <c:crossesAt val="0"/>
        <c:crossBetween val="midCat"/>
      </c:valAx>
      <c:valAx>
        <c:axId val="10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Pharmacists  vs. Physicians specialists (R = 0.96437,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Pharmacists 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cadres'!$ANF$1:$ANF$12</c:f>
              <c:numCache>
                <c:formatCode>General</c:formatCode>
                <c:ptCount val="12"/>
                <c:pt idx="0">
                  <c:v>3577.84</c:v>
                </c:pt>
                <c:pt idx="1">
                  <c:v>55266.428571428602</c:v>
                </c:pt>
                <c:pt idx="2">
                  <c:v>32760</c:v>
                </c:pt>
                <c:pt idx="3">
                  <c:v>45703.887688984898</c:v>
                </c:pt>
                <c:pt idx="4">
                  <c:v>17959.95</c:v>
                </c:pt>
                <c:pt idx="5">
                  <c:v>3881.1428571428601</c:v>
                </c:pt>
                <c:pt idx="6">
                  <c:v>10373.291678801201</c:v>
                </c:pt>
                <c:pt idx="7">
                  <c:v>7682.9689411764703</c:v>
                </c:pt>
                <c:pt idx="8">
                  <c:v>33827</c:v>
                </c:pt>
                <c:pt idx="9">
                  <c:v>5416.7938144329901</c:v>
                </c:pt>
                <c:pt idx="10">
                  <c:v>8329.7848138957997</c:v>
                </c:pt>
                <c:pt idx="11">
                  <c:v>17704.857142857101</c:v>
                </c:pt>
              </c:numCache>
            </c:numRef>
          </c:xVal>
          <c:yVal>
            <c:numRef>
              <c:f>'Correlation-GDP vs cadres'!$ANE$1:$ANE$12</c:f>
              <c:numCache>
                <c:formatCode>General</c:formatCode>
                <c:ptCount val="12"/>
                <c:pt idx="0">
                  <c:v>12679.06</c:v>
                </c:pt>
                <c:pt idx="1">
                  <c:v>93060.642857142899</c:v>
                </c:pt>
                <c:pt idx="2">
                  <c:v>49800</c:v>
                </c:pt>
                <c:pt idx="3">
                  <c:v>71841.183585313207</c:v>
                </c:pt>
                <c:pt idx="4">
                  <c:v>33928.980000000003</c:v>
                </c:pt>
                <c:pt idx="5">
                  <c:v>5391</c:v>
                </c:pt>
                <c:pt idx="6">
                  <c:v>28720.192740462298</c:v>
                </c:pt>
                <c:pt idx="7">
                  <c:v>18315.5237647059</c:v>
                </c:pt>
                <c:pt idx="8">
                  <c:v>68600.559615384598</c:v>
                </c:pt>
                <c:pt idx="9">
                  <c:v>14628.8969072165</c:v>
                </c:pt>
                <c:pt idx="10">
                  <c:v>37170.581538461498</c:v>
                </c:pt>
                <c:pt idx="11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C-564A-BEA3-022B8962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"/>
        <c:axId val="1047"/>
      </c:scatterChart>
      <c:valAx>
        <c:axId val="104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7"/>
        <c:crossesAt val="0"/>
        <c:crossBetween val="midCat"/>
      </c:valAx>
      <c:valAx>
        <c:axId val="104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Laboratory Scientists vs. Physicians specialists (R = 0.84548,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cadres'!$ANH$1:$ANH$10</c:f>
              <c:numCache>
                <c:formatCode>General</c:formatCode>
                <c:ptCount val="10"/>
                <c:pt idx="0">
                  <c:v>3577.84</c:v>
                </c:pt>
                <c:pt idx="1">
                  <c:v>9840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4951.3542135500802</c:v>
                </c:pt>
                <c:pt idx="5">
                  <c:v>4623.8823529411802</c:v>
                </c:pt>
                <c:pt idx="6">
                  <c:v>33827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cadres'!$ANG$1:$ANG$10</c:f>
              <c:numCache>
                <c:formatCode>General</c:formatCode>
                <c:ptCount val="10"/>
                <c:pt idx="0">
                  <c:v>12679.06</c:v>
                </c:pt>
                <c:pt idx="1">
                  <c:v>49800</c:v>
                </c:pt>
                <c:pt idx="2">
                  <c:v>33928.980000000003</c:v>
                </c:pt>
                <c:pt idx="3">
                  <c:v>5391</c:v>
                </c:pt>
                <c:pt idx="4">
                  <c:v>28720.192740462298</c:v>
                </c:pt>
                <c:pt idx="5">
                  <c:v>18315.5237647059</c:v>
                </c:pt>
                <c:pt idx="6">
                  <c:v>68600.559615384598</c:v>
                </c:pt>
                <c:pt idx="7">
                  <c:v>14628.8969072165</c:v>
                </c:pt>
                <c:pt idx="8">
                  <c:v>37170.581538461498</c:v>
                </c:pt>
                <c:pt idx="9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8-E744-B810-40BDFF86C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"/>
        <c:axId val="1050"/>
      </c:scatterChart>
      <c:valAx>
        <c:axId val="104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0"/>
        <c:crossesAt val="0"/>
        <c:crossBetween val="midCat"/>
      </c:valAx>
      <c:valAx>
        <c:axId val="105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4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Physicians specialists (R = 0.96626,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cadres'!$ANJ$1:$ANJ$10</c:f>
              <c:numCache>
                <c:formatCode>General</c:formatCode>
                <c:ptCount val="10"/>
                <c:pt idx="0">
                  <c:v>3577.84</c:v>
                </c:pt>
                <c:pt idx="1">
                  <c:v>39012.857142857101</c:v>
                </c:pt>
                <c:pt idx="2">
                  <c:v>29543.7753779698</c:v>
                </c:pt>
                <c:pt idx="3">
                  <c:v>12188.43</c:v>
                </c:pt>
                <c:pt idx="4">
                  <c:v>3881.1428571428601</c:v>
                </c:pt>
                <c:pt idx="5">
                  <c:v>7406.5711789468096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7477.7857142857101</c:v>
                </c:pt>
              </c:numCache>
            </c:numRef>
          </c:xVal>
          <c:yVal>
            <c:numRef>
              <c:f>'Correlation-GDP vs cadres'!$ANI$1:$ANI$10</c:f>
              <c:numCache>
                <c:formatCode>General</c:formatCode>
                <c:ptCount val="10"/>
                <c:pt idx="0">
                  <c:v>12679.06</c:v>
                </c:pt>
                <c:pt idx="1">
                  <c:v>93060.642857142899</c:v>
                </c:pt>
                <c:pt idx="2">
                  <c:v>71841.183585313207</c:v>
                </c:pt>
                <c:pt idx="3">
                  <c:v>33928.980000000003</c:v>
                </c:pt>
                <c:pt idx="4">
                  <c:v>5391</c:v>
                </c:pt>
                <c:pt idx="5">
                  <c:v>28720.192740462298</c:v>
                </c:pt>
                <c:pt idx="6">
                  <c:v>68600.559615384598</c:v>
                </c:pt>
                <c:pt idx="7">
                  <c:v>14628.8969072165</c:v>
                </c:pt>
                <c:pt idx="8">
                  <c:v>37170.581538461498</c:v>
                </c:pt>
                <c:pt idx="9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F-A344-B03E-11596AE03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"/>
        <c:axId val="1053"/>
      </c:scatterChart>
      <c:valAx>
        <c:axId val="10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3"/>
        <c:crossesAt val="0"/>
        <c:crossBetween val="midCat"/>
      </c:valAx>
      <c:valAx>
        <c:axId val="105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Physicians specialists (R = 0.88912,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cadres'!$ANL$1:$ANL$10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cadres'!$ANK$1:$ANK$10</c:f>
              <c:numCache>
                <c:formatCode>General</c:formatCode>
                <c:ptCount val="10"/>
                <c:pt idx="0">
                  <c:v>49800</c:v>
                </c:pt>
                <c:pt idx="1">
                  <c:v>71841.183585313207</c:v>
                </c:pt>
                <c:pt idx="2">
                  <c:v>33928.980000000003</c:v>
                </c:pt>
                <c:pt idx="3">
                  <c:v>5391</c:v>
                </c:pt>
                <c:pt idx="4">
                  <c:v>28720.192740462298</c:v>
                </c:pt>
                <c:pt idx="5">
                  <c:v>18315.5237647059</c:v>
                </c:pt>
                <c:pt idx="6">
                  <c:v>68600.559615384598</c:v>
                </c:pt>
                <c:pt idx="7">
                  <c:v>14628.8969072165</c:v>
                </c:pt>
                <c:pt idx="8">
                  <c:v>37170.581538461498</c:v>
                </c:pt>
                <c:pt idx="9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4-A648-A998-122038F2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"/>
        <c:axId val="1056"/>
      </c:scatterChart>
      <c:valAx>
        <c:axId val="105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6"/>
        <c:crossesAt val="0"/>
        <c:crossBetween val="midCat"/>
      </c:valAx>
      <c:valAx>
        <c:axId val="1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Physicians specialists (R = 0.41268,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cadres'!$ANN$1:$ANN$8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xVal>
          <c:yVal>
            <c:numRef>
              <c:f>'Correlation-GDP vs cadres'!$ANM$1:$ANM$8</c:f>
              <c:numCache>
                <c:formatCode>General</c:formatCode>
                <c:ptCount val="8"/>
                <c:pt idx="0">
                  <c:v>93060.642857142899</c:v>
                </c:pt>
                <c:pt idx="1">
                  <c:v>49800</c:v>
                </c:pt>
                <c:pt idx="2">
                  <c:v>33928.980000000003</c:v>
                </c:pt>
                <c:pt idx="3">
                  <c:v>5391</c:v>
                </c:pt>
                <c:pt idx="4">
                  <c:v>28720.192740462298</c:v>
                </c:pt>
                <c:pt idx="5">
                  <c:v>68600.559615384598</c:v>
                </c:pt>
                <c:pt idx="6">
                  <c:v>14628.8969072165</c:v>
                </c:pt>
                <c:pt idx="7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03-D74D-89A5-85139861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"/>
        <c:axId val="1059"/>
      </c:scatterChart>
      <c:valAx>
        <c:axId val="10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9"/>
        <c:crossesAt val="0"/>
        <c:crossBetween val="midCat"/>
      </c:valAx>
      <c:valAx>
        <c:axId val="105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5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Physicians specialists (R = 0.93515,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cadres'!$ANP$1:$ANP$9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xVal>
          <c:yVal>
            <c:numRef>
              <c:f>'Correlation-GDP vs cadres'!$ANO$1:$ANO$9</c:f>
              <c:numCache>
                <c:formatCode>General</c:formatCode>
                <c:ptCount val="9"/>
                <c:pt idx="0">
                  <c:v>93060.642857142899</c:v>
                </c:pt>
                <c:pt idx="1">
                  <c:v>71841.183585313207</c:v>
                </c:pt>
                <c:pt idx="2">
                  <c:v>33928.980000000003</c:v>
                </c:pt>
                <c:pt idx="3">
                  <c:v>28720.192740462298</c:v>
                </c:pt>
                <c:pt idx="4">
                  <c:v>18315.5237647059</c:v>
                </c:pt>
                <c:pt idx="5">
                  <c:v>68600.559615384598</c:v>
                </c:pt>
                <c:pt idx="6">
                  <c:v>14628.8969072165</c:v>
                </c:pt>
                <c:pt idx="7">
                  <c:v>37170.581538461498</c:v>
                </c:pt>
                <c:pt idx="8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E-4140-8CF1-3CF575948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"/>
        <c:axId val="1062"/>
      </c:scatterChart>
      <c:valAx>
        <c:axId val="106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2"/>
        <c:crossesAt val="0"/>
        <c:crossBetween val="midCat"/>
      </c:valAx>
      <c:valAx>
        <c:axId val="106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Physicians specialists (R = 0.89846,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cadres'!$ANR$1:$ANR$8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cadres'!$ANQ$1:$ANQ$8</c:f>
              <c:numCache>
                <c:formatCode>General</c:formatCode>
                <c:ptCount val="8"/>
                <c:pt idx="0">
                  <c:v>49800</c:v>
                </c:pt>
                <c:pt idx="1">
                  <c:v>5391</c:v>
                </c:pt>
                <c:pt idx="2">
                  <c:v>28720.192740462298</c:v>
                </c:pt>
                <c:pt idx="3">
                  <c:v>18315.5237647059</c:v>
                </c:pt>
                <c:pt idx="4">
                  <c:v>68600.559615384598</c:v>
                </c:pt>
                <c:pt idx="5">
                  <c:v>14628.8969072165</c:v>
                </c:pt>
                <c:pt idx="6">
                  <c:v>37170.581538461498</c:v>
                </c:pt>
                <c:pt idx="7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D-EE4C-A3C5-C4515F62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"/>
        <c:axId val="1065"/>
      </c:scatterChart>
      <c:valAx>
        <c:axId val="10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5"/>
        <c:crossesAt val="0"/>
        <c:crossBetween val="midCat"/>
      </c:valAx>
      <c:valAx>
        <c:axId val="106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Physicians specialists (R = 0.83101,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Physicians specialists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cadres'!$ANT$1:$ANT$12</c:f>
              <c:numCache>
                <c:formatCode>General</c:formatCode>
                <c:ptCount val="12"/>
                <c:pt idx="0">
                  <c:v>1156.1548636013899</c:v>
                </c:pt>
                <c:pt idx="1">
                  <c:v>6001.4011214067996</c:v>
                </c:pt>
                <c:pt idx="2">
                  <c:v>1816.5471237521799</c:v>
                </c:pt>
                <c:pt idx="3">
                  <c:v>5037.3426291926298</c:v>
                </c:pt>
                <c:pt idx="4">
                  <c:v>1113.3721403358099</c:v>
                </c:pt>
                <c:pt idx="5">
                  <c:v>855.76088518690301</c:v>
                </c:pt>
                <c:pt idx="6">
                  <c:v>527.53417454467103</c:v>
                </c:pt>
                <c:pt idx="7">
                  <c:v>820.14928855859398</c:v>
                </c:pt>
                <c:pt idx="8">
                  <c:v>7970.7969680064098</c:v>
                </c:pt>
                <c:pt idx="9">
                  <c:v>583.11020358403903</c:v>
                </c:pt>
                <c:pt idx="10">
                  <c:v>1305.0022135408699</c:v>
                </c:pt>
                <c:pt idx="11">
                  <c:v>3894.6696302985802</c:v>
                </c:pt>
              </c:numCache>
            </c:numRef>
          </c:xVal>
          <c:yVal>
            <c:numRef>
              <c:f>'Correlation-GDP vs cadres'!$ANS$1:$ANS$12</c:f>
              <c:numCache>
                <c:formatCode>General</c:formatCode>
                <c:ptCount val="12"/>
                <c:pt idx="0">
                  <c:v>12679.06</c:v>
                </c:pt>
                <c:pt idx="1">
                  <c:v>93060.642857142899</c:v>
                </c:pt>
                <c:pt idx="2">
                  <c:v>49800</c:v>
                </c:pt>
                <c:pt idx="3">
                  <c:v>71841.183585313207</c:v>
                </c:pt>
                <c:pt idx="4">
                  <c:v>33928.980000000003</c:v>
                </c:pt>
                <c:pt idx="5">
                  <c:v>5391</c:v>
                </c:pt>
                <c:pt idx="6">
                  <c:v>28720.192740462298</c:v>
                </c:pt>
                <c:pt idx="7">
                  <c:v>18315.5237647059</c:v>
                </c:pt>
                <c:pt idx="8">
                  <c:v>68600.559615384598</c:v>
                </c:pt>
                <c:pt idx="9">
                  <c:v>14628.8969072165</c:v>
                </c:pt>
                <c:pt idx="10">
                  <c:v>37170.581538461498</c:v>
                </c:pt>
                <c:pt idx="11">
                  <c:v>31958.714285714301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F7-E34D-90F5-638D4C90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"/>
        <c:axId val="1068"/>
      </c:scatterChart>
      <c:valAx>
        <c:axId val="106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8"/>
        <c:crossesAt val="0"/>
        <c:crossBetween val="midCat"/>
      </c:valAx>
      <c:valAx>
        <c:axId val="10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6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Midwives vs. Nurses (R = 0.97413,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Midwives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cadres'!$ANV$1:$ANV$12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3881.1428571428601</c:v>
                </c:pt>
                <c:pt idx="6">
                  <c:v>4501.69888463182</c:v>
                </c:pt>
                <c:pt idx="7">
                  <c:v>4635.0635294117601</c:v>
                </c:pt>
                <c:pt idx="8">
                  <c:v>18169.0116646432</c:v>
                </c:pt>
                <c:pt idx="9">
                  <c:v>5416.7938144329901</c:v>
                </c:pt>
                <c:pt idx="10">
                  <c:v>6741.58210361069</c:v>
                </c:pt>
                <c:pt idx="11">
                  <c:v>10845.357142857099</c:v>
                </c:pt>
              </c:numCache>
            </c:numRef>
          </c:xVal>
          <c:yVal>
            <c:numRef>
              <c:f>'Correlation-GDP vs cadres'!$ANU$1:$ANU$12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3030.4285714285702</c:v>
                </c:pt>
                <c:pt idx="6">
                  <c:v>4501.69888463182</c:v>
                </c:pt>
                <c:pt idx="7">
                  <c:v>4623.8823529411802</c:v>
                </c:pt>
                <c:pt idx="8">
                  <c:v>29923.9</c:v>
                </c:pt>
                <c:pt idx="9">
                  <c:v>5416.7938144329901</c:v>
                </c:pt>
                <c:pt idx="10">
                  <c:v>5825.1178021978003</c:v>
                </c:pt>
                <c:pt idx="11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2-334C-8EC3-DFF1AF79B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"/>
        <c:axId val="1071"/>
      </c:scatterChart>
      <c:valAx>
        <c:axId val="10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1"/>
        <c:crossesAt val="0"/>
        <c:crossBetween val="midCat"/>
      </c:valAx>
      <c:valAx>
        <c:axId val="107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Dentists  vs. Nurses (R = 0.87707,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Dentists 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cadres'!$ANX$1:$ANX$10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xVal>
          <c:yVal>
            <c:numRef>
              <c:f>'Correlation-GDP vs cadres'!$ANW$1:$ANW$10</c:f>
              <c:numCache>
                <c:formatCode>General</c:formatCode>
                <c:ptCount val="10"/>
                <c:pt idx="0">
                  <c:v>12002.4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3030.4285714285702</c:v>
                </c:pt>
                <c:pt idx="4">
                  <c:v>4501.69888463182</c:v>
                </c:pt>
                <c:pt idx="5">
                  <c:v>4623.8823529411802</c:v>
                </c:pt>
                <c:pt idx="6">
                  <c:v>29923.9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D-CB41-A1AF-2B284E68E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"/>
        <c:axId val="1074"/>
      </c:scatterChart>
      <c:valAx>
        <c:axId val="107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4"/>
        <c:crossesAt val="0"/>
        <c:crossBetween val="midCat"/>
      </c:valAx>
      <c:valAx>
        <c:axId val="107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Pharmacists  vs. Nurses (R = 0.88588,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Pharmacists 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cadres'!$ANZ$1:$ANZ$12</c:f>
              <c:numCache>
                <c:formatCode>General</c:formatCode>
                <c:ptCount val="12"/>
                <c:pt idx="0">
                  <c:v>3577.84</c:v>
                </c:pt>
                <c:pt idx="1">
                  <c:v>55266.428571428602</c:v>
                </c:pt>
                <c:pt idx="2">
                  <c:v>32760</c:v>
                </c:pt>
                <c:pt idx="3">
                  <c:v>45703.887688984898</c:v>
                </c:pt>
                <c:pt idx="4">
                  <c:v>17959.95</c:v>
                </c:pt>
                <c:pt idx="5">
                  <c:v>3881.1428571428601</c:v>
                </c:pt>
                <c:pt idx="6">
                  <c:v>10373.291678801201</c:v>
                </c:pt>
                <c:pt idx="7">
                  <c:v>7682.9689411764703</c:v>
                </c:pt>
                <c:pt idx="8">
                  <c:v>33827</c:v>
                </c:pt>
                <c:pt idx="9">
                  <c:v>5416.7938144329901</c:v>
                </c:pt>
                <c:pt idx="10">
                  <c:v>8329.7848138957997</c:v>
                </c:pt>
                <c:pt idx="11">
                  <c:v>17704.857142857101</c:v>
                </c:pt>
              </c:numCache>
            </c:numRef>
          </c:xVal>
          <c:yVal>
            <c:numRef>
              <c:f>'Correlation-GDP vs cadres'!$ANY$1:$ANY$12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3030.4285714285702</c:v>
                </c:pt>
                <c:pt idx="6">
                  <c:v>4501.69888463182</c:v>
                </c:pt>
                <c:pt idx="7">
                  <c:v>4623.8823529411802</c:v>
                </c:pt>
                <c:pt idx="8">
                  <c:v>29923.9</c:v>
                </c:pt>
                <c:pt idx="9">
                  <c:v>5416.7938144329901</c:v>
                </c:pt>
                <c:pt idx="10">
                  <c:v>5825.1178021978003</c:v>
                </c:pt>
                <c:pt idx="11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8-3C4D-B4FE-57755B8B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"/>
        <c:axId val="1077"/>
      </c:scatterChart>
      <c:valAx>
        <c:axId val="107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7"/>
        <c:crossesAt val="0"/>
        <c:crossBetween val="midCat"/>
      </c:valAx>
      <c:valAx>
        <c:axId val="107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Laboratory Scientists vs. Nurses (R = 0.98706,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cadres'!$AOB$1:$AOB$10</c:f>
              <c:numCache>
                <c:formatCode>General</c:formatCode>
                <c:ptCount val="10"/>
                <c:pt idx="0">
                  <c:v>3577.84</c:v>
                </c:pt>
                <c:pt idx="1">
                  <c:v>9840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4951.3542135500802</c:v>
                </c:pt>
                <c:pt idx="5">
                  <c:v>4623.8823529411802</c:v>
                </c:pt>
                <c:pt idx="6">
                  <c:v>33827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cadres'!$AOA$1:$AOA$10</c:f>
              <c:numCache>
                <c:formatCode>General</c:formatCode>
                <c:ptCount val="10"/>
                <c:pt idx="0">
                  <c:v>3577.84</c:v>
                </c:pt>
                <c:pt idx="1">
                  <c:v>12002.4</c:v>
                </c:pt>
                <c:pt idx="2">
                  <c:v>9854.51</c:v>
                </c:pt>
                <c:pt idx="3">
                  <c:v>3030.4285714285702</c:v>
                </c:pt>
                <c:pt idx="4">
                  <c:v>4501.69888463182</c:v>
                </c:pt>
                <c:pt idx="5">
                  <c:v>4623.8823529411802</c:v>
                </c:pt>
                <c:pt idx="6">
                  <c:v>29923.9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F-F24B-8A92-CA7EC121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"/>
        <c:axId val="1080"/>
      </c:scatterChart>
      <c:valAx>
        <c:axId val="107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0"/>
        <c:crossesAt val="0"/>
        <c:crossBetween val="midCat"/>
      </c:valAx>
      <c:valAx>
        <c:axId val="10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7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Nurses (R = 0.88649,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cadres'!$AOD$1:$AOD$10</c:f>
              <c:numCache>
                <c:formatCode>General</c:formatCode>
                <c:ptCount val="10"/>
                <c:pt idx="0">
                  <c:v>3577.84</c:v>
                </c:pt>
                <c:pt idx="1">
                  <c:v>39012.857142857101</c:v>
                </c:pt>
                <c:pt idx="2">
                  <c:v>29543.7753779698</c:v>
                </c:pt>
                <c:pt idx="3">
                  <c:v>12188.43</c:v>
                </c:pt>
                <c:pt idx="4">
                  <c:v>3881.1428571428601</c:v>
                </c:pt>
                <c:pt idx="5">
                  <c:v>7406.5711789468096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7477.7857142857101</c:v>
                </c:pt>
              </c:numCache>
            </c:numRef>
          </c:xVal>
          <c:yVal>
            <c:numRef>
              <c:f>'Correlation-GDP vs cadres'!$AOC$1:$AOC$10</c:f>
              <c:numCache>
                <c:formatCode>General</c:formatCode>
                <c:ptCount val="10"/>
                <c:pt idx="0">
                  <c:v>3577.84</c:v>
                </c:pt>
                <c:pt idx="1">
                  <c:v>32982.785714285703</c:v>
                </c:pt>
                <c:pt idx="2">
                  <c:v>50651.835853131699</c:v>
                </c:pt>
                <c:pt idx="3">
                  <c:v>9854.51</c:v>
                </c:pt>
                <c:pt idx="4">
                  <c:v>3030.4285714285702</c:v>
                </c:pt>
                <c:pt idx="5">
                  <c:v>4501.69888463182</c:v>
                </c:pt>
                <c:pt idx="6">
                  <c:v>29923.9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5-DC4F-9D6A-D558AE29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"/>
        <c:axId val="1083"/>
      </c:scatterChart>
      <c:valAx>
        <c:axId val="10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3"/>
        <c:crossesAt val="0"/>
        <c:crossBetween val="midCat"/>
      </c:valAx>
      <c:valAx>
        <c:axId val="108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Nurses (R = 0.95202,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cadres'!$AOF$1:$AOF$10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cadres'!$AOE$1:$AOE$10</c:f>
              <c:numCache>
                <c:formatCode>General</c:formatCode>
                <c:ptCount val="10"/>
                <c:pt idx="0">
                  <c:v>12002.4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3030.4285714285702</c:v>
                </c:pt>
                <c:pt idx="4">
                  <c:v>4501.69888463182</c:v>
                </c:pt>
                <c:pt idx="5">
                  <c:v>4623.8823529411802</c:v>
                </c:pt>
                <c:pt idx="6">
                  <c:v>29923.9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2-9C4B-8824-825201F7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"/>
        <c:axId val="1086"/>
      </c:scatterChart>
      <c:valAx>
        <c:axId val="108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6"/>
        <c:crossesAt val="0"/>
        <c:crossBetween val="midCat"/>
      </c:valAx>
      <c:valAx>
        <c:axId val="108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Nurses (R = 0.64811,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cadres'!$AOH$1:$AOH$8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xVal>
          <c:yVal>
            <c:numRef>
              <c:f>'Correlation-GDP vs cadres'!$AOG$1:$AOG$8</c:f>
              <c:numCache>
                <c:formatCode>General</c:formatCode>
                <c:ptCount val="8"/>
                <c:pt idx="0">
                  <c:v>32982.785714285703</c:v>
                </c:pt>
                <c:pt idx="1">
                  <c:v>12002.4</c:v>
                </c:pt>
                <c:pt idx="2">
                  <c:v>9854.51</c:v>
                </c:pt>
                <c:pt idx="3">
                  <c:v>3030.4285714285702</c:v>
                </c:pt>
                <c:pt idx="4">
                  <c:v>4501.69888463182</c:v>
                </c:pt>
                <c:pt idx="5">
                  <c:v>29923.9</c:v>
                </c:pt>
                <c:pt idx="6">
                  <c:v>5416.7938144329901</c:v>
                </c:pt>
                <c:pt idx="7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E-8D45-A3FB-2243DF3CE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"/>
        <c:axId val="1089"/>
      </c:scatterChart>
      <c:valAx>
        <c:axId val="10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9"/>
        <c:crossesAt val="0"/>
        <c:crossBetween val="midCat"/>
      </c:valAx>
      <c:valAx>
        <c:axId val="108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8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Nurses (R = 0.73869,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cadres'!$AOJ$1:$AOJ$9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xVal>
          <c:yVal>
            <c:numRef>
              <c:f>'Correlation-GDP vs cadres'!$AOI$1:$AOI$9</c:f>
              <c:numCache>
                <c:formatCode>General</c:formatCode>
                <c:ptCount val="9"/>
                <c:pt idx="0">
                  <c:v>32982.785714285703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4501.69888463182</c:v>
                </c:pt>
                <c:pt idx="4">
                  <c:v>4623.8823529411802</c:v>
                </c:pt>
                <c:pt idx="5">
                  <c:v>29923.9</c:v>
                </c:pt>
                <c:pt idx="6">
                  <c:v>5416.7938144329901</c:v>
                </c:pt>
                <c:pt idx="7">
                  <c:v>5825.1178021978003</c:v>
                </c:pt>
                <c:pt idx="8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A-A64D-A277-CF081AD7E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"/>
        <c:axId val="1092"/>
      </c:scatterChart>
      <c:valAx>
        <c:axId val="10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2"/>
        <c:crossesAt val="0"/>
        <c:crossBetween val="midCat"/>
      </c:valAx>
      <c:valAx>
        <c:axId val="10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Nurses (R = 0.74914,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cadres'!$AOL$1:$AOL$8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cadres'!$AOK$1:$AOK$8</c:f>
              <c:numCache>
                <c:formatCode>General</c:formatCode>
                <c:ptCount val="8"/>
                <c:pt idx="0">
                  <c:v>12002.4</c:v>
                </c:pt>
                <c:pt idx="1">
                  <c:v>3030.4285714285702</c:v>
                </c:pt>
                <c:pt idx="2">
                  <c:v>4501.69888463182</c:v>
                </c:pt>
                <c:pt idx="3">
                  <c:v>4623.8823529411802</c:v>
                </c:pt>
                <c:pt idx="4">
                  <c:v>29923.9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0-CD45-9BDA-0E74F8B12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"/>
        <c:axId val="1095"/>
      </c:scatterChart>
      <c:valAx>
        <c:axId val="109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5"/>
        <c:crossesAt val="0"/>
        <c:crossBetween val="midCat"/>
      </c:valAx>
      <c:valAx>
        <c:axId val="109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Nurses (R = 0.8158,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Nurses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cadres'!$AON$1:$AON$12</c:f>
              <c:numCache>
                <c:formatCode>General</c:formatCode>
                <c:ptCount val="12"/>
                <c:pt idx="0">
                  <c:v>1156.1548636013899</c:v>
                </c:pt>
                <c:pt idx="1">
                  <c:v>6001.4011214067996</c:v>
                </c:pt>
                <c:pt idx="2">
                  <c:v>1816.5471237521799</c:v>
                </c:pt>
                <c:pt idx="3">
                  <c:v>5037.3426291926298</c:v>
                </c:pt>
                <c:pt idx="4">
                  <c:v>1113.3721403358099</c:v>
                </c:pt>
                <c:pt idx="5">
                  <c:v>855.76088518690301</c:v>
                </c:pt>
                <c:pt idx="6">
                  <c:v>527.53417454467103</c:v>
                </c:pt>
                <c:pt idx="7">
                  <c:v>820.14928855859398</c:v>
                </c:pt>
                <c:pt idx="8">
                  <c:v>7970.7969680064098</c:v>
                </c:pt>
                <c:pt idx="9">
                  <c:v>583.11020358403903</c:v>
                </c:pt>
                <c:pt idx="10">
                  <c:v>1305.0022135408699</c:v>
                </c:pt>
                <c:pt idx="11">
                  <c:v>3894.6696302985802</c:v>
                </c:pt>
              </c:numCache>
            </c:numRef>
          </c:xVal>
          <c:yVal>
            <c:numRef>
              <c:f>'Correlation-GDP vs cadres'!$AOM$1:$AOM$12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3030.4285714285702</c:v>
                </c:pt>
                <c:pt idx="6">
                  <c:v>4501.69888463182</c:v>
                </c:pt>
                <c:pt idx="7">
                  <c:v>4623.8823529411802</c:v>
                </c:pt>
                <c:pt idx="8">
                  <c:v>29923.9</c:v>
                </c:pt>
                <c:pt idx="9">
                  <c:v>5416.7938144329901</c:v>
                </c:pt>
                <c:pt idx="10">
                  <c:v>5825.1178021978003</c:v>
                </c:pt>
                <c:pt idx="11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B-9E4C-B119-FBD96E2C2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"/>
        <c:axId val="1098"/>
      </c:scatterChart>
      <c:valAx>
        <c:axId val="109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8"/>
        <c:crossesAt val="0"/>
        <c:crossBetween val="midCat"/>
      </c:valAx>
      <c:valAx>
        <c:axId val="109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09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Dentists  vs. Midwives (R = 0.86681,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Dentists 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cadres'!$AOP$1:$AOP$10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xVal>
          <c:yVal>
            <c:numRef>
              <c:f>'Correlation-GDP vs cadres'!$AOO$1:$AOO$10</c:f>
              <c:numCache>
                <c:formatCode>General</c:formatCode>
                <c:ptCount val="10"/>
                <c:pt idx="0">
                  <c:v>12002.4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3881.1428571428601</c:v>
                </c:pt>
                <c:pt idx="4">
                  <c:v>4501.69888463182</c:v>
                </c:pt>
                <c:pt idx="5">
                  <c:v>4635.0635294117601</c:v>
                </c:pt>
                <c:pt idx="6">
                  <c:v>18169.0116646432</c:v>
                </c:pt>
                <c:pt idx="7">
                  <c:v>5416.7938144329901</c:v>
                </c:pt>
                <c:pt idx="8">
                  <c:v>6741.58210361069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2-5040-8467-B65110633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"/>
        <c:axId val="1101"/>
      </c:scatterChart>
      <c:valAx>
        <c:axId val="110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1"/>
        <c:crossesAt val="0"/>
        <c:crossBetween val="midCat"/>
      </c:valAx>
      <c:valAx>
        <c:axId val="110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Pharmacists  vs. Midwives (R = 0.87007,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Pharmacists 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cadres'!$AOR$1:$AOR$12</c:f>
              <c:numCache>
                <c:formatCode>General</c:formatCode>
                <c:ptCount val="12"/>
                <c:pt idx="0">
                  <c:v>3577.84</c:v>
                </c:pt>
                <c:pt idx="1">
                  <c:v>55266.428571428602</c:v>
                </c:pt>
                <c:pt idx="2">
                  <c:v>32760</c:v>
                </c:pt>
                <c:pt idx="3">
                  <c:v>45703.887688984898</c:v>
                </c:pt>
                <c:pt idx="4">
                  <c:v>17959.95</c:v>
                </c:pt>
                <c:pt idx="5">
                  <c:v>3881.1428571428601</c:v>
                </c:pt>
                <c:pt idx="6">
                  <c:v>10373.291678801201</c:v>
                </c:pt>
                <c:pt idx="7">
                  <c:v>7682.9689411764703</c:v>
                </c:pt>
                <c:pt idx="8">
                  <c:v>33827</c:v>
                </c:pt>
                <c:pt idx="9">
                  <c:v>5416.7938144329901</c:v>
                </c:pt>
                <c:pt idx="10">
                  <c:v>8329.7848138957997</c:v>
                </c:pt>
                <c:pt idx="11">
                  <c:v>17704.857142857101</c:v>
                </c:pt>
              </c:numCache>
            </c:numRef>
          </c:xVal>
          <c:yVal>
            <c:numRef>
              <c:f>'Correlation-GDP vs cadres'!$AOQ$1:$AOQ$12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3881.1428571428601</c:v>
                </c:pt>
                <c:pt idx="6">
                  <c:v>4501.69888463182</c:v>
                </c:pt>
                <c:pt idx="7">
                  <c:v>4635.0635294117601</c:v>
                </c:pt>
                <c:pt idx="8">
                  <c:v>18169.0116646432</c:v>
                </c:pt>
                <c:pt idx="9">
                  <c:v>5416.7938144329901</c:v>
                </c:pt>
                <c:pt idx="10">
                  <c:v>6741.58210361069</c:v>
                </c:pt>
                <c:pt idx="11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E-0E43-8146-E989FDBA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"/>
        <c:axId val="1104"/>
      </c:scatterChart>
      <c:valAx>
        <c:axId val="110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4"/>
        <c:crossesAt val="0"/>
        <c:crossBetween val="midCat"/>
      </c:valAx>
      <c:valAx>
        <c:axId val="11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Laboratory Scientists vs. Midwives (R = 0.91176,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cadres'!$AOT$1:$AOT$10</c:f>
              <c:numCache>
                <c:formatCode>General</c:formatCode>
                <c:ptCount val="10"/>
                <c:pt idx="0">
                  <c:v>3577.84</c:v>
                </c:pt>
                <c:pt idx="1">
                  <c:v>9840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4951.3542135500802</c:v>
                </c:pt>
                <c:pt idx="5">
                  <c:v>4623.8823529411802</c:v>
                </c:pt>
                <c:pt idx="6">
                  <c:v>33827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cadres'!$AOS$1:$AOS$10</c:f>
              <c:numCache>
                <c:formatCode>General</c:formatCode>
                <c:ptCount val="10"/>
                <c:pt idx="0">
                  <c:v>3577.84</c:v>
                </c:pt>
                <c:pt idx="1">
                  <c:v>12002.4</c:v>
                </c:pt>
                <c:pt idx="2">
                  <c:v>9854.51</c:v>
                </c:pt>
                <c:pt idx="3">
                  <c:v>3881.1428571428601</c:v>
                </c:pt>
                <c:pt idx="4">
                  <c:v>4501.69888463182</c:v>
                </c:pt>
                <c:pt idx="5">
                  <c:v>4635.0635294117601</c:v>
                </c:pt>
                <c:pt idx="6">
                  <c:v>18169.0116646432</c:v>
                </c:pt>
                <c:pt idx="7">
                  <c:v>5416.7938144329901</c:v>
                </c:pt>
                <c:pt idx="8">
                  <c:v>6741.58210361069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F-C84A-B7F7-2C6D7B030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"/>
        <c:axId val="1107"/>
      </c:scatterChart>
      <c:valAx>
        <c:axId val="110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7"/>
        <c:crossesAt val="0"/>
        <c:crossBetween val="midCat"/>
      </c:valAx>
      <c:valAx>
        <c:axId val="110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Midwives (R = 0.81058,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cadres'!$AOV$1:$AOV$10</c:f>
              <c:numCache>
                <c:formatCode>General</c:formatCode>
                <c:ptCount val="10"/>
                <c:pt idx="0">
                  <c:v>3577.84</c:v>
                </c:pt>
                <c:pt idx="1">
                  <c:v>39012.857142857101</c:v>
                </c:pt>
                <c:pt idx="2">
                  <c:v>29543.7753779698</c:v>
                </c:pt>
                <c:pt idx="3">
                  <c:v>12188.43</c:v>
                </c:pt>
                <c:pt idx="4">
                  <c:v>3881.1428571428601</c:v>
                </c:pt>
                <c:pt idx="5">
                  <c:v>7406.5711789468096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7477.7857142857101</c:v>
                </c:pt>
              </c:numCache>
            </c:numRef>
          </c:xVal>
          <c:yVal>
            <c:numRef>
              <c:f>'Correlation-GDP vs cadres'!$AOU$1:$AOU$10</c:f>
              <c:numCache>
                <c:formatCode>General</c:formatCode>
                <c:ptCount val="10"/>
                <c:pt idx="0">
                  <c:v>3577.84</c:v>
                </c:pt>
                <c:pt idx="1">
                  <c:v>32982.785714285703</c:v>
                </c:pt>
                <c:pt idx="2">
                  <c:v>50651.835853131699</c:v>
                </c:pt>
                <c:pt idx="3">
                  <c:v>9854.51</c:v>
                </c:pt>
                <c:pt idx="4">
                  <c:v>3881.1428571428601</c:v>
                </c:pt>
                <c:pt idx="5">
                  <c:v>4501.69888463182</c:v>
                </c:pt>
                <c:pt idx="6">
                  <c:v>18169.0116646432</c:v>
                </c:pt>
                <c:pt idx="7">
                  <c:v>5416.7938144329901</c:v>
                </c:pt>
                <c:pt idx="8">
                  <c:v>6741.58210361069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8-0242-A347-8F864651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"/>
        <c:axId val="1110"/>
      </c:scatterChart>
      <c:valAx>
        <c:axId val="110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0"/>
        <c:crossesAt val="0"/>
        <c:crossBetween val="midCat"/>
      </c:valAx>
      <c:valAx>
        <c:axId val="111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0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Midwives (R = 0.89753,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cadres'!$AOX$1:$AOX$10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cadres'!$AOW$1:$AOW$10</c:f>
              <c:numCache>
                <c:formatCode>General</c:formatCode>
                <c:ptCount val="10"/>
                <c:pt idx="0">
                  <c:v>12002.4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3881.1428571428601</c:v>
                </c:pt>
                <c:pt idx="4">
                  <c:v>4501.69888463182</c:v>
                </c:pt>
                <c:pt idx="5">
                  <c:v>4635.0635294117601</c:v>
                </c:pt>
                <c:pt idx="6">
                  <c:v>18169.0116646432</c:v>
                </c:pt>
                <c:pt idx="7">
                  <c:v>5416.7938144329901</c:v>
                </c:pt>
                <c:pt idx="8">
                  <c:v>6741.58210361069</c:v>
                </c:pt>
                <c:pt idx="9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A-1C49-A4DC-BB2101E3D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"/>
        <c:axId val="1113"/>
      </c:scatterChart>
      <c:valAx>
        <c:axId val="11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3"/>
        <c:crossesAt val="0"/>
        <c:crossBetween val="midCat"/>
      </c:valAx>
      <c:valAx>
        <c:axId val="111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Midwives (R = 0.41333,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cadres'!$AOZ$1:$AOZ$8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xVal>
          <c:yVal>
            <c:numRef>
              <c:f>'Correlation-GDP vs cadres'!$AOY$1:$AOY$8</c:f>
              <c:numCache>
                <c:formatCode>General</c:formatCode>
                <c:ptCount val="8"/>
                <c:pt idx="0">
                  <c:v>32982.785714285703</c:v>
                </c:pt>
                <c:pt idx="1">
                  <c:v>12002.4</c:v>
                </c:pt>
                <c:pt idx="2">
                  <c:v>9854.51</c:v>
                </c:pt>
                <c:pt idx="3">
                  <c:v>3881.1428571428601</c:v>
                </c:pt>
                <c:pt idx="4">
                  <c:v>4501.69888463182</c:v>
                </c:pt>
                <c:pt idx="5">
                  <c:v>18169.0116646432</c:v>
                </c:pt>
                <c:pt idx="6">
                  <c:v>5416.7938144329901</c:v>
                </c:pt>
                <c:pt idx="7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9-3C46-9160-CA60D4EE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"/>
        <c:axId val="1116"/>
      </c:scatterChart>
      <c:valAx>
        <c:axId val="111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6"/>
        <c:crossesAt val="0"/>
        <c:crossBetween val="midCat"/>
      </c:valAx>
      <c:valAx>
        <c:axId val="11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Midwives (R = 0.70317,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cadres'!$APB$1:$APB$9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xVal>
          <c:yVal>
            <c:numRef>
              <c:f>'Correlation-GDP vs cadres'!$APA$1:$APA$9</c:f>
              <c:numCache>
                <c:formatCode>General</c:formatCode>
                <c:ptCount val="9"/>
                <c:pt idx="0">
                  <c:v>32982.785714285703</c:v>
                </c:pt>
                <c:pt idx="1">
                  <c:v>50651.835853131699</c:v>
                </c:pt>
                <c:pt idx="2">
                  <c:v>9854.51</c:v>
                </c:pt>
                <c:pt idx="3">
                  <c:v>4501.69888463182</c:v>
                </c:pt>
                <c:pt idx="4">
                  <c:v>4635.0635294117601</c:v>
                </c:pt>
                <c:pt idx="5">
                  <c:v>18169.0116646432</c:v>
                </c:pt>
                <c:pt idx="6">
                  <c:v>5416.7938144329901</c:v>
                </c:pt>
                <c:pt idx="7">
                  <c:v>6741.58210361069</c:v>
                </c:pt>
                <c:pt idx="8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7-0340-806D-D7F43036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"/>
        <c:axId val="1119"/>
      </c:scatterChart>
      <c:valAx>
        <c:axId val="111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9"/>
        <c:crossesAt val="0"/>
        <c:crossBetween val="midCat"/>
      </c:valAx>
      <c:valAx>
        <c:axId val="111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1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Midwives (R = 0.87277,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cadres'!$APD$1:$APD$8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cadres'!$APC$1:$APC$8</c:f>
              <c:numCache>
                <c:formatCode>General</c:formatCode>
                <c:ptCount val="8"/>
                <c:pt idx="0">
                  <c:v>12002.4</c:v>
                </c:pt>
                <c:pt idx="1">
                  <c:v>3881.1428571428601</c:v>
                </c:pt>
                <c:pt idx="2">
                  <c:v>4501.69888463182</c:v>
                </c:pt>
                <c:pt idx="3">
                  <c:v>4635.0635294117601</c:v>
                </c:pt>
                <c:pt idx="4">
                  <c:v>18169.0116646432</c:v>
                </c:pt>
                <c:pt idx="5">
                  <c:v>5416.7938144329901</c:v>
                </c:pt>
                <c:pt idx="6">
                  <c:v>6741.58210361069</c:v>
                </c:pt>
                <c:pt idx="7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3-4F48-A987-AC5E31016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"/>
        <c:axId val="1122"/>
      </c:scatterChart>
      <c:valAx>
        <c:axId val="112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2"/>
        <c:crossesAt val="0"/>
        <c:crossBetween val="midCat"/>
      </c:valAx>
      <c:valAx>
        <c:axId val="112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Midwives (R = 0.69622,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Midwives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cadres'!$APF$1:$APF$12</c:f>
              <c:numCache>
                <c:formatCode>General</c:formatCode>
                <c:ptCount val="12"/>
                <c:pt idx="0">
                  <c:v>1156.1548636013899</c:v>
                </c:pt>
                <c:pt idx="1">
                  <c:v>6001.4011214067996</c:v>
                </c:pt>
                <c:pt idx="2">
                  <c:v>1816.5471237521799</c:v>
                </c:pt>
                <c:pt idx="3">
                  <c:v>5037.3426291926298</c:v>
                </c:pt>
                <c:pt idx="4">
                  <c:v>1113.3721403358099</c:v>
                </c:pt>
                <c:pt idx="5">
                  <c:v>855.76088518690301</c:v>
                </c:pt>
                <c:pt idx="6">
                  <c:v>527.53417454467103</c:v>
                </c:pt>
                <c:pt idx="7">
                  <c:v>820.14928855859398</c:v>
                </c:pt>
                <c:pt idx="8">
                  <c:v>7970.7969680064098</c:v>
                </c:pt>
                <c:pt idx="9">
                  <c:v>583.11020358403903</c:v>
                </c:pt>
                <c:pt idx="10">
                  <c:v>1305.0022135408699</c:v>
                </c:pt>
                <c:pt idx="11">
                  <c:v>3894.6696302985802</c:v>
                </c:pt>
              </c:numCache>
            </c:numRef>
          </c:xVal>
          <c:yVal>
            <c:numRef>
              <c:f>'Correlation-GDP vs cadres'!$APE$1:$APE$12</c:f>
              <c:numCache>
                <c:formatCode>General</c:formatCode>
                <c:ptCount val="12"/>
                <c:pt idx="0">
                  <c:v>3577.84</c:v>
                </c:pt>
                <c:pt idx="1">
                  <c:v>32982.785714285703</c:v>
                </c:pt>
                <c:pt idx="2">
                  <c:v>12002.4</c:v>
                </c:pt>
                <c:pt idx="3">
                  <c:v>50651.835853131699</c:v>
                </c:pt>
                <c:pt idx="4">
                  <c:v>9854.51</c:v>
                </c:pt>
                <c:pt idx="5">
                  <c:v>3881.1428571428601</c:v>
                </c:pt>
                <c:pt idx="6">
                  <c:v>4501.69888463182</c:v>
                </c:pt>
                <c:pt idx="7">
                  <c:v>4635.0635294117601</c:v>
                </c:pt>
                <c:pt idx="8">
                  <c:v>18169.0116646432</c:v>
                </c:pt>
                <c:pt idx="9">
                  <c:v>5416.7938144329901</c:v>
                </c:pt>
                <c:pt idx="10">
                  <c:v>6741.58210361069</c:v>
                </c:pt>
                <c:pt idx="11">
                  <c:v>10845.357142857099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63-BC46-8C77-B88A16E0D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"/>
        <c:axId val="1125"/>
      </c:scatterChart>
      <c:valAx>
        <c:axId val="112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5"/>
        <c:crossesAt val="0"/>
        <c:crossBetween val="midCat"/>
      </c:valAx>
      <c:valAx>
        <c:axId val="112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Pharmacists  vs. Dentists  (R = 0.94105,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Pharmacists 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cadres'!$APH$1:$APH$10</c:f>
              <c:numCache>
                <c:formatCode>General</c:formatCode>
                <c:ptCount val="10"/>
                <c:pt idx="0">
                  <c:v>32760</c:v>
                </c:pt>
                <c:pt idx="1">
                  <c:v>45703.887688984898</c:v>
                </c:pt>
                <c:pt idx="2">
                  <c:v>17959.95</c:v>
                </c:pt>
                <c:pt idx="3">
                  <c:v>3881.1428571428601</c:v>
                </c:pt>
                <c:pt idx="4">
                  <c:v>10373.291678801201</c:v>
                </c:pt>
                <c:pt idx="5">
                  <c:v>7682.9689411764703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17704.857142857101</c:v>
                </c:pt>
              </c:numCache>
            </c:numRef>
          </c:xVal>
          <c:yVal>
            <c:numRef>
              <c:f>'Correlation-GDP vs cadres'!$APG$1:$APG$10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5-7F42-89CD-04FF8A00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"/>
        <c:axId val="1128"/>
      </c:scatterChart>
      <c:valAx>
        <c:axId val="11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8"/>
        <c:crossesAt val="0"/>
        <c:crossBetween val="midCat"/>
      </c:valAx>
      <c:valAx>
        <c:axId val="112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2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Laboratory Scientists vs. Dentists  (R = 0.67898,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cadres'!$APJ$1:$APJ$9</c:f>
              <c:numCache>
                <c:formatCode>General</c:formatCode>
                <c:ptCount val="9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4951.3542135500802</c:v>
                </c:pt>
                <c:pt idx="4">
                  <c:v>4623.8823529411802</c:v>
                </c:pt>
                <c:pt idx="5">
                  <c:v>33827</c:v>
                </c:pt>
                <c:pt idx="6">
                  <c:v>5416.7938144329901</c:v>
                </c:pt>
                <c:pt idx="7">
                  <c:v>5825.1178021978003</c:v>
                </c:pt>
                <c:pt idx="8">
                  <c:v>9005.4285714285706</c:v>
                </c:pt>
              </c:numCache>
            </c:numRef>
          </c:xVal>
          <c:yVal>
            <c:numRef>
              <c:f>'Correlation-GDP vs cadres'!$API$1:$API$9</c:f>
              <c:numCache>
                <c:formatCode>General</c:formatCode>
                <c:ptCount val="9"/>
                <c:pt idx="0">
                  <c:v>38320.080000000002</c:v>
                </c:pt>
                <c:pt idx="1">
                  <c:v>28693.57</c:v>
                </c:pt>
                <c:pt idx="2">
                  <c:v>4350</c:v>
                </c:pt>
                <c:pt idx="3">
                  <c:v>23570.0828678086</c:v>
                </c:pt>
                <c:pt idx="4">
                  <c:v>4623.8823529411802</c:v>
                </c:pt>
                <c:pt idx="5">
                  <c:v>40332.199999999997</c:v>
                </c:pt>
                <c:pt idx="6">
                  <c:v>5416.7938144329901</c:v>
                </c:pt>
                <c:pt idx="7">
                  <c:v>24675.147076923098</c:v>
                </c:pt>
                <c:pt idx="8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C-1048-96D3-BA8DC0842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"/>
        <c:axId val="1131"/>
      </c:scatterChart>
      <c:valAx>
        <c:axId val="11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1"/>
        <c:crossesAt val="0"/>
        <c:crossBetween val="midCat"/>
      </c:valAx>
      <c:valAx>
        <c:axId val="113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Dentists  (R = 0.83778,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cadres'!$APL$1:$APL$8</c:f>
              <c:numCache>
                <c:formatCode>General</c:formatCode>
                <c:ptCount val="8"/>
                <c:pt idx="0">
                  <c:v>29543.7753779698</c:v>
                </c:pt>
                <c:pt idx="1">
                  <c:v>12188.43</c:v>
                </c:pt>
                <c:pt idx="2">
                  <c:v>3881.1428571428601</c:v>
                </c:pt>
                <c:pt idx="3">
                  <c:v>7406.5711789468096</c:v>
                </c:pt>
                <c:pt idx="4">
                  <c:v>33827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7477.7857142857101</c:v>
                </c:pt>
              </c:numCache>
            </c:numRef>
          </c:xVal>
          <c:yVal>
            <c:numRef>
              <c:f>'Correlation-GDP vs cadres'!$APK$1:$APK$8</c:f>
              <c:numCache>
                <c:formatCode>General</c:formatCode>
                <c:ptCount val="8"/>
                <c:pt idx="0">
                  <c:v>65003.377969762398</c:v>
                </c:pt>
                <c:pt idx="1">
                  <c:v>28693.57</c:v>
                </c:pt>
                <c:pt idx="2">
                  <c:v>4350</c:v>
                </c:pt>
                <c:pt idx="3">
                  <c:v>23570.0828678086</c:v>
                </c:pt>
                <c:pt idx="4">
                  <c:v>40332.199999999997</c:v>
                </c:pt>
                <c:pt idx="5">
                  <c:v>5416.7938144329901</c:v>
                </c:pt>
                <c:pt idx="6">
                  <c:v>24675.147076923098</c:v>
                </c:pt>
                <c:pt idx="7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A-5547-A92D-194A4331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"/>
        <c:axId val="1134"/>
      </c:scatterChart>
      <c:valAx>
        <c:axId val="11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4"/>
        <c:crossesAt val="0"/>
        <c:crossBetween val="midCat"/>
      </c:valAx>
      <c:valAx>
        <c:axId val="113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Dentists  (R = 0.88056,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cadres'!$APN$1:$APN$10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cadres'!$APM$1:$APM$10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F-D840-A762-2AD3C3723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"/>
        <c:axId val="1137"/>
      </c:scatterChart>
      <c:valAx>
        <c:axId val="113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7"/>
        <c:crossesAt val="0"/>
        <c:crossBetween val="midCat"/>
      </c:valAx>
      <c:valAx>
        <c:axId val="113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Dentists  (R = 0.18176,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cadres'!$APP$1:$APP$7</c:f>
              <c:numCache>
                <c:formatCode>General</c:formatCode>
                <c:ptCount val="7"/>
                <c:pt idx="0">
                  <c:v>240</c:v>
                </c:pt>
                <c:pt idx="1">
                  <c:v>2190.85</c:v>
                </c:pt>
                <c:pt idx="2">
                  <c:v>2654.1428571428601</c:v>
                </c:pt>
                <c:pt idx="3">
                  <c:v>18.910955873175599</c:v>
                </c:pt>
                <c:pt idx="4">
                  <c:v>6691.2</c:v>
                </c:pt>
                <c:pt idx="5">
                  <c:v>2010.27835051546</c:v>
                </c:pt>
                <c:pt idx="6">
                  <c:v>300</c:v>
                </c:pt>
              </c:numCache>
            </c:numRef>
          </c:xVal>
          <c:yVal>
            <c:numRef>
              <c:f>'Correlation-GDP vs cadres'!$APO$1:$APO$7</c:f>
              <c:numCache>
                <c:formatCode>General</c:formatCode>
                <c:ptCount val="7"/>
                <c:pt idx="0">
                  <c:v>38320.080000000002</c:v>
                </c:pt>
                <c:pt idx="1">
                  <c:v>28693.57</c:v>
                </c:pt>
                <c:pt idx="2">
                  <c:v>4350</c:v>
                </c:pt>
                <c:pt idx="3">
                  <c:v>23570.0828678086</c:v>
                </c:pt>
                <c:pt idx="4">
                  <c:v>40332.199999999997</c:v>
                </c:pt>
                <c:pt idx="5">
                  <c:v>5416.7938144329901</c:v>
                </c:pt>
                <c:pt idx="6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3-2849-AE27-1322DB28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"/>
        <c:axId val="1140"/>
      </c:scatterChart>
      <c:valAx>
        <c:axId val="113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0"/>
        <c:crossesAt val="0"/>
        <c:crossBetween val="midCat"/>
      </c:valAx>
      <c:valAx>
        <c:axId val="11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3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Dentists  (R = 0.80902,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cadres'!$APR$1:$APR$8</c:f>
              <c:numCache>
                <c:formatCode>General</c:formatCode>
                <c:ptCount val="8"/>
                <c:pt idx="0">
                  <c:v>19659.8963282937</c:v>
                </c:pt>
                <c:pt idx="1">
                  <c:v>12188.43</c:v>
                </c:pt>
                <c:pt idx="2">
                  <c:v>3928.3471446347698</c:v>
                </c:pt>
                <c:pt idx="3">
                  <c:v>4623.8823529411802</c:v>
                </c:pt>
                <c:pt idx="4">
                  <c:v>22628.400000000001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14688.857142857099</c:v>
                </c:pt>
              </c:numCache>
            </c:numRef>
          </c:xVal>
          <c:yVal>
            <c:numRef>
              <c:f>'Correlation-GDP vs cadres'!$APQ$1:$APQ$8</c:f>
              <c:numCache>
                <c:formatCode>General</c:formatCode>
                <c:ptCount val="8"/>
                <c:pt idx="0">
                  <c:v>65003.377969762398</c:v>
                </c:pt>
                <c:pt idx="1">
                  <c:v>28693.57</c:v>
                </c:pt>
                <c:pt idx="2">
                  <c:v>23570.0828678086</c:v>
                </c:pt>
                <c:pt idx="3">
                  <c:v>4623.8823529411802</c:v>
                </c:pt>
                <c:pt idx="4">
                  <c:v>40332.199999999997</c:v>
                </c:pt>
                <c:pt idx="5">
                  <c:v>5416.7938144329901</c:v>
                </c:pt>
                <c:pt idx="6">
                  <c:v>24675.147076923098</c:v>
                </c:pt>
                <c:pt idx="7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F-D142-85CF-2C3A9E1C0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"/>
        <c:axId val="1143"/>
      </c:scatterChart>
      <c:valAx>
        <c:axId val="11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3"/>
        <c:crossesAt val="0"/>
        <c:crossBetween val="midCat"/>
      </c:valAx>
      <c:valAx>
        <c:axId val="114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Dentists  (R = 0.92587,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cadres'!$APT$1:$APT$8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cadres'!$APS$1:$APS$8</c:f>
              <c:numCache>
                <c:formatCode>General</c:formatCode>
                <c:ptCount val="8"/>
                <c:pt idx="0">
                  <c:v>38320.080000000002</c:v>
                </c:pt>
                <c:pt idx="1">
                  <c:v>4350</c:v>
                </c:pt>
                <c:pt idx="2">
                  <c:v>23570.0828678086</c:v>
                </c:pt>
                <c:pt idx="3">
                  <c:v>4623.8823529411802</c:v>
                </c:pt>
                <c:pt idx="4">
                  <c:v>40332.199999999997</c:v>
                </c:pt>
                <c:pt idx="5">
                  <c:v>5416.7938144329901</c:v>
                </c:pt>
                <c:pt idx="6">
                  <c:v>24675.147076923098</c:v>
                </c:pt>
                <c:pt idx="7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A-7A40-B087-52F72608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"/>
        <c:axId val="1146"/>
      </c:scatterChart>
      <c:valAx>
        <c:axId val="114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6"/>
        <c:crossesAt val="0"/>
        <c:crossBetween val="midCat"/>
      </c:valAx>
      <c:valAx>
        <c:axId val="114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Dentists  (R = 0.66963,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Dentists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cadres'!$APV$1:$APV$10</c:f>
              <c:numCache>
                <c:formatCode>General</c:formatCode>
                <c:ptCount val="10"/>
                <c:pt idx="0">
                  <c:v>1816.5471237521799</c:v>
                </c:pt>
                <c:pt idx="1">
                  <c:v>5037.3426291926298</c:v>
                </c:pt>
                <c:pt idx="2">
                  <c:v>1113.3721403358099</c:v>
                </c:pt>
                <c:pt idx="3">
                  <c:v>855.76088518690301</c:v>
                </c:pt>
                <c:pt idx="4">
                  <c:v>527.53417454467103</c:v>
                </c:pt>
                <c:pt idx="5">
                  <c:v>820.14928855859398</c:v>
                </c:pt>
                <c:pt idx="6">
                  <c:v>7970.7969680064098</c:v>
                </c:pt>
                <c:pt idx="7">
                  <c:v>583.11020358403903</c:v>
                </c:pt>
                <c:pt idx="8">
                  <c:v>1305.0022135408699</c:v>
                </c:pt>
                <c:pt idx="9">
                  <c:v>3894.6696302985802</c:v>
                </c:pt>
              </c:numCache>
            </c:numRef>
          </c:xVal>
          <c:yVal>
            <c:numRef>
              <c:f>'Correlation-GDP vs cadres'!$APU$1:$APU$10</c:f>
              <c:numCache>
                <c:formatCode>General</c:formatCode>
                <c:ptCount val="10"/>
                <c:pt idx="0">
                  <c:v>38320.080000000002</c:v>
                </c:pt>
                <c:pt idx="1">
                  <c:v>65003.377969762398</c:v>
                </c:pt>
                <c:pt idx="2">
                  <c:v>28693.57</c:v>
                </c:pt>
                <c:pt idx="3">
                  <c:v>4350</c:v>
                </c:pt>
                <c:pt idx="4">
                  <c:v>23570.0828678086</c:v>
                </c:pt>
                <c:pt idx="5">
                  <c:v>4623.8823529411802</c:v>
                </c:pt>
                <c:pt idx="6">
                  <c:v>40332.199999999997</c:v>
                </c:pt>
                <c:pt idx="7">
                  <c:v>5416.7938144329901</c:v>
                </c:pt>
                <c:pt idx="8">
                  <c:v>24675.147076923098</c:v>
                </c:pt>
                <c:pt idx="9">
                  <c:v>26265.357142857101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B-F24D-A640-E6AB7FB2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"/>
        <c:axId val="1149"/>
      </c:scatterChart>
      <c:valAx>
        <c:axId val="11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9"/>
        <c:crossesAt val="0"/>
        <c:crossBetween val="midCat"/>
      </c:valAx>
      <c:valAx>
        <c:axId val="114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4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Laboratory Scientists vs. Pharmacists  (R = 0.78611,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Laboratory Scientists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cadres'!$APX$1:$APX$10</c:f>
              <c:numCache>
                <c:formatCode>General</c:formatCode>
                <c:ptCount val="10"/>
                <c:pt idx="0">
                  <c:v>3577.84</c:v>
                </c:pt>
                <c:pt idx="1">
                  <c:v>9840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4951.3542135500802</c:v>
                </c:pt>
                <c:pt idx="5">
                  <c:v>4623.8823529411802</c:v>
                </c:pt>
                <c:pt idx="6">
                  <c:v>33827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cadres'!$APW$1:$APW$10</c:f>
              <c:numCache>
                <c:formatCode>General</c:formatCode>
                <c:ptCount val="10"/>
                <c:pt idx="0">
                  <c:v>3577.84</c:v>
                </c:pt>
                <c:pt idx="1">
                  <c:v>32760</c:v>
                </c:pt>
                <c:pt idx="2">
                  <c:v>17959.95</c:v>
                </c:pt>
                <c:pt idx="3">
                  <c:v>3881.1428571428601</c:v>
                </c:pt>
                <c:pt idx="4">
                  <c:v>10373.291678801201</c:v>
                </c:pt>
                <c:pt idx="5">
                  <c:v>7682.9689411764703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1-9D48-88DA-F3B4CC05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"/>
        <c:axId val="1152"/>
      </c:scatterChart>
      <c:valAx>
        <c:axId val="115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2"/>
        <c:crossesAt val="0"/>
        <c:crossBetween val="midCat"/>
      </c:valAx>
      <c:valAx>
        <c:axId val="11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Pharmacists  (R = 0.95795,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cadres'!$APZ$1:$APZ$10</c:f>
              <c:numCache>
                <c:formatCode>General</c:formatCode>
                <c:ptCount val="10"/>
                <c:pt idx="0">
                  <c:v>3577.84</c:v>
                </c:pt>
                <c:pt idx="1">
                  <c:v>39012.857142857101</c:v>
                </c:pt>
                <c:pt idx="2">
                  <c:v>29543.7753779698</c:v>
                </c:pt>
                <c:pt idx="3">
                  <c:v>12188.43</c:v>
                </c:pt>
                <c:pt idx="4">
                  <c:v>3881.1428571428601</c:v>
                </c:pt>
                <c:pt idx="5">
                  <c:v>7406.5711789468096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7477.7857142857101</c:v>
                </c:pt>
              </c:numCache>
            </c:numRef>
          </c:xVal>
          <c:yVal>
            <c:numRef>
              <c:f>'Correlation-GDP vs cadres'!$APY$1:$APY$10</c:f>
              <c:numCache>
                <c:formatCode>General</c:formatCode>
                <c:ptCount val="10"/>
                <c:pt idx="0">
                  <c:v>3577.84</c:v>
                </c:pt>
                <c:pt idx="1">
                  <c:v>55266.428571428602</c:v>
                </c:pt>
                <c:pt idx="2">
                  <c:v>45703.887688984898</c:v>
                </c:pt>
                <c:pt idx="3">
                  <c:v>17959.95</c:v>
                </c:pt>
                <c:pt idx="4">
                  <c:v>3881.1428571428601</c:v>
                </c:pt>
                <c:pt idx="5">
                  <c:v>10373.291678801201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7-E642-8E77-34D61ADD6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"/>
        <c:axId val="1155"/>
      </c:scatterChart>
      <c:valAx>
        <c:axId val="115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5"/>
        <c:crossesAt val="0"/>
        <c:crossBetween val="midCat"/>
      </c:valAx>
      <c:valAx>
        <c:axId val="115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Pharmacists  (R = 0.91739,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cadres'!$AQB$1:$AQB$10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xVal>
          <c:yVal>
            <c:numRef>
              <c:f>'Correlation-GDP vs cadres'!$AQA$1:$AQA$10</c:f>
              <c:numCache>
                <c:formatCode>General</c:formatCode>
                <c:ptCount val="10"/>
                <c:pt idx="0">
                  <c:v>32760</c:v>
                </c:pt>
                <c:pt idx="1">
                  <c:v>45703.887688984898</c:v>
                </c:pt>
                <c:pt idx="2">
                  <c:v>17959.95</c:v>
                </c:pt>
                <c:pt idx="3">
                  <c:v>3881.1428571428601</c:v>
                </c:pt>
                <c:pt idx="4">
                  <c:v>10373.291678801201</c:v>
                </c:pt>
                <c:pt idx="5">
                  <c:v>7682.9689411764703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3-084C-B4F8-8955F8B9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"/>
        <c:axId val="1158"/>
      </c:scatterChart>
      <c:valAx>
        <c:axId val="115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8"/>
        <c:crossesAt val="0"/>
        <c:crossBetween val="midCat"/>
      </c:valAx>
      <c:valAx>
        <c:axId val="115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5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Pharmacists  (R = 0.3273,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cadres'!$AQD$1:$AQD$8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xVal>
          <c:yVal>
            <c:numRef>
              <c:f>'Correlation-GDP vs cadres'!$AQC$1:$AQC$8</c:f>
              <c:numCache>
                <c:formatCode>General</c:formatCode>
                <c:ptCount val="8"/>
                <c:pt idx="0">
                  <c:v>55266.428571428602</c:v>
                </c:pt>
                <c:pt idx="1">
                  <c:v>32760</c:v>
                </c:pt>
                <c:pt idx="2">
                  <c:v>17959.95</c:v>
                </c:pt>
                <c:pt idx="3">
                  <c:v>3881.1428571428601</c:v>
                </c:pt>
                <c:pt idx="4">
                  <c:v>10373.291678801201</c:v>
                </c:pt>
                <c:pt idx="5">
                  <c:v>33827</c:v>
                </c:pt>
                <c:pt idx="6">
                  <c:v>5416.7938144329901</c:v>
                </c:pt>
                <c:pt idx="7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B-CE4C-916B-456015BB0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"/>
        <c:axId val="1161"/>
      </c:scatterChart>
      <c:valAx>
        <c:axId val="11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1"/>
        <c:crossesAt val="0"/>
        <c:crossBetween val="midCat"/>
      </c:valAx>
      <c:valAx>
        <c:axId val="116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Pharmacists  (R = 0.93491,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cadres'!$AQF$1:$AQF$9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xVal>
          <c:yVal>
            <c:numRef>
              <c:f>'Correlation-GDP vs cadres'!$AQE$1:$AQE$9</c:f>
              <c:numCache>
                <c:formatCode>General</c:formatCode>
                <c:ptCount val="9"/>
                <c:pt idx="0">
                  <c:v>55266.428571428602</c:v>
                </c:pt>
                <c:pt idx="1">
                  <c:v>45703.887688984898</c:v>
                </c:pt>
                <c:pt idx="2">
                  <c:v>17959.95</c:v>
                </c:pt>
                <c:pt idx="3">
                  <c:v>10373.291678801201</c:v>
                </c:pt>
                <c:pt idx="4">
                  <c:v>7682.9689411764703</c:v>
                </c:pt>
                <c:pt idx="5">
                  <c:v>33827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8-264A-8712-EEBB5708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"/>
        <c:axId val="1164"/>
      </c:scatterChart>
      <c:valAx>
        <c:axId val="116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4"/>
        <c:crossesAt val="0"/>
        <c:crossBetween val="midCat"/>
      </c:valAx>
      <c:valAx>
        <c:axId val="11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Pharmacists  (R = 0.97275,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cadres'!$AQH$1:$AQH$8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cadres'!$AQG$1:$AQG$8</c:f>
              <c:numCache>
                <c:formatCode>General</c:formatCode>
                <c:ptCount val="8"/>
                <c:pt idx="0">
                  <c:v>32760</c:v>
                </c:pt>
                <c:pt idx="1">
                  <c:v>3881.1428571428601</c:v>
                </c:pt>
                <c:pt idx="2">
                  <c:v>10373.291678801201</c:v>
                </c:pt>
                <c:pt idx="3">
                  <c:v>7682.9689411764703</c:v>
                </c:pt>
                <c:pt idx="4">
                  <c:v>33827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4-3C41-B284-59701FB5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"/>
        <c:axId val="1167"/>
      </c:scatterChart>
      <c:valAx>
        <c:axId val="11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7"/>
        <c:crossesAt val="0"/>
        <c:crossBetween val="midCat"/>
      </c:valAx>
      <c:valAx>
        <c:axId val="116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Pharmacists  (R = 0.79532, N = 12)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Pharmacists 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cadres'!$AQJ$1:$AQJ$12</c:f>
              <c:numCache>
                <c:formatCode>General</c:formatCode>
                <c:ptCount val="12"/>
                <c:pt idx="0">
                  <c:v>1156.1548636013899</c:v>
                </c:pt>
                <c:pt idx="1">
                  <c:v>6001.4011214067996</c:v>
                </c:pt>
                <c:pt idx="2">
                  <c:v>1816.5471237521799</c:v>
                </c:pt>
                <c:pt idx="3">
                  <c:v>5037.3426291926298</c:v>
                </c:pt>
                <c:pt idx="4">
                  <c:v>1113.3721403358099</c:v>
                </c:pt>
                <c:pt idx="5">
                  <c:v>855.76088518690301</c:v>
                </c:pt>
                <c:pt idx="6">
                  <c:v>527.53417454467103</c:v>
                </c:pt>
                <c:pt idx="7">
                  <c:v>820.14928855859398</c:v>
                </c:pt>
                <c:pt idx="8">
                  <c:v>7970.7969680064098</c:v>
                </c:pt>
                <c:pt idx="9">
                  <c:v>583.11020358403903</c:v>
                </c:pt>
                <c:pt idx="10">
                  <c:v>1305.0022135408699</c:v>
                </c:pt>
                <c:pt idx="11">
                  <c:v>3894.6696302985802</c:v>
                </c:pt>
              </c:numCache>
            </c:numRef>
          </c:xVal>
          <c:yVal>
            <c:numRef>
              <c:f>'Correlation-GDP vs cadres'!$AQI$1:$AQI$12</c:f>
              <c:numCache>
                <c:formatCode>General</c:formatCode>
                <c:ptCount val="12"/>
                <c:pt idx="0">
                  <c:v>3577.84</c:v>
                </c:pt>
                <c:pt idx="1">
                  <c:v>55266.428571428602</c:v>
                </c:pt>
                <c:pt idx="2">
                  <c:v>32760</c:v>
                </c:pt>
                <c:pt idx="3">
                  <c:v>45703.887688984898</c:v>
                </c:pt>
                <c:pt idx="4">
                  <c:v>17959.95</c:v>
                </c:pt>
                <c:pt idx="5">
                  <c:v>3881.1428571428601</c:v>
                </c:pt>
                <c:pt idx="6">
                  <c:v>10373.291678801201</c:v>
                </c:pt>
                <c:pt idx="7">
                  <c:v>7682.9689411764703</c:v>
                </c:pt>
                <c:pt idx="8">
                  <c:v>33827</c:v>
                </c:pt>
                <c:pt idx="9">
                  <c:v>5416.7938144329901</c:v>
                </c:pt>
                <c:pt idx="10">
                  <c:v>8329.7848138957997</c:v>
                </c:pt>
                <c:pt idx="11">
                  <c:v>17704.857142857101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A3-B844-A0BA-EC2AB442A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"/>
        <c:axId val="1170"/>
      </c:scatterChart>
      <c:valAx>
        <c:axId val="11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0"/>
        <c:crossesAt val="0"/>
        <c:crossBetween val="midCat"/>
      </c:valAx>
      <c:valAx>
        <c:axId val="117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6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Radiographers vs. Laboratory Scientists (R = 0.99114,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Radiographers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cadres'!$AQL$1:$AQL$8</c:f>
              <c:numCache>
                <c:formatCode>General</c:formatCode>
                <c:ptCount val="8"/>
                <c:pt idx="0">
                  <c:v>3577.84</c:v>
                </c:pt>
                <c:pt idx="1">
                  <c:v>12188.43</c:v>
                </c:pt>
                <c:pt idx="2">
                  <c:v>3881.1428571428601</c:v>
                </c:pt>
                <c:pt idx="3">
                  <c:v>7406.5711789468096</c:v>
                </c:pt>
                <c:pt idx="4">
                  <c:v>33827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7477.7857142857101</c:v>
                </c:pt>
              </c:numCache>
            </c:numRef>
          </c:xVal>
          <c:yVal>
            <c:numRef>
              <c:f>'Correlation-GDP vs cadres'!$AQK$1:$AQK$8</c:f>
              <c:numCache>
                <c:formatCode>General</c:formatCode>
                <c:ptCount val="8"/>
                <c:pt idx="0">
                  <c:v>3577.84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4951.3542135500802</c:v>
                </c:pt>
                <c:pt idx="4">
                  <c:v>33827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A-3541-9CF2-D900EF3C2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"/>
        <c:axId val="1173"/>
      </c:scatterChart>
      <c:valAx>
        <c:axId val="11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3"/>
        <c:crossesAt val="0"/>
        <c:crossBetween val="midCat"/>
      </c:valAx>
      <c:valAx>
        <c:axId val="117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Laboratory Scientists (R = 0.92355,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cadres'!$AQN$1:$AQN$9</c:f>
              <c:numCache>
                <c:formatCode>General</c:formatCode>
                <c:ptCount val="9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2446.2732179260702</c:v>
                </c:pt>
                <c:pt idx="4">
                  <c:v>4623.8823529411802</c:v>
                </c:pt>
                <c:pt idx="5">
                  <c:v>18248.400000000001</c:v>
                </c:pt>
                <c:pt idx="6">
                  <c:v>5416.7938144329901</c:v>
                </c:pt>
                <c:pt idx="7">
                  <c:v>5825.1178021978003</c:v>
                </c:pt>
                <c:pt idx="8">
                  <c:v>9005.4285714285706</c:v>
                </c:pt>
              </c:numCache>
            </c:numRef>
          </c:xVal>
          <c:yVal>
            <c:numRef>
              <c:f>'Correlation-GDP vs cadres'!$AQM$1:$AQM$9</c:f>
              <c:numCache>
                <c:formatCode>General</c:formatCode>
                <c:ptCount val="9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4951.3542135500802</c:v>
                </c:pt>
                <c:pt idx="4">
                  <c:v>4623.8823529411802</c:v>
                </c:pt>
                <c:pt idx="5">
                  <c:v>33827</c:v>
                </c:pt>
                <c:pt idx="6">
                  <c:v>5416.7938144329901</c:v>
                </c:pt>
                <c:pt idx="7">
                  <c:v>5825.1178021978003</c:v>
                </c:pt>
                <c:pt idx="8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8-FB4B-BE3B-0BCBC86B6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"/>
        <c:axId val="1176"/>
      </c:scatterChart>
      <c:valAx>
        <c:axId val="117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6"/>
        <c:crossesAt val="0"/>
        <c:crossBetween val="midCat"/>
      </c:valAx>
      <c:valAx>
        <c:axId val="11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Laboratory Scientists (R = 0.8177,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cadres'!$AQP$1:$AQP$7</c:f>
              <c:numCache>
                <c:formatCode>General</c:formatCode>
                <c:ptCount val="7"/>
                <c:pt idx="0">
                  <c:v>240</c:v>
                </c:pt>
                <c:pt idx="1">
                  <c:v>2190.85</c:v>
                </c:pt>
                <c:pt idx="2">
                  <c:v>2654.1428571428601</c:v>
                </c:pt>
                <c:pt idx="3">
                  <c:v>18.910955873175599</c:v>
                </c:pt>
                <c:pt idx="4">
                  <c:v>6691.2</c:v>
                </c:pt>
                <c:pt idx="5">
                  <c:v>2010.27835051546</c:v>
                </c:pt>
                <c:pt idx="6">
                  <c:v>300</c:v>
                </c:pt>
              </c:numCache>
            </c:numRef>
          </c:xVal>
          <c:yVal>
            <c:numRef>
              <c:f>'Correlation-GDP vs cadres'!$AQO$1:$AQO$7</c:f>
              <c:numCache>
                <c:formatCode>General</c:formatCode>
                <c:ptCount val="7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4951.3542135500802</c:v>
                </c:pt>
                <c:pt idx="4">
                  <c:v>33827</c:v>
                </c:pt>
                <c:pt idx="5">
                  <c:v>5416.7938144329901</c:v>
                </c:pt>
                <c:pt idx="6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C-314F-AF79-1A5307B67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"/>
        <c:axId val="1179"/>
      </c:scatterChart>
      <c:valAx>
        <c:axId val="11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9"/>
        <c:crossesAt val="0"/>
        <c:crossBetween val="midCat"/>
      </c:valAx>
      <c:valAx>
        <c:axId val="117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7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Laboratory Scientists (R = 0.90693,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cadres'!$AQR$1:$AQR$7</c:f>
              <c:numCache>
                <c:formatCode>General</c:formatCode>
                <c:ptCount val="7"/>
                <c:pt idx="0">
                  <c:v>12188.43</c:v>
                </c:pt>
                <c:pt idx="1">
                  <c:v>3928.3471446347698</c:v>
                </c:pt>
                <c:pt idx="2">
                  <c:v>4623.8823529411802</c:v>
                </c:pt>
                <c:pt idx="3">
                  <c:v>22628.400000000001</c:v>
                </c:pt>
                <c:pt idx="4">
                  <c:v>5416.7938144329901</c:v>
                </c:pt>
                <c:pt idx="5">
                  <c:v>8329.7848138957997</c:v>
                </c:pt>
                <c:pt idx="6">
                  <c:v>14688.857142857099</c:v>
                </c:pt>
              </c:numCache>
            </c:numRef>
          </c:xVal>
          <c:yVal>
            <c:numRef>
              <c:f>'Correlation-GDP vs cadres'!$AQQ$1:$AQQ$7</c:f>
              <c:numCache>
                <c:formatCode>General</c:formatCode>
                <c:ptCount val="7"/>
                <c:pt idx="0">
                  <c:v>12188.43</c:v>
                </c:pt>
                <c:pt idx="1">
                  <c:v>4951.3542135500802</c:v>
                </c:pt>
                <c:pt idx="2">
                  <c:v>4623.8823529411802</c:v>
                </c:pt>
                <c:pt idx="3">
                  <c:v>33827</c:v>
                </c:pt>
                <c:pt idx="4">
                  <c:v>5416.7938144329901</c:v>
                </c:pt>
                <c:pt idx="5">
                  <c:v>5825.1178021978003</c:v>
                </c:pt>
                <c:pt idx="6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6-0344-803C-85004E798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"/>
        <c:axId val="1182"/>
      </c:scatterChart>
      <c:valAx>
        <c:axId val="11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2"/>
        <c:crossesAt val="0"/>
        <c:crossBetween val="midCat"/>
      </c:valAx>
      <c:valAx>
        <c:axId val="118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Laboratory Scientists (R = 0.67325,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cadres'!$AQT$1:$AQT$8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cadres'!$AQS$1:$AQS$8</c:f>
              <c:numCache>
                <c:formatCode>General</c:formatCode>
                <c:ptCount val="8"/>
                <c:pt idx="0">
                  <c:v>9840</c:v>
                </c:pt>
                <c:pt idx="1">
                  <c:v>3030.4285714285702</c:v>
                </c:pt>
                <c:pt idx="2">
                  <c:v>4951.3542135500802</c:v>
                </c:pt>
                <c:pt idx="3">
                  <c:v>4623.8823529411802</c:v>
                </c:pt>
                <c:pt idx="4">
                  <c:v>33827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C-1F46-A711-644C94430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"/>
        <c:axId val="1185"/>
      </c:scatterChart>
      <c:valAx>
        <c:axId val="11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5"/>
        <c:crossesAt val="0"/>
        <c:crossBetween val="midCat"/>
      </c:valAx>
      <c:valAx>
        <c:axId val="118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Laboratory Scientists (R = 0.9213,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Laboratory Scientists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cadres'!$AQV$1:$AQV$10</c:f>
              <c:numCache>
                <c:formatCode>General</c:formatCode>
                <c:ptCount val="10"/>
                <c:pt idx="0">
                  <c:v>1156.1548636013899</c:v>
                </c:pt>
                <c:pt idx="1">
                  <c:v>1816.5471237521799</c:v>
                </c:pt>
                <c:pt idx="2">
                  <c:v>1113.3721403358099</c:v>
                </c:pt>
                <c:pt idx="3">
                  <c:v>855.76088518690301</c:v>
                </c:pt>
                <c:pt idx="4">
                  <c:v>527.53417454467103</c:v>
                </c:pt>
                <c:pt idx="5">
                  <c:v>820.14928855859398</c:v>
                </c:pt>
                <c:pt idx="6">
                  <c:v>7970.7969680064098</c:v>
                </c:pt>
                <c:pt idx="7">
                  <c:v>583.11020358403903</c:v>
                </c:pt>
                <c:pt idx="8">
                  <c:v>1305.0022135408699</c:v>
                </c:pt>
                <c:pt idx="9">
                  <c:v>3894.6696302985802</c:v>
                </c:pt>
              </c:numCache>
            </c:numRef>
          </c:xVal>
          <c:yVal>
            <c:numRef>
              <c:f>'Correlation-GDP vs cadres'!$AQU$1:$AQU$10</c:f>
              <c:numCache>
                <c:formatCode>General</c:formatCode>
                <c:ptCount val="10"/>
                <c:pt idx="0">
                  <c:v>3577.84</c:v>
                </c:pt>
                <c:pt idx="1">
                  <c:v>9840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4951.3542135500802</c:v>
                </c:pt>
                <c:pt idx="5">
                  <c:v>4623.8823529411802</c:v>
                </c:pt>
                <c:pt idx="6">
                  <c:v>33827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2-9B47-B7CD-C33F11DC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"/>
        <c:axId val="1188"/>
      </c:scatterChart>
      <c:valAx>
        <c:axId val="11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8"/>
        <c:crossesAt val="0"/>
        <c:crossBetween val="midCat"/>
      </c:valAx>
      <c:valAx>
        <c:axId val="11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8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Environment and public health workers vs. Radiographers (R = 0.91501,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 and public health workers vs. Radiographers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cadres'!$AQX$1:$AQX$8</c:f>
              <c:numCache>
                <c:formatCode>General</c:formatCode>
                <c:ptCount val="8"/>
                <c:pt idx="0">
                  <c:v>23780.7408207343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2446.2732179260702</c:v>
                </c:pt>
                <c:pt idx="4">
                  <c:v>18248.400000000001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9005.4285714285706</c:v>
                </c:pt>
              </c:numCache>
            </c:numRef>
          </c:xVal>
          <c:yVal>
            <c:numRef>
              <c:f>'Correlation-GDP vs cadres'!$AQW$1:$AQW$8</c:f>
              <c:numCache>
                <c:formatCode>General</c:formatCode>
                <c:ptCount val="8"/>
                <c:pt idx="0">
                  <c:v>29543.7753779698</c:v>
                </c:pt>
                <c:pt idx="1">
                  <c:v>12188.43</c:v>
                </c:pt>
                <c:pt idx="2">
                  <c:v>3881.1428571428601</c:v>
                </c:pt>
                <c:pt idx="3">
                  <c:v>7406.5711789468096</c:v>
                </c:pt>
                <c:pt idx="4">
                  <c:v>33827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7477.7857142857101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2-B248-81F8-ED271D993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"/>
        <c:axId val="1191"/>
      </c:scatterChart>
      <c:valAx>
        <c:axId val="119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1"/>
        <c:crossesAt val="0"/>
        <c:crossBetween val="midCat"/>
      </c:valAx>
      <c:valAx>
        <c:axId val="119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Radiographers (R = 0.67988,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Radiographers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cadres'!$AQZ$1:$AQZ$7</c:f>
              <c:numCache>
                <c:formatCode>General</c:formatCode>
                <c:ptCount val="7"/>
                <c:pt idx="0">
                  <c:v>3000</c:v>
                </c:pt>
                <c:pt idx="1">
                  <c:v>2190.85</c:v>
                </c:pt>
                <c:pt idx="2">
                  <c:v>2654.1428571428601</c:v>
                </c:pt>
                <c:pt idx="3">
                  <c:v>18.910955873175599</c:v>
                </c:pt>
                <c:pt idx="4">
                  <c:v>6691.2</c:v>
                </c:pt>
                <c:pt idx="5">
                  <c:v>2010.27835051546</c:v>
                </c:pt>
                <c:pt idx="6">
                  <c:v>300</c:v>
                </c:pt>
              </c:numCache>
            </c:numRef>
          </c:xVal>
          <c:yVal>
            <c:numRef>
              <c:f>'Correlation-GDP vs cadres'!$AQY$1:$AQY$7</c:f>
              <c:numCache>
                <c:formatCode>General</c:formatCode>
                <c:ptCount val="7"/>
                <c:pt idx="0">
                  <c:v>39012.857142857101</c:v>
                </c:pt>
                <c:pt idx="1">
                  <c:v>12188.43</c:v>
                </c:pt>
                <c:pt idx="2">
                  <c:v>3881.1428571428601</c:v>
                </c:pt>
                <c:pt idx="3">
                  <c:v>7406.5711789468096</c:v>
                </c:pt>
                <c:pt idx="4">
                  <c:v>33827</c:v>
                </c:pt>
                <c:pt idx="5">
                  <c:v>5416.7938144329901</c:v>
                </c:pt>
                <c:pt idx="6">
                  <c:v>7477.7857142857101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0-E244-9F57-FAAD77F7E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"/>
        <c:axId val="1194"/>
      </c:scatterChart>
      <c:valAx>
        <c:axId val="119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4"/>
        <c:crossesAt val="0"/>
        <c:crossBetween val="midCat"/>
      </c:valAx>
      <c:valAx>
        <c:axId val="119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Radiographers (R = 0.90468,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Radiographers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cadres'!$ARB$1:$ARB$8</c:f>
              <c:numCache>
                <c:formatCode>General</c:formatCode>
                <c:ptCount val="8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22628.400000000001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14688.857142857099</c:v>
                </c:pt>
              </c:numCache>
            </c:numRef>
          </c:xVal>
          <c:yVal>
            <c:numRef>
              <c:f>'Correlation-GDP vs cadres'!$ARA$1:$ARA$8</c:f>
              <c:numCache>
                <c:formatCode>General</c:formatCode>
                <c:ptCount val="8"/>
                <c:pt idx="0">
                  <c:v>39012.857142857101</c:v>
                </c:pt>
                <c:pt idx="1">
                  <c:v>29543.7753779698</c:v>
                </c:pt>
                <c:pt idx="2">
                  <c:v>12188.43</c:v>
                </c:pt>
                <c:pt idx="3">
                  <c:v>7406.5711789468096</c:v>
                </c:pt>
                <c:pt idx="4">
                  <c:v>33827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7477.7857142857101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9-B246-BE42-C28E3F07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"/>
        <c:axId val="1197"/>
      </c:scatterChart>
      <c:valAx>
        <c:axId val="11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7"/>
        <c:crossesAt val="0"/>
        <c:crossBetween val="midCat"/>
      </c:valAx>
      <c:valAx>
        <c:axId val="119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Radiographers (R = 0.96202, N =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Radiographers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cadres'!$ARD$1:$ARD$6</c:f>
              <c:numCache>
                <c:formatCode>General</c:formatCode>
                <c:ptCount val="6"/>
                <c:pt idx="0">
                  <c:v>3881.14</c:v>
                </c:pt>
                <c:pt idx="1">
                  <c:v>6394.1762324585097</c:v>
                </c:pt>
                <c:pt idx="2">
                  <c:v>10736.234165471</c:v>
                </c:pt>
                <c:pt idx="3">
                  <c:v>5416.7938144329901</c:v>
                </c:pt>
                <c:pt idx="4">
                  <c:v>6275.90162106351</c:v>
                </c:pt>
                <c:pt idx="5">
                  <c:v>0</c:v>
                </c:pt>
              </c:numCache>
            </c:numRef>
          </c:xVal>
          <c:yVal>
            <c:numRef>
              <c:f>'Correlation-GDP vs cadres'!$ARC$1:$ARC$6</c:f>
              <c:numCache>
                <c:formatCode>General</c:formatCode>
                <c:ptCount val="6"/>
                <c:pt idx="0">
                  <c:v>3881.1428571428601</c:v>
                </c:pt>
                <c:pt idx="1">
                  <c:v>7406.5711789468096</c:v>
                </c:pt>
                <c:pt idx="2">
                  <c:v>33827</c:v>
                </c:pt>
                <c:pt idx="3">
                  <c:v>5416.7938144329901</c:v>
                </c:pt>
                <c:pt idx="4">
                  <c:v>8329.7848138957997</c:v>
                </c:pt>
                <c:pt idx="5">
                  <c:v>7477.7857142857101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4-F84B-A4E8-0BF311EB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"/>
        <c:axId val="1200"/>
      </c:scatterChart>
      <c:valAx>
        <c:axId val="119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0"/>
        <c:crossesAt val="0"/>
        <c:crossBetween val="midCat"/>
      </c:valAx>
      <c:valAx>
        <c:axId val="120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19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Radiographers (R = 0.89188,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Radiographers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cadres'!$ARF$1:$ARF$10</c:f>
              <c:numCache>
                <c:formatCode>General</c:formatCode>
                <c:ptCount val="10"/>
                <c:pt idx="0">
                  <c:v>1156.1548636013899</c:v>
                </c:pt>
                <c:pt idx="1">
                  <c:v>6001.4011214067996</c:v>
                </c:pt>
                <c:pt idx="2">
                  <c:v>5037.3426291926298</c:v>
                </c:pt>
                <c:pt idx="3">
                  <c:v>1113.3721403358099</c:v>
                </c:pt>
                <c:pt idx="4">
                  <c:v>855.76088518690301</c:v>
                </c:pt>
                <c:pt idx="5">
                  <c:v>527.53417454467103</c:v>
                </c:pt>
                <c:pt idx="6">
                  <c:v>7970.7969680064098</c:v>
                </c:pt>
                <c:pt idx="7">
                  <c:v>583.11020358403903</c:v>
                </c:pt>
                <c:pt idx="8">
                  <c:v>1305.0022135408699</c:v>
                </c:pt>
                <c:pt idx="9">
                  <c:v>3894.6696302985802</c:v>
                </c:pt>
              </c:numCache>
            </c:numRef>
          </c:xVal>
          <c:yVal>
            <c:numRef>
              <c:f>'Correlation-GDP vs cadres'!$ARE$1:$ARE$10</c:f>
              <c:numCache>
                <c:formatCode>General</c:formatCode>
                <c:ptCount val="10"/>
                <c:pt idx="0">
                  <c:v>3577.84</c:v>
                </c:pt>
                <c:pt idx="1">
                  <c:v>39012.857142857101</c:v>
                </c:pt>
                <c:pt idx="2">
                  <c:v>29543.7753779698</c:v>
                </c:pt>
                <c:pt idx="3">
                  <c:v>12188.43</c:v>
                </c:pt>
                <c:pt idx="4">
                  <c:v>3881.1428571428601</c:v>
                </c:pt>
                <c:pt idx="5">
                  <c:v>7406.5711789468096</c:v>
                </c:pt>
                <c:pt idx="6">
                  <c:v>33827</c:v>
                </c:pt>
                <c:pt idx="7">
                  <c:v>5416.7938144329901</c:v>
                </c:pt>
                <c:pt idx="8">
                  <c:v>8329.7848138957997</c:v>
                </c:pt>
                <c:pt idx="9">
                  <c:v>7477.7857142857101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9-174E-9A2F-D1F36A3A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"/>
        <c:axId val="1203"/>
      </c:scatterChart>
      <c:valAx>
        <c:axId val="120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3"/>
        <c:crossesAt val="0"/>
        <c:crossBetween val="midCat"/>
      </c:valAx>
      <c:valAx>
        <c:axId val="120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Community Health workers vs. Environment and public health workers (R = 0.66353,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Community Health workers vs. Environment and public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cadres'!$ARH$1:$ARH$7</c:f>
              <c:numCache>
                <c:formatCode>General</c:formatCode>
                <c:ptCount val="7"/>
                <c:pt idx="0">
                  <c:v>240</c:v>
                </c:pt>
                <c:pt idx="1">
                  <c:v>2190.85</c:v>
                </c:pt>
                <c:pt idx="2">
                  <c:v>2654.1428571428601</c:v>
                </c:pt>
                <c:pt idx="3">
                  <c:v>18.910955873175599</c:v>
                </c:pt>
                <c:pt idx="4">
                  <c:v>6691.2</c:v>
                </c:pt>
                <c:pt idx="5">
                  <c:v>2010.27835051546</c:v>
                </c:pt>
                <c:pt idx="6">
                  <c:v>300</c:v>
                </c:pt>
              </c:numCache>
            </c:numRef>
          </c:xVal>
          <c:yVal>
            <c:numRef>
              <c:f>'Correlation-GDP vs cadres'!$ARG$1:$ARG$7</c:f>
              <c:numCache>
                <c:formatCode>General</c:formatCode>
                <c:ptCount val="7"/>
                <c:pt idx="0">
                  <c:v>9840</c:v>
                </c:pt>
                <c:pt idx="1">
                  <c:v>12188.43</c:v>
                </c:pt>
                <c:pt idx="2">
                  <c:v>3030.4285714285702</c:v>
                </c:pt>
                <c:pt idx="3">
                  <c:v>2446.2732179260702</c:v>
                </c:pt>
                <c:pt idx="4">
                  <c:v>18248.400000000001</c:v>
                </c:pt>
                <c:pt idx="5">
                  <c:v>5416.7938144329901</c:v>
                </c:pt>
                <c:pt idx="6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7-1C45-AFF3-6726D7330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"/>
        <c:axId val="1206"/>
      </c:scatterChart>
      <c:valAx>
        <c:axId val="120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6"/>
        <c:crossesAt val="0"/>
        <c:crossBetween val="midCat"/>
      </c:valAx>
      <c:valAx>
        <c:axId val="120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5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Environment and public health workers (R = 0.91378,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Environment and public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cadres'!$ARJ$1:$ARJ$8</c:f>
              <c:numCache>
                <c:formatCode>General</c:formatCode>
                <c:ptCount val="8"/>
                <c:pt idx="0">
                  <c:v>19659.8963282937</c:v>
                </c:pt>
                <c:pt idx="1">
                  <c:v>12188.43</c:v>
                </c:pt>
                <c:pt idx="2">
                  <c:v>3928.3471446347698</c:v>
                </c:pt>
                <c:pt idx="3">
                  <c:v>4623.8823529411802</c:v>
                </c:pt>
                <c:pt idx="4">
                  <c:v>22628.400000000001</c:v>
                </c:pt>
                <c:pt idx="5">
                  <c:v>5416.7938144329901</c:v>
                </c:pt>
                <c:pt idx="6">
                  <c:v>8329.7848138957997</c:v>
                </c:pt>
                <c:pt idx="7">
                  <c:v>14688.857142857099</c:v>
                </c:pt>
              </c:numCache>
            </c:numRef>
          </c:xVal>
          <c:yVal>
            <c:numRef>
              <c:f>'Correlation-GDP vs cadres'!$ARI$1:$ARI$8</c:f>
              <c:numCache>
                <c:formatCode>General</c:formatCode>
                <c:ptCount val="8"/>
                <c:pt idx="0">
                  <c:v>23780.7408207343</c:v>
                </c:pt>
                <c:pt idx="1">
                  <c:v>12188.43</c:v>
                </c:pt>
                <c:pt idx="2">
                  <c:v>2446.2732179260702</c:v>
                </c:pt>
                <c:pt idx="3">
                  <c:v>4623.8823529411802</c:v>
                </c:pt>
                <c:pt idx="4">
                  <c:v>18248.400000000001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F-904B-B18D-3EB3761B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"/>
        <c:axId val="1209"/>
      </c:scatterChart>
      <c:valAx>
        <c:axId val="120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9"/>
        <c:crossesAt val="0"/>
        <c:crossBetween val="midCat"/>
      </c:valAx>
      <c:valAx>
        <c:axId val="120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08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Environment and public health workers (R = 0.78678,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Environment and public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cadres'!$ARL$1:$ARL$8</c:f>
              <c:numCache>
                <c:formatCode>General</c:formatCode>
                <c:ptCount val="8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  <c:pt idx="7">
                  <c:v>0</c:v>
                </c:pt>
              </c:numCache>
            </c:numRef>
          </c:xVal>
          <c:yVal>
            <c:numRef>
              <c:f>'Correlation-GDP vs cadres'!$ARK$1:$ARK$8</c:f>
              <c:numCache>
                <c:formatCode>General</c:formatCode>
                <c:ptCount val="8"/>
                <c:pt idx="0">
                  <c:v>9840</c:v>
                </c:pt>
                <c:pt idx="1">
                  <c:v>3030.4285714285702</c:v>
                </c:pt>
                <c:pt idx="2">
                  <c:v>2446.2732179260702</c:v>
                </c:pt>
                <c:pt idx="3">
                  <c:v>4623.8823529411802</c:v>
                </c:pt>
                <c:pt idx="4">
                  <c:v>18248.400000000001</c:v>
                </c:pt>
                <c:pt idx="5">
                  <c:v>5416.7938144329901</c:v>
                </c:pt>
                <c:pt idx="6">
                  <c:v>5825.1178021978003</c:v>
                </c:pt>
                <c:pt idx="7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8-7B41-BCCC-5E02E0F29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"/>
        <c:axId val="1212"/>
      </c:scatterChart>
      <c:valAx>
        <c:axId val="12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2"/>
        <c:crossesAt val="0"/>
        <c:crossBetween val="midCat"/>
      </c:valAx>
      <c:valAx>
        <c:axId val="12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1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Environment and public health workers (R = 0.80442, N = 10)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Environment and public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cadres'!$ARN$1:$ARN$10</c:f>
              <c:numCache>
                <c:formatCode>General</c:formatCode>
                <c:ptCount val="10"/>
                <c:pt idx="0">
                  <c:v>1816.5471237521799</c:v>
                </c:pt>
                <c:pt idx="1">
                  <c:v>5037.3426291926298</c:v>
                </c:pt>
                <c:pt idx="2">
                  <c:v>1113.3721403358099</c:v>
                </c:pt>
                <c:pt idx="3">
                  <c:v>855.76088518690301</c:v>
                </c:pt>
                <c:pt idx="4">
                  <c:v>527.53417454467103</c:v>
                </c:pt>
                <c:pt idx="5">
                  <c:v>820.14928855859398</c:v>
                </c:pt>
                <c:pt idx="6">
                  <c:v>7970.7969680064098</c:v>
                </c:pt>
                <c:pt idx="7">
                  <c:v>583.11020358403903</c:v>
                </c:pt>
                <c:pt idx="8">
                  <c:v>1305.0022135408699</c:v>
                </c:pt>
                <c:pt idx="9">
                  <c:v>3894.6696302985802</c:v>
                </c:pt>
              </c:numCache>
            </c:numRef>
          </c:xVal>
          <c:yVal>
            <c:numRef>
              <c:f>'Correlation-GDP vs cadres'!$ARM$1:$ARM$10</c:f>
              <c:numCache>
                <c:formatCode>General</c:formatCode>
                <c:ptCount val="10"/>
                <c:pt idx="0">
                  <c:v>9840</c:v>
                </c:pt>
                <c:pt idx="1">
                  <c:v>23780.7408207343</c:v>
                </c:pt>
                <c:pt idx="2">
                  <c:v>12188.43</c:v>
                </c:pt>
                <c:pt idx="3">
                  <c:v>3030.4285714285702</c:v>
                </c:pt>
                <c:pt idx="4">
                  <c:v>2446.2732179260702</c:v>
                </c:pt>
                <c:pt idx="5">
                  <c:v>4623.8823529411802</c:v>
                </c:pt>
                <c:pt idx="6">
                  <c:v>18248.400000000001</c:v>
                </c:pt>
                <c:pt idx="7">
                  <c:v>5416.7938144329901</c:v>
                </c:pt>
                <c:pt idx="8">
                  <c:v>5825.1178021978003</c:v>
                </c:pt>
                <c:pt idx="9">
                  <c:v>9005.4285714285706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1-B74F-9305-3728D59E4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"/>
        <c:axId val="1215"/>
      </c:scatterChart>
      <c:valAx>
        <c:axId val="12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5"/>
        <c:crossesAt val="0"/>
        <c:crossBetween val="midCat"/>
      </c:valAx>
      <c:valAx>
        <c:axId val="1215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4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Physiotherapist vs. Community Health workers (R = 0.50198, N = 6)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Physiotherapist vs. Community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cadres'!$ARP$1:$ARP$6</c:f>
              <c:numCache>
                <c:formatCode>General</c:formatCode>
                <c:ptCount val="6"/>
                <c:pt idx="0">
                  <c:v>39012.857142857101</c:v>
                </c:pt>
                <c:pt idx="1">
                  <c:v>12188.43</c:v>
                </c:pt>
                <c:pt idx="2">
                  <c:v>3928.3471446347698</c:v>
                </c:pt>
                <c:pt idx="3">
                  <c:v>22628.400000000001</c:v>
                </c:pt>
                <c:pt idx="4">
                  <c:v>5416.7938144329901</c:v>
                </c:pt>
                <c:pt idx="5">
                  <c:v>14688.857142857099</c:v>
                </c:pt>
              </c:numCache>
            </c:numRef>
          </c:xVal>
          <c:yVal>
            <c:numRef>
              <c:f>'Correlation-GDP vs cadres'!$ARO$1:$ARO$6</c:f>
              <c:numCache>
                <c:formatCode>General</c:formatCode>
                <c:ptCount val="6"/>
                <c:pt idx="0">
                  <c:v>3000</c:v>
                </c:pt>
                <c:pt idx="1">
                  <c:v>2190.85</c:v>
                </c:pt>
                <c:pt idx="2">
                  <c:v>18.910955873175599</c:v>
                </c:pt>
                <c:pt idx="3">
                  <c:v>6691.2</c:v>
                </c:pt>
                <c:pt idx="4">
                  <c:v>2010.27835051546</c:v>
                </c:pt>
                <c:pt idx="5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C-F042-9547-04E9A7C6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"/>
        <c:axId val="1218"/>
      </c:scatterChart>
      <c:valAx>
        <c:axId val="121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8"/>
        <c:crossesAt val="0"/>
        <c:crossBetween val="midCat"/>
      </c:valAx>
      <c:valAx>
        <c:axId val="121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17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Community Health workers (R = 0.17883, N =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Community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cadres'!$ARR$1:$ARR$6</c:f>
              <c:numCache>
                <c:formatCode>General</c:formatCode>
                <c:ptCount val="6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10736.234165471</c:v>
                </c:pt>
                <c:pt idx="4">
                  <c:v>5416.7938144329901</c:v>
                </c:pt>
                <c:pt idx="5">
                  <c:v>0</c:v>
                </c:pt>
              </c:numCache>
            </c:numRef>
          </c:xVal>
          <c:yVal>
            <c:numRef>
              <c:f>'Correlation-GDP vs cadres'!$ARQ$1:$ARQ$6</c:f>
              <c:numCache>
                <c:formatCode>General</c:formatCode>
                <c:ptCount val="6"/>
                <c:pt idx="0">
                  <c:v>240</c:v>
                </c:pt>
                <c:pt idx="1">
                  <c:v>2654.1428571428601</c:v>
                </c:pt>
                <c:pt idx="2">
                  <c:v>18.910955873175599</c:v>
                </c:pt>
                <c:pt idx="3">
                  <c:v>6691.2</c:v>
                </c:pt>
                <c:pt idx="4">
                  <c:v>2010.27835051546</c:v>
                </c:pt>
                <c:pt idx="5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C4-AA4A-AACD-E56FCD99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"/>
        <c:axId val="1221"/>
      </c:scatterChart>
      <c:valAx>
        <c:axId val="122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1"/>
        <c:crossesAt val="0"/>
        <c:crossBetween val="midCat"/>
      </c:valAx>
      <c:valAx>
        <c:axId val="122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0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Community Health workers (R = 0.70024, N = 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Community Health workers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cadres'!$ART$1:$ART$8</c:f>
              <c:numCache>
                <c:formatCode>General</c:formatCode>
                <c:ptCount val="8"/>
                <c:pt idx="0">
                  <c:v>6001.4011214067996</c:v>
                </c:pt>
                <c:pt idx="1">
                  <c:v>1816.5471237521799</c:v>
                </c:pt>
                <c:pt idx="2">
                  <c:v>1113.3721403358099</c:v>
                </c:pt>
                <c:pt idx="3">
                  <c:v>855.76088518690301</c:v>
                </c:pt>
                <c:pt idx="4">
                  <c:v>527.53417454467103</c:v>
                </c:pt>
                <c:pt idx="5">
                  <c:v>7970.7969680064098</c:v>
                </c:pt>
                <c:pt idx="6">
                  <c:v>583.11020358403903</c:v>
                </c:pt>
                <c:pt idx="7">
                  <c:v>3894.6696302985802</c:v>
                </c:pt>
              </c:numCache>
            </c:numRef>
          </c:xVal>
          <c:yVal>
            <c:numRef>
              <c:f>'Correlation-GDP vs cadres'!$ARS$1:$ARS$8</c:f>
              <c:numCache>
                <c:formatCode>General</c:formatCode>
                <c:ptCount val="8"/>
                <c:pt idx="0">
                  <c:v>3000</c:v>
                </c:pt>
                <c:pt idx="1">
                  <c:v>240</c:v>
                </c:pt>
                <c:pt idx="2">
                  <c:v>2190.85</c:v>
                </c:pt>
                <c:pt idx="3">
                  <c:v>2654.1428571428601</c:v>
                </c:pt>
                <c:pt idx="4">
                  <c:v>18.910955873175599</c:v>
                </c:pt>
                <c:pt idx="5">
                  <c:v>6691.2</c:v>
                </c:pt>
                <c:pt idx="6">
                  <c:v>2010.27835051546</c:v>
                </c:pt>
                <c:pt idx="7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BF-0F4A-B8AA-E06FB94E7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"/>
        <c:axId val="1224"/>
      </c:scatterChart>
      <c:valAx>
        <c:axId val="12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4"/>
        <c:crossesAt val="0"/>
        <c:crossBetween val="midCat"/>
      </c:valAx>
      <c:valAx>
        <c:axId val="1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3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Clinical Officer/Physician Assistant vs. Physiotherapist (R = 0.9516, N =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Clinical Officer/Physician Assistant vs. Physiotherapist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cadres'!$ARV$1:$ARV$6</c:f>
              <c:numCache>
                <c:formatCode>General</c:formatCode>
                <c:ptCount val="6"/>
                <c:pt idx="0">
                  <c:v>6394.1762324585097</c:v>
                </c:pt>
                <c:pt idx="1">
                  <c:v>4623.8823529411802</c:v>
                </c:pt>
                <c:pt idx="2">
                  <c:v>10736.234165471</c:v>
                </c:pt>
                <c:pt idx="3">
                  <c:v>5416.7938144329901</c:v>
                </c:pt>
                <c:pt idx="4">
                  <c:v>6275.90162106351</c:v>
                </c:pt>
                <c:pt idx="5">
                  <c:v>0</c:v>
                </c:pt>
              </c:numCache>
            </c:numRef>
          </c:xVal>
          <c:yVal>
            <c:numRef>
              <c:f>'Correlation-GDP vs cadres'!$ARU$1:$ARU$6</c:f>
              <c:numCache>
                <c:formatCode>General</c:formatCode>
                <c:ptCount val="6"/>
                <c:pt idx="0">
                  <c:v>3928.3471446347698</c:v>
                </c:pt>
                <c:pt idx="1">
                  <c:v>4623.8823529411802</c:v>
                </c:pt>
                <c:pt idx="2">
                  <c:v>22628.400000000001</c:v>
                </c:pt>
                <c:pt idx="3">
                  <c:v>5416.7938144329901</c:v>
                </c:pt>
                <c:pt idx="4">
                  <c:v>8329.7848138957997</c:v>
                </c:pt>
                <c:pt idx="5">
                  <c:v>14688.857142857099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4-5341-9944-FE7B11C8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"/>
        <c:axId val="1227"/>
      </c:scatterChart>
      <c:valAx>
        <c:axId val="12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7"/>
        <c:crossesAt val="0"/>
        <c:crossBetween val="midCat"/>
      </c:valAx>
      <c:valAx>
        <c:axId val="122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6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Physiotherapist (R = 0.82925, N = 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Physiotherapist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cadres'!$ARX$1:$ARX$9</c:f>
              <c:numCache>
                <c:formatCode>General</c:formatCode>
                <c:ptCount val="9"/>
                <c:pt idx="0">
                  <c:v>6001.4011214067996</c:v>
                </c:pt>
                <c:pt idx="1">
                  <c:v>5037.3426291926298</c:v>
                </c:pt>
                <c:pt idx="2">
                  <c:v>1113.3721403358099</c:v>
                </c:pt>
                <c:pt idx="3">
                  <c:v>527.53417454467103</c:v>
                </c:pt>
                <c:pt idx="4">
                  <c:v>820.14928855859398</c:v>
                </c:pt>
                <c:pt idx="5">
                  <c:v>7970.7969680064098</c:v>
                </c:pt>
                <c:pt idx="6">
                  <c:v>583.11020358403903</c:v>
                </c:pt>
                <c:pt idx="7">
                  <c:v>1305.0022135408699</c:v>
                </c:pt>
                <c:pt idx="8">
                  <c:v>3894.6696302985802</c:v>
                </c:pt>
              </c:numCache>
            </c:numRef>
          </c:xVal>
          <c:yVal>
            <c:numRef>
              <c:f>'Correlation-GDP vs cadres'!$ARW$1:$ARW$9</c:f>
              <c:numCache>
                <c:formatCode>General</c:formatCode>
                <c:ptCount val="9"/>
                <c:pt idx="0">
                  <c:v>39012.857142857101</c:v>
                </c:pt>
                <c:pt idx="1">
                  <c:v>19659.8963282937</c:v>
                </c:pt>
                <c:pt idx="2">
                  <c:v>12188.43</c:v>
                </c:pt>
                <c:pt idx="3">
                  <c:v>3928.3471446347698</c:v>
                </c:pt>
                <c:pt idx="4">
                  <c:v>4623.8823529411802</c:v>
                </c:pt>
                <c:pt idx="5">
                  <c:v>22628.400000000001</c:v>
                </c:pt>
                <c:pt idx="6">
                  <c:v>5416.7938144329901</c:v>
                </c:pt>
                <c:pt idx="7">
                  <c:v>8329.7848138957997</c:v>
                </c:pt>
                <c:pt idx="8">
                  <c:v>14688.857142857099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7-A04E-9824-95D60110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"/>
        <c:axId val="1230"/>
      </c:scatterChart>
      <c:valAx>
        <c:axId val="122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30"/>
        <c:crossesAt val="0"/>
        <c:crossBetween val="midCat"/>
      </c:valAx>
      <c:valAx>
        <c:axId val="123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29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200" b="1"/>
              <a:t>GDP Per capita vs. Clinical Officer/Physician Assistant (R = 0.6298, N = 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Per capita vs. Clinical Officer/Physician Assistant</c:v>
          </c:tx>
          <c:spPr>
            <a:ln>
              <a:noFill/>
            </a:ln>
          </c:spPr>
          <c:marker>
            <c:symbol val="plus"/>
            <c:size val="8"/>
            <c:spPr>
              <a:noFill/>
              <a:ln>
                <a:solidFill>
                  <a:srgbClr val="4572A8">
                    <a:alpha val="100000"/>
                  </a:srgbClr>
                </a:solidFill>
              </a:ln>
            </c:spPr>
          </c:marker>
          <c:xVal>
            <c:numRef>
              <c:f>'Correlation-GDP vs cadres'!$ARZ$1:$ARZ$7</c:f>
              <c:numCache>
                <c:formatCode>General</c:formatCode>
                <c:ptCount val="7"/>
                <c:pt idx="0">
                  <c:v>1816.5471237521799</c:v>
                </c:pt>
                <c:pt idx="1">
                  <c:v>855.76088518690301</c:v>
                </c:pt>
                <c:pt idx="2">
                  <c:v>527.53417454467103</c:v>
                </c:pt>
                <c:pt idx="3">
                  <c:v>820.14928855859398</c:v>
                </c:pt>
                <c:pt idx="4">
                  <c:v>7970.7969680064098</c:v>
                </c:pt>
                <c:pt idx="5">
                  <c:v>583.11020358403903</c:v>
                </c:pt>
                <c:pt idx="6">
                  <c:v>1305.0022135408699</c:v>
                </c:pt>
              </c:numCache>
            </c:numRef>
          </c:xVal>
          <c:yVal>
            <c:numRef>
              <c:f>'Correlation-GDP vs cadres'!$ARY$1:$ARY$7</c:f>
              <c:numCache>
                <c:formatCode>General</c:formatCode>
                <c:ptCount val="7"/>
                <c:pt idx="0">
                  <c:v>12006</c:v>
                </c:pt>
                <c:pt idx="1">
                  <c:v>3881.14</c:v>
                </c:pt>
                <c:pt idx="2">
                  <c:v>6394.1762324585097</c:v>
                </c:pt>
                <c:pt idx="3">
                  <c:v>4623.8823529411802</c:v>
                </c:pt>
                <c:pt idx="4">
                  <c:v>10736.234165471</c:v>
                </c:pt>
                <c:pt idx="5">
                  <c:v>5416.7938144329901</c:v>
                </c:pt>
                <c:pt idx="6">
                  <c:v>6275.90162106351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2-484E-B778-F6A8E1FA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"/>
        <c:axId val="1233"/>
      </c:scatterChart>
      <c:valAx>
        <c:axId val="123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33"/>
        <c:crossesAt val="0"/>
        <c:crossBetween val="midCat"/>
      </c:valAx>
      <c:valAx>
        <c:axId val="123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rgbClr val="808080">
                <a:alpha val="100000"/>
              </a:srgbClr>
            </a:solidFill>
          </a:ln>
        </c:spPr>
        <c:crossAx val="1232"/>
        <c:crossesAt val="0"/>
        <c:crossBetween val="midCat"/>
      </c:valAx>
      <c:spPr>
        <a:noFill/>
      </c:spPr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31.xml"/><Relationship Id="rId21" Type="http://schemas.openxmlformats.org/officeDocument/2006/relationships/chart" Target="../charts/chart26.xml"/><Relationship Id="rId42" Type="http://schemas.openxmlformats.org/officeDocument/2006/relationships/chart" Target="../charts/chart47.xml"/><Relationship Id="rId47" Type="http://schemas.openxmlformats.org/officeDocument/2006/relationships/chart" Target="../charts/chart52.xml"/><Relationship Id="rId63" Type="http://schemas.openxmlformats.org/officeDocument/2006/relationships/chart" Target="../charts/chart68.xml"/><Relationship Id="rId68" Type="http://schemas.openxmlformats.org/officeDocument/2006/relationships/chart" Target="../charts/chart73.xml"/><Relationship Id="rId16" Type="http://schemas.openxmlformats.org/officeDocument/2006/relationships/chart" Target="../charts/chart21.xml"/><Relationship Id="rId11" Type="http://schemas.openxmlformats.org/officeDocument/2006/relationships/chart" Target="../charts/chart16.xml"/><Relationship Id="rId24" Type="http://schemas.openxmlformats.org/officeDocument/2006/relationships/chart" Target="../charts/chart29.xml"/><Relationship Id="rId32" Type="http://schemas.openxmlformats.org/officeDocument/2006/relationships/chart" Target="../charts/chart37.xml"/><Relationship Id="rId37" Type="http://schemas.openxmlformats.org/officeDocument/2006/relationships/chart" Target="../charts/chart42.xml"/><Relationship Id="rId40" Type="http://schemas.openxmlformats.org/officeDocument/2006/relationships/chart" Target="../charts/chart45.xml"/><Relationship Id="rId45" Type="http://schemas.openxmlformats.org/officeDocument/2006/relationships/chart" Target="../charts/chart50.xml"/><Relationship Id="rId53" Type="http://schemas.openxmlformats.org/officeDocument/2006/relationships/chart" Target="../charts/chart58.xml"/><Relationship Id="rId58" Type="http://schemas.openxmlformats.org/officeDocument/2006/relationships/chart" Target="../charts/chart63.xml"/><Relationship Id="rId66" Type="http://schemas.openxmlformats.org/officeDocument/2006/relationships/chart" Target="../charts/chart71.xml"/><Relationship Id="rId74" Type="http://schemas.openxmlformats.org/officeDocument/2006/relationships/chart" Target="../charts/chart79.xml"/><Relationship Id="rId5" Type="http://schemas.openxmlformats.org/officeDocument/2006/relationships/chart" Target="../charts/chart10.xml"/><Relationship Id="rId61" Type="http://schemas.openxmlformats.org/officeDocument/2006/relationships/chart" Target="../charts/chart66.xml"/><Relationship Id="rId19" Type="http://schemas.openxmlformats.org/officeDocument/2006/relationships/chart" Target="../charts/chart24.xml"/><Relationship Id="rId14" Type="http://schemas.openxmlformats.org/officeDocument/2006/relationships/chart" Target="../charts/chart19.xml"/><Relationship Id="rId22" Type="http://schemas.openxmlformats.org/officeDocument/2006/relationships/chart" Target="../charts/chart27.xml"/><Relationship Id="rId27" Type="http://schemas.openxmlformats.org/officeDocument/2006/relationships/chart" Target="../charts/chart32.xml"/><Relationship Id="rId30" Type="http://schemas.openxmlformats.org/officeDocument/2006/relationships/chart" Target="../charts/chart35.xml"/><Relationship Id="rId35" Type="http://schemas.openxmlformats.org/officeDocument/2006/relationships/chart" Target="../charts/chart40.xml"/><Relationship Id="rId43" Type="http://schemas.openxmlformats.org/officeDocument/2006/relationships/chart" Target="../charts/chart48.xml"/><Relationship Id="rId48" Type="http://schemas.openxmlformats.org/officeDocument/2006/relationships/chart" Target="../charts/chart53.xml"/><Relationship Id="rId56" Type="http://schemas.openxmlformats.org/officeDocument/2006/relationships/chart" Target="../charts/chart61.xml"/><Relationship Id="rId64" Type="http://schemas.openxmlformats.org/officeDocument/2006/relationships/chart" Target="../charts/chart69.xml"/><Relationship Id="rId69" Type="http://schemas.openxmlformats.org/officeDocument/2006/relationships/chart" Target="../charts/chart74.xml"/><Relationship Id="rId77" Type="http://schemas.openxmlformats.org/officeDocument/2006/relationships/chart" Target="../charts/chart82.xml"/><Relationship Id="rId8" Type="http://schemas.openxmlformats.org/officeDocument/2006/relationships/chart" Target="../charts/chart13.xml"/><Relationship Id="rId51" Type="http://schemas.openxmlformats.org/officeDocument/2006/relationships/chart" Target="../charts/chart56.xml"/><Relationship Id="rId72" Type="http://schemas.openxmlformats.org/officeDocument/2006/relationships/chart" Target="../charts/chart77.xml"/><Relationship Id="rId3" Type="http://schemas.openxmlformats.org/officeDocument/2006/relationships/chart" Target="../charts/chart8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5" Type="http://schemas.openxmlformats.org/officeDocument/2006/relationships/chart" Target="../charts/chart30.xml"/><Relationship Id="rId33" Type="http://schemas.openxmlformats.org/officeDocument/2006/relationships/chart" Target="../charts/chart38.xml"/><Relationship Id="rId38" Type="http://schemas.openxmlformats.org/officeDocument/2006/relationships/chart" Target="../charts/chart43.xml"/><Relationship Id="rId46" Type="http://schemas.openxmlformats.org/officeDocument/2006/relationships/chart" Target="../charts/chart51.xml"/><Relationship Id="rId59" Type="http://schemas.openxmlformats.org/officeDocument/2006/relationships/chart" Target="../charts/chart64.xml"/><Relationship Id="rId67" Type="http://schemas.openxmlformats.org/officeDocument/2006/relationships/chart" Target="../charts/chart72.xml"/><Relationship Id="rId20" Type="http://schemas.openxmlformats.org/officeDocument/2006/relationships/chart" Target="../charts/chart25.xml"/><Relationship Id="rId41" Type="http://schemas.openxmlformats.org/officeDocument/2006/relationships/chart" Target="../charts/chart46.xml"/><Relationship Id="rId54" Type="http://schemas.openxmlformats.org/officeDocument/2006/relationships/chart" Target="../charts/chart59.xml"/><Relationship Id="rId62" Type="http://schemas.openxmlformats.org/officeDocument/2006/relationships/chart" Target="../charts/chart67.xml"/><Relationship Id="rId70" Type="http://schemas.openxmlformats.org/officeDocument/2006/relationships/chart" Target="../charts/chart75.xml"/><Relationship Id="rId75" Type="http://schemas.openxmlformats.org/officeDocument/2006/relationships/chart" Target="../charts/chart80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5" Type="http://schemas.openxmlformats.org/officeDocument/2006/relationships/chart" Target="../charts/chart20.xml"/><Relationship Id="rId23" Type="http://schemas.openxmlformats.org/officeDocument/2006/relationships/chart" Target="../charts/chart28.xml"/><Relationship Id="rId28" Type="http://schemas.openxmlformats.org/officeDocument/2006/relationships/chart" Target="../charts/chart33.xml"/><Relationship Id="rId36" Type="http://schemas.openxmlformats.org/officeDocument/2006/relationships/chart" Target="../charts/chart41.xml"/><Relationship Id="rId49" Type="http://schemas.openxmlformats.org/officeDocument/2006/relationships/chart" Target="../charts/chart54.xml"/><Relationship Id="rId57" Type="http://schemas.openxmlformats.org/officeDocument/2006/relationships/chart" Target="../charts/chart62.xml"/><Relationship Id="rId10" Type="http://schemas.openxmlformats.org/officeDocument/2006/relationships/chart" Target="../charts/chart15.xml"/><Relationship Id="rId31" Type="http://schemas.openxmlformats.org/officeDocument/2006/relationships/chart" Target="../charts/chart36.xml"/><Relationship Id="rId44" Type="http://schemas.openxmlformats.org/officeDocument/2006/relationships/chart" Target="../charts/chart49.xml"/><Relationship Id="rId52" Type="http://schemas.openxmlformats.org/officeDocument/2006/relationships/chart" Target="../charts/chart57.xml"/><Relationship Id="rId60" Type="http://schemas.openxmlformats.org/officeDocument/2006/relationships/chart" Target="../charts/chart65.xml"/><Relationship Id="rId65" Type="http://schemas.openxmlformats.org/officeDocument/2006/relationships/chart" Target="../charts/chart70.xml"/><Relationship Id="rId73" Type="http://schemas.openxmlformats.org/officeDocument/2006/relationships/chart" Target="../charts/chart78.xml"/><Relationship Id="rId78" Type="http://schemas.openxmlformats.org/officeDocument/2006/relationships/chart" Target="../charts/chart83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39" Type="http://schemas.openxmlformats.org/officeDocument/2006/relationships/chart" Target="../charts/chart44.xml"/><Relationship Id="rId34" Type="http://schemas.openxmlformats.org/officeDocument/2006/relationships/chart" Target="../charts/chart39.xml"/><Relationship Id="rId50" Type="http://schemas.openxmlformats.org/officeDocument/2006/relationships/chart" Target="../charts/chart55.xml"/><Relationship Id="rId55" Type="http://schemas.openxmlformats.org/officeDocument/2006/relationships/chart" Target="../charts/chart60.xml"/><Relationship Id="rId76" Type="http://schemas.openxmlformats.org/officeDocument/2006/relationships/chart" Target="../charts/chart81.xml"/><Relationship Id="rId7" Type="http://schemas.openxmlformats.org/officeDocument/2006/relationships/chart" Target="../charts/chart12.xml"/><Relationship Id="rId71" Type="http://schemas.openxmlformats.org/officeDocument/2006/relationships/chart" Target="../charts/chart76.xml"/><Relationship Id="rId2" Type="http://schemas.openxmlformats.org/officeDocument/2006/relationships/chart" Target="../charts/chart7.xml"/><Relationship Id="rId29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4819650</xdr:colOff>
      <xdr:row>22</xdr:row>
      <xdr:rowOff>165100</xdr:rowOff>
    </xdr:from>
    <xdr:to>
      <xdr:col>11</xdr:col>
      <xdr:colOff>787400</xdr:colOff>
      <xdr:row>46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253B3-3748-494E-B40A-064E58241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273050</xdr:colOff>
      <xdr:row>48</xdr:row>
      <xdr:rowOff>69850</xdr:rowOff>
    </xdr:from>
    <xdr:to>
      <xdr:col>3</xdr:col>
      <xdr:colOff>5365750</xdr:colOff>
      <xdr:row>84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01204E-59DB-E9B8-5F73-7C21B47DB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603250</xdr:colOff>
      <xdr:row>8</xdr:row>
      <xdr:rowOff>25400</xdr:rowOff>
    </xdr:from>
    <xdr:to>
      <xdr:col>34</xdr:col>
      <xdr:colOff>177800</xdr:colOff>
      <xdr:row>44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104BC-B0CD-DE44-BB50-FD1A4E687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0</xdr:row>
      <xdr:rowOff>317500</xdr:rowOff>
    </xdr:from>
    <xdr:to>
      <xdr:col>24</xdr:col>
      <xdr:colOff>533400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666B8-E407-6349-89A5-664B25D79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0</xdr:row>
      <xdr:rowOff>368300</xdr:rowOff>
    </xdr:from>
    <xdr:to>
      <xdr:col>22</xdr:col>
      <xdr:colOff>723900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E304D-1BA0-3447-B13F-A51F40FD3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128</xdr:row>
      <xdr:rowOff>47675</xdr:rowOff>
    </xdr:from>
    <xdr:ext cx="12269000" cy="3724385"/>
    <xdr:graphicFrame macro="">
      <xdr:nvGraphicFramePr>
        <xdr:cNvPr id="2" name="Chart 1" descr=".xml">
          <a:extLst>
            <a:ext uri="{FF2B5EF4-FFF2-40B4-BE49-F238E27FC236}">
              <a16:creationId xmlns:a16="http://schemas.microsoft.com/office/drawing/2014/main" id="{47227F28-46E2-F440-A151-CFB80E5FC11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148</xdr:row>
      <xdr:rowOff>47675</xdr:rowOff>
    </xdr:from>
    <xdr:ext cx="12269000" cy="3724385"/>
    <xdr:graphicFrame macro="">
      <xdr:nvGraphicFramePr>
        <xdr:cNvPr id="3" name="Chart 2" descr=".xml">
          <a:extLst>
            <a:ext uri="{FF2B5EF4-FFF2-40B4-BE49-F238E27FC236}">
              <a16:creationId xmlns:a16="http://schemas.microsoft.com/office/drawing/2014/main" id="{366623D7-8B63-D74C-BFED-E1742117EB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168</xdr:row>
      <xdr:rowOff>47675</xdr:rowOff>
    </xdr:from>
    <xdr:ext cx="12269000" cy="3724385"/>
    <xdr:graphicFrame macro="">
      <xdr:nvGraphicFramePr>
        <xdr:cNvPr id="4" name="Chart 3" descr=".xml">
          <a:extLst>
            <a:ext uri="{FF2B5EF4-FFF2-40B4-BE49-F238E27FC236}">
              <a16:creationId xmlns:a16="http://schemas.microsoft.com/office/drawing/2014/main" id="{A1FA1317-1CDE-9342-8532-63806D1FB49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188</xdr:row>
      <xdr:rowOff>47675</xdr:rowOff>
    </xdr:from>
    <xdr:ext cx="12269000" cy="3724385"/>
    <xdr:graphicFrame macro="">
      <xdr:nvGraphicFramePr>
        <xdr:cNvPr id="5" name="Chart 4" descr=".xml">
          <a:extLst>
            <a:ext uri="{FF2B5EF4-FFF2-40B4-BE49-F238E27FC236}">
              <a16:creationId xmlns:a16="http://schemas.microsoft.com/office/drawing/2014/main" id="{947F6C00-6CE6-2E4E-9860-B06CF379D5A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208</xdr:row>
      <xdr:rowOff>47675</xdr:rowOff>
    </xdr:from>
    <xdr:ext cx="12269000" cy="3724385"/>
    <xdr:graphicFrame macro="">
      <xdr:nvGraphicFramePr>
        <xdr:cNvPr id="6" name="Chart 5" descr=".xml">
          <a:extLst>
            <a:ext uri="{FF2B5EF4-FFF2-40B4-BE49-F238E27FC236}">
              <a16:creationId xmlns:a16="http://schemas.microsoft.com/office/drawing/2014/main" id="{8ED6122A-32D5-9B44-B261-6FEA41FE9E3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228</xdr:row>
      <xdr:rowOff>47675</xdr:rowOff>
    </xdr:from>
    <xdr:ext cx="12269000" cy="3724385"/>
    <xdr:graphicFrame macro="">
      <xdr:nvGraphicFramePr>
        <xdr:cNvPr id="7" name="Chart 6" descr=".xml">
          <a:extLst>
            <a:ext uri="{FF2B5EF4-FFF2-40B4-BE49-F238E27FC236}">
              <a16:creationId xmlns:a16="http://schemas.microsoft.com/office/drawing/2014/main" id="{332975BD-3A2E-1349-AFDA-62D6137D370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248</xdr:row>
      <xdr:rowOff>47675</xdr:rowOff>
    </xdr:from>
    <xdr:ext cx="12269000" cy="3724385"/>
    <xdr:graphicFrame macro="">
      <xdr:nvGraphicFramePr>
        <xdr:cNvPr id="8" name="Chart 7" descr=".xml">
          <a:extLst>
            <a:ext uri="{FF2B5EF4-FFF2-40B4-BE49-F238E27FC236}">
              <a16:creationId xmlns:a16="http://schemas.microsoft.com/office/drawing/2014/main" id="{90842F62-15EB-9B40-AE55-9FC2849369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268</xdr:row>
      <xdr:rowOff>47675</xdr:rowOff>
    </xdr:from>
    <xdr:ext cx="12269000" cy="3724385"/>
    <xdr:graphicFrame macro="">
      <xdr:nvGraphicFramePr>
        <xdr:cNvPr id="9" name="Chart 8" descr=".xml">
          <a:extLst>
            <a:ext uri="{FF2B5EF4-FFF2-40B4-BE49-F238E27FC236}">
              <a16:creationId xmlns:a16="http://schemas.microsoft.com/office/drawing/2014/main" id="{1A451F3E-CE1C-6A4A-8060-7E4DB8DC7B2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288</xdr:row>
      <xdr:rowOff>47675</xdr:rowOff>
    </xdr:from>
    <xdr:ext cx="12269000" cy="3724385"/>
    <xdr:graphicFrame macro="">
      <xdr:nvGraphicFramePr>
        <xdr:cNvPr id="10" name="Chart 9" descr=".xml">
          <a:extLst>
            <a:ext uri="{FF2B5EF4-FFF2-40B4-BE49-F238E27FC236}">
              <a16:creationId xmlns:a16="http://schemas.microsoft.com/office/drawing/2014/main" id="{A3AAC16D-C3E4-C947-94CD-B7849952333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308</xdr:row>
      <xdr:rowOff>47675</xdr:rowOff>
    </xdr:from>
    <xdr:ext cx="12269000" cy="3724385"/>
    <xdr:graphicFrame macro="">
      <xdr:nvGraphicFramePr>
        <xdr:cNvPr id="11" name="Chart 10" descr=".xml">
          <a:extLst>
            <a:ext uri="{FF2B5EF4-FFF2-40B4-BE49-F238E27FC236}">
              <a16:creationId xmlns:a16="http://schemas.microsoft.com/office/drawing/2014/main" id="{39600968-7819-1041-AD94-FF607B6C120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328</xdr:row>
      <xdr:rowOff>47675</xdr:rowOff>
    </xdr:from>
    <xdr:ext cx="12269000" cy="3724385"/>
    <xdr:graphicFrame macro="">
      <xdr:nvGraphicFramePr>
        <xdr:cNvPr id="12" name="Chart 11" descr=".xml">
          <a:extLst>
            <a:ext uri="{FF2B5EF4-FFF2-40B4-BE49-F238E27FC236}">
              <a16:creationId xmlns:a16="http://schemas.microsoft.com/office/drawing/2014/main" id="{DD3CCA03-BBD7-6749-A5FE-C2FCBC7485F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348</xdr:row>
      <xdr:rowOff>47675</xdr:rowOff>
    </xdr:from>
    <xdr:ext cx="12269000" cy="3724385"/>
    <xdr:graphicFrame macro="">
      <xdr:nvGraphicFramePr>
        <xdr:cNvPr id="13" name="Chart 12" descr=".xml">
          <a:extLst>
            <a:ext uri="{FF2B5EF4-FFF2-40B4-BE49-F238E27FC236}">
              <a16:creationId xmlns:a16="http://schemas.microsoft.com/office/drawing/2014/main" id="{A6D80DE7-4E1C-E948-ABAA-A1A5B9E49FC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368</xdr:row>
      <xdr:rowOff>47675</xdr:rowOff>
    </xdr:from>
    <xdr:ext cx="12269000" cy="3724385"/>
    <xdr:graphicFrame macro="">
      <xdr:nvGraphicFramePr>
        <xdr:cNvPr id="14" name="Chart 13" descr=".xml">
          <a:extLst>
            <a:ext uri="{FF2B5EF4-FFF2-40B4-BE49-F238E27FC236}">
              <a16:creationId xmlns:a16="http://schemas.microsoft.com/office/drawing/2014/main" id="{88B2116E-8682-C448-8C0E-A93F20D7232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388</xdr:row>
      <xdr:rowOff>47675</xdr:rowOff>
    </xdr:from>
    <xdr:ext cx="12269000" cy="3724385"/>
    <xdr:graphicFrame macro="">
      <xdr:nvGraphicFramePr>
        <xdr:cNvPr id="15" name="Chart 14" descr=".xml">
          <a:extLst>
            <a:ext uri="{FF2B5EF4-FFF2-40B4-BE49-F238E27FC236}">
              <a16:creationId xmlns:a16="http://schemas.microsoft.com/office/drawing/2014/main" id="{3613CA96-330B-5B47-9F17-8F56F8532F0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0</xdr:col>
      <xdr:colOff>0</xdr:colOff>
      <xdr:row>408</xdr:row>
      <xdr:rowOff>47675</xdr:rowOff>
    </xdr:from>
    <xdr:ext cx="12269000" cy="3724385"/>
    <xdr:graphicFrame macro="">
      <xdr:nvGraphicFramePr>
        <xdr:cNvPr id="16" name="Chart 15" descr=".xml">
          <a:extLst>
            <a:ext uri="{FF2B5EF4-FFF2-40B4-BE49-F238E27FC236}">
              <a16:creationId xmlns:a16="http://schemas.microsoft.com/office/drawing/2014/main" id="{82BF63A2-D649-9B40-9B49-A69E71AA5F8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0</xdr:col>
      <xdr:colOff>0</xdr:colOff>
      <xdr:row>428</xdr:row>
      <xdr:rowOff>47675</xdr:rowOff>
    </xdr:from>
    <xdr:ext cx="12269000" cy="3724385"/>
    <xdr:graphicFrame macro="">
      <xdr:nvGraphicFramePr>
        <xdr:cNvPr id="17" name="Chart 16" descr=".xml">
          <a:extLst>
            <a:ext uri="{FF2B5EF4-FFF2-40B4-BE49-F238E27FC236}">
              <a16:creationId xmlns:a16="http://schemas.microsoft.com/office/drawing/2014/main" id="{22D785C3-5A41-C34F-B729-CDDAF0426B8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448</xdr:row>
      <xdr:rowOff>47675</xdr:rowOff>
    </xdr:from>
    <xdr:ext cx="12269000" cy="3724385"/>
    <xdr:graphicFrame macro="">
      <xdr:nvGraphicFramePr>
        <xdr:cNvPr id="18" name="Chart 17" descr=".xml">
          <a:extLst>
            <a:ext uri="{FF2B5EF4-FFF2-40B4-BE49-F238E27FC236}">
              <a16:creationId xmlns:a16="http://schemas.microsoft.com/office/drawing/2014/main" id="{3856C19F-4F54-7545-BE57-B4605CCF93D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0</xdr:col>
      <xdr:colOff>0</xdr:colOff>
      <xdr:row>468</xdr:row>
      <xdr:rowOff>47675</xdr:rowOff>
    </xdr:from>
    <xdr:ext cx="12269000" cy="3724385"/>
    <xdr:graphicFrame macro="">
      <xdr:nvGraphicFramePr>
        <xdr:cNvPr id="19" name="Chart 18" descr=".xml">
          <a:extLst>
            <a:ext uri="{FF2B5EF4-FFF2-40B4-BE49-F238E27FC236}">
              <a16:creationId xmlns:a16="http://schemas.microsoft.com/office/drawing/2014/main" id="{79FD2700-22A2-5E43-B50B-AA7BE569CF9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0</xdr:col>
      <xdr:colOff>0</xdr:colOff>
      <xdr:row>488</xdr:row>
      <xdr:rowOff>47675</xdr:rowOff>
    </xdr:from>
    <xdr:ext cx="12269000" cy="3724385"/>
    <xdr:graphicFrame macro="">
      <xdr:nvGraphicFramePr>
        <xdr:cNvPr id="20" name="Chart 19" descr=".xml">
          <a:extLst>
            <a:ext uri="{FF2B5EF4-FFF2-40B4-BE49-F238E27FC236}">
              <a16:creationId xmlns:a16="http://schemas.microsoft.com/office/drawing/2014/main" id="{E4369FDD-A041-9D46-94FC-065B178E136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0</xdr:col>
      <xdr:colOff>0</xdr:colOff>
      <xdr:row>508</xdr:row>
      <xdr:rowOff>47675</xdr:rowOff>
    </xdr:from>
    <xdr:ext cx="12269000" cy="3724385"/>
    <xdr:graphicFrame macro="">
      <xdr:nvGraphicFramePr>
        <xdr:cNvPr id="21" name="Chart 20" descr=".xml">
          <a:extLst>
            <a:ext uri="{FF2B5EF4-FFF2-40B4-BE49-F238E27FC236}">
              <a16:creationId xmlns:a16="http://schemas.microsoft.com/office/drawing/2014/main" id="{AFE48EBB-0CB7-7249-94D9-D6022A58017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528</xdr:row>
      <xdr:rowOff>47675</xdr:rowOff>
    </xdr:from>
    <xdr:ext cx="12269000" cy="3724385"/>
    <xdr:graphicFrame macro="">
      <xdr:nvGraphicFramePr>
        <xdr:cNvPr id="22" name="Chart 21" descr=".xml">
          <a:extLst>
            <a:ext uri="{FF2B5EF4-FFF2-40B4-BE49-F238E27FC236}">
              <a16:creationId xmlns:a16="http://schemas.microsoft.com/office/drawing/2014/main" id="{A2163915-C592-434F-9E1F-1661B2BA337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0</xdr:col>
      <xdr:colOff>0</xdr:colOff>
      <xdr:row>548</xdr:row>
      <xdr:rowOff>47675</xdr:rowOff>
    </xdr:from>
    <xdr:ext cx="12269000" cy="3724385"/>
    <xdr:graphicFrame macro="">
      <xdr:nvGraphicFramePr>
        <xdr:cNvPr id="23" name="Chart 22" descr=".xml">
          <a:extLst>
            <a:ext uri="{FF2B5EF4-FFF2-40B4-BE49-F238E27FC236}">
              <a16:creationId xmlns:a16="http://schemas.microsoft.com/office/drawing/2014/main" id="{5553A1E4-F3EC-8D48-8E98-09B8CFE22DD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0</xdr:col>
      <xdr:colOff>0</xdr:colOff>
      <xdr:row>568</xdr:row>
      <xdr:rowOff>47675</xdr:rowOff>
    </xdr:from>
    <xdr:ext cx="12269000" cy="3724385"/>
    <xdr:graphicFrame macro="">
      <xdr:nvGraphicFramePr>
        <xdr:cNvPr id="24" name="Chart 23" descr=".xml">
          <a:extLst>
            <a:ext uri="{FF2B5EF4-FFF2-40B4-BE49-F238E27FC236}">
              <a16:creationId xmlns:a16="http://schemas.microsoft.com/office/drawing/2014/main" id="{1FCD625F-87F9-F249-9489-3D1BDC47594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0</xdr:col>
      <xdr:colOff>0</xdr:colOff>
      <xdr:row>588</xdr:row>
      <xdr:rowOff>47675</xdr:rowOff>
    </xdr:from>
    <xdr:ext cx="12269000" cy="3724385"/>
    <xdr:graphicFrame macro="">
      <xdr:nvGraphicFramePr>
        <xdr:cNvPr id="25" name="Chart 24" descr=".xml">
          <a:extLst>
            <a:ext uri="{FF2B5EF4-FFF2-40B4-BE49-F238E27FC236}">
              <a16:creationId xmlns:a16="http://schemas.microsoft.com/office/drawing/2014/main" id="{4139062E-5E7D-0342-9832-E8E132E82FC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0</xdr:col>
      <xdr:colOff>0</xdr:colOff>
      <xdr:row>608</xdr:row>
      <xdr:rowOff>47675</xdr:rowOff>
    </xdr:from>
    <xdr:ext cx="12269000" cy="3724385"/>
    <xdr:graphicFrame macro="">
      <xdr:nvGraphicFramePr>
        <xdr:cNvPr id="26" name="Chart 25" descr=".xml">
          <a:extLst>
            <a:ext uri="{FF2B5EF4-FFF2-40B4-BE49-F238E27FC236}">
              <a16:creationId xmlns:a16="http://schemas.microsoft.com/office/drawing/2014/main" id="{05D468D3-22F8-594A-BAB6-805B99D9B9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0</xdr:col>
      <xdr:colOff>0</xdr:colOff>
      <xdr:row>628</xdr:row>
      <xdr:rowOff>47675</xdr:rowOff>
    </xdr:from>
    <xdr:ext cx="12269000" cy="3724385"/>
    <xdr:graphicFrame macro="">
      <xdr:nvGraphicFramePr>
        <xdr:cNvPr id="27" name="Chart 26" descr=".xml">
          <a:extLst>
            <a:ext uri="{FF2B5EF4-FFF2-40B4-BE49-F238E27FC236}">
              <a16:creationId xmlns:a16="http://schemas.microsoft.com/office/drawing/2014/main" id="{209A48C3-916B-B943-AA35-B975E8169F4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0</xdr:col>
      <xdr:colOff>0</xdr:colOff>
      <xdr:row>648</xdr:row>
      <xdr:rowOff>47675</xdr:rowOff>
    </xdr:from>
    <xdr:ext cx="12269000" cy="3724385"/>
    <xdr:graphicFrame macro="">
      <xdr:nvGraphicFramePr>
        <xdr:cNvPr id="28" name="Chart 27" descr=".xml">
          <a:extLst>
            <a:ext uri="{FF2B5EF4-FFF2-40B4-BE49-F238E27FC236}">
              <a16:creationId xmlns:a16="http://schemas.microsoft.com/office/drawing/2014/main" id="{C8B0F0B7-7123-9C40-A981-B51BD707B95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0</xdr:col>
      <xdr:colOff>0</xdr:colOff>
      <xdr:row>668</xdr:row>
      <xdr:rowOff>47675</xdr:rowOff>
    </xdr:from>
    <xdr:ext cx="12269000" cy="3724385"/>
    <xdr:graphicFrame macro="">
      <xdr:nvGraphicFramePr>
        <xdr:cNvPr id="29" name="Chart 28" descr=".xml">
          <a:extLst>
            <a:ext uri="{FF2B5EF4-FFF2-40B4-BE49-F238E27FC236}">
              <a16:creationId xmlns:a16="http://schemas.microsoft.com/office/drawing/2014/main" id="{C436E446-FBF1-F348-A9EF-A33AF58C92C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0</xdr:colOff>
      <xdr:row>688</xdr:row>
      <xdr:rowOff>47675</xdr:rowOff>
    </xdr:from>
    <xdr:ext cx="12269000" cy="3724385"/>
    <xdr:graphicFrame macro="">
      <xdr:nvGraphicFramePr>
        <xdr:cNvPr id="30" name="Chart 29" descr=".xml">
          <a:extLst>
            <a:ext uri="{FF2B5EF4-FFF2-40B4-BE49-F238E27FC236}">
              <a16:creationId xmlns:a16="http://schemas.microsoft.com/office/drawing/2014/main" id="{BB3E1134-69E9-4A47-B232-40642E338E6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0</xdr:col>
      <xdr:colOff>0</xdr:colOff>
      <xdr:row>708</xdr:row>
      <xdr:rowOff>47675</xdr:rowOff>
    </xdr:from>
    <xdr:ext cx="12269000" cy="3724385"/>
    <xdr:graphicFrame macro="">
      <xdr:nvGraphicFramePr>
        <xdr:cNvPr id="31" name="Chart 30" descr=".xml">
          <a:extLst>
            <a:ext uri="{FF2B5EF4-FFF2-40B4-BE49-F238E27FC236}">
              <a16:creationId xmlns:a16="http://schemas.microsoft.com/office/drawing/2014/main" id="{36D43BB3-36F8-9C4F-83AC-D991185AD71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0</xdr:col>
      <xdr:colOff>0</xdr:colOff>
      <xdr:row>728</xdr:row>
      <xdr:rowOff>47675</xdr:rowOff>
    </xdr:from>
    <xdr:ext cx="12269000" cy="3724385"/>
    <xdr:graphicFrame macro="">
      <xdr:nvGraphicFramePr>
        <xdr:cNvPr id="32" name="Chart 31" descr=".xml">
          <a:extLst>
            <a:ext uri="{FF2B5EF4-FFF2-40B4-BE49-F238E27FC236}">
              <a16:creationId xmlns:a16="http://schemas.microsoft.com/office/drawing/2014/main" id="{9657206D-4CC1-0543-AFF1-080EF455760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0</xdr:col>
      <xdr:colOff>0</xdr:colOff>
      <xdr:row>748</xdr:row>
      <xdr:rowOff>47675</xdr:rowOff>
    </xdr:from>
    <xdr:ext cx="12269000" cy="3724385"/>
    <xdr:graphicFrame macro="">
      <xdr:nvGraphicFramePr>
        <xdr:cNvPr id="33" name="Chart 32" descr=".xml">
          <a:extLst>
            <a:ext uri="{FF2B5EF4-FFF2-40B4-BE49-F238E27FC236}">
              <a16:creationId xmlns:a16="http://schemas.microsoft.com/office/drawing/2014/main" id="{36789EAF-316A-314E-97EC-436373CCBE9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0</xdr:col>
      <xdr:colOff>0</xdr:colOff>
      <xdr:row>768</xdr:row>
      <xdr:rowOff>47675</xdr:rowOff>
    </xdr:from>
    <xdr:ext cx="12269000" cy="3724385"/>
    <xdr:graphicFrame macro="">
      <xdr:nvGraphicFramePr>
        <xdr:cNvPr id="34" name="Chart 33" descr=".xml">
          <a:extLst>
            <a:ext uri="{FF2B5EF4-FFF2-40B4-BE49-F238E27FC236}">
              <a16:creationId xmlns:a16="http://schemas.microsoft.com/office/drawing/2014/main" id="{09F29068-FF11-4E44-B37C-38A6792B40B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0</xdr:col>
      <xdr:colOff>0</xdr:colOff>
      <xdr:row>788</xdr:row>
      <xdr:rowOff>47675</xdr:rowOff>
    </xdr:from>
    <xdr:ext cx="12269000" cy="3724385"/>
    <xdr:graphicFrame macro="">
      <xdr:nvGraphicFramePr>
        <xdr:cNvPr id="35" name="Chart 34" descr=".xml">
          <a:extLst>
            <a:ext uri="{FF2B5EF4-FFF2-40B4-BE49-F238E27FC236}">
              <a16:creationId xmlns:a16="http://schemas.microsoft.com/office/drawing/2014/main" id="{A1F22E99-B346-9B4B-8420-594EF293027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0</xdr:col>
      <xdr:colOff>0</xdr:colOff>
      <xdr:row>808</xdr:row>
      <xdr:rowOff>47675</xdr:rowOff>
    </xdr:from>
    <xdr:ext cx="12269000" cy="3724385"/>
    <xdr:graphicFrame macro="">
      <xdr:nvGraphicFramePr>
        <xdr:cNvPr id="36" name="Chart 35" descr=".xml">
          <a:extLst>
            <a:ext uri="{FF2B5EF4-FFF2-40B4-BE49-F238E27FC236}">
              <a16:creationId xmlns:a16="http://schemas.microsoft.com/office/drawing/2014/main" id="{5932471D-033F-F94D-B3C0-AC6191C3CF0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0</xdr:col>
      <xdr:colOff>0</xdr:colOff>
      <xdr:row>828</xdr:row>
      <xdr:rowOff>47675</xdr:rowOff>
    </xdr:from>
    <xdr:ext cx="12269000" cy="3724385"/>
    <xdr:graphicFrame macro="">
      <xdr:nvGraphicFramePr>
        <xdr:cNvPr id="37" name="Chart 36" descr=".xml">
          <a:extLst>
            <a:ext uri="{FF2B5EF4-FFF2-40B4-BE49-F238E27FC236}">
              <a16:creationId xmlns:a16="http://schemas.microsoft.com/office/drawing/2014/main" id="{3C58958F-741C-6344-8B29-798EEFC515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0</xdr:col>
      <xdr:colOff>0</xdr:colOff>
      <xdr:row>848</xdr:row>
      <xdr:rowOff>47675</xdr:rowOff>
    </xdr:from>
    <xdr:ext cx="12269000" cy="3724385"/>
    <xdr:graphicFrame macro="">
      <xdr:nvGraphicFramePr>
        <xdr:cNvPr id="38" name="Chart 37" descr=".xml">
          <a:extLst>
            <a:ext uri="{FF2B5EF4-FFF2-40B4-BE49-F238E27FC236}">
              <a16:creationId xmlns:a16="http://schemas.microsoft.com/office/drawing/2014/main" id="{47F1693C-7F08-6C47-A68C-F618E8FC4D6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0</xdr:col>
      <xdr:colOff>0</xdr:colOff>
      <xdr:row>868</xdr:row>
      <xdr:rowOff>47675</xdr:rowOff>
    </xdr:from>
    <xdr:ext cx="12269000" cy="3724385"/>
    <xdr:graphicFrame macro="">
      <xdr:nvGraphicFramePr>
        <xdr:cNvPr id="39" name="Chart 38" descr=".xml">
          <a:extLst>
            <a:ext uri="{FF2B5EF4-FFF2-40B4-BE49-F238E27FC236}">
              <a16:creationId xmlns:a16="http://schemas.microsoft.com/office/drawing/2014/main" id="{3E8E0260-62D2-4B4F-830B-87CBBB5C19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0</xdr:col>
      <xdr:colOff>0</xdr:colOff>
      <xdr:row>888</xdr:row>
      <xdr:rowOff>47675</xdr:rowOff>
    </xdr:from>
    <xdr:ext cx="12269000" cy="3724385"/>
    <xdr:graphicFrame macro="">
      <xdr:nvGraphicFramePr>
        <xdr:cNvPr id="40" name="Chart 39" descr=".xml">
          <a:extLst>
            <a:ext uri="{FF2B5EF4-FFF2-40B4-BE49-F238E27FC236}">
              <a16:creationId xmlns:a16="http://schemas.microsoft.com/office/drawing/2014/main" id="{3B0A72B6-E691-DE44-887B-17F52838FDD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0</xdr:col>
      <xdr:colOff>0</xdr:colOff>
      <xdr:row>908</xdr:row>
      <xdr:rowOff>47675</xdr:rowOff>
    </xdr:from>
    <xdr:ext cx="12269000" cy="3724385"/>
    <xdr:graphicFrame macro="">
      <xdr:nvGraphicFramePr>
        <xdr:cNvPr id="41" name="Chart 40" descr=".xml">
          <a:extLst>
            <a:ext uri="{FF2B5EF4-FFF2-40B4-BE49-F238E27FC236}">
              <a16:creationId xmlns:a16="http://schemas.microsoft.com/office/drawing/2014/main" id="{5B4EE9E5-BBF5-D141-9ACE-28028CDF421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0</xdr:col>
      <xdr:colOff>0</xdr:colOff>
      <xdr:row>928</xdr:row>
      <xdr:rowOff>47675</xdr:rowOff>
    </xdr:from>
    <xdr:ext cx="12269000" cy="3724385"/>
    <xdr:graphicFrame macro="">
      <xdr:nvGraphicFramePr>
        <xdr:cNvPr id="42" name="Chart 41" descr=".xml">
          <a:extLst>
            <a:ext uri="{FF2B5EF4-FFF2-40B4-BE49-F238E27FC236}">
              <a16:creationId xmlns:a16="http://schemas.microsoft.com/office/drawing/2014/main" id="{CE880EA6-2CE6-6E4C-A027-CC6C31158FE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0</xdr:col>
      <xdr:colOff>0</xdr:colOff>
      <xdr:row>948</xdr:row>
      <xdr:rowOff>47675</xdr:rowOff>
    </xdr:from>
    <xdr:ext cx="12269000" cy="3724385"/>
    <xdr:graphicFrame macro="">
      <xdr:nvGraphicFramePr>
        <xdr:cNvPr id="43" name="Chart 42" descr=".xml">
          <a:extLst>
            <a:ext uri="{FF2B5EF4-FFF2-40B4-BE49-F238E27FC236}">
              <a16:creationId xmlns:a16="http://schemas.microsoft.com/office/drawing/2014/main" id="{34180D29-1B46-6A43-B1DC-7821CC7D2F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0</xdr:col>
      <xdr:colOff>0</xdr:colOff>
      <xdr:row>968</xdr:row>
      <xdr:rowOff>47675</xdr:rowOff>
    </xdr:from>
    <xdr:ext cx="12269000" cy="3724385"/>
    <xdr:graphicFrame macro="">
      <xdr:nvGraphicFramePr>
        <xdr:cNvPr id="44" name="Chart 43" descr=".xml">
          <a:extLst>
            <a:ext uri="{FF2B5EF4-FFF2-40B4-BE49-F238E27FC236}">
              <a16:creationId xmlns:a16="http://schemas.microsoft.com/office/drawing/2014/main" id="{FC6C87CB-9A07-F548-81EA-EC24F432C71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0</xdr:col>
      <xdr:colOff>0</xdr:colOff>
      <xdr:row>988</xdr:row>
      <xdr:rowOff>47675</xdr:rowOff>
    </xdr:from>
    <xdr:ext cx="12269000" cy="3724385"/>
    <xdr:graphicFrame macro="">
      <xdr:nvGraphicFramePr>
        <xdr:cNvPr id="45" name="Chart 44" descr=".xml">
          <a:extLst>
            <a:ext uri="{FF2B5EF4-FFF2-40B4-BE49-F238E27FC236}">
              <a16:creationId xmlns:a16="http://schemas.microsoft.com/office/drawing/2014/main" id="{0CED457A-A526-E940-98C2-F316EF3317A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0</xdr:col>
      <xdr:colOff>0</xdr:colOff>
      <xdr:row>1008</xdr:row>
      <xdr:rowOff>47675</xdr:rowOff>
    </xdr:from>
    <xdr:ext cx="12269000" cy="3724385"/>
    <xdr:graphicFrame macro="">
      <xdr:nvGraphicFramePr>
        <xdr:cNvPr id="46" name="Chart 45" descr=".xml">
          <a:extLst>
            <a:ext uri="{FF2B5EF4-FFF2-40B4-BE49-F238E27FC236}">
              <a16:creationId xmlns:a16="http://schemas.microsoft.com/office/drawing/2014/main" id="{E1706EC0-DD73-A743-964A-2602A4FB06B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0</xdr:col>
      <xdr:colOff>0</xdr:colOff>
      <xdr:row>1028</xdr:row>
      <xdr:rowOff>47675</xdr:rowOff>
    </xdr:from>
    <xdr:ext cx="12269000" cy="3724385"/>
    <xdr:graphicFrame macro="">
      <xdr:nvGraphicFramePr>
        <xdr:cNvPr id="47" name="Chart 46" descr=".xml">
          <a:extLst>
            <a:ext uri="{FF2B5EF4-FFF2-40B4-BE49-F238E27FC236}">
              <a16:creationId xmlns:a16="http://schemas.microsoft.com/office/drawing/2014/main" id="{24CBCC8A-5525-8149-99AB-37EC3F8F6E6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0</xdr:col>
      <xdr:colOff>0</xdr:colOff>
      <xdr:row>1048</xdr:row>
      <xdr:rowOff>47675</xdr:rowOff>
    </xdr:from>
    <xdr:ext cx="12269000" cy="3724385"/>
    <xdr:graphicFrame macro="">
      <xdr:nvGraphicFramePr>
        <xdr:cNvPr id="48" name="Chart 47" descr=".xml">
          <a:extLst>
            <a:ext uri="{FF2B5EF4-FFF2-40B4-BE49-F238E27FC236}">
              <a16:creationId xmlns:a16="http://schemas.microsoft.com/office/drawing/2014/main" id="{A7101D4F-D941-154A-9635-991C4B144BB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0</xdr:col>
      <xdr:colOff>0</xdr:colOff>
      <xdr:row>1068</xdr:row>
      <xdr:rowOff>47675</xdr:rowOff>
    </xdr:from>
    <xdr:ext cx="12269000" cy="3724385"/>
    <xdr:graphicFrame macro="">
      <xdr:nvGraphicFramePr>
        <xdr:cNvPr id="49" name="Chart 48" descr=".xml">
          <a:extLst>
            <a:ext uri="{FF2B5EF4-FFF2-40B4-BE49-F238E27FC236}">
              <a16:creationId xmlns:a16="http://schemas.microsoft.com/office/drawing/2014/main" id="{965AD40C-7ACE-0645-B019-5E5C9BDCDBD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0</xdr:col>
      <xdr:colOff>0</xdr:colOff>
      <xdr:row>1088</xdr:row>
      <xdr:rowOff>47675</xdr:rowOff>
    </xdr:from>
    <xdr:ext cx="12269000" cy="3724385"/>
    <xdr:graphicFrame macro="">
      <xdr:nvGraphicFramePr>
        <xdr:cNvPr id="50" name="Chart 49" descr=".xml">
          <a:extLst>
            <a:ext uri="{FF2B5EF4-FFF2-40B4-BE49-F238E27FC236}">
              <a16:creationId xmlns:a16="http://schemas.microsoft.com/office/drawing/2014/main" id="{84BDA1BB-C962-654B-A4FA-5B82AEE291D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0</xdr:col>
      <xdr:colOff>0</xdr:colOff>
      <xdr:row>1108</xdr:row>
      <xdr:rowOff>47675</xdr:rowOff>
    </xdr:from>
    <xdr:ext cx="12269000" cy="3724385"/>
    <xdr:graphicFrame macro="">
      <xdr:nvGraphicFramePr>
        <xdr:cNvPr id="51" name="Chart 50" descr=".xml">
          <a:extLst>
            <a:ext uri="{FF2B5EF4-FFF2-40B4-BE49-F238E27FC236}">
              <a16:creationId xmlns:a16="http://schemas.microsoft.com/office/drawing/2014/main" id="{A1217C20-C4A2-AD43-9AC2-D0A6541D938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0</xdr:col>
      <xdr:colOff>0</xdr:colOff>
      <xdr:row>1128</xdr:row>
      <xdr:rowOff>47675</xdr:rowOff>
    </xdr:from>
    <xdr:ext cx="12269000" cy="3724385"/>
    <xdr:graphicFrame macro="">
      <xdr:nvGraphicFramePr>
        <xdr:cNvPr id="52" name="Chart 51" descr=".xml">
          <a:extLst>
            <a:ext uri="{FF2B5EF4-FFF2-40B4-BE49-F238E27FC236}">
              <a16:creationId xmlns:a16="http://schemas.microsoft.com/office/drawing/2014/main" id="{CC301A67-DCCC-8746-BBE9-3DC3528D061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0</xdr:col>
      <xdr:colOff>0</xdr:colOff>
      <xdr:row>1148</xdr:row>
      <xdr:rowOff>47675</xdr:rowOff>
    </xdr:from>
    <xdr:ext cx="12269000" cy="3724385"/>
    <xdr:graphicFrame macro="">
      <xdr:nvGraphicFramePr>
        <xdr:cNvPr id="53" name="Chart 52" descr=".xml">
          <a:extLst>
            <a:ext uri="{FF2B5EF4-FFF2-40B4-BE49-F238E27FC236}">
              <a16:creationId xmlns:a16="http://schemas.microsoft.com/office/drawing/2014/main" id="{F2BB5534-C1BD-7F49-A675-A2CC60B2F2D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0</xdr:col>
      <xdr:colOff>0</xdr:colOff>
      <xdr:row>1168</xdr:row>
      <xdr:rowOff>47675</xdr:rowOff>
    </xdr:from>
    <xdr:ext cx="12269000" cy="3724385"/>
    <xdr:graphicFrame macro="">
      <xdr:nvGraphicFramePr>
        <xdr:cNvPr id="54" name="Chart 53" descr=".xml">
          <a:extLst>
            <a:ext uri="{FF2B5EF4-FFF2-40B4-BE49-F238E27FC236}">
              <a16:creationId xmlns:a16="http://schemas.microsoft.com/office/drawing/2014/main" id="{08FD7AD4-4835-8144-A807-E193E42D21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0</xdr:col>
      <xdr:colOff>0</xdr:colOff>
      <xdr:row>1188</xdr:row>
      <xdr:rowOff>47675</xdr:rowOff>
    </xdr:from>
    <xdr:ext cx="12269000" cy="3724385"/>
    <xdr:graphicFrame macro="">
      <xdr:nvGraphicFramePr>
        <xdr:cNvPr id="55" name="Chart 54" descr=".xml">
          <a:extLst>
            <a:ext uri="{FF2B5EF4-FFF2-40B4-BE49-F238E27FC236}">
              <a16:creationId xmlns:a16="http://schemas.microsoft.com/office/drawing/2014/main" id="{332C076C-C590-8F4D-8B80-5474CC02546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0</xdr:col>
      <xdr:colOff>0</xdr:colOff>
      <xdr:row>1208</xdr:row>
      <xdr:rowOff>47675</xdr:rowOff>
    </xdr:from>
    <xdr:ext cx="12269000" cy="3724385"/>
    <xdr:graphicFrame macro="">
      <xdr:nvGraphicFramePr>
        <xdr:cNvPr id="56" name="Chart 55" descr=".xml">
          <a:extLst>
            <a:ext uri="{FF2B5EF4-FFF2-40B4-BE49-F238E27FC236}">
              <a16:creationId xmlns:a16="http://schemas.microsoft.com/office/drawing/2014/main" id="{5A848855-68E6-334B-9AB4-9A98FC3EC02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0</xdr:col>
      <xdr:colOff>0</xdr:colOff>
      <xdr:row>1228</xdr:row>
      <xdr:rowOff>47675</xdr:rowOff>
    </xdr:from>
    <xdr:ext cx="12269000" cy="3724385"/>
    <xdr:graphicFrame macro="">
      <xdr:nvGraphicFramePr>
        <xdr:cNvPr id="57" name="Chart 56" descr=".xml">
          <a:extLst>
            <a:ext uri="{FF2B5EF4-FFF2-40B4-BE49-F238E27FC236}">
              <a16:creationId xmlns:a16="http://schemas.microsoft.com/office/drawing/2014/main" id="{DD85171D-1A7B-CF40-A158-9C92DEAC961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0</xdr:col>
      <xdr:colOff>0</xdr:colOff>
      <xdr:row>1248</xdr:row>
      <xdr:rowOff>47675</xdr:rowOff>
    </xdr:from>
    <xdr:ext cx="12269000" cy="3724385"/>
    <xdr:graphicFrame macro="">
      <xdr:nvGraphicFramePr>
        <xdr:cNvPr id="58" name="Chart 57" descr=".xml">
          <a:extLst>
            <a:ext uri="{FF2B5EF4-FFF2-40B4-BE49-F238E27FC236}">
              <a16:creationId xmlns:a16="http://schemas.microsoft.com/office/drawing/2014/main" id="{6EA0F381-74AD-A243-97C8-8F25FF15313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0</xdr:col>
      <xdr:colOff>0</xdr:colOff>
      <xdr:row>1268</xdr:row>
      <xdr:rowOff>47675</xdr:rowOff>
    </xdr:from>
    <xdr:ext cx="12269000" cy="3724385"/>
    <xdr:graphicFrame macro="">
      <xdr:nvGraphicFramePr>
        <xdr:cNvPr id="59" name="Chart 58" descr=".xml">
          <a:extLst>
            <a:ext uri="{FF2B5EF4-FFF2-40B4-BE49-F238E27FC236}">
              <a16:creationId xmlns:a16="http://schemas.microsoft.com/office/drawing/2014/main" id="{B8DFEDE0-9431-1A48-AC45-ECC122305DD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0</xdr:col>
      <xdr:colOff>0</xdr:colOff>
      <xdr:row>1288</xdr:row>
      <xdr:rowOff>47675</xdr:rowOff>
    </xdr:from>
    <xdr:ext cx="12269000" cy="3724385"/>
    <xdr:graphicFrame macro="">
      <xdr:nvGraphicFramePr>
        <xdr:cNvPr id="60" name="Chart 59" descr=".xml">
          <a:extLst>
            <a:ext uri="{FF2B5EF4-FFF2-40B4-BE49-F238E27FC236}">
              <a16:creationId xmlns:a16="http://schemas.microsoft.com/office/drawing/2014/main" id="{107A9C6A-8FDB-8C40-9855-53BCF5129A2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0</xdr:col>
      <xdr:colOff>0</xdr:colOff>
      <xdr:row>1308</xdr:row>
      <xdr:rowOff>47675</xdr:rowOff>
    </xdr:from>
    <xdr:ext cx="12269000" cy="3724385"/>
    <xdr:graphicFrame macro="">
      <xdr:nvGraphicFramePr>
        <xdr:cNvPr id="61" name="Chart 60" descr=".xml">
          <a:extLst>
            <a:ext uri="{FF2B5EF4-FFF2-40B4-BE49-F238E27FC236}">
              <a16:creationId xmlns:a16="http://schemas.microsoft.com/office/drawing/2014/main" id="{85791A67-63FB-7447-940A-6A5204F994C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0</xdr:col>
      <xdr:colOff>0</xdr:colOff>
      <xdr:row>1328</xdr:row>
      <xdr:rowOff>47675</xdr:rowOff>
    </xdr:from>
    <xdr:ext cx="12269000" cy="3724385"/>
    <xdr:graphicFrame macro="">
      <xdr:nvGraphicFramePr>
        <xdr:cNvPr id="62" name="Chart 61" descr=".xml">
          <a:extLst>
            <a:ext uri="{FF2B5EF4-FFF2-40B4-BE49-F238E27FC236}">
              <a16:creationId xmlns:a16="http://schemas.microsoft.com/office/drawing/2014/main" id="{3B8F3810-505E-0F40-972A-8873DB95E2D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0</xdr:col>
      <xdr:colOff>0</xdr:colOff>
      <xdr:row>1348</xdr:row>
      <xdr:rowOff>47675</xdr:rowOff>
    </xdr:from>
    <xdr:ext cx="12269000" cy="3724385"/>
    <xdr:graphicFrame macro="">
      <xdr:nvGraphicFramePr>
        <xdr:cNvPr id="63" name="Chart 62" descr=".xml">
          <a:extLst>
            <a:ext uri="{FF2B5EF4-FFF2-40B4-BE49-F238E27FC236}">
              <a16:creationId xmlns:a16="http://schemas.microsoft.com/office/drawing/2014/main" id="{C005D12A-491A-6E4C-864A-8EAAA1F9667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oneCellAnchor>
    <xdr:from>
      <xdr:col>0</xdr:col>
      <xdr:colOff>0</xdr:colOff>
      <xdr:row>1368</xdr:row>
      <xdr:rowOff>47675</xdr:rowOff>
    </xdr:from>
    <xdr:ext cx="12269000" cy="3724385"/>
    <xdr:graphicFrame macro="">
      <xdr:nvGraphicFramePr>
        <xdr:cNvPr id="64" name="Chart 63" descr=".xml">
          <a:extLst>
            <a:ext uri="{FF2B5EF4-FFF2-40B4-BE49-F238E27FC236}">
              <a16:creationId xmlns:a16="http://schemas.microsoft.com/office/drawing/2014/main" id="{0CA9EF79-AD26-B84C-B0D5-4FAC504DC4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oneCellAnchor>
  <xdr:oneCellAnchor>
    <xdr:from>
      <xdr:col>0</xdr:col>
      <xdr:colOff>0</xdr:colOff>
      <xdr:row>1388</xdr:row>
      <xdr:rowOff>47675</xdr:rowOff>
    </xdr:from>
    <xdr:ext cx="12269000" cy="3724385"/>
    <xdr:graphicFrame macro="">
      <xdr:nvGraphicFramePr>
        <xdr:cNvPr id="65" name="Chart 64" descr=".xml">
          <a:extLst>
            <a:ext uri="{FF2B5EF4-FFF2-40B4-BE49-F238E27FC236}">
              <a16:creationId xmlns:a16="http://schemas.microsoft.com/office/drawing/2014/main" id="{0BBFCFFA-1D49-9844-9D28-8FBD3F9AE1B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oneCellAnchor>
    <xdr:from>
      <xdr:col>0</xdr:col>
      <xdr:colOff>0</xdr:colOff>
      <xdr:row>1408</xdr:row>
      <xdr:rowOff>47675</xdr:rowOff>
    </xdr:from>
    <xdr:ext cx="12269000" cy="3724385"/>
    <xdr:graphicFrame macro="">
      <xdr:nvGraphicFramePr>
        <xdr:cNvPr id="66" name="Chart 65" descr=".xml">
          <a:extLst>
            <a:ext uri="{FF2B5EF4-FFF2-40B4-BE49-F238E27FC236}">
              <a16:creationId xmlns:a16="http://schemas.microsoft.com/office/drawing/2014/main" id="{46BFD6F7-9E99-A643-9069-E8212948938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oneCellAnchor>
  <xdr:oneCellAnchor>
    <xdr:from>
      <xdr:col>0</xdr:col>
      <xdr:colOff>0</xdr:colOff>
      <xdr:row>1428</xdr:row>
      <xdr:rowOff>47675</xdr:rowOff>
    </xdr:from>
    <xdr:ext cx="12269000" cy="3724385"/>
    <xdr:graphicFrame macro="">
      <xdr:nvGraphicFramePr>
        <xdr:cNvPr id="67" name="Chart 66" descr=".xml">
          <a:extLst>
            <a:ext uri="{FF2B5EF4-FFF2-40B4-BE49-F238E27FC236}">
              <a16:creationId xmlns:a16="http://schemas.microsoft.com/office/drawing/2014/main" id="{11D77C65-F475-7742-9F5E-0130276D3FA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oneCellAnchor>
  <xdr:oneCellAnchor>
    <xdr:from>
      <xdr:col>0</xdr:col>
      <xdr:colOff>0</xdr:colOff>
      <xdr:row>1448</xdr:row>
      <xdr:rowOff>47675</xdr:rowOff>
    </xdr:from>
    <xdr:ext cx="12269000" cy="3724385"/>
    <xdr:graphicFrame macro="">
      <xdr:nvGraphicFramePr>
        <xdr:cNvPr id="68" name="Chart 67" descr=".xml">
          <a:extLst>
            <a:ext uri="{FF2B5EF4-FFF2-40B4-BE49-F238E27FC236}">
              <a16:creationId xmlns:a16="http://schemas.microsoft.com/office/drawing/2014/main" id="{E73AA639-3B60-7F40-A841-9284D07F956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oneCellAnchor>
    <xdr:from>
      <xdr:col>0</xdr:col>
      <xdr:colOff>0</xdr:colOff>
      <xdr:row>1468</xdr:row>
      <xdr:rowOff>47675</xdr:rowOff>
    </xdr:from>
    <xdr:ext cx="12269000" cy="3724385"/>
    <xdr:graphicFrame macro="">
      <xdr:nvGraphicFramePr>
        <xdr:cNvPr id="69" name="Chart 68" descr=".xml">
          <a:extLst>
            <a:ext uri="{FF2B5EF4-FFF2-40B4-BE49-F238E27FC236}">
              <a16:creationId xmlns:a16="http://schemas.microsoft.com/office/drawing/2014/main" id="{A8CCA0E7-41BE-A84F-AA7D-4BA33F6DF66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oneCellAnchor>
  <xdr:oneCellAnchor>
    <xdr:from>
      <xdr:col>0</xdr:col>
      <xdr:colOff>0</xdr:colOff>
      <xdr:row>1488</xdr:row>
      <xdr:rowOff>47675</xdr:rowOff>
    </xdr:from>
    <xdr:ext cx="12269000" cy="3724385"/>
    <xdr:graphicFrame macro="">
      <xdr:nvGraphicFramePr>
        <xdr:cNvPr id="70" name="Chart 69" descr=".xml">
          <a:extLst>
            <a:ext uri="{FF2B5EF4-FFF2-40B4-BE49-F238E27FC236}">
              <a16:creationId xmlns:a16="http://schemas.microsoft.com/office/drawing/2014/main" id="{1951DCFF-1D81-6A4F-B524-D5A4BCCE02A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oneCellAnchor>
  <xdr:oneCellAnchor>
    <xdr:from>
      <xdr:col>0</xdr:col>
      <xdr:colOff>0</xdr:colOff>
      <xdr:row>1508</xdr:row>
      <xdr:rowOff>47675</xdr:rowOff>
    </xdr:from>
    <xdr:ext cx="12269000" cy="3724385"/>
    <xdr:graphicFrame macro="">
      <xdr:nvGraphicFramePr>
        <xdr:cNvPr id="71" name="Chart 70" descr=".xml">
          <a:extLst>
            <a:ext uri="{FF2B5EF4-FFF2-40B4-BE49-F238E27FC236}">
              <a16:creationId xmlns:a16="http://schemas.microsoft.com/office/drawing/2014/main" id="{A0613C21-1A21-8541-B27D-EE670C6578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oneCellAnchor>
    <xdr:from>
      <xdr:col>0</xdr:col>
      <xdr:colOff>0</xdr:colOff>
      <xdr:row>1528</xdr:row>
      <xdr:rowOff>47675</xdr:rowOff>
    </xdr:from>
    <xdr:ext cx="12269000" cy="3724385"/>
    <xdr:graphicFrame macro="">
      <xdr:nvGraphicFramePr>
        <xdr:cNvPr id="72" name="Chart 71" descr=".xml">
          <a:extLst>
            <a:ext uri="{FF2B5EF4-FFF2-40B4-BE49-F238E27FC236}">
              <a16:creationId xmlns:a16="http://schemas.microsoft.com/office/drawing/2014/main" id="{398D3A48-DF82-9E44-A503-181EF803898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oneCellAnchor>
  <xdr:oneCellAnchor>
    <xdr:from>
      <xdr:col>0</xdr:col>
      <xdr:colOff>0</xdr:colOff>
      <xdr:row>1548</xdr:row>
      <xdr:rowOff>47675</xdr:rowOff>
    </xdr:from>
    <xdr:ext cx="12269000" cy="3724385"/>
    <xdr:graphicFrame macro="">
      <xdr:nvGraphicFramePr>
        <xdr:cNvPr id="73" name="Chart 72" descr=".xml">
          <a:extLst>
            <a:ext uri="{FF2B5EF4-FFF2-40B4-BE49-F238E27FC236}">
              <a16:creationId xmlns:a16="http://schemas.microsoft.com/office/drawing/2014/main" id="{858AC759-0605-0948-AF45-E9482F77861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oneCellAnchor>
  <xdr:oneCellAnchor>
    <xdr:from>
      <xdr:col>0</xdr:col>
      <xdr:colOff>0</xdr:colOff>
      <xdr:row>1568</xdr:row>
      <xdr:rowOff>47675</xdr:rowOff>
    </xdr:from>
    <xdr:ext cx="12269000" cy="3724385"/>
    <xdr:graphicFrame macro="">
      <xdr:nvGraphicFramePr>
        <xdr:cNvPr id="74" name="Chart 73" descr=".xml">
          <a:extLst>
            <a:ext uri="{FF2B5EF4-FFF2-40B4-BE49-F238E27FC236}">
              <a16:creationId xmlns:a16="http://schemas.microsoft.com/office/drawing/2014/main" id="{9587BEF1-CC17-ED4C-ABB6-D5591144E1C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oneCellAnchor>
    <xdr:from>
      <xdr:col>0</xdr:col>
      <xdr:colOff>0</xdr:colOff>
      <xdr:row>1588</xdr:row>
      <xdr:rowOff>47675</xdr:rowOff>
    </xdr:from>
    <xdr:ext cx="12269000" cy="3724385"/>
    <xdr:graphicFrame macro="">
      <xdr:nvGraphicFramePr>
        <xdr:cNvPr id="75" name="Chart 74" descr=".xml">
          <a:extLst>
            <a:ext uri="{FF2B5EF4-FFF2-40B4-BE49-F238E27FC236}">
              <a16:creationId xmlns:a16="http://schemas.microsoft.com/office/drawing/2014/main" id="{31B67F8E-B3BD-1D41-8FC2-8D21DC1BAD2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oneCellAnchor>
  <xdr:oneCellAnchor>
    <xdr:from>
      <xdr:col>0</xdr:col>
      <xdr:colOff>0</xdr:colOff>
      <xdr:row>1608</xdr:row>
      <xdr:rowOff>47675</xdr:rowOff>
    </xdr:from>
    <xdr:ext cx="12269000" cy="3724385"/>
    <xdr:graphicFrame macro="">
      <xdr:nvGraphicFramePr>
        <xdr:cNvPr id="76" name="Chart 75" descr=".xml">
          <a:extLst>
            <a:ext uri="{FF2B5EF4-FFF2-40B4-BE49-F238E27FC236}">
              <a16:creationId xmlns:a16="http://schemas.microsoft.com/office/drawing/2014/main" id="{AD51105D-18DC-BA4D-8635-1C323FB113A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oneCellAnchor>
  <xdr:oneCellAnchor>
    <xdr:from>
      <xdr:col>0</xdr:col>
      <xdr:colOff>0</xdr:colOff>
      <xdr:row>1628</xdr:row>
      <xdr:rowOff>47675</xdr:rowOff>
    </xdr:from>
    <xdr:ext cx="12269000" cy="3724385"/>
    <xdr:graphicFrame macro="">
      <xdr:nvGraphicFramePr>
        <xdr:cNvPr id="77" name="Chart 76" descr=".xml">
          <a:extLst>
            <a:ext uri="{FF2B5EF4-FFF2-40B4-BE49-F238E27FC236}">
              <a16:creationId xmlns:a16="http://schemas.microsoft.com/office/drawing/2014/main" id="{5B9A6A02-3995-F24A-92B4-B99078F87DE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oneCellAnchor>
  <xdr:oneCellAnchor>
    <xdr:from>
      <xdr:col>0</xdr:col>
      <xdr:colOff>0</xdr:colOff>
      <xdr:row>1648</xdr:row>
      <xdr:rowOff>47675</xdr:rowOff>
    </xdr:from>
    <xdr:ext cx="12269000" cy="3724385"/>
    <xdr:graphicFrame macro="">
      <xdr:nvGraphicFramePr>
        <xdr:cNvPr id="78" name="Chart 77" descr=".xml">
          <a:extLst>
            <a:ext uri="{FF2B5EF4-FFF2-40B4-BE49-F238E27FC236}">
              <a16:creationId xmlns:a16="http://schemas.microsoft.com/office/drawing/2014/main" id="{9F5BBECD-C0E1-AA4E-AF54-D2CAA06D79A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oneCellAnchor>
  <xdr:oneCellAnchor>
    <xdr:from>
      <xdr:col>0</xdr:col>
      <xdr:colOff>0</xdr:colOff>
      <xdr:row>1668</xdr:row>
      <xdr:rowOff>47675</xdr:rowOff>
    </xdr:from>
    <xdr:ext cx="12269000" cy="3724385"/>
    <xdr:graphicFrame macro="">
      <xdr:nvGraphicFramePr>
        <xdr:cNvPr id="79" name="Chart 78" descr=".xml">
          <a:extLst>
            <a:ext uri="{FF2B5EF4-FFF2-40B4-BE49-F238E27FC236}">
              <a16:creationId xmlns:a16="http://schemas.microsoft.com/office/drawing/2014/main" id="{FC54F4A9-82E3-964F-B161-D45E8E2816F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worldhealthorg-my.sharepoint.com/personal/asamanij_who_int/Documents/HRH%20IST_ESA/Country%20Support/SADC%20HRH%20Strategy/SADC%20Draft%20HRH%20Strategy/Final%20drafts/Submitted%20/Revisions%202020/SADC%20HRH%20Strategic%20Plan%20Costing%20Model%204112020_JAA.xlsx?9F6AA38E" TargetMode="External"/><Relationship Id="rId1" Type="http://schemas.openxmlformats.org/officeDocument/2006/relationships/externalLinkPath" Target="file:///\\9F6AA38E\SADC%20HRH%20Strategic%20Plan%20Costing%20Model%204112020_JA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healthorg-my.sharepoint.com/personal/asamanij_who_int/Documents/HRH%20IST_ESA/Country%20Support/Kenya/Kenya%20Rapid%20HRH%20Projection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healthorg-my.sharepoint.com/personal/asamanij_who_int/Documents/HRH%20IST_ESA/Country%20Support/SADC%20HRH%20Strategy/SADC%20Draft%20HRH%20Strategy/SADC%20Selected%20Social%20and%20Economic%20Indic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ice PPP Conversion"/>
      <sheetName val="Real effective Xch rate"/>
      <sheetName val="Official Xch rate"/>
      <sheetName val="1_Stratgies and interventions"/>
      <sheetName val="2_Cost drivers &amp; standard cost"/>
      <sheetName val="CPI"/>
      <sheetName val="Sheet3"/>
      <sheetName val="3_Main_Costing the Plan"/>
      <sheetName val="xxx"/>
      <sheetName val="4_Summary of cost of SP"/>
      <sheetName val="Updated with AFRO Survey 2018"/>
      <sheetName val="4_Summary by cost drivers"/>
      <sheetName val="Training and employments"/>
      <sheetName val="Sheet1"/>
    </sheetNames>
    <sheetDataSet>
      <sheetData sheetId="0"/>
      <sheetData sheetId="1">
        <row r="2">
          <cell r="A2" t="str">
            <v>Angola</v>
          </cell>
          <cell r="B2" t="str">
            <v>AGO</v>
          </cell>
          <cell r="C2" t="str">
            <v>Price level ratio of PPP conversion factor (GDP) to market exchange rate</v>
          </cell>
          <cell r="D2">
            <v>0.54461003828330778</v>
          </cell>
          <cell r="E2">
            <v>0.68777227436048938</v>
          </cell>
          <cell r="F2">
            <v>0.6879967229079702</v>
          </cell>
          <cell r="G2">
            <v>0.68400884632981318</v>
          </cell>
          <cell r="H2">
            <v>0.66123178464329257</v>
          </cell>
          <cell r="I2">
            <v>0.56789644723802379</v>
          </cell>
          <cell r="J2">
            <v>0.49358881663677806</v>
          </cell>
          <cell r="K2">
            <v>0.56023361937008065</v>
          </cell>
          <cell r="L2">
            <v>0.46351861530557947</v>
          </cell>
          <cell r="M2">
            <v>0.42910956206150991</v>
          </cell>
          <cell r="N2">
            <v>0.44757364459520499</v>
          </cell>
        </row>
        <row r="3">
          <cell r="A3" t="str">
            <v>Botswana</v>
          </cell>
          <cell r="B3" t="str">
            <v>BWA</v>
          </cell>
          <cell r="C3" t="str">
            <v>Price level ratio of PPP conversion factor (GDP) to market exchange rate</v>
          </cell>
          <cell r="D3">
            <v>0.48192562725197247</v>
          </cell>
          <cell r="E3">
            <v>0.48192562725197247</v>
          </cell>
          <cell r="F3">
            <v>0.48192562725197247</v>
          </cell>
          <cell r="G3">
            <v>0.48192562725197247</v>
          </cell>
          <cell r="H3">
            <v>0.48192562725197247</v>
          </cell>
          <cell r="I3">
            <v>0.48192562725197247</v>
          </cell>
          <cell r="J3">
            <v>0.48192562725197247</v>
          </cell>
          <cell r="K3">
            <v>0.48192562725197247</v>
          </cell>
          <cell r="L3">
            <v>0.48192562725197247</v>
          </cell>
          <cell r="M3">
            <v>0.48192562725197247</v>
          </cell>
          <cell r="N3">
            <v>0.48192562725197247</v>
          </cell>
        </row>
        <row r="4">
          <cell r="A4" t="str">
            <v>Congo, Dem. Rep.</v>
          </cell>
          <cell r="B4" t="str">
            <v>COD</v>
          </cell>
          <cell r="C4" t="str">
            <v>Price level ratio of PPP conversion factor (GDP) to market exchange rate</v>
          </cell>
          <cell r="D4">
            <v>0.52692010956486135</v>
          </cell>
          <cell r="E4">
            <v>0.52692010956486135</v>
          </cell>
          <cell r="F4">
            <v>0.52692010956486135</v>
          </cell>
          <cell r="G4">
            <v>0.52692010956486135</v>
          </cell>
          <cell r="H4">
            <v>0.52692010956486135</v>
          </cell>
          <cell r="I4">
            <v>0.52692010956486135</v>
          </cell>
          <cell r="J4">
            <v>0.52692010956486135</v>
          </cell>
          <cell r="K4">
            <v>0.52692010956486135</v>
          </cell>
          <cell r="L4">
            <v>0.52692010956486135</v>
          </cell>
          <cell r="M4">
            <v>0.52692010956486135</v>
          </cell>
          <cell r="N4">
            <v>0.52692010956486135</v>
          </cell>
        </row>
        <row r="5">
          <cell r="A5" t="str">
            <v>Comoros</v>
          </cell>
          <cell r="B5" t="str">
            <v>COM</v>
          </cell>
          <cell r="C5" t="str">
            <v>Price level ratio of PPP conversion factor (GDP) to market exchange rate</v>
          </cell>
          <cell r="D5">
            <v>0.58435982081265025</v>
          </cell>
          <cell r="E5">
            <v>0.58435982081265025</v>
          </cell>
          <cell r="F5">
            <v>0.58435982081265025</v>
          </cell>
          <cell r="G5">
            <v>0.58435982081265025</v>
          </cell>
          <cell r="H5">
            <v>0.58435982081265025</v>
          </cell>
          <cell r="I5">
            <v>0.58435982081265025</v>
          </cell>
          <cell r="J5">
            <v>0.58435982081265025</v>
          </cell>
          <cell r="K5">
            <v>0.58435982081265025</v>
          </cell>
          <cell r="L5">
            <v>0.58435982081265025</v>
          </cell>
          <cell r="M5">
            <v>0.58435982081265025</v>
          </cell>
          <cell r="N5">
            <v>0.58435982081265025</v>
          </cell>
        </row>
        <row r="6">
          <cell r="A6" t="str">
            <v>Lesotho</v>
          </cell>
          <cell r="B6" t="str">
            <v>LSO</v>
          </cell>
          <cell r="C6" t="str">
            <v>Price level ratio of PPP conversion factor (GDP) to market exchange rate</v>
          </cell>
          <cell r="D6">
            <v>0.52322765933351867</v>
          </cell>
          <cell r="E6">
            <v>0.52322765933351867</v>
          </cell>
          <cell r="F6">
            <v>0.52322765933351867</v>
          </cell>
          <cell r="G6">
            <v>0.52322765933351867</v>
          </cell>
          <cell r="H6">
            <v>0.52322765933351867</v>
          </cell>
          <cell r="I6">
            <v>0.52322765933351867</v>
          </cell>
          <cell r="J6">
            <v>0.52322765933351867</v>
          </cell>
          <cell r="K6">
            <v>0.52322765933351867</v>
          </cell>
          <cell r="L6">
            <v>0.52322765933351867</v>
          </cell>
          <cell r="M6">
            <v>0.52322765933351867</v>
          </cell>
          <cell r="N6">
            <v>0.52322765933351867</v>
          </cell>
        </row>
        <row r="7">
          <cell r="A7" t="str">
            <v>Madagascar</v>
          </cell>
          <cell r="B7" t="str">
            <v>MDG</v>
          </cell>
          <cell r="C7" t="str">
            <v>Price level ratio of PPP conversion factor (GDP) to market exchange rate</v>
          </cell>
          <cell r="D7">
            <v>0.307487053895796</v>
          </cell>
          <cell r="E7">
            <v>0.307487053895796</v>
          </cell>
          <cell r="F7">
            <v>0.307487053895796</v>
          </cell>
          <cell r="G7">
            <v>0.307487053895796</v>
          </cell>
          <cell r="H7">
            <v>0.307487053895796</v>
          </cell>
          <cell r="I7">
            <v>0.307487053895796</v>
          </cell>
          <cell r="J7">
            <v>0.307487053895796</v>
          </cell>
          <cell r="K7">
            <v>0.307487053895796</v>
          </cell>
          <cell r="L7">
            <v>0.307487053895796</v>
          </cell>
          <cell r="M7">
            <v>0.307487053895796</v>
          </cell>
          <cell r="N7">
            <v>0.307487053895796</v>
          </cell>
        </row>
        <row r="8">
          <cell r="A8" t="str">
            <v>Mozambique</v>
          </cell>
          <cell r="B8" t="str">
            <v>MOZ</v>
          </cell>
          <cell r="C8" t="str">
            <v>Price level ratio of PPP conversion factor (GDP) to market exchange rate</v>
          </cell>
          <cell r="D8">
            <v>0.49129553019608896</v>
          </cell>
          <cell r="E8">
            <v>0.49129553019608896</v>
          </cell>
          <cell r="F8">
            <v>0.49129553019608896</v>
          </cell>
          <cell r="G8">
            <v>0.49129553019608896</v>
          </cell>
          <cell r="H8">
            <v>0.49129553019608896</v>
          </cell>
          <cell r="I8">
            <v>0.49129553019608896</v>
          </cell>
          <cell r="J8">
            <v>0.49129553019608896</v>
          </cell>
          <cell r="K8">
            <v>0.49129553019608896</v>
          </cell>
          <cell r="L8">
            <v>0.49129553019608896</v>
          </cell>
          <cell r="M8">
            <v>0.49129553019608896</v>
          </cell>
          <cell r="N8">
            <v>0.49129553019608896</v>
          </cell>
        </row>
        <row r="9">
          <cell r="A9" t="str">
            <v>Mauritius</v>
          </cell>
          <cell r="B9" t="str">
            <v>MUS</v>
          </cell>
          <cell r="C9" t="str">
            <v>Price level ratio of PPP conversion factor (GDP) to market exchange rate</v>
          </cell>
          <cell r="D9">
            <v>0.50962608792422459</v>
          </cell>
          <cell r="E9">
            <v>0.50962608792422459</v>
          </cell>
          <cell r="F9">
            <v>0.50962608792422459</v>
          </cell>
          <cell r="G9">
            <v>0.50962608792422459</v>
          </cell>
          <cell r="H9">
            <v>0.50962608792422459</v>
          </cell>
          <cell r="I9">
            <v>0.50962608792422459</v>
          </cell>
          <cell r="J9">
            <v>0.50962608792422459</v>
          </cell>
          <cell r="K9">
            <v>0.50962608792422459</v>
          </cell>
          <cell r="L9">
            <v>0.50962608792422459</v>
          </cell>
          <cell r="M9">
            <v>0.50962608792422459</v>
          </cell>
          <cell r="N9">
            <v>0.50962608792422459</v>
          </cell>
        </row>
        <row r="10">
          <cell r="A10" t="str">
            <v>Malawi</v>
          </cell>
          <cell r="B10" t="str">
            <v>MWI</v>
          </cell>
          <cell r="C10" t="str">
            <v>Price level ratio of PPP conversion factor (GDP) to market exchange rate</v>
          </cell>
          <cell r="D10">
            <v>0.46842920127296694</v>
          </cell>
          <cell r="E10">
            <v>0.46842920127296694</v>
          </cell>
          <cell r="F10">
            <v>0.46842920127296694</v>
          </cell>
          <cell r="G10">
            <v>0.46842920127296694</v>
          </cell>
          <cell r="H10">
            <v>0.46842920127296694</v>
          </cell>
          <cell r="I10">
            <v>0.46842920127296694</v>
          </cell>
          <cell r="J10">
            <v>0.46842920127296694</v>
          </cell>
          <cell r="K10">
            <v>0.46842920127296694</v>
          </cell>
          <cell r="L10">
            <v>0.46842920127296694</v>
          </cell>
          <cell r="M10">
            <v>0.46842920127296694</v>
          </cell>
          <cell r="N10">
            <v>0.46842920127296694</v>
          </cell>
        </row>
        <row r="11">
          <cell r="A11" t="str">
            <v>Namibia</v>
          </cell>
          <cell r="B11" t="str">
            <v>NAM</v>
          </cell>
          <cell r="C11" t="str">
            <v>Price level ratio of PPP conversion factor (GDP) to market exchange rate</v>
          </cell>
          <cell r="D11">
            <v>0.63480136407877852</v>
          </cell>
          <cell r="E11">
            <v>0.63480136407877852</v>
          </cell>
          <cell r="F11">
            <v>0.63480136407877852</v>
          </cell>
          <cell r="G11">
            <v>0.63480136407877852</v>
          </cell>
          <cell r="H11">
            <v>0.63480136407877852</v>
          </cell>
          <cell r="I11">
            <v>0.63480136407877852</v>
          </cell>
          <cell r="J11">
            <v>0.63480136407877852</v>
          </cell>
          <cell r="K11">
            <v>0.63480136407877852</v>
          </cell>
          <cell r="L11">
            <v>0.63480136407877852</v>
          </cell>
          <cell r="M11">
            <v>0.63480136407877852</v>
          </cell>
          <cell r="N11">
            <v>0.63480136407877852</v>
          </cell>
        </row>
        <row r="12">
          <cell r="A12" t="str">
            <v>Eswatini</v>
          </cell>
          <cell r="B12" t="str">
            <v>SWZ</v>
          </cell>
          <cell r="C12" t="str">
            <v>Price level ratio of PPP conversion factor (GDP) to market exchange rate</v>
          </cell>
          <cell r="D12">
            <v>0.53639327058214092</v>
          </cell>
          <cell r="E12">
            <v>0.53639327058214092</v>
          </cell>
          <cell r="F12">
            <v>0.53639327058214092</v>
          </cell>
          <cell r="G12">
            <v>0.53639327058214092</v>
          </cell>
          <cell r="H12">
            <v>0.53639327058214092</v>
          </cell>
          <cell r="I12">
            <v>0.53639327058214092</v>
          </cell>
          <cell r="J12">
            <v>0.53639327058214092</v>
          </cell>
          <cell r="K12">
            <v>0.53639327058214092</v>
          </cell>
          <cell r="L12">
            <v>0.53639327058214092</v>
          </cell>
          <cell r="M12">
            <v>0.53639327058214092</v>
          </cell>
          <cell r="N12">
            <v>0.53639327058214092</v>
          </cell>
        </row>
        <row r="13">
          <cell r="A13" t="str">
            <v>Seychelles</v>
          </cell>
          <cell r="B13" t="str">
            <v>SYC</v>
          </cell>
          <cell r="C13" t="str">
            <v>Price level ratio of PPP conversion factor (GDP) to market exchange rate</v>
          </cell>
          <cell r="D13">
            <v>0.55729116396969625</v>
          </cell>
          <cell r="E13">
            <v>0.55729116396969625</v>
          </cell>
          <cell r="F13">
            <v>0.55729116396969625</v>
          </cell>
          <cell r="G13">
            <v>0.55729116396969625</v>
          </cell>
          <cell r="H13">
            <v>0.55729116396969625</v>
          </cell>
          <cell r="I13">
            <v>0.55729116396969625</v>
          </cell>
          <cell r="J13">
            <v>0.55729116396969625</v>
          </cell>
          <cell r="K13">
            <v>0.55729116396969625</v>
          </cell>
          <cell r="L13">
            <v>0.55729116396969625</v>
          </cell>
          <cell r="M13">
            <v>0.55729116396969625</v>
          </cell>
          <cell r="N13">
            <v>0.55729116396969625</v>
          </cell>
        </row>
        <row r="14">
          <cell r="A14" t="str">
            <v>Tanzania</v>
          </cell>
          <cell r="B14" t="str">
            <v>TZA</v>
          </cell>
          <cell r="C14" t="str">
            <v>Price level ratio of PPP conversion factor (GDP) to market exchange rate</v>
          </cell>
          <cell r="D14">
            <v>0.35601957564515796</v>
          </cell>
          <cell r="E14">
            <v>0.35601957564515796</v>
          </cell>
          <cell r="F14">
            <v>0.35601957564515796</v>
          </cell>
          <cell r="G14">
            <v>0.35601957564515796</v>
          </cell>
          <cell r="H14">
            <v>0.35601957564515796</v>
          </cell>
          <cell r="I14">
            <v>0.35601957564515796</v>
          </cell>
          <cell r="J14">
            <v>0.35601957564515796</v>
          </cell>
          <cell r="K14">
            <v>0.35601957564515796</v>
          </cell>
          <cell r="L14">
            <v>0.35601957564515796</v>
          </cell>
          <cell r="M14">
            <v>0.35601957564515796</v>
          </cell>
          <cell r="N14">
            <v>0.35601957564515796</v>
          </cell>
        </row>
        <row r="15">
          <cell r="A15" t="str">
            <v>South Africa</v>
          </cell>
          <cell r="B15" t="str">
            <v>ZAF</v>
          </cell>
          <cell r="C15" t="str">
            <v>Price level ratio of PPP conversion factor (GDP) to market exchange rate</v>
          </cell>
          <cell r="D15">
            <v>0.62522544303361471</v>
          </cell>
          <cell r="E15">
            <v>0.62522544303361471</v>
          </cell>
          <cell r="F15">
            <v>0.62522544303361471</v>
          </cell>
          <cell r="G15">
            <v>0.62522544303361471</v>
          </cell>
          <cell r="H15">
            <v>0.62522544303361471</v>
          </cell>
          <cell r="I15">
            <v>0.62522544303361471</v>
          </cell>
          <cell r="J15">
            <v>0.62522544303361471</v>
          </cell>
          <cell r="K15">
            <v>0.62522544303361471</v>
          </cell>
          <cell r="L15">
            <v>0.62522544303361471</v>
          </cell>
          <cell r="M15">
            <v>0.62522544303361471</v>
          </cell>
          <cell r="N15">
            <v>0.62522544303361471</v>
          </cell>
        </row>
        <row r="16">
          <cell r="A16" t="str">
            <v>Zambia</v>
          </cell>
          <cell r="B16" t="str">
            <v>ZMB</v>
          </cell>
          <cell r="C16" t="str">
            <v>Price level ratio of PPP conversion factor (GDP) to market exchange rate</v>
          </cell>
          <cell r="D16">
            <v>0.46854951455067639</v>
          </cell>
          <cell r="E16">
            <v>0.46854951455067639</v>
          </cell>
          <cell r="F16">
            <v>0.46854951455067639</v>
          </cell>
          <cell r="G16">
            <v>0.46854951455067639</v>
          </cell>
          <cell r="H16">
            <v>0.46854951455067639</v>
          </cell>
          <cell r="I16">
            <v>0.46854951455067639</v>
          </cell>
          <cell r="J16">
            <v>0.46854951455067639</v>
          </cell>
          <cell r="K16">
            <v>0.46854951455067639</v>
          </cell>
          <cell r="L16">
            <v>0.46854951455067639</v>
          </cell>
          <cell r="M16">
            <v>0.46854951455067639</v>
          </cell>
          <cell r="N16">
            <v>0.46854951455067639</v>
          </cell>
        </row>
        <row r="17">
          <cell r="A17" t="str">
            <v>Zimbabwe</v>
          </cell>
          <cell r="B17" t="str">
            <v>ZWE</v>
          </cell>
          <cell r="C17" t="str">
            <v>Price level ratio of PPP conversion factor (GDP) to market exchange rate</v>
          </cell>
          <cell r="D17">
            <v>0.51797974826554904</v>
          </cell>
          <cell r="E17">
            <v>0.51797974826554904</v>
          </cell>
          <cell r="F17">
            <v>0.51797974826554904</v>
          </cell>
          <cell r="G17">
            <v>0.51797974826554904</v>
          </cell>
          <cell r="H17">
            <v>0.51797974826554904</v>
          </cell>
          <cell r="I17">
            <v>0.51797974826554904</v>
          </cell>
          <cell r="J17">
            <v>0.51797974826554904</v>
          </cell>
          <cell r="K17">
            <v>0.51797974826554904</v>
          </cell>
          <cell r="L17">
            <v>0.51797974826554904</v>
          </cell>
          <cell r="M17">
            <v>0.51797974826554904</v>
          </cell>
          <cell r="N17">
            <v>0.51797974826554904</v>
          </cell>
        </row>
        <row r="18">
          <cell r="A18" t="str">
            <v>SADC</v>
          </cell>
          <cell r="C18" t="str">
            <v>Price level ratio of PPP conversion factor (GDP) to market exchange rate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</row>
      </sheetData>
      <sheetData sheetId="2"/>
      <sheetData sheetId="3">
        <row r="1">
          <cell r="A1" t="str">
            <v>Country Name</v>
          </cell>
          <cell r="B1" t="str">
            <v>Country Code</v>
          </cell>
          <cell r="C1" t="str">
            <v>Indicator Name</v>
          </cell>
          <cell r="D1">
            <v>2015</v>
          </cell>
          <cell r="E1">
            <v>2016</v>
          </cell>
          <cell r="F1">
            <v>2017</v>
          </cell>
          <cell r="G1">
            <v>2018</v>
          </cell>
          <cell r="H1">
            <v>2019</v>
          </cell>
        </row>
        <row r="2">
          <cell r="A2" t="str">
            <v>Angola</v>
          </cell>
          <cell r="B2" t="str">
            <v>AGO</v>
          </cell>
          <cell r="D2">
            <v>120.060701665019</v>
          </cell>
          <cell r="E2">
            <v>163.65643411657899</v>
          </cell>
          <cell r="F2">
            <v>165.91595069149801</v>
          </cell>
          <cell r="G2">
            <v>252.85574773129699</v>
          </cell>
          <cell r="H2">
            <v>364.82580498088703</v>
          </cell>
        </row>
        <row r="3">
          <cell r="A3" t="str">
            <v>Botswana</v>
          </cell>
          <cell r="B3" t="str">
            <v>BWA</v>
          </cell>
          <cell r="D3">
            <v>10.1289916666667</v>
          </cell>
          <cell r="E3">
            <v>10.901158333333299</v>
          </cell>
          <cell r="F3">
            <v>10.3474166666667</v>
          </cell>
          <cell r="G3">
            <v>10.199975</v>
          </cell>
          <cell r="H3">
            <v>10.7558666666667</v>
          </cell>
        </row>
        <row r="4">
          <cell r="A4" t="str">
            <v>Congo, Dem. Rep.</v>
          </cell>
          <cell r="B4" t="str">
            <v>COD</v>
          </cell>
          <cell r="D4">
            <v>925.98496128039301</v>
          </cell>
          <cell r="E4">
            <v>1010.30275716866</v>
          </cell>
          <cell r="F4">
            <v>1464.41793163743</v>
          </cell>
          <cell r="G4">
            <v>1622.5235016229201</v>
          </cell>
          <cell r="H4">
            <v>1647.76012727639</v>
          </cell>
        </row>
        <row r="5">
          <cell r="A5" t="str">
            <v>Comoros</v>
          </cell>
          <cell r="B5" t="str">
            <v>COM</v>
          </cell>
          <cell r="D5">
            <v>443.40877348695699</v>
          </cell>
          <cell r="E5">
            <v>444.454211297266</v>
          </cell>
          <cell r="F5">
            <v>435.49256219089301</v>
          </cell>
          <cell r="G5">
            <v>416.584843798669</v>
          </cell>
          <cell r="H5">
            <v>439.46311031786701</v>
          </cell>
        </row>
        <row r="6">
          <cell r="A6" t="str">
            <v>Lesotho</v>
          </cell>
          <cell r="B6" t="str">
            <v>LSO</v>
          </cell>
          <cell r="D6">
            <v>12.7589308811644</v>
          </cell>
          <cell r="E6">
            <v>14.7096108855267</v>
          </cell>
          <cell r="F6">
            <v>13.3238014244992</v>
          </cell>
          <cell r="G6">
            <v>13.233926471583301</v>
          </cell>
          <cell r="H6">
            <v>14.448427054833299</v>
          </cell>
        </row>
        <row r="7">
          <cell r="A7" t="str">
            <v>Madagascar</v>
          </cell>
          <cell r="B7" t="str">
            <v>MDG</v>
          </cell>
          <cell r="D7">
            <v>2933.50833333333</v>
          </cell>
          <cell r="E7">
            <v>3176.5391666666701</v>
          </cell>
          <cell r="F7">
            <v>3116.11</v>
          </cell>
          <cell r="G7">
            <v>3334.75225490196</v>
          </cell>
          <cell r="H7">
            <v>3618.3218581607198</v>
          </cell>
        </row>
        <row r="8">
          <cell r="A8" t="str">
            <v>Mozambique</v>
          </cell>
          <cell r="B8" t="str">
            <v>MOZ</v>
          </cell>
          <cell r="D8">
            <v>39.982474146540603</v>
          </cell>
          <cell r="E8">
            <v>63.056232731037099</v>
          </cell>
          <cell r="F8">
            <v>63.584322913398999</v>
          </cell>
          <cell r="G8">
            <v>60.326207643202203</v>
          </cell>
          <cell r="H8">
            <v>62.548333333333296</v>
          </cell>
        </row>
        <row r="9">
          <cell r="A9" t="str">
            <v>Mauritius</v>
          </cell>
          <cell r="B9" t="str">
            <v>MUS</v>
          </cell>
          <cell r="D9">
            <v>35.056699999999999</v>
          </cell>
          <cell r="E9">
            <v>35.541883333333303</v>
          </cell>
          <cell r="F9">
            <v>34.481408333333299</v>
          </cell>
          <cell r="G9">
            <v>33.934449999999998</v>
          </cell>
          <cell r="H9">
            <v>35.473516666666697</v>
          </cell>
        </row>
        <row r="10">
          <cell r="A10" t="str">
            <v>Malawi</v>
          </cell>
          <cell r="B10" t="str">
            <v>MWI</v>
          </cell>
          <cell r="D10">
            <v>499.60583333333301</v>
          </cell>
          <cell r="E10">
            <v>718.005</v>
          </cell>
          <cell r="F10">
            <v>730.27250000000004</v>
          </cell>
          <cell r="G10">
            <v>732.33333333333303</v>
          </cell>
          <cell r="H10">
            <v>745.54066787737202</v>
          </cell>
        </row>
        <row r="11">
          <cell r="A11" t="str">
            <v>Namibia</v>
          </cell>
          <cell r="B11" t="str">
            <v>NAM</v>
          </cell>
          <cell r="D11">
            <v>12.8819208333333</v>
          </cell>
          <cell r="E11">
            <v>14.708766666666699</v>
          </cell>
          <cell r="F11">
            <v>13.312900000000001</v>
          </cell>
          <cell r="G11">
            <v>13.2339416666667</v>
          </cell>
          <cell r="H11">
            <v>14.4486904166667</v>
          </cell>
        </row>
        <row r="12">
          <cell r="A12" t="str">
            <v>Eswatini</v>
          </cell>
          <cell r="B12" t="str">
            <v>SWZ</v>
          </cell>
          <cell r="D12">
            <v>12.7589308811644</v>
          </cell>
          <cell r="E12">
            <v>14.7096108855267</v>
          </cell>
          <cell r="F12">
            <v>13.3238014244992</v>
          </cell>
          <cell r="G12">
            <v>13.233926471583301</v>
          </cell>
          <cell r="H12">
            <v>14.451789228882401</v>
          </cell>
        </row>
        <row r="13">
          <cell r="A13" t="str">
            <v>Seychelles</v>
          </cell>
          <cell r="B13" t="str">
            <v>SYC</v>
          </cell>
          <cell r="D13">
            <v>13.313924999999999</v>
          </cell>
          <cell r="E13">
            <v>13.3191166666667</v>
          </cell>
          <cell r="F13">
            <v>13.6478416666667</v>
          </cell>
          <cell r="G13">
            <v>13.9111166666667</v>
          </cell>
          <cell r="H13">
            <v>14.033250000000001</v>
          </cell>
        </row>
        <row r="14">
          <cell r="A14" t="str">
            <v>Tanzania</v>
          </cell>
          <cell r="B14" t="str">
            <v>TZA</v>
          </cell>
          <cell r="D14">
            <v>1991.39083333333</v>
          </cell>
          <cell r="E14">
            <v>2177.0866666666702</v>
          </cell>
          <cell r="F14">
            <v>2228.8566666666702</v>
          </cell>
          <cell r="G14">
            <v>2263.7816666666699</v>
          </cell>
          <cell r="H14">
            <v>2288.2066666666701</v>
          </cell>
        </row>
        <row r="15">
          <cell r="A15" t="str">
            <v>South Africa</v>
          </cell>
          <cell r="B15" t="str">
            <v>ZAF</v>
          </cell>
          <cell r="D15">
            <v>12.7589308811644</v>
          </cell>
          <cell r="E15">
            <v>14.7096108855267</v>
          </cell>
          <cell r="F15">
            <v>13.3238014244992</v>
          </cell>
          <cell r="G15">
            <v>13.233926471583301</v>
          </cell>
          <cell r="H15">
            <v>14.448427054833299</v>
          </cell>
        </row>
        <row r="16">
          <cell r="A16" t="str">
            <v>Zambia</v>
          </cell>
          <cell r="B16" t="str">
            <v>ZMB</v>
          </cell>
          <cell r="D16">
            <v>8.6316666666666695</v>
          </cell>
          <cell r="E16">
            <v>10.307499999999999</v>
          </cell>
          <cell r="F16">
            <v>9.5175000000000001</v>
          </cell>
          <cell r="G16">
            <v>10.4583333333333</v>
          </cell>
          <cell r="H16">
            <v>12.89</v>
          </cell>
        </row>
        <row r="17">
          <cell r="A17" t="str">
            <v>Zimbabwe</v>
          </cell>
          <cell r="B17" t="str">
            <v>ZWE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SADC</v>
          </cell>
          <cell r="C18" t="str">
            <v>USD used hence 1:1 exchange rate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</row>
      </sheetData>
      <sheetData sheetId="4">
        <row r="9">
          <cell r="D9" t="str">
            <v>SD 1. Investment_in_health_workforce_jobs_and_decent_employment</v>
          </cell>
          <cell r="L9" t="str">
            <v>Angola</v>
          </cell>
        </row>
        <row r="10">
          <cell r="D10" t="str">
            <v>SD 2. Harmonisation_of_Education_Training_and_Development</v>
          </cell>
          <cell r="L10" t="str">
            <v>Botswana</v>
          </cell>
        </row>
        <row r="11">
          <cell r="D11" t="str">
            <v>SD 3. Develop_and_adopt_best_practices_in_strategic_HRH_Leadership_and_Management</v>
          </cell>
          <cell r="L11" t="str">
            <v>Congo, Dem. Rep.</v>
          </cell>
        </row>
        <row r="12">
          <cell r="D12" t="str">
            <v>SD 4. Enhanced_Health_Workforce_Governance_and_Regulation</v>
          </cell>
          <cell r="L12" t="str">
            <v>Comoros</v>
          </cell>
        </row>
        <row r="13">
          <cell r="D13" t="str">
            <v>SD 5. Develop_Reliable_Data_Monitoring_and_Evaluation_Systems</v>
          </cell>
          <cell r="L13" t="str">
            <v>Lesotho</v>
          </cell>
        </row>
        <row r="14">
          <cell r="L14" t="str">
            <v>Madagascar</v>
          </cell>
        </row>
        <row r="15">
          <cell r="L15" t="str">
            <v>Mozambique</v>
          </cell>
        </row>
        <row r="16">
          <cell r="L16" t="str">
            <v>Mauritius</v>
          </cell>
        </row>
        <row r="17">
          <cell r="L17" t="str">
            <v>Malawi</v>
          </cell>
        </row>
        <row r="18">
          <cell r="L18" t="str">
            <v>Namibia</v>
          </cell>
        </row>
        <row r="19">
          <cell r="L19" t="str">
            <v>Eswatini</v>
          </cell>
        </row>
        <row r="20">
          <cell r="L20" t="str">
            <v>Seychelles</v>
          </cell>
        </row>
        <row r="21">
          <cell r="L21" t="str">
            <v>Tanzania</v>
          </cell>
        </row>
        <row r="22">
          <cell r="L22" t="str">
            <v>South Africa</v>
          </cell>
        </row>
        <row r="23">
          <cell r="L23" t="str">
            <v>Zambia</v>
          </cell>
        </row>
        <row r="24">
          <cell r="L24" t="str">
            <v>Zimbabwe</v>
          </cell>
        </row>
        <row r="25">
          <cell r="L25" t="str">
            <v>SADC</v>
          </cell>
        </row>
      </sheetData>
      <sheetData sheetId="5">
        <row r="4">
          <cell r="C4" t="str">
            <v>Cost driver/Resource Element</v>
          </cell>
          <cell r="D4" t="str">
            <v>Classification</v>
          </cell>
          <cell r="E4" t="str">
            <v>Unit Cost (LCU)</v>
          </cell>
          <cell r="F4" t="str">
            <v>Year of Cost</v>
          </cell>
          <cell r="G4" t="str">
            <v>Reference</v>
          </cell>
          <cell r="H4" t="str">
            <v>Conversion to USD</v>
          </cell>
          <cell r="I4" t="str">
            <v>Conversion to PPP Int. $</v>
          </cell>
          <cell r="J4" t="str">
            <v>Adjustment by Consumer Price Index (CPI) from reference country- Marker of infaltion of goods $ services</v>
          </cell>
          <cell r="K4">
            <v>2020</v>
          </cell>
          <cell r="L4">
            <v>2021</v>
          </cell>
          <cell r="M4">
            <v>2022</v>
          </cell>
          <cell r="N4">
            <v>2023</v>
          </cell>
          <cell r="O4">
            <v>2024</v>
          </cell>
          <cell r="P4">
            <v>2025</v>
          </cell>
          <cell r="Q4">
            <v>2026</v>
          </cell>
          <cell r="R4">
            <v>2027</v>
          </cell>
          <cell r="S4">
            <v>2028</v>
          </cell>
          <cell r="T4">
            <v>2029</v>
          </cell>
          <cell r="U4">
            <v>2030</v>
          </cell>
        </row>
        <row r="5">
          <cell r="C5" t="str">
            <v>Non-Residential Conference package/person</v>
          </cell>
          <cell r="D5" t="str">
            <v>External Meeting/Training/Conference (up to 50 people in the meeting)</v>
          </cell>
          <cell r="E5">
            <v>21700</v>
          </cell>
          <cell r="F5">
            <v>2019</v>
          </cell>
          <cell r="G5" t="str">
            <v>HRH Strategic Plan, 2020-2030</v>
          </cell>
          <cell r="H5">
            <v>1501.8662158453369</v>
          </cell>
          <cell r="I5">
            <v>2365.8837249425887</v>
          </cell>
          <cell r="J5">
            <v>3.7223941442268801E-2</v>
          </cell>
          <cell r="K5">
            <v>2365.8837249425887</v>
          </cell>
          <cell r="L5">
            <v>2453.9512421790687</v>
          </cell>
          <cell r="M5">
            <v>2545.2969795201252</v>
          </cell>
          <cell r="N5">
            <v>2640.0429652389662</v>
          </cell>
          <cell r="O5">
            <v>2738.3157699820954</v>
          </cell>
          <cell r="P5">
            <v>2840.2466758543501</v>
          </cell>
          <cell r="Q5">
            <v>2945.9718517979509</v>
          </cell>
          <cell r="R5">
            <v>3055.6325354998498</v>
          </cell>
          <cell r="S5">
            <v>3169.3752220703877</v>
          </cell>
          <cell r="T5">
            <v>3287.3518597453135</v>
          </cell>
          <cell r="U5">
            <v>3409.7200528726066</v>
          </cell>
        </row>
        <row r="6">
          <cell r="C6" t="str">
            <v>Residential Conference package/person</v>
          </cell>
          <cell r="D6" t="str">
            <v>External Meeting/Training/Conference (up to 50 people in the meeting)</v>
          </cell>
          <cell r="E6">
            <v>65000</v>
          </cell>
          <cell r="F6">
            <v>2019</v>
          </cell>
          <cell r="G6" t="str">
            <v>HRH Strategic Plan, 2020-2030</v>
          </cell>
          <cell r="H6">
            <v>4498.6776050666767</v>
          </cell>
          <cell r="I6">
            <v>7086.7484848510712</v>
          </cell>
          <cell r="J6">
            <v>3.7223941442268801E-2</v>
          </cell>
          <cell r="K6">
            <v>7086.7484848510712</v>
          </cell>
          <cell r="L6">
            <v>7350.5451954672544</v>
          </cell>
          <cell r="M6">
            <v>7624.1614593920776</v>
          </cell>
          <cell r="N6">
            <v>7907.962799102891</v>
          </cell>
          <cell r="O6">
            <v>8202.3283432643366</v>
          </cell>
          <cell r="P6">
            <v>8507.6513332042705</v>
          </cell>
          <cell r="Q6">
            <v>8824.339648242707</v>
          </cell>
          <cell r="R6">
            <v>9152.8163505755838</v>
          </cell>
          <cell r="S6">
            <v>9493.52025044125</v>
          </cell>
          <cell r="T6">
            <v>9846.9064923246679</v>
          </cell>
          <cell r="U6">
            <v>10213.447162982458</v>
          </cell>
        </row>
        <row r="7">
          <cell r="C7" t="str">
            <v>Snack and Lunch/person for office meeting</v>
          </cell>
          <cell r="D7" t="str">
            <v>Office Meeting</v>
          </cell>
          <cell r="E7">
            <v>128</v>
          </cell>
          <cell r="F7">
            <v>2017</v>
          </cell>
          <cell r="G7" t="str">
            <v>HRH Strategic Plan, 2020-2030</v>
          </cell>
          <cell r="H7">
            <v>8.8589343607466873</v>
          </cell>
          <cell r="I7">
            <v>13.955443170168264</v>
          </cell>
          <cell r="J7">
            <v>3.7223941442268801E-2</v>
          </cell>
          <cell r="K7">
            <v>13.955443170168264</v>
          </cell>
          <cell r="L7">
            <v>14.474919769535518</v>
          </cell>
          <cell r="M7">
            <v>15.013733335418248</v>
          </cell>
          <cell r="N7">
            <v>15.572603665925696</v>
          </cell>
          <cell r="O7">
            <v>16.152277352889776</v>
          </cell>
          <cell r="P7">
            <v>16.753528779233029</v>
          </cell>
          <cell r="Q7">
            <v>17.377161153462566</v>
          </cell>
          <cell r="R7">
            <v>18.024007582671924</v>
          </cell>
          <cell r="S7">
            <v>18.694932185484312</v>
          </cell>
          <cell r="T7">
            <v>19.390831246423968</v>
          </cell>
          <cell r="U7">
            <v>20.112634413257769</v>
          </cell>
        </row>
        <row r="8">
          <cell r="C8" t="str">
            <v>National/Local Consultant</v>
          </cell>
          <cell r="D8" t="str">
            <v>Technical Assistance</v>
          </cell>
          <cell r="E8">
            <v>5692</v>
          </cell>
          <cell r="F8">
            <v>2020</v>
          </cell>
          <cell r="G8" t="str">
            <v>Benchmacked from WHO</v>
          </cell>
          <cell r="H8">
            <v>5692</v>
          </cell>
          <cell r="I8">
            <v>5692</v>
          </cell>
          <cell r="J8">
            <v>4.2586781019818304E-2</v>
          </cell>
          <cell r="K8">
            <v>5692</v>
          </cell>
          <cell r="L8">
            <v>5934.4039575648067</v>
          </cell>
          <cell r="M8">
            <v>6187.1311193887623</v>
          </cell>
          <cell r="N8">
            <v>6450.6211175110757</v>
          </cell>
          <cell r="O8">
            <v>6725.3323064843362</v>
          </cell>
          <cell r="P8">
            <v>7011.742560706095</v>
          </cell>
          <cell r="Q8">
            <v>7310.3501057062258</v>
          </cell>
          <cell r="R8">
            <v>7621.674384836143</v>
          </cell>
          <cell r="S8">
            <v>7946.2569628675192</v>
          </cell>
          <cell r="T8">
            <v>8284.6624680723653</v>
          </cell>
          <cell r="U8">
            <v>8637.4795744232706</v>
          </cell>
        </row>
        <row r="9">
          <cell r="C9" t="str">
            <v>International Consultant</v>
          </cell>
          <cell r="D9" t="str">
            <v>Technical Assistance</v>
          </cell>
          <cell r="E9">
            <v>10000</v>
          </cell>
          <cell r="F9">
            <v>2020</v>
          </cell>
          <cell r="G9" t="str">
            <v>Benchmacked from WHO</v>
          </cell>
          <cell r="H9">
            <v>10000</v>
          </cell>
          <cell r="I9">
            <v>10000</v>
          </cell>
          <cell r="J9">
            <v>4.2586781019818304E-2</v>
          </cell>
          <cell r="K9">
            <v>10000</v>
          </cell>
          <cell r="L9">
            <v>10425.867810198184</v>
          </cell>
          <cell r="M9">
            <v>10869.871959572667</v>
          </cell>
          <cell r="N9">
            <v>11332.784816428453</v>
          </cell>
          <cell r="O9">
            <v>11815.411641750414</v>
          </cell>
          <cell r="P9">
            <v>12318.591989996652</v>
          </cell>
          <cell r="Q9">
            <v>12843.201169547128</v>
          </cell>
          <cell r="R9">
            <v>13390.151765348108</v>
          </cell>
          <cell r="S9">
            <v>13960.395226401122</v>
          </cell>
          <cell r="T9">
            <v>14554.923520857985</v>
          </cell>
          <cell r="U9">
            <v>15174.770861600968</v>
          </cell>
        </row>
        <row r="10">
          <cell r="C10" t="str">
            <v>Fuel</v>
          </cell>
          <cell r="D10" t="str">
            <v>Travel and transport</v>
          </cell>
          <cell r="E10">
            <v>5000</v>
          </cell>
          <cell r="F10">
            <v>2019</v>
          </cell>
          <cell r="G10" t="str">
            <v>HRH Strategic Plan, 2020-2030</v>
          </cell>
          <cell r="H10">
            <v>346.05212346666747</v>
          </cell>
          <cell r="I10">
            <v>545.13449883469775</v>
          </cell>
          <cell r="J10">
            <v>3.7223941442268801E-2</v>
          </cell>
          <cell r="K10">
            <v>545.13449883469775</v>
          </cell>
          <cell r="L10">
            <v>565.42655349748111</v>
          </cell>
          <cell r="M10">
            <v>586.47395841477521</v>
          </cell>
          <cell r="N10">
            <v>608.3048307002224</v>
          </cell>
          <cell r="O10">
            <v>630.94833409725675</v>
          </cell>
          <cell r="P10">
            <v>654.43471793879007</v>
          </cell>
          <cell r="Q10">
            <v>678.7953575571313</v>
          </cell>
          <cell r="R10">
            <v>704.06279619812187</v>
          </cell>
          <cell r="S10">
            <v>730.27078849548082</v>
          </cell>
          <cell r="T10">
            <v>757.45434556343605</v>
          </cell>
          <cell r="U10">
            <v>785.64978176788145</v>
          </cell>
        </row>
        <row r="11">
          <cell r="C11" t="str">
            <v>DSA/Per diem</v>
          </cell>
          <cell r="D11" t="str">
            <v>Allowance</v>
          </cell>
          <cell r="E11">
            <v>966</v>
          </cell>
          <cell r="F11">
            <v>2019</v>
          </cell>
          <cell r="G11" t="str">
            <v>HRH Strategic Plan, 2020-2030</v>
          </cell>
          <cell r="H11">
            <v>66.857270253760149</v>
          </cell>
          <cell r="I11">
            <v>105.3199851748636</v>
          </cell>
          <cell r="J11">
            <v>3.7223941442268801E-2</v>
          </cell>
          <cell r="K11">
            <v>105.3199851748636</v>
          </cell>
          <cell r="L11">
            <v>109.24041013571335</v>
          </cell>
          <cell r="M11">
            <v>113.30676876573457</v>
          </cell>
          <cell r="N11">
            <v>117.52449329128297</v>
          </cell>
          <cell r="O11">
            <v>121.89921814758999</v>
          </cell>
          <cell r="P11">
            <v>126.43678750577423</v>
          </cell>
          <cell r="Q11">
            <v>131.14326308003777</v>
          </cell>
          <cell r="R11">
            <v>136.02493222547716</v>
          </cell>
          <cell r="S11">
            <v>141.08831633732692</v>
          </cell>
          <cell r="T11">
            <v>146.34017956285587</v>
          </cell>
          <cell r="U11">
            <v>151.78753783755471</v>
          </cell>
        </row>
        <row r="12">
          <cell r="C12" t="str">
            <v>Driver DSA/per diem</v>
          </cell>
          <cell r="D12" t="str">
            <v>Travel and transport</v>
          </cell>
          <cell r="E12">
            <v>966</v>
          </cell>
          <cell r="F12">
            <v>2019</v>
          </cell>
          <cell r="G12" t="str">
            <v>HRH Strategic Plan, 2020-2030</v>
          </cell>
          <cell r="H12">
            <v>66.857270253760149</v>
          </cell>
          <cell r="I12">
            <v>105.3199851748636</v>
          </cell>
          <cell r="J12">
            <v>3.7223941442268801E-2</v>
          </cell>
          <cell r="K12">
            <v>105.3199851748636</v>
          </cell>
          <cell r="L12">
            <v>109.24041013571335</v>
          </cell>
          <cell r="M12">
            <v>113.30676876573457</v>
          </cell>
          <cell r="N12">
            <v>117.52449329128297</v>
          </cell>
          <cell r="O12">
            <v>121.89921814758999</v>
          </cell>
          <cell r="P12">
            <v>126.43678750577423</v>
          </cell>
          <cell r="Q12">
            <v>131.14326308003777</v>
          </cell>
          <cell r="R12">
            <v>136.02493222547716</v>
          </cell>
          <cell r="S12">
            <v>141.08831633732692</v>
          </cell>
          <cell r="T12">
            <v>146.34017956285587</v>
          </cell>
          <cell r="U12">
            <v>151.78753783755471</v>
          </cell>
        </row>
        <row r="13">
          <cell r="C13" t="str">
            <v>Printing</v>
          </cell>
          <cell r="D13" t="str">
            <v>Printing</v>
          </cell>
          <cell r="E13">
            <v>35000</v>
          </cell>
          <cell r="F13">
            <v>2019</v>
          </cell>
          <cell r="G13" t="str">
            <v>HRH Strategic Plan, 2020-2030</v>
          </cell>
          <cell r="H13">
            <v>2422.3648642666722</v>
          </cell>
          <cell r="I13">
            <v>3815.9414918428843</v>
          </cell>
          <cell r="J13">
            <v>3.7223941442268801E-2</v>
          </cell>
          <cell r="K13">
            <v>3815.9414918428843</v>
          </cell>
          <cell r="L13">
            <v>3957.9858744823678</v>
          </cell>
          <cell r="M13">
            <v>4105.3177089034261</v>
          </cell>
          <cell r="N13">
            <v>4258.1338149015564</v>
          </cell>
          <cell r="O13">
            <v>4416.6383386807966</v>
          </cell>
          <cell r="P13">
            <v>4581.0430255715301</v>
          </cell>
          <cell r="Q13">
            <v>4751.5675028999185</v>
          </cell>
          <cell r="R13">
            <v>4928.4395733868523</v>
          </cell>
          <cell r="S13">
            <v>5111.8955194683649</v>
          </cell>
          <cell r="T13">
            <v>5302.1804189440518</v>
          </cell>
          <cell r="U13">
            <v>5499.5484723751697</v>
          </cell>
        </row>
        <row r="14">
          <cell r="C14" t="str">
            <v>Computers</v>
          </cell>
          <cell r="D14" t="str">
            <v>Procurement</v>
          </cell>
          <cell r="E14">
            <v>15000</v>
          </cell>
          <cell r="F14">
            <v>2019</v>
          </cell>
          <cell r="G14" t="str">
            <v>HRH Strategic Plan, 2020-2030</v>
          </cell>
          <cell r="H14">
            <v>1038.1563704000025</v>
          </cell>
          <cell r="I14">
            <v>1635.4034965040937</v>
          </cell>
          <cell r="J14">
            <v>3.7223941442268801E-2</v>
          </cell>
          <cell r="K14">
            <v>1635.4034965040937</v>
          </cell>
          <cell r="L14">
            <v>1696.2796604924438</v>
          </cell>
          <cell r="M14">
            <v>1759.4218752443262</v>
          </cell>
          <cell r="N14">
            <v>1824.9144921006678</v>
          </cell>
          <cell r="O14">
            <v>1892.8450022917707</v>
          </cell>
          <cell r="P14">
            <v>1963.3041538163707</v>
          </cell>
          <cell r="Q14">
            <v>2036.3860726713945</v>
          </cell>
          <cell r="R14">
            <v>2112.1883885943662</v>
          </cell>
          <cell r="S14">
            <v>2190.812365486443</v>
          </cell>
          <cell r="T14">
            <v>2272.3630366903089</v>
          </cell>
          <cell r="U14">
            <v>2356.9493453036453</v>
          </cell>
        </row>
        <row r="15">
          <cell r="C15" t="str">
            <v>Server</v>
          </cell>
          <cell r="D15" t="str">
            <v>Procurement</v>
          </cell>
          <cell r="E15">
            <v>136000</v>
          </cell>
          <cell r="F15">
            <v>2019</v>
          </cell>
          <cell r="G15" t="str">
            <v>HRH Strategic Plan, 2020-2030</v>
          </cell>
          <cell r="H15">
            <v>9412.617758293356</v>
          </cell>
          <cell r="I15">
            <v>14827.658368303782</v>
          </cell>
          <cell r="J15">
            <v>3.7223941442268801E-2</v>
          </cell>
          <cell r="K15">
            <v>14827.658368303782</v>
          </cell>
          <cell r="L15">
            <v>15379.602255131489</v>
          </cell>
          <cell r="M15">
            <v>15952.091668881889</v>
          </cell>
          <cell r="N15">
            <v>16545.891395046052</v>
          </cell>
          <cell r="O15">
            <v>17161.794687445385</v>
          </cell>
          <cell r="P15">
            <v>17800.624327935093</v>
          </cell>
          <cell r="Q15">
            <v>18463.233725553975</v>
          </cell>
          <cell r="R15">
            <v>19150.508056588918</v>
          </cell>
          <cell r="S15">
            <v>19863.365447077082</v>
          </cell>
          <cell r="T15">
            <v>20602.758199325464</v>
          </cell>
          <cell r="U15">
            <v>21369.674064086379</v>
          </cell>
        </row>
        <row r="16">
          <cell r="C16" t="str">
            <v>Other hosting-related charges</v>
          </cell>
          <cell r="D16" t="str">
            <v>Procurement</v>
          </cell>
          <cell r="E16">
            <v>6900</v>
          </cell>
          <cell r="F16">
            <v>2019</v>
          </cell>
          <cell r="G16" t="str">
            <v>HRH Strategic Plan, 2020-2030</v>
          </cell>
          <cell r="H16">
            <v>477.55193038400108</v>
          </cell>
          <cell r="I16">
            <v>752.28560839188299</v>
          </cell>
          <cell r="J16">
            <v>3.7223941442268801E-2</v>
          </cell>
          <cell r="K16">
            <v>752.28560839188299</v>
          </cell>
          <cell r="L16">
            <v>780.28864382652398</v>
          </cell>
          <cell r="M16">
            <v>809.33406261238986</v>
          </cell>
          <cell r="N16">
            <v>839.46066636630701</v>
          </cell>
          <cell r="O16">
            <v>870.70870105421443</v>
          </cell>
          <cell r="P16">
            <v>903.11991075553044</v>
          </cell>
          <cell r="Q16">
            <v>936.73759342884136</v>
          </cell>
          <cell r="R16">
            <v>971.6066587534084</v>
          </cell>
          <cell r="S16">
            <v>1007.7736881237637</v>
          </cell>
          <cell r="T16">
            <v>1045.2869968775419</v>
          </cell>
          <cell r="U16">
            <v>1084.1966988396766</v>
          </cell>
        </row>
        <row r="17">
          <cell r="C17" t="str">
            <v>New recruiment (salary)</v>
          </cell>
          <cell r="D17" t="str">
            <v>Staff cost</v>
          </cell>
          <cell r="F17">
            <v>2019</v>
          </cell>
          <cell r="G17" t="str">
            <v>HRH Strategic Plan, 2020-2030</v>
          </cell>
          <cell r="H17">
            <v>0</v>
          </cell>
          <cell r="I17">
            <v>0</v>
          </cell>
          <cell r="J17">
            <v>3.7223941442268801E-2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C18" t="str">
            <v>Non cost item</v>
          </cell>
          <cell r="H18">
            <v>0</v>
          </cell>
          <cell r="I18">
            <v>0</v>
          </cell>
          <cell r="J18">
            <v>3.7223941442268801E-2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C19" t="str">
            <v>Airfare</v>
          </cell>
          <cell r="D19" t="str">
            <v>Travel and transport</v>
          </cell>
          <cell r="E19">
            <v>11000</v>
          </cell>
          <cell r="F19">
            <v>2019</v>
          </cell>
          <cell r="G19" t="str">
            <v>HRH Strategic Plan, 2020-2030</v>
          </cell>
          <cell r="H19">
            <v>761.31467162666843</v>
          </cell>
          <cell r="I19">
            <v>1199.2958974363353</v>
          </cell>
          <cell r="J19">
            <v>3.7223941442268801E-2</v>
          </cell>
          <cell r="K19">
            <v>1199.2958974363353</v>
          </cell>
          <cell r="L19">
            <v>1243.9384176944586</v>
          </cell>
          <cell r="M19">
            <v>1290.2427085125057</v>
          </cell>
          <cell r="N19">
            <v>1338.2706275404896</v>
          </cell>
          <cell r="O19">
            <v>1388.086335013965</v>
          </cell>
          <cell r="P19">
            <v>1439.7563794653383</v>
          </cell>
          <cell r="Q19">
            <v>1493.3497866256891</v>
          </cell>
          <cell r="R19">
            <v>1548.9381516358685</v>
          </cell>
          <cell r="S19">
            <v>1606.5957346900582</v>
          </cell>
          <cell r="T19">
            <v>1666.3995602395598</v>
          </cell>
          <cell r="U19">
            <v>1728.4295198893396</v>
          </cell>
        </row>
        <row r="20">
          <cell r="C20" t="str">
            <v>Additional technical staff recruitment</v>
          </cell>
          <cell r="D20" t="str">
            <v>Staff cost</v>
          </cell>
          <cell r="F20">
            <v>2019</v>
          </cell>
          <cell r="G20" t="str">
            <v>HRH Strategic Plan, 2020-2030</v>
          </cell>
          <cell r="H20">
            <v>0</v>
          </cell>
          <cell r="I20">
            <v>0</v>
          </cell>
          <cell r="J20">
            <v>3.7223941442268801E-2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C21" t="str">
            <v>Leverage on other activities</v>
          </cell>
          <cell r="D21" t="str">
            <v>Non-Cost item</v>
          </cell>
          <cell r="E21">
            <v>0</v>
          </cell>
          <cell r="F21">
            <v>2019</v>
          </cell>
          <cell r="G21" t="str">
            <v>HRH Strategic Plan, 2020-2030</v>
          </cell>
          <cell r="H21">
            <v>0</v>
          </cell>
          <cell r="I21">
            <v>0</v>
          </cell>
          <cell r="J21">
            <v>3.7223941442268801E-2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C22" t="str">
            <v>Routine function</v>
          </cell>
          <cell r="D22" t="str">
            <v>Non-Cost item</v>
          </cell>
          <cell r="E22">
            <v>0</v>
          </cell>
          <cell r="F22">
            <v>2019</v>
          </cell>
          <cell r="G22" t="str">
            <v>HRH Strategic Plan, 2020-2030</v>
          </cell>
          <cell r="H22">
            <v>0</v>
          </cell>
          <cell r="I22">
            <v>0</v>
          </cell>
          <cell r="J22">
            <v>3.7223941442268801E-2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C23" t="str">
            <v xml:space="preserve">Strengthen HRH TWG Capacity </v>
          </cell>
          <cell r="D23" t="str">
            <v>Capacity</v>
          </cell>
          <cell r="E23">
            <v>520000</v>
          </cell>
          <cell r="F23">
            <v>2018</v>
          </cell>
          <cell r="G23" t="str">
            <v>HRH Strategic Plan, 2018-2024</v>
          </cell>
          <cell r="H23">
            <v>40341.349883630719</v>
          </cell>
          <cell r="I23">
            <v>86098.370888969439</v>
          </cell>
          <cell r="J23">
            <v>9.150316443162991E-2</v>
          </cell>
          <cell r="K23">
            <v>86098.370888969439</v>
          </cell>
          <cell r="L23">
            <v>93976.644277718267</v>
          </cell>
          <cell r="M23">
            <v>102575.80461179512</v>
          </cell>
          <cell r="N23">
            <v>111961.81532789495</v>
          </cell>
          <cell r="O23">
            <v>122206.6757259071</v>
          </cell>
          <cell r="P23">
            <v>133388.97326949766</v>
          </cell>
          <cell r="Q23">
            <v>145594.48642394278</v>
          </cell>
          <cell r="R23">
            <v>158916.84265553154</v>
          </cell>
          <cell r="S23">
            <v>173458.23663999612</v>
          </cell>
          <cell r="T23">
            <v>189330.21418928626</v>
          </cell>
          <cell r="U23">
            <v>206654.52791012425</v>
          </cell>
        </row>
        <row r="24">
          <cell r="C24" t="str">
            <v>Lobbying and Advocacy</v>
          </cell>
          <cell r="D24" t="str">
            <v>Capacity</v>
          </cell>
          <cell r="E24">
            <v>2600000</v>
          </cell>
          <cell r="F24">
            <v>2018</v>
          </cell>
          <cell r="G24" t="str">
            <v>HRH Strategic Plan, 2018-2024</v>
          </cell>
          <cell r="H24">
            <v>201706.7494181536</v>
          </cell>
          <cell r="I24">
            <v>430491.85444484721</v>
          </cell>
          <cell r="J24">
            <v>9.150316443162991E-2</v>
          </cell>
          <cell r="K24">
            <v>430491.85444484721</v>
          </cell>
          <cell r="L24">
            <v>469883.2213885914</v>
          </cell>
          <cell r="M24">
            <v>512879.02305897564</v>
          </cell>
          <cell r="N24">
            <v>559809.07663947484</v>
          </cell>
          <cell r="O24">
            <v>611033.37862953567</v>
          </cell>
          <cell r="P24">
            <v>666944.86634748848</v>
          </cell>
          <cell r="Q24">
            <v>727972.43211971421</v>
          </cell>
          <cell r="R24">
            <v>794584.21327765798</v>
          </cell>
          <cell r="S24">
            <v>867291.18319998088</v>
          </cell>
          <cell r="T24">
            <v>946651.0709464316</v>
          </cell>
          <cell r="U24">
            <v>1033272.6395506215</v>
          </cell>
        </row>
        <row r="25">
          <cell r="C25" t="str">
            <v>Specialist training</v>
          </cell>
          <cell r="D25" t="str">
            <v>Capacity</v>
          </cell>
          <cell r="E25">
            <v>2088623.19</v>
          </cell>
          <cell r="F25">
            <v>2018</v>
          </cell>
          <cell r="G25" t="str">
            <v>HRH Strategic Plan, 2018-2024</v>
          </cell>
          <cell r="H25">
            <v>162034.38246702868</v>
          </cell>
          <cell r="I25">
            <v>345821.25780754321</v>
          </cell>
          <cell r="J25">
            <v>9.150316443162991E-2</v>
          </cell>
          <cell r="K25">
            <v>345821.25780754321</v>
          </cell>
          <cell r="L25">
            <v>377464.99722465995</v>
          </cell>
          <cell r="M25">
            <v>412004.23893289274</v>
          </cell>
          <cell r="N25">
            <v>449703.93055449781</v>
          </cell>
          <cell r="O25">
            <v>490853.26325757633</v>
          </cell>
          <cell r="P25">
            <v>535767.89011723653</v>
          </cell>
          <cell r="Q25">
            <v>584792.34746382153</v>
          </cell>
          <cell r="R25">
            <v>638302.69779216254</v>
          </cell>
          <cell r="S25">
            <v>696709.41450539185</v>
          </cell>
          <cell r="T25">
            <v>760460.53062194341</v>
          </cell>
          <cell r="U25">
            <v>830045.07559920766</v>
          </cell>
        </row>
        <row r="26">
          <cell r="C26" t="str">
            <v>WISN studies</v>
          </cell>
          <cell r="D26" t="str">
            <v>Evidence generation</v>
          </cell>
          <cell r="E26">
            <v>100000</v>
          </cell>
          <cell r="F26">
            <v>2019</v>
          </cell>
          <cell r="G26" t="str">
            <v>Benchmacked from WHO</v>
          </cell>
          <cell r="H26">
            <v>100000</v>
          </cell>
          <cell r="I26">
            <v>100000</v>
          </cell>
          <cell r="J26">
            <v>4.2586781019818304E-2</v>
          </cell>
          <cell r="K26">
            <v>100000</v>
          </cell>
          <cell r="L26">
            <v>104258.67810198184</v>
          </cell>
          <cell r="M26">
            <v>108698.71959572668</v>
          </cell>
          <cell r="N26">
            <v>113327.84816428453</v>
          </cell>
          <cell r="O26">
            <v>118154.11641750415</v>
          </cell>
          <cell r="P26">
            <v>123185.91989996652</v>
          </cell>
          <cell r="Q26">
            <v>128432.01169547129</v>
          </cell>
          <cell r="R26">
            <v>133901.51765348107</v>
          </cell>
          <cell r="S26">
            <v>139603.95226401123</v>
          </cell>
          <cell r="T26">
            <v>145549.23520857986</v>
          </cell>
          <cell r="U26">
            <v>151747.70861600968</v>
          </cell>
        </row>
        <row r="27">
          <cell r="C27" t="str">
            <v>International conference package including travel</v>
          </cell>
          <cell r="D27" t="str">
            <v>International conference /workshops</v>
          </cell>
          <cell r="E27">
            <v>150000</v>
          </cell>
          <cell r="F27">
            <v>2019</v>
          </cell>
          <cell r="G27" t="str">
            <v>Benchmacked from WHO (up to 60 participants)</v>
          </cell>
          <cell r="H27">
            <v>150000</v>
          </cell>
          <cell r="I27">
            <v>150000</v>
          </cell>
          <cell r="J27">
            <v>4.2586781019818304E-2</v>
          </cell>
          <cell r="K27">
            <v>150000</v>
          </cell>
          <cell r="L27">
            <v>156388.01715297275</v>
          </cell>
          <cell r="M27">
            <v>163048.07939359001</v>
          </cell>
          <cell r="N27">
            <v>169991.77224642679</v>
          </cell>
          <cell r="O27">
            <v>177231.17462625619</v>
          </cell>
          <cell r="P27">
            <v>184778.87984994976</v>
          </cell>
          <cell r="Q27">
            <v>192648.01754320689</v>
          </cell>
          <cell r="R27">
            <v>200852.27648022157</v>
          </cell>
          <cell r="S27">
            <v>209405.9283960168</v>
          </cell>
          <cell r="T27">
            <v>218323.85281286974</v>
          </cell>
          <cell r="U27">
            <v>227621.56292401449</v>
          </cell>
        </row>
        <row r="28">
          <cell r="C28" t="str">
            <v>Health labour market analysis</v>
          </cell>
          <cell r="D28" t="str">
            <v>Evidence generation</v>
          </cell>
          <cell r="E28">
            <v>70000</v>
          </cell>
          <cell r="F28">
            <v>2020</v>
          </cell>
          <cell r="G28" t="str">
            <v>Benchmacked from WHO</v>
          </cell>
          <cell r="H28">
            <v>70000</v>
          </cell>
          <cell r="I28">
            <v>70000</v>
          </cell>
          <cell r="J28">
            <v>4.2586781019818304E-2</v>
          </cell>
          <cell r="K28">
            <v>70000</v>
          </cell>
          <cell r="L28">
            <v>72981.074671387294</v>
          </cell>
          <cell r="M28">
            <v>76089.103717008678</v>
          </cell>
          <cell r="N28">
            <v>79329.493714999175</v>
          </cell>
          <cell r="O28">
            <v>82707.881492252898</v>
          </cell>
          <cell r="P28">
            <v>86230.143929976563</v>
          </cell>
          <cell r="Q28">
            <v>89902.408186829896</v>
          </cell>
          <cell r="R28">
            <v>93731.062357436749</v>
          </cell>
          <cell r="S28">
            <v>97722.766584807847</v>
          </cell>
          <cell r="T28">
            <v>101884.46464600589</v>
          </cell>
          <cell r="U28">
            <v>106223.39603120676</v>
          </cell>
        </row>
        <row r="29">
          <cell r="C29" t="str">
            <v>Procurement/development of software</v>
          </cell>
          <cell r="D29" t="str">
            <v>Procurement</v>
          </cell>
          <cell r="E29">
            <v>100000</v>
          </cell>
          <cell r="F29">
            <v>2020</v>
          </cell>
          <cell r="G29" t="str">
            <v>Benchmacked from WHO</v>
          </cell>
          <cell r="H29">
            <v>100000</v>
          </cell>
          <cell r="I29">
            <v>100000</v>
          </cell>
          <cell r="J29">
            <v>4.2586781019818304E-2</v>
          </cell>
          <cell r="K29">
            <v>100000</v>
          </cell>
          <cell r="L29">
            <v>104258.67810198184</v>
          </cell>
          <cell r="M29">
            <v>108698.71959572668</v>
          </cell>
          <cell r="N29">
            <v>113327.84816428453</v>
          </cell>
          <cell r="O29">
            <v>118154.11641750415</v>
          </cell>
          <cell r="P29">
            <v>123185.91989996652</v>
          </cell>
          <cell r="Q29">
            <v>128432.01169547129</v>
          </cell>
          <cell r="R29">
            <v>133901.51765348107</v>
          </cell>
          <cell r="S29">
            <v>139603.95226401123</v>
          </cell>
          <cell r="T29">
            <v>145549.23520857986</v>
          </cell>
          <cell r="U29">
            <v>151747.70861600968</v>
          </cell>
        </row>
        <row r="30"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</sheetData>
      <sheetData sheetId="6">
        <row r="4">
          <cell r="A4" t="str">
            <v>Country Name</v>
          </cell>
          <cell r="B4" t="str">
            <v>Country Code</v>
          </cell>
          <cell r="C4" t="str">
            <v>Indicator Name</v>
          </cell>
          <cell r="D4">
            <v>2010</v>
          </cell>
          <cell r="E4">
            <v>2011</v>
          </cell>
          <cell r="F4">
            <v>2012</v>
          </cell>
          <cell r="G4">
            <v>2013</v>
          </cell>
          <cell r="H4">
            <v>2014</v>
          </cell>
          <cell r="I4">
            <v>2015</v>
          </cell>
          <cell r="J4">
            <v>2016</v>
          </cell>
          <cell r="K4">
            <v>2017</v>
          </cell>
          <cell r="L4">
            <v>2018</v>
          </cell>
          <cell r="M4">
            <v>2019</v>
          </cell>
        </row>
        <row r="5">
          <cell r="A5" t="str">
            <v>Angola</v>
          </cell>
          <cell r="C5" t="str">
            <v>Inflation, consumer prices (annual %)</v>
          </cell>
          <cell r="D5">
            <v>-60.496400591291803</v>
          </cell>
          <cell r="E5">
            <v>13.482467921851001</v>
          </cell>
          <cell r="F5">
            <v>10.277904921884399</v>
          </cell>
          <cell r="G5">
            <v>8.7778142933260206</v>
          </cell>
          <cell r="H5">
            <v>7.2803873036108504</v>
          </cell>
          <cell r="I5">
            <v>-21.531693522440101</v>
          </cell>
          <cell r="J5">
            <v>32.377734069638002</v>
          </cell>
          <cell r="K5">
            <v>31.691686140648301</v>
          </cell>
          <cell r="L5">
            <v>20.190373789838301</v>
          </cell>
          <cell r="M5">
            <v>17.1453199427872</v>
          </cell>
        </row>
        <row r="6">
          <cell r="A6" t="str">
            <v>Botswana</v>
          </cell>
          <cell r="C6" t="str">
            <v>Inflation, consumer prices (annual %)</v>
          </cell>
          <cell r="D6">
            <v>6.9488765874310499</v>
          </cell>
          <cell r="E6">
            <v>8.4598723340858708</v>
          </cell>
          <cell r="F6">
            <v>7.5369026109191601</v>
          </cell>
          <cell r="G6">
            <v>5.8846070705680997</v>
          </cell>
          <cell r="H6">
            <v>4.4022530924343304</v>
          </cell>
          <cell r="I6">
            <v>3.0620316958055902</v>
          </cell>
          <cell r="J6">
            <v>2.8149579136194398</v>
          </cell>
          <cell r="K6">
            <v>3.3082807676821901</v>
          </cell>
          <cell r="L6">
            <v>3.2380155894770999</v>
          </cell>
          <cell r="M6">
            <v>2.7728644286333002</v>
          </cell>
        </row>
        <row r="7">
          <cell r="A7" t="str">
            <v>Congo, Dem. Rep.</v>
          </cell>
          <cell r="C7" t="str">
            <v>Inflation, consumer prices (annual %)</v>
          </cell>
          <cell r="D7">
            <v>7.1000000000003798</v>
          </cell>
          <cell r="E7">
            <v>15.316515913949001</v>
          </cell>
          <cell r="F7">
            <v>9.7218280627336302</v>
          </cell>
          <cell r="G7">
            <v>0.80822310148706999</v>
          </cell>
          <cell r="H7">
            <v>1.2430388976076301</v>
          </cell>
          <cell r="I7">
            <v>0.74419899478149898</v>
          </cell>
          <cell r="J7">
            <v>2.8858510729000901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Comoros</v>
          </cell>
          <cell r="C8" t="str">
            <v>Inflation, consumer prices (annual %)</v>
          </cell>
          <cell r="D8">
            <v>3.35475770328918</v>
          </cell>
          <cell r="E8">
            <v>1.84266300756184</v>
          </cell>
          <cell r="F8">
            <v>6.3147445031518199</v>
          </cell>
          <cell r="G8">
            <v>-4.2948733153675303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Lesotho</v>
          </cell>
          <cell r="C9" t="str">
            <v>Inflation, consumer prices (annual %)</v>
          </cell>
          <cell r="D9">
            <v>3.4615258663575501</v>
          </cell>
          <cell r="E9">
            <v>5.03663052101557</v>
          </cell>
          <cell r="F9">
            <v>6.0514366213997803</v>
          </cell>
          <cell r="G9">
            <v>4.8651189949637699</v>
          </cell>
          <cell r="H9">
            <v>5.3702896100858801</v>
          </cell>
          <cell r="I9">
            <v>3.2184451365593101</v>
          </cell>
          <cell r="J9">
            <v>6.5965049069654302</v>
          </cell>
          <cell r="K9">
            <v>4.44769937376293</v>
          </cell>
          <cell r="L9">
            <v>4.7518030162474796</v>
          </cell>
          <cell r="M9">
            <v>5.1870835919799303</v>
          </cell>
        </row>
        <row r="10">
          <cell r="A10" t="str">
            <v>Madagascar</v>
          </cell>
          <cell r="C10" t="str">
            <v>Inflation, consumer prices (annual %)</v>
          </cell>
          <cell r="D10">
            <v>9.2473217364411493</v>
          </cell>
          <cell r="E10">
            <v>9.4825404858299702</v>
          </cell>
          <cell r="F10">
            <v>5.7138443419104901</v>
          </cell>
          <cell r="G10">
            <v>5.8264294445198903</v>
          </cell>
          <cell r="H10">
            <v>6.08040811088296</v>
          </cell>
          <cell r="I10">
            <v>7.4041917420212497</v>
          </cell>
          <cell r="J10">
            <v>6.03575858154682</v>
          </cell>
          <cell r="K10">
            <v>8.6090507542295107</v>
          </cell>
          <cell r="L10">
            <v>8.5942295887047404</v>
          </cell>
          <cell r="M10">
            <v>5.6105144149236601</v>
          </cell>
        </row>
        <row r="11">
          <cell r="A11" t="str">
            <v>Mozambique</v>
          </cell>
          <cell r="C11" t="str">
            <v>Inflation, consumer prices (annual %)</v>
          </cell>
          <cell r="D11">
            <v>12.4255421735156</v>
          </cell>
          <cell r="E11">
            <v>11.1666056127874</v>
          </cell>
          <cell r="F11">
            <v>2.6024545695662198</v>
          </cell>
          <cell r="G11">
            <v>4.26135250941965</v>
          </cell>
          <cell r="H11">
            <v>2.5597487584429599</v>
          </cell>
          <cell r="I11">
            <v>3.5507596735674598</v>
          </cell>
          <cell r="J11">
            <v>17.418041819759701</v>
          </cell>
          <cell r="K11">
            <v>15.1132073899385</v>
          </cell>
          <cell r="L11">
            <v>3.91133439990733</v>
          </cell>
          <cell r="M11">
            <v>2.7811063118294199</v>
          </cell>
        </row>
        <row r="12">
          <cell r="A12" t="str">
            <v>Mauritius</v>
          </cell>
          <cell r="C12" t="str">
            <v>Inflation, consumer prices (annual %)</v>
          </cell>
          <cell r="D12">
            <v>2.9323630136986298</v>
          </cell>
          <cell r="E12">
            <v>6.52249254869339</v>
          </cell>
          <cell r="F12">
            <v>3.8521603331597798</v>
          </cell>
          <cell r="G12">
            <v>3.5432957393483702</v>
          </cell>
          <cell r="H12">
            <v>3.2176919199468301</v>
          </cell>
          <cell r="I12">
            <v>1.28654970760235</v>
          </cell>
          <cell r="J12">
            <v>0.97767513471901701</v>
          </cell>
          <cell r="K12">
            <v>3.6669970267591698</v>
          </cell>
          <cell r="L12">
            <v>3.2160538314457998</v>
          </cell>
          <cell r="M12">
            <v>0.40565519030951103</v>
          </cell>
        </row>
        <row r="13">
          <cell r="A13" t="str">
            <v>Malawi</v>
          </cell>
          <cell r="C13" t="str">
            <v>Inflation, consumer prices (annual %)</v>
          </cell>
          <cell r="D13">
            <v>7.4115909288382698</v>
          </cell>
          <cell r="E13">
            <v>7.6228226284851504</v>
          </cell>
          <cell r="F13">
            <v>21.271265001378001</v>
          </cell>
          <cell r="G13">
            <v>27.283333333333299</v>
          </cell>
          <cell r="H13">
            <v>23.792064946968701</v>
          </cell>
          <cell r="I13">
            <v>21.8673475542553</v>
          </cell>
          <cell r="J13">
            <v>21.711113213649899</v>
          </cell>
          <cell r="K13">
            <v>11.543393918876999</v>
          </cell>
          <cell r="L13">
            <v>12.420178108921</v>
          </cell>
          <cell r="M13">
            <v>9.3708360560567208</v>
          </cell>
        </row>
        <row r="14">
          <cell r="A14" t="str">
            <v>Namibia</v>
          </cell>
          <cell r="C14" t="str">
            <v>Inflation, consumer prices (annual %)</v>
          </cell>
          <cell r="D14">
            <v>4.8749198764395301</v>
          </cell>
          <cell r="E14">
            <v>5.0055951808119801</v>
          </cell>
          <cell r="F14">
            <v>6.7219977733488498</v>
          </cell>
          <cell r="G14">
            <v>5.6009250229040797</v>
          </cell>
          <cell r="H14">
            <v>5.3501696685959201</v>
          </cell>
          <cell r="I14">
            <v>3.39401538410559</v>
          </cell>
          <cell r="J14">
            <v>6.7285823459334599</v>
          </cell>
          <cell r="K14">
            <v>6.1457998111116199</v>
          </cell>
          <cell r="L14">
            <v>4.2915910533787303</v>
          </cell>
          <cell r="M14">
            <v>3.7223941442268802</v>
          </cell>
        </row>
        <row r="15">
          <cell r="A15" t="str">
            <v>Eswatini</v>
          </cell>
          <cell r="C15" t="str">
            <v>Inflation, consumer prices (annual %)</v>
          </cell>
          <cell r="D15">
            <v>4.5092369177437304</v>
          </cell>
          <cell r="E15">
            <v>6.1074271459024496</v>
          </cell>
          <cell r="F15">
            <v>8.9396468278821004</v>
          </cell>
          <cell r="G15">
            <v>5.6213062346895102</v>
          </cell>
          <cell r="H15">
            <v>5.6813488577644904</v>
          </cell>
          <cell r="I15">
            <v>4.9512449370491698</v>
          </cell>
          <cell r="J15">
            <v>7.8472745908568102</v>
          </cell>
          <cell r="K15">
            <v>6.2213752893311396</v>
          </cell>
          <cell r="L15">
            <v>4.8150616746150696</v>
          </cell>
          <cell r="M15">
            <v>2.5980162031107499</v>
          </cell>
        </row>
        <row r="16">
          <cell r="A16" t="str">
            <v>Seychelles</v>
          </cell>
          <cell r="C16" t="str">
            <v>Inflation, consumer prices (annual %)</v>
          </cell>
          <cell r="D16">
            <v>-2.40463875108223</v>
          </cell>
          <cell r="E16">
            <v>2.5592677223094999</v>
          </cell>
          <cell r="F16">
            <v>7.1103706232640196</v>
          </cell>
          <cell r="G16">
            <v>4.3389384832910398</v>
          </cell>
          <cell r="H16">
            <v>1.38583454581262</v>
          </cell>
          <cell r="I16">
            <v>4.0419441072562297</v>
          </cell>
          <cell r="J16">
            <v>-1.01548191697642</v>
          </cell>
          <cell r="K16">
            <v>2.8567957556844901</v>
          </cell>
          <cell r="L16">
            <v>3.7029183911156198</v>
          </cell>
          <cell r="M16">
            <v>1.80611159983627</v>
          </cell>
        </row>
        <row r="17">
          <cell r="A17" t="str">
            <v>Tanzania</v>
          </cell>
          <cell r="C17" t="str">
            <v>Inflation, consumer prices (annual %)</v>
          </cell>
          <cell r="D17">
            <v>6.2001559564740196</v>
          </cell>
          <cell r="E17">
            <v>12.6909694699163</v>
          </cell>
          <cell r="F17">
            <v>16.001093850633801</v>
          </cell>
          <cell r="G17">
            <v>7.8707236457395098</v>
          </cell>
          <cell r="H17">
            <v>6.1316143298801604</v>
          </cell>
          <cell r="I17">
            <v>5.5881695295930101</v>
          </cell>
          <cell r="J17">
            <v>5.1747662930149199</v>
          </cell>
          <cell r="K17">
            <v>5.3187160522892603</v>
          </cell>
          <cell r="L17">
            <v>3.49445848856181</v>
          </cell>
          <cell r="M17">
            <v>3.4642805799902598</v>
          </cell>
        </row>
        <row r="18">
          <cell r="A18" t="str">
            <v>South Africa</v>
          </cell>
          <cell r="C18" t="str">
            <v>Inflation, consumer prices (annual %)</v>
          </cell>
          <cell r="D18">
            <v>4.0635389730328999</v>
          </cell>
          <cell r="E18">
            <v>5.01715773281268</v>
          </cell>
          <cell r="F18">
            <v>5.7239436619718296</v>
          </cell>
          <cell r="G18">
            <v>5.7764041351380104</v>
          </cell>
          <cell r="H18">
            <v>6.1360201511335104</v>
          </cell>
          <cell r="I18">
            <v>4.5092082779570601</v>
          </cell>
          <cell r="J18">
            <v>6.5946044145699103</v>
          </cell>
          <cell r="K18">
            <v>5.1810822326374302</v>
          </cell>
          <cell r="L18">
            <v>4.5045774933160496</v>
          </cell>
          <cell r="M18">
            <v>4.1243507248623903</v>
          </cell>
        </row>
        <row r="19">
          <cell r="A19" t="str">
            <v>Zambia</v>
          </cell>
          <cell r="C19" t="str">
            <v>Inflation, consumer prices (annual %)</v>
          </cell>
          <cell r="D19">
            <v>8.5017613336526505</v>
          </cell>
          <cell r="E19">
            <v>6.4293968107233601</v>
          </cell>
          <cell r="F19">
            <v>6.5758997075769496</v>
          </cell>
          <cell r="G19">
            <v>6.9776760549031698</v>
          </cell>
          <cell r="H19">
            <v>7.8068755356632797</v>
          </cell>
          <cell r="I19">
            <v>10.110592890961801</v>
          </cell>
          <cell r="J19">
            <v>17.8697300795268</v>
          </cell>
          <cell r="K19">
            <v>6.5773115420565196</v>
          </cell>
          <cell r="L19">
            <v>7.4945719272851097</v>
          </cell>
          <cell r="M19">
            <v>9.1503164431629909</v>
          </cell>
        </row>
        <row r="20">
          <cell r="A20" t="str">
            <v>Zimbabwe</v>
          </cell>
          <cell r="C20" t="str">
            <v>Inflation, consumer prices (annual %)</v>
          </cell>
          <cell r="D20">
            <v>3.03447888394065</v>
          </cell>
          <cell r="E20">
            <v>3.4777972925746901</v>
          </cell>
          <cell r="F20">
            <v>3.7210872198335601</v>
          </cell>
          <cell r="G20">
            <v>1.6316220189027799</v>
          </cell>
          <cell r="H20">
            <v>-0.21293990461378501</v>
          </cell>
          <cell r="I20">
            <v>-2.4094999877713899</v>
          </cell>
          <cell r="J20">
            <v>-1.5664129666755899</v>
          </cell>
          <cell r="K20">
            <v>0.90973328962810096</v>
          </cell>
          <cell r="L20">
            <v>0</v>
          </cell>
          <cell r="M20">
            <v>0</v>
          </cell>
        </row>
        <row r="21">
          <cell r="A21" t="str">
            <v>SADC</v>
          </cell>
          <cell r="C21" t="str">
            <v>Inflation, consumer prices (annual %)</v>
          </cell>
          <cell r="D21">
            <v>1.3228144130300787</v>
          </cell>
          <cell r="E21">
            <v>7.5137638955818842</v>
          </cell>
          <cell r="F21">
            <v>8.0085362894133993</v>
          </cell>
          <cell r="G21">
            <v>5.9233060479479205</v>
          </cell>
          <cell r="H21">
            <v>5.3890503640135199</v>
          </cell>
          <cell r="I21">
            <v>3.1117191325815079</v>
          </cell>
          <cell r="J21">
            <v>8.2781687220655176</v>
          </cell>
          <cell r="K21">
            <v>6.9744455840397608</v>
          </cell>
          <cell r="L21">
            <v>5.2890729595508832</v>
          </cell>
          <cell r="M21">
            <v>4.2586781019818307</v>
          </cell>
        </row>
      </sheetData>
      <sheetData sheetId="7"/>
      <sheetData sheetId="8">
        <row r="4">
          <cell r="M4">
            <v>1000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-&amp;-Instructions"/>
      <sheetName val="Basic_Inputs"/>
      <sheetName val="HLMA Dropdown list"/>
      <sheetName val="SetUp_Supply_Model"/>
      <sheetName val="StaffingStd_Salaries"/>
      <sheetName val="Output from HTIs"/>
      <sheetName val="HRH Stock"/>
      <sheetName val="HRH Labour Market Gaps&amp;Private"/>
      <sheetName val="Need-supply Comaprison Graphs"/>
      <sheetName val="Cost Estimates"/>
      <sheetName val="Cost_Projections"/>
      <sheetName val="Further analysis-Gaps"/>
      <sheetName val="HTI Quota DashBoard"/>
      <sheetName val="Target Year Demand"/>
      <sheetName val="DeveloperTab_Equity Weights"/>
      <sheetName val="RawData From NMC"/>
      <sheetName val="List of Training Schools"/>
      <sheetName val="HTI Quota Management tool_Draft"/>
      <sheetName val="RGN_Print"/>
      <sheetName val="RM_Print"/>
      <sheetName val="RCN_Print"/>
      <sheetName val="RMN_Print"/>
      <sheetName val="NAC_Print"/>
      <sheetName val="NAP_Print"/>
      <sheetName val="Post_NAP&amp;NAC_Print"/>
      <sheetName val="DropDown List"/>
      <sheetName val="Registered General Nursing"/>
      <sheetName val="Registered Community Nursing"/>
      <sheetName val="Registered Midwifery"/>
      <sheetName val="Registered Mental Nursing"/>
      <sheetName val="Nurse Assistant-Preventive"/>
      <sheetName val="Nurse Assistant-Clinical"/>
      <sheetName val="Post_NAP_NAC_Midwifery"/>
      <sheetName val="Costing HRH Gas Analysis"/>
      <sheetName val="Home_Page"/>
      <sheetName val="Map_of_Ghana"/>
      <sheetName val="DashBoard"/>
      <sheetName val="Model_Structure"/>
      <sheetName val="Population_densities_Benchmarks"/>
      <sheetName val="HF_Raw_data&amp;Prob"/>
      <sheetName val="Country Strategic Plan"/>
      <sheetName val="Economic Feasibility test"/>
      <sheetName val="Sub-National Forecast"/>
      <sheetName val="Region 1"/>
      <sheetName val="Region 2"/>
      <sheetName val="Region 3"/>
      <sheetName val="Region 4"/>
      <sheetName val="Region 5"/>
      <sheetName val="Region 6"/>
      <sheetName val="Region 7"/>
      <sheetName val="Region 8"/>
      <sheetName val="Region 9"/>
      <sheetName val="Region 10"/>
      <sheetName val="Region 11"/>
      <sheetName val="Region 12"/>
      <sheetName val="Region 13"/>
      <sheetName val="Region 14"/>
      <sheetName val="Region 15"/>
      <sheetName val="Gross_National_Forecast"/>
      <sheetName val="Sensitivity_Key_Model_Inputs"/>
      <sheetName val="Master_Lower-Bound-GH"/>
      <sheetName val="Master_Upper-Bound_GH"/>
      <sheetName val="Master_Forecast_Sheet_GH"/>
      <sheetName val="Analysis_Hlth-Fac2"/>
      <sheetName val="SUMMARY_OF_FORECASTS"/>
      <sheetName val="Summary of Projections"/>
      <sheetName val="Staffing_gaps_Analysis"/>
      <sheetName val="Staffing_gaps_&amp;_yearly_inc'tal"/>
      <sheetName val="Funnel_Plot_SAR"/>
      <sheetName val="Annual_Aggregate_Costs"/>
      <sheetName val="Master_Aggregate_Cost_Analysis"/>
      <sheetName val="Incremental_Cost_Analysis(GHC)"/>
      <sheetName val="95%CI_Range_of_Forecast"/>
      <sheetName val="Range_of_salary_cost_with_graph"/>
      <sheetName val="Interview_Schedule_SetUp"/>
      <sheetName val="Automated Interview Schedule"/>
    </sheetNames>
    <sheetDataSet>
      <sheetData sheetId="0" refreshError="1"/>
      <sheetData sheetId="1">
        <row r="23">
          <cell r="D23">
            <v>100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DC Selected Indicators"/>
      <sheetName val="Datasets"/>
      <sheetName val="Need and Supply"/>
      <sheetName val="HRH Stock from NHWA"/>
      <sheetName val="Sheet2"/>
      <sheetName val="Updated with AFRO Survey 2018"/>
    </sheetNames>
    <sheetDataSet>
      <sheetData sheetId="0"/>
      <sheetData sheetId="1"/>
      <sheetData sheetId="2"/>
      <sheetData sheetId="3">
        <row r="44">
          <cell r="D44">
            <v>5.56</v>
          </cell>
        </row>
      </sheetData>
      <sheetData sheetId="4"/>
      <sheetData sheetId="5">
        <row r="5">
          <cell r="G5" t="str">
            <v>Member State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4447.037890856482" createdVersion="7" refreshedVersion="7" minRefreshableVersion="3" recordCount="15" xr:uid="{4E346A4C-E73A-C44F-8388-AE7CF921DD3E}">
  <cacheSource type="worksheet">
    <worksheetSource ref="C4:E19" sheet="Global Wage Index _ ILO 2017"/>
  </cacheSource>
  <cacheFields count="3">
    <cacheField name="Cadre" numFmtId="0">
      <sharedItems count="3">
        <s v="Doctor"/>
        <s v="Nurse"/>
        <s v="Others"/>
      </sharedItems>
    </cacheField>
    <cacheField name="Income Group" numFmtId="0">
      <sharedItems count="5">
        <s v="High-income countries "/>
        <s v="Upper middle-income countries "/>
        <s v="Lower middle-income countries "/>
        <s v="Lower-income countries "/>
        <s v="Global"/>
      </sharedItems>
    </cacheField>
    <cacheField name="Wage Index" numFmtId="0">
      <sharedItems containsSemiMixedTypes="0" containsString="0" containsNumber="1" minValue="0.9" maxValue="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.9"/>
  </r>
  <r>
    <x v="1"/>
    <x v="0"/>
    <n v="1.5"/>
  </r>
  <r>
    <x v="2"/>
    <x v="0"/>
    <n v="0.9"/>
  </r>
  <r>
    <x v="0"/>
    <x v="1"/>
    <n v="2.7"/>
  </r>
  <r>
    <x v="1"/>
    <x v="1"/>
    <n v="2.2000000000000002"/>
  </r>
  <r>
    <x v="2"/>
    <x v="1"/>
    <n v="1.3"/>
  </r>
  <r>
    <x v="0"/>
    <x v="2"/>
    <n v="5.0999999999999996"/>
  </r>
  <r>
    <x v="1"/>
    <x v="2"/>
    <n v="4.2"/>
  </r>
  <r>
    <x v="2"/>
    <x v="2"/>
    <n v="2.4"/>
  </r>
  <r>
    <x v="0"/>
    <x v="3"/>
    <n v="7.8"/>
  </r>
  <r>
    <x v="1"/>
    <x v="3"/>
    <n v="6.4"/>
  </r>
  <r>
    <x v="2"/>
    <x v="3"/>
    <n v="3.7"/>
  </r>
  <r>
    <x v="0"/>
    <x v="4"/>
    <n v="4.4000000000000004"/>
  </r>
  <r>
    <x v="1"/>
    <x v="4"/>
    <n v="3.6"/>
  </r>
  <r>
    <x v="2"/>
    <x v="4"/>
    <n v="2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63DF6-9D51-9349-8C3D-5CB55AC8F7C4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Income Group">
  <location ref="C27:D47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4"/>
        <item x="0"/>
        <item x="2"/>
        <item x="3"/>
        <item x="1"/>
        <item t="default"/>
      </items>
    </pivotField>
    <pivotField dataField="1" showAll="0"/>
  </pivotFields>
  <rowFields count="2">
    <field x="1"/>
    <field x="0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</rowItems>
  <colItems count="1">
    <i/>
  </colItems>
  <dataFields count="1">
    <dataField name="Average of Wage Index" fld="2" subtotal="average" baseField="0" baseItem="0" numFmtId="164"/>
  </dataFields>
  <formats count="60">
    <format dxfId="59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53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52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51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50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3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42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41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40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33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32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31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30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29">
      <pivotArea dataOnly="0" labelOnly="1" outline="0" axis="axisValues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25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24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23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22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14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13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12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11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4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3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2">
      <pivotArea dataOnly="0" labelOnly="1" fieldPosition="0">
        <references count="2">
          <reference field="0" count="0"/>
          <reference field="1" count="1" selected="0">
            <x v="3"/>
          </reference>
        </references>
      </pivotArea>
    </format>
    <format dxfId="1">
      <pivotArea dataOnly="0" labelOnly="1" fieldPosition="0">
        <references count="2">
          <reference field="0" count="0"/>
          <reference field="1" count="1" selected="0">
            <x v="4"/>
          </reference>
        </references>
      </pivotArea>
    </format>
    <format dxfId="0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89344-9323-0844-87D9-8EB1B2E2B57E}" name="Table1" displayName="Table1" ref="F6:L31" totalsRowShown="0" headerRowDxfId="68" dataDxfId="67">
  <autoFilter ref="F6:L31" xr:uid="{3DB89344-9323-0844-87D9-8EB1B2E2B57E}"/>
  <tableColumns count="7">
    <tableColumn id="1" xr3:uid="{D001C9E0-C3E6-734A-979F-9FB77585BC13}" name="No." dataDxfId="66"/>
    <tableColumn id="2" xr3:uid="{636E9205-D5A2-984F-8E9A-2A17741FE8A0}" name="List of cadres" dataDxfId="65"/>
    <tableColumn id="3" xr3:uid="{9A681317-76A4-9940-B4B0-9E4AC235F252}" name="Total Annual Income per worker (LSL)" dataDxfId="64"/>
    <tableColumn id="4" xr3:uid="{B855768A-A636-0646-9651-2D7D0D7CF68B}" name="Total Income per worker (USD)" dataDxfId="63"/>
    <tableColumn id="5" xr3:uid="{1CBE6652-AF85-5E43-9AF3-8E8114C46F85}" name="Wage Index (Income as multiples of GDP per capita)" dataDxfId="62"/>
    <tableColumn id="6" xr3:uid="{E0327DCB-197A-6B49-97F3-E1E20DB01FCE}" name="Wage Relativity (GP as Reference)" dataDxfId="61"/>
    <tableColumn id="7" xr3:uid="{0A8D1386-238B-BE4B-B3E4-53E276FF763E}" name="Wage Relativity (Lawyer and Engineers in Public Sector as Reference)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14B3-D1BD-444D-B2A8-AB679F516A81}">
  <dimension ref="A1:BM270"/>
  <sheetViews>
    <sheetView topLeftCell="AY1" workbookViewId="0">
      <selection activeCell="BB13" sqref="BB13"/>
    </sheetView>
  </sheetViews>
  <sheetFormatPr defaultColWidth="10.6640625" defaultRowHeight="14.5" x14ac:dyDescent="0.35"/>
  <cols>
    <col min="1" max="1" width="44" style="41" bestFit="1" customWidth="1"/>
    <col min="2" max="2" width="25.6640625" style="41" bestFit="1" customWidth="1"/>
    <col min="3" max="3" width="14.33203125" style="41" bestFit="1" customWidth="1"/>
    <col min="4" max="4" width="12.6640625" style="41" bestFit="1" customWidth="1"/>
    <col min="5" max="65" width="11" style="41" bestFit="1" customWidth="1"/>
    <col min="66" max="256" width="8.83203125" style="41" customWidth="1"/>
    <col min="257" max="257" width="44" style="41" bestFit="1" customWidth="1"/>
    <col min="258" max="258" width="25.6640625" style="41" bestFit="1" customWidth="1"/>
    <col min="259" max="259" width="14.33203125" style="41" bestFit="1" customWidth="1"/>
    <col min="260" max="260" width="12.6640625" style="41" bestFit="1" customWidth="1"/>
    <col min="261" max="321" width="11" style="41" bestFit="1" customWidth="1"/>
    <col min="322" max="512" width="8.83203125" style="41" customWidth="1"/>
    <col min="513" max="513" width="44" style="41" bestFit="1" customWidth="1"/>
    <col min="514" max="514" width="25.6640625" style="41" bestFit="1" customWidth="1"/>
    <col min="515" max="515" width="14.33203125" style="41" bestFit="1" customWidth="1"/>
    <col min="516" max="516" width="12.6640625" style="41" bestFit="1" customWidth="1"/>
    <col min="517" max="577" width="11" style="41" bestFit="1" customWidth="1"/>
    <col min="578" max="768" width="8.83203125" style="41" customWidth="1"/>
    <col min="769" max="769" width="44" style="41" bestFit="1" customWidth="1"/>
    <col min="770" max="770" width="25.6640625" style="41" bestFit="1" customWidth="1"/>
    <col min="771" max="771" width="14.33203125" style="41" bestFit="1" customWidth="1"/>
    <col min="772" max="772" width="12.6640625" style="41" bestFit="1" customWidth="1"/>
    <col min="773" max="833" width="11" style="41" bestFit="1" customWidth="1"/>
    <col min="834" max="1024" width="8.83203125" style="41" customWidth="1"/>
    <col min="1025" max="1025" width="44" style="41" bestFit="1" customWidth="1"/>
    <col min="1026" max="1026" width="25.6640625" style="41" bestFit="1" customWidth="1"/>
    <col min="1027" max="1027" width="14.33203125" style="41" bestFit="1" customWidth="1"/>
    <col min="1028" max="1028" width="12.6640625" style="41" bestFit="1" customWidth="1"/>
    <col min="1029" max="1089" width="11" style="41" bestFit="1" customWidth="1"/>
    <col min="1090" max="1280" width="8.83203125" style="41" customWidth="1"/>
    <col min="1281" max="1281" width="44" style="41" bestFit="1" customWidth="1"/>
    <col min="1282" max="1282" width="25.6640625" style="41" bestFit="1" customWidth="1"/>
    <col min="1283" max="1283" width="14.33203125" style="41" bestFit="1" customWidth="1"/>
    <col min="1284" max="1284" width="12.6640625" style="41" bestFit="1" customWidth="1"/>
    <col min="1285" max="1345" width="11" style="41" bestFit="1" customWidth="1"/>
    <col min="1346" max="1536" width="8.83203125" style="41" customWidth="1"/>
    <col min="1537" max="1537" width="44" style="41" bestFit="1" customWidth="1"/>
    <col min="1538" max="1538" width="25.6640625" style="41" bestFit="1" customWidth="1"/>
    <col min="1539" max="1539" width="14.33203125" style="41" bestFit="1" customWidth="1"/>
    <col min="1540" max="1540" width="12.6640625" style="41" bestFit="1" customWidth="1"/>
    <col min="1541" max="1601" width="11" style="41" bestFit="1" customWidth="1"/>
    <col min="1602" max="1792" width="8.83203125" style="41" customWidth="1"/>
    <col min="1793" max="1793" width="44" style="41" bestFit="1" customWidth="1"/>
    <col min="1794" max="1794" width="25.6640625" style="41" bestFit="1" customWidth="1"/>
    <col min="1795" max="1795" width="14.33203125" style="41" bestFit="1" customWidth="1"/>
    <col min="1796" max="1796" width="12.6640625" style="41" bestFit="1" customWidth="1"/>
    <col min="1797" max="1857" width="11" style="41" bestFit="1" customWidth="1"/>
    <col min="1858" max="2048" width="8.83203125" style="41" customWidth="1"/>
    <col min="2049" max="2049" width="44" style="41" bestFit="1" customWidth="1"/>
    <col min="2050" max="2050" width="25.6640625" style="41" bestFit="1" customWidth="1"/>
    <col min="2051" max="2051" width="14.33203125" style="41" bestFit="1" customWidth="1"/>
    <col min="2052" max="2052" width="12.6640625" style="41" bestFit="1" customWidth="1"/>
    <col min="2053" max="2113" width="11" style="41" bestFit="1" customWidth="1"/>
    <col min="2114" max="2304" width="8.83203125" style="41" customWidth="1"/>
    <col min="2305" max="2305" width="44" style="41" bestFit="1" customWidth="1"/>
    <col min="2306" max="2306" width="25.6640625" style="41" bestFit="1" customWidth="1"/>
    <col min="2307" max="2307" width="14.33203125" style="41" bestFit="1" customWidth="1"/>
    <col min="2308" max="2308" width="12.6640625" style="41" bestFit="1" customWidth="1"/>
    <col min="2309" max="2369" width="11" style="41" bestFit="1" customWidth="1"/>
    <col min="2370" max="2560" width="8.83203125" style="41" customWidth="1"/>
    <col min="2561" max="2561" width="44" style="41" bestFit="1" customWidth="1"/>
    <col min="2562" max="2562" width="25.6640625" style="41" bestFit="1" customWidth="1"/>
    <col min="2563" max="2563" width="14.33203125" style="41" bestFit="1" customWidth="1"/>
    <col min="2564" max="2564" width="12.6640625" style="41" bestFit="1" customWidth="1"/>
    <col min="2565" max="2625" width="11" style="41" bestFit="1" customWidth="1"/>
    <col min="2626" max="2816" width="8.83203125" style="41" customWidth="1"/>
    <col min="2817" max="2817" width="44" style="41" bestFit="1" customWidth="1"/>
    <col min="2818" max="2818" width="25.6640625" style="41" bestFit="1" customWidth="1"/>
    <col min="2819" max="2819" width="14.33203125" style="41" bestFit="1" customWidth="1"/>
    <col min="2820" max="2820" width="12.6640625" style="41" bestFit="1" customWidth="1"/>
    <col min="2821" max="2881" width="11" style="41" bestFit="1" customWidth="1"/>
    <col min="2882" max="3072" width="8.83203125" style="41" customWidth="1"/>
    <col min="3073" max="3073" width="44" style="41" bestFit="1" customWidth="1"/>
    <col min="3074" max="3074" width="25.6640625" style="41" bestFit="1" customWidth="1"/>
    <col min="3075" max="3075" width="14.33203125" style="41" bestFit="1" customWidth="1"/>
    <col min="3076" max="3076" width="12.6640625" style="41" bestFit="1" customWidth="1"/>
    <col min="3077" max="3137" width="11" style="41" bestFit="1" customWidth="1"/>
    <col min="3138" max="3328" width="8.83203125" style="41" customWidth="1"/>
    <col min="3329" max="3329" width="44" style="41" bestFit="1" customWidth="1"/>
    <col min="3330" max="3330" width="25.6640625" style="41" bestFit="1" customWidth="1"/>
    <col min="3331" max="3331" width="14.33203125" style="41" bestFit="1" customWidth="1"/>
    <col min="3332" max="3332" width="12.6640625" style="41" bestFit="1" customWidth="1"/>
    <col min="3333" max="3393" width="11" style="41" bestFit="1" customWidth="1"/>
    <col min="3394" max="3584" width="8.83203125" style="41" customWidth="1"/>
    <col min="3585" max="3585" width="44" style="41" bestFit="1" customWidth="1"/>
    <col min="3586" max="3586" width="25.6640625" style="41" bestFit="1" customWidth="1"/>
    <col min="3587" max="3587" width="14.33203125" style="41" bestFit="1" customWidth="1"/>
    <col min="3588" max="3588" width="12.6640625" style="41" bestFit="1" customWidth="1"/>
    <col min="3589" max="3649" width="11" style="41" bestFit="1" customWidth="1"/>
    <col min="3650" max="3840" width="8.83203125" style="41" customWidth="1"/>
    <col min="3841" max="3841" width="44" style="41" bestFit="1" customWidth="1"/>
    <col min="3842" max="3842" width="25.6640625" style="41" bestFit="1" customWidth="1"/>
    <col min="3843" max="3843" width="14.33203125" style="41" bestFit="1" customWidth="1"/>
    <col min="3844" max="3844" width="12.6640625" style="41" bestFit="1" customWidth="1"/>
    <col min="3845" max="3905" width="11" style="41" bestFit="1" customWidth="1"/>
    <col min="3906" max="4096" width="8.83203125" style="41" customWidth="1"/>
    <col min="4097" max="4097" width="44" style="41" bestFit="1" customWidth="1"/>
    <col min="4098" max="4098" width="25.6640625" style="41" bestFit="1" customWidth="1"/>
    <col min="4099" max="4099" width="14.33203125" style="41" bestFit="1" customWidth="1"/>
    <col min="4100" max="4100" width="12.6640625" style="41" bestFit="1" customWidth="1"/>
    <col min="4101" max="4161" width="11" style="41" bestFit="1" customWidth="1"/>
    <col min="4162" max="4352" width="8.83203125" style="41" customWidth="1"/>
    <col min="4353" max="4353" width="44" style="41" bestFit="1" customWidth="1"/>
    <col min="4354" max="4354" width="25.6640625" style="41" bestFit="1" customWidth="1"/>
    <col min="4355" max="4355" width="14.33203125" style="41" bestFit="1" customWidth="1"/>
    <col min="4356" max="4356" width="12.6640625" style="41" bestFit="1" customWidth="1"/>
    <col min="4357" max="4417" width="11" style="41" bestFit="1" customWidth="1"/>
    <col min="4418" max="4608" width="8.83203125" style="41" customWidth="1"/>
    <col min="4609" max="4609" width="44" style="41" bestFit="1" customWidth="1"/>
    <col min="4610" max="4610" width="25.6640625" style="41" bestFit="1" customWidth="1"/>
    <col min="4611" max="4611" width="14.33203125" style="41" bestFit="1" customWidth="1"/>
    <col min="4612" max="4612" width="12.6640625" style="41" bestFit="1" customWidth="1"/>
    <col min="4613" max="4673" width="11" style="41" bestFit="1" customWidth="1"/>
    <col min="4674" max="4864" width="8.83203125" style="41" customWidth="1"/>
    <col min="4865" max="4865" width="44" style="41" bestFit="1" customWidth="1"/>
    <col min="4866" max="4866" width="25.6640625" style="41" bestFit="1" customWidth="1"/>
    <col min="4867" max="4867" width="14.33203125" style="41" bestFit="1" customWidth="1"/>
    <col min="4868" max="4868" width="12.6640625" style="41" bestFit="1" customWidth="1"/>
    <col min="4869" max="4929" width="11" style="41" bestFit="1" customWidth="1"/>
    <col min="4930" max="5120" width="8.83203125" style="41" customWidth="1"/>
    <col min="5121" max="5121" width="44" style="41" bestFit="1" customWidth="1"/>
    <col min="5122" max="5122" width="25.6640625" style="41" bestFit="1" customWidth="1"/>
    <col min="5123" max="5123" width="14.33203125" style="41" bestFit="1" customWidth="1"/>
    <col min="5124" max="5124" width="12.6640625" style="41" bestFit="1" customWidth="1"/>
    <col min="5125" max="5185" width="11" style="41" bestFit="1" customWidth="1"/>
    <col min="5186" max="5376" width="8.83203125" style="41" customWidth="1"/>
    <col min="5377" max="5377" width="44" style="41" bestFit="1" customWidth="1"/>
    <col min="5378" max="5378" width="25.6640625" style="41" bestFit="1" customWidth="1"/>
    <col min="5379" max="5379" width="14.33203125" style="41" bestFit="1" customWidth="1"/>
    <col min="5380" max="5380" width="12.6640625" style="41" bestFit="1" customWidth="1"/>
    <col min="5381" max="5441" width="11" style="41" bestFit="1" customWidth="1"/>
    <col min="5442" max="5632" width="8.83203125" style="41" customWidth="1"/>
    <col min="5633" max="5633" width="44" style="41" bestFit="1" customWidth="1"/>
    <col min="5634" max="5634" width="25.6640625" style="41" bestFit="1" customWidth="1"/>
    <col min="5635" max="5635" width="14.33203125" style="41" bestFit="1" customWidth="1"/>
    <col min="5636" max="5636" width="12.6640625" style="41" bestFit="1" customWidth="1"/>
    <col min="5637" max="5697" width="11" style="41" bestFit="1" customWidth="1"/>
    <col min="5698" max="5888" width="8.83203125" style="41" customWidth="1"/>
    <col min="5889" max="5889" width="44" style="41" bestFit="1" customWidth="1"/>
    <col min="5890" max="5890" width="25.6640625" style="41" bestFit="1" customWidth="1"/>
    <col min="5891" max="5891" width="14.33203125" style="41" bestFit="1" customWidth="1"/>
    <col min="5892" max="5892" width="12.6640625" style="41" bestFit="1" customWidth="1"/>
    <col min="5893" max="5953" width="11" style="41" bestFit="1" customWidth="1"/>
    <col min="5954" max="6144" width="8.83203125" style="41" customWidth="1"/>
    <col min="6145" max="6145" width="44" style="41" bestFit="1" customWidth="1"/>
    <col min="6146" max="6146" width="25.6640625" style="41" bestFit="1" customWidth="1"/>
    <col min="6147" max="6147" width="14.33203125" style="41" bestFit="1" customWidth="1"/>
    <col min="6148" max="6148" width="12.6640625" style="41" bestFit="1" customWidth="1"/>
    <col min="6149" max="6209" width="11" style="41" bestFit="1" customWidth="1"/>
    <col min="6210" max="6400" width="8.83203125" style="41" customWidth="1"/>
    <col min="6401" max="6401" width="44" style="41" bestFit="1" customWidth="1"/>
    <col min="6402" max="6402" width="25.6640625" style="41" bestFit="1" customWidth="1"/>
    <col min="6403" max="6403" width="14.33203125" style="41" bestFit="1" customWidth="1"/>
    <col min="6404" max="6404" width="12.6640625" style="41" bestFit="1" customWidth="1"/>
    <col min="6405" max="6465" width="11" style="41" bestFit="1" customWidth="1"/>
    <col min="6466" max="6656" width="8.83203125" style="41" customWidth="1"/>
    <col min="6657" max="6657" width="44" style="41" bestFit="1" customWidth="1"/>
    <col min="6658" max="6658" width="25.6640625" style="41" bestFit="1" customWidth="1"/>
    <col min="6659" max="6659" width="14.33203125" style="41" bestFit="1" customWidth="1"/>
    <col min="6660" max="6660" width="12.6640625" style="41" bestFit="1" customWidth="1"/>
    <col min="6661" max="6721" width="11" style="41" bestFit="1" customWidth="1"/>
    <col min="6722" max="6912" width="8.83203125" style="41" customWidth="1"/>
    <col min="6913" max="6913" width="44" style="41" bestFit="1" customWidth="1"/>
    <col min="6914" max="6914" width="25.6640625" style="41" bestFit="1" customWidth="1"/>
    <col min="6915" max="6915" width="14.33203125" style="41" bestFit="1" customWidth="1"/>
    <col min="6916" max="6916" width="12.6640625" style="41" bestFit="1" customWidth="1"/>
    <col min="6917" max="6977" width="11" style="41" bestFit="1" customWidth="1"/>
    <col min="6978" max="7168" width="8.83203125" style="41" customWidth="1"/>
    <col min="7169" max="7169" width="44" style="41" bestFit="1" customWidth="1"/>
    <col min="7170" max="7170" width="25.6640625" style="41" bestFit="1" customWidth="1"/>
    <col min="7171" max="7171" width="14.33203125" style="41" bestFit="1" customWidth="1"/>
    <col min="7172" max="7172" width="12.6640625" style="41" bestFit="1" customWidth="1"/>
    <col min="7173" max="7233" width="11" style="41" bestFit="1" customWidth="1"/>
    <col min="7234" max="7424" width="8.83203125" style="41" customWidth="1"/>
    <col min="7425" max="7425" width="44" style="41" bestFit="1" customWidth="1"/>
    <col min="7426" max="7426" width="25.6640625" style="41" bestFit="1" customWidth="1"/>
    <col min="7427" max="7427" width="14.33203125" style="41" bestFit="1" customWidth="1"/>
    <col min="7428" max="7428" width="12.6640625" style="41" bestFit="1" customWidth="1"/>
    <col min="7429" max="7489" width="11" style="41" bestFit="1" customWidth="1"/>
    <col min="7490" max="7680" width="8.83203125" style="41" customWidth="1"/>
    <col min="7681" max="7681" width="44" style="41" bestFit="1" customWidth="1"/>
    <col min="7682" max="7682" width="25.6640625" style="41" bestFit="1" customWidth="1"/>
    <col min="7683" max="7683" width="14.33203125" style="41" bestFit="1" customWidth="1"/>
    <col min="7684" max="7684" width="12.6640625" style="41" bestFit="1" customWidth="1"/>
    <col min="7685" max="7745" width="11" style="41" bestFit="1" customWidth="1"/>
    <col min="7746" max="7936" width="8.83203125" style="41" customWidth="1"/>
    <col min="7937" max="7937" width="44" style="41" bestFit="1" customWidth="1"/>
    <col min="7938" max="7938" width="25.6640625" style="41" bestFit="1" customWidth="1"/>
    <col min="7939" max="7939" width="14.33203125" style="41" bestFit="1" customWidth="1"/>
    <col min="7940" max="7940" width="12.6640625" style="41" bestFit="1" customWidth="1"/>
    <col min="7941" max="8001" width="11" style="41" bestFit="1" customWidth="1"/>
    <col min="8002" max="8192" width="8.83203125" style="41" customWidth="1"/>
    <col min="8193" max="8193" width="44" style="41" bestFit="1" customWidth="1"/>
    <col min="8194" max="8194" width="25.6640625" style="41" bestFit="1" customWidth="1"/>
    <col min="8195" max="8195" width="14.33203125" style="41" bestFit="1" customWidth="1"/>
    <col min="8196" max="8196" width="12.6640625" style="41" bestFit="1" customWidth="1"/>
    <col min="8197" max="8257" width="11" style="41" bestFit="1" customWidth="1"/>
    <col min="8258" max="8448" width="8.83203125" style="41" customWidth="1"/>
    <col min="8449" max="8449" width="44" style="41" bestFit="1" customWidth="1"/>
    <col min="8450" max="8450" width="25.6640625" style="41" bestFit="1" customWidth="1"/>
    <col min="8451" max="8451" width="14.33203125" style="41" bestFit="1" customWidth="1"/>
    <col min="8452" max="8452" width="12.6640625" style="41" bestFit="1" customWidth="1"/>
    <col min="8453" max="8513" width="11" style="41" bestFit="1" customWidth="1"/>
    <col min="8514" max="8704" width="8.83203125" style="41" customWidth="1"/>
    <col min="8705" max="8705" width="44" style="41" bestFit="1" customWidth="1"/>
    <col min="8706" max="8706" width="25.6640625" style="41" bestFit="1" customWidth="1"/>
    <col min="8707" max="8707" width="14.33203125" style="41" bestFit="1" customWidth="1"/>
    <col min="8708" max="8708" width="12.6640625" style="41" bestFit="1" customWidth="1"/>
    <col min="8709" max="8769" width="11" style="41" bestFit="1" customWidth="1"/>
    <col min="8770" max="8960" width="8.83203125" style="41" customWidth="1"/>
    <col min="8961" max="8961" width="44" style="41" bestFit="1" customWidth="1"/>
    <col min="8962" max="8962" width="25.6640625" style="41" bestFit="1" customWidth="1"/>
    <col min="8963" max="8963" width="14.33203125" style="41" bestFit="1" customWidth="1"/>
    <col min="8964" max="8964" width="12.6640625" style="41" bestFit="1" customWidth="1"/>
    <col min="8965" max="9025" width="11" style="41" bestFit="1" customWidth="1"/>
    <col min="9026" max="9216" width="8.83203125" style="41" customWidth="1"/>
    <col min="9217" max="9217" width="44" style="41" bestFit="1" customWidth="1"/>
    <col min="9218" max="9218" width="25.6640625" style="41" bestFit="1" customWidth="1"/>
    <col min="9219" max="9219" width="14.33203125" style="41" bestFit="1" customWidth="1"/>
    <col min="9220" max="9220" width="12.6640625" style="41" bestFit="1" customWidth="1"/>
    <col min="9221" max="9281" width="11" style="41" bestFit="1" customWidth="1"/>
    <col min="9282" max="9472" width="8.83203125" style="41" customWidth="1"/>
    <col min="9473" max="9473" width="44" style="41" bestFit="1" customWidth="1"/>
    <col min="9474" max="9474" width="25.6640625" style="41" bestFit="1" customWidth="1"/>
    <col min="9475" max="9475" width="14.33203125" style="41" bestFit="1" customWidth="1"/>
    <col min="9476" max="9476" width="12.6640625" style="41" bestFit="1" customWidth="1"/>
    <col min="9477" max="9537" width="11" style="41" bestFit="1" customWidth="1"/>
    <col min="9538" max="9728" width="8.83203125" style="41" customWidth="1"/>
    <col min="9729" max="9729" width="44" style="41" bestFit="1" customWidth="1"/>
    <col min="9730" max="9730" width="25.6640625" style="41" bestFit="1" customWidth="1"/>
    <col min="9731" max="9731" width="14.33203125" style="41" bestFit="1" customWidth="1"/>
    <col min="9732" max="9732" width="12.6640625" style="41" bestFit="1" customWidth="1"/>
    <col min="9733" max="9793" width="11" style="41" bestFit="1" customWidth="1"/>
    <col min="9794" max="9984" width="8.83203125" style="41" customWidth="1"/>
    <col min="9985" max="9985" width="44" style="41" bestFit="1" customWidth="1"/>
    <col min="9986" max="9986" width="25.6640625" style="41" bestFit="1" customWidth="1"/>
    <col min="9987" max="9987" width="14.33203125" style="41" bestFit="1" customWidth="1"/>
    <col min="9988" max="9988" width="12.6640625" style="41" bestFit="1" customWidth="1"/>
    <col min="9989" max="10049" width="11" style="41" bestFit="1" customWidth="1"/>
    <col min="10050" max="10240" width="8.83203125" style="41" customWidth="1"/>
    <col min="10241" max="10241" width="44" style="41" bestFit="1" customWidth="1"/>
    <col min="10242" max="10242" width="25.6640625" style="41" bestFit="1" customWidth="1"/>
    <col min="10243" max="10243" width="14.33203125" style="41" bestFit="1" customWidth="1"/>
    <col min="10244" max="10244" width="12.6640625" style="41" bestFit="1" customWidth="1"/>
    <col min="10245" max="10305" width="11" style="41" bestFit="1" customWidth="1"/>
    <col min="10306" max="10496" width="8.83203125" style="41" customWidth="1"/>
    <col min="10497" max="10497" width="44" style="41" bestFit="1" customWidth="1"/>
    <col min="10498" max="10498" width="25.6640625" style="41" bestFit="1" customWidth="1"/>
    <col min="10499" max="10499" width="14.33203125" style="41" bestFit="1" customWidth="1"/>
    <col min="10500" max="10500" width="12.6640625" style="41" bestFit="1" customWidth="1"/>
    <col min="10501" max="10561" width="11" style="41" bestFit="1" customWidth="1"/>
    <col min="10562" max="10752" width="8.83203125" style="41" customWidth="1"/>
    <col min="10753" max="10753" width="44" style="41" bestFit="1" customWidth="1"/>
    <col min="10754" max="10754" width="25.6640625" style="41" bestFit="1" customWidth="1"/>
    <col min="10755" max="10755" width="14.33203125" style="41" bestFit="1" customWidth="1"/>
    <col min="10756" max="10756" width="12.6640625" style="41" bestFit="1" customWidth="1"/>
    <col min="10757" max="10817" width="11" style="41" bestFit="1" customWidth="1"/>
    <col min="10818" max="11008" width="8.83203125" style="41" customWidth="1"/>
    <col min="11009" max="11009" width="44" style="41" bestFit="1" customWidth="1"/>
    <col min="11010" max="11010" width="25.6640625" style="41" bestFit="1" customWidth="1"/>
    <col min="11011" max="11011" width="14.33203125" style="41" bestFit="1" customWidth="1"/>
    <col min="11012" max="11012" width="12.6640625" style="41" bestFit="1" customWidth="1"/>
    <col min="11013" max="11073" width="11" style="41" bestFit="1" customWidth="1"/>
    <col min="11074" max="11264" width="8.83203125" style="41" customWidth="1"/>
    <col min="11265" max="11265" width="44" style="41" bestFit="1" customWidth="1"/>
    <col min="11266" max="11266" width="25.6640625" style="41" bestFit="1" customWidth="1"/>
    <col min="11267" max="11267" width="14.33203125" style="41" bestFit="1" customWidth="1"/>
    <col min="11268" max="11268" width="12.6640625" style="41" bestFit="1" customWidth="1"/>
    <col min="11269" max="11329" width="11" style="41" bestFit="1" customWidth="1"/>
    <col min="11330" max="11520" width="8.83203125" style="41" customWidth="1"/>
    <col min="11521" max="11521" width="44" style="41" bestFit="1" customWidth="1"/>
    <col min="11522" max="11522" width="25.6640625" style="41" bestFit="1" customWidth="1"/>
    <col min="11523" max="11523" width="14.33203125" style="41" bestFit="1" customWidth="1"/>
    <col min="11524" max="11524" width="12.6640625" style="41" bestFit="1" customWidth="1"/>
    <col min="11525" max="11585" width="11" style="41" bestFit="1" customWidth="1"/>
    <col min="11586" max="11776" width="8.83203125" style="41" customWidth="1"/>
    <col min="11777" max="11777" width="44" style="41" bestFit="1" customWidth="1"/>
    <col min="11778" max="11778" width="25.6640625" style="41" bestFit="1" customWidth="1"/>
    <col min="11779" max="11779" width="14.33203125" style="41" bestFit="1" customWidth="1"/>
    <col min="11780" max="11780" width="12.6640625" style="41" bestFit="1" customWidth="1"/>
    <col min="11781" max="11841" width="11" style="41" bestFit="1" customWidth="1"/>
    <col min="11842" max="12032" width="8.83203125" style="41" customWidth="1"/>
    <col min="12033" max="12033" width="44" style="41" bestFit="1" customWidth="1"/>
    <col min="12034" max="12034" width="25.6640625" style="41" bestFit="1" customWidth="1"/>
    <col min="12035" max="12035" width="14.33203125" style="41" bestFit="1" customWidth="1"/>
    <col min="12036" max="12036" width="12.6640625" style="41" bestFit="1" customWidth="1"/>
    <col min="12037" max="12097" width="11" style="41" bestFit="1" customWidth="1"/>
    <col min="12098" max="12288" width="8.83203125" style="41" customWidth="1"/>
    <col min="12289" max="12289" width="44" style="41" bestFit="1" customWidth="1"/>
    <col min="12290" max="12290" width="25.6640625" style="41" bestFit="1" customWidth="1"/>
    <col min="12291" max="12291" width="14.33203125" style="41" bestFit="1" customWidth="1"/>
    <col min="12292" max="12292" width="12.6640625" style="41" bestFit="1" customWidth="1"/>
    <col min="12293" max="12353" width="11" style="41" bestFit="1" customWidth="1"/>
    <col min="12354" max="12544" width="8.83203125" style="41" customWidth="1"/>
    <col min="12545" max="12545" width="44" style="41" bestFit="1" customWidth="1"/>
    <col min="12546" max="12546" width="25.6640625" style="41" bestFit="1" customWidth="1"/>
    <col min="12547" max="12547" width="14.33203125" style="41" bestFit="1" customWidth="1"/>
    <col min="12548" max="12548" width="12.6640625" style="41" bestFit="1" customWidth="1"/>
    <col min="12549" max="12609" width="11" style="41" bestFit="1" customWidth="1"/>
    <col min="12610" max="12800" width="8.83203125" style="41" customWidth="1"/>
    <col min="12801" max="12801" width="44" style="41" bestFit="1" customWidth="1"/>
    <col min="12802" max="12802" width="25.6640625" style="41" bestFit="1" customWidth="1"/>
    <col min="12803" max="12803" width="14.33203125" style="41" bestFit="1" customWidth="1"/>
    <col min="12804" max="12804" width="12.6640625" style="41" bestFit="1" customWidth="1"/>
    <col min="12805" max="12865" width="11" style="41" bestFit="1" customWidth="1"/>
    <col min="12866" max="13056" width="8.83203125" style="41" customWidth="1"/>
    <col min="13057" max="13057" width="44" style="41" bestFit="1" customWidth="1"/>
    <col min="13058" max="13058" width="25.6640625" style="41" bestFit="1" customWidth="1"/>
    <col min="13059" max="13059" width="14.33203125" style="41" bestFit="1" customWidth="1"/>
    <col min="13060" max="13060" width="12.6640625" style="41" bestFit="1" customWidth="1"/>
    <col min="13061" max="13121" width="11" style="41" bestFit="1" customWidth="1"/>
    <col min="13122" max="13312" width="8.83203125" style="41" customWidth="1"/>
    <col min="13313" max="13313" width="44" style="41" bestFit="1" customWidth="1"/>
    <col min="13314" max="13314" width="25.6640625" style="41" bestFit="1" customWidth="1"/>
    <col min="13315" max="13315" width="14.33203125" style="41" bestFit="1" customWidth="1"/>
    <col min="13316" max="13316" width="12.6640625" style="41" bestFit="1" customWidth="1"/>
    <col min="13317" max="13377" width="11" style="41" bestFit="1" customWidth="1"/>
    <col min="13378" max="13568" width="8.83203125" style="41" customWidth="1"/>
    <col min="13569" max="13569" width="44" style="41" bestFit="1" customWidth="1"/>
    <col min="13570" max="13570" width="25.6640625" style="41" bestFit="1" customWidth="1"/>
    <col min="13571" max="13571" width="14.33203125" style="41" bestFit="1" customWidth="1"/>
    <col min="13572" max="13572" width="12.6640625" style="41" bestFit="1" customWidth="1"/>
    <col min="13573" max="13633" width="11" style="41" bestFit="1" customWidth="1"/>
    <col min="13634" max="13824" width="8.83203125" style="41" customWidth="1"/>
    <col min="13825" max="13825" width="44" style="41" bestFit="1" customWidth="1"/>
    <col min="13826" max="13826" width="25.6640625" style="41" bestFit="1" customWidth="1"/>
    <col min="13827" max="13827" width="14.33203125" style="41" bestFit="1" customWidth="1"/>
    <col min="13828" max="13828" width="12.6640625" style="41" bestFit="1" customWidth="1"/>
    <col min="13829" max="13889" width="11" style="41" bestFit="1" customWidth="1"/>
    <col min="13890" max="14080" width="8.83203125" style="41" customWidth="1"/>
    <col min="14081" max="14081" width="44" style="41" bestFit="1" customWidth="1"/>
    <col min="14082" max="14082" width="25.6640625" style="41" bestFit="1" customWidth="1"/>
    <col min="14083" max="14083" width="14.33203125" style="41" bestFit="1" customWidth="1"/>
    <col min="14084" max="14084" width="12.6640625" style="41" bestFit="1" customWidth="1"/>
    <col min="14085" max="14145" width="11" style="41" bestFit="1" customWidth="1"/>
    <col min="14146" max="14336" width="8.83203125" style="41" customWidth="1"/>
    <col min="14337" max="14337" width="44" style="41" bestFit="1" customWidth="1"/>
    <col min="14338" max="14338" width="25.6640625" style="41" bestFit="1" customWidth="1"/>
    <col min="14339" max="14339" width="14.33203125" style="41" bestFit="1" customWidth="1"/>
    <col min="14340" max="14340" width="12.6640625" style="41" bestFit="1" customWidth="1"/>
    <col min="14341" max="14401" width="11" style="41" bestFit="1" customWidth="1"/>
    <col min="14402" max="14592" width="8.83203125" style="41" customWidth="1"/>
    <col min="14593" max="14593" width="44" style="41" bestFit="1" customWidth="1"/>
    <col min="14594" max="14594" width="25.6640625" style="41" bestFit="1" customWidth="1"/>
    <col min="14595" max="14595" width="14.33203125" style="41" bestFit="1" customWidth="1"/>
    <col min="14596" max="14596" width="12.6640625" style="41" bestFit="1" customWidth="1"/>
    <col min="14597" max="14657" width="11" style="41" bestFit="1" customWidth="1"/>
    <col min="14658" max="14848" width="8.83203125" style="41" customWidth="1"/>
    <col min="14849" max="14849" width="44" style="41" bestFit="1" customWidth="1"/>
    <col min="14850" max="14850" width="25.6640625" style="41" bestFit="1" customWidth="1"/>
    <col min="14851" max="14851" width="14.33203125" style="41" bestFit="1" customWidth="1"/>
    <col min="14852" max="14852" width="12.6640625" style="41" bestFit="1" customWidth="1"/>
    <col min="14853" max="14913" width="11" style="41" bestFit="1" customWidth="1"/>
    <col min="14914" max="15104" width="8.83203125" style="41" customWidth="1"/>
    <col min="15105" max="15105" width="44" style="41" bestFit="1" customWidth="1"/>
    <col min="15106" max="15106" width="25.6640625" style="41" bestFit="1" customWidth="1"/>
    <col min="15107" max="15107" width="14.33203125" style="41" bestFit="1" customWidth="1"/>
    <col min="15108" max="15108" width="12.6640625" style="41" bestFit="1" customWidth="1"/>
    <col min="15109" max="15169" width="11" style="41" bestFit="1" customWidth="1"/>
    <col min="15170" max="15360" width="8.83203125" style="41" customWidth="1"/>
    <col min="15361" max="15361" width="44" style="41" bestFit="1" customWidth="1"/>
    <col min="15362" max="15362" width="25.6640625" style="41" bestFit="1" customWidth="1"/>
    <col min="15363" max="15363" width="14.33203125" style="41" bestFit="1" customWidth="1"/>
    <col min="15364" max="15364" width="12.6640625" style="41" bestFit="1" customWidth="1"/>
    <col min="15365" max="15425" width="11" style="41" bestFit="1" customWidth="1"/>
    <col min="15426" max="15616" width="8.83203125" style="41" customWidth="1"/>
    <col min="15617" max="15617" width="44" style="41" bestFit="1" customWidth="1"/>
    <col min="15618" max="15618" width="25.6640625" style="41" bestFit="1" customWidth="1"/>
    <col min="15619" max="15619" width="14.33203125" style="41" bestFit="1" customWidth="1"/>
    <col min="15620" max="15620" width="12.6640625" style="41" bestFit="1" customWidth="1"/>
    <col min="15621" max="15681" width="11" style="41" bestFit="1" customWidth="1"/>
    <col min="15682" max="15872" width="8.83203125" style="41" customWidth="1"/>
    <col min="15873" max="15873" width="44" style="41" bestFit="1" customWidth="1"/>
    <col min="15874" max="15874" width="25.6640625" style="41" bestFit="1" customWidth="1"/>
    <col min="15875" max="15875" width="14.33203125" style="41" bestFit="1" customWidth="1"/>
    <col min="15876" max="15876" width="12.6640625" style="41" bestFit="1" customWidth="1"/>
    <col min="15877" max="15937" width="11" style="41" bestFit="1" customWidth="1"/>
    <col min="15938" max="16128" width="8.83203125" style="41" customWidth="1"/>
    <col min="16129" max="16129" width="44" style="41" bestFit="1" customWidth="1"/>
    <col min="16130" max="16130" width="25.6640625" style="41" bestFit="1" customWidth="1"/>
    <col min="16131" max="16131" width="14.33203125" style="41" bestFit="1" customWidth="1"/>
    <col min="16132" max="16132" width="12.6640625" style="41" bestFit="1" customWidth="1"/>
    <col min="16133" max="16193" width="11" style="41" bestFit="1" customWidth="1"/>
    <col min="16194" max="16384" width="8.83203125" style="41" customWidth="1"/>
  </cols>
  <sheetData>
    <row r="1" spans="1:65" x14ac:dyDescent="0.35">
      <c r="A1" s="41" t="s">
        <v>68</v>
      </c>
      <c r="B1" s="41" t="s">
        <v>73</v>
      </c>
    </row>
    <row r="2" spans="1:65" x14ac:dyDescent="0.35">
      <c r="A2" s="41" t="s">
        <v>74</v>
      </c>
      <c r="B2" s="42">
        <v>44407</v>
      </c>
    </row>
    <row r="4" spans="1:65" x14ac:dyDescent="0.35">
      <c r="A4" s="41" t="s">
        <v>75</v>
      </c>
      <c r="B4" s="41" t="s">
        <v>76</v>
      </c>
      <c r="C4" s="41" t="s">
        <v>77</v>
      </c>
      <c r="D4" s="41" t="s">
        <v>78</v>
      </c>
      <c r="E4" s="41" t="s">
        <v>629</v>
      </c>
      <c r="F4" s="41" t="s">
        <v>630</v>
      </c>
      <c r="G4" s="41" t="s">
        <v>631</v>
      </c>
      <c r="H4" s="41" t="s">
        <v>632</v>
      </c>
      <c r="I4" s="41" t="s">
        <v>633</v>
      </c>
      <c r="J4" s="41" t="s">
        <v>634</v>
      </c>
      <c r="K4" s="41" t="s">
        <v>635</v>
      </c>
      <c r="L4" s="41" t="s">
        <v>636</v>
      </c>
      <c r="M4" s="41" t="s">
        <v>637</v>
      </c>
      <c r="N4" s="41" t="s">
        <v>638</v>
      </c>
      <c r="O4" s="41" t="s">
        <v>639</v>
      </c>
      <c r="P4" s="41" t="s">
        <v>640</v>
      </c>
      <c r="Q4" s="41" t="s">
        <v>641</v>
      </c>
      <c r="R4" s="41" t="s">
        <v>642</v>
      </c>
      <c r="S4" s="41" t="s">
        <v>643</v>
      </c>
      <c r="T4" s="41" t="s">
        <v>644</v>
      </c>
      <c r="U4" s="41" t="s">
        <v>645</v>
      </c>
      <c r="V4" s="41" t="s">
        <v>646</v>
      </c>
      <c r="W4" s="41" t="s">
        <v>647</v>
      </c>
      <c r="X4" s="41" t="s">
        <v>648</v>
      </c>
      <c r="Y4" s="41" t="s">
        <v>649</v>
      </c>
      <c r="Z4" s="41" t="s">
        <v>650</v>
      </c>
      <c r="AA4" s="41" t="s">
        <v>651</v>
      </c>
      <c r="AB4" s="41" t="s">
        <v>652</v>
      </c>
      <c r="AC4" s="41" t="s">
        <v>653</v>
      </c>
      <c r="AD4" s="41" t="s">
        <v>654</v>
      </c>
      <c r="AE4" s="41" t="s">
        <v>655</v>
      </c>
      <c r="AF4" s="41" t="s">
        <v>656</v>
      </c>
      <c r="AG4" s="41" t="s">
        <v>657</v>
      </c>
      <c r="AH4" s="41" t="s">
        <v>658</v>
      </c>
      <c r="AI4" s="41" t="s">
        <v>79</v>
      </c>
      <c r="AJ4" s="41" t="s">
        <v>80</v>
      </c>
      <c r="AK4" s="41" t="s">
        <v>81</v>
      </c>
      <c r="AL4" s="41" t="s">
        <v>82</v>
      </c>
      <c r="AM4" s="41" t="s">
        <v>83</v>
      </c>
      <c r="AN4" s="41" t="s">
        <v>84</v>
      </c>
      <c r="AO4" s="41" t="s">
        <v>85</v>
      </c>
      <c r="AP4" s="41" t="s">
        <v>86</v>
      </c>
      <c r="AQ4" s="41" t="s">
        <v>87</v>
      </c>
      <c r="AR4" s="41" t="s">
        <v>88</v>
      </c>
      <c r="AS4" s="41" t="s">
        <v>89</v>
      </c>
      <c r="AT4" s="41" t="s">
        <v>90</v>
      </c>
      <c r="AU4" s="41" t="s">
        <v>91</v>
      </c>
      <c r="AV4" s="41" t="s">
        <v>92</v>
      </c>
      <c r="AW4" s="41" t="s">
        <v>93</v>
      </c>
      <c r="AX4" s="41" t="s">
        <v>94</v>
      </c>
      <c r="AY4" s="41" t="s">
        <v>95</v>
      </c>
      <c r="AZ4" s="41" t="s">
        <v>96</v>
      </c>
      <c r="BA4" s="41" t="s">
        <v>97</v>
      </c>
      <c r="BB4" s="41" t="s">
        <v>98</v>
      </c>
      <c r="BC4" s="41" t="s">
        <v>99</v>
      </c>
      <c r="BD4" s="41" t="s">
        <v>100</v>
      </c>
      <c r="BE4" s="41" t="s">
        <v>101</v>
      </c>
      <c r="BF4" s="41" t="s">
        <v>102</v>
      </c>
      <c r="BG4" s="41" t="s">
        <v>103</v>
      </c>
      <c r="BH4" s="41" t="s">
        <v>104</v>
      </c>
      <c r="BI4" s="41" t="s">
        <v>105</v>
      </c>
      <c r="BJ4" s="41" t="s">
        <v>106</v>
      </c>
      <c r="BK4" s="41" t="s">
        <v>107</v>
      </c>
      <c r="BL4" s="41" t="s">
        <v>108</v>
      </c>
      <c r="BM4" s="41" t="s">
        <v>109</v>
      </c>
    </row>
    <row r="5" spans="1:65" x14ac:dyDescent="0.35">
      <c r="A5" s="41" t="s">
        <v>110</v>
      </c>
      <c r="B5" s="41" t="s">
        <v>111</v>
      </c>
      <c r="C5" s="41" t="s">
        <v>666</v>
      </c>
      <c r="D5" s="41" t="s">
        <v>667</v>
      </c>
      <c r="E5" s="41">
        <v>54208</v>
      </c>
      <c r="F5" s="41">
        <v>55434</v>
      </c>
      <c r="G5" s="41">
        <v>56234</v>
      </c>
      <c r="H5" s="41">
        <v>56699</v>
      </c>
      <c r="I5" s="41">
        <v>57029</v>
      </c>
      <c r="J5" s="41">
        <v>57357</v>
      </c>
      <c r="K5" s="41">
        <v>57702</v>
      </c>
      <c r="L5" s="41">
        <v>58044</v>
      </c>
      <c r="M5" s="41">
        <v>58377</v>
      </c>
      <c r="N5" s="41">
        <v>58734</v>
      </c>
      <c r="O5" s="41">
        <v>59070</v>
      </c>
      <c r="P5" s="41">
        <v>59442</v>
      </c>
      <c r="Q5" s="41">
        <v>59849</v>
      </c>
      <c r="R5" s="41">
        <v>60236</v>
      </c>
      <c r="S5" s="41">
        <v>60527</v>
      </c>
      <c r="T5" s="41">
        <v>60653</v>
      </c>
      <c r="U5" s="41">
        <v>60586</v>
      </c>
      <c r="V5" s="41">
        <v>60366</v>
      </c>
      <c r="W5" s="41">
        <v>60102</v>
      </c>
      <c r="X5" s="41">
        <v>59972</v>
      </c>
      <c r="Y5" s="41">
        <v>60097</v>
      </c>
      <c r="Z5" s="41">
        <v>60561</v>
      </c>
      <c r="AA5" s="41">
        <v>61341</v>
      </c>
      <c r="AB5" s="41">
        <v>62213</v>
      </c>
      <c r="AC5" s="41">
        <v>62826</v>
      </c>
      <c r="AD5" s="41">
        <v>63024</v>
      </c>
      <c r="AE5" s="41">
        <v>62645</v>
      </c>
      <c r="AF5" s="41">
        <v>61838</v>
      </c>
      <c r="AG5" s="41">
        <v>61072</v>
      </c>
      <c r="AH5" s="41">
        <v>61033</v>
      </c>
      <c r="AI5" s="41">
        <v>62152</v>
      </c>
      <c r="AJ5" s="41">
        <v>64623</v>
      </c>
      <c r="AK5" s="41">
        <v>68240</v>
      </c>
      <c r="AL5" s="41">
        <v>72495</v>
      </c>
      <c r="AM5" s="41">
        <v>76705</v>
      </c>
      <c r="AN5" s="41">
        <v>80324</v>
      </c>
      <c r="AO5" s="41">
        <v>83211</v>
      </c>
      <c r="AP5" s="41">
        <v>85450</v>
      </c>
      <c r="AQ5" s="41">
        <v>87280</v>
      </c>
      <c r="AR5" s="41">
        <v>89009</v>
      </c>
      <c r="AS5" s="41">
        <v>90866</v>
      </c>
      <c r="AT5" s="41">
        <v>92892</v>
      </c>
      <c r="AU5" s="41">
        <v>94992</v>
      </c>
      <c r="AV5" s="41">
        <v>97016</v>
      </c>
      <c r="AW5" s="41">
        <v>98744</v>
      </c>
      <c r="AX5" s="41">
        <v>100028</v>
      </c>
      <c r="AY5" s="41">
        <v>100830</v>
      </c>
      <c r="AZ5" s="41">
        <v>101226</v>
      </c>
      <c r="BA5" s="41">
        <v>101362</v>
      </c>
      <c r="BB5" s="41">
        <v>101452</v>
      </c>
      <c r="BC5" s="41">
        <v>101665</v>
      </c>
      <c r="BD5" s="41">
        <v>102050</v>
      </c>
      <c r="BE5" s="41">
        <v>102565</v>
      </c>
      <c r="BF5" s="41">
        <v>103165</v>
      </c>
      <c r="BG5" s="41">
        <v>103776</v>
      </c>
      <c r="BH5" s="41">
        <v>104339</v>
      </c>
      <c r="BI5" s="41">
        <v>104865</v>
      </c>
      <c r="BJ5" s="41">
        <v>105361</v>
      </c>
      <c r="BK5" s="41">
        <v>105846</v>
      </c>
      <c r="BL5" s="41">
        <v>106310</v>
      </c>
      <c r="BM5" s="41">
        <v>106766</v>
      </c>
    </row>
    <row r="6" spans="1:65" x14ac:dyDescent="0.35">
      <c r="A6" s="41" t="s">
        <v>661</v>
      </c>
      <c r="B6" s="41" t="s">
        <v>662</v>
      </c>
      <c r="C6" s="41" t="s">
        <v>666</v>
      </c>
      <c r="D6" s="41" t="s">
        <v>667</v>
      </c>
      <c r="E6" s="41">
        <v>130836765</v>
      </c>
      <c r="F6" s="41">
        <v>134159786</v>
      </c>
      <c r="G6" s="41">
        <v>137614644</v>
      </c>
      <c r="H6" s="41">
        <v>141202036</v>
      </c>
      <c r="I6" s="41">
        <v>144920186</v>
      </c>
      <c r="J6" s="41">
        <v>148769974</v>
      </c>
      <c r="K6" s="41">
        <v>152752671</v>
      </c>
      <c r="L6" s="41">
        <v>156876454</v>
      </c>
      <c r="M6" s="41">
        <v>161156430</v>
      </c>
      <c r="N6" s="41">
        <v>165611760</v>
      </c>
      <c r="O6" s="41">
        <v>170257189</v>
      </c>
      <c r="P6" s="41">
        <v>175100167</v>
      </c>
      <c r="Q6" s="41">
        <v>180141148</v>
      </c>
      <c r="R6" s="41">
        <v>185376550</v>
      </c>
      <c r="S6" s="41">
        <v>190800796</v>
      </c>
      <c r="T6" s="41">
        <v>196409937</v>
      </c>
      <c r="U6" s="41">
        <v>202205766</v>
      </c>
      <c r="V6" s="41">
        <v>208193045</v>
      </c>
      <c r="W6" s="41">
        <v>214368393</v>
      </c>
      <c r="X6" s="41">
        <v>220740384</v>
      </c>
      <c r="Y6" s="41">
        <v>227305945</v>
      </c>
      <c r="Z6" s="41">
        <v>234058404</v>
      </c>
      <c r="AA6" s="41">
        <v>240999134</v>
      </c>
      <c r="AB6" s="41">
        <v>248146290</v>
      </c>
      <c r="AC6" s="41">
        <v>255530063</v>
      </c>
      <c r="AD6" s="41">
        <v>263161451</v>
      </c>
      <c r="AE6" s="41">
        <v>271050065</v>
      </c>
      <c r="AF6" s="41">
        <v>279184536</v>
      </c>
      <c r="AG6" s="41">
        <v>287524258</v>
      </c>
      <c r="AH6" s="41">
        <v>296024639</v>
      </c>
      <c r="AI6" s="41">
        <v>304648010</v>
      </c>
      <c r="AJ6" s="41">
        <v>313394693</v>
      </c>
      <c r="AK6" s="41">
        <v>322270073</v>
      </c>
      <c r="AL6" s="41">
        <v>331265579</v>
      </c>
      <c r="AM6" s="41">
        <v>340379934</v>
      </c>
      <c r="AN6" s="41">
        <v>349605660</v>
      </c>
      <c r="AO6" s="41">
        <v>358953595</v>
      </c>
      <c r="AP6" s="41">
        <v>368440591</v>
      </c>
      <c r="AQ6" s="41">
        <v>378098393</v>
      </c>
      <c r="AR6" s="41">
        <v>387977990</v>
      </c>
      <c r="AS6" s="41">
        <v>398113044</v>
      </c>
      <c r="AT6" s="41">
        <v>408522129</v>
      </c>
      <c r="AU6" s="41">
        <v>419223717</v>
      </c>
      <c r="AV6" s="41">
        <v>430246635</v>
      </c>
      <c r="AW6" s="41">
        <v>441630149</v>
      </c>
      <c r="AX6" s="41">
        <v>453404076</v>
      </c>
      <c r="AY6" s="41">
        <v>465581372</v>
      </c>
      <c r="AZ6" s="41">
        <v>478166911</v>
      </c>
      <c r="BA6" s="41">
        <v>491173160</v>
      </c>
      <c r="BB6" s="41">
        <v>504604672</v>
      </c>
      <c r="BC6" s="41">
        <v>518468229</v>
      </c>
      <c r="BD6" s="41">
        <v>532760424</v>
      </c>
      <c r="BE6" s="41">
        <v>547482863</v>
      </c>
      <c r="BF6" s="41">
        <v>562601578</v>
      </c>
      <c r="BG6" s="41">
        <v>578075373</v>
      </c>
      <c r="BH6" s="41">
        <v>593871847</v>
      </c>
      <c r="BI6" s="41">
        <v>609978946</v>
      </c>
      <c r="BJ6" s="41">
        <v>626392880</v>
      </c>
      <c r="BK6" s="41">
        <v>643090131</v>
      </c>
      <c r="BL6" s="41">
        <v>660046272</v>
      </c>
      <c r="BM6" s="41">
        <v>677243299</v>
      </c>
    </row>
    <row r="7" spans="1:65" x14ac:dyDescent="0.35">
      <c r="A7" s="41" t="s">
        <v>114</v>
      </c>
      <c r="B7" s="41" t="s">
        <v>115</v>
      </c>
      <c r="C7" s="41" t="s">
        <v>666</v>
      </c>
      <c r="D7" s="41" t="s">
        <v>667</v>
      </c>
      <c r="E7" s="41">
        <v>8996967</v>
      </c>
      <c r="F7" s="41">
        <v>9169406</v>
      </c>
      <c r="G7" s="41">
        <v>9351442</v>
      </c>
      <c r="H7" s="41">
        <v>9543200</v>
      </c>
      <c r="I7" s="41">
        <v>9744772</v>
      </c>
      <c r="J7" s="41">
        <v>9956318</v>
      </c>
      <c r="K7" s="41">
        <v>10174840</v>
      </c>
      <c r="L7" s="41">
        <v>10399936</v>
      </c>
      <c r="M7" s="41">
        <v>10637064</v>
      </c>
      <c r="N7" s="41">
        <v>10893772</v>
      </c>
      <c r="O7" s="41">
        <v>11173654</v>
      </c>
      <c r="P7" s="41">
        <v>11475450</v>
      </c>
      <c r="Q7" s="41">
        <v>11791222</v>
      </c>
      <c r="R7" s="41">
        <v>12108963</v>
      </c>
      <c r="S7" s="41">
        <v>12412960</v>
      </c>
      <c r="T7" s="41">
        <v>12689164</v>
      </c>
      <c r="U7" s="41">
        <v>12943093</v>
      </c>
      <c r="V7" s="41">
        <v>13171294</v>
      </c>
      <c r="W7" s="41">
        <v>13341199</v>
      </c>
      <c r="X7" s="41">
        <v>13411060</v>
      </c>
      <c r="Y7" s="41">
        <v>13356500</v>
      </c>
      <c r="Z7" s="41">
        <v>13171679</v>
      </c>
      <c r="AA7" s="41">
        <v>12882518</v>
      </c>
      <c r="AB7" s="41">
        <v>12537732</v>
      </c>
      <c r="AC7" s="41">
        <v>12204306</v>
      </c>
      <c r="AD7" s="41">
        <v>11938204</v>
      </c>
      <c r="AE7" s="41">
        <v>11736177</v>
      </c>
      <c r="AF7" s="41">
        <v>11604538</v>
      </c>
      <c r="AG7" s="41">
        <v>11618008</v>
      </c>
      <c r="AH7" s="41">
        <v>11868873</v>
      </c>
      <c r="AI7" s="41">
        <v>12412311</v>
      </c>
      <c r="AJ7" s="41">
        <v>13299016</v>
      </c>
      <c r="AK7" s="41">
        <v>14485543</v>
      </c>
      <c r="AL7" s="41">
        <v>15816601</v>
      </c>
      <c r="AM7" s="41">
        <v>17075728</v>
      </c>
      <c r="AN7" s="41">
        <v>18110662</v>
      </c>
      <c r="AO7" s="41">
        <v>18853444</v>
      </c>
      <c r="AP7" s="41">
        <v>19357126</v>
      </c>
      <c r="AQ7" s="41">
        <v>19737770</v>
      </c>
      <c r="AR7" s="41">
        <v>20170847</v>
      </c>
      <c r="AS7" s="41">
        <v>20779957</v>
      </c>
      <c r="AT7" s="41">
        <v>21606992</v>
      </c>
      <c r="AU7" s="41">
        <v>22600774</v>
      </c>
      <c r="AV7" s="41">
        <v>23680871</v>
      </c>
      <c r="AW7" s="41">
        <v>24726689</v>
      </c>
      <c r="AX7" s="41">
        <v>25654274</v>
      </c>
      <c r="AY7" s="41">
        <v>26433058</v>
      </c>
      <c r="AZ7" s="41">
        <v>27100542</v>
      </c>
      <c r="BA7" s="41">
        <v>27722281</v>
      </c>
      <c r="BB7" s="41">
        <v>28394806</v>
      </c>
      <c r="BC7" s="41">
        <v>29185511</v>
      </c>
      <c r="BD7" s="41">
        <v>30117411</v>
      </c>
      <c r="BE7" s="41">
        <v>31161378</v>
      </c>
      <c r="BF7" s="41">
        <v>32269592</v>
      </c>
      <c r="BG7" s="41">
        <v>33370804</v>
      </c>
      <c r="BH7" s="41">
        <v>34413603</v>
      </c>
      <c r="BI7" s="41">
        <v>35383028</v>
      </c>
      <c r="BJ7" s="41">
        <v>36296111</v>
      </c>
      <c r="BK7" s="41">
        <v>37171922</v>
      </c>
      <c r="BL7" s="41">
        <v>38041757</v>
      </c>
      <c r="BM7" s="41">
        <v>38928341</v>
      </c>
    </row>
    <row r="8" spans="1:65" x14ac:dyDescent="0.35">
      <c r="A8" s="41" t="s">
        <v>663</v>
      </c>
      <c r="B8" s="41" t="s">
        <v>664</v>
      </c>
      <c r="C8" s="41" t="s">
        <v>666</v>
      </c>
      <c r="D8" s="41" t="s">
        <v>667</v>
      </c>
      <c r="E8" s="41">
        <v>96396419</v>
      </c>
      <c r="F8" s="41">
        <v>98407221</v>
      </c>
      <c r="G8" s="41">
        <v>100506960</v>
      </c>
      <c r="H8" s="41">
        <v>102691339</v>
      </c>
      <c r="I8" s="41">
        <v>104953470</v>
      </c>
      <c r="J8" s="41">
        <v>107289875</v>
      </c>
      <c r="K8" s="41">
        <v>109701811</v>
      </c>
      <c r="L8" s="41">
        <v>112195950</v>
      </c>
      <c r="M8" s="41">
        <v>114781116</v>
      </c>
      <c r="N8" s="41">
        <v>117468741</v>
      </c>
      <c r="O8" s="41">
        <v>120269044</v>
      </c>
      <c r="P8" s="41">
        <v>123184308</v>
      </c>
      <c r="Q8" s="41">
        <v>126218502</v>
      </c>
      <c r="R8" s="41">
        <v>129384954</v>
      </c>
      <c r="S8" s="41">
        <v>132699537</v>
      </c>
      <c r="T8" s="41">
        <v>136173544</v>
      </c>
      <c r="U8" s="41">
        <v>139813171</v>
      </c>
      <c r="V8" s="41">
        <v>143615715</v>
      </c>
      <c r="W8" s="41">
        <v>147571063</v>
      </c>
      <c r="X8" s="41">
        <v>151663853</v>
      </c>
      <c r="Y8" s="41">
        <v>155882270</v>
      </c>
      <c r="Z8" s="41">
        <v>160223588</v>
      </c>
      <c r="AA8" s="41">
        <v>164689764</v>
      </c>
      <c r="AB8" s="41">
        <v>169279422</v>
      </c>
      <c r="AC8" s="41">
        <v>173991851</v>
      </c>
      <c r="AD8" s="41">
        <v>178826553</v>
      </c>
      <c r="AE8" s="41">
        <v>183785612</v>
      </c>
      <c r="AF8" s="41">
        <v>188868567</v>
      </c>
      <c r="AG8" s="41">
        <v>194070079</v>
      </c>
      <c r="AH8" s="41">
        <v>199382783</v>
      </c>
      <c r="AI8" s="41">
        <v>204803865</v>
      </c>
      <c r="AJ8" s="41">
        <v>210332267</v>
      </c>
      <c r="AK8" s="41">
        <v>215976366</v>
      </c>
      <c r="AL8" s="41">
        <v>221754806</v>
      </c>
      <c r="AM8" s="41">
        <v>227692136</v>
      </c>
      <c r="AN8" s="41">
        <v>233807627</v>
      </c>
      <c r="AO8" s="41">
        <v>240114179</v>
      </c>
      <c r="AP8" s="41">
        <v>246613750</v>
      </c>
      <c r="AQ8" s="41">
        <v>253302310</v>
      </c>
      <c r="AR8" s="41">
        <v>260170348</v>
      </c>
      <c r="AS8" s="41">
        <v>267214544</v>
      </c>
      <c r="AT8" s="41">
        <v>274433894</v>
      </c>
      <c r="AU8" s="41">
        <v>281842480</v>
      </c>
      <c r="AV8" s="41">
        <v>289469530</v>
      </c>
      <c r="AW8" s="41">
        <v>297353098</v>
      </c>
      <c r="AX8" s="41">
        <v>305520588</v>
      </c>
      <c r="AY8" s="41">
        <v>313985474</v>
      </c>
      <c r="AZ8" s="41">
        <v>322741656</v>
      </c>
      <c r="BA8" s="41">
        <v>331772330</v>
      </c>
      <c r="BB8" s="41">
        <v>341050537</v>
      </c>
      <c r="BC8" s="41">
        <v>350556886</v>
      </c>
      <c r="BD8" s="41">
        <v>360285439</v>
      </c>
      <c r="BE8" s="41">
        <v>370243017</v>
      </c>
      <c r="BF8" s="41">
        <v>380437896</v>
      </c>
      <c r="BG8" s="41">
        <v>390882979</v>
      </c>
      <c r="BH8" s="41">
        <v>401586651</v>
      </c>
      <c r="BI8" s="41">
        <v>412551299</v>
      </c>
      <c r="BJ8" s="41">
        <v>423769930</v>
      </c>
      <c r="BK8" s="41">
        <v>435229381</v>
      </c>
      <c r="BL8" s="41">
        <v>446911598</v>
      </c>
      <c r="BM8" s="41">
        <v>458803476</v>
      </c>
    </row>
    <row r="9" spans="1:65" x14ac:dyDescent="0.35">
      <c r="A9" s="41" t="s">
        <v>116</v>
      </c>
      <c r="B9" s="41" t="s">
        <v>117</v>
      </c>
      <c r="C9" s="41" t="s">
        <v>666</v>
      </c>
      <c r="D9" s="41" t="s">
        <v>667</v>
      </c>
      <c r="E9" s="41">
        <v>5454938</v>
      </c>
      <c r="F9" s="41">
        <v>5531451</v>
      </c>
      <c r="G9" s="41">
        <v>5608499</v>
      </c>
      <c r="H9" s="41">
        <v>5679409</v>
      </c>
      <c r="I9" s="41">
        <v>5734995</v>
      </c>
      <c r="J9" s="41">
        <v>5770573</v>
      </c>
      <c r="K9" s="41">
        <v>5781305</v>
      </c>
      <c r="L9" s="41">
        <v>5774440</v>
      </c>
      <c r="M9" s="41">
        <v>5771973</v>
      </c>
      <c r="N9" s="41">
        <v>5803677</v>
      </c>
      <c r="O9" s="41">
        <v>5890360</v>
      </c>
      <c r="P9" s="41">
        <v>6041239</v>
      </c>
      <c r="Q9" s="41">
        <v>6248965</v>
      </c>
      <c r="R9" s="41">
        <v>6497283</v>
      </c>
      <c r="S9" s="41">
        <v>6761623</v>
      </c>
      <c r="T9" s="41">
        <v>7023994</v>
      </c>
      <c r="U9" s="41">
        <v>7279630</v>
      </c>
      <c r="V9" s="41">
        <v>7533814</v>
      </c>
      <c r="W9" s="41">
        <v>7790774</v>
      </c>
      <c r="X9" s="41">
        <v>8058112</v>
      </c>
      <c r="Y9" s="41">
        <v>8341290</v>
      </c>
      <c r="Z9" s="41">
        <v>8640478</v>
      </c>
      <c r="AA9" s="41">
        <v>8952971</v>
      </c>
      <c r="AB9" s="41">
        <v>9278104</v>
      </c>
      <c r="AC9" s="41">
        <v>9614756</v>
      </c>
      <c r="AD9" s="41">
        <v>9961993</v>
      </c>
      <c r="AE9" s="41">
        <v>10320116</v>
      </c>
      <c r="AF9" s="41">
        <v>10689247</v>
      </c>
      <c r="AG9" s="41">
        <v>11068051</v>
      </c>
      <c r="AH9" s="41">
        <v>11454784</v>
      </c>
      <c r="AI9" s="41">
        <v>11848385</v>
      </c>
      <c r="AJ9" s="41">
        <v>12248901</v>
      </c>
      <c r="AK9" s="41">
        <v>12657361</v>
      </c>
      <c r="AL9" s="41">
        <v>13075044</v>
      </c>
      <c r="AM9" s="41">
        <v>13503753</v>
      </c>
      <c r="AN9" s="41">
        <v>13945205</v>
      </c>
      <c r="AO9" s="41">
        <v>14400722</v>
      </c>
      <c r="AP9" s="41">
        <v>14871572</v>
      </c>
      <c r="AQ9" s="41">
        <v>15359600</v>
      </c>
      <c r="AR9" s="41">
        <v>15866871</v>
      </c>
      <c r="AS9" s="41">
        <v>16395477</v>
      </c>
      <c r="AT9" s="41">
        <v>16945753</v>
      </c>
      <c r="AU9" s="41">
        <v>17519418</v>
      </c>
      <c r="AV9" s="41">
        <v>18121477</v>
      </c>
      <c r="AW9" s="41">
        <v>18758138</v>
      </c>
      <c r="AX9" s="41">
        <v>19433604</v>
      </c>
      <c r="AY9" s="41">
        <v>20149905</v>
      </c>
      <c r="AZ9" s="41">
        <v>20905360</v>
      </c>
      <c r="BA9" s="41">
        <v>21695636</v>
      </c>
      <c r="BB9" s="41">
        <v>22514275</v>
      </c>
      <c r="BC9" s="41">
        <v>23356247</v>
      </c>
      <c r="BD9" s="41">
        <v>24220660</v>
      </c>
      <c r="BE9" s="41">
        <v>25107925</v>
      </c>
      <c r="BF9" s="41">
        <v>26015786</v>
      </c>
      <c r="BG9" s="41">
        <v>26941773</v>
      </c>
      <c r="BH9" s="41">
        <v>27884380</v>
      </c>
      <c r="BI9" s="41">
        <v>28842482</v>
      </c>
      <c r="BJ9" s="41">
        <v>29816769</v>
      </c>
      <c r="BK9" s="41">
        <v>30809787</v>
      </c>
      <c r="BL9" s="41">
        <v>31825299</v>
      </c>
      <c r="BM9" s="41">
        <v>32866268</v>
      </c>
    </row>
    <row r="10" spans="1:65" x14ac:dyDescent="0.35">
      <c r="A10" s="41" t="s">
        <v>118</v>
      </c>
      <c r="B10" s="41" t="s">
        <v>119</v>
      </c>
      <c r="C10" s="41" t="s">
        <v>666</v>
      </c>
      <c r="D10" s="41" t="s">
        <v>667</v>
      </c>
      <c r="E10" s="41">
        <v>1608800</v>
      </c>
      <c r="F10" s="41">
        <v>1659800</v>
      </c>
      <c r="G10" s="41">
        <v>1711319</v>
      </c>
      <c r="H10" s="41">
        <v>1762621</v>
      </c>
      <c r="I10" s="41">
        <v>1814135</v>
      </c>
      <c r="J10" s="41">
        <v>1864791</v>
      </c>
      <c r="K10" s="41">
        <v>1914573</v>
      </c>
      <c r="L10" s="41">
        <v>1965598</v>
      </c>
      <c r="M10" s="41">
        <v>2022272</v>
      </c>
      <c r="N10" s="41">
        <v>2081695</v>
      </c>
      <c r="O10" s="41">
        <v>2135479</v>
      </c>
      <c r="P10" s="41">
        <v>2187853</v>
      </c>
      <c r="Q10" s="41">
        <v>2243126</v>
      </c>
      <c r="R10" s="41">
        <v>2296752</v>
      </c>
      <c r="S10" s="41">
        <v>2350124</v>
      </c>
      <c r="T10" s="41">
        <v>2404831</v>
      </c>
      <c r="U10" s="41">
        <v>2458526</v>
      </c>
      <c r="V10" s="41">
        <v>2513546</v>
      </c>
      <c r="W10" s="41">
        <v>2566266</v>
      </c>
      <c r="X10" s="41">
        <v>2617832</v>
      </c>
      <c r="Y10" s="41">
        <v>2671997</v>
      </c>
      <c r="Z10" s="41">
        <v>2726056</v>
      </c>
      <c r="AA10" s="41">
        <v>2784278</v>
      </c>
      <c r="AB10" s="41">
        <v>2843960</v>
      </c>
      <c r="AC10" s="41">
        <v>2904429</v>
      </c>
      <c r="AD10" s="41">
        <v>2964762</v>
      </c>
      <c r="AE10" s="41">
        <v>3022635</v>
      </c>
      <c r="AF10" s="41">
        <v>3083605</v>
      </c>
      <c r="AG10" s="41">
        <v>3142336</v>
      </c>
      <c r="AH10" s="41">
        <v>3227943</v>
      </c>
      <c r="AI10" s="41">
        <v>3286542</v>
      </c>
      <c r="AJ10" s="41">
        <v>3266790</v>
      </c>
      <c r="AK10" s="41">
        <v>3247039</v>
      </c>
      <c r="AL10" s="41">
        <v>3227287</v>
      </c>
      <c r="AM10" s="41">
        <v>3207536</v>
      </c>
      <c r="AN10" s="41">
        <v>3187784</v>
      </c>
      <c r="AO10" s="41">
        <v>3168033</v>
      </c>
      <c r="AP10" s="41">
        <v>3148281</v>
      </c>
      <c r="AQ10" s="41">
        <v>3128530</v>
      </c>
      <c r="AR10" s="41">
        <v>3108778</v>
      </c>
      <c r="AS10" s="41">
        <v>3089027</v>
      </c>
      <c r="AT10" s="41">
        <v>3060173</v>
      </c>
      <c r="AU10" s="41">
        <v>3051010</v>
      </c>
      <c r="AV10" s="41">
        <v>3039616</v>
      </c>
      <c r="AW10" s="41">
        <v>3026939</v>
      </c>
      <c r="AX10" s="41">
        <v>3011487</v>
      </c>
      <c r="AY10" s="41">
        <v>2992547</v>
      </c>
      <c r="AZ10" s="41">
        <v>2970017</v>
      </c>
      <c r="BA10" s="41">
        <v>2947314</v>
      </c>
      <c r="BB10" s="41">
        <v>2927519</v>
      </c>
      <c r="BC10" s="41">
        <v>2913021</v>
      </c>
      <c r="BD10" s="41">
        <v>2905195</v>
      </c>
      <c r="BE10" s="41">
        <v>2900401</v>
      </c>
      <c r="BF10" s="41">
        <v>2895092</v>
      </c>
      <c r="BG10" s="41">
        <v>2889104</v>
      </c>
      <c r="BH10" s="41">
        <v>2880703</v>
      </c>
      <c r="BI10" s="41">
        <v>2876101</v>
      </c>
      <c r="BJ10" s="41">
        <v>2873457</v>
      </c>
      <c r="BK10" s="41">
        <v>2866376</v>
      </c>
      <c r="BL10" s="41">
        <v>2854191</v>
      </c>
      <c r="BM10" s="41">
        <v>2837743</v>
      </c>
    </row>
    <row r="11" spans="1:65" x14ac:dyDescent="0.35">
      <c r="A11" s="41" t="s">
        <v>120</v>
      </c>
      <c r="B11" s="41" t="s">
        <v>121</v>
      </c>
      <c r="C11" s="41" t="s">
        <v>666</v>
      </c>
      <c r="D11" s="41" t="s">
        <v>667</v>
      </c>
      <c r="E11" s="41">
        <v>13410</v>
      </c>
      <c r="F11" s="41">
        <v>14378</v>
      </c>
      <c r="G11" s="41">
        <v>15379</v>
      </c>
      <c r="H11" s="41">
        <v>16407</v>
      </c>
      <c r="I11" s="41">
        <v>17466</v>
      </c>
      <c r="J11" s="41">
        <v>18542</v>
      </c>
      <c r="K11" s="41">
        <v>19646</v>
      </c>
      <c r="L11" s="41">
        <v>20760</v>
      </c>
      <c r="M11" s="41">
        <v>21886</v>
      </c>
      <c r="N11" s="41">
        <v>23053</v>
      </c>
      <c r="O11" s="41">
        <v>24275</v>
      </c>
      <c r="P11" s="41">
        <v>25571</v>
      </c>
      <c r="Q11" s="41">
        <v>26885</v>
      </c>
      <c r="R11" s="41">
        <v>28232</v>
      </c>
      <c r="S11" s="41">
        <v>29515</v>
      </c>
      <c r="T11" s="41">
        <v>30705</v>
      </c>
      <c r="U11" s="41">
        <v>31782</v>
      </c>
      <c r="V11" s="41">
        <v>32769</v>
      </c>
      <c r="W11" s="41">
        <v>33744</v>
      </c>
      <c r="X11" s="41">
        <v>34825</v>
      </c>
      <c r="Y11" s="41">
        <v>36063</v>
      </c>
      <c r="Z11" s="41">
        <v>37498</v>
      </c>
      <c r="AA11" s="41">
        <v>39115</v>
      </c>
      <c r="AB11" s="41">
        <v>40854</v>
      </c>
      <c r="AC11" s="41">
        <v>42706</v>
      </c>
      <c r="AD11" s="41">
        <v>44593</v>
      </c>
      <c r="AE11" s="41">
        <v>46520</v>
      </c>
      <c r="AF11" s="41">
        <v>48459</v>
      </c>
      <c r="AG11" s="41">
        <v>50433</v>
      </c>
      <c r="AH11" s="41">
        <v>52452</v>
      </c>
      <c r="AI11" s="41">
        <v>54508</v>
      </c>
      <c r="AJ11" s="41">
        <v>56666</v>
      </c>
      <c r="AK11" s="41">
        <v>58882</v>
      </c>
      <c r="AL11" s="41">
        <v>60974</v>
      </c>
      <c r="AM11" s="41">
        <v>62676</v>
      </c>
      <c r="AN11" s="41">
        <v>63860</v>
      </c>
      <c r="AO11" s="41">
        <v>64363</v>
      </c>
      <c r="AP11" s="41">
        <v>64318</v>
      </c>
      <c r="AQ11" s="41">
        <v>64140</v>
      </c>
      <c r="AR11" s="41">
        <v>64368</v>
      </c>
      <c r="AS11" s="41">
        <v>65390</v>
      </c>
      <c r="AT11" s="41">
        <v>67344</v>
      </c>
      <c r="AU11" s="41">
        <v>70048</v>
      </c>
      <c r="AV11" s="41">
        <v>73180</v>
      </c>
      <c r="AW11" s="41">
        <v>76250</v>
      </c>
      <c r="AX11" s="41">
        <v>78871</v>
      </c>
      <c r="AY11" s="41">
        <v>80995</v>
      </c>
      <c r="AZ11" s="41">
        <v>82682</v>
      </c>
      <c r="BA11" s="41">
        <v>83860</v>
      </c>
      <c r="BB11" s="41">
        <v>84461</v>
      </c>
      <c r="BC11" s="41">
        <v>84454</v>
      </c>
      <c r="BD11" s="41">
        <v>83748</v>
      </c>
      <c r="BE11" s="41">
        <v>82427</v>
      </c>
      <c r="BF11" s="41">
        <v>80770</v>
      </c>
      <c r="BG11" s="41">
        <v>79213</v>
      </c>
      <c r="BH11" s="41">
        <v>77993</v>
      </c>
      <c r="BI11" s="41">
        <v>77295</v>
      </c>
      <c r="BJ11" s="41">
        <v>76997</v>
      </c>
      <c r="BK11" s="41">
        <v>77008</v>
      </c>
      <c r="BL11" s="41">
        <v>77146</v>
      </c>
      <c r="BM11" s="41">
        <v>77265</v>
      </c>
    </row>
    <row r="12" spans="1:65" x14ac:dyDescent="0.35">
      <c r="A12" s="41" t="s">
        <v>122</v>
      </c>
      <c r="B12" s="41" t="s">
        <v>123</v>
      </c>
      <c r="C12" s="41" t="s">
        <v>666</v>
      </c>
      <c r="D12" s="41" t="s">
        <v>667</v>
      </c>
      <c r="E12" s="41">
        <v>92197715</v>
      </c>
      <c r="F12" s="41">
        <v>94724540</v>
      </c>
      <c r="G12" s="41">
        <v>97334438</v>
      </c>
      <c r="H12" s="41">
        <v>100034191</v>
      </c>
      <c r="I12" s="41">
        <v>102832792</v>
      </c>
      <c r="J12" s="41">
        <v>105736428</v>
      </c>
      <c r="K12" s="41">
        <v>108758634</v>
      </c>
      <c r="L12" s="41">
        <v>111899335</v>
      </c>
      <c r="M12" s="41">
        <v>115136161</v>
      </c>
      <c r="N12" s="41">
        <v>118437193</v>
      </c>
      <c r="O12" s="41">
        <v>121785630</v>
      </c>
      <c r="P12" s="41">
        <v>125164720</v>
      </c>
      <c r="Q12" s="41">
        <v>128598743</v>
      </c>
      <c r="R12" s="41">
        <v>132161302</v>
      </c>
      <c r="S12" s="41">
        <v>135952270</v>
      </c>
      <c r="T12" s="41">
        <v>140040580</v>
      </c>
      <c r="U12" s="41">
        <v>144453278</v>
      </c>
      <c r="V12" s="41">
        <v>149161836</v>
      </c>
      <c r="W12" s="41">
        <v>154111160</v>
      </c>
      <c r="X12" s="41">
        <v>159218539</v>
      </c>
      <c r="Y12" s="41">
        <v>164420771</v>
      </c>
      <c r="Z12" s="41">
        <v>169698978</v>
      </c>
      <c r="AA12" s="41">
        <v>175061794</v>
      </c>
      <c r="AB12" s="41">
        <v>180505967</v>
      </c>
      <c r="AC12" s="41">
        <v>186035280</v>
      </c>
      <c r="AD12" s="41">
        <v>191650328</v>
      </c>
      <c r="AE12" s="41">
        <v>197338140</v>
      </c>
      <c r="AF12" s="41">
        <v>203084958</v>
      </c>
      <c r="AG12" s="41">
        <v>208889669</v>
      </c>
      <c r="AH12" s="41">
        <v>214753965</v>
      </c>
      <c r="AI12" s="41">
        <v>222653371</v>
      </c>
      <c r="AJ12" s="41">
        <v>228731671</v>
      </c>
      <c r="AK12" s="41">
        <v>232956364</v>
      </c>
      <c r="AL12" s="41">
        <v>239243294</v>
      </c>
      <c r="AM12" s="41">
        <v>245449429</v>
      </c>
      <c r="AN12" s="41">
        <v>253107302</v>
      </c>
      <c r="AO12" s="41">
        <v>259000937</v>
      </c>
      <c r="AP12" s="41">
        <v>264822167</v>
      </c>
      <c r="AQ12" s="41">
        <v>270575777</v>
      </c>
      <c r="AR12" s="41">
        <v>276393809</v>
      </c>
      <c r="AS12" s="41">
        <v>282344141</v>
      </c>
      <c r="AT12" s="41">
        <v>288432153</v>
      </c>
      <c r="AU12" s="41">
        <v>294665202</v>
      </c>
      <c r="AV12" s="41">
        <v>301113869</v>
      </c>
      <c r="AW12" s="41">
        <v>307862846</v>
      </c>
      <c r="AX12" s="41">
        <v>314965776</v>
      </c>
      <c r="AY12" s="41">
        <v>322452764</v>
      </c>
      <c r="AZ12" s="41">
        <v>330290752</v>
      </c>
      <c r="BA12" s="41">
        <v>338395936</v>
      </c>
      <c r="BB12" s="41">
        <v>346629179</v>
      </c>
      <c r="BC12" s="41">
        <v>354890097</v>
      </c>
      <c r="BD12" s="41">
        <v>363156846</v>
      </c>
      <c r="BE12" s="41">
        <v>371437642</v>
      </c>
      <c r="BF12" s="41">
        <v>379696477</v>
      </c>
      <c r="BG12" s="41">
        <v>387899835</v>
      </c>
      <c r="BH12" s="41">
        <v>396028301</v>
      </c>
      <c r="BI12" s="41">
        <v>404042892</v>
      </c>
      <c r="BJ12" s="41">
        <v>411942825</v>
      </c>
      <c r="BK12" s="41">
        <v>419851989</v>
      </c>
      <c r="BL12" s="41">
        <v>427870273</v>
      </c>
      <c r="BM12" s="41">
        <v>436080728</v>
      </c>
    </row>
    <row r="13" spans="1:65" x14ac:dyDescent="0.35">
      <c r="A13" s="41" t="s">
        <v>124</v>
      </c>
      <c r="B13" s="41" t="s">
        <v>125</v>
      </c>
      <c r="C13" s="41" t="s">
        <v>666</v>
      </c>
      <c r="D13" s="41" t="s">
        <v>667</v>
      </c>
      <c r="E13" s="41">
        <v>92417</v>
      </c>
      <c r="F13" s="41">
        <v>100801</v>
      </c>
      <c r="G13" s="41">
        <v>112112</v>
      </c>
      <c r="H13" s="41">
        <v>125130</v>
      </c>
      <c r="I13" s="41">
        <v>138049</v>
      </c>
      <c r="J13" s="41">
        <v>149855</v>
      </c>
      <c r="K13" s="41">
        <v>159979</v>
      </c>
      <c r="L13" s="41">
        <v>169768</v>
      </c>
      <c r="M13" s="41">
        <v>182620</v>
      </c>
      <c r="N13" s="41">
        <v>203103</v>
      </c>
      <c r="O13" s="41">
        <v>234512</v>
      </c>
      <c r="P13" s="41">
        <v>277463</v>
      </c>
      <c r="Q13" s="41">
        <v>330968</v>
      </c>
      <c r="R13" s="41">
        <v>394625</v>
      </c>
      <c r="S13" s="41">
        <v>467457</v>
      </c>
      <c r="T13" s="41">
        <v>548295</v>
      </c>
      <c r="U13" s="41">
        <v>637926</v>
      </c>
      <c r="V13" s="41">
        <v>735347</v>
      </c>
      <c r="W13" s="41">
        <v>835498</v>
      </c>
      <c r="X13" s="41">
        <v>931752</v>
      </c>
      <c r="Y13" s="41">
        <v>1019507</v>
      </c>
      <c r="Z13" s="41">
        <v>1096602</v>
      </c>
      <c r="AA13" s="41">
        <v>1164816</v>
      </c>
      <c r="AB13" s="41">
        <v>1228457</v>
      </c>
      <c r="AC13" s="41">
        <v>1293970</v>
      </c>
      <c r="AD13" s="41">
        <v>1366165</v>
      </c>
      <c r="AE13" s="41">
        <v>1446386</v>
      </c>
      <c r="AF13" s="41">
        <v>1533526</v>
      </c>
      <c r="AG13" s="41">
        <v>1627068</v>
      </c>
      <c r="AH13" s="41">
        <v>1725676</v>
      </c>
      <c r="AI13" s="41">
        <v>1828437</v>
      </c>
      <c r="AJ13" s="41">
        <v>1937159</v>
      </c>
      <c r="AK13" s="41">
        <v>2052892</v>
      </c>
      <c r="AL13" s="41">
        <v>2173135</v>
      </c>
      <c r="AM13" s="41">
        <v>2294377</v>
      </c>
      <c r="AN13" s="41">
        <v>2415099</v>
      </c>
      <c r="AO13" s="41">
        <v>2539121</v>
      </c>
      <c r="AP13" s="41">
        <v>2671361</v>
      </c>
      <c r="AQ13" s="41">
        <v>2813214</v>
      </c>
      <c r="AR13" s="41">
        <v>2966029</v>
      </c>
      <c r="AS13" s="41">
        <v>3134067</v>
      </c>
      <c r="AT13" s="41">
        <v>3302722</v>
      </c>
      <c r="AU13" s="41">
        <v>3478769</v>
      </c>
      <c r="AV13" s="41">
        <v>3711931</v>
      </c>
      <c r="AW13" s="41">
        <v>4068577</v>
      </c>
      <c r="AX13" s="41">
        <v>4588222</v>
      </c>
      <c r="AY13" s="41">
        <v>5300172</v>
      </c>
      <c r="AZ13" s="41">
        <v>6168846</v>
      </c>
      <c r="BA13" s="41">
        <v>7089486</v>
      </c>
      <c r="BB13" s="41">
        <v>7917368</v>
      </c>
      <c r="BC13" s="41">
        <v>8549998</v>
      </c>
      <c r="BD13" s="41">
        <v>8946778</v>
      </c>
      <c r="BE13" s="41">
        <v>9141598</v>
      </c>
      <c r="BF13" s="41">
        <v>9197908</v>
      </c>
      <c r="BG13" s="41">
        <v>9214182</v>
      </c>
      <c r="BH13" s="41">
        <v>9262896</v>
      </c>
      <c r="BI13" s="41">
        <v>9360975</v>
      </c>
      <c r="BJ13" s="41">
        <v>9487206</v>
      </c>
      <c r="BK13" s="41">
        <v>9630966</v>
      </c>
      <c r="BL13" s="41">
        <v>9770526</v>
      </c>
      <c r="BM13" s="41">
        <v>9890400</v>
      </c>
    </row>
    <row r="14" spans="1:65" x14ac:dyDescent="0.35">
      <c r="A14" s="41" t="s">
        <v>126</v>
      </c>
      <c r="B14" s="41" t="s">
        <v>127</v>
      </c>
      <c r="C14" s="41" t="s">
        <v>666</v>
      </c>
      <c r="D14" s="41" t="s">
        <v>667</v>
      </c>
      <c r="E14" s="41">
        <v>20481781</v>
      </c>
      <c r="F14" s="41">
        <v>20817270</v>
      </c>
      <c r="G14" s="41">
        <v>21153042</v>
      </c>
      <c r="H14" s="41">
        <v>21488916</v>
      </c>
      <c r="I14" s="41">
        <v>21824427</v>
      </c>
      <c r="J14" s="41">
        <v>22159644</v>
      </c>
      <c r="K14" s="41">
        <v>22494031</v>
      </c>
      <c r="L14" s="41">
        <v>22828872</v>
      </c>
      <c r="M14" s="41">
        <v>23168268</v>
      </c>
      <c r="N14" s="41">
        <v>23517613</v>
      </c>
      <c r="O14" s="41">
        <v>23880564</v>
      </c>
      <c r="P14" s="41">
        <v>24259564</v>
      </c>
      <c r="Q14" s="41">
        <v>24653172</v>
      </c>
      <c r="R14" s="41">
        <v>25056475</v>
      </c>
      <c r="S14" s="41">
        <v>25462305</v>
      </c>
      <c r="T14" s="41">
        <v>25865775</v>
      </c>
      <c r="U14" s="41">
        <v>26264681</v>
      </c>
      <c r="V14" s="41">
        <v>26661397</v>
      </c>
      <c r="W14" s="41">
        <v>27061041</v>
      </c>
      <c r="X14" s="41">
        <v>27471046</v>
      </c>
      <c r="Y14" s="41">
        <v>27896532</v>
      </c>
      <c r="Z14" s="41">
        <v>28338514</v>
      </c>
      <c r="AA14" s="41">
        <v>28794550</v>
      </c>
      <c r="AB14" s="41">
        <v>29262049</v>
      </c>
      <c r="AC14" s="41">
        <v>29737097</v>
      </c>
      <c r="AD14" s="41">
        <v>30216284</v>
      </c>
      <c r="AE14" s="41">
        <v>30698964</v>
      </c>
      <c r="AF14" s="41">
        <v>31184411</v>
      </c>
      <c r="AG14" s="41">
        <v>31668939</v>
      </c>
      <c r="AH14" s="41">
        <v>32148137</v>
      </c>
      <c r="AI14" s="41">
        <v>32618648</v>
      </c>
      <c r="AJ14" s="41">
        <v>33079002</v>
      </c>
      <c r="AK14" s="41">
        <v>33529320</v>
      </c>
      <c r="AL14" s="41">
        <v>33970103</v>
      </c>
      <c r="AM14" s="41">
        <v>34402669</v>
      </c>
      <c r="AN14" s="41">
        <v>34828168</v>
      </c>
      <c r="AO14" s="41">
        <v>35246376</v>
      </c>
      <c r="AP14" s="41">
        <v>35657438</v>
      </c>
      <c r="AQ14" s="41">
        <v>36063451</v>
      </c>
      <c r="AR14" s="41">
        <v>36467218</v>
      </c>
      <c r="AS14" s="41">
        <v>36870796</v>
      </c>
      <c r="AT14" s="41">
        <v>37275644</v>
      </c>
      <c r="AU14" s="41">
        <v>37681743</v>
      </c>
      <c r="AV14" s="41">
        <v>38087866</v>
      </c>
      <c r="AW14" s="41">
        <v>38491970</v>
      </c>
      <c r="AX14" s="41">
        <v>38892924</v>
      </c>
      <c r="AY14" s="41">
        <v>39289876</v>
      </c>
      <c r="AZ14" s="41">
        <v>39684303</v>
      </c>
      <c r="BA14" s="41">
        <v>40080159</v>
      </c>
      <c r="BB14" s="41">
        <v>40482786</v>
      </c>
      <c r="BC14" s="41">
        <v>40788453</v>
      </c>
      <c r="BD14" s="41">
        <v>41261490</v>
      </c>
      <c r="BE14" s="41">
        <v>41733271</v>
      </c>
      <c r="BF14" s="41">
        <v>42202935</v>
      </c>
      <c r="BG14" s="41">
        <v>42669500</v>
      </c>
      <c r="BH14" s="41">
        <v>43131966</v>
      </c>
      <c r="BI14" s="41">
        <v>43590368</v>
      </c>
      <c r="BJ14" s="41">
        <v>44044811</v>
      </c>
      <c r="BK14" s="41">
        <v>44494502</v>
      </c>
      <c r="BL14" s="41">
        <v>44938712</v>
      </c>
      <c r="BM14" s="41">
        <v>45376763</v>
      </c>
    </row>
    <row r="15" spans="1:65" x14ac:dyDescent="0.35">
      <c r="A15" s="41" t="s">
        <v>128</v>
      </c>
      <c r="B15" s="41" t="s">
        <v>129</v>
      </c>
      <c r="C15" s="41" t="s">
        <v>666</v>
      </c>
      <c r="D15" s="41" t="s">
        <v>667</v>
      </c>
      <c r="E15" s="41">
        <v>1874119</v>
      </c>
      <c r="F15" s="41">
        <v>1941498</v>
      </c>
      <c r="G15" s="41">
        <v>2009524</v>
      </c>
      <c r="H15" s="41">
        <v>2077584</v>
      </c>
      <c r="I15" s="41">
        <v>2145004</v>
      </c>
      <c r="J15" s="41">
        <v>2211316</v>
      </c>
      <c r="K15" s="41">
        <v>2276038</v>
      </c>
      <c r="L15" s="41">
        <v>2339133</v>
      </c>
      <c r="M15" s="41">
        <v>2401142</v>
      </c>
      <c r="N15" s="41">
        <v>2462938</v>
      </c>
      <c r="O15" s="41">
        <v>2525067</v>
      </c>
      <c r="P15" s="41">
        <v>2587716</v>
      </c>
      <c r="Q15" s="41">
        <v>2650484</v>
      </c>
      <c r="R15" s="41">
        <v>2712780</v>
      </c>
      <c r="S15" s="41">
        <v>2773750</v>
      </c>
      <c r="T15" s="41">
        <v>2832752</v>
      </c>
      <c r="U15" s="41">
        <v>2889583</v>
      </c>
      <c r="V15" s="41">
        <v>2944375</v>
      </c>
      <c r="W15" s="41">
        <v>2997419</v>
      </c>
      <c r="X15" s="41">
        <v>3049107</v>
      </c>
      <c r="Y15" s="41">
        <v>3099759</v>
      </c>
      <c r="Z15" s="41">
        <v>3148096</v>
      </c>
      <c r="AA15" s="41">
        <v>3193696</v>
      </c>
      <c r="AB15" s="41">
        <v>3238592</v>
      </c>
      <c r="AC15" s="41">
        <v>3285593</v>
      </c>
      <c r="AD15" s="41">
        <v>3335935</v>
      </c>
      <c r="AE15" s="41">
        <v>3392264</v>
      </c>
      <c r="AF15" s="41">
        <v>3451947</v>
      </c>
      <c r="AG15" s="41">
        <v>3504667</v>
      </c>
      <c r="AH15" s="41">
        <v>3536473</v>
      </c>
      <c r="AI15" s="41">
        <v>3538164</v>
      </c>
      <c r="AJ15" s="41">
        <v>3505249</v>
      </c>
      <c r="AK15" s="41">
        <v>3442820</v>
      </c>
      <c r="AL15" s="41">
        <v>3363111</v>
      </c>
      <c r="AM15" s="41">
        <v>3283664</v>
      </c>
      <c r="AN15" s="41">
        <v>3217349</v>
      </c>
      <c r="AO15" s="41">
        <v>3168213</v>
      </c>
      <c r="AP15" s="41">
        <v>3133081</v>
      </c>
      <c r="AQ15" s="41">
        <v>3108691</v>
      </c>
      <c r="AR15" s="41">
        <v>3089020</v>
      </c>
      <c r="AS15" s="41">
        <v>3069597</v>
      </c>
      <c r="AT15" s="41">
        <v>3050686</v>
      </c>
      <c r="AU15" s="41">
        <v>3033976</v>
      </c>
      <c r="AV15" s="41">
        <v>3017938</v>
      </c>
      <c r="AW15" s="41">
        <v>3000715</v>
      </c>
      <c r="AX15" s="41">
        <v>2981262</v>
      </c>
      <c r="AY15" s="41">
        <v>2958301</v>
      </c>
      <c r="AZ15" s="41">
        <v>2932615</v>
      </c>
      <c r="BA15" s="41">
        <v>2907615</v>
      </c>
      <c r="BB15" s="41">
        <v>2888094</v>
      </c>
      <c r="BC15" s="41">
        <v>2877314</v>
      </c>
      <c r="BD15" s="41">
        <v>2876536</v>
      </c>
      <c r="BE15" s="41">
        <v>2884239</v>
      </c>
      <c r="BF15" s="41">
        <v>2897593</v>
      </c>
      <c r="BG15" s="41">
        <v>2912403</v>
      </c>
      <c r="BH15" s="41">
        <v>2925559</v>
      </c>
      <c r="BI15" s="41">
        <v>2936147</v>
      </c>
      <c r="BJ15" s="41">
        <v>2944789</v>
      </c>
      <c r="BK15" s="41">
        <v>2951741</v>
      </c>
      <c r="BL15" s="41">
        <v>2957728</v>
      </c>
      <c r="BM15" s="41">
        <v>2963234</v>
      </c>
    </row>
    <row r="16" spans="1:65" x14ac:dyDescent="0.35">
      <c r="A16" s="41" t="s">
        <v>130</v>
      </c>
      <c r="B16" s="41" t="s">
        <v>131</v>
      </c>
      <c r="C16" s="41" t="s">
        <v>666</v>
      </c>
      <c r="D16" s="41" t="s">
        <v>667</v>
      </c>
      <c r="E16" s="41">
        <v>20127</v>
      </c>
      <c r="F16" s="41">
        <v>20605</v>
      </c>
      <c r="G16" s="41">
        <v>21246</v>
      </c>
      <c r="H16" s="41">
        <v>22029</v>
      </c>
      <c r="I16" s="41">
        <v>22850</v>
      </c>
      <c r="J16" s="41">
        <v>23675</v>
      </c>
      <c r="K16" s="41">
        <v>24473</v>
      </c>
      <c r="L16" s="41">
        <v>25235</v>
      </c>
      <c r="M16" s="41">
        <v>25980</v>
      </c>
      <c r="N16" s="41">
        <v>26698</v>
      </c>
      <c r="O16" s="41">
        <v>27362</v>
      </c>
      <c r="P16" s="41">
        <v>27982</v>
      </c>
      <c r="Q16" s="41">
        <v>28564</v>
      </c>
      <c r="R16" s="41">
        <v>29103</v>
      </c>
      <c r="S16" s="41">
        <v>29595</v>
      </c>
      <c r="T16" s="41">
        <v>30045</v>
      </c>
      <c r="U16" s="41">
        <v>30455</v>
      </c>
      <c r="V16" s="41">
        <v>30834</v>
      </c>
      <c r="W16" s="41">
        <v>31262</v>
      </c>
      <c r="X16" s="41">
        <v>31842</v>
      </c>
      <c r="Y16" s="41">
        <v>32648</v>
      </c>
      <c r="Z16" s="41">
        <v>33697</v>
      </c>
      <c r="AA16" s="41">
        <v>34969</v>
      </c>
      <c r="AB16" s="41">
        <v>36413</v>
      </c>
      <c r="AC16" s="41">
        <v>37946</v>
      </c>
      <c r="AD16" s="41">
        <v>39521</v>
      </c>
      <c r="AE16" s="41">
        <v>41114</v>
      </c>
      <c r="AF16" s="41">
        <v>42741</v>
      </c>
      <c r="AG16" s="41">
        <v>44346</v>
      </c>
      <c r="AH16" s="41">
        <v>45894</v>
      </c>
      <c r="AI16" s="41">
        <v>47351</v>
      </c>
      <c r="AJ16" s="41">
        <v>48682</v>
      </c>
      <c r="AK16" s="41">
        <v>49900</v>
      </c>
      <c r="AL16" s="41">
        <v>51025</v>
      </c>
      <c r="AM16" s="41">
        <v>52099</v>
      </c>
      <c r="AN16" s="41">
        <v>53158</v>
      </c>
      <c r="AO16" s="41">
        <v>54209</v>
      </c>
      <c r="AP16" s="41">
        <v>55227</v>
      </c>
      <c r="AQ16" s="41">
        <v>56180</v>
      </c>
      <c r="AR16" s="41">
        <v>57049</v>
      </c>
      <c r="AS16" s="41">
        <v>57816</v>
      </c>
      <c r="AT16" s="41">
        <v>58496</v>
      </c>
      <c r="AU16" s="41">
        <v>59077</v>
      </c>
      <c r="AV16" s="41">
        <v>59495</v>
      </c>
      <c r="AW16" s="41">
        <v>59684</v>
      </c>
      <c r="AX16" s="41">
        <v>59557</v>
      </c>
      <c r="AY16" s="41">
        <v>59109</v>
      </c>
      <c r="AZ16" s="41">
        <v>58367</v>
      </c>
      <c r="BA16" s="41">
        <v>57490</v>
      </c>
      <c r="BB16" s="41">
        <v>56675</v>
      </c>
      <c r="BC16" s="41">
        <v>56084</v>
      </c>
      <c r="BD16" s="41">
        <v>55755</v>
      </c>
      <c r="BE16" s="41">
        <v>55669</v>
      </c>
      <c r="BF16" s="41">
        <v>55717</v>
      </c>
      <c r="BG16" s="41">
        <v>55791</v>
      </c>
      <c r="BH16" s="41">
        <v>55806</v>
      </c>
      <c r="BI16" s="41">
        <v>55739</v>
      </c>
      <c r="BJ16" s="41">
        <v>55617</v>
      </c>
      <c r="BK16" s="41">
        <v>55461</v>
      </c>
      <c r="BL16" s="41">
        <v>55312</v>
      </c>
      <c r="BM16" s="41">
        <v>55197</v>
      </c>
    </row>
    <row r="17" spans="1:65" x14ac:dyDescent="0.35">
      <c r="A17" s="41" t="s">
        <v>132</v>
      </c>
      <c r="B17" s="41" t="s">
        <v>133</v>
      </c>
      <c r="C17" s="41" t="s">
        <v>666</v>
      </c>
      <c r="D17" s="41" t="s">
        <v>667</v>
      </c>
      <c r="E17" s="41">
        <v>54132</v>
      </c>
      <c r="F17" s="41">
        <v>55005</v>
      </c>
      <c r="G17" s="41">
        <v>55849</v>
      </c>
      <c r="H17" s="41">
        <v>56701</v>
      </c>
      <c r="I17" s="41">
        <v>57641</v>
      </c>
      <c r="J17" s="41">
        <v>58699</v>
      </c>
      <c r="K17" s="41">
        <v>59912</v>
      </c>
      <c r="L17" s="41">
        <v>61240</v>
      </c>
      <c r="M17" s="41">
        <v>62523</v>
      </c>
      <c r="N17" s="41">
        <v>63553</v>
      </c>
      <c r="O17" s="41">
        <v>64184</v>
      </c>
      <c r="P17" s="41">
        <v>64354</v>
      </c>
      <c r="Q17" s="41">
        <v>64134</v>
      </c>
      <c r="R17" s="41">
        <v>63649</v>
      </c>
      <c r="S17" s="41">
        <v>63108</v>
      </c>
      <c r="T17" s="41">
        <v>62671</v>
      </c>
      <c r="U17" s="41">
        <v>62353</v>
      </c>
      <c r="V17" s="41">
        <v>62162</v>
      </c>
      <c r="W17" s="41">
        <v>62038</v>
      </c>
      <c r="X17" s="41">
        <v>61948</v>
      </c>
      <c r="Y17" s="41">
        <v>61861</v>
      </c>
      <c r="Z17" s="41">
        <v>61789</v>
      </c>
      <c r="AA17" s="41">
        <v>61780</v>
      </c>
      <c r="AB17" s="41">
        <v>61779</v>
      </c>
      <c r="AC17" s="41">
        <v>61784</v>
      </c>
      <c r="AD17" s="41">
        <v>61785</v>
      </c>
      <c r="AE17" s="41">
        <v>61754</v>
      </c>
      <c r="AF17" s="41">
        <v>61713</v>
      </c>
      <c r="AG17" s="41">
        <v>61758</v>
      </c>
      <c r="AH17" s="41">
        <v>62007</v>
      </c>
      <c r="AI17" s="41">
        <v>62533</v>
      </c>
      <c r="AJ17" s="41">
        <v>63363</v>
      </c>
      <c r="AK17" s="41">
        <v>64459</v>
      </c>
      <c r="AL17" s="41">
        <v>65777</v>
      </c>
      <c r="AM17" s="41">
        <v>67201</v>
      </c>
      <c r="AN17" s="41">
        <v>68672</v>
      </c>
      <c r="AO17" s="41">
        <v>70176</v>
      </c>
      <c r="AP17" s="41">
        <v>71707</v>
      </c>
      <c r="AQ17" s="41">
        <v>73219</v>
      </c>
      <c r="AR17" s="41">
        <v>74674</v>
      </c>
      <c r="AS17" s="41">
        <v>76007</v>
      </c>
      <c r="AT17" s="41">
        <v>77212</v>
      </c>
      <c r="AU17" s="41">
        <v>78298</v>
      </c>
      <c r="AV17" s="41">
        <v>79311</v>
      </c>
      <c r="AW17" s="41">
        <v>80347</v>
      </c>
      <c r="AX17" s="41">
        <v>81462</v>
      </c>
      <c r="AY17" s="41">
        <v>82715</v>
      </c>
      <c r="AZ17" s="41">
        <v>84029</v>
      </c>
      <c r="BA17" s="41">
        <v>85394</v>
      </c>
      <c r="BB17" s="41">
        <v>86743</v>
      </c>
      <c r="BC17" s="41">
        <v>88030</v>
      </c>
      <c r="BD17" s="41">
        <v>89250</v>
      </c>
      <c r="BE17" s="41">
        <v>90407</v>
      </c>
      <c r="BF17" s="41">
        <v>91510</v>
      </c>
      <c r="BG17" s="41">
        <v>92562</v>
      </c>
      <c r="BH17" s="41">
        <v>93571</v>
      </c>
      <c r="BI17" s="41">
        <v>94520</v>
      </c>
      <c r="BJ17" s="41">
        <v>95425</v>
      </c>
      <c r="BK17" s="41">
        <v>96282</v>
      </c>
      <c r="BL17" s="41">
        <v>97115</v>
      </c>
      <c r="BM17" s="41">
        <v>97928</v>
      </c>
    </row>
    <row r="18" spans="1:65" x14ac:dyDescent="0.35">
      <c r="A18" s="41" t="s">
        <v>134</v>
      </c>
      <c r="B18" s="41" t="s">
        <v>135</v>
      </c>
      <c r="C18" s="41" t="s">
        <v>666</v>
      </c>
      <c r="D18" s="41" t="s">
        <v>667</v>
      </c>
      <c r="E18" s="41">
        <v>10276477</v>
      </c>
      <c r="F18" s="41">
        <v>10483000</v>
      </c>
      <c r="G18" s="41">
        <v>10742000</v>
      </c>
      <c r="H18" s="41">
        <v>10950000</v>
      </c>
      <c r="I18" s="41">
        <v>11167000</v>
      </c>
      <c r="J18" s="41">
        <v>11388000</v>
      </c>
      <c r="K18" s="41">
        <v>11651000</v>
      </c>
      <c r="L18" s="41">
        <v>11799000</v>
      </c>
      <c r="M18" s="41">
        <v>12009000</v>
      </c>
      <c r="N18" s="41">
        <v>12263000</v>
      </c>
      <c r="O18" s="41">
        <v>12507000</v>
      </c>
      <c r="P18" s="41">
        <v>12937000</v>
      </c>
      <c r="Q18" s="41">
        <v>13177000</v>
      </c>
      <c r="R18" s="41">
        <v>13380000</v>
      </c>
      <c r="S18" s="41">
        <v>13723000</v>
      </c>
      <c r="T18" s="41">
        <v>13893000</v>
      </c>
      <c r="U18" s="41">
        <v>14033000</v>
      </c>
      <c r="V18" s="41">
        <v>14192000</v>
      </c>
      <c r="W18" s="41">
        <v>14358000</v>
      </c>
      <c r="X18" s="41">
        <v>14514000</v>
      </c>
      <c r="Y18" s="41">
        <v>14692000</v>
      </c>
      <c r="Z18" s="41">
        <v>14927000</v>
      </c>
      <c r="AA18" s="41">
        <v>15178000</v>
      </c>
      <c r="AB18" s="41">
        <v>15369000</v>
      </c>
      <c r="AC18" s="41">
        <v>15544000</v>
      </c>
      <c r="AD18" s="41">
        <v>15758000</v>
      </c>
      <c r="AE18" s="41">
        <v>16018400</v>
      </c>
      <c r="AF18" s="41">
        <v>16263900</v>
      </c>
      <c r="AG18" s="41">
        <v>16532200</v>
      </c>
      <c r="AH18" s="41">
        <v>16814400</v>
      </c>
      <c r="AI18" s="41">
        <v>17065100</v>
      </c>
      <c r="AJ18" s="41">
        <v>17284000</v>
      </c>
      <c r="AK18" s="41">
        <v>17495000</v>
      </c>
      <c r="AL18" s="41">
        <v>17667000</v>
      </c>
      <c r="AM18" s="41">
        <v>17855000</v>
      </c>
      <c r="AN18" s="41">
        <v>18072000</v>
      </c>
      <c r="AO18" s="41">
        <v>18311000</v>
      </c>
      <c r="AP18" s="41">
        <v>18517000</v>
      </c>
      <c r="AQ18" s="41">
        <v>18711000</v>
      </c>
      <c r="AR18" s="41">
        <v>18926000</v>
      </c>
      <c r="AS18" s="41">
        <v>19153000</v>
      </c>
      <c r="AT18" s="41">
        <v>19413000</v>
      </c>
      <c r="AU18" s="41">
        <v>19651400</v>
      </c>
      <c r="AV18" s="41">
        <v>19895400</v>
      </c>
      <c r="AW18" s="41">
        <v>20127400</v>
      </c>
      <c r="AX18" s="41">
        <v>20394800</v>
      </c>
      <c r="AY18" s="41">
        <v>20697900</v>
      </c>
      <c r="AZ18" s="41">
        <v>20827600</v>
      </c>
      <c r="BA18" s="41">
        <v>21249200</v>
      </c>
      <c r="BB18" s="41">
        <v>21691700</v>
      </c>
      <c r="BC18" s="41">
        <v>22031750</v>
      </c>
      <c r="BD18" s="41">
        <v>22340024</v>
      </c>
      <c r="BE18" s="41">
        <v>22733465</v>
      </c>
      <c r="BF18" s="41">
        <v>23128129</v>
      </c>
      <c r="BG18" s="41">
        <v>23475686</v>
      </c>
      <c r="BH18" s="41">
        <v>23815995</v>
      </c>
      <c r="BI18" s="41">
        <v>24190907</v>
      </c>
      <c r="BJ18" s="41">
        <v>24601860</v>
      </c>
      <c r="BK18" s="41">
        <v>24982688</v>
      </c>
      <c r="BL18" s="41">
        <v>25365745</v>
      </c>
      <c r="BM18" s="41">
        <v>25687041</v>
      </c>
    </row>
    <row r="19" spans="1:65" x14ac:dyDescent="0.35">
      <c r="A19" s="41" t="s">
        <v>136</v>
      </c>
      <c r="B19" s="41" t="s">
        <v>137</v>
      </c>
      <c r="C19" s="41" t="s">
        <v>666</v>
      </c>
      <c r="D19" s="41" t="s">
        <v>667</v>
      </c>
      <c r="E19" s="41">
        <v>7047539</v>
      </c>
      <c r="F19" s="41">
        <v>7086299</v>
      </c>
      <c r="G19" s="41">
        <v>7129864</v>
      </c>
      <c r="H19" s="41">
        <v>7175811</v>
      </c>
      <c r="I19" s="41">
        <v>7223801</v>
      </c>
      <c r="J19" s="41">
        <v>7270889</v>
      </c>
      <c r="K19" s="41">
        <v>7322066</v>
      </c>
      <c r="L19" s="41">
        <v>7376998</v>
      </c>
      <c r="M19" s="41">
        <v>7415403</v>
      </c>
      <c r="N19" s="41">
        <v>7441055</v>
      </c>
      <c r="O19" s="41">
        <v>7467086</v>
      </c>
      <c r="P19" s="41">
        <v>7500482</v>
      </c>
      <c r="Q19" s="41">
        <v>7544201</v>
      </c>
      <c r="R19" s="41">
        <v>7586115</v>
      </c>
      <c r="S19" s="41">
        <v>7599038</v>
      </c>
      <c r="T19" s="41">
        <v>7578903</v>
      </c>
      <c r="U19" s="41">
        <v>7565525</v>
      </c>
      <c r="V19" s="41">
        <v>7568430</v>
      </c>
      <c r="W19" s="41">
        <v>7562305</v>
      </c>
      <c r="X19" s="41">
        <v>7549425</v>
      </c>
      <c r="Y19" s="41">
        <v>7549433</v>
      </c>
      <c r="Z19" s="41">
        <v>7568710</v>
      </c>
      <c r="AA19" s="41">
        <v>7574140</v>
      </c>
      <c r="AB19" s="41">
        <v>7561910</v>
      </c>
      <c r="AC19" s="41">
        <v>7561434</v>
      </c>
      <c r="AD19" s="41">
        <v>7564985</v>
      </c>
      <c r="AE19" s="41">
        <v>7569794</v>
      </c>
      <c r="AF19" s="41">
        <v>7574586</v>
      </c>
      <c r="AG19" s="41">
        <v>7585317</v>
      </c>
      <c r="AH19" s="41">
        <v>7619567</v>
      </c>
      <c r="AI19" s="41">
        <v>7677850</v>
      </c>
      <c r="AJ19" s="41">
        <v>7754891</v>
      </c>
      <c r="AK19" s="41">
        <v>7840709</v>
      </c>
      <c r="AL19" s="41">
        <v>7905633</v>
      </c>
      <c r="AM19" s="41">
        <v>7936118</v>
      </c>
      <c r="AN19" s="41">
        <v>7948278</v>
      </c>
      <c r="AO19" s="41">
        <v>7959017</v>
      </c>
      <c r="AP19" s="41">
        <v>7968041</v>
      </c>
      <c r="AQ19" s="41">
        <v>7976789</v>
      </c>
      <c r="AR19" s="41">
        <v>7992324</v>
      </c>
      <c r="AS19" s="41">
        <v>8011566</v>
      </c>
      <c r="AT19" s="41">
        <v>8042293</v>
      </c>
      <c r="AU19" s="41">
        <v>8081957</v>
      </c>
      <c r="AV19" s="41">
        <v>8121423</v>
      </c>
      <c r="AW19" s="41">
        <v>8171966</v>
      </c>
      <c r="AX19" s="41">
        <v>8227829</v>
      </c>
      <c r="AY19" s="41">
        <v>8268641</v>
      </c>
      <c r="AZ19" s="41">
        <v>8295487</v>
      </c>
      <c r="BA19" s="41">
        <v>8321496</v>
      </c>
      <c r="BB19" s="41">
        <v>8343323</v>
      </c>
      <c r="BC19" s="41">
        <v>8363404</v>
      </c>
      <c r="BD19" s="41">
        <v>8391643</v>
      </c>
      <c r="BE19" s="41">
        <v>8429991</v>
      </c>
      <c r="BF19" s="41">
        <v>8479823</v>
      </c>
      <c r="BG19" s="41">
        <v>8546356</v>
      </c>
      <c r="BH19" s="41">
        <v>8642699</v>
      </c>
      <c r="BI19" s="41">
        <v>8736668</v>
      </c>
      <c r="BJ19" s="41">
        <v>8797566</v>
      </c>
      <c r="BK19" s="41">
        <v>8840521</v>
      </c>
      <c r="BL19" s="41">
        <v>8879920</v>
      </c>
      <c r="BM19" s="41">
        <v>8917205</v>
      </c>
    </row>
    <row r="20" spans="1:65" x14ac:dyDescent="0.35">
      <c r="A20" s="41" t="s">
        <v>138</v>
      </c>
      <c r="B20" s="41" t="s">
        <v>139</v>
      </c>
      <c r="C20" s="41" t="s">
        <v>666</v>
      </c>
      <c r="D20" s="41" t="s">
        <v>667</v>
      </c>
      <c r="E20" s="41">
        <v>3895398</v>
      </c>
      <c r="F20" s="41">
        <v>4030325</v>
      </c>
      <c r="G20" s="41">
        <v>4171428</v>
      </c>
      <c r="H20" s="41">
        <v>4315127</v>
      </c>
      <c r="I20" s="41">
        <v>4456691</v>
      </c>
      <c r="J20" s="41">
        <v>4592601</v>
      </c>
      <c r="K20" s="41">
        <v>4721528</v>
      </c>
      <c r="L20" s="41">
        <v>4843872</v>
      </c>
      <c r="M20" s="41">
        <v>4960237</v>
      </c>
      <c r="N20" s="41">
        <v>5071930</v>
      </c>
      <c r="O20" s="41">
        <v>5180032</v>
      </c>
      <c r="P20" s="41">
        <v>5284518</v>
      </c>
      <c r="Q20" s="41">
        <v>5385266</v>
      </c>
      <c r="R20" s="41">
        <v>5483088</v>
      </c>
      <c r="S20" s="41">
        <v>5579071</v>
      </c>
      <c r="T20" s="41">
        <v>5674129</v>
      </c>
      <c r="U20" s="41">
        <v>5768730</v>
      </c>
      <c r="V20" s="41">
        <v>5863138</v>
      </c>
      <c r="W20" s="41">
        <v>5957927</v>
      </c>
      <c r="X20" s="41">
        <v>6053635</v>
      </c>
      <c r="Y20" s="41">
        <v>6150735</v>
      </c>
      <c r="Z20" s="41">
        <v>6249312</v>
      </c>
      <c r="AA20" s="41">
        <v>6349555</v>
      </c>
      <c r="AB20" s="41">
        <v>6452067</v>
      </c>
      <c r="AC20" s="41">
        <v>6557581</v>
      </c>
      <c r="AD20" s="41">
        <v>6666447</v>
      </c>
      <c r="AE20" s="41">
        <v>6778631</v>
      </c>
      <c r="AF20" s="41">
        <v>6893486</v>
      </c>
      <c r="AG20" s="41">
        <v>7010027</v>
      </c>
      <c r="AH20" s="41">
        <v>7126877</v>
      </c>
      <c r="AI20" s="41">
        <v>7159000</v>
      </c>
      <c r="AJ20" s="41">
        <v>7271000</v>
      </c>
      <c r="AK20" s="41">
        <v>7382000</v>
      </c>
      <c r="AL20" s="41">
        <v>7495000</v>
      </c>
      <c r="AM20" s="41">
        <v>7597000</v>
      </c>
      <c r="AN20" s="41">
        <v>7685000</v>
      </c>
      <c r="AO20" s="41">
        <v>7763000</v>
      </c>
      <c r="AP20" s="41">
        <v>7838250</v>
      </c>
      <c r="AQ20" s="41">
        <v>7913000</v>
      </c>
      <c r="AR20" s="41">
        <v>7982750</v>
      </c>
      <c r="AS20" s="41">
        <v>8048600</v>
      </c>
      <c r="AT20" s="41">
        <v>8111200</v>
      </c>
      <c r="AU20" s="41">
        <v>8171950</v>
      </c>
      <c r="AV20" s="41">
        <v>8234100</v>
      </c>
      <c r="AW20" s="41">
        <v>8306500</v>
      </c>
      <c r="AX20" s="41">
        <v>8391850</v>
      </c>
      <c r="AY20" s="41">
        <v>8484550</v>
      </c>
      <c r="AZ20" s="41">
        <v>8581300</v>
      </c>
      <c r="BA20" s="41">
        <v>8763400</v>
      </c>
      <c r="BB20" s="41">
        <v>8947243</v>
      </c>
      <c r="BC20" s="41">
        <v>9054332</v>
      </c>
      <c r="BD20" s="41">
        <v>9173082</v>
      </c>
      <c r="BE20" s="41">
        <v>9295784</v>
      </c>
      <c r="BF20" s="41">
        <v>9416801</v>
      </c>
      <c r="BG20" s="41">
        <v>9535079</v>
      </c>
      <c r="BH20" s="41">
        <v>9649341</v>
      </c>
      <c r="BI20" s="41">
        <v>9757812</v>
      </c>
      <c r="BJ20" s="41">
        <v>9854033</v>
      </c>
      <c r="BK20" s="41">
        <v>9939771</v>
      </c>
      <c r="BL20" s="41">
        <v>10024283</v>
      </c>
      <c r="BM20" s="41">
        <v>10110116</v>
      </c>
    </row>
    <row r="21" spans="1:65" x14ac:dyDescent="0.35">
      <c r="A21" s="41" t="s">
        <v>140</v>
      </c>
      <c r="B21" s="41" t="s">
        <v>141</v>
      </c>
      <c r="C21" s="41" t="s">
        <v>666</v>
      </c>
      <c r="D21" s="41" t="s">
        <v>667</v>
      </c>
      <c r="E21" s="41">
        <v>2797925</v>
      </c>
      <c r="F21" s="41">
        <v>2852438</v>
      </c>
      <c r="G21" s="41">
        <v>2907320</v>
      </c>
      <c r="H21" s="41">
        <v>2964416</v>
      </c>
      <c r="I21" s="41">
        <v>3026292</v>
      </c>
      <c r="J21" s="41">
        <v>3094378</v>
      </c>
      <c r="K21" s="41">
        <v>3170496</v>
      </c>
      <c r="L21" s="41">
        <v>3253215</v>
      </c>
      <c r="M21" s="41">
        <v>3336930</v>
      </c>
      <c r="N21" s="41">
        <v>3413909</v>
      </c>
      <c r="O21" s="41">
        <v>3479070</v>
      </c>
      <c r="P21" s="41">
        <v>3530000</v>
      </c>
      <c r="Q21" s="41">
        <v>3569655</v>
      </c>
      <c r="R21" s="41">
        <v>3605120</v>
      </c>
      <c r="S21" s="41">
        <v>3646428</v>
      </c>
      <c r="T21" s="41">
        <v>3700879</v>
      </c>
      <c r="U21" s="41">
        <v>3770870</v>
      </c>
      <c r="V21" s="41">
        <v>3854446</v>
      </c>
      <c r="W21" s="41">
        <v>3949264</v>
      </c>
      <c r="X21" s="41">
        <v>4051239</v>
      </c>
      <c r="Y21" s="41">
        <v>4157296</v>
      </c>
      <c r="Z21" s="41">
        <v>4266520</v>
      </c>
      <c r="AA21" s="41">
        <v>4379727</v>
      </c>
      <c r="AB21" s="41">
        <v>4497544</v>
      </c>
      <c r="AC21" s="41">
        <v>4621096</v>
      </c>
      <c r="AD21" s="41">
        <v>4750832</v>
      </c>
      <c r="AE21" s="41">
        <v>4886745</v>
      </c>
      <c r="AF21" s="41">
        <v>5027143</v>
      </c>
      <c r="AG21" s="41">
        <v>5168703</v>
      </c>
      <c r="AH21" s="41">
        <v>5307069</v>
      </c>
      <c r="AI21" s="41">
        <v>5438959</v>
      </c>
      <c r="AJ21" s="41">
        <v>5564923</v>
      </c>
      <c r="AK21" s="41">
        <v>5685569</v>
      </c>
      <c r="AL21" s="41">
        <v>5798054</v>
      </c>
      <c r="AM21" s="41">
        <v>5898964</v>
      </c>
      <c r="AN21" s="41">
        <v>5987044</v>
      </c>
      <c r="AO21" s="41">
        <v>6060110</v>
      </c>
      <c r="AP21" s="41">
        <v>6122130</v>
      </c>
      <c r="AQ21" s="41">
        <v>6185564</v>
      </c>
      <c r="AR21" s="41">
        <v>6267132</v>
      </c>
      <c r="AS21" s="41">
        <v>6378871</v>
      </c>
      <c r="AT21" s="41">
        <v>6525546</v>
      </c>
      <c r="AU21" s="41">
        <v>6704118</v>
      </c>
      <c r="AV21" s="41">
        <v>6909161</v>
      </c>
      <c r="AW21" s="41">
        <v>7131688</v>
      </c>
      <c r="AX21" s="41">
        <v>7364857</v>
      </c>
      <c r="AY21" s="41">
        <v>7607850</v>
      </c>
      <c r="AZ21" s="41">
        <v>7862226</v>
      </c>
      <c r="BA21" s="41">
        <v>8126104</v>
      </c>
      <c r="BB21" s="41">
        <v>8397661</v>
      </c>
      <c r="BC21" s="41">
        <v>8675606</v>
      </c>
      <c r="BD21" s="41">
        <v>8958406</v>
      </c>
      <c r="BE21" s="41">
        <v>9245992</v>
      </c>
      <c r="BF21" s="41">
        <v>9540302</v>
      </c>
      <c r="BG21" s="41">
        <v>9844301</v>
      </c>
      <c r="BH21" s="41">
        <v>10160034</v>
      </c>
      <c r="BI21" s="41">
        <v>10488002</v>
      </c>
      <c r="BJ21" s="41">
        <v>10827010</v>
      </c>
      <c r="BK21" s="41">
        <v>11175379</v>
      </c>
      <c r="BL21" s="41">
        <v>11530577</v>
      </c>
      <c r="BM21" s="41">
        <v>11890781</v>
      </c>
    </row>
    <row r="22" spans="1:65" x14ac:dyDescent="0.35">
      <c r="A22" s="41" t="s">
        <v>142</v>
      </c>
      <c r="B22" s="41" t="s">
        <v>143</v>
      </c>
      <c r="C22" s="41" t="s">
        <v>666</v>
      </c>
      <c r="D22" s="41" t="s">
        <v>667</v>
      </c>
      <c r="E22" s="41">
        <v>9153489</v>
      </c>
      <c r="F22" s="41">
        <v>9183948</v>
      </c>
      <c r="G22" s="41">
        <v>9220578</v>
      </c>
      <c r="H22" s="41">
        <v>9289770</v>
      </c>
      <c r="I22" s="41">
        <v>9378113</v>
      </c>
      <c r="J22" s="41">
        <v>9463667</v>
      </c>
      <c r="K22" s="41">
        <v>9527807</v>
      </c>
      <c r="L22" s="41">
        <v>9580991</v>
      </c>
      <c r="M22" s="41">
        <v>9618756</v>
      </c>
      <c r="N22" s="41">
        <v>9646032</v>
      </c>
      <c r="O22" s="41">
        <v>9655549</v>
      </c>
      <c r="P22" s="41">
        <v>9673162</v>
      </c>
      <c r="Q22" s="41">
        <v>9711115</v>
      </c>
      <c r="R22" s="41">
        <v>9741720</v>
      </c>
      <c r="S22" s="41">
        <v>9772419</v>
      </c>
      <c r="T22" s="41">
        <v>9800700</v>
      </c>
      <c r="U22" s="41">
        <v>9818227</v>
      </c>
      <c r="V22" s="41">
        <v>9830358</v>
      </c>
      <c r="W22" s="41">
        <v>9839534</v>
      </c>
      <c r="X22" s="41">
        <v>9848382</v>
      </c>
      <c r="Y22" s="41">
        <v>9859242</v>
      </c>
      <c r="Z22" s="41">
        <v>9858982</v>
      </c>
      <c r="AA22" s="41">
        <v>9856303</v>
      </c>
      <c r="AB22" s="41">
        <v>9855520</v>
      </c>
      <c r="AC22" s="41">
        <v>9855372</v>
      </c>
      <c r="AD22" s="41">
        <v>9858308</v>
      </c>
      <c r="AE22" s="41">
        <v>9861823</v>
      </c>
      <c r="AF22" s="41">
        <v>9870234</v>
      </c>
      <c r="AG22" s="41">
        <v>9901664</v>
      </c>
      <c r="AH22" s="41">
        <v>9937697</v>
      </c>
      <c r="AI22" s="41">
        <v>9967379</v>
      </c>
      <c r="AJ22" s="41">
        <v>10004486</v>
      </c>
      <c r="AK22" s="41">
        <v>10045158</v>
      </c>
      <c r="AL22" s="41">
        <v>10084475</v>
      </c>
      <c r="AM22" s="41">
        <v>10115603</v>
      </c>
      <c r="AN22" s="41">
        <v>10136811</v>
      </c>
      <c r="AO22" s="41">
        <v>10156637</v>
      </c>
      <c r="AP22" s="41">
        <v>10181245</v>
      </c>
      <c r="AQ22" s="41">
        <v>10203008</v>
      </c>
      <c r="AR22" s="41">
        <v>10226419</v>
      </c>
      <c r="AS22" s="41">
        <v>10251250</v>
      </c>
      <c r="AT22" s="41">
        <v>10286570</v>
      </c>
      <c r="AU22" s="41">
        <v>10332785</v>
      </c>
      <c r="AV22" s="41">
        <v>10376133</v>
      </c>
      <c r="AW22" s="41">
        <v>10421137</v>
      </c>
      <c r="AX22" s="41">
        <v>10478617</v>
      </c>
      <c r="AY22" s="41">
        <v>10547958</v>
      </c>
      <c r="AZ22" s="41">
        <v>10625700</v>
      </c>
      <c r="BA22" s="41">
        <v>10709973</v>
      </c>
      <c r="BB22" s="41">
        <v>10796493</v>
      </c>
      <c r="BC22" s="41">
        <v>10895586</v>
      </c>
      <c r="BD22" s="41">
        <v>11038264</v>
      </c>
      <c r="BE22" s="41">
        <v>11106932</v>
      </c>
      <c r="BF22" s="41">
        <v>11159407</v>
      </c>
      <c r="BG22" s="41">
        <v>11209057</v>
      </c>
      <c r="BH22" s="41">
        <v>11274196</v>
      </c>
      <c r="BI22" s="41">
        <v>11331422</v>
      </c>
      <c r="BJ22" s="41">
        <v>11375158</v>
      </c>
      <c r="BK22" s="41">
        <v>11427054</v>
      </c>
      <c r="BL22" s="41">
        <v>11488980</v>
      </c>
      <c r="BM22" s="41">
        <v>11555997</v>
      </c>
    </row>
    <row r="23" spans="1:65" x14ac:dyDescent="0.35">
      <c r="A23" s="41" t="s">
        <v>144</v>
      </c>
      <c r="B23" s="41" t="s">
        <v>145</v>
      </c>
      <c r="C23" s="41" t="s">
        <v>666</v>
      </c>
      <c r="D23" s="41" t="s">
        <v>667</v>
      </c>
      <c r="E23" s="41">
        <v>2431617</v>
      </c>
      <c r="F23" s="41">
        <v>2465865</v>
      </c>
      <c r="G23" s="41">
        <v>2502897</v>
      </c>
      <c r="H23" s="41">
        <v>2542864</v>
      </c>
      <c r="I23" s="41">
        <v>2585961</v>
      </c>
      <c r="J23" s="41">
        <v>2632361</v>
      </c>
      <c r="K23" s="41">
        <v>2682159</v>
      </c>
      <c r="L23" s="41">
        <v>2735308</v>
      </c>
      <c r="M23" s="41">
        <v>2791588</v>
      </c>
      <c r="N23" s="41">
        <v>2850657</v>
      </c>
      <c r="O23" s="41">
        <v>2912338</v>
      </c>
      <c r="P23" s="41">
        <v>2976575</v>
      </c>
      <c r="Q23" s="41">
        <v>3043563</v>
      </c>
      <c r="R23" s="41">
        <v>3113681</v>
      </c>
      <c r="S23" s="41">
        <v>3187413</v>
      </c>
      <c r="T23" s="41">
        <v>3265167</v>
      </c>
      <c r="U23" s="41">
        <v>3347169</v>
      </c>
      <c r="V23" s="41">
        <v>3433445</v>
      </c>
      <c r="W23" s="41">
        <v>3523933</v>
      </c>
      <c r="X23" s="41">
        <v>3618519</v>
      </c>
      <c r="Y23" s="41">
        <v>3717161</v>
      </c>
      <c r="Z23" s="41">
        <v>3820126</v>
      </c>
      <c r="AA23" s="41">
        <v>3927717</v>
      </c>
      <c r="AB23" s="41">
        <v>4039940</v>
      </c>
      <c r="AC23" s="41">
        <v>4156819</v>
      </c>
      <c r="AD23" s="41">
        <v>4278502</v>
      </c>
      <c r="AE23" s="41">
        <v>4404504</v>
      </c>
      <c r="AF23" s="41">
        <v>4535262</v>
      </c>
      <c r="AG23" s="41">
        <v>4672844</v>
      </c>
      <c r="AH23" s="41">
        <v>4820020</v>
      </c>
      <c r="AI23" s="41">
        <v>4978489</v>
      </c>
      <c r="AJ23" s="41">
        <v>5149496</v>
      </c>
      <c r="AK23" s="41">
        <v>5331805</v>
      </c>
      <c r="AL23" s="41">
        <v>5521761</v>
      </c>
      <c r="AM23" s="41">
        <v>5714215</v>
      </c>
      <c r="AN23" s="41">
        <v>5905552</v>
      </c>
      <c r="AO23" s="41">
        <v>6094272</v>
      </c>
      <c r="AP23" s="41">
        <v>6281644</v>
      </c>
      <c r="AQ23" s="41">
        <v>6470275</v>
      </c>
      <c r="AR23" s="41">
        <v>6664102</v>
      </c>
      <c r="AS23" s="41">
        <v>6865946</v>
      </c>
      <c r="AT23" s="41">
        <v>7076728</v>
      </c>
      <c r="AU23" s="41">
        <v>7295400</v>
      </c>
      <c r="AV23" s="41">
        <v>7520556</v>
      </c>
      <c r="AW23" s="41">
        <v>7750003</v>
      </c>
      <c r="AX23" s="41">
        <v>7982223</v>
      </c>
      <c r="AY23" s="41">
        <v>8216893</v>
      </c>
      <c r="AZ23" s="41">
        <v>8454790</v>
      </c>
      <c r="BA23" s="41">
        <v>8696915</v>
      </c>
      <c r="BB23" s="41">
        <v>8944713</v>
      </c>
      <c r="BC23" s="41">
        <v>9199254</v>
      </c>
      <c r="BD23" s="41">
        <v>9460829</v>
      </c>
      <c r="BE23" s="41">
        <v>9729254</v>
      </c>
      <c r="BF23" s="41">
        <v>10004594</v>
      </c>
      <c r="BG23" s="41">
        <v>10286839</v>
      </c>
      <c r="BH23" s="41">
        <v>10575962</v>
      </c>
      <c r="BI23" s="41">
        <v>10872072</v>
      </c>
      <c r="BJ23" s="41">
        <v>11175192</v>
      </c>
      <c r="BK23" s="41">
        <v>11485035</v>
      </c>
      <c r="BL23" s="41">
        <v>11801151</v>
      </c>
      <c r="BM23" s="41">
        <v>12123198</v>
      </c>
    </row>
    <row r="24" spans="1:65" x14ac:dyDescent="0.35">
      <c r="A24" s="41" t="s">
        <v>146</v>
      </c>
      <c r="B24" s="41" t="s">
        <v>147</v>
      </c>
      <c r="C24" s="41" t="s">
        <v>666</v>
      </c>
      <c r="D24" s="41" t="s">
        <v>667</v>
      </c>
      <c r="E24" s="41">
        <v>4829289</v>
      </c>
      <c r="F24" s="41">
        <v>4894580</v>
      </c>
      <c r="G24" s="41">
        <v>4960328</v>
      </c>
      <c r="H24" s="41">
        <v>5027811</v>
      </c>
      <c r="I24" s="41">
        <v>5098891</v>
      </c>
      <c r="J24" s="41">
        <v>5174874</v>
      </c>
      <c r="K24" s="41">
        <v>5256360</v>
      </c>
      <c r="L24" s="41">
        <v>5343025</v>
      </c>
      <c r="M24" s="41">
        <v>5434046</v>
      </c>
      <c r="N24" s="41">
        <v>5528172</v>
      </c>
      <c r="O24" s="41">
        <v>5624592</v>
      </c>
      <c r="P24" s="41">
        <v>5723378</v>
      </c>
      <c r="Q24" s="41">
        <v>5825174</v>
      </c>
      <c r="R24" s="41">
        <v>5930493</v>
      </c>
      <c r="S24" s="41">
        <v>6040045</v>
      </c>
      <c r="T24" s="41">
        <v>6154554</v>
      </c>
      <c r="U24" s="41">
        <v>6274032</v>
      </c>
      <c r="V24" s="41">
        <v>6398933</v>
      </c>
      <c r="W24" s="41">
        <v>6530820</v>
      </c>
      <c r="X24" s="41">
        <v>6671656</v>
      </c>
      <c r="Y24" s="41">
        <v>6822837</v>
      </c>
      <c r="Z24" s="41">
        <v>6985166</v>
      </c>
      <c r="AA24" s="41">
        <v>7158259</v>
      </c>
      <c r="AB24" s="41">
        <v>7340910</v>
      </c>
      <c r="AC24" s="41">
        <v>7531239</v>
      </c>
      <c r="AD24" s="41">
        <v>7727908</v>
      </c>
      <c r="AE24" s="41">
        <v>7930689</v>
      </c>
      <c r="AF24" s="41">
        <v>8140080</v>
      </c>
      <c r="AG24" s="41">
        <v>8356313</v>
      </c>
      <c r="AH24" s="41">
        <v>8579818</v>
      </c>
      <c r="AI24" s="41">
        <v>8811033</v>
      </c>
      <c r="AJ24" s="41">
        <v>9050086</v>
      </c>
      <c r="AK24" s="41">
        <v>9297110</v>
      </c>
      <c r="AL24" s="41">
        <v>9552473</v>
      </c>
      <c r="AM24" s="41">
        <v>9816584</v>
      </c>
      <c r="AN24" s="41">
        <v>10089880</v>
      </c>
      <c r="AO24" s="41">
        <v>10372734</v>
      </c>
      <c r="AP24" s="41">
        <v>10665552</v>
      </c>
      <c r="AQ24" s="41">
        <v>10968722</v>
      </c>
      <c r="AR24" s="41">
        <v>11282696</v>
      </c>
      <c r="AS24" s="41">
        <v>11607951</v>
      </c>
      <c r="AT24" s="41">
        <v>11944589</v>
      </c>
      <c r="AU24" s="41">
        <v>12293097</v>
      </c>
      <c r="AV24" s="41">
        <v>12654624</v>
      </c>
      <c r="AW24" s="41">
        <v>13030576</v>
      </c>
      <c r="AX24" s="41">
        <v>13421935</v>
      </c>
      <c r="AY24" s="41">
        <v>13829173</v>
      </c>
      <c r="AZ24" s="41">
        <v>14252029</v>
      </c>
      <c r="BA24" s="41">
        <v>14689725</v>
      </c>
      <c r="BB24" s="41">
        <v>15141098</v>
      </c>
      <c r="BC24" s="41">
        <v>15605211</v>
      </c>
      <c r="BD24" s="41">
        <v>16081915</v>
      </c>
      <c r="BE24" s="41">
        <v>16571252</v>
      </c>
      <c r="BF24" s="41">
        <v>17072791</v>
      </c>
      <c r="BG24" s="41">
        <v>17586029</v>
      </c>
      <c r="BH24" s="41">
        <v>18110616</v>
      </c>
      <c r="BI24" s="41">
        <v>18646350</v>
      </c>
      <c r="BJ24" s="41">
        <v>19193236</v>
      </c>
      <c r="BK24" s="41">
        <v>19751466</v>
      </c>
      <c r="BL24" s="41">
        <v>20321383</v>
      </c>
      <c r="BM24" s="41">
        <v>20903278</v>
      </c>
    </row>
    <row r="25" spans="1:65" x14ac:dyDescent="0.35">
      <c r="A25" s="41" t="s">
        <v>148</v>
      </c>
      <c r="B25" s="41" t="s">
        <v>149</v>
      </c>
      <c r="C25" s="41" t="s">
        <v>666</v>
      </c>
      <c r="D25" s="41" t="s">
        <v>667</v>
      </c>
      <c r="E25" s="41">
        <v>48013505</v>
      </c>
      <c r="F25" s="41">
        <v>49362834</v>
      </c>
      <c r="G25" s="41">
        <v>50752150</v>
      </c>
      <c r="H25" s="41">
        <v>52202008</v>
      </c>
      <c r="I25" s="41">
        <v>53741721</v>
      </c>
      <c r="J25" s="41">
        <v>55385114</v>
      </c>
      <c r="K25" s="41">
        <v>57157651</v>
      </c>
      <c r="L25" s="41">
        <v>59034250</v>
      </c>
      <c r="M25" s="41">
        <v>60918452</v>
      </c>
      <c r="N25" s="41">
        <v>62679765</v>
      </c>
      <c r="O25" s="41">
        <v>64232486</v>
      </c>
      <c r="P25" s="41">
        <v>65531635</v>
      </c>
      <c r="Q25" s="41">
        <v>66625706</v>
      </c>
      <c r="R25" s="41">
        <v>67637541</v>
      </c>
      <c r="S25" s="41">
        <v>68742222</v>
      </c>
      <c r="T25" s="41">
        <v>70066310</v>
      </c>
      <c r="U25" s="41">
        <v>71652386</v>
      </c>
      <c r="V25" s="41">
        <v>73463593</v>
      </c>
      <c r="W25" s="41">
        <v>75450033</v>
      </c>
      <c r="X25" s="41">
        <v>77529040</v>
      </c>
      <c r="Y25" s="41">
        <v>79639498</v>
      </c>
      <c r="Z25" s="41">
        <v>81767516</v>
      </c>
      <c r="AA25" s="41">
        <v>83932132</v>
      </c>
      <c r="AB25" s="41">
        <v>86142490</v>
      </c>
      <c r="AC25" s="41">
        <v>88416529</v>
      </c>
      <c r="AD25" s="41">
        <v>90764180</v>
      </c>
      <c r="AE25" s="41">
        <v>93187593</v>
      </c>
      <c r="AF25" s="41">
        <v>95671159</v>
      </c>
      <c r="AG25" s="41">
        <v>98186350</v>
      </c>
      <c r="AH25" s="41">
        <v>100695496</v>
      </c>
      <c r="AI25" s="41">
        <v>103171957</v>
      </c>
      <c r="AJ25" s="41">
        <v>105599125</v>
      </c>
      <c r="AK25" s="41">
        <v>107983708</v>
      </c>
      <c r="AL25" s="41">
        <v>110350641</v>
      </c>
      <c r="AM25" s="41">
        <v>112737684</v>
      </c>
      <c r="AN25" s="41">
        <v>115169933</v>
      </c>
      <c r="AO25" s="41">
        <v>117649927</v>
      </c>
      <c r="AP25" s="41">
        <v>120160571</v>
      </c>
      <c r="AQ25" s="41">
        <v>122682818</v>
      </c>
      <c r="AR25" s="41">
        <v>125189655</v>
      </c>
      <c r="AS25" s="41">
        <v>127657862</v>
      </c>
      <c r="AT25" s="41">
        <v>130088709</v>
      </c>
      <c r="AU25" s="41">
        <v>132478077</v>
      </c>
      <c r="AV25" s="41">
        <v>134791598</v>
      </c>
      <c r="AW25" s="41">
        <v>136986429</v>
      </c>
      <c r="AX25" s="41">
        <v>139035505</v>
      </c>
      <c r="AY25" s="41">
        <v>140921154</v>
      </c>
      <c r="AZ25" s="41">
        <v>142660381</v>
      </c>
      <c r="BA25" s="41">
        <v>144304164</v>
      </c>
      <c r="BB25" s="41">
        <v>145924795</v>
      </c>
      <c r="BC25" s="41">
        <v>147575433</v>
      </c>
      <c r="BD25" s="41">
        <v>149273134</v>
      </c>
      <c r="BE25" s="41">
        <v>151005733</v>
      </c>
      <c r="BF25" s="41">
        <v>152761413</v>
      </c>
      <c r="BG25" s="41">
        <v>154517385</v>
      </c>
      <c r="BH25" s="41">
        <v>156256287</v>
      </c>
      <c r="BI25" s="41">
        <v>157977151</v>
      </c>
      <c r="BJ25" s="41">
        <v>159685421</v>
      </c>
      <c r="BK25" s="41">
        <v>161376713</v>
      </c>
      <c r="BL25" s="41">
        <v>163046173</v>
      </c>
      <c r="BM25" s="41">
        <v>164689383</v>
      </c>
    </row>
    <row r="26" spans="1:65" x14ac:dyDescent="0.35">
      <c r="A26" s="41" t="s">
        <v>150</v>
      </c>
      <c r="B26" s="41" t="s">
        <v>151</v>
      </c>
      <c r="C26" s="41" t="s">
        <v>666</v>
      </c>
      <c r="D26" s="41" t="s">
        <v>667</v>
      </c>
      <c r="E26" s="41">
        <v>7867374</v>
      </c>
      <c r="F26" s="41">
        <v>7943118</v>
      </c>
      <c r="G26" s="41">
        <v>8012946</v>
      </c>
      <c r="H26" s="41">
        <v>8078145</v>
      </c>
      <c r="I26" s="41">
        <v>8144340</v>
      </c>
      <c r="J26" s="41">
        <v>8204168</v>
      </c>
      <c r="K26" s="41">
        <v>8258057</v>
      </c>
      <c r="L26" s="41">
        <v>8310226</v>
      </c>
      <c r="M26" s="41">
        <v>8369603</v>
      </c>
      <c r="N26" s="41">
        <v>8434172</v>
      </c>
      <c r="O26" s="41">
        <v>8489574</v>
      </c>
      <c r="P26" s="41">
        <v>8536395</v>
      </c>
      <c r="Q26" s="41">
        <v>8576200</v>
      </c>
      <c r="R26" s="41">
        <v>8620967</v>
      </c>
      <c r="S26" s="41">
        <v>8678745</v>
      </c>
      <c r="T26" s="41">
        <v>8720742</v>
      </c>
      <c r="U26" s="41">
        <v>8758599</v>
      </c>
      <c r="V26" s="41">
        <v>8804183</v>
      </c>
      <c r="W26" s="41">
        <v>8814032</v>
      </c>
      <c r="X26" s="41">
        <v>8825940</v>
      </c>
      <c r="Y26" s="41">
        <v>8861535</v>
      </c>
      <c r="Z26" s="41">
        <v>8891117</v>
      </c>
      <c r="AA26" s="41">
        <v>8917457</v>
      </c>
      <c r="AB26" s="41">
        <v>8939738</v>
      </c>
      <c r="AC26" s="41">
        <v>8960679</v>
      </c>
      <c r="AD26" s="41">
        <v>8960547</v>
      </c>
      <c r="AE26" s="41">
        <v>8958171</v>
      </c>
      <c r="AF26" s="41">
        <v>8971359</v>
      </c>
      <c r="AG26" s="41">
        <v>8981446</v>
      </c>
      <c r="AH26" s="41">
        <v>8876972</v>
      </c>
      <c r="AI26" s="41">
        <v>8718289</v>
      </c>
      <c r="AJ26" s="41">
        <v>8632367</v>
      </c>
      <c r="AK26" s="41">
        <v>8540164</v>
      </c>
      <c r="AL26" s="41">
        <v>8472313</v>
      </c>
      <c r="AM26" s="41">
        <v>8443591</v>
      </c>
      <c r="AN26" s="41">
        <v>8406067</v>
      </c>
      <c r="AO26" s="41">
        <v>8362826</v>
      </c>
      <c r="AP26" s="41">
        <v>8312068</v>
      </c>
      <c r="AQ26" s="41">
        <v>8256786</v>
      </c>
      <c r="AR26" s="41">
        <v>8210624</v>
      </c>
      <c r="AS26" s="41">
        <v>8170172</v>
      </c>
      <c r="AT26" s="41">
        <v>8009142</v>
      </c>
      <c r="AU26" s="41">
        <v>7837161</v>
      </c>
      <c r="AV26" s="41">
        <v>7775327</v>
      </c>
      <c r="AW26" s="41">
        <v>7716860</v>
      </c>
      <c r="AX26" s="41">
        <v>7658972</v>
      </c>
      <c r="AY26" s="41">
        <v>7601022</v>
      </c>
      <c r="AZ26" s="41">
        <v>7545338</v>
      </c>
      <c r="BA26" s="41">
        <v>7492561</v>
      </c>
      <c r="BB26" s="41">
        <v>7444443</v>
      </c>
      <c r="BC26" s="41">
        <v>7395599</v>
      </c>
      <c r="BD26" s="41">
        <v>7348328</v>
      </c>
      <c r="BE26" s="41">
        <v>7305888</v>
      </c>
      <c r="BF26" s="41">
        <v>7265115</v>
      </c>
      <c r="BG26" s="41">
        <v>7223938</v>
      </c>
      <c r="BH26" s="41">
        <v>7177991</v>
      </c>
      <c r="BI26" s="41">
        <v>7127822</v>
      </c>
      <c r="BJ26" s="41">
        <v>7075947</v>
      </c>
      <c r="BK26" s="41">
        <v>7025037</v>
      </c>
      <c r="BL26" s="41">
        <v>6975761</v>
      </c>
      <c r="BM26" s="41">
        <v>6927288</v>
      </c>
    </row>
    <row r="27" spans="1:65" x14ac:dyDescent="0.35">
      <c r="A27" s="41" t="s">
        <v>152</v>
      </c>
      <c r="B27" s="41" t="s">
        <v>153</v>
      </c>
      <c r="C27" s="41" t="s">
        <v>666</v>
      </c>
      <c r="D27" s="41" t="s">
        <v>667</v>
      </c>
      <c r="E27" s="41">
        <v>162429</v>
      </c>
      <c r="F27" s="41">
        <v>167899</v>
      </c>
      <c r="G27" s="41">
        <v>173140</v>
      </c>
      <c r="H27" s="41">
        <v>178142</v>
      </c>
      <c r="I27" s="41">
        <v>182888</v>
      </c>
      <c r="J27" s="41">
        <v>187432</v>
      </c>
      <c r="K27" s="41">
        <v>191785</v>
      </c>
      <c r="L27" s="41">
        <v>196060</v>
      </c>
      <c r="M27" s="41">
        <v>200652</v>
      </c>
      <c r="N27" s="41">
        <v>206037</v>
      </c>
      <c r="O27" s="41">
        <v>212607</v>
      </c>
      <c r="P27" s="41">
        <v>220311</v>
      </c>
      <c r="Q27" s="41">
        <v>229151</v>
      </c>
      <c r="R27" s="41">
        <v>239527</v>
      </c>
      <c r="S27" s="41">
        <v>251908</v>
      </c>
      <c r="T27" s="41">
        <v>266540</v>
      </c>
      <c r="U27" s="41">
        <v>283746</v>
      </c>
      <c r="V27" s="41">
        <v>303169</v>
      </c>
      <c r="W27" s="41">
        <v>323468</v>
      </c>
      <c r="X27" s="41">
        <v>342804</v>
      </c>
      <c r="Y27" s="41">
        <v>359897</v>
      </c>
      <c r="Z27" s="41">
        <v>374120</v>
      </c>
      <c r="AA27" s="41">
        <v>385953</v>
      </c>
      <c r="AB27" s="41">
        <v>396451</v>
      </c>
      <c r="AC27" s="41">
        <v>407233</v>
      </c>
      <c r="AD27" s="41">
        <v>419428</v>
      </c>
      <c r="AE27" s="41">
        <v>433478</v>
      </c>
      <c r="AF27" s="41">
        <v>448981</v>
      </c>
      <c r="AG27" s="41">
        <v>465198</v>
      </c>
      <c r="AH27" s="41">
        <v>481081</v>
      </c>
      <c r="AI27" s="41">
        <v>495927</v>
      </c>
      <c r="AJ27" s="41">
        <v>509762</v>
      </c>
      <c r="AK27" s="41">
        <v>523082</v>
      </c>
      <c r="AL27" s="41">
        <v>536212</v>
      </c>
      <c r="AM27" s="41">
        <v>549590</v>
      </c>
      <c r="AN27" s="41">
        <v>563698</v>
      </c>
      <c r="AO27" s="41">
        <v>578661</v>
      </c>
      <c r="AP27" s="41">
        <v>594927</v>
      </c>
      <c r="AQ27" s="41">
        <v>613697</v>
      </c>
      <c r="AR27" s="41">
        <v>636540</v>
      </c>
      <c r="AS27" s="41">
        <v>664610</v>
      </c>
      <c r="AT27" s="41">
        <v>697550</v>
      </c>
      <c r="AU27" s="41">
        <v>735140</v>
      </c>
      <c r="AV27" s="41">
        <v>778708</v>
      </c>
      <c r="AW27" s="41">
        <v>829846</v>
      </c>
      <c r="AX27" s="41">
        <v>889157</v>
      </c>
      <c r="AY27" s="41">
        <v>958423</v>
      </c>
      <c r="AZ27" s="41">
        <v>1035924</v>
      </c>
      <c r="BA27" s="41">
        <v>1114645</v>
      </c>
      <c r="BB27" s="41">
        <v>1185075</v>
      </c>
      <c r="BC27" s="41">
        <v>1240864</v>
      </c>
      <c r="BD27" s="41">
        <v>1278153</v>
      </c>
      <c r="BE27" s="41">
        <v>1299942</v>
      </c>
      <c r="BF27" s="41">
        <v>1315029</v>
      </c>
      <c r="BG27" s="41">
        <v>1336073</v>
      </c>
      <c r="BH27" s="41">
        <v>1371853</v>
      </c>
      <c r="BI27" s="41">
        <v>1425793</v>
      </c>
      <c r="BJ27" s="41">
        <v>1494077</v>
      </c>
      <c r="BK27" s="41">
        <v>1569440</v>
      </c>
      <c r="BL27" s="41">
        <v>1641164</v>
      </c>
      <c r="BM27" s="41">
        <v>1701583</v>
      </c>
    </row>
    <row r="28" spans="1:65" x14ac:dyDescent="0.35">
      <c r="A28" s="41" t="s">
        <v>154</v>
      </c>
      <c r="B28" s="41" t="s">
        <v>155</v>
      </c>
      <c r="C28" s="41" t="s">
        <v>666</v>
      </c>
      <c r="D28" s="41" t="s">
        <v>667</v>
      </c>
      <c r="E28" s="41">
        <v>109532</v>
      </c>
      <c r="F28" s="41">
        <v>115119</v>
      </c>
      <c r="G28" s="41">
        <v>121092</v>
      </c>
      <c r="H28" s="41">
        <v>127340</v>
      </c>
      <c r="I28" s="41">
        <v>133705</v>
      </c>
      <c r="J28" s="41">
        <v>140060</v>
      </c>
      <c r="K28" s="41">
        <v>146381</v>
      </c>
      <c r="L28" s="41">
        <v>152621</v>
      </c>
      <c r="M28" s="41">
        <v>158648</v>
      </c>
      <c r="N28" s="41">
        <v>164265</v>
      </c>
      <c r="O28" s="41">
        <v>169376</v>
      </c>
      <c r="P28" s="41">
        <v>173894</v>
      </c>
      <c r="Q28" s="41">
        <v>177863</v>
      </c>
      <c r="R28" s="41">
        <v>181519</v>
      </c>
      <c r="S28" s="41">
        <v>185105</v>
      </c>
      <c r="T28" s="41">
        <v>188895</v>
      </c>
      <c r="U28" s="41">
        <v>192903</v>
      </c>
      <c r="V28" s="41">
        <v>197100</v>
      </c>
      <c r="W28" s="41">
        <v>201482</v>
      </c>
      <c r="X28" s="41">
        <v>205991</v>
      </c>
      <c r="Y28" s="41">
        <v>210589</v>
      </c>
      <c r="Z28" s="41">
        <v>215321</v>
      </c>
      <c r="AA28" s="41">
        <v>220182</v>
      </c>
      <c r="AB28" s="41">
        <v>225095</v>
      </c>
      <c r="AC28" s="41">
        <v>229913</v>
      </c>
      <c r="AD28" s="41">
        <v>234579</v>
      </c>
      <c r="AE28" s="41">
        <v>239020</v>
      </c>
      <c r="AF28" s="41">
        <v>243265</v>
      </c>
      <c r="AG28" s="41">
        <v>247451</v>
      </c>
      <c r="AH28" s="41">
        <v>251738</v>
      </c>
      <c r="AI28" s="41">
        <v>256227</v>
      </c>
      <c r="AJ28" s="41">
        <v>261007</v>
      </c>
      <c r="AK28" s="41">
        <v>266028</v>
      </c>
      <c r="AL28" s="41">
        <v>271065</v>
      </c>
      <c r="AM28" s="41">
        <v>275849</v>
      </c>
      <c r="AN28" s="41">
        <v>280179</v>
      </c>
      <c r="AO28" s="41">
        <v>283980</v>
      </c>
      <c r="AP28" s="41">
        <v>287363</v>
      </c>
      <c r="AQ28" s="41">
        <v>290600</v>
      </c>
      <c r="AR28" s="41">
        <v>294063</v>
      </c>
      <c r="AS28" s="41">
        <v>298045</v>
      </c>
      <c r="AT28" s="41">
        <v>302618</v>
      </c>
      <c r="AU28" s="41">
        <v>307657</v>
      </c>
      <c r="AV28" s="41">
        <v>313123</v>
      </c>
      <c r="AW28" s="41">
        <v>318893</v>
      </c>
      <c r="AX28" s="41">
        <v>324848</v>
      </c>
      <c r="AY28" s="41">
        <v>331032</v>
      </c>
      <c r="AZ28" s="41">
        <v>337387</v>
      </c>
      <c r="BA28" s="41">
        <v>343680</v>
      </c>
      <c r="BB28" s="41">
        <v>349600</v>
      </c>
      <c r="BC28" s="41">
        <v>354936</v>
      </c>
      <c r="BD28" s="41">
        <v>359583</v>
      </c>
      <c r="BE28" s="41">
        <v>363581</v>
      </c>
      <c r="BF28" s="41">
        <v>367162</v>
      </c>
      <c r="BG28" s="41">
        <v>370625</v>
      </c>
      <c r="BH28" s="41">
        <v>374200</v>
      </c>
      <c r="BI28" s="41">
        <v>377923</v>
      </c>
      <c r="BJ28" s="41">
        <v>381749</v>
      </c>
      <c r="BK28" s="41">
        <v>385635</v>
      </c>
      <c r="BL28" s="41">
        <v>389486</v>
      </c>
      <c r="BM28" s="41">
        <v>393248</v>
      </c>
    </row>
    <row r="29" spans="1:65" x14ac:dyDescent="0.35">
      <c r="A29" s="41" t="s">
        <v>156</v>
      </c>
      <c r="B29" s="41" t="s">
        <v>157</v>
      </c>
      <c r="C29" s="41" t="s">
        <v>666</v>
      </c>
      <c r="D29" s="41" t="s">
        <v>667</v>
      </c>
      <c r="E29" s="41">
        <v>3225664</v>
      </c>
      <c r="F29" s="41">
        <v>3288604</v>
      </c>
      <c r="G29" s="41">
        <v>3353228</v>
      </c>
      <c r="H29" s="41">
        <v>3417573</v>
      </c>
      <c r="I29" s="41">
        <v>3478999</v>
      </c>
      <c r="J29" s="41">
        <v>3535632</v>
      </c>
      <c r="K29" s="41">
        <v>3586630</v>
      </c>
      <c r="L29" s="41">
        <v>3632678</v>
      </c>
      <c r="M29" s="41">
        <v>3675448</v>
      </c>
      <c r="N29" s="41">
        <v>3717476</v>
      </c>
      <c r="O29" s="41">
        <v>3760536</v>
      </c>
      <c r="P29" s="41">
        <v>3805286</v>
      </c>
      <c r="Q29" s="41">
        <v>3851153</v>
      </c>
      <c r="R29" s="41">
        <v>3897259</v>
      </c>
      <c r="S29" s="41">
        <v>3942221</v>
      </c>
      <c r="T29" s="41">
        <v>3985107</v>
      </c>
      <c r="U29" s="41">
        <v>4025271</v>
      </c>
      <c r="V29" s="41">
        <v>4063188</v>
      </c>
      <c r="W29" s="41">
        <v>4100355</v>
      </c>
      <c r="X29" s="41">
        <v>4138816</v>
      </c>
      <c r="Y29" s="41">
        <v>4179850</v>
      </c>
      <c r="Z29" s="41">
        <v>4222479</v>
      </c>
      <c r="AA29" s="41">
        <v>4265183</v>
      </c>
      <c r="AB29" s="41">
        <v>4307907</v>
      </c>
      <c r="AC29" s="41">
        <v>4350566</v>
      </c>
      <c r="AD29" s="41">
        <v>4392135</v>
      </c>
      <c r="AE29" s="41">
        <v>4435925</v>
      </c>
      <c r="AF29" s="41">
        <v>4479516</v>
      </c>
      <c r="AG29" s="41">
        <v>4509462</v>
      </c>
      <c r="AH29" s="41">
        <v>4507819</v>
      </c>
      <c r="AI29" s="41">
        <v>4463422</v>
      </c>
      <c r="AJ29" s="41">
        <v>4369320</v>
      </c>
      <c r="AK29" s="41">
        <v>4233673</v>
      </c>
      <c r="AL29" s="41">
        <v>4078940</v>
      </c>
      <c r="AM29" s="41">
        <v>3936527</v>
      </c>
      <c r="AN29" s="41">
        <v>3829049</v>
      </c>
      <c r="AO29" s="41">
        <v>3764419</v>
      </c>
      <c r="AP29" s="41">
        <v>3736070</v>
      </c>
      <c r="AQ29" s="41">
        <v>3734338</v>
      </c>
      <c r="AR29" s="41">
        <v>3743353</v>
      </c>
      <c r="AS29" s="41">
        <v>3751176</v>
      </c>
      <c r="AT29" s="41">
        <v>3755514</v>
      </c>
      <c r="AU29" s="41">
        <v>3759389</v>
      </c>
      <c r="AV29" s="41">
        <v>3762179</v>
      </c>
      <c r="AW29" s="41">
        <v>3764194</v>
      </c>
      <c r="AX29" s="41">
        <v>3765332</v>
      </c>
      <c r="AY29" s="41">
        <v>3765422</v>
      </c>
      <c r="AZ29" s="41">
        <v>3762791</v>
      </c>
      <c r="BA29" s="41">
        <v>3754261</v>
      </c>
      <c r="BB29" s="41">
        <v>3735945</v>
      </c>
      <c r="BC29" s="41">
        <v>3705478</v>
      </c>
      <c r="BD29" s="41">
        <v>3661173</v>
      </c>
      <c r="BE29" s="41">
        <v>3604972</v>
      </c>
      <c r="BF29" s="41">
        <v>3542598</v>
      </c>
      <c r="BG29" s="41">
        <v>3482106</v>
      </c>
      <c r="BH29" s="41">
        <v>3429362</v>
      </c>
      <c r="BI29" s="41">
        <v>3386263</v>
      </c>
      <c r="BJ29" s="41">
        <v>3351534</v>
      </c>
      <c r="BK29" s="41">
        <v>3323929</v>
      </c>
      <c r="BL29" s="41">
        <v>3300998</v>
      </c>
      <c r="BM29" s="41">
        <v>3280815</v>
      </c>
    </row>
    <row r="30" spans="1:65" x14ac:dyDescent="0.35">
      <c r="A30" s="41" t="s">
        <v>158</v>
      </c>
      <c r="B30" s="41" t="s">
        <v>159</v>
      </c>
      <c r="C30" s="41" t="s">
        <v>666</v>
      </c>
      <c r="D30" s="41" t="s">
        <v>667</v>
      </c>
      <c r="E30" s="41">
        <v>8198000</v>
      </c>
      <c r="F30" s="41">
        <v>8271216</v>
      </c>
      <c r="G30" s="41">
        <v>8351928</v>
      </c>
      <c r="H30" s="41">
        <v>8437232</v>
      </c>
      <c r="I30" s="41">
        <v>8524224</v>
      </c>
      <c r="J30" s="41">
        <v>8610000</v>
      </c>
      <c r="K30" s="41">
        <v>8696496</v>
      </c>
      <c r="L30" s="41">
        <v>8785648</v>
      </c>
      <c r="M30" s="41">
        <v>8874552</v>
      </c>
      <c r="N30" s="41">
        <v>8960304</v>
      </c>
      <c r="O30" s="41">
        <v>9040000</v>
      </c>
      <c r="P30" s="41">
        <v>9115576</v>
      </c>
      <c r="Q30" s="41">
        <v>9188968</v>
      </c>
      <c r="R30" s="41">
        <v>9257272</v>
      </c>
      <c r="S30" s="41">
        <v>9317584</v>
      </c>
      <c r="T30" s="41">
        <v>9367000</v>
      </c>
      <c r="U30" s="41">
        <v>9411000</v>
      </c>
      <c r="V30" s="41">
        <v>9463000</v>
      </c>
      <c r="W30" s="41">
        <v>9525000</v>
      </c>
      <c r="X30" s="41">
        <v>9584000</v>
      </c>
      <c r="Y30" s="41">
        <v>9643000</v>
      </c>
      <c r="Z30" s="41">
        <v>9710000</v>
      </c>
      <c r="AA30" s="41">
        <v>9776000</v>
      </c>
      <c r="AB30" s="41">
        <v>9843000</v>
      </c>
      <c r="AC30" s="41">
        <v>9910000</v>
      </c>
      <c r="AD30" s="41">
        <v>9975000</v>
      </c>
      <c r="AE30" s="41">
        <v>10043000</v>
      </c>
      <c r="AF30" s="41">
        <v>10111000</v>
      </c>
      <c r="AG30" s="41">
        <v>10140000</v>
      </c>
      <c r="AH30" s="41">
        <v>10170000</v>
      </c>
      <c r="AI30" s="41">
        <v>10189000</v>
      </c>
      <c r="AJ30" s="41">
        <v>10194000</v>
      </c>
      <c r="AK30" s="41">
        <v>10216000</v>
      </c>
      <c r="AL30" s="41">
        <v>10239000</v>
      </c>
      <c r="AM30" s="41">
        <v>10227000</v>
      </c>
      <c r="AN30" s="41">
        <v>10194000</v>
      </c>
      <c r="AO30" s="41">
        <v>10160000</v>
      </c>
      <c r="AP30" s="41">
        <v>10117000</v>
      </c>
      <c r="AQ30" s="41">
        <v>10069000</v>
      </c>
      <c r="AR30" s="41">
        <v>10026738</v>
      </c>
      <c r="AS30" s="41">
        <v>9979610</v>
      </c>
      <c r="AT30" s="41">
        <v>9928549</v>
      </c>
      <c r="AU30" s="41">
        <v>9865548</v>
      </c>
      <c r="AV30" s="41">
        <v>9796749</v>
      </c>
      <c r="AW30" s="41">
        <v>9730146</v>
      </c>
      <c r="AX30" s="41">
        <v>9663915</v>
      </c>
      <c r="AY30" s="41">
        <v>9604924</v>
      </c>
      <c r="AZ30" s="41">
        <v>9560953</v>
      </c>
      <c r="BA30" s="41">
        <v>9527985</v>
      </c>
      <c r="BB30" s="41">
        <v>9506765</v>
      </c>
      <c r="BC30" s="41">
        <v>9490583</v>
      </c>
      <c r="BD30" s="41">
        <v>9473172</v>
      </c>
      <c r="BE30" s="41">
        <v>9464495</v>
      </c>
      <c r="BF30" s="41">
        <v>9465997</v>
      </c>
      <c r="BG30" s="41">
        <v>9474511</v>
      </c>
      <c r="BH30" s="41">
        <v>9489616</v>
      </c>
      <c r="BI30" s="41">
        <v>9501534</v>
      </c>
      <c r="BJ30" s="41">
        <v>9498264</v>
      </c>
      <c r="BK30" s="41">
        <v>9483499</v>
      </c>
      <c r="BL30" s="41">
        <v>9417849</v>
      </c>
      <c r="BM30" s="41">
        <v>9398861</v>
      </c>
    </row>
    <row r="31" spans="1:65" x14ac:dyDescent="0.35">
      <c r="A31" s="41" t="s">
        <v>160</v>
      </c>
      <c r="B31" s="41" t="s">
        <v>161</v>
      </c>
      <c r="C31" s="41" t="s">
        <v>666</v>
      </c>
      <c r="D31" s="41" t="s">
        <v>667</v>
      </c>
      <c r="E31" s="41">
        <v>92068</v>
      </c>
      <c r="F31" s="41">
        <v>94700</v>
      </c>
      <c r="G31" s="41">
        <v>97392</v>
      </c>
      <c r="H31" s="41">
        <v>100165</v>
      </c>
      <c r="I31" s="41">
        <v>103069</v>
      </c>
      <c r="J31" s="41">
        <v>106120</v>
      </c>
      <c r="K31" s="41">
        <v>109348</v>
      </c>
      <c r="L31" s="41">
        <v>112707</v>
      </c>
      <c r="M31" s="41">
        <v>116065</v>
      </c>
      <c r="N31" s="41">
        <v>119269</v>
      </c>
      <c r="O31" s="41">
        <v>122184</v>
      </c>
      <c r="P31" s="41">
        <v>124795</v>
      </c>
      <c r="Q31" s="41">
        <v>127152</v>
      </c>
      <c r="R31" s="41">
        <v>129294</v>
      </c>
      <c r="S31" s="41">
        <v>131305</v>
      </c>
      <c r="T31" s="41">
        <v>133264</v>
      </c>
      <c r="U31" s="41">
        <v>135143</v>
      </c>
      <c r="V31" s="41">
        <v>136990</v>
      </c>
      <c r="W31" s="41">
        <v>138975</v>
      </c>
      <c r="X31" s="41">
        <v>141302</v>
      </c>
      <c r="Y31" s="41">
        <v>144142</v>
      </c>
      <c r="Z31" s="41">
        <v>147572</v>
      </c>
      <c r="AA31" s="41">
        <v>151486</v>
      </c>
      <c r="AB31" s="41">
        <v>155820</v>
      </c>
      <c r="AC31" s="41">
        <v>160341</v>
      </c>
      <c r="AD31" s="41">
        <v>164918</v>
      </c>
      <c r="AE31" s="41">
        <v>169569</v>
      </c>
      <c r="AF31" s="41">
        <v>174333</v>
      </c>
      <c r="AG31" s="41">
        <v>179023</v>
      </c>
      <c r="AH31" s="41">
        <v>183471</v>
      </c>
      <c r="AI31" s="41">
        <v>187554</v>
      </c>
      <c r="AJ31" s="41">
        <v>191136</v>
      </c>
      <c r="AK31" s="41">
        <v>194324</v>
      </c>
      <c r="AL31" s="41">
        <v>197625</v>
      </c>
      <c r="AM31" s="41">
        <v>201679</v>
      </c>
      <c r="AN31" s="41">
        <v>206962</v>
      </c>
      <c r="AO31" s="41">
        <v>213660</v>
      </c>
      <c r="AP31" s="41">
        <v>221575</v>
      </c>
      <c r="AQ31" s="41">
        <v>230248</v>
      </c>
      <c r="AR31" s="41">
        <v>238979</v>
      </c>
      <c r="AS31" s="41">
        <v>247310</v>
      </c>
      <c r="AT31" s="41">
        <v>255068</v>
      </c>
      <c r="AU31" s="41">
        <v>262387</v>
      </c>
      <c r="AV31" s="41">
        <v>269428</v>
      </c>
      <c r="AW31" s="41">
        <v>276516</v>
      </c>
      <c r="AX31" s="41">
        <v>283798</v>
      </c>
      <c r="AY31" s="41">
        <v>291338</v>
      </c>
      <c r="AZ31" s="41">
        <v>299031</v>
      </c>
      <c r="BA31" s="41">
        <v>306822</v>
      </c>
      <c r="BB31" s="41">
        <v>314655</v>
      </c>
      <c r="BC31" s="41">
        <v>322465</v>
      </c>
      <c r="BD31" s="41">
        <v>330236</v>
      </c>
      <c r="BE31" s="41">
        <v>338001</v>
      </c>
      <c r="BF31" s="41">
        <v>345707</v>
      </c>
      <c r="BG31" s="41">
        <v>353366</v>
      </c>
      <c r="BH31" s="41">
        <v>360926</v>
      </c>
      <c r="BI31" s="41">
        <v>368399</v>
      </c>
      <c r="BJ31" s="41">
        <v>375775</v>
      </c>
      <c r="BK31" s="41">
        <v>383071</v>
      </c>
      <c r="BL31" s="41">
        <v>390351</v>
      </c>
      <c r="BM31" s="41">
        <v>397621</v>
      </c>
    </row>
    <row r="32" spans="1:65" x14ac:dyDescent="0.35">
      <c r="A32" s="41" t="s">
        <v>162</v>
      </c>
      <c r="B32" s="41" t="s">
        <v>163</v>
      </c>
      <c r="C32" s="41" t="s">
        <v>666</v>
      </c>
      <c r="D32" s="41" t="s">
        <v>667</v>
      </c>
      <c r="E32" s="41">
        <v>44400</v>
      </c>
      <c r="F32" s="41">
        <v>45500</v>
      </c>
      <c r="G32" s="41">
        <v>46600</v>
      </c>
      <c r="H32" s="41">
        <v>47700</v>
      </c>
      <c r="I32" s="41">
        <v>48900</v>
      </c>
      <c r="J32" s="41">
        <v>50100</v>
      </c>
      <c r="K32" s="41">
        <v>51000</v>
      </c>
      <c r="L32" s="41">
        <v>52000</v>
      </c>
      <c r="M32" s="41">
        <v>53000</v>
      </c>
      <c r="N32" s="41">
        <v>54000</v>
      </c>
      <c r="O32" s="41">
        <v>55000</v>
      </c>
      <c r="P32" s="41">
        <v>54600</v>
      </c>
      <c r="Q32" s="41">
        <v>54200</v>
      </c>
      <c r="R32" s="41">
        <v>53800</v>
      </c>
      <c r="S32" s="41">
        <v>53400</v>
      </c>
      <c r="T32" s="41">
        <v>53000</v>
      </c>
      <c r="U32" s="41">
        <v>53200</v>
      </c>
      <c r="V32" s="41">
        <v>53400</v>
      </c>
      <c r="W32" s="41">
        <v>53600</v>
      </c>
      <c r="X32" s="41">
        <v>53800</v>
      </c>
      <c r="Y32" s="41">
        <v>54670</v>
      </c>
      <c r="Z32" s="41">
        <v>55050</v>
      </c>
      <c r="AA32" s="41">
        <v>55449</v>
      </c>
      <c r="AB32" s="41">
        <v>55930</v>
      </c>
      <c r="AC32" s="41">
        <v>56423</v>
      </c>
      <c r="AD32" s="41">
        <v>56898</v>
      </c>
      <c r="AE32" s="41">
        <v>57382</v>
      </c>
      <c r="AF32" s="41">
        <v>57849</v>
      </c>
      <c r="AG32" s="41">
        <v>58347</v>
      </c>
      <c r="AH32" s="41">
        <v>58841</v>
      </c>
      <c r="AI32" s="41">
        <v>59326</v>
      </c>
      <c r="AJ32" s="41">
        <v>59021</v>
      </c>
      <c r="AK32" s="41">
        <v>58595</v>
      </c>
      <c r="AL32" s="41">
        <v>58910</v>
      </c>
      <c r="AM32" s="41">
        <v>59320</v>
      </c>
      <c r="AN32" s="41">
        <v>59746</v>
      </c>
      <c r="AO32" s="41">
        <v>60129</v>
      </c>
      <c r="AP32" s="41">
        <v>60497</v>
      </c>
      <c r="AQ32" s="41">
        <v>60943</v>
      </c>
      <c r="AR32" s="41">
        <v>61285</v>
      </c>
      <c r="AS32" s="41">
        <v>61833</v>
      </c>
      <c r="AT32" s="41">
        <v>62504</v>
      </c>
      <c r="AU32" s="41">
        <v>62912</v>
      </c>
      <c r="AV32" s="41">
        <v>63325</v>
      </c>
      <c r="AW32" s="41">
        <v>63740</v>
      </c>
      <c r="AX32" s="41">
        <v>64154</v>
      </c>
      <c r="AY32" s="41">
        <v>64523</v>
      </c>
      <c r="AZ32" s="41">
        <v>64888</v>
      </c>
      <c r="BA32" s="41">
        <v>65273</v>
      </c>
      <c r="BB32" s="41">
        <v>65636</v>
      </c>
      <c r="BC32" s="41">
        <v>65124</v>
      </c>
      <c r="BD32" s="41">
        <v>64564</v>
      </c>
      <c r="BE32" s="41">
        <v>64798</v>
      </c>
      <c r="BF32" s="41">
        <v>65001</v>
      </c>
      <c r="BG32" s="41">
        <v>65138</v>
      </c>
      <c r="BH32" s="41">
        <v>65237</v>
      </c>
      <c r="BI32" s="41">
        <v>64554</v>
      </c>
      <c r="BJ32" s="41">
        <v>63873</v>
      </c>
      <c r="BK32" s="41">
        <v>63919</v>
      </c>
      <c r="BL32" s="41">
        <v>63913</v>
      </c>
      <c r="BM32" s="41">
        <v>63903</v>
      </c>
    </row>
    <row r="33" spans="1:65" x14ac:dyDescent="0.35">
      <c r="A33" s="41" t="s">
        <v>164</v>
      </c>
      <c r="B33" s="41" t="s">
        <v>165</v>
      </c>
      <c r="C33" s="41" t="s">
        <v>666</v>
      </c>
      <c r="D33" s="41" t="s">
        <v>667</v>
      </c>
      <c r="E33" s="41">
        <v>3656961</v>
      </c>
      <c r="F33" s="41">
        <v>3728954</v>
      </c>
      <c r="G33" s="41">
        <v>3802996</v>
      </c>
      <c r="H33" s="41">
        <v>3879191</v>
      </c>
      <c r="I33" s="41">
        <v>3957759</v>
      </c>
      <c r="J33" s="41">
        <v>4038865</v>
      </c>
      <c r="K33" s="41">
        <v>4122517</v>
      </c>
      <c r="L33" s="41">
        <v>4208683</v>
      </c>
      <c r="M33" s="41">
        <v>4297522</v>
      </c>
      <c r="N33" s="41">
        <v>4389248</v>
      </c>
      <c r="O33" s="41">
        <v>4484004</v>
      </c>
      <c r="P33" s="41">
        <v>4581752</v>
      </c>
      <c r="Q33" s="41">
        <v>4682392</v>
      </c>
      <c r="R33" s="41">
        <v>4785916</v>
      </c>
      <c r="S33" s="41">
        <v>4892294</v>
      </c>
      <c r="T33" s="41">
        <v>5001413</v>
      </c>
      <c r="U33" s="41">
        <v>5113458</v>
      </c>
      <c r="V33" s="41">
        <v>5228253</v>
      </c>
      <c r="W33" s="41">
        <v>5344946</v>
      </c>
      <c r="X33" s="41">
        <v>5462413</v>
      </c>
      <c r="Y33" s="41">
        <v>5579932</v>
      </c>
      <c r="Z33" s="41">
        <v>5697098</v>
      </c>
      <c r="AA33" s="41">
        <v>5814344</v>
      </c>
      <c r="AB33" s="41">
        <v>5932812</v>
      </c>
      <c r="AC33" s="41">
        <v>6054126</v>
      </c>
      <c r="AD33" s="41">
        <v>6179460</v>
      </c>
      <c r="AE33" s="41">
        <v>6309129</v>
      </c>
      <c r="AF33" s="41">
        <v>6442824</v>
      </c>
      <c r="AG33" s="41">
        <v>6580318</v>
      </c>
      <c r="AH33" s="41">
        <v>6721117</v>
      </c>
      <c r="AI33" s="41">
        <v>6864839</v>
      </c>
      <c r="AJ33" s="41">
        <v>7011456</v>
      </c>
      <c r="AK33" s="41">
        <v>7160917</v>
      </c>
      <c r="AL33" s="41">
        <v>7312857</v>
      </c>
      <c r="AM33" s="41">
        <v>7466792</v>
      </c>
      <c r="AN33" s="41">
        <v>7622334</v>
      </c>
      <c r="AO33" s="41">
        <v>7779268</v>
      </c>
      <c r="AP33" s="41">
        <v>7937453</v>
      </c>
      <c r="AQ33" s="41">
        <v>8096761</v>
      </c>
      <c r="AR33" s="41">
        <v>8257066</v>
      </c>
      <c r="AS33" s="41">
        <v>8418270</v>
      </c>
      <c r="AT33" s="41">
        <v>8580244</v>
      </c>
      <c r="AU33" s="41">
        <v>8742822</v>
      </c>
      <c r="AV33" s="41">
        <v>8905820</v>
      </c>
      <c r="AW33" s="41">
        <v>9069044</v>
      </c>
      <c r="AX33" s="41">
        <v>9232301</v>
      </c>
      <c r="AY33" s="41">
        <v>9395449</v>
      </c>
      <c r="AZ33" s="41">
        <v>9558438</v>
      </c>
      <c r="BA33" s="41">
        <v>9721457</v>
      </c>
      <c r="BB33" s="41">
        <v>9884790</v>
      </c>
      <c r="BC33" s="41">
        <v>10048597</v>
      </c>
      <c r="BD33" s="41">
        <v>10212951</v>
      </c>
      <c r="BE33" s="41">
        <v>10377677</v>
      </c>
      <c r="BF33" s="41">
        <v>10542375</v>
      </c>
      <c r="BG33" s="41">
        <v>10706517</v>
      </c>
      <c r="BH33" s="41">
        <v>10869732</v>
      </c>
      <c r="BI33" s="41">
        <v>11031822</v>
      </c>
      <c r="BJ33" s="41">
        <v>11192853</v>
      </c>
      <c r="BK33" s="41">
        <v>11353140</v>
      </c>
      <c r="BL33" s="41">
        <v>11513102</v>
      </c>
      <c r="BM33" s="41">
        <v>11673029</v>
      </c>
    </row>
    <row r="34" spans="1:65" x14ac:dyDescent="0.35">
      <c r="A34" s="41" t="s">
        <v>166</v>
      </c>
      <c r="B34" s="41" t="s">
        <v>167</v>
      </c>
      <c r="C34" s="41" t="s">
        <v>666</v>
      </c>
      <c r="D34" s="41" t="s">
        <v>667</v>
      </c>
      <c r="E34" s="41">
        <v>72179235</v>
      </c>
      <c r="F34" s="41">
        <v>74311338</v>
      </c>
      <c r="G34" s="41">
        <v>76514329</v>
      </c>
      <c r="H34" s="41">
        <v>78772647</v>
      </c>
      <c r="I34" s="41">
        <v>81064572</v>
      </c>
      <c r="J34" s="41">
        <v>83373533</v>
      </c>
      <c r="K34" s="41">
        <v>85696502</v>
      </c>
      <c r="L34" s="41">
        <v>88035815</v>
      </c>
      <c r="M34" s="41">
        <v>90387079</v>
      </c>
      <c r="N34" s="41">
        <v>92746607</v>
      </c>
      <c r="O34" s="41">
        <v>95113265</v>
      </c>
      <c r="P34" s="41">
        <v>97482928</v>
      </c>
      <c r="Q34" s="41">
        <v>99859388</v>
      </c>
      <c r="R34" s="41">
        <v>102259497</v>
      </c>
      <c r="S34" s="41">
        <v>104706193</v>
      </c>
      <c r="T34" s="41">
        <v>107216209</v>
      </c>
      <c r="U34" s="41">
        <v>109790943</v>
      </c>
      <c r="V34" s="41">
        <v>112425392</v>
      </c>
      <c r="W34" s="41">
        <v>115121158</v>
      </c>
      <c r="X34" s="41">
        <v>117878412</v>
      </c>
      <c r="Y34" s="41">
        <v>120694012</v>
      </c>
      <c r="Z34" s="41">
        <v>123570327</v>
      </c>
      <c r="AA34" s="41">
        <v>126498322</v>
      </c>
      <c r="AB34" s="41">
        <v>129448815</v>
      </c>
      <c r="AC34" s="41">
        <v>132383569</v>
      </c>
      <c r="AD34" s="41">
        <v>135274083</v>
      </c>
      <c r="AE34" s="41">
        <v>138108915</v>
      </c>
      <c r="AF34" s="41">
        <v>140891606</v>
      </c>
      <c r="AG34" s="41">
        <v>143627505</v>
      </c>
      <c r="AH34" s="41">
        <v>146328305</v>
      </c>
      <c r="AI34" s="41">
        <v>149003225</v>
      </c>
      <c r="AJ34" s="41">
        <v>151648007</v>
      </c>
      <c r="AK34" s="41">
        <v>154259382</v>
      </c>
      <c r="AL34" s="41">
        <v>156849086</v>
      </c>
      <c r="AM34" s="41">
        <v>159432717</v>
      </c>
      <c r="AN34" s="41">
        <v>162019889</v>
      </c>
      <c r="AO34" s="41">
        <v>164614682</v>
      </c>
      <c r="AP34" s="41">
        <v>167209046</v>
      </c>
      <c r="AQ34" s="41">
        <v>169785253</v>
      </c>
      <c r="AR34" s="41">
        <v>172318674</v>
      </c>
      <c r="AS34" s="41">
        <v>174790339</v>
      </c>
      <c r="AT34" s="41">
        <v>177196051</v>
      </c>
      <c r="AU34" s="41">
        <v>179537523</v>
      </c>
      <c r="AV34" s="41">
        <v>181809244</v>
      </c>
      <c r="AW34" s="41">
        <v>184006479</v>
      </c>
      <c r="AX34" s="41">
        <v>186127108</v>
      </c>
      <c r="AY34" s="41">
        <v>188167353</v>
      </c>
      <c r="AZ34" s="41">
        <v>190130445</v>
      </c>
      <c r="BA34" s="41">
        <v>192030362</v>
      </c>
      <c r="BB34" s="41">
        <v>193886505</v>
      </c>
      <c r="BC34" s="41">
        <v>195713637</v>
      </c>
      <c r="BD34" s="41">
        <v>197514541</v>
      </c>
      <c r="BE34" s="41">
        <v>199287292</v>
      </c>
      <c r="BF34" s="41">
        <v>201035904</v>
      </c>
      <c r="BG34" s="41">
        <v>202763744</v>
      </c>
      <c r="BH34" s="41">
        <v>204471759</v>
      </c>
      <c r="BI34" s="41">
        <v>206163056</v>
      </c>
      <c r="BJ34" s="41">
        <v>207833825</v>
      </c>
      <c r="BK34" s="41">
        <v>209469320</v>
      </c>
      <c r="BL34" s="41">
        <v>211049519</v>
      </c>
      <c r="BM34" s="41">
        <v>212559409</v>
      </c>
    </row>
    <row r="35" spans="1:65" x14ac:dyDescent="0.35">
      <c r="A35" s="41" t="s">
        <v>168</v>
      </c>
      <c r="B35" s="41" t="s">
        <v>169</v>
      </c>
      <c r="C35" s="41" t="s">
        <v>666</v>
      </c>
      <c r="D35" s="41" t="s">
        <v>667</v>
      </c>
      <c r="E35" s="41">
        <v>230985</v>
      </c>
      <c r="F35" s="41">
        <v>231718</v>
      </c>
      <c r="G35" s="41">
        <v>232623</v>
      </c>
      <c r="H35" s="41">
        <v>233632</v>
      </c>
      <c r="I35" s="41">
        <v>234588</v>
      </c>
      <c r="J35" s="41">
        <v>235415</v>
      </c>
      <c r="K35" s="41">
        <v>236084</v>
      </c>
      <c r="L35" s="41">
        <v>236661</v>
      </c>
      <c r="M35" s="41">
        <v>237241</v>
      </c>
      <c r="N35" s="41">
        <v>237963</v>
      </c>
      <c r="O35" s="41">
        <v>238895</v>
      </c>
      <c r="P35" s="41">
        <v>240093</v>
      </c>
      <c r="Q35" s="41">
        <v>241523</v>
      </c>
      <c r="R35" s="41">
        <v>243076</v>
      </c>
      <c r="S35" s="41">
        <v>244643</v>
      </c>
      <c r="T35" s="41">
        <v>246158</v>
      </c>
      <c r="U35" s="41">
        <v>247584</v>
      </c>
      <c r="V35" s="41">
        <v>248931</v>
      </c>
      <c r="W35" s="41">
        <v>250200</v>
      </c>
      <c r="X35" s="41">
        <v>251347</v>
      </c>
      <c r="Y35" s="41">
        <v>252388</v>
      </c>
      <c r="Z35" s="41">
        <v>253296</v>
      </c>
      <c r="AA35" s="41">
        <v>254078</v>
      </c>
      <c r="AB35" s="41">
        <v>254791</v>
      </c>
      <c r="AC35" s="41">
        <v>255493</v>
      </c>
      <c r="AD35" s="41">
        <v>256260</v>
      </c>
      <c r="AE35" s="41">
        <v>257117</v>
      </c>
      <c r="AF35" s="41">
        <v>258012</v>
      </c>
      <c r="AG35" s="41">
        <v>258970</v>
      </c>
      <c r="AH35" s="41">
        <v>259961</v>
      </c>
      <c r="AI35" s="41">
        <v>260933</v>
      </c>
      <c r="AJ35" s="41">
        <v>261912</v>
      </c>
      <c r="AK35" s="41">
        <v>262890</v>
      </c>
      <c r="AL35" s="41">
        <v>263869</v>
      </c>
      <c r="AM35" s="41">
        <v>264893</v>
      </c>
      <c r="AN35" s="41">
        <v>265955</v>
      </c>
      <c r="AO35" s="41">
        <v>267047</v>
      </c>
      <c r="AP35" s="41">
        <v>268183</v>
      </c>
      <c r="AQ35" s="41">
        <v>269334</v>
      </c>
      <c r="AR35" s="41">
        <v>270455</v>
      </c>
      <c r="AS35" s="41">
        <v>271511</v>
      </c>
      <c r="AT35" s="41">
        <v>272494</v>
      </c>
      <c r="AU35" s="41">
        <v>273423</v>
      </c>
      <c r="AV35" s="41">
        <v>274331</v>
      </c>
      <c r="AW35" s="41">
        <v>275283</v>
      </c>
      <c r="AX35" s="41">
        <v>276320</v>
      </c>
      <c r="AY35" s="41">
        <v>277475</v>
      </c>
      <c r="AZ35" s="41">
        <v>278701</v>
      </c>
      <c r="BA35" s="41">
        <v>279946</v>
      </c>
      <c r="BB35" s="41">
        <v>281107</v>
      </c>
      <c r="BC35" s="41">
        <v>282131</v>
      </c>
      <c r="BD35" s="41">
        <v>282987</v>
      </c>
      <c r="BE35" s="41">
        <v>283698</v>
      </c>
      <c r="BF35" s="41">
        <v>284294</v>
      </c>
      <c r="BG35" s="41">
        <v>284825</v>
      </c>
      <c r="BH35" s="41">
        <v>285327</v>
      </c>
      <c r="BI35" s="41">
        <v>285798</v>
      </c>
      <c r="BJ35" s="41">
        <v>286229</v>
      </c>
      <c r="BK35" s="41">
        <v>286640</v>
      </c>
      <c r="BL35" s="41">
        <v>287021</v>
      </c>
      <c r="BM35" s="41">
        <v>287371</v>
      </c>
    </row>
    <row r="36" spans="1:65" x14ac:dyDescent="0.35">
      <c r="A36" s="41" t="s">
        <v>170</v>
      </c>
      <c r="B36" s="41" t="s">
        <v>171</v>
      </c>
      <c r="C36" s="41" t="s">
        <v>666</v>
      </c>
      <c r="D36" s="41" t="s">
        <v>667</v>
      </c>
      <c r="E36" s="41">
        <v>81707</v>
      </c>
      <c r="F36" s="41">
        <v>85560</v>
      </c>
      <c r="G36" s="41">
        <v>89484</v>
      </c>
      <c r="H36" s="41">
        <v>93540</v>
      </c>
      <c r="I36" s="41">
        <v>97819</v>
      </c>
      <c r="J36" s="41">
        <v>102390</v>
      </c>
      <c r="K36" s="41">
        <v>107274</v>
      </c>
      <c r="L36" s="41">
        <v>112446</v>
      </c>
      <c r="M36" s="41">
        <v>117897</v>
      </c>
      <c r="N36" s="41">
        <v>123596</v>
      </c>
      <c r="O36" s="41">
        <v>129530</v>
      </c>
      <c r="P36" s="41">
        <v>135672</v>
      </c>
      <c r="Q36" s="41">
        <v>142015</v>
      </c>
      <c r="R36" s="41">
        <v>148516</v>
      </c>
      <c r="S36" s="41">
        <v>155069</v>
      </c>
      <c r="T36" s="41">
        <v>161635</v>
      </c>
      <c r="U36" s="41">
        <v>168173</v>
      </c>
      <c r="V36" s="41">
        <v>174717</v>
      </c>
      <c r="W36" s="41">
        <v>181201</v>
      </c>
      <c r="X36" s="41">
        <v>187596</v>
      </c>
      <c r="Y36" s="41">
        <v>193880</v>
      </c>
      <c r="Z36" s="41">
        <v>200027</v>
      </c>
      <c r="AA36" s="41">
        <v>206064</v>
      </c>
      <c r="AB36" s="41">
        <v>212073</v>
      </c>
      <c r="AC36" s="41">
        <v>218176</v>
      </c>
      <c r="AD36" s="41">
        <v>224440</v>
      </c>
      <c r="AE36" s="41">
        <v>230917</v>
      </c>
      <c r="AF36" s="41">
        <v>237565</v>
      </c>
      <c r="AG36" s="41">
        <v>244405</v>
      </c>
      <c r="AH36" s="41">
        <v>251456</v>
      </c>
      <c r="AI36" s="41">
        <v>258714</v>
      </c>
      <c r="AJ36" s="41">
        <v>266208</v>
      </c>
      <c r="AK36" s="41">
        <v>273888</v>
      </c>
      <c r="AL36" s="41">
        <v>281684</v>
      </c>
      <c r="AM36" s="41">
        <v>289452</v>
      </c>
      <c r="AN36" s="41">
        <v>297112</v>
      </c>
      <c r="AO36" s="41">
        <v>304620</v>
      </c>
      <c r="AP36" s="41">
        <v>311962</v>
      </c>
      <c r="AQ36" s="41">
        <v>319135</v>
      </c>
      <c r="AR36" s="41">
        <v>326214</v>
      </c>
      <c r="AS36" s="41">
        <v>333166</v>
      </c>
      <c r="AT36" s="41">
        <v>340037</v>
      </c>
      <c r="AU36" s="41">
        <v>346777</v>
      </c>
      <c r="AV36" s="41">
        <v>353295</v>
      </c>
      <c r="AW36" s="41">
        <v>359434</v>
      </c>
      <c r="AX36" s="41">
        <v>365112</v>
      </c>
      <c r="AY36" s="41">
        <v>370262</v>
      </c>
      <c r="AZ36" s="41">
        <v>374967</v>
      </c>
      <c r="BA36" s="41">
        <v>379418</v>
      </c>
      <c r="BB36" s="41">
        <v>383902</v>
      </c>
      <c r="BC36" s="41">
        <v>388634</v>
      </c>
      <c r="BD36" s="41">
        <v>393687</v>
      </c>
      <c r="BE36" s="41">
        <v>398997</v>
      </c>
      <c r="BF36" s="41">
        <v>404414</v>
      </c>
      <c r="BG36" s="41">
        <v>409778</v>
      </c>
      <c r="BH36" s="41">
        <v>414914</v>
      </c>
      <c r="BI36" s="41">
        <v>419791</v>
      </c>
      <c r="BJ36" s="41">
        <v>424481</v>
      </c>
      <c r="BK36" s="41">
        <v>428960</v>
      </c>
      <c r="BL36" s="41">
        <v>433296</v>
      </c>
      <c r="BM36" s="41">
        <v>437483</v>
      </c>
    </row>
    <row r="37" spans="1:65" x14ac:dyDescent="0.35">
      <c r="A37" s="41" t="s">
        <v>172</v>
      </c>
      <c r="B37" s="41" t="s">
        <v>173</v>
      </c>
      <c r="C37" s="41" t="s">
        <v>666</v>
      </c>
      <c r="D37" s="41" t="s">
        <v>667</v>
      </c>
      <c r="E37" s="41">
        <v>223284</v>
      </c>
      <c r="F37" s="41">
        <v>228849</v>
      </c>
      <c r="G37" s="41">
        <v>234552</v>
      </c>
      <c r="H37" s="41">
        <v>240529</v>
      </c>
      <c r="I37" s="41">
        <v>246961</v>
      </c>
      <c r="J37" s="41">
        <v>253993</v>
      </c>
      <c r="K37" s="41">
        <v>261664</v>
      </c>
      <c r="L37" s="41">
        <v>269944</v>
      </c>
      <c r="M37" s="41">
        <v>278731</v>
      </c>
      <c r="N37" s="41">
        <v>287886</v>
      </c>
      <c r="O37" s="41">
        <v>297307</v>
      </c>
      <c r="P37" s="41">
        <v>306957</v>
      </c>
      <c r="Q37" s="41">
        <v>316822</v>
      </c>
      <c r="R37" s="41">
        <v>326986</v>
      </c>
      <c r="S37" s="41">
        <v>337491</v>
      </c>
      <c r="T37" s="41">
        <v>348395</v>
      </c>
      <c r="U37" s="41">
        <v>359721</v>
      </c>
      <c r="V37" s="41">
        <v>371424</v>
      </c>
      <c r="W37" s="41">
        <v>383324</v>
      </c>
      <c r="X37" s="41">
        <v>395192</v>
      </c>
      <c r="Y37" s="41">
        <v>406883</v>
      </c>
      <c r="Z37" s="41">
        <v>418107</v>
      </c>
      <c r="AA37" s="41">
        <v>428938</v>
      </c>
      <c r="AB37" s="41">
        <v>439823</v>
      </c>
      <c r="AC37" s="41">
        <v>451471</v>
      </c>
      <c r="AD37" s="41">
        <v>464264</v>
      </c>
      <c r="AE37" s="41">
        <v>478683</v>
      </c>
      <c r="AF37" s="41">
        <v>494313</v>
      </c>
      <c r="AG37" s="41">
        <v>509532</v>
      </c>
      <c r="AH37" s="41">
        <v>522173</v>
      </c>
      <c r="AI37" s="41">
        <v>530801</v>
      </c>
      <c r="AJ37" s="41">
        <v>534637</v>
      </c>
      <c r="AK37" s="41">
        <v>534525</v>
      </c>
      <c r="AL37" s="41">
        <v>532590</v>
      </c>
      <c r="AM37" s="41">
        <v>531905</v>
      </c>
      <c r="AN37" s="41">
        <v>534629</v>
      </c>
      <c r="AO37" s="41">
        <v>541471</v>
      </c>
      <c r="AP37" s="41">
        <v>551713</v>
      </c>
      <c r="AQ37" s="41">
        <v>564378</v>
      </c>
      <c r="AR37" s="41">
        <v>577886</v>
      </c>
      <c r="AS37" s="41">
        <v>591014</v>
      </c>
      <c r="AT37" s="41">
        <v>603643</v>
      </c>
      <c r="AU37" s="41">
        <v>616025</v>
      </c>
      <c r="AV37" s="41">
        <v>627840</v>
      </c>
      <c r="AW37" s="41">
        <v>638809</v>
      </c>
      <c r="AX37" s="41">
        <v>648744</v>
      </c>
      <c r="AY37" s="41">
        <v>657404</v>
      </c>
      <c r="AZ37" s="41">
        <v>664873</v>
      </c>
      <c r="BA37" s="41">
        <v>671611</v>
      </c>
      <c r="BB37" s="41">
        <v>678329</v>
      </c>
      <c r="BC37" s="41">
        <v>685502</v>
      </c>
      <c r="BD37" s="41">
        <v>693297</v>
      </c>
      <c r="BE37" s="41">
        <v>701582</v>
      </c>
      <c r="BF37" s="41">
        <v>710235</v>
      </c>
      <c r="BG37" s="41">
        <v>719053</v>
      </c>
      <c r="BH37" s="41">
        <v>727885</v>
      </c>
      <c r="BI37" s="41">
        <v>736706</v>
      </c>
      <c r="BJ37" s="41">
        <v>745563</v>
      </c>
      <c r="BK37" s="41">
        <v>754396</v>
      </c>
      <c r="BL37" s="41">
        <v>763094</v>
      </c>
      <c r="BM37" s="41">
        <v>771612</v>
      </c>
    </row>
    <row r="38" spans="1:65" x14ac:dyDescent="0.35">
      <c r="A38" s="41" t="s">
        <v>15</v>
      </c>
      <c r="B38" s="41" t="s">
        <v>174</v>
      </c>
      <c r="C38" s="41" t="s">
        <v>666</v>
      </c>
      <c r="D38" s="41" t="s">
        <v>667</v>
      </c>
      <c r="E38" s="41">
        <v>502733</v>
      </c>
      <c r="F38" s="41">
        <v>512688</v>
      </c>
      <c r="G38" s="41">
        <v>523777</v>
      </c>
      <c r="H38" s="41">
        <v>535692</v>
      </c>
      <c r="I38" s="41">
        <v>547870</v>
      </c>
      <c r="J38" s="41">
        <v>559996</v>
      </c>
      <c r="K38" s="41">
        <v>571957</v>
      </c>
      <c r="L38" s="41">
        <v>584098</v>
      </c>
      <c r="M38" s="41">
        <v>596946</v>
      </c>
      <c r="N38" s="41">
        <v>611297</v>
      </c>
      <c r="O38" s="41">
        <v>627714</v>
      </c>
      <c r="P38" s="41">
        <v>646350</v>
      </c>
      <c r="Q38" s="41">
        <v>667096</v>
      </c>
      <c r="R38" s="41">
        <v>689906</v>
      </c>
      <c r="S38" s="41">
        <v>714701</v>
      </c>
      <c r="T38" s="41">
        <v>741346</v>
      </c>
      <c r="U38" s="41">
        <v>769982</v>
      </c>
      <c r="V38" s="41">
        <v>800532</v>
      </c>
      <c r="W38" s="41">
        <v>832467</v>
      </c>
      <c r="X38" s="41">
        <v>865073</v>
      </c>
      <c r="Y38" s="41">
        <v>897860</v>
      </c>
      <c r="Z38" s="41">
        <v>930412</v>
      </c>
      <c r="AA38" s="41">
        <v>962859</v>
      </c>
      <c r="AB38" s="41">
        <v>996124</v>
      </c>
      <c r="AC38" s="41">
        <v>1031439</v>
      </c>
      <c r="AD38" s="41">
        <v>1069585</v>
      </c>
      <c r="AE38" s="41">
        <v>1110948</v>
      </c>
      <c r="AF38" s="41">
        <v>1154904</v>
      </c>
      <c r="AG38" s="41">
        <v>1200073</v>
      </c>
      <c r="AH38" s="41">
        <v>1244484</v>
      </c>
      <c r="AI38" s="41">
        <v>1286756</v>
      </c>
      <c r="AJ38" s="41">
        <v>1326321</v>
      </c>
      <c r="AK38" s="41">
        <v>1363541</v>
      </c>
      <c r="AL38" s="41">
        <v>1399110</v>
      </c>
      <c r="AM38" s="41">
        <v>1434061</v>
      </c>
      <c r="AN38" s="41">
        <v>1469173</v>
      </c>
      <c r="AO38" s="41">
        <v>1504724</v>
      </c>
      <c r="AP38" s="41">
        <v>1540424</v>
      </c>
      <c r="AQ38" s="41">
        <v>1575827</v>
      </c>
      <c r="AR38" s="41">
        <v>1610260</v>
      </c>
      <c r="AS38" s="41">
        <v>1643333</v>
      </c>
      <c r="AT38" s="41">
        <v>1674674</v>
      </c>
      <c r="AU38" s="41">
        <v>1704637</v>
      </c>
      <c r="AV38" s="41">
        <v>1734387</v>
      </c>
      <c r="AW38" s="41">
        <v>1765533</v>
      </c>
      <c r="AX38" s="41">
        <v>1799077</v>
      </c>
      <c r="AY38" s="41">
        <v>1835911</v>
      </c>
      <c r="AZ38" s="41">
        <v>1875458</v>
      </c>
      <c r="BA38" s="41">
        <v>1915636</v>
      </c>
      <c r="BB38" s="41">
        <v>1953495</v>
      </c>
      <c r="BC38" s="41">
        <v>1987106</v>
      </c>
      <c r="BD38" s="41">
        <v>2015406</v>
      </c>
      <c r="BE38" s="41">
        <v>2039551</v>
      </c>
      <c r="BF38" s="41">
        <v>2062551</v>
      </c>
      <c r="BG38" s="41">
        <v>2088619</v>
      </c>
      <c r="BH38" s="41">
        <v>2120716</v>
      </c>
      <c r="BI38" s="41">
        <v>2159925</v>
      </c>
      <c r="BJ38" s="41">
        <v>2205076</v>
      </c>
      <c r="BK38" s="41">
        <v>2254067</v>
      </c>
      <c r="BL38" s="41">
        <v>2303703</v>
      </c>
      <c r="BM38" s="41">
        <v>2351625</v>
      </c>
    </row>
    <row r="39" spans="1:65" x14ac:dyDescent="0.35">
      <c r="A39" s="41" t="s">
        <v>175</v>
      </c>
      <c r="B39" s="41" t="s">
        <v>176</v>
      </c>
      <c r="C39" s="41" t="s">
        <v>666</v>
      </c>
      <c r="D39" s="41" t="s">
        <v>667</v>
      </c>
      <c r="E39" s="41">
        <v>1501668</v>
      </c>
      <c r="F39" s="41">
        <v>1526057</v>
      </c>
      <c r="G39" s="41">
        <v>1551908</v>
      </c>
      <c r="H39" s="41">
        <v>1579375</v>
      </c>
      <c r="I39" s="41">
        <v>1608618</v>
      </c>
      <c r="J39" s="41">
        <v>1639706</v>
      </c>
      <c r="K39" s="41">
        <v>1673019</v>
      </c>
      <c r="L39" s="41">
        <v>1708306</v>
      </c>
      <c r="M39" s="41">
        <v>1744198</v>
      </c>
      <c r="N39" s="41">
        <v>1778870</v>
      </c>
      <c r="O39" s="41">
        <v>1811157</v>
      </c>
      <c r="P39" s="41">
        <v>1840517</v>
      </c>
      <c r="Q39" s="41">
        <v>1867786</v>
      </c>
      <c r="R39" s="41">
        <v>1894850</v>
      </c>
      <c r="S39" s="41">
        <v>1924386</v>
      </c>
      <c r="T39" s="41">
        <v>1958367</v>
      </c>
      <c r="U39" s="41">
        <v>1997017</v>
      </c>
      <c r="V39" s="41">
        <v>2039914</v>
      </c>
      <c r="W39" s="41">
        <v>2087662</v>
      </c>
      <c r="X39" s="41">
        <v>2140778</v>
      </c>
      <c r="Y39" s="41">
        <v>2199359</v>
      </c>
      <c r="Z39" s="41">
        <v>2264441</v>
      </c>
      <c r="AA39" s="41">
        <v>2335339</v>
      </c>
      <c r="AB39" s="41">
        <v>2408322</v>
      </c>
      <c r="AC39" s="41">
        <v>2478382</v>
      </c>
      <c r="AD39" s="41">
        <v>2542170</v>
      </c>
      <c r="AE39" s="41">
        <v>2597765</v>
      </c>
      <c r="AF39" s="41">
        <v>2646836</v>
      </c>
      <c r="AG39" s="41">
        <v>2693974</v>
      </c>
      <c r="AH39" s="41">
        <v>2745735</v>
      </c>
      <c r="AI39" s="41">
        <v>2806740</v>
      </c>
      <c r="AJ39" s="41">
        <v>2878507</v>
      </c>
      <c r="AK39" s="41">
        <v>2959236</v>
      </c>
      <c r="AL39" s="41">
        <v>3046148</v>
      </c>
      <c r="AM39" s="41">
        <v>3135017</v>
      </c>
      <c r="AN39" s="41">
        <v>3222662</v>
      </c>
      <c r="AO39" s="41">
        <v>3308235</v>
      </c>
      <c r="AP39" s="41">
        <v>3392432</v>
      </c>
      <c r="AQ39" s="41">
        <v>3475485</v>
      </c>
      <c r="AR39" s="41">
        <v>3558019</v>
      </c>
      <c r="AS39" s="41">
        <v>3640421</v>
      </c>
      <c r="AT39" s="41">
        <v>3722016</v>
      </c>
      <c r="AU39" s="41">
        <v>3802129</v>
      </c>
      <c r="AV39" s="41">
        <v>3881185</v>
      </c>
      <c r="AW39" s="41">
        <v>3959883</v>
      </c>
      <c r="AX39" s="41">
        <v>4038380</v>
      </c>
      <c r="AY39" s="41">
        <v>4118075</v>
      </c>
      <c r="AZ39" s="41">
        <v>4198004</v>
      </c>
      <c r="BA39" s="41">
        <v>4273368</v>
      </c>
      <c r="BB39" s="41">
        <v>4337623</v>
      </c>
      <c r="BC39" s="41">
        <v>4386765</v>
      </c>
      <c r="BD39" s="41">
        <v>4418639</v>
      </c>
      <c r="BE39" s="41">
        <v>4436411</v>
      </c>
      <c r="BF39" s="41">
        <v>4447945</v>
      </c>
      <c r="BG39" s="41">
        <v>4464171</v>
      </c>
      <c r="BH39" s="41">
        <v>4493171</v>
      </c>
      <c r="BI39" s="41">
        <v>4537683</v>
      </c>
      <c r="BJ39" s="41">
        <v>4596023</v>
      </c>
      <c r="BK39" s="41">
        <v>4666375</v>
      </c>
      <c r="BL39" s="41">
        <v>4745179</v>
      </c>
      <c r="BM39" s="41">
        <v>4829764</v>
      </c>
    </row>
    <row r="40" spans="1:65" x14ac:dyDescent="0.35">
      <c r="A40" s="41" t="s">
        <v>177</v>
      </c>
      <c r="B40" s="41" t="s">
        <v>178</v>
      </c>
      <c r="C40" s="41" t="s">
        <v>666</v>
      </c>
      <c r="D40" s="41" t="s">
        <v>667</v>
      </c>
      <c r="E40" s="41">
        <v>17909009</v>
      </c>
      <c r="F40" s="41">
        <v>18271000</v>
      </c>
      <c r="G40" s="41">
        <v>18614000</v>
      </c>
      <c r="H40" s="41">
        <v>18964000</v>
      </c>
      <c r="I40" s="41">
        <v>19325000</v>
      </c>
      <c r="J40" s="41">
        <v>19678000</v>
      </c>
      <c r="K40" s="41">
        <v>20048000</v>
      </c>
      <c r="L40" s="41">
        <v>20412000</v>
      </c>
      <c r="M40" s="41">
        <v>20744000</v>
      </c>
      <c r="N40" s="41">
        <v>21028000</v>
      </c>
      <c r="O40" s="41">
        <v>21324000</v>
      </c>
      <c r="P40" s="41">
        <v>21962032</v>
      </c>
      <c r="Q40" s="41">
        <v>22218463</v>
      </c>
      <c r="R40" s="41">
        <v>22491777</v>
      </c>
      <c r="S40" s="41">
        <v>22807969</v>
      </c>
      <c r="T40" s="41">
        <v>23143275</v>
      </c>
      <c r="U40" s="41">
        <v>23449808</v>
      </c>
      <c r="V40" s="41">
        <v>23725843</v>
      </c>
      <c r="W40" s="41">
        <v>23963203</v>
      </c>
      <c r="X40" s="41">
        <v>24201544</v>
      </c>
      <c r="Y40" s="41">
        <v>24515667</v>
      </c>
      <c r="Z40" s="41">
        <v>24819915</v>
      </c>
      <c r="AA40" s="41">
        <v>25116942</v>
      </c>
      <c r="AB40" s="41">
        <v>25366451</v>
      </c>
      <c r="AC40" s="41">
        <v>25607053</v>
      </c>
      <c r="AD40" s="41">
        <v>25842116</v>
      </c>
      <c r="AE40" s="41">
        <v>26100278</v>
      </c>
      <c r="AF40" s="41">
        <v>26446601</v>
      </c>
      <c r="AG40" s="41">
        <v>26791747</v>
      </c>
      <c r="AH40" s="41">
        <v>27276781</v>
      </c>
      <c r="AI40" s="41">
        <v>27691138</v>
      </c>
      <c r="AJ40" s="41">
        <v>28037420</v>
      </c>
      <c r="AK40" s="41">
        <v>28371264</v>
      </c>
      <c r="AL40" s="41">
        <v>28684764</v>
      </c>
      <c r="AM40" s="41">
        <v>29000663</v>
      </c>
      <c r="AN40" s="41">
        <v>29302311</v>
      </c>
      <c r="AO40" s="41">
        <v>29610218</v>
      </c>
      <c r="AP40" s="41">
        <v>29905948</v>
      </c>
      <c r="AQ40" s="41">
        <v>30155173</v>
      </c>
      <c r="AR40" s="41">
        <v>30401286</v>
      </c>
      <c r="AS40" s="41">
        <v>30685730</v>
      </c>
      <c r="AT40" s="41">
        <v>31020902</v>
      </c>
      <c r="AU40" s="41">
        <v>31360079</v>
      </c>
      <c r="AV40" s="41">
        <v>31644028</v>
      </c>
      <c r="AW40" s="41">
        <v>31940655</v>
      </c>
      <c r="AX40" s="41">
        <v>32243753</v>
      </c>
      <c r="AY40" s="41">
        <v>32571174</v>
      </c>
      <c r="AZ40" s="41">
        <v>32889025</v>
      </c>
      <c r="BA40" s="41">
        <v>33247118</v>
      </c>
      <c r="BB40" s="41">
        <v>33628895</v>
      </c>
      <c r="BC40" s="41">
        <v>34004889</v>
      </c>
      <c r="BD40" s="41">
        <v>34339328</v>
      </c>
      <c r="BE40" s="41">
        <v>34714222</v>
      </c>
      <c r="BF40" s="41">
        <v>35082954</v>
      </c>
      <c r="BG40" s="41">
        <v>35437435</v>
      </c>
      <c r="BH40" s="41">
        <v>35702908</v>
      </c>
      <c r="BI40" s="41">
        <v>36109487</v>
      </c>
      <c r="BJ40" s="41">
        <v>36545295</v>
      </c>
      <c r="BK40" s="41">
        <v>37065178</v>
      </c>
      <c r="BL40" s="41">
        <v>37593384</v>
      </c>
      <c r="BM40" s="41">
        <v>38005238</v>
      </c>
    </row>
    <row r="41" spans="1:65" x14ac:dyDescent="0.35">
      <c r="A41" s="41" t="s">
        <v>179</v>
      </c>
      <c r="B41" s="41" t="s">
        <v>180</v>
      </c>
      <c r="C41" s="41" t="s">
        <v>666</v>
      </c>
      <c r="D41" s="41" t="s">
        <v>667</v>
      </c>
      <c r="E41" s="41">
        <v>91401764</v>
      </c>
      <c r="F41" s="41">
        <v>92232738</v>
      </c>
      <c r="G41" s="41">
        <v>93009498</v>
      </c>
      <c r="H41" s="41">
        <v>93840016</v>
      </c>
      <c r="I41" s="41">
        <v>94715795</v>
      </c>
      <c r="J41" s="41">
        <v>95440988</v>
      </c>
      <c r="K41" s="41">
        <v>96146336</v>
      </c>
      <c r="L41" s="41">
        <v>97043270</v>
      </c>
      <c r="M41" s="41">
        <v>97884022</v>
      </c>
      <c r="N41" s="41">
        <v>98606630</v>
      </c>
      <c r="O41" s="41">
        <v>99134548</v>
      </c>
      <c r="P41" s="41">
        <v>99635258</v>
      </c>
      <c r="Q41" s="41">
        <v>100357161</v>
      </c>
      <c r="R41" s="41">
        <v>101112680</v>
      </c>
      <c r="S41" s="41">
        <v>101939916</v>
      </c>
      <c r="T41" s="41">
        <v>102860571</v>
      </c>
      <c r="U41" s="41">
        <v>103776068</v>
      </c>
      <c r="V41" s="41">
        <v>104616884</v>
      </c>
      <c r="W41" s="41">
        <v>105329397</v>
      </c>
      <c r="X41" s="41">
        <v>105948616</v>
      </c>
      <c r="Y41" s="41">
        <v>106541316</v>
      </c>
      <c r="Z41" s="41">
        <v>107129392</v>
      </c>
      <c r="AA41" s="41">
        <v>107730380</v>
      </c>
      <c r="AB41" s="41">
        <v>108297837</v>
      </c>
      <c r="AC41" s="41">
        <v>108838073</v>
      </c>
      <c r="AD41" s="41">
        <v>109338285</v>
      </c>
      <c r="AE41" s="41">
        <v>109824166</v>
      </c>
      <c r="AF41" s="41">
        <v>110296425</v>
      </c>
      <c r="AG41" s="41">
        <v>110686740</v>
      </c>
      <c r="AH41" s="41">
        <v>110801640</v>
      </c>
      <c r="AI41" s="41">
        <v>110743128</v>
      </c>
      <c r="AJ41" s="41">
        <v>110469467</v>
      </c>
      <c r="AK41" s="41">
        <v>110111454</v>
      </c>
      <c r="AL41" s="41">
        <v>110041924</v>
      </c>
      <c r="AM41" s="41">
        <v>110021594</v>
      </c>
      <c r="AN41" s="41">
        <v>109864246</v>
      </c>
      <c r="AO41" s="41">
        <v>109626194</v>
      </c>
      <c r="AP41" s="41">
        <v>109422013</v>
      </c>
      <c r="AQ41" s="41">
        <v>109238340</v>
      </c>
      <c r="AR41" s="41">
        <v>109060951</v>
      </c>
      <c r="AS41" s="41">
        <v>108447824</v>
      </c>
      <c r="AT41" s="41">
        <v>107660041</v>
      </c>
      <c r="AU41" s="41">
        <v>106959751</v>
      </c>
      <c r="AV41" s="41">
        <v>106624167</v>
      </c>
      <c r="AW41" s="41">
        <v>106331716</v>
      </c>
      <c r="AX41" s="41">
        <v>106041911</v>
      </c>
      <c r="AY41" s="41">
        <v>105772481</v>
      </c>
      <c r="AZ41" s="41">
        <v>105378748</v>
      </c>
      <c r="BA41" s="41">
        <v>105001883</v>
      </c>
      <c r="BB41" s="41">
        <v>104800475</v>
      </c>
      <c r="BC41" s="41">
        <v>104421447</v>
      </c>
      <c r="BD41" s="41">
        <v>104174038</v>
      </c>
      <c r="BE41" s="41">
        <v>103935318</v>
      </c>
      <c r="BF41" s="41">
        <v>103713726</v>
      </c>
      <c r="BG41" s="41">
        <v>103496179</v>
      </c>
      <c r="BH41" s="41">
        <v>103257886</v>
      </c>
      <c r="BI41" s="41">
        <v>102994278</v>
      </c>
      <c r="BJ41" s="41">
        <v>102740078</v>
      </c>
      <c r="BK41" s="41">
        <v>102538451</v>
      </c>
      <c r="BL41" s="41">
        <v>102398537</v>
      </c>
      <c r="BM41" s="41">
        <v>102246330</v>
      </c>
    </row>
    <row r="42" spans="1:65" x14ac:dyDescent="0.35">
      <c r="A42" s="41" t="s">
        <v>181</v>
      </c>
      <c r="B42" s="41" t="s">
        <v>182</v>
      </c>
      <c r="C42" s="41" t="s">
        <v>666</v>
      </c>
      <c r="D42" s="41" t="s">
        <v>667</v>
      </c>
      <c r="E42" s="41">
        <v>5327827</v>
      </c>
      <c r="F42" s="41">
        <v>5434294</v>
      </c>
      <c r="G42" s="41">
        <v>5573815</v>
      </c>
      <c r="H42" s="41">
        <v>5694247</v>
      </c>
      <c r="I42" s="41">
        <v>5789228</v>
      </c>
      <c r="J42" s="41">
        <v>5856472</v>
      </c>
      <c r="K42" s="41">
        <v>5918002</v>
      </c>
      <c r="L42" s="41">
        <v>5991785</v>
      </c>
      <c r="M42" s="41">
        <v>6067714</v>
      </c>
      <c r="N42" s="41">
        <v>6136387</v>
      </c>
      <c r="O42" s="41">
        <v>6180877</v>
      </c>
      <c r="P42" s="41">
        <v>6213399</v>
      </c>
      <c r="Q42" s="41">
        <v>6260956</v>
      </c>
      <c r="R42" s="41">
        <v>6307347</v>
      </c>
      <c r="S42" s="41">
        <v>6341405</v>
      </c>
      <c r="T42" s="41">
        <v>6338632</v>
      </c>
      <c r="U42" s="41">
        <v>6302504</v>
      </c>
      <c r="V42" s="41">
        <v>6281174</v>
      </c>
      <c r="W42" s="41">
        <v>6281738</v>
      </c>
      <c r="X42" s="41">
        <v>6294365</v>
      </c>
      <c r="Y42" s="41">
        <v>6319408</v>
      </c>
      <c r="Z42" s="41">
        <v>6354074</v>
      </c>
      <c r="AA42" s="41">
        <v>6391309</v>
      </c>
      <c r="AB42" s="41">
        <v>6418773</v>
      </c>
      <c r="AC42" s="41">
        <v>6441865</v>
      </c>
      <c r="AD42" s="41">
        <v>6470365</v>
      </c>
      <c r="AE42" s="41">
        <v>6504124</v>
      </c>
      <c r="AF42" s="41">
        <v>6545106</v>
      </c>
      <c r="AG42" s="41">
        <v>6593386</v>
      </c>
      <c r="AH42" s="41">
        <v>6646912</v>
      </c>
      <c r="AI42" s="41">
        <v>6715519</v>
      </c>
      <c r="AJ42" s="41">
        <v>6799978</v>
      </c>
      <c r="AK42" s="41">
        <v>6875364</v>
      </c>
      <c r="AL42" s="41">
        <v>6938265</v>
      </c>
      <c r="AM42" s="41">
        <v>6993795</v>
      </c>
      <c r="AN42" s="41">
        <v>7040687</v>
      </c>
      <c r="AO42" s="41">
        <v>7071850</v>
      </c>
      <c r="AP42" s="41">
        <v>7088906</v>
      </c>
      <c r="AQ42" s="41">
        <v>7110001</v>
      </c>
      <c r="AR42" s="41">
        <v>7143991</v>
      </c>
      <c r="AS42" s="41">
        <v>7184250</v>
      </c>
      <c r="AT42" s="41">
        <v>7229854</v>
      </c>
      <c r="AU42" s="41">
        <v>7284753</v>
      </c>
      <c r="AV42" s="41">
        <v>7339001</v>
      </c>
      <c r="AW42" s="41">
        <v>7389625</v>
      </c>
      <c r="AX42" s="41">
        <v>7437115</v>
      </c>
      <c r="AY42" s="41">
        <v>7483934</v>
      </c>
      <c r="AZ42" s="41">
        <v>7551117</v>
      </c>
      <c r="BA42" s="41">
        <v>7647675</v>
      </c>
      <c r="BB42" s="41">
        <v>7743831</v>
      </c>
      <c r="BC42" s="41">
        <v>7824909</v>
      </c>
      <c r="BD42" s="41">
        <v>7912398</v>
      </c>
      <c r="BE42" s="41">
        <v>7996861</v>
      </c>
      <c r="BF42" s="41">
        <v>8089346</v>
      </c>
      <c r="BG42" s="41">
        <v>8188649</v>
      </c>
      <c r="BH42" s="41">
        <v>8282396</v>
      </c>
      <c r="BI42" s="41">
        <v>8373338</v>
      </c>
      <c r="BJ42" s="41">
        <v>8451840</v>
      </c>
      <c r="BK42" s="41">
        <v>8514329</v>
      </c>
      <c r="BL42" s="41">
        <v>8575280</v>
      </c>
      <c r="BM42" s="41">
        <v>8636896</v>
      </c>
    </row>
    <row r="43" spans="1:65" x14ac:dyDescent="0.35">
      <c r="A43" s="41" t="s">
        <v>183</v>
      </c>
      <c r="B43" s="41" t="s">
        <v>184</v>
      </c>
      <c r="C43" s="41" t="s">
        <v>666</v>
      </c>
      <c r="D43" s="41" t="s">
        <v>667</v>
      </c>
      <c r="E43" s="41">
        <v>109419</v>
      </c>
      <c r="F43" s="41">
        <v>110398</v>
      </c>
      <c r="G43" s="41">
        <v>111464</v>
      </c>
      <c r="H43" s="41">
        <v>112591</v>
      </c>
      <c r="I43" s="41">
        <v>113777</v>
      </c>
      <c r="J43" s="41">
        <v>114989</v>
      </c>
      <c r="K43" s="41">
        <v>116229</v>
      </c>
      <c r="L43" s="41">
        <v>117469</v>
      </c>
      <c r="M43" s="41">
        <v>118725</v>
      </c>
      <c r="N43" s="41">
        <v>119975</v>
      </c>
      <c r="O43" s="41">
        <v>121200</v>
      </c>
      <c r="P43" s="41">
        <v>122405</v>
      </c>
      <c r="Q43" s="41">
        <v>123611</v>
      </c>
      <c r="R43" s="41">
        <v>124722</v>
      </c>
      <c r="S43" s="41">
        <v>125680</v>
      </c>
      <c r="T43" s="41">
        <v>126420</v>
      </c>
      <c r="U43" s="41">
        <v>126908</v>
      </c>
      <c r="V43" s="41">
        <v>127186</v>
      </c>
      <c r="W43" s="41">
        <v>127395</v>
      </c>
      <c r="X43" s="41">
        <v>127691</v>
      </c>
      <c r="Y43" s="41">
        <v>128204</v>
      </c>
      <c r="Z43" s="41">
        <v>128986</v>
      </c>
      <c r="AA43" s="41">
        <v>129976</v>
      </c>
      <c r="AB43" s="41">
        <v>131153</v>
      </c>
      <c r="AC43" s="41">
        <v>132445</v>
      </c>
      <c r="AD43" s="41">
        <v>133800</v>
      </c>
      <c r="AE43" s="41">
        <v>135242</v>
      </c>
      <c r="AF43" s="41">
        <v>136762</v>
      </c>
      <c r="AG43" s="41">
        <v>138250</v>
      </c>
      <c r="AH43" s="41">
        <v>139580</v>
      </c>
      <c r="AI43" s="41">
        <v>140677</v>
      </c>
      <c r="AJ43" s="41">
        <v>141469</v>
      </c>
      <c r="AK43" s="41">
        <v>142006</v>
      </c>
      <c r="AL43" s="41">
        <v>142407</v>
      </c>
      <c r="AM43" s="41">
        <v>142867</v>
      </c>
      <c r="AN43" s="41">
        <v>143480</v>
      </c>
      <c r="AO43" s="41">
        <v>144348</v>
      </c>
      <c r="AP43" s="41">
        <v>145387</v>
      </c>
      <c r="AQ43" s="41">
        <v>146500</v>
      </c>
      <c r="AR43" s="41">
        <v>147553</v>
      </c>
      <c r="AS43" s="41">
        <v>148439</v>
      </c>
      <c r="AT43" s="41">
        <v>149097</v>
      </c>
      <c r="AU43" s="41">
        <v>149591</v>
      </c>
      <c r="AV43" s="41">
        <v>150070</v>
      </c>
      <c r="AW43" s="41">
        <v>150722</v>
      </c>
      <c r="AX43" s="41">
        <v>151674</v>
      </c>
      <c r="AY43" s="41">
        <v>152999</v>
      </c>
      <c r="AZ43" s="41">
        <v>154644</v>
      </c>
      <c r="BA43" s="41">
        <v>156441</v>
      </c>
      <c r="BB43" s="41">
        <v>158187</v>
      </c>
      <c r="BC43" s="41">
        <v>159718</v>
      </c>
      <c r="BD43" s="41">
        <v>160990</v>
      </c>
      <c r="BE43" s="41">
        <v>162051</v>
      </c>
      <c r="BF43" s="41">
        <v>163039</v>
      </c>
      <c r="BG43" s="41">
        <v>164107</v>
      </c>
      <c r="BH43" s="41">
        <v>165387</v>
      </c>
      <c r="BI43" s="41">
        <v>166922</v>
      </c>
      <c r="BJ43" s="41">
        <v>168666</v>
      </c>
      <c r="BK43" s="41">
        <v>170496</v>
      </c>
      <c r="BL43" s="41">
        <v>172264</v>
      </c>
      <c r="BM43" s="41">
        <v>173859</v>
      </c>
    </row>
    <row r="44" spans="1:65" x14ac:dyDescent="0.35">
      <c r="A44" s="41" t="s">
        <v>185</v>
      </c>
      <c r="B44" s="41" t="s">
        <v>186</v>
      </c>
      <c r="C44" s="41" t="s">
        <v>666</v>
      </c>
      <c r="D44" s="41" t="s">
        <v>667</v>
      </c>
      <c r="E44" s="41">
        <v>8132988</v>
      </c>
      <c r="F44" s="41">
        <v>8303804</v>
      </c>
      <c r="G44" s="41">
        <v>8476895</v>
      </c>
      <c r="H44" s="41">
        <v>8650390</v>
      </c>
      <c r="I44" s="41">
        <v>8821855</v>
      </c>
      <c r="J44" s="41">
        <v>8989607</v>
      </c>
      <c r="K44" s="41">
        <v>9152848</v>
      </c>
      <c r="L44" s="41">
        <v>9312091</v>
      </c>
      <c r="M44" s="41">
        <v>9468851</v>
      </c>
      <c r="N44" s="41">
        <v>9625304</v>
      </c>
      <c r="O44" s="41">
        <v>9783134</v>
      </c>
      <c r="P44" s="41">
        <v>9942716</v>
      </c>
      <c r="Q44" s="41">
        <v>10103675</v>
      </c>
      <c r="R44" s="41">
        <v>10265827</v>
      </c>
      <c r="S44" s="41">
        <v>10428803</v>
      </c>
      <c r="T44" s="41">
        <v>10592310</v>
      </c>
      <c r="U44" s="41">
        <v>10756876</v>
      </c>
      <c r="V44" s="41">
        <v>10922777</v>
      </c>
      <c r="W44" s="41">
        <v>11089165</v>
      </c>
      <c r="X44" s="41">
        <v>11254877</v>
      </c>
      <c r="Y44" s="41">
        <v>11419350</v>
      </c>
      <c r="Z44" s="41">
        <v>11582020</v>
      </c>
      <c r="AA44" s="41">
        <v>11743909</v>
      </c>
      <c r="AB44" s="41">
        <v>11907955</v>
      </c>
      <c r="AC44" s="41">
        <v>12078137</v>
      </c>
      <c r="AD44" s="41">
        <v>12257238</v>
      </c>
      <c r="AE44" s="41">
        <v>12445833</v>
      </c>
      <c r="AF44" s="41">
        <v>12642917</v>
      </c>
      <c r="AG44" s="41">
        <v>12847712</v>
      </c>
      <c r="AH44" s="41">
        <v>13058758</v>
      </c>
      <c r="AI44" s="41">
        <v>13274617</v>
      </c>
      <c r="AJ44" s="41">
        <v>13495255</v>
      </c>
      <c r="AK44" s="41">
        <v>13719818</v>
      </c>
      <c r="AL44" s="41">
        <v>13944934</v>
      </c>
      <c r="AM44" s="41">
        <v>14166346</v>
      </c>
      <c r="AN44" s="41">
        <v>14380864</v>
      </c>
      <c r="AO44" s="41">
        <v>14587367</v>
      </c>
      <c r="AP44" s="41">
        <v>14786227</v>
      </c>
      <c r="AQ44" s="41">
        <v>14977736</v>
      </c>
      <c r="AR44" s="41">
        <v>15162801</v>
      </c>
      <c r="AS44" s="41">
        <v>15342350</v>
      </c>
      <c r="AT44" s="41">
        <v>15516112</v>
      </c>
      <c r="AU44" s="41">
        <v>15684413</v>
      </c>
      <c r="AV44" s="41">
        <v>15849649</v>
      </c>
      <c r="AW44" s="41">
        <v>16014972</v>
      </c>
      <c r="AX44" s="41">
        <v>16182713</v>
      </c>
      <c r="AY44" s="41">
        <v>16354507</v>
      </c>
      <c r="AZ44" s="41">
        <v>16530201</v>
      </c>
      <c r="BA44" s="41">
        <v>16708255</v>
      </c>
      <c r="BB44" s="41">
        <v>16886184</v>
      </c>
      <c r="BC44" s="41">
        <v>17062531</v>
      </c>
      <c r="BD44" s="41">
        <v>17233584</v>
      </c>
      <c r="BE44" s="41">
        <v>17400359</v>
      </c>
      <c r="BF44" s="41">
        <v>17571511</v>
      </c>
      <c r="BG44" s="41">
        <v>17758969</v>
      </c>
      <c r="BH44" s="41">
        <v>17969356</v>
      </c>
      <c r="BI44" s="41">
        <v>18209072</v>
      </c>
      <c r="BJ44" s="41">
        <v>18470435</v>
      </c>
      <c r="BK44" s="41">
        <v>18729166</v>
      </c>
      <c r="BL44" s="41">
        <v>18952035</v>
      </c>
      <c r="BM44" s="41">
        <v>19116209</v>
      </c>
    </row>
    <row r="45" spans="1:65" x14ac:dyDescent="0.35">
      <c r="A45" s="41" t="s">
        <v>187</v>
      </c>
      <c r="B45" s="41" t="s">
        <v>188</v>
      </c>
      <c r="C45" s="41" t="s">
        <v>666</v>
      </c>
      <c r="D45" s="41" t="s">
        <v>667</v>
      </c>
      <c r="E45" s="41">
        <v>667070000</v>
      </c>
      <c r="F45" s="41">
        <v>660330000</v>
      </c>
      <c r="G45" s="41">
        <v>665770000</v>
      </c>
      <c r="H45" s="41">
        <v>682335000</v>
      </c>
      <c r="I45" s="41">
        <v>698355000</v>
      </c>
      <c r="J45" s="41">
        <v>715185000</v>
      </c>
      <c r="K45" s="41">
        <v>735400000</v>
      </c>
      <c r="L45" s="41">
        <v>754550000</v>
      </c>
      <c r="M45" s="41">
        <v>774510000</v>
      </c>
      <c r="N45" s="41">
        <v>796025000</v>
      </c>
      <c r="O45" s="41">
        <v>818315000</v>
      </c>
      <c r="P45" s="41">
        <v>841105000</v>
      </c>
      <c r="Q45" s="41">
        <v>862030000</v>
      </c>
      <c r="R45" s="41">
        <v>881940000</v>
      </c>
      <c r="S45" s="41">
        <v>900350000</v>
      </c>
      <c r="T45" s="41">
        <v>916395000</v>
      </c>
      <c r="U45" s="41">
        <v>930685000</v>
      </c>
      <c r="V45" s="41">
        <v>943455000</v>
      </c>
      <c r="W45" s="41">
        <v>956165000</v>
      </c>
      <c r="X45" s="41">
        <v>969005000</v>
      </c>
      <c r="Y45" s="41">
        <v>981235000</v>
      </c>
      <c r="Z45" s="41">
        <v>993885000</v>
      </c>
      <c r="AA45" s="41">
        <v>1008630000</v>
      </c>
      <c r="AB45" s="41">
        <v>1023310000</v>
      </c>
      <c r="AC45" s="41">
        <v>1036825000</v>
      </c>
      <c r="AD45" s="41">
        <v>1051040000</v>
      </c>
      <c r="AE45" s="41">
        <v>1066790000</v>
      </c>
      <c r="AF45" s="41">
        <v>1084035000</v>
      </c>
      <c r="AG45" s="41">
        <v>1101630000</v>
      </c>
      <c r="AH45" s="41">
        <v>1118650000</v>
      </c>
      <c r="AI45" s="41">
        <v>1135185000</v>
      </c>
      <c r="AJ45" s="41">
        <v>1150780000</v>
      </c>
      <c r="AK45" s="41">
        <v>1164970000</v>
      </c>
      <c r="AL45" s="41">
        <v>1178440000</v>
      </c>
      <c r="AM45" s="41">
        <v>1191835000</v>
      </c>
      <c r="AN45" s="41">
        <v>1204855000</v>
      </c>
      <c r="AO45" s="41">
        <v>1217550000</v>
      </c>
      <c r="AP45" s="41">
        <v>1230075000</v>
      </c>
      <c r="AQ45" s="41">
        <v>1241935000</v>
      </c>
      <c r="AR45" s="41">
        <v>1252735000</v>
      </c>
      <c r="AS45" s="41">
        <v>1262645000</v>
      </c>
      <c r="AT45" s="41">
        <v>1271850000</v>
      </c>
      <c r="AU45" s="41">
        <v>1280400000</v>
      </c>
      <c r="AV45" s="41">
        <v>1288400000</v>
      </c>
      <c r="AW45" s="41">
        <v>1296075000</v>
      </c>
      <c r="AX45" s="41">
        <v>1303720000</v>
      </c>
      <c r="AY45" s="41">
        <v>1311020000</v>
      </c>
      <c r="AZ45" s="41">
        <v>1317885000</v>
      </c>
      <c r="BA45" s="41">
        <v>1324655000</v>
      </c>
      <c r="BB45" s="41">
        <v>1331260000</v>
      </c>
      <c r="BC45" s="41">
        <v>1337705000</v>
      </c>
      <c r="BD45" s="41">
        <v>1344130000</v>
      </c>
      <c r="BE45" s="41">
        <v>1350695000</v>
      </c>
      <c r="BF45" s="41">
        <v>1357380000</v>
      </c>
      <c r="BG45" s="41">
        <v>1364270000</v>
      </c>
      <c r="BH45" s="41">
        <v>1371220000</v>
      </c>
      <c r="BI45" s="41">
        <v>1378665000</v>
      </c>
      <c r="BJ45" s="41">
        <v>1386395000</v>
      </c>
      <c r="BK45" s="41">
        <v>1392730000</v>
      </c>
      <c r="BL45" s="41">
        <v>1397715000</v>
      </c>
      <c r="BM45" s="41">
        <v>1402112000</v>
      </c>
    </row>
    <row r="46" spans="1:65" x14ac:dyDescent="0.35">
      <c r="A46" s="41" t="s">
        <v>189</v>
      </c>
      <c r="B46" s="41" t="s">
        <v>190</v>
      </c>
      <c r="C46" s="41" t="s">
        <v>666</v>
      </c>
      <c r="D46" s="41" t="s">
        <v>667</v>
      </c>
      <c r="E46" s="41">
        <v>3503559</v>
      </c>
      <c r="F46" s="41">
        <v>3631547</v>
      </c>
      <c r="G46" s="41">
        <v>3770756</v>
      </c>
      <c r="H46" s="41">
        <v>3918630</v>
      </c>
      <c r="I46" s="41">
        <v>4071411</v>
      </c>
      <c r="J46" s="41">
        <v>4226843</v>
      </c>
      <c r="K46" s="41">
        <v>4383723</v>
      </c>
      <c r="L46" s="41">
        <v>4544168</v>
      </c>
      <c r="M46" s="41">
        <v>4713134</v>
      </c>
      <c r="N46" s="41">
        <v>4897470</v>
      </c>
      <c r="O46" s="41">
        <v>5102070</v>
      </c>
      <c r="P46" s="41">
        <v>5328735</v>
      </c>
      <c r="Q46" s="41">
        <v>5576026</v>
      </c>
      <c r="R46" s="41">
        <v>5841513</v>
      </c>
      <c r="S46" s="41">
        <v>6121295</v>
      </c>
      <c r="T46" s="41">
        <v>6412409</v>
      </c>
      <c r="U46" s="41">
        <v>6713949</v>
      </c>
      <c r="V46" s="41">
        <v>7026497</v>
      </c>
      <c r="W46" s="41">
        <v>7350269</v>
      </c>
      <c r="X46" s="41">
        <v>7685927</v>
      </c>
      <c r="Y46" s="41">
        <v>8033652</v>
      </c>
      <c r="Z46" s="41">
        <v>8393689</v>
      </c>
      <c r="AA46" s="41">
        <v>8764991</v>
      </c>
      <c r="AB46" s="41">
        <v>9144940</v>
      </c>
      <c r="AC46" s="41">
        <v>9530103</v>
      </c>
      <c r="AD46" s="41">
        <v>9918204</v>
      </c>
      <c r="AE46" s="41">
        <v>10307268</v>
      </c>
      <c r="AF46" s="41">
        <v>10698188</v>
      </c>
      <c r="AG46" s="41">
        <v>11094740</v>
      </c>
      <c r="AH46" s="41">
        <v>11502453</v>
      </c>
      <c r="AI46" s="41">
        <v>11924873</v>
      </c>
      <c r="AJ46" s="41">
        <v>12362404</v>
      </c>
      <c r="AK46" s="41">
        <v>12812428</v>
      </c>
      <c r="AL46" s="41">
        <v>13271638</v>
      </c>
      <c r="AM46" s="41">
        <v>13735438</v>
      </c>
      <c r="AN46" s="41">
        <v>14199759</v>
      </c>
      <c r="AO46" s="41">
        <v>14665125</v>
      </c>
      <c r="AP46" s="41">
        <v>15130674</v>
      </c>
      <c r="AQ46" s="41">
        <v>15589407</v>
      </c>
      <c r="AR46" s="41">
        <v>16032573</v>
      </c>
      <c r="AS46" s="41">
        <v>16454660</v>
      </c>
      <c r="AT46" s="41">
        <v>16853027</v>
      </c>
      <c r="AU46" s="41">
        <v>17231539</v>
      </c>
      <c r="AV46" s="41">
        <v>17599613</v>
      </c>
      <c r="AW46" s="41">
        <v>17970493</v>
      </c>
      <c r="AX46" s="41">
        <v>18354513</v>
      </c>
      <c r="AY46" s="41">
        <v>18754914</v>
      </c>
      <c r="AZ46" s="41">
        <v>19171250</v>
      </c>
      <c r="BA46" s="41">
        <v>19605568</v>
      </c>
      <c r="BB46" s="41">
        <v>20059147</v>
      </c>
      <c r="BC46" s="41">
        <v>20532944</v>
      </c>
      <c r="BD46" s="41">
        <v>21028652</v>
      </c>
      <c r="BE46" s="41">
        <v>21547188</v>
      </c>
      <c r="BF46" s="41">
        <v>22087506</v>
      </c>
      <c r="BG46" s="41">
        <v>22647672</v>
      </c>
      <c r="BH46" s="41">
        <v>23226148</v>
      </c>
      <c r="BI46" s="41">
        <v>23822726</v>
      </c>
      <c r="BJ46" s="41">
        <v>24437475</v>
      </c>
      <c r="BK46" s="41">
        <v>25069226</v>
      </c>
      <c r="BL46" s="41">
        <v>25716554</v>
      </c>
      <c r="BM46" s="41">
        <v>26378275</v>
      </c>
    </row>
    <row r="47" spans="1:65" x14ac:dyDescent="0.35">
      <c r="A47" s="41" t="s">
        <v>191</v>
      </c>
      <c r="B47" s="41" t="s">
        <v>192</v>
      </c>
      <c r="C47" s="41" t="s">
        <v>666</v>
      </c>
      <c r="D47" s="41" t="s">
        <v>667</v>
      </c>
      <c r="E47" s="41">
        <v>5176920</v>
      </c>
      <c r="F47" s="41">
        <v>5285015</v>
      </c>
      <c r="G47" s="41">
        <v>5398730</v>
      </c>
      <c r="H47" s="41">
        <v>5518104</v>
      </c>
      <c r="I47" s="41">
        <v>5643039</v>
      </c>
      <c r="J47" s="41">
        <v>5773538</v>
      </c>
      <c r="K47" s="41">
        <v>5909874</v>
      </c>
      <c r="L47" s="41">
        <v>6052419</v>
      </c>
      <c r="M47" s="41">
        <v>6201410</v>
      </c>
      <c r="N47" s="41">
        <v>6357096</v>
      </c>
      <c r="O47" s="41">
        <v>6519754</v>
      </c>
      <c r="P47" s="41">
        <v>6689659</v>
      </c>
      <c r="Q47" s="41">
        <v>6867170</v>
      </c>
      <c r="R47" s="41">
        <v>7052847</v>
      </c>
      <c r="S47" s="41">
        <v>7247284</v>
      </c>
      <c r="T47" s="41">
        <v>7451057</v>
      </c>
      <c r="U47" s="41">
        <v>7664398</v>
      </c>
      <c r="V47" s="41">
        <v>7887571</v>
      </c>
      <c r="W47" s="41">
        <v>8121081</v>
      </c>
      <c r="X47" s="41">
        <v>8365560</v>
      </c>
      <c r="Y47" s="41">
        <v>8621409</v>
      </c>
      <c r="Z47" s="41">
        <v>8888534</v>
      </c>
      <c r="AA47" s="41">
        <v>9166813</v>
      </c>
      <c r="AB47" s="41">
        <v>9456496</v>
      </c>
      <c r="AC47" s="41">
        <v>9757849</v>
      </c>
      <c r="AD47" s="41">
        <v>10070806</v>
      </c>
      <c r="AE47" s="41">
        <v>10395481</v>
      </c>
      <c r="AF47" s="41">
        <v>10731058</v>
      </c>
      <c r="AG47" s="41">
        <v>11075423</v>
      </c>
      <c r="AH47" s="41">
        <v>11425807</v>
      </c>
      <c r="AI47" s="41">
        <v>11780086</v>
      </c>
      <c r="AJ47" s="41">
        <v>12137912</v>
      </c>
      <c r="AK47" s="41">
        <v>12499499</v>
      </c>
      <c r="AL47" s="41">
        <v>12864091</v>
      </c>
      <c r="AM47" s="41">
        <v>13230978</v>
      </c>
      <c r="AN47" s="41">
        <v>13599984</v>
      </c>
      <c r="AO47" s="41">
        <v>13970812</v>
      </c>
      <c r="AP47" s="41">
        <v>14344444</v>
      </c>
      <c r="AQ47" s="41">
        <v>14723772</v>
      </c>
      <c r="AR47" s="41">
        <v>15112598</v>
      </c>
      <c r="AS47" s="41">
        <v>15513944</v>
      </c>
      <c r="AT47" s="41">
        <v>15928910</v>
      </c>
      <c r="AU47" s="41">
        <v>16357605</v>
      </c>
      <c r="AV47" s="41">
        <v>16800869</v>
      </c>
      <c r="AW47" s="41">
        <v>17259322</v>
      </c>
      <c r="AX47" s="41">
        <v>17733408</v>
      </c>
      <c r="AY47" s="41">
        <v>18223677</v>
      </c>
      <c r="AZ47" s="41">
        <v>18730283</v>
      </c>
      <c r="BA47" s="41">
        <v>19252674</v>
      </c>
      <c r="BB47" s="41">
        <v>19789922</v>
      </c>
      <c r="BC47" s="41">
        <v>20341236</v>
      </c>
      <c r="BD47" s="41">
        <v>20906392</v>
      </c>
      <c r="BE47" s="41">
        <v>21485267</v>
      </c>
      <c r="BF47" s="41">
        <v>22077300</v>
      </c>
      <c r="BG47" s="41">
        <v>22681853</v>
      </c>
      <c r="BH47" s="41">
        <v>23298376</v>
      </c>
      <c r="BI47" s="41">
        <v>23926549</v>
      </c>
      <c r="BJ47" s="41">
        <v>24566070</v>
      </c>
      <c r="BK47" s="41">
        <v>25216261</v>
      </c>
      <c r="BL47" s="41">
        <v>25876387</v>
      </c>
      <c r="BM47" s="41">
        <v>26545864</v>
      </c>
    </row>
    <row r="48" spans="1:65" x14ac:dyDescent="0.35">
      <c r="A48" s="41" t="s">
        <v>193</v>
      </c>
      <c r="B48" s="41" t="s">
        <v>194</v>
      </c>
      <c r="C48" s="41" t="s">
        <v>666</v>
      </c>
      <c r="D48" s="41" t="s">
        <v>667</v>
      </c>
      <c r="E48" s="41">
        <v>15248256</v>
      </c>
      <c r="F48" s="41">
        <v>15637700</v>
      </c>
      <c r="G48" s="41">
        <v>16041187</v>
      </c>
      <c r="H48" s="41">
        <v>16461828</v>
      </c>
      <c r="I48" s="41">
        <v>16903830</v>
      </c>
      <c r="J48" s="41">
        <v>17369882</v>
      </c>
      <c r="K48" s="41">
        <v>17862052</v>
      </c>
      <c r="L48" s="41">
        <v>18378620</v>
      </c>
      <c r="M48" s="41">
        <v>18913874</v>
      </c>
      <c r="N48" s="41">
        <v>19459818</v>
      </c>
      <c r="O48" s="41">
        <v>20011033</v>
      </c>
      <c r="P48" s="41">
        <v>20564062</v>
      </c>
      <c r="Q48" s="41">
        <v>21121360</v>
      </c>
      <c r="R48" s="41">
        <v>21690448</v>
      </c>
      <c r="S48" s="41">
        <v>22282127</v>
      </c>
      <c r="T48" s="41">
        <v>22903587</v>
      </c>
      <c r="U48" s="41">
        <v>23560470</v>
      </c>
      <c r="V48" s="41">
        <v>24249127</v>
      </c>
      <c r="W48" s="41">
        <v>24956387</v>
      </c>
      <c r="X48" s="41">
        <v>25663598</v>
      </c>
      <c r="Y48" s="41">
        <v>26358905</v>
      </c>
      <c r="Z48" s="41">
        <v>27040329</v>
      </c>
      <c r="AA48" s="41">
        <v>27717293</v>
      </c>
      <c r="AB48" s="41">
        <v>28403858</v>
      </c>
      <c r="AC48" s="41">
        <v>29119663</v>
      </c>
      <c r="AD48" s="41">
        <v>29881222</v>
      </c>
      <c r="AE48" s="41">
        <v>30683877</v>
      </c>
      <c r="AF48" s="41">
        <v>31528702</v>
      </c>
      <c r="AG48" s="41">
        <v>32443784</v>
      </c>
      <c r="AH48" s="41">
        <v>33464767</v>
      </c>
      <c r="AI48" s="41">
        <v>34612023</v>
      </c>
      <c r="AJ48" s="41">
        <v>35908240</v>
      </c>
      <c r="AK48" s="41">
        <v>37333917</v>
      </c>
      <c r="AL48" s="41">
        <v>38815835</v>
      </c>
      <c r="AM48" s="41">
        <v>40252973</v>
      </c>
      <c r="AN48" s="41">
        <v>41576239</v>
      </c>
      <c r="AO48" s="41">
        <v>42757239</v>
      </c>
      <c r="AP48" s="41">
        <v>43827191</v>
      </c>
      <c r="AQ48" s="41">
        <v>44849968</v>
      </c>
      <c r="AR48" s="41">
        <v>45919615</v>
      </c>
      <c r="AS48" s="41">
        <v>47105830</v>
      </c>
      <c r="AT48" s="41">
        <v>48428534</v>
      </c>
      <c r="AU48" s="41">
        <v>49871670</v>
      </c>
      <c r="AV48" s="41">
        <v>51425583</v>
      </c>
      <c r="AW48" s="41">
        <v>53068869</v>
      </c>
      <c r="AX48" s="41">
        <v>54785894</v>
      </c>
      <c r="AY48" s="41">
        <v>56578046</v>
      </c>
      <c r="AZ48" s="41">
        <v>58453687</v>
      </c>
      <c r="BA48" s="41">
        <v>60411195</v>
      </c>
      <c r="BB48" s="41">
        <v>62448572</v>
      </c>
      <c r="BC48" s="41">
        <v>64563853</v>
      </c>
      <c r="BD48" s="41">
        <v>66755151</v>
      </c>
      <c r="BE48" s="41">
        <v>69020749</v>
      </c>
      <c r="BF48" s="41">
        <v>71358804</v>
      </c>
      <c r="BG48" s="41">
        <v>73767445</v>
      </c>
      <c r="BH48" s="41">
        <v>76244532</v>
      </c>
      <c r="BI48" s="41">
        <v>78789130</v>
      </c>
      <c r="BJ48" s="41">
        <v>81398765</v>
      </c>
      <c r="BK48" s="41">
        <v>84068092</v>
      </c>
      <c r="BL48" s="41">
        <v>86790568</v>
      </c>
      <c r="BM48" s="41">
        <v>89561404</v>
      </c>
    </row>
    <row r="49" spans="1:65" x14ac:dyDescent="0.35">
      <c r="A49" s="41" t="s">
        <v>195</v>
      </c>
      <c r="B49" s="41" t="s">
        <v>196</v>
      </c>
      <c r="C49" s="41" t="s">
        <v>666</v>
      </c>
      <c r="D49" s="41" t="s">
        <v>667</v>
      </c>
      <c r="E49" s="41">
        <v>1018254</v>
      </c>
      <c r="F49" s="41">
        <v>1043119</v>
      </c>
      <c r="G49" s="41">
        <v>1069236</v>
      </c>
      <c r="H49" s="41">
        <v>1096638</v>
      </c>
      <c r="I49" s="41">
        <v>1125354</v>
      </c>
      <c r="J49" s="41">
        <v>1155389</v>
      </c>
      <c r="K49" s="41">
        <v>1186782</v>
      </c>
      <c r="L49" s="41">
        <v>1219547</v>
      </c>
      <c r="M49" s="41">
        <v>1253761</v>
      </c>
      <c r="N49" s="41">
        <v>1289519</v>
      </c>
      <c r="O49" s="41">
        <v>1326894</v>
      </c>
      <c r="P49" s="41">
        <v>1365891</v>
      </c>
      <c r="Q49" s="41">
        <v>1406510</v>
      </c>
      <c r="R49" s="41">
        <v>1448632</v>
      </c>
      <c r="S49" s="41">
        <v>1492055</v>
      </c>
      <c r="T49" s="41">
        <v>1536658</v>
      </c>
      <c r="U49" s="41">
        <v>1582361</v>
      </c>
      <c r="V49" s="41">
        <v>1629218</v>
      </c>
      <c r="W49" s="41">
        <v>1677326</v>
      </c>
      <c r="X49" s="41">
        <v>1726865</v>
      </c>
      <c r="Y49" s="41">
        <v>1777932</v>
      </c>
      <c r="Z49" s="41">
        <v>1830629</v>
      </c>
      <c r="AA49" s="41">
        <v>1884873</v>
      </c>
      <c r="AB49" s="41">
        <v>1940454</v>
      </c>
      <c r="AC49" s="41">
        <v>1996994</v>
      </c>
      <c r="AD49" s="41">
        <v>2054308</v>
      </c>
      <c r="AE49" s="41">
        <v>2112359</v>
      </c>
      <c r="AF49" s="41">
        <v>2171319</v>
      </c>
      <c r="AG49" s="41">
        <v>2231462</v>
      </c>
      <c r="AH49" s="41">
        <v>2293161</v>
      </c>
      <c r="AI49" s="41">
        <v>2356740</v>
      </c>
      <c r="AJ49" s="41">
        <v>2422312</v>
      </c>
      <c r="AK49" s="41">
        <v>2489945</v>
      </c>
      <c r="AL49" s="41">
        <v>2559880</v>
      </c>
      <c r="AM49" s="41">
        <v>2632345</v>
      </c>
      <c r="AN49" s="41">
        <v>2707532</v>
      </c>
      <c r="AO49" s="41">
        <v>2785815</v>
      </c>
      <c r="AP49" s="41">
        <v>2867283</v>
      </c>
      <c r="AQ49" s="41">
        <v>2951651</v>
      </c>
      <c r="AR49" s="41">
        <v>3038432</v>
      </c>
      <c r="AS49" s="41">
        <v>3127420</v>
      </c>
      <c r="AT49" s="41">
        <v>3217930</v>
      </c>
      <c r="AU49" s="41">
        <v>3310376</v>
      </c>
      <c r="AV49" s="41">
        <v>3406915</v>
      </c>
      <c r="AW49" s="41">
        <v>3510468</v>
      </c>
      <c r="AX49" s="41">
        <v>3622775</v>
      </c>
      <c r="AY49" s="41">
        <v>3745143</v>
      </c>
      <c r="AZ49" s="41">
        <v>3876123</v>
      </c>
      <c r="BA49" s="41">
        <v>4011487</v>
      </c>
      <c r="BB49" s="41">
        <v>4145400</v>
      </c>
      <c r="BC49" s="41">
        <v>4273738</v>
      </c>
      <c r="BD49" s="41">
        <v>4394842</v>
      </c>
      <c r="BE49" s="41">
        <v>4510197</v>
      </c>
      <c r="BF49" s="41">
        <v>4622757</v>
      </c>
      <c r="BG49" s="41">
        <v>4736965</v>
      </c>
      <c r="BH49" s="41">
        <v>4856093</v>
      </c>
      <c r="BI49" s="41">
        <v>4980996</v>
      </c>
      <c r="BJ49" s="41">
        <v>5110701</v>
      </c>
      <c r="BK49" s="41">
        <v>5244363</v>
      </c>
      <c r="BL49" s="41">
        <v>5380504</v>
      </c>
      <c r="BM49" s="41">
        <v>5518092</v>
      </c>
    </row>
    <row r="50" spans="1:65" x14ac:dyDescent="0.35">
      <c r="A50" s="41" t="s">
        <v>197</v>
      </c>
      <c r="B50" s="41" t="s">
        <v>198</v>
      </c>
      <c r="C50" s="41" t="s">
        <v>666</v>
      </c>
      <c r="D50" s="41" t="s">
        <v>667</v>
      </c>
      <c r="E50" s="41">
        <v>16057714</v>
      </c>
      <c r="F50" s="41">
        <v>16567817</v>
      </c>
      <c r="G50" s="41">
        <v>17092919</v>
      </c>
      <c r="H50" s="41">
        <v>17629978</v>
      </c>
      <c r="I50" s="41">
        <v>18175187</v>
      </c>
      <c r="J50" s="41">
        <v>18725242</v>
      </c>
      <c r="K50" s="41">
        <v>19279734</v>
      </c>
      <c r="L50" s="41">
        <v>19837508</v>
      </c>
      <c r="M50" s="41">
        <v>20393704</v>
      </c>
      <c r="N50" s="41">
        <v>20942453</v>
      </c>
      <c r="O50" s="41">
        <v>21480064</v>
      </c>
      <c r="P50" s="41">
        <v>22003983</v>
      </c>
      <c r="Q50" s="41">
        <v>22516429</v>
      </c>
      <c r="R50" s="41">
        <v>23024512</v>
      </c>
      <c r="S50" s="41">
        <v>23538390</v>
      </c>
      <c r="T50" s="41">
        <v>24065502</v>
      </c>
      <c r="U50" s="41">
        <v>24608102</v>
      </c>
      <c r="V50" s="41">
        <v>25164544</v>
      </c>
      <c r="W50" s="41">
        <v>25733669</v>
      </c>
      <c r="X50" s="41">
        <v>26312996</v>
      </c>
      <c r="Y50" s="41">
        <v>26900508</v>
      </c>
      <c r="Z50" s="41">
        <v>27496608</v>
      </c>
      <c r="AA50" s="41">
        <v>28101824</v>
      </c>
      <c r="AB50" s="41">
        <v>28714183</v>
      </c>
      <c r="AC50" s="41">
        <v>29331230</v>
      </c>
      <c r="AD50" s="41">
        <v>29951194</v>
      </c>
      <c r="AE50" s="41">
        <v>30572479</v>
      </c>
      <c r="AF50" s="41">
        <v>31195417</v>
      </c>
      <c r="AG50" s="41">
        <v>31822527</v>
      </c>
      <c r="AH50" s="41">
        <v>32457497</v>
      </c>
      <c r="AI50" s="41">
        <v>33102569</v>
      </c>
      <c r="AJ50" s="41">
        <v>33758328</v>
      </c>
      <c r="AK50" s="41">
        <v>34422568</v>
      </c>
      <c r="AL50" s="41">
        <v>35091272</v>
      </c>
      <c r="AM50" s="41">
        <v>35758978</v>
      </c>
      <c r="AN50" s="41">
        <v>36421438</v>
      </c>
      <c r="AO50" s="41">
        <v>37076387</v>
      </c>
      <c r="AP50" s="41">
        <v>37723803</v>
      </c>
      <c r="AQ50" s="41">
        <v>38364307</v>
      </c>
      <c r="AR50" s="41">
        <v>38999468</v>
      </c>
      <c r="AS50" s="41">
        <v>39629965</v>
      </c>
      <c r="AT50" s="41">
        <v>40255956</v>
      </c>
      <c r="AU50" s="41">
        <v>40875363</v>
      </c>
      <c r="AV50" s="41">
        <v>41483872</v>
      </c>
      <c r="AW50" s="41">
        <v>42075953</v>
      </c>
      <c r="AX50" s="41">
        <v>42647731</v>
      </c>
      <c r="AY50" s="41">
        <v>43200901</v>
      </c>
      <c r="AZ50" s="41">
        <v>43737512</v>
      </c>
      <c r="BA50" s="41">
        <v>44254972</v>
      </c>
      <c r="BB50" s="41">
        <v>44750054</v>
      </c>
      <c r="BC50" s="41">
        <v>45222699</v>
      </c>
      <c r="BD50" s="41">
        <v>45662747</v>
      </c>
      <c r="BE50" s="41">
        <v>46075721</v>
      </c>
      <c r="BF50" s="41">
        <v>46495492</v>
      </c>
      <c r="BG50" s="41">
        <v>46967706</v>
      </c>
      <c r="BH50" s="41">
        <v>47520667</v>
      </c>
      <c r="BI50" s="41">
        <v>48175048</v>
      </c>
      <c r="BJ50" s="41">
        <v>48909844</v>
      </c>
      <c r="BK50" s="41">
        <v>49661056</v>
      </c>
      <c r="BL50" s="41">
        <v>50339443</v>
      </c>
      <c r="BM50" s="41">
        <v>50882884</v>
      </c>
    </row>
    <row r="51" spans="1:65" x14ac:dyDescent="0.35">
      <c r="A51" s="41" t="s">
        <v>199</v>
      </c>
      <c r="B51" s="41" t="s">
        <v>200</v>
      </c>
      <c r="C51" s="41" t="s">
        <v>666</v>
      </c>
      <c r="D51" s="41" t="s">
        <v>667</v>
      </c>
      <c r="E51" s="41">
        <v>191122</v>
      </c>
      <c r="F51" s="41">
        <v>194149</v>
      </c>
      <c r="G51" s="41">
        <v>197202</v>
      </c>
      <c r="H51" s="41">
        <v>200371</v>
      </c>
      <c r="I51" s="41">
        <v>203762</v>
      </c>
      <c r="J51" s="41">
        <v>207429</v>
      </c>
      <c r="K51" s="41">
        <v>211477</v>
      </c>
      <c r="L51" s="41">
        <v>215900</v>
      </c>
      <c r="M51" s="41">
        <v>220574</v>
      </c>
      <c r="N51" s="41">
        <v>225324</v>
      </c>
      <c r="O51" s="41">
        <v>230055</v>
      </c>
      <c r="P51" s="41">
        <v>234645</v>
      </c>
      <c r="Q51" s="41">
        <v>239229</v>
      </c>
      <c r="R51" s="41">
        <v>244207</v>
      </c>
      <c r="S51" s="41">
        <v>250107</v>
      </c>
      <c r="T51" s="41">
        <v>257285</v>
      </c>
      <c r="U51" s="41">
        <v>265958</v>
      </c>
      <c r="V51" s="41">
        <v>275903</v>
      </c>
      <c r="W51" s="41">
        <v>286628</v>
      </c>
      <c r="X51" s="41">
        <v>297451</v>
      </c>
      <c r="Y51" s="41">
        <v>307831</v>
      </c>
      <c r="Z51" s="41">
        <v>317617</v>
      </c>
      <c r="AA51" s="41">
        <v>326944</v>
      </c>
      <c r="AB51" s="41">
        <v>336088</v>
      </c>
      <c r="AC51" s="41">
        <v>345455</v>
      </c>
      <c r="AD51" s="41">
        <v>355337</v>
      </c>
      <c r="AE51" s="41">
        <v>365765</v>
      </c>
      <c r="AF51" s="41">
        <v>376647</v>
      </c>
      <c r="AG51" s="41">
        <v>387964</v>
      </c>
      <c r="AH51" s="41">
        <v>399638</v>
      </c>
      <c r="AI51" s="41">
        <v>411598</v>
      </c>
      <c r="AJ51" s="41">
        <v>423873</v>
      </c>
      <c r="AK51" s="41">
        <v>436454</v>
      </c>
      <c r="AL51" s="41">
        <v>449270</v>
      </c>
      <c r="AM51" s="41">
        <v>462280</v>
      </c>
      <c r="AN51" s="41">
        <v>475394</v>
      </c>
      <c r="AO51" s="41">
        <v>488625</v>
      </c>
      <c r="AP51" s="41">
        <v>501955</v>
      </c>
      <c r="AQ51" s="41">
        <v>515382</v>
      </c>
      <c r="AR51" s="41">
        <v>528853</v>
      </c>
      <c r="AS51" s="41">
        <v>542358</v>
      </c>
      <c r="AT51" s="41">
        <v>555895</v>
      </c>
      <c r="AU51" s="41">
        <v>569480</v>
      </c>
      <c r="AV51" s="41">
        <v>583213</v>
      </c>
      <c r="AW51" s="41">
        <v>597230</v>
      </c>
      <c r="AX51" s="41">
        <v>611625</v>
      </c>
      <c r="AY51" s="41">
        <v>626427</v>
      </c>
      <c r="AZ51" s="41">
        <v>641624</v>
      </c>
      <c r="BA51" s="41">
        <v>657227</v>
      </c>
      <c r="BB51" s="41">
        <v>673251</v>
      </c>
      <c r="BC51" s="41">
        <v>689696</v>
      </c>
      <c r="BD51" s="41">
        <v>706578</v>
      </c>
      <c r="BE51" s="41">
        <v>723865</v>
      </c>
      <c r="BF51" s="41">
        <v>741511</v>
      </c>
      <c r="BG51" s="41">
        <v>759390</v>
      </c>
      <c r="BH51" s="41">
        <v>777435</v>
      </c>
      <c r="BI51" s="41">
        <v>795597</v>
      </c>
      <c r="BJ51" s="41">
        <v>813890</v>
      </c>
      <c r="BK51" s="41">
        <v>832322</v>
      </c>
      <c r="BL51" s="41">
        <v>850891</v>
      </c>
      <c r="BM51" s="41">
        <v>869595</v>
      </c>
    </row>
    <row r="52" spans="1:65" x14ac:dyDescent="0.35">
      <c r="A52" s="41" t="s">
        <v>201</v>
      </c>
      <c r="B52" s="41" t="s">
        <v>202</v>
      </c>
      <c r="C52" s="41" t="s">
        <v>666</v>
      </c>
      <c r="D52" s="41" t="s">
        <v>667</v>
      </c>
      <c r="E52" s="41">
        <v>201770</v>
      </c>
      <c r="F52" s="41">
        <v>205321</v>
      </c>
      <c r="G52" s="41">
        <v>210141</v>
      </c>
      <c r="H52" s="41">
        <v>216087</v>
      </c>
      <c r="I52" s="41">
        <v>222949</v>
      </c>
      <c r="J52" s="41">
        <v>230421</v>
      </c>
      <c r="K52" s="41">
        <v>238655</v>
      </c>
      <c r="L52" s="41">
        <v>247522</v>
      </c>
      <c r="M52" s="41">
        <v>256169</v>
      </c>
      <c r="N52" s="41">
        <v>263461</v>
      </c>
      <c r="O52" s="41">
        <v>268633</v>
      </c>
      <c r="P52" s="41">
        <v>271315</v>
      </c>
      <c r="Q52" s="41">
        <v>271841</v>
      </c>
      <c r="R52" s="41">
        <v>271068</v>
      </c>
      <c r="S52" s="41">
        <v>270228</v>
      </c>
      <c r="T52" s="41">
        <v>270240</v>
      </c>
      <c r="U52" s="41">
        <v>271345</v>
      </c>
      <c r="V52" s="41">
        <v>273335</v>
      </c>
      <c r="W52" s="41">
        <v>276182</v>
      </c>
      <c r="X52" s="41">
        <v>279729</v>
      </c>
      <c r="Y52" s="41">
        <v>283848</v>
      </c>
      <c r="Z52" s="41">
        <v>288678</v>
      </c>
      <c r="AA52" s="41">
        <v>294244</v>
      </c>
      <c r="AB52" s="41">
        <v>300226</v>
      </c>
      <c r="AC52" s="41">
        <v>306140</v>
      </c>
      <c r="AD52" s="41">
        <v>311668</v>
      </c>
      <c r="AE52" s="41">
        <v>316613</v>
      </c>
      <c r="AF52" s="41">
        <v>321137</v>
      </c>
      <c r="AG52" s="41">
        <v>325744</v>
      </c>
      <c r="AH52" s="41">
        <v>331180</v>
      </c>
      <c r="AI52" s="41">
        <v>337953</v>
      </c>
      <c r="AJ52" s="41">
        <v>346229</v>
      </c>
      <c r="AK52" s="41">
        <v>355763</v>
      </c>
      <c r="AL52" s="41">
        <v>366057</v>
      </c>
      <c r="AM52" s="41">
        <v>376409</v>
      </c>
      <c r="AN52" s="41">
        <v>386288</v>
      </c>
      <c r="AO52" s="41">
        <v>395533</v>
      </c>
      <c r="AP52" s="41">
        <v>404248</v>
      </c>
      <c r="AQ52" s="41">
        <v>412513</v>
      </c>
      <c r="AR52" s="41">
        <v>420456</v>
      </c>
      <c r="AS52" s="41">
        <v>428178</v>
      </c>
      <c r="AT52" s="41">
        <v>435701</v>
      </c>
      <c r="AU52" s="41">
        <v>442955</v>
      </c>
      <c r="AV52" s="41">
        <v>449925</v>
      </c>
      <c r="AW52" s="41">
        <v>456619</v>
      </c>
      <c r="AX52" s="41">
        <v>463034</v>
      </c>
      <c r="AY52" s="41">
        <v>469171</v>
      </c>
      <c r="AZ52" s="41">
        <v>475067</v>
      </c>
      <c r="BA52" s="41">
        <v>480846</v>
      </c>
      <c r="BB52" s="41">
        <v>486667</v>
      </c>
      <c r="BC52" s="41">
        <v>492644</v>
      </c>
      <c r="BD52" s="41">
        <v>498858</v>
      </c>
      <c r="BE52" s="41">
        <v>505241</v>
      </c>
      <c r="BF52" s="41">
        <v>511740</v>
      </c>
      <c r="BG52" s="41">
        <v>518276</v>
      </c>
      <c r="BH52" s="41">
        <v>524740</v>
      </c>
      <c r="BI52" s="41">
        <v>531140</v>
      </c>
      <c r="BJ52" s="41">
        <v>537499</v>
      </c>
      <c r="BK52" s="41">
        <v>543764</v>
      </c>
      <c r="BL52" s="41">
        <v>549936</v>
      </c>
      <c r="BM52" s="41">
        <v>555988</v>
      </c>
    </row>
    <row r="53" spans="1:65" x14ac:dyDescent="0.35">
      <c r="A53" s="41" t="s">
        <v>203</v>
      </c>
      <c r="B53" s="41" t="s">
        <v>204</v>
      </c>
      <c r="C53" s="41" t="s">
        <v>666</v>
      </c>
      <c r="D53" s="41" t="s">
        <v>667</v>
      </c>
      <c r="E53" s="41">
        <v>1330787</v>
      </c>
      <c r="F53" s="41">
        <v>1381187</v>
      </c>
      <c r="G53" s="41">
        <v>1433346</v>
      </c>
      <c r="H53" s="41">
        <v>1486555</v>
      </c>
      <c r="I53" s="41">
        <v>1539942</v>
      </c>
      <c r="J53" s="41">
        <v>1592834</v>
      </c>
      <c r="K53" s="41">
        <v>1645076</v>
      </c>
      <c r="L53" s="41">
        <v>1696742</v>
      </c>
      <c r="M53" s="41">
        <v>1747690</v>
      </c>
      <c r="N53" s="41">
        <v>1797891</v>
      </c>
      <c r="O53" s="41">
        <v>1847394</v>
      </c>
      <c r="P53" s="41">
        <v>1896074</v>
      </c>
      <c r="Q53" s="41">
        <v>1944170</v>
      </c>
      <c r="R53" s="41">
        <v>1992522</v>
      </c>
      <c r="S53" s="41">
        <v>2042242</v>
      </c>
      <c r="T53" s="41">
        <v>2094186</v>
      </c>
      <c r="U53" s="41">
        <v>2148681</v>
      </c>
      <c r="V53" s="41">
        <v>2205618</v>
      </c>
      <c r="W53" s="41">
        <v>2264942</v>
      </c>
      <c r="X53" s="41">
        <v>2326460</v>
      </c>
      <c r="Y53" s="41">
        <v>2389973</v>
      </c>
      <c r="Z53" s="41">
        <v>2455593</v>
      </c>
      <c r="AA53" s="41">
        <v>2523358</v>
      </c>
      <c r="AB53" s="41">
        <v>2593015</v>
      </c>
      <c r="AC53" s="41">
        <v>2664220</v>
      </c>
      <c r="AD53" s="41">
        <v>2736719</v>
      </c>
      <c r="AE53" s="41">
        <v>2810245</v>
      </c>
      <c r="AF53" s="41">
        <v>2884856</v>
      </c>
      <c r="AG53" s="41">
        <v>2960932</v>
      </c>
      <c r="AH53" s="41">
        <v>3039015</v>
      </c>
      <c r="AI53" s="41">
        <v>3119436</v>
      </c>
      <c r="AJ53" s="41">
        <v>3202083</v>
      </c>
      <c r="AK53" s="41">
        <v>3286525</v>
      </c>
      <c r="AL53" s="41">
        <v>3372298</v>
      </c>
      <c r="AM53" s="41">
        <v>3458829</v>
      </c>
      <c r="AN53" s="41">
        <v>3545524</v>
      </c>
      <c r="AO53" s="41">
        <v>3632361</v>
      </c>
      <c r="AP53" s="41">
        <v>3718952</v>
      </c>
      <c r="AQ53" s="41">
        <v>3803893</v>
      </c>
      <c r="AR53" s="41">
        <v>3885428</v>
      </c>
      <c r="AS53" s="41">
        <v>3962369</v>
      </c>
      <c r="AT53" s="41">
        <v>4034074</v>
      </c>
      <c r="AU53" s="41">
        <v>4100922</v>
      </c>
      <c r="AV53" s="41">
        <v>4164053</v>
      </c>
      <c r="AW53" s="41">
        <v>4225156</v>
      </c>
      <c r="AX53" s="41">
        <v>4285504</v>
      </c>
      <c r="AY53" s="41">
        <v>4345421</v>
      </c>
      <c r="AZ53" s="41">
        <v>4404626</v>
      </c>
      <c r="BA53" s="41">
        <v>4463123</v>
      </c>
      <c r="BB53" s="41">
        <v>4520739</v>
      </c>
      <c r="BC53" s="41">
        <v>4577371</v>
      </c>
      <c r="BD53" s="41">
        <v>4633086</v>
      </c>
      <c r="BE53" s="41">
        <v>4688003</v>
      </c>
      <c r="BF53" s="41">
        <v>4742111</v>
      </c>
      <c r="BG53" s="41">
        <v>4795390</v>
      </c>
      <c r="BH53" s="41">
        <v>4847805</v>
      </c>
      <c r="BI53" s="41">
        <v>4899336</v>
      </c>
      <c r="BJ53" s="41">
        <v>4949955</v>
      </c>
      <c r="BK53" s="41">
        <v>4999443</v>
      </c>
      <c r="BL53" s="41">
        <v>5047561</v>
      </c>
      <c r="BM53" s="41">
        <v>5094114</v>
      </c>
    </row>
    <row r="54" spans="1:65" x14ac:dyDescent="0.35">
      <c r="A54" s="41" t="s">
        <v>205</v>
      </c>
      <c r="B54" s="41" t="s">
        <v>206</v>
      </c>
      <c r="C54" s="41" t="s">
        <v>666</v>
      </c>
      <c r="D54" s="41" t="s">
        <v>667</v>
      </c>
      <c r="E54" s="41">
        <v>4194711</v>
      </c>
      <c r="F54" s="41">
        <v>4274052</v>
      </c>
      <c r="G54" s="41">
        <v>4353623</v>
      </c>
      <c r="H54" s="41">
        <v>4432240</v>
      </c>
      <c r="I54" s="41">
        <v>4508189</v>
      </c>
      <c r="J54" s="41">
        <v>4580382</v>
      </c>
      <c r="K54" s="41">
        <v>4648353</v>
      </c>
      <c r="L54" s="41">
        <v>4712556</v>
      </c>
      <c r="M54" s="41">
        <v>4773890</v>
      </c>
      <c r="N54" s="41">
        <v>4833839</v>
      </c>
      <c r="O54" s="41">
        <v>4893444</v>
      </c>
      <c r="P54" s="41">
        <v>4953088</v>
      </c>
      <c r="Q54" s="41">
        <v>5012600</v>
      </c>
      <c r="R54" s="41">
        <v>5071912</v>
      </c>
      <c r="S54" s="41">
        <v>5130797</v>
      </c>
      <c r="T54" s="41">
        <v>5189174</v>
      </c>
      <c r="U54" s="41">
        <v>5246547</v>
      </c>
      <c r="V54" s="41">
        <v>5303289</v>
      </c>
      <c r="W54" s="41">
        <v>5360562</v>
      </c>
      <c r="X54" s="41">
        <v>5419911</v>
      </c>
      <c r="Y54" s="41">
        <v>5482191</v>
      </c>
      <c r="Z54" s="41">
        <v>5548521</v>
      </c>
      <c r="AA54" s="41">
        <v>5617902</v>
      </c>
      <c r="AB54" s="41">
        <v>5687113</v>
      </c>
      <c r="AC54" s="41">
        <v>5751508</v>
      </c>
      <c r="AD54" s="41">
        <v>5808206</v>
      </c>
      <c r="AE54" s="41">
        <v>5855445</v>
      </c>
      <c r="AF54" s="41">
        <v>5894820</v>
      </c>
      <c r="AG54" s="41">
        <v>5930153</v>
      </c>
      <c r="AH54" s="41">
        <v>5967028</v>
      </c>
      <c r="AI54" s="41">
        <v>6009262</v>
      </c>
      <c r="AJ54" s="41">
        <v>6058334</v>
      </c>
      <c r="AK54" s="41">
        <v>6112784</v>
      </c>
      <c r="AL54" s="41">
        <v>6170324</v>
      </c>
      <c r="AM54" s="41">
        <v>6227332</v>
      </c>
      <c r="AN54" s="41">
        <v>6281204</v>
      </c>
      <c r="AO54" s="41">
        <v>6331277</v>
      </c>
      <c r="AP54" s="41">
        <v>6378551</v>
      </c>
      <c r="AQ54" s="41">
        <v>6423851</v>
      </c>
      <c r="AR54" s="41">
        <v>6468461</v>
      </c>
      <c r="AS54" s="41">
        <v>6513486</v>
      </c>
      <c r="AT54" s="41">
        <v>6559097</v>
      </c>
      <c r="AU54" s="41">
        <v>6604966</v>
      </c>
      <c r="AV54" s="41">
        <v>6650981</v>
      </c>
      <c r="AW54" s="41">
        <v>6696985</v>
      </c>
      <c r="AX54" s="41">
        <v>6742657</v>
      </c>
      <c r="AY54" s="41">
        <v>6788122</v>
      </c>
      <c r="AZ54" s="41">
        <v>6833394</v>
      </c>
      <c r="BA54" s="41">
        <v>6878973</v>
      </c>
      <c r="BB54" s="41">
        <v>6925446</v>
      </c>
      <c r="BC54" s="41">
        <v>6973193</v>
      </c>
      <c r="BD54" s="41">
        <v>7022367</v>
      </c>
      <c r="BE54" s="41">
        <v>7072640</v>
      </c>
      <c r="BF54" s="41">
        <v>7123315</v>
      </c>
      <c r="BG54" s="41">
        <v>7173443</v>
      </c>
      <c r="BH54" s="41">
        <v>7222197</v>
      </c>
      <c r="BI54" s="41">
        <v>7269385</v>
      </c>
      <c r="BJ54" s="41">
        <v>7314956</v>
      </c>
      <c r="BK54" s="41">
        <v>7358929</v>
      </c>
      <c r="BL54" s="41">
        <v>7401389</v>
      </c>
      <c r="BM54" s="41">
        <v>7442291</v>
      </c>
    </row>
    <row r="55" spans="1:65" x14ac:dyDescent="0.35">
      <c r="A55" s="41" t="s">
        <v>207</v>
      </c>
      <c r="B55" s="41" t="s">
        <v>208</v>
      </c>
      <c r="C55" s="41" t="s">
        <v>666</v>
      </c>
      <c r="D55" s="41" t="s">
        <v>667</v>
      </c>
      <c r="E55" s="41">
        <v>7141241</v>
      </c>
      <c r="F55" s="41">
        <v>7291201</v>
      </c>
      <c r="G55" s="41">
        <v>7453535</v>
      </c>
      <c r="H55" s="41">
        <v>7623300</v>
      </c>
      <c r="I55" s="41">
        <v>7793258</v>
      </c>
      <c r="J55" s="41">
        <v>7958171</v>
      </c>
      <c r="K55" s="41">
        <v>8115487</v>
      </c>
      <c r="L55" s="41">
        <v>8266373</v>
      </c>
      <c r="M55" s="41">
        <v>8413549</v>
      </c>
      <c r="N55" s="41">
        <v>8561391</v>
      </c>
      <c r="O55" s="41">
        <v>8712535</v>
      </c>
      <c r="P55" s="41">
        <v>8868087</v>
      </c>
      <c r="Q55" s="41">
        <v>9025347</v>
      </c>
      <c r="R55" s="41">
        <v>9178809</v>
      </c>
      <c r="S55" s="41">
        <v>9320943</v>
      </c>
      <c r="T55" s="41">
        <v>9446441</v>
      </c>
      <c r="U55" s="41">
        <v>9554186</v>
      </c>
      <c r="V55" s="41">
        <v>9646142</v>
      </c>
      <c r="W55" s="41">
        <v>9724044</v>
      </c>
      <c r="X55" s="41">
        <v>9790850</v>
      </c>
      <c r="Y55" s="41">
        <v>9849457</v>
      </c>
      <c r="Z55" s="41">
        <v>9898891</v>
      </c>
      <c r="AA55" s="41">
        <v>9940314</v>
      </c>
      <c r="AB55" s="41">
        <v>9981303</v>
      </c>
      <c r="AC55" s="41">
        <v>10031651</v>
      </c>
      <c r="AD55" s="41">
        <v>10097910</v>
      </c>
      <c r="AE55" s="41">
        <v>10183894</v>
      </c>
      <c r="AF55" s="41">
        <v>10286645</v>
      </c>
      <c r="AG55" s="41">
        <v>10397519</v>
      </c>
      <c r="AH55" s="41">
        <v>10503967</v>
      </c>
      <c r="AI55" s="41">
        <v>10596986</v>
      </c>
      <c r="AJ55" s="41">
        <v>10673534</v>
      </c>
      <c r="AK55" s="41">
        <v>10736386</v>
      </c>
      <c r="AL55" s="41">
        <v>10789312</v>
      </c>
      <c r="AM55" s="41">
        <v>10838461</v>
      </c>
      <c r="AN55" s="41">
        <v>10888246</v>
      </c>
      <c r="AO55" s="41">
        <v>10939285</v>
      </c>
      <c r="AP55" s="41">
        <v>10989730</v>
      </c>
      <c r="AQ55" s="41">
        <v>11038706</v>
      </c>
      <c r="AR55" s="41">
        <v>11084673</v>
      </c>
      <c r="AS55" s="41">
        <v>11126423</v>
      </c>
      <c r="AT55" s="41">
        <v>11164676</v>
      </c>
      <c r="AU55" s="41">
        <v>11199664</v>
      </c>
      <c r="AV55" s="41">
        <v>11229185</v>
      </c>
      <c r="AW55" s="41">
        <v>11250369</v>
      </c>
      <c r="AX55" s="41">
        <v>11261586</v>
      </c>
      <c r="AY55" s="41">
        <v>11261241</v>
      </c>
      <c r="AZ55" s="41">
        <v>11251117</v>
      </c>
      <c r="BA55" s="41">
        <v>11236975</v>
      </c>
      <c r="BB55" s="41">
        <v>11226711</v>
      </c>
      <c r="BC55" s="41">
        <v>11225833</v>
      </c>
      <c r="BD55" s="41">
        <v>11236671</v>
      </c>
      <c r="BE55" s="41">
        <v>11257112</v>
      </c>
      <c r="BF55" s="41">
        <v>11282722</v>
      </c>
      <c r="BG55" s="41">
        <v>11306909</v>
      </c>
      <c r="BH55" s="41">
        <v>11324777</v>
      </c>
      <c r="BI55" s="41">
        <v>11335108</v>
      </c>
      <c r="BJ55" s="41">
        <v>11339255</v>
      </c>
      <c r="BK55" s="41">
        <v>11338146</v>
      </c>
      <c r="BL55" s="41">
        <v>11333484</v>
      </c>
      <c r="BM55" s="41">
        <v>11326616</v>
      </c>
    </row>
    <row r="56" spans="1:65" x14ac:dyDescent="0.35">
      <c r="A56" s="41" t="s">
        <v>209</v>
      </c>
      <c r="B56" s="41" t="s">
        <v>210</v>
      </c>
      <c r="C56" s="41" t="s">
        <v>666</v>
      </c>
      <c r="D56" s="41" t="s">
        <v>667</v>
      </c>
      <c r="E56" s="41">
        <v>124826</v>
      </c>
      <c r="F56" s="41">
        <v>126125</v>
      </c>
      <c r="G56" s="41">
        <v>128414</v>
      </c>
      <c r="H56" s="41">
        <v>130860</v>
      </c>
      <c r="I56" s="41">
        <v>133148</v>
      </c>
      <c r="J56" s="41">
        <v>135266</v>
      </c>
      <c r="K56" s="41">
        <v>136682</v>
      </c>
      <c r="L56" s="41">
        <v>138140</v>
      </c>
      <c r="M56" s="41">
        <v>140298</v>
      </c>
      <c r="N56" s="41">
        <v>142581</v>
      </c>
      <c r="O56" s="41">
        <v>144739</v>
      </c>
      <c r="P56" s="41">
        <v>147389</v>
      </c>
      <c r="Q56" s="41">
        <v>147710</v>
      </c>
      <c r="R56" s="41">
        <v>146912</v>
      </c>
      <c r="S56" s="41">
        <v>148351</v>
      </c>
      <c r="T56" s="41">
        <v>149129</v>
      </c>
      <c r="U56" s="41">
        <v>149399</v>
      </c>
      <c r="V56" s="41">
        <v>149459</v>
      </c>
      <c r="W56" s="41">
        <v>148341</v>
      </c>
      <c r="X56" s="41">
        <v>147851</v>
      </c>
      <c r="Y56" s="41">
        <v>148041</v>
      </c>
      <c r="Z56" s="41">
        <v>148629</v>
      </c>
      <c r="AA56" s="41">
        <v>150101</v>
      </c>
      <c r="AB56" s="41">
        <v>151159</v>
      </c>
      <c r="AC56" s="41">
        <v>151940</v>
      </c>
      <c r="AD56" s="41">
        <v>152711</v>
      </c>
      <c r="AE56" s="41">
        <v>152662</v>
      </c>
      <c r="AF56" s="41">
        <v>151456</v>
      </c>
      <c r="AG56" s="41">
        <v>149254</v>
      </c>
      <c r="AH56" s="41">
        <v>146937</v>
      </c>
      <c r="AI56" s="41">
        <v>145400</v>
      </c>
      <c r="AJ56" s="41">
        <v>144403</v>
      </c>
      <c r="AK56" s="41">
        <v>143912</v>
      </c>
      <c r="AL56" s="41">
        <v>144299</v>
      </c>
      <c r="AM56" s="41">
        <v>144630</v>
      </c>
      <c r="AN56" s="41">
        <v>145139</v>
      </c>
      <c r="AO56" s="41">
        <v>146306</v>
      </c>
      <c r="AP56" s="41">
        <v>146956</v>
      </c>
      <c r="AQ56" s="41">
        <v>144472</v>
      </c>
      <c r="AR56" s="41">
        <v>139428</v>
      </c>
      <c r="AS56" s="41">
        <v>133860</v>
      </c>
      <c r="AT56" s="41">
        <v>129047</v>
      </c>
      <c r="AU56" s="41">
        <v>129205</v>
      </c>
      <c r="AV56" s="41">
        <v>131897</v>
      </c>
      <c r="AW56" s="41">
        <v>134192</v>
      </c>
      <c r="AX56" s="41">
        <v>137658</v>
      </c>
      <c r="AY56" s="41">
        <v>141239</v>
      </c>
      <c r="AZ56" s="41">
        <v>144056</v>
      </c>
      <c r="BA56" s="41">
        <v>145880</v>
      </c>
      <c r="BB56" s="41">
        <v>146833</v>
      </c>
      <c r="BC56" s="41">
        <v>148703</v>
      </c>
      <c r="BD56" s="41">
        <v>150831</v>
      </c>
      <c r="BE56" s="41">
        <v>152088</v>
      </c>
      <c r="BF56" s="41">
        <v>153822</v>
      </c>
      <c r="BG56" s="41">
        <v>155909</v>
      </c>
      <c r="BH56" s="41">
        <v>157980</v>
      </c>
      <c r="BI56" s="41">
        <v>159664</v>
      </c>
      <c r="BJ56" s="41">
        <v>160175</v>
      </c>
      <c r="BK56" s="41">
        <v>159336</v>
      </c>
      <c r="BL56" s="41">
        <v>157441</v>
      </c>
      <c r="BM56" s="41">
        <v>155014</v>
      </c>
    </row>
    <row r="57" spans="1:65" x14ac:dyDescent="0.35">
      <c r="A57" s="41" t="s">
        <v>211</v>
      </c>
      <c r="B57" s="41" t="s">
        <v>212</v>
      </c>
      <c r="C57" s="41" t="s">
        <v>666</v>
      </c>
      <c r="D57" s="41" t="s">
        <v>667</v>
      </c>
      <c r="E57" s="41">
        <v>7870</v>
      </c>
      <c r="F57" s="41">
        <v>8024</v>
      </c>
      <c r="G57" s="41">
        <v>8141</v>
      </c>
      <c r="H57" s="41">
        <v>8219</v>
      </c>
      <c r="I57" s="41">
        <v>8299</v>
      </c>
      <c r="J57" s="41">
        <v>8370</v>
      </c>
      <c r="K57" s="41">
        <v>8444</v>
      </c>
      <c r="L57" s="41">
        <v>8518</v>
      </c>
      <c r="M57" s="41">
        <v>8638</v>
      </c>
      <c r="N57" s="41">
        <v>8833</v>
      </c>
      <c r="O57" s="41">
        <v>9143</v>
      </c>
      <c r="P57" s="41">
        <v>9588</v>
      </c>
      <c r="Q57" s="41">
        <v>10135</v>
      </c>
      <c r="R57" s="41">
        <v>10778</v>
      </c>
      <c r="S57" s="41">
        <v>11488</v>
      </c>
      <c r="T57" s="41">
        <v>12234</v>
      </c>
      <c r="U57" s="41">
        <v>13023</v>
      </c>
      <c r="V57" s="41">
        <v>13848</v>
      </c>
      <c r="W57" s="41">
        <v>14681</v>
      </c>
      <c r="X57" s="41">
        <v>15485</v>
      </c>
      <c r="Y57" s="41">
        <v>16207</v>
      </c>
      <c r="Z57" s="41">
        <v>16857</v>
      </c>
      <c r="AA57" s="41">
        <v>17436</v>
      </c>
      <c r="AB57" s="41">
        <v>18005</v>
      </c>
      <c r="AC57" s="41">
        <v>18662</v>
      </c>
      <c r="AD57" s="41">
        <v>19460</v>
      </c>
      <c r="AE57" s="41">
        <v>20426</v>
      </c>
      <c r="AF57" s="41">
        <v>21539</v>
      </c>
      <c r="AG57" s="41">
        <v>22775</v>
      </c>
      <c r="AH57" s="41">
        <v>24028</v>
      </c>
      <c r="AI57" s="41">
        <v>25307</v>
      </c>
      <c r="AJ57" s="41">
        <v>26540</v>
      </c>
      <c r="AK57" s="41">
        <v>27784</v>
      </c>
      <c r="AL57" s="41">
        <v>29068</v>
      </c>
      <c r="AM57" s="41">
        <v>30521</v>
      </c>
      <c r="AN57" s="41">
        <v>32161</v>
      </c>
      <c r="AO57" s="41">
        <v>34065</v>
      </c>
      <c r="AP57" s="41">
        <v>36155</v>
      </c>
      <c r="AQ57" s="41">
        <v>38330</v>
      </c>
      <c r="AR57" s="41">
        <v>40423</v>
      </c>
      <c r="AS57" s="41">
        <v>42305</v>
      </c>
      <c r="AT57" s="41">
        <v>43934</v>
      </c>
      <c r="AU57" s="41">
        <v>45347</v>
      </c>
      <c r="AV57" s="41">
        <v>46624</v>
      </c>
      <c r="AW57" s="41">
        <v>47899</v>
      </c>
      <c r="AX57" s="41">
        <v>49261</v>
      </c>
      <c r="AY57" s="41">
        <v>50729</v>
      </c>
      <c r="AZ57" s="41">
        <v>52280</v>
      </c>
      <c r="BA57" s="41">
        <v>53835</v>
      </c>
      <c r="BB57" s="41">
        <v>55321</v>
      </c>
      <c r="BC57" s="41">
        <v>56672</v>
      </c>
      <c r="BD57" s="41">
        <v>57877</v>
      </c>
      <c r="BE57" s="41">
        <v>58963</v>
      </c>
      <c r="BF57" s="41">
        <v>59933</v>
      </c>
      <c r="BG57" s="41">
        <v>60848</v>
      </c>
      <c r="BH57" s="41">
        <v>61721</v>
      </c>
      <c r="BI57" s="41">
        <v>62564</v>
      </c>
      <c r="BJ57" s="41">
        <v>63382</v>
      </c>
      <c r="BK57" s="41">
        <v>64172</v>
      </c>
      <c r="BL57" s="41">
        <v>64948</v>
      </c>
      <c r="BM57" s="41">
        <v>65720</v>
      </c>
    </row>
    <row r="58" spans="1:65" x14ac:dyDescent="0.35">
      <c r="A58" s="41" t="s">
        <v>213</v>
      </c>
      <c r="B58" s="41" t="s">
        <v>214</v>
      </c>
      <c r="C58" s="41" t="s">
        <v>666</v>
      </c>
      <c r="D58" s="41" t="s">
        <v>667</v>
      </c>
      <c r="E58" s="41">
        <v>572933</v>
      </c>
      <c r="F58" s="41">
        <v>576402</v>
      </c>
      <c r="G58" s="41">
        <v>577696</v>
      </c>
      <c r="H58" s="41">
        <v>577918</v>
      </c>
      <c r="I58" s="41">
        <v>578628</v>
      </c>
      <c r="J58" s="41">
        <v>580972</v>
      </c>
      <c r="K58" s="41">
        <v>585313</v>
      </c>
      <c r="L58" s="41">
        <v>591301</v>
      </c>
      <c r="M58" s="41">
        <v>598495</v>
      </c>
      <c r="N58" s="41">
        <v>606121</v>
      </c>
      <c r="O58" s="41">
        <v>613618</v>
      </c>
      <c r="P58" s="41">
        <v>620860</v>
      </c>
      <c r="Q58" s="41">
        <v>628002</v>
      </c>
      <c r="R58" s="41">
        <v>635105</v>
      </c>
      <c r="S58" s="41">
        <v>642322</v>
      </c>
      <c r="T58" s="41">
        <v>649753</v>
      </c>
      <c r="U58" s="41">
        <v>657524</v>
      </c>
      <c r="V58" s="41">
        <v>665521</v>
      </c>
      <c r="W58" s="41">
        <v>673253</v>
      </c>
      <c r="X58" s="41">
        <v>680010</v>
      </c>
      <c r="Y58" s="41">
        <v>685408</v>
      </c>
      <c r="Z58" s="41">
        <v>689170</v>
      </c>
      <c r="AA58" s="41">
        <v>691716</v>
      </c>
      <c r="AB58" s="41">
        <v>694076</v>
      </c>
      <c r="AC58" s="41">
        <v>697715</v>
      </c>
      <c r="AD58" s="41">
        <v>703694</v>
      </c>
      <c r="AE58" s="41">
        <v>712335</v>
      </c>
      <c r="AF58" s="41">
        <v>723384</v>
      </c>
      <c r="AG58" s="41">
        <v>736476</v>
      </c>
      <c r="AH58" s="41">
        <v>751043</v>
      </c>
      <c r="AI58" s="41">
        <v>766616</v>
      </c>
      <c r="AJ58" s="41">
        <v>783121</v>
      </c>
      <c r="AK58" s="41">
        <v>800610</v>
      </c>
      <c r="AL58" s="41">
        <v>818750</v>
      </c>
      <c r="AM58" s="41">
        <v>837104</v>
      </c>
      <c r="AN58" s="41">
        <v>855391</v>
      </c>
      <c r="AO58" s="41">
        <v>873426</v>
      </c>
      <c r="AP58" s="41">
        <v>891190</v>
      </c>
      <c r="AQ58" s="41">
        <v>908710</v>
      </c>
      <c r="AR58" s="41">
        <v>926049</v>
      </c>
      <c r="AS58" s="41">
        <v>943288</v>
      </c>
      <c r="AT58" s="41">
        <v>960274</v>
      </c>
      <c r="AU58" s="41">
        <v>976968</v>
      </c>
      <c r="AV58" s="41">
        <v>993562</v>
      </c>
      <c r="AW58" s="41">
        <v>1010410</v>
      </c>
      <c r="AX58" s="41">
        <v>1027657</v>
      </c>
      <c r="AY58" s="41">
        <v>1045508</v>
      </c>
      <c r="AZ58" s="41">
        <v>1063708</v>
      </c>
      <c r="BA58" s="41">
        <v>1081568</v>
      </c>
      <c r="BB58" s="41">
        <v>1098089</v>
      </c>
      <c r="BC58" s="41">
        <v>1112617</v>
      </c>
      <c r="BD58" s="41">
        <v>1124837</v>
      </c>
      <c r="BE58" s="41">
        <v>1135046</v>
      </c>
      <c r="BF58" s="41">
        <v>1143866</v>
      </c>
      <c r="BG58" s="41">
        <v>1152297</v>
      </c>
      <c r="BH58" s="41">
        <v>1160987</v>
      </c>
      <c r="BI58" s="41">
        <v>1170189</v>
      </c>
      <c r="BJ58" s="41">
        <v>1179685</v>
      </c>
      <c r="BK58" s="41">
        <v>1189262</v>
      </c>
      <c r="BL58" s="41">
        <v>1198574</v>
      </c>
      <c r="BM58" s="41">
        <v>1207361</v>
      </c>
    </row>
    <row r="59" spans="1:65" x14ac:dyDescent="0.35">
      <c r="A59" s="41" t="s">
        <v>215</v>
      </c>
      <c r="B59" s="41" t="s">
        <v>216</v>
      </c>
      <c r="C59" s="41" t="s">
        <v>666</v>
      </c>
      <c r="D59" s="41" t="s">
        <v>667</v>
      </c>
      <c r="E59" s="41">
        <v>9602006</v>
      </c>
      <c r="F59" s="41">
        <v>9586651</v>
      </c>
      <c r="G59" s="41">
        <v>9624660</v>
      </c>
      <c r="H59" s="41">
        <v>9670685</v>
      </c>
      <c r="I59" s="41">
        <v>9727804</v>
      </c>
      <c r="J59" s="41">
        <v>9779358</v>
      </c>
      <c r="K59" s="41">
        <v>9821040</v>
      </c>
      <c r="L59" s="41">
        <v>9852899</v>
      </c>
      <c r="M59" s="41">
        <v>9876346</v>
      </c>
      <c r="N59" s="41">
        <v>9896580</v>
      </c>
      <c r="O59" s="41">
        <v>9858071</v>
      </c>
      <c r="P59" s="41">
        <v>9826815</v>
      </c>
      <c r="Q59" s="41">
        <v>9867632</v>
      </c>
      <c r="R59" s="41">
        <v>9922266</v>
      </c>
      <c r="S59" s="41">
        <v>9988459</v>
      </c>
      <c r="T59" s="41">
        <v>10058620</v>
      </c>
      <c r="U59" s="41">
        <v>10125939</v>
      </c>
      <c r="V59" s="41">
        <v>10186755</v>
      </c>
      <c r="W59" s="41">
        <v>10242098</v>
      </c>
      <c r="X59" s="41">
        <v>10292341</v>
      </c>
      <c r="Y59" s="41">
        <v>10304193</v>
      </c>
      <c r="Z59" s="41">
        <v>10300591</v>
      </c>
      <c r="AA59" s="41">
        <v>10314826</v>
      </c>
      <c r="AB59" s="41">
        <v>10323856</v>
      </c>
      <c r="AC59" s="41">
        <v>10330213</v>
      </c>
      <c r="AD59" s="41">
        <v>10337118</v>
      </c>
      <c r="AE59" s="41">
        <v>10342227</v>
      </c>
      <c r="AF59" s="41">
        <v>10347318</v>
      </c>
      <c r="AG59" s="41">
        <v>10355276</v>
      </c>
      <c r="AH59" s="41">
        <v>10361068</v>
      </c>
      <c r="AI59" s="41">
        <v>10333355</v>
      </c>
      <c r="AJ59" s="41">
        <v>10308578</v>
      </c>
      <c r="AK59" s="41">
        <v>10319123</v>
      </c>
      <c r="AL59" s="41">
        <v>10329855</v>
      </c>
      <c r="AM59" s="41">
        <v>10333587</v>
      </c>
      <c r="AN59" s="41">
        <v>10327253</v>
      </c>
      <c r="AO59" s="41">
        <v>10315241</v>
      </c>
      <c r="AP59" s="41">
        <v>10304131</v>
      </c>
      <c r="AQ59" s="41">
        <v>10294373</v>
      </c>
      <c r="AR59" s="41">
        <v>10283860</v>
      </c>
      <c r="AS59" s="41">
        <v>10255063</v>
      </c>
      <c r="AT59" s="41">
        <v>10216605</v>
      </c>
      <c r="AU59" s="41">
        <v>10196916</v>
      </c>
      <c r="AV59" s="41">
        <v>10193998</v>
      </c>
      <c r="AW59" s="41">
        <v>10197101</v>
      </c>
      <c r="AX59" s="41">
        <v>10211216</v>
      </c>
      <c r="AY59" s="41">
        <v>10238905</v>
      </c>
      <c r="AZ59" s="41">
        <v>10298828</v>
      </c>
      <c r="BA59" s="41">
        <v>10384603</v>
      </c>
      <c r="BB59" s="41">
        <v>10443936</v>
      </c>
      <c r="BC59" s="41">
        <v>10474410</v>
      </c>
      <c r="BD59" s="41">
        <v>10496088</v>
      </c>
      <c r="BE59" s="41">
        <v>10510785</v>
      </c>
      <c r="BF59" s="41">
        <v>10514272</v>
      </c>
      <c r="BG59" s="41">
        <v>10525347</v>
      </c>
      <c r="BH59" s="41">
        <v>10546059</v>
      </c>
      <c r="BI59" s="41">
        <v>10566332</v>
      </c>
      <c r="BJ59" s="41">
        <v>10594438</v>
      </c>
      <c r="BK59" s="41">
        <v>10629928</v>
      </c>
      <c r="BL59" s="41">
        <v>10671870</v>
      </c>
      <c r="BM59" s="41">
        <v>10698896</v>
      </c>
    </row>
    <row r="60" spans="1:65" x14ac:dyDescent="0.35">
      <c r="A60" s="41" t="s">
        <v>217</v>
      </c>
      <c r="B60" s="41" t="s">
        <v>218</v>
      </c>
      <c r="C60" s="41" t="s">
        <v>666</v>
      </c>
      <c r="D60" s="41" t="s">
        <v>667</v>
      </c>
      <c r="E60" s="41">
        <v>72814900</v>
      </c>
      <c r="F60" s="41">
        <v>73377632</v>
      </c>
      <c r="G60" s="41">
        <v>74025784</v>
      </c>
      <c r="H60" s="41">
        <v>74714353</v>
      </c>
      <c r="I60" s="41">
        <v>75318337</v>
      </c>
      <c r="J60" s="41">
        <v>75963695</v>
      </c>
      <c r="K60" s="41">
        <v>76600311</v>
      </c>
      <c r="L60" s="41">
        <v>76951336</v>
      </c>
      <c r="M60" s="41">
        <v>77294314</v>
      </c>
      <c r="N60" s="41">
        <v>77909682</v>
      </c>
      <c r="O60" s="41">
        <v>78169289</v>
      </c>
      <c r="P60" s="41">
        <v>78312842</v>
      </c>
      <c r="Q60" s="41">
        <v>78688452</v>
      </c>
      <c r="R60" s="41">
        <v>78936666</v>
      </c>
      <c r="S60" s="41">
        <v>78967433</v>
      </c>
      <c r="T60" s="41">
        <v>78673554</v>
      </c>
      <c r="U60" s="41">
        <v>78336950</v>
      </c>
      <c r="V60" s="41">
        <v>78159814</v>
      </c>
      <c r="W60" s="41">
        <v>78091820</v>
      </c>
      <c r="X60" s="41">
        <v>78126350</v>
      </c>
      <c r="Y60" s="41">
        <v>78288576</v>
      </c>
      <c r="Z60" s="41">
        <v>78407907</v>
      </c>
      <c r="AA60" s="41">
        <v>78333366</v>
      </c>
      <c r="AB60" s="41">
        <v>78128282</v>
      </c>
      <c r="AC60" s="41">
        <v>77858685</v>
      </c>
      <c r="AD60" s="41">
        <v>77684873</v>
      </c>
      <c r="AE60" s="41">
        <v>77720436</v>
      </c>
      <c r="AF60" s="41">
        <v>77839920</v>
      </c>
      <c r="AG60" s="41">
        <v>78144619</v>
      </c>
      <c r="AH60" s="41">
        <v>78751283</v>
      </c>
      <c r="AI60" s="41">
        <v>79433029</v>
      </c>
      <c r="AJ60" s="41">
        <v>80013896</v>
      </c>
      <c r="AK60" s="41">
        <v>80624598</v>
      </c>
      <c r="AL60" s="41">
        <v>81156363</v>
      </c>
      <c r="AM60" s="41">
        <v>81438348</v>
      </c>
      <c r="AN60" s="41">
        <v>81678051</v>
      </c>
      <c r="AO60" s="41">
        <v>81914831</v>
      </c>
      <c r="AP60" s="41">
        <v>82034771</v>
      </c>
      <c r="AQ60" s="41">
        <v>82047195</v>
      </c>
      <c r="AR60" s="41">
        <v>82100243</v>
      </c>
      <c r="AS60" s="41">
        <v>82211508</v>
      </c>
      <c r="AT60" s="41">
        <v>82349925</v>
      </c>
      <c r="AU60" s="41">
        <v>82488495</v>
      </c>
      <c r="AV60" s="41">
        <v>82534176</v>
      </c>
      <c r="AW60" s="41">
        <v>82516260</v>
      </c>
      <c r="AX60" s="41">
        <v>82469422</v>
      </c>
      <c r="AY60" s="41">
        <v>82376451</v>
      </c>
      <c r="AZ60" s="41">
        <v>82266372</v>
      </c>
      <c r="BA60" s="41">
        <v>82110097</v>
      </c>
      <c r="BB60" s="41">
        <v>81902307</v>
      </c>
      <c r="BC60" s="41">
        <v>81776930</v>
      </c>
      <c r="BD60" s="41">
        <v>80274983</v>
      </c>
      <c r="BE60" s="41">
        <v>80425823</v>
      </c>
      <c r="BF60" s="41">
        <v>80645605</v>
      </c>
      <c r="BG60" s="41">
        <v>80982500</v>
      </c>
      <c r="BH60" s="41">
        <v>81686611</v>
      </c>
      <c r="BI60" s="41">
        <v>82348669</v>
      </c>
      <c r="BJ60" s="41">
        <v>82657002</v>
      </c>
      <c r="BK60" s="41">
        <v>82905782</v>
      </c>
      <c r="BL60" s="41">
        <v>83092962</v>
      </c>
      <c r="BM60" s="41">
        <v>83240525</v>
      </c>
    </row>
    <row r="61" spans="1:65" x14ac:dyDescent="0.35">
      <c r="A61" s="41" t="s">
        <v>219</v>
      </c>
      <c r="B61" s="41" t="s">
        <v>220</v>
      </c>
      <c r="C61" s="41" t="s">
        <v>666</v>
      </c>
      <c r="D61" s="41" t="s">
        <v>667</v>
      </c>
      <c r="E61" s="41">
        <v>83634</v>
      </c>
      <c r="F61" s="41">
        <v>88503</v>
      </c>
      <c r="G61" s="41">
        <v>94203</v>
      </c>
      <c r="H61" s="41">
        <v>100618</v>
      </c>
      <c r="I61" s="41">
        <v>107582</v>
      </c>
      <c r="J61" s="41">
        <v>114976</v>
      </c>
      <c r="K61" s="41">
        <v>122876</v>
      </c>
      <c r="L61" s="41">
        <v>131405</v>
      </c>
      <c r="M61" s="41">
        <v>140462</v>
      </c>
      <c r="N61" s="41">
        <v>149889</v>
      </c>
      <c r="O61" s="41">
        <v>159662</v>
      </c>
      <c r="P61" s="41">
        <v>169372</v>
      </c>
      <c r="Q61" s="41">
        <v>179237</v>
      </c>
      <c r="R61" s="41">
        <v>190569</v>
      </c>
      <c r="S61" s="41">
        <v>205180</v>
      </c>
      <c r="T61" s="41">
        <v>224177</v>
      </c>
      <c r="U61" s="41">
        <v>248556</v>
      </c>
      <c r="V61" s="41">
        <v>277472</v>
      </c>
      <c r="W61" s="41">
        <v>308008</v>
      </c>
      <c r="X61" s="41">
        <v>336080</v>
      </c>
      <c r="Y61" s="41">
        <v>358960</v>
      </c>
      <c r="Z61" s="41">
        <v>374934</v>
      </c>
      <c r="AA61" s="41">
        <v>385268</v>
      </c>
      <c r="AB61" s="41">
        <v>393800</v>
      </c>
      <c r="AC61" s="41">
        <v>406018</v>
      </c>
      <c r="AD61" s="41">
        <v>425608</v>
      </c>
      <c r="AE61" s="41">
        <v>454359</v>
      </c>
      <c r="AF61" s="41">
        <v>490337</v>
      </c>
      <c r="AG61" s="41">
        <v>528993</v>
      </c>
      <c r="AH61" s="41">
        <v>563855</v>
      </c>
      <c r="AI61" s="41">
        <v>590393</v>
      </c>
      <c r="AJ61" s="41">
        <v>606843</v>
      </c>
      <c r="AK61" s="41">
        <v>615050</v>
      </c>
      <c r="AL61" s="41">
        <v>618504</v>
      </c>
      <c r="AM61" s="41">
        <v>622364</v>
      </c>
      <c r="AN61" s="41">
        <v>630385</v>
      </c>
      <c r="AO61" s="41">
        <v>643649</v>
      </c>
      <c r="AP61" s="41">
        <v>660858</v>
      </c>
      <c r="AQ61" s="41">
        <v>680465</v>
      </c>
      <c r="AR61" s="41">
        <v>699973</v>
      </c>
      <c r="AS61" s="41">
        <v>717577</v>
      </c>
      <c r="AT61" s="41">
        <v>733019</v>
      </c>
      <c r="AU61" s="41">
        <v>746947</v>
      </c>
      <c r="AV61" s="41">
        <v>759639</v>
      </c>
      <c r="AW61" s="41">
        <v>771599</v>
      </c>
      <c r="AX61" s="41">
        <v>783248</v>
      </c>
      <c r="AY61" s="41">
        <v>794554</v>
      </c>
      <c r="AZ61" s="41">
        <v>805456</v>
      </c>
      <c r="BA61" s="41">
        <v>816361</v>
      </c>
      <c r="BB61" s="41">
        <v>827820</v>
      </c>
      <c r="BC61" s="41">
        <v>840194</v>
      </c>
      <c r="BD61" s="41">
        <v>853671</v>
      </c>
      <c r="BE61" s="41">
        <v>868136</v>
      </c>
      <c r="BF61" s="41">
        <v>883296</v>
      </c>
      <c r="BG61" s="41">
        <v>898707</v>
      </c>
      <c r="BH61" s="41">
        <v>913998</v>
      </c>
      <c r="BI61" s="41">
        <v>929117</v>
      </c>
      <c r="BJ61" s="41">
        <v>944100</v>
      </c>
      <c r="BK61" s="41">
        <v>958923</v>
      </c>
      <c r="BL61" s="41">
        <v>973557</v>
      </c>
      <c r="BM61" s="41">
        <v>988002</v>
      </c>
    </row>
    <row r="62" spans="1:65" x14ac:dyDescent="0.35">
      <c r="A62" s="41" t="s">
        <v>221</v>
      </c>
      <c r="B62" s="41" t="s">
        <v>222</v>
      </c>
      <c r="C62" s="41" t="s">
        <v>666</v>
      </c>
      <c r="D62" s="41" t="s">
        <v>667</v>
      </c>
      <c r="E62" s="41">
        <v>60020</v>
      </c>
      <c r="F62" s="41">
        <v>61036</v>
      </c>
      <c r="G62" s="41">
        <v>61978</v>
      </c>
      <c r="H62" s="41">
        <v>62917</v>
      </c>
      <c r="I62" s="41">
        <v>63921</v>
      </c>
      <c r="J62" s="41">
        <v>65044</v>
      </c>
      <c r="K62" s="41">
        <v>66300</v>
      </c>
      <c r="L62" s="41">
        <v>67687</v>
      </c>
      <c r="M62" s="41">
        <v>69034</v>
      </c>
      <c r="N62" s="41">
        <v>70214</v>
      </c>
      <c r="O62" s="41">
        <v>71084</v>
      </c>
      <c r="P62" s="41">
        <v>71569</v>
      </c>
      <c r="Q62" s="41">
        <v>71731</v>
      </c>
      <c r="R62" s="41">
        <v>71739</v>
      </c>
      <c r="S62" s="41">
        <v>71814</v>
      </c>
      <c r="T62" s="41">
        <v>72088</v>
      </c>
      <c r="U62" s="41">
        <v>72662</v>
      </c>
      <c r="V62" s="41">
        <v>73443</v>
      </c>
      <c r="W62" s="41">
        <v>74280</v>
      </c>
      <c r="X62" s="41">
        <v>74960</v>
      </c>
      <c r="Y62" s="41">
        <v>75318</v>
      </c>
      <c r="Z62" s="41">
        <v>75314</v>
      </c>
      <c r="AA62" s="41">
        <v>75012</v>
      </c>
      <c r="AB62" s="41">
        <v>74484</v>
      </c>
      <c r="AC62" s="41">
        <v>73846</v>
      </c>
      <c r="AD62" s="41">
        <v>73207</v>
      </c>
      <c r="AE62" s="41">
        <v>72531</v>
      </c>
      <c r="AF62" s="41">
        <v>71842</v>
      </c>
      <c r="AG62" s="41">
        <v>71212</v>
      </c>
      <c r="AH62" s="41">
        <v>70722</v>
      </c>
      <c r="AI62" s="41">
        <v>70422</v>
      </c>
      <c r="AJ62" s="41">
        <v>70377</v>
      </c>
      <c r="AK62" s="41">
        <v>70546</v>
      </c>
      <c r="AL62" s="41">
        <v>70818</v>
      </c>
      <c r="AM62" s="41">
        <v>71044</v>
      </c>
      <c r="AN62" s="41">
        <v>71105</v>
      </c>
      <c r="AO62" s="41">
        <v>70933</v>
      </c>
      <c r="AP62" s="41">
        <v>70592</v>
      </c>
      <c r="AQ62" s="41">
        <v>70183</v>
      </c>
      <c r="AR62" s="41">
        <v>69828</v>
      </c>
      <c r="AS62" s="41">
        <v>69650</v>
      </c>
      <c r="AT62" s="41">
        <v>69671</v>
      </c>
      <c r="AU62" s="41">
        <v>69840</v>
      </c>
      <c r="AV62" s="41">
        <v>70102</v>
      </c>
      <c r="AW62" s="41">
        <v>70387</v>
      </c>
      <c r="AX62" s="41">
        <v>70580</v>
      </c>
      <c r="AY62" s="41">
        <v>70718</v>
      </c>
      <c r="AZ62" s="41">
        <v>70797</v>
      </c>
      <c r="BA62" s="41">
        <v>70829</v>
      </c>
      <c r="BB62" s="41">
        <v>70848</v>
      </c>
      <c r="BC62" s="41">
        <v>70877</v>
      </c>
      <c r="BD62" s="41">
        <v>70912</v>
      </c>
      <c r="BE62" s="41">
        <v>70954</v>
      </c>
      <c r="BF62" s="41">
        <v>71019</v>
      </c>
      <c r="BG62" s="41">
        <v>71091</v>
      </c>
      <c r="BH62" s="41">
        <v>71175</v>
      </c>
      <c r="BI62" s="41">
        <v>71307</v>
      </c>
      <c r="BJ62" s="41">
        <v>71460</v>
      </c>
      <c r="BK62" s="41">
        <v>71626</v>
      </c>
      <c r="BL62" s="41">
        <v>71808</v>
      </c>
      <c r="BM62" s="41">
        <v>71991</v>
      </c>
    </row>
    <row r="63" spans="1:65" x14ac:dyDescent="0.35">
      <c r="A63" s="41" t="s">
        <v>223</v>
      </c>
      <c r="B63" s="41" t="s">
        <v>224</v>
      </c>
      <c r="C63" s="41" t="s">
        <v>666</v>
      </c>
      <c r="D63" s="41" t="s">
        <v>667</v>
      </c>
      <c r="E63" s="41">
        <v>4579603</v>
      </c>
      <c r="F63" s="41">
        <v>4611687</v>
      </c>
      <c r="G63" s="41">
        <v>4647727</v>
      </c>
      <c r="H63" s="41">
        <v>4684483</v>
      </c>
      <c r="I63" s="41">
        <v>4722072</v>
      </c>
      <c r="J63" s="41">
        <v>4759012</v>
      </c>
      <c r="K63" s="41">
        <v>4797381</v>
      </c>
      <c r="L63" s="41">
        <v>4835354</v>
      </c>
      <c r="M63" s="41">
        <v>4864883</v>
      </c>
      <c r="N63" s="41">
        <v>4891860</v>
      </c>
      <c r="O63" s="41">
        <v>4928757</v>
      </c>
      <c r="P63" s="41">
        <v>4963126</v>
      </c>
      <c r="Q63" s="41">
        <v>4991596</v>
      </c>
      <c r="R63" s="41">
        <v>5021861</v>
      </c>
      <c r="S63" s="41">
        <v>5045297</v>
      </c>
      <c r="T63" s="41">
        <v>5059862</v>
      </c>
      <c r="U63" s="41">
        <v>5072596</v>
      </c>
      <c r="V63" s="41">
        <v>5088419</v>
      </c>
      <c r="W63" s="41">
        <v>5104248</v>
      </c>
      <c r="X63" s="41">
        <v>5116801</v>
      </c>
      <c r="Y63" s="41">
        <v>5123027</v>
      </c>
      <c r="Z63" s="41">
        <v>5121572</v>
      </c>
      <c r="AA63" s="41">
        <v>5117810</v>
      </c>
      <c r="AB63" s="41">
        <v>5114297</v>
      </c>
      <c r="AC63" s="41">
        <v>5111619</v>
      </c>
      <c r="AD63" s="41">
        <v>5113691</v>
      </c>
      <c r="AE63" s="41">
        <v>5120534</v>
      </c>
      <c r="AF63" s="41">
        <v>5127024</v>
      </c>
      <c r="AG63" s="41">
        <v>5129516</v>
      </c>
      <c r="AH63" s="41">
        <v>5132594</v>
      </c>
      <c r="AI63" s="41">
        <v>5140939</v>
      </c>
      <c r="AJ63" s="41">
        <v>5154298</v>
      </c>
      <c r="AK63" s="41">
        <v>5171370</v>
      </c>
      <c r="AL63" s="41">
        <v>5188628</v>
      </c>
      <c r="AM63" s="41">
        <v>5206180</v>
      </c>
      <c r="AN63" s="41">
        <v>5233373</v>
      </c>
      <c r="AO63" s="41">
        <v>5263074</v>
      </c>
      <c r="AP63" s="41">
        <v>5284991</v>
      </c>
      <c r="AQ63" s="41">
        <v>5304219</v>
      </c>
      <c r="AR63" s="41">
        <v>5321799</v>
      </c>
      <c r="AS63" s="41">
        <v>5339616</v>
      </c>
      <c r="AT63" s="41">
        <v>5358783</v>
      </c>
      <c r="AU63" s="41">
        <v>5375931</v>
      </c>
      <c r="AV63" s="41">
        <v>5390574</v>
      </c>
      <c r="AW63" s="41">
        <v>5404523</v>
      </c>
      <c r="AX63" s="41">
        <v>5419432</v>
      </c>
      <c r="AY63" s="41">
        <v>5437272</v>
      </c>
      <c r="AZ63" s="41">
        <v>5461438</v>
      </c>
      <c r="BA63" s="41">
        <v>5493621</v>
      </c>
      <c r="BB63" s="41">
        <v>5523095</v>
      </c>
      <c r="BC63" s="41">
        <v>5547683</v>
      </c>
      <c r="BD63" s="41">
        <v>5570572</v>
      </c>
      <c r="BE63" s="41">
        <v>5591572</v>
      </c>
      <c r="BF63" s="41">
        <v>5614932</v>
      </c>
      <c r="BG63" s="41">
        <v>5643475</v>
      </c>
      <c r="BH63" s="41">
        <v>5683483</v>
      </c>
      <c r="BI63" s="41">
        <v>5728010</v>
      </c>
      <c r="BJ63" s="41">
        <v>5764980</v>
      </c>
      <c r="BK63" s="41">
        <v>5793636</v>
      </c>
      <c r="BL63" s="41">
        <v>5814422</v>
      </c>
      <c r="BM63" s="41">
        <v>5831404</v>
      </c>
    </row>
    <row r="64" spans="1:65" x14ac:dyDescent="0.35">
      <c r="A64" s="41" t="s">
        <v>225</v>
      </c>
      <c r="B64" s="41" t="s">
        <v>226</v>
      </c>
      <c r="C64" s="41" t="s">
        <v>666</v>
      </c>
      <c r="D64" s="41" t="s">
        <v>667</v>
      </c>
      <c r="E64" s="41">
        <v>3294222</v>
      </c>
      <c r="F64" s="41">
        <v>3406282</v>
      </c>
      <c r="G64" s="41">
        <v>3521018</v>
      </c>
      <c r="H64" s="41">
        <v>3638110</v>
      </c>
      <c r="I64" s="41">
        <v>3757123</v>
      </c>
      <c r="J64" s="41">
        <v>3877768</v>
      </c>
      <c r="K64" s="41">
        <v>3999796</v>
      </c>
      <c r="L64" s="41">
        <v>4123100</v>
      </c>
      <c r="M64" s="41">
        <v>4247559</v>
      </c>
      <c r="N64" s="41">
        <v>4373127</v>
      </c>
      <c r="O64" s="41">
        <v>4499722</v>
      </c>
      <c r="P64" s="41">
        <v>4627202</v>
      </c>
      <c r="Q64" s="41">
        <v>4755464</v>
      </c>
      <c r="R64" s="41">
        <v>4884460</v>
      </c>
      <c r="S64" s="41">
        <v>5014187</v>
      </c>
      <c r="T64" s="41">
        <v>5144632</v>
      </c>
      <c r="U64" s="41">
        <v>5275767</v>
      </c>
      <c r="V64" s="41">
        <v>5407496</v>
      </c>
      <c r="W64" s="41">
        <v>5539596</v>
      </c>
      <c r="X64" s="41">
        <v>5671801</v>
      </c>
      <c r="Y64" s="41">
        <v>5803929</v>
      </c>
      <c r="Z64" s="41">
        <v>5935895</v>
      </c>
      <c r="AA64" s="41">
        <v>6067769</v>
      </c>
      <c r="AB64" s="41">
        <v>6199657</v>
      </c>
      <c r="AC64" s="41">
        <v>6331760</v>
      </c>
      <c r="AD64" s="41">
        <v>6464229</v>
      </c>
      <c r="AE64" s="41">
        <v>6596967</v>
      </c>
      <c r="AF64" s="41">
        <v>6729930</v>
      </c>
      <c r="AG64" s="41">
        <v>6863438</v>
      </c>
      <c r="AH64" s="41">
        <v>6997877</v>
      </c>
      <c r="AI64" s="41">
        <v>7133491</v>
      </c>
      <c r="AJ64" s="41">
        <v>7270413</v>
      </c>
      <c r="AK64" s="41">
        <v>7408339</v>
      </c>
      <c r="AL64" s="41">
        <v>7546467</v>
      </c>
      <c r="AM64" s="41">
        <v>7683707</v>
      </c>
      <c r="AN64" s="41">
        <v>7819239</v>
      </c>
      <c r="AO64" s="41">
        <v>7952766</v>
      </c>
      <c r="AP64" s="41">
        <v>8084407</v>
      </c>
      <c r="AQ64" s="41">
        <v>8214427</v>
      </c>
      <c r="AR64" s="41">
        <v>8343288</v>
      </c>
      <c r="AS64" s="41">
        <v>8471317</v>
      </c>
      <c r="AT64" s="41">
        <v>8598599</v>
      </c>
      <c r="AU64" s="41">
        <v>8724974</v>
      </c>
      <c r="AV64" s="41">
        <v>8850317</v>
      </c>
      <c r="AW64" s="41">
        <v>8974444</v>
      </c>
      <c r="AX64" s="41">
        <v>9097262</v>
      </c>
      <c r="AY64" s="41">
        <v>9218681</v>
      </c>
      <c r="AZ64" s="41">
        <v>9338856</v>
      </c>
      <c r="BA64" s="41">
        <v>9458079</v>
      </c>
      <c r="BB64" s="41">
        <v>9576736</v>
      </c>
      <c r="BC64" s="41">
        <v>9695117</v>
      </c>
      <c r="BD64" s="41">
        <v>9813219</v>
      </c>
      <c r="BE64" s="41">
        <v>9930916</v>
      </c>
      <c r="BF64" s="41">
        <v>10048226</v>
      </c>
      <c r="BG64" s="41">
        <v>10165182</v>
      </c>
      <c r="BH64" s="41">
        <v>10281675</v>
      </c>
      <c r="BI64" s="41">
        <v>10397738</v>
      </c>
      <c r="BJ64" s="41">
        <v>10513111</v>
      </c>
      <c r="BK64" s="41">
        <v>10627147</v>
      </c>
      <c r="BL64" s="41">
        <v>10738957</v>
      </c>
      <c r="BM64" s="41">
        <v>10847904</v>
      </c>
    </row>
    <row r="65" spans="1:65" x14ac:dyDescent="0.35">
      <c r="A65" s="41" t="s">
        <v>227</v>
      </c>
      <c r="B65" s="41" t="s">
        <v>228</v>
      </c>
      <c r="C65" s="41" t="s">
        <v>666</v>
      </c>
      <c r="D65" s="41" t="s">
        <v>667</v>
      </c>
      <c r="E65" s="41">
        <v>11057864</v>
      </c>
      <c r="F65" s="41">
        <v>11336336</v>
      </c>
      <c r="G65" s="41">
        <v>11619828</v>
      </c>
      <c r="H65" s="41">
        <v>11912800</v>
      </c>
      <c r="I65" s="41">
        <v>12221675</v>
      </c>
      <c r="J65" s="41">
        <v>12550880</v>
      </c>
      <c r="K65" s="41">
        <v>12902626</v>
      </c>
      <c r="L65" s="41">
        <v>13275020</v>
      </c>
      <c r="M65" s="41">
        <v>13663581</v>
      </c>
      <c r="N65" s="41">
        <v>14061724</v>
      </c>
      <c r="O65" s="41">
        <v>14464992</v>
      </c>
      <c r="P65" s="41">
        <v>14872253</v>
      </c>
      <c r="Q65" s="41">
        <v>15285992</v>
      </c>
      <c r="R65" s="41">
        <v>15709831</v>
      </c>
      <c r="S65" s="41">
        <v>16149018</v>
      </c>
      <c r="T65" s="41">
        <v>16607706</v>
      </c>
      <c r="U65" s="41">
        <v>17085799</v>
      </c>
      <c r="V65" s="41">
        <v>17582899</v>
      </c>
      <c r="W65" s="41">
        <v>18102266</v>
      </c>
      <c r="X65" s="41">
        <v>18647801</v>
      </c>
      <c r="Y65" s="41">
        <v>19221659</v>
      </c>
      <c r="Z65" s="41">
        <v>19824297</v>
      </c>
      <c r="AA65" s="41">
        <v>20452901</v>
      </c>
      <c r="AB65" s="41">
        <v>21101875</v>
      </c>
      <c r="AC65" s="41">
        <v>21763578</v>
      </c>
      <c r="AD65" s="41">
        <v>22431507</v>
      </c>
      <c r="AE65" s="41">
        <v>23102386</v>
      </c>
      <c r="AF65" s="41">
        <v>23774287</v>
      </c>
      <c r="AG65" s="41">
        <v>24443472</v>
      </c>
      <c r="AH65" s="41">
        <v>25106192</v>
      </c>
      <c r="AI65" s="41">
        <v>25758872</v>
      </c>
      <c r="AJ65" s="41">
        <v>26400468</v>
      </c>
      <c r="AK65" s="41">
        <v>27028330</v>
      </c>
      <c r="AL65" s="41">
        <v>27635517</v>
      </c>
      <c r="AM65" s="41">
        <v>28213777</v>
      </c>
      <c r="AN65" s="41">
        <v>28757788</v>
      </c>
      <c r="AO65" s="41">
        <v>29266415</v>
      </c>
      <c r="AP65" s="41">
        <v>29742980</v>
      </c>
      <c r="AQ65" s="41">
        <v>30192750</v>
      </c>
      <c r="AR65" s="41">
        <v>30623406</v>
      </c>
      <c r="AS65" s="41">
        <v>31042238</v>
      </c>
      <c r="AT65" s="41">
        <v>31451513</v>
      </c>
      <c r="AU65" s="41">
        <v>31855110</v>
      </c>
      <c r="AV65" s="41">
        <v>32264159</v>
      </c>
      <c r="AW65" s="41">
        <v>32692153</v>
      </c>
      <c r="AX65" s="41">
        <v>33149720</v>
      </c>
      <c r="AY65" s="41">
        <v>33641007</v>
      </c>
      <c r="AZ65" s="41">
        <v>34166976</v>
      </c>
      <c r="BA65" s="41">
        <v>34730604</v>
      </c>
      <c r="BB65" s="41">
        <v>35333882</v>
      </c>
      <c r="BC65" s="41">
        <v>35977451</v>
      </c>
      <c r="BD65" s="41">
        <v>36661438</v>
      </c>
      <c r="BE65" s="41">
        <v>37383899</v>
      </c>
      <c r="BF65" s="41">
        <v>38140135</v>
      </c>
      <c r="BG65" s="41">
        <v>38923688</v>
      </c>
      <c r="BH65" s="41">
        <v>39728020</v>
      </c>
      <c r="BI65" s="41">
        <v>40551398</v>
      </c>
      <c r="BJ65" s="41">
        <v>41389174</v>
      </c>
      <c r="BK65" s="41">
        <v>42228415</v>
      </c>
      <c r="BL65" s="41">
        <v>43053054</v>
      </c>
      <c r="BM65" s="41">
        <v>43851043</v>
      </c>
    </row>
    <row r="66" spans="1:65" x14ac:dyDescent="0.35">
      <c r="A66" s="41" t="s">
        <v>229</v>
      </c>
      <c r="B66" s="41" t="s">
        <v>230</v>
      </c>
      <c r="C66" s="41" t="s">
        <v>666</v>
      </c>
      <c r="D66" s="41" t="s">
        <v>667</v>
      </c>
      <c r="E66" s="41">
        <v>894875757</v>
      </c>
      <c r="F66" s="41">
        <v>894479503</v>
      </c>
      <c r="G66" s="41">
        <v>906413903</v>
      </c>
      <c r="H66" s="41">
        <v>929634719</v>
      </c>
      <c r="I66" s="41">
        <v>952494226</v>
      </c>
      <c r="J66" s="41">
        <v>976360559</v>
      </c>
      <c r="K66" s="41">
        <v>1003799539</v>
      </c>
      <c r="L66" s="41">
        <v>1030341030</v>
      </c>
      <c r="M66" s="41">
        <v>1057848841</v>
      </c>
      <c r="N66" s="41">
        <v>1087054621</v>
      </c>
      <c r="O66" s="41">
        <v>1117162921</v>
      </c>
      <c r="P66" s="41">
        <v>1147907376</v>
      </c>
      <c r="Q66" s="41">
        <v>1176909425</v>
      </c>
      <c r="R66" s="41">
        <v>1204956207</v>
      </c>
      <c r="S66" s="41">
        <v>1231481379</v>
      </c>
      <c r="T66" s="41">
        <v>1255568332</v>
      </c>
      <c r="U66" s="41">
        <v>1277786882</v>
      </c>
      <c r="V66" s="41">
        <v>1298403379</v>
      </c>
      <c r="W66" s="41">
        <v>1318985502</v>
      </c>
      <c r="X66" s="41">
        <v>1339874993</v>
      </c>
      <c r="Y66" s="41">
        <v>1360437112</v>
      </c>
      <c r="Z66" s="41">
        <v>1381732250</v>
      </c>
      <c r="AA66" s="41">
        <v>1405388781</v>
      </c>
      <c r="AB66" s="41">
        <v>1429179263</v>
      </c>
      <c r="AC66" s="41">
        <v>1451901724</v>
      </c>
      <c r="AD66" s="41">
        <v>1475340043</v>
      </c>
      <c r="AE66" s="41">
        <v>1500310495</v>
      </c>
      <c r="AF66" s="41">
        <v>1526774417</v>
      </c>
      <c r="AG66" s="41">
        <v>1553548236</v>
      </c>
      <c r="AH66" s="41">
        <v>1579666262</v>
      </c>
      <c r="AI66" s="41">
        <v>1605187660</v>
      </c>
      <c r="AJ66" s="41">
        <v>1629631622</v>
      </c>
      <c r="AK66" s="41">
        <v>1652528279</v>
      </c>
      <c r="AL66" s="41">
        <v>1674580221</v>
      </c>
      <c r="AM66" s="41">
        <v>1696464118</v>
      </c>
      <c r="AN66" s="41">
        <v>1717901663</v>
      </c>
      <c r="AO66" s="41">
        <v>1738949771</v>
      </c>
      <c r="AP66" s="41">
        <v>1759750554</v>
      </c>
      <c r="AQ66" s="41">
        <v>1779788454</v>
      </c>
      <c r="AR66" s="41">
        <v>1798639494</v>
      </c>
      <c r="AS66" s="41">
        <v>1816455800</v>
      </c>
      <c r="AT66" s="41">
        <v>1833422980</v>
      </c>
      <c r="AU66" s="41">
        <v>1849607527</v>
      </c>
      <c r="AV66" s="41">
        <v>1865132738</v>
      </c>
      <c r="AW66" s="41">
        <v>1880248912</v>
      </c>
      <c r="AX66" s="41">
        <v>1895275475</v>
      </c>
      <c r="AY66" s="41">
        <v>1909891482</v>
      </c>
      <c r="AZ66" s="41">
        <v>1924018171</v>
      </c>
      <c r="BA66" s="41">
        <v>1938057262</v>
      </c>
      <c r="BB66" s="41">
        <v>1952017377</v>
      </c>
      <c r="BC66" s="41">
        <v>1965954326</v>
      </c>
      <c r="BD66" s="41">
        <v>1980035204</v>
      </c>
      <c r="BE66" s="41">
        <v>1994389913</v>
      </c>
      <c r="BF66" s="41">
        <v>2008919318</v>
      </c>
      <c r="BG66" s="41">
        <v>2023595907</v>
      </c>
      <c r="BH66" s="41">
        <v>2038190024</v>
      </c>
      <c r="BI66" s="41">
        <v>2053107304</v>
      </c>
      <c r="BJ66" s="41">
        <v>2068150870</v>
      </c>
      <c r="BK66" s="41">
        <v>2081650327</v>
      </c>
      <c r="BL66" s="41">
        <v>2093675075</v>
      </c>
      <c r="BM66" s="41">
        <v>2105003391</v>
      </c>
    </row>
    <row r="67" spans="1:65" x14ac:dyDescent="0.35">
      <c r="A67" s="41" t="s">
        <v>231</v>
      </c>
      <c r="B67" s="41" t="s">
        <v>232</v>
      </c>
      <c r="C67" s="41" t="s">
        <v>666</v>
      </c>
      <c r="D67" s="41" t="s">
        <v>667</v>
      </c>
      <c r="E67" s="41">
        <v>980003345</v>
      </c>
      <c r="F67" s="41">
        <v>1003194972</v>
      </c>
      <c r="G67" s="41">
        <v>1027204700</v>
      </c>
      <c r="H67" s="41">
        <v>1051972834</v>
      </c>
      <c r="I67" s="41">
        <v>1077531237</v>
      </c>
      <c r="J67" s="41">
        <v>1103859981</v>
      </c>
      <c r="K67" s="41">
        <v>1130947721</v>
      </c>
      <c r="L67" s="41">
        <v>1158861175</v>
      </c>
      <c r="M67" s="41">
        <v>1187474694</v>
      </c>
      <c r="N67" s="41">
        <v>1216839339</v>
      </c>
      <c r="O67" s="41">
        <v>1246947673</v>
      </c>
      <c r="P67" s="41">
        <v>1277799456</v>
      </c>
      <c r="Q67" s="41">
        <v>1309397210</v>
      </c>
      <c r="R67" s="41">
        <v>1341779503</v>
      </c>
      <c r="S67" s="41">
        <v>1374824941</v>
      </c>
      <c r="T67" s="41">
        <v>1408534717</v>
      </c>
      <c r="U67" s="41">
        <v>1442862522</v>
      </c>
      <c r="V67" s="41">
        <v>1477869964</v>
      </c>
      <c r="W67" s="41">
        <v>1513819992</v>
      </c>
      <c r="X67" s="41">
        <v>1551093148</v>
      </c>
      <c r="Y67" s="41">
        <v>1589897378</v>
      </c>
      <c r="Z67" s="41">
        <v>1630293423</v>
      </c>
      <c r="AA67" s="41">
        <v>1672134835</v>
      </c>
      <c r="AB67" s="41">
        <v>1715134126</v>
      </c>
      <c r="AC67" s="41">
        <v>1758863284</v>
      </c>
      <c r="AD67" s="41">
        <v>1803032659</v>
      </c>
      <c r="AE67" s="41">
        <v>1847526576</v>
      </c>
      <c r="AF67" s="41">
        <v>1892336352</v>
      </c>
      <c r="AG67" s="41">
        <v>1937278919</v>
      </c>
      <c r="AH67" s="41">
        <v>1982160339</v>
      </c>
      <c r="AI67" s="41">
        <v>2028993568</v>
      </c>
      <c r="AJ67" s="41">
        <v>2073591177</v>
      </c>
      <c r="AK67" s="41">
        <v>2117785781</v>
      </c>
      <c r="AL67" s="41">
        <v>2161761687</v>
      </c>
      <c r="AM67" s="41">
        <v>2205758867</v>
      </c>
      <c r="AN67" s="41">
        <v>2249993925</v>
      </c>
      <c r="AO67" s="41">
        <v>2294576653</v>
      </c>
      <c r="AP67" s="41">
        <v>2339379359</v>
      </c>
      <c r="AQ67" s="41">
        <v>2384127937</v>
      </c>
      <c r="AR67" s="41">
        <v>2428606122</v>
      </c>
      <c r="AS67" s="41">
        <v>2472852816</v>
      </c>
      <c r="AT67" s="41">
        <v>2516662185</v>
      </c>
      <c r="AU67" s="41">
        <v>2560101448</v>
      </c>
      <c r="AV67" s="41">
        <v>2603300762</v>
      </c>
      <c r="AW67" s="41">
        <v>2646483605</v>
      </c>
      <c r="AX67" s="41">
        <v>2689792006</v>
      </c>
      <c r="AY67" s="41">
        <v>2733278857</v>
      </c>
      <c r="AZ67" s="41">
        <v>2776922505</v>
      </c>
      <c r="BA67" s="41">
        <v>2820636607</v>
      </c>
      <c r="BB67" s="41">
        <v>2864298814</v>
      </c>
      <c r="BC67" s="41">
        <v>2907916947</v>
      </c>
      <c r="BD67" s="41">
        <v>2951423688</v>
      </c>
      <c r="BE67" s="41">
        <v>2994346938</v>
      </c>
      <c r="BF67" s="41">
        <v>3037084158</v>
      </c>
      <c r="BG67" s="41">
        <v>3079685581</v>
      </c>
      <c r="BH67" s="41">
        <v>3122156833</v>
      </c>
      <c r="BI67" s="41">
        <v>3164439749</v>
      </c>
      <c r="BJ67" s="41">
        <v>3206485623</v>
      </c>
      <c r="BK67" s="41">
        <v>3248413593</v>
      </c>
      <c r="BL67" s="41">
        <v>3290291029</v>
      </c>
      <c r="BM67" s="41">
        <v>3332105361</v>
      </c>
    </row>
    <row r="68" spans="1:65" x14ac:dyDescent="0.35">
      <c r="A68" s="41" t="s">
        <v>233</v>
      </c>
      <c r="B68" s="41" t="s">
        <v>234</v>
      </c>
      <c r="C68" s="41" t="s">
        <v>666</v>
      </c>
      <c r="D68" s="41" t="s">
        <v>667</v>
      </c>
      <c r="E68" s="41">
        <v>1041673567</v>
      </c>
      <c r="F68" s="41">
        <v>1043656626</v>
      </c>
      <c r="G68" s="41">
        <v>1058119847</v>
      </c>
      <c r="H68" s="41">
        <v>1083884354</v>
      </c>
      <c r="I68" s="41">
        <v>1109291332</v>
      </c>
      <c r="J68" s="41">
        <v>1135760430</v>
      </c>
      <c r="K68" s="41">
        <v>1165660993</v>
      </c>
      <c r="L68" s="41">
        <v>1194423916</v>
      </c>
      <c r="M68" s="41">
        <v>1224481196</v>
      </c>
      <c r="N68" s="41">
        <v>1256501888</v>
      </c>
      <c r="O68" s="41">
        <v>1289442011</v>
      </c>
      <c r="P68" s="41">
        <v>1324084663</v>
      </c>
      <c r="Q68" s="41">
        <v>1355934840</v>
      </c>
      <c r="R68" s="41">
        <v>1386816705</v>
      </c>
      <c r="S68" s="41">
        <v>1416257332</v>
      </c>
      <c r="T68" s="41">
        <v>1442992143</v>
      </c>
      <c r="U68" s="41">
        <v>1467572978</v>
      </c>
      <c r="V68" s="41">
        <v>1490458433</v>
      </c>
      <c r="W68" s="41">
        <v>1513242365</v>
      </c>
      <c r="X68" s="41">
        <v>1536454977</v>
      </c>
      <c r="Y68" s="41">
        <v>1559219642</v>
      </c>
      <c r="Z68" s="41">
        <v>1582802675</v>
      </c>
      <c r="AA68" s="41">
        <v>1608709544</v>
      </c>
      <c r="AB68" s="41">
        <v>1634587947</v>
      </c>
      <c r="AC68" s="41">
        <v>1659196213</v>
      </c>
      <c r="AD68" s="41">
        <v>1684377898</v>
      </c>
      <c r="AE68" s="41">
        <v>1710979840</v>
      </c>
      <c r="AF68" s="41">
        <v>1739049562</v>
      </c>
      <c r="AG68" s="41">
        <v>1767394678</v>
      </c>
      <c r="AH68" s="41">
        <v>1795112149</v>
      </c>
      <c r="AI68" s="41">
        <v>1822134188</v>
      </c>
      <c r="AJ68" s="41">
        <v>1848265154</v>
      </c>
      <c r="AK68" s="41">
        <v>1872676768</v>
      </c>
      <c r="AL68" s="41">
        <v>1896190507</v>
      </c>
      <c r="AM68" s="41">
        <v>1919576721</v>
      </c>
      <c r="AN68" s="41">
        <v>1942464423</v>
      </c>
      <c r="AO68" s="41">
        <v>1965146473</v>
      </c>
      <c r="AP68" s="41">
        <v>1987315524</v>
      </c>
      <c r="AQ68" s="41">
        <v>2008705487</v>
      </c>
      <c r="AR68" s="41">
        <v>2028650228</v>
      </c>
      <c r="AS68" s="41">
        <v>2047640091</v>
      </c>
      <c r="AT68" s="41">
        <v>2065912033</v>
      </c>
      <c r="AU68" s="41">
        <v>2083186086</v>
      </c>
      <c r="AV68" s="41">
        <v>2099602481</v>
      </c>
      <c r="AW68" s="41">
        <v>2115458625</v>
      </c>
      <c r="AX68" s="41">
        <v>2131146847</v>
      </c>
      <c r="AY68" s="41">
        <v>2146744105</v>
      </c>
      <c r="AZ68" s="41">
        <v>2161785511</v>
      </c>
      <c r="BA68" s="41">
        <v>2177119138</v>
      </c>
      <c r="BB68" s="41">
        <v>2192059400</v>
      </c>
      <c r="BC68" s="41">
        <v>2206884622</v>
      </c>
      <c r="BD68" s="41">
        <v>2221672723</v>
      </c>
      <c r="BE68" s="41">
        <v>2236817711</v>
      </c>
      <c r="BF68" s="41">
        <v>2252044491</v>
      </c>
      <c r="BG68" s="41">
        <v>2267485985</v>
      </c>
      <c r="BH68" s="41">
        <v>2282863725</v>
      </c>
      <c r="BI68" s="41">
        <v>2298500738</v>
      </c>
      <c r="BJ68" s="41">
        <v>2314112848</v>
      </c>
      <c r="BK68" s="41">
        <v>2328193462</v>
      </c>
      <c r="BL68" s="41">
        <v>2340673749</v>
      </c>
      <c r="BM68" s="41">
        <v>2352037717</v>
      </c>
    </row>
    <row r="69" spans="1:65" x14ac:dyDescent="0.35">
      <c r="A69" s="41" t="s">
        <v>235</v>
      </c>
      <c r="B69" s="41" t="s">
        <v>236</v>
      </c>
      <c r="C69" s="41" t="s">
        <v>666</v>
      </c>
      <c r="D69" s="41" t="s">
        <v>667</v>
      </c>
      <c r="E69" s="41">
        <v>274647228</v>
      </c>
      <c r="F69" s="41">
        <v>278931566</v>
      </c>
      <c r="G69" s="41">
        <v>283238943</v>
      </c>
      <c r="H69" s="41">
        <v>287564681</v>
      </c>
      <c r="I69" s="41">
        <v>291878870</v>
      </c>
      <c r="J69" s="41">
        <v>296127062</v>
      </c>
      <c r="K69" s="41">
        <v>299713085</v>
      </c>
      <c r="L69" s="41">
        <v>303366987</v>
      </c>
      <c r="M69" s="41">
        <v>306934517</v>
      </c>
      <c r="N69" s="41">
        <v>310433036</v>
      </c>
      <c r="O69" s="41">
        <v>313941308</v>
      </c>
      <c r="P69" s="41">
        <v>317445710</v>
      </c>
      <c r="Q69" s="41">
        <v>320945150</v>
      </c>
      <c r="R69" s="41">
        <v>324422297</v>
      </c>
      <c r="S69" s="41">
        <v>327916784</v>
      </c>
      <c r="T69" s="41">
        <v>331431777</v>
      </c>
      <c r="U69" s="41">
        <v>335100864</v>
      </c>
      <c r="V69" s="41">
        <v>338710487</v>
      </c>
      <c r="W69" s="41">
        <v>342280107</v>
      </c>
      <c r="X69" s="41">
        <v>345827999</v>
      </c>
      <c r="Y69" s="41">
        <v>349436199</v>
      </c>
      <c r="Z69" s="41">
        <v>353122612</v>
      </c>
      <c r="AA69" s="41">
        <v>356678273</v>
      </c>
      <c r="AB69" s="41">
        <v>360204222</v>
      </c>
      <c r="AC69" s="41">
        <v>363975241</v>
      </c>
      <c r="AD69" s="41">
        <v>367739486</v>
      </c>
      <c r="AE69" s="41">
        <v>371479741</v>
      </c>
      <c r="AF69" s="41">
        <v>375227253</v>
      </c>
      <c r="AG69" s="41">
        <v>378837514</v>
      </c>
      <c r="AH69" s="41">
        <v>382076660</v>
      </c>
      <c r="AI69" s="41">
        <v>384377493</v>
      </c>
      <c r="AJ69" s="41">
        <v>386437795</v>
      </c>
      <c r="AK69" s="41">
        <v>388125580</v>
      </c>
      <c r="AL69" s="41">
        <v>389516909</v>
      </c>
      <c r="AM69" s="41">
        <v>390276284</v>
      </c>
      <c r="AN69" s="41">
        <v>390572206</v>
      </c>
      <c r="AO69" s="41">
        <v>390932358</v>
      </c>
      <c r="AP69" s="41">
        <v>391289640</v>
      </c>
      <c r="AQ69" s="41">
        <v>391526555</v>
      </c>
      <c r="AR69" s="41">
        <v>391495413</v>
      </c>
      <c r="AS69" s="41">
        <v>391586634</v>
      </c>
      <c r="AT69" s="41">
        <v>391315286</v>
      </c>
      <c r="AU69" s="41">
        <v>391008840</v>
      </c>
      <c r="AV69" s="41">
        <v>391172281</v>
      </c>
      <c r="AW69" s="41">
        <v>391535458</v>
      </c>
      <c r="AX69" s="41">
        <v>391952218</v>
      </c>
      <c r="AY69" s="41">
        <v>392511901</v>
      </c>
      <c r="AZ69" s="41">
        <v>393215573</v>
      </c>
      <c r="BA69" s="41">
        <v>394392601</v>
      </c>
      <c r="BB69" s="41">
        <v>396042179</v>
      </c>
      <c r="BC69" s="41">
        <v>398082642</v>
      </c>
      <c r="BD69" s="41">
        <v>400311983</v>
      </c>
      <c r="BE69" s="41">
        <v>402565848</v>
      </c>
      <c r="BF69" s="41">
        <v>405069376</v>
      </c>
      <c r="BG69" s="41">
        <v>407567142</v>
      </c>
      <c r="BH69" s="41">
        <v>410111294</v>
      </c>
      <c r="BI69" s="41">
        <v>412578888</v>
      </c>
      <c r="BJ69" s="41">
        <v>414892969</v>
      </c>
      <c r="BK69" s="41">
        <v>416931527</v>
      </c>
      <c r="BL69" s="41">
        <v>418760880</v>
      </c>
      <c r="BM69" s="41">
        <v>420249459</v>
      </c>
    </row>
    <row r="70" spans="1:65" x14ac:dyDescent="0.35">
      <c r="A70" s="41" t="s">
        <v>237</v>
      </c>
      <c r="B70" s="41" t="s">
        <v>238</v>
      </c>
      <c r="C70" s="41" t="s">
        <v>666</v>
      </c>
      <c r="D70" s="41" t="s">
        <v>667</v>
      </c>
      <c r="E70" s="41">
        <v>666753356</v>
      </c>
      <c r="F70" s="41">
        <v>674450666</v>
      </c>
      <c r="G70" s="41">
        <v>682397828</v>
      </c>
      <c r="H70" s="41">
        <v>690411692</v>
      </c>
      <c r="I70" s="41">
        <v>698355574</v>
      </c>
      <c r="J70" s="41">
        <v>706070460</v>
      </c>
      <c r="K70" s="41">
        <v>712830312</v>
      </c>
      <c r="L70" s="41">
        <v>719406020</v>
      </c>
      <c r="M70" s="41">
        <v>725725300</v>
      </c>
      <c r="N70" s="41">
        <v>731903738</v>
      </c>
      <c r="O70" s="41">
        <v>737524825</v>
      </c>
      <c r="P70" s="41">
        <v>743140589</v>
      </c>
      <c r="Q70" s="41">
        <v>749283635</v>
      </c>
      <c r="R70" s="41">
        <v>755259488</v>
      </c>
      <c r="S70" s="41">
        <v>761029417</v>
      </c>
      <c r="T70" s="41">
        <v>766625562</v>
      </c>
      <c r="U70" s="41">
        <v>772129341</v>
      </c>
      <c r="V70" s="41">
        <v>777422111</v>
      </c>
      <c r="W70" s="41">
        <v>782653852</v>
      </c>
      <c r="X70" s="41">
        <v>787910910</v>
      </c>
      <c r="Y70" s="41">
        <v>793299463</v>
      </c>
      <c r="Z70" s="41">
        <v>798559755</v>
      </c>
      <c r="AA70" s="41">
        <v>803342746</v>
      </c>
      <c r="AB70" s="41">
        <v>807903880</v>
      </c>
      <c r="AC70" s="41">
        <v>812662217</v>
      </c>
      <c r="AD70" s="41">
        <v>817497806</v>
      </c>
      <c r="AE70" s="41">
        <v>822470047</v>
      </c>
      <c r="AF70" s="41">
        <v>827505281</v>
      </c>
      <c r="AG70" s="41">
        <v>832553390</v>
      </c>
      <c r="AH70" s="41">
        <v>837438555</v>
      </c>
      <c r="AI70" s="41">
        <v>841520451</v>
      </c>
      <c r="AJ70" s="41">
        <v>845399308</v>
      </c>
      <c r="AK70" s="41">
        <v>848877909</v>
      </c>
      <c r="AL70" s="41">
        <v>851974036</v>
      </c>
      <c r="AM70" s="41">
        <v>854082582</v>
      </c>
      <c r="AN70" s="41">
        <v>855491301</v>
      </c>
      <c r="AO70" s="41">
        <v>856857233</v>
      </c>
      <c r="AP70" s="41">
        <v>858165406</v>
      </c>
      <c r="AQ70" s="41">
        <v>859298084</v>
      </c>
      <c r="AR70" s="41">
        <v>860319121</v>
      </c>
      <c r="AS70" s="41">
        <v>861278544</v>
      </c>
      <c r="AT70" s="41">
        <v>862347956</v>
      </c>
      <c r="AU70" s="41">
        <v>863936837</v>
      </c>
      <c r="AV70" s="41">
        <v>866215697</v>
      </c>
      <c r="AW70" s="41">
        <v>868808153</v>
      </c>
      <c r="AX70" s="41">
        <v>871456632</v>
      </c>
      <c r="AY70" s="41">
        <v>874157191</v>
      </c>
      <c r="AZ70" s="41">
        <v>877300670</v>
      </c>
      <c r="BA70" s="41">
        <v>880932055</v>
      </c>
      <c r="BB70" s="41">
        <v>884469396</v>
      </c>
      <c r="BC70" s="41">
        <v>887926793</v>
      </c>
      <c r="BD70" s="41">
        <v>890162077</v>
      </c>
      <c r="BE70" s="41">
        <v>893786694</v>
      </c>
      <c r="BF70" s="41">
        <v>898057341</v>
      </c>
      <c r="BG70" s="41">
        <v>902404181</v>
      </c>
      <c r="BH70" s="41">
        <v>906707413</v>
      </c>
      <c r="BI70" s="41">
        <v>910910900</v>
      </c>
      <c r="BJ70" s="41">
        <v>914655081</v>
      </c>
      <c r="BK70" s="41">
        <v>918082509</v>
      </c>
      <c r="BL70" s="41">
        <v>920809471</v>
      </c>
      <c r="BM70" s="41">
        <v>923489941</v>
      </c>
    </row>
    <row r="71" spans="1:65" x14ac:dyDescent="0.35">
      <c r="A71" s="41" t="s">
        <v>239</v>
      </c>
      <c r="B71" s="41" t="s">
        <v>240</v>
      </c>
      <c r="C71" s="41" t="s">
        <v>666</v>
      </c>
      <c r="D71" s="41" t="s">
        <v>667</v>
      </c>
      <c r="E71" s="41">
        <v>4543658</v>
      </c>
      <c r="F71" s="41">
        <v>4674176</v>
      </c>
      <c r="G71" s="41">
        <v>4809194</v>
      </c>
      <c r="H71" s="41">
        <v>4948991</v>
      </c>
      <c r="I71" s="41">
        <v>5093848</v>
      </c>
      <c r="J71" s="41">
        <v>5243980</v>
      </c>
      <c r="K71" s="41">
        <v>5399423</v>
      </c>
      <c r="L71" s="41">
        <v>5560013</v>
      </c>
      <c r="M71" s="41">
        <v>5725462</v>
      </c>
      <c r="N71" s="41">
        <v>5895368</v>
      </c>
      <c r="O71" s="41">
        <v>6069375</v>
      </c>
      <c r="P71" s="41">
        <v>6247421</v>
      </c>
      <c r="Q71" s="41">
        <v>6429377</v>
      </c>
      <c r="R71" s="41">
        <v>6614840</v>
      </c>
      <c r="S71" s="41">
        <v>6803271</v>
      </c>
      <c r="T71" s="41">
        <v>6994331</v>
      </c>
      <c r="U71" s="41">
        <v>7187794</v>
      </c>
      <c r="V71" s="41">
        <v>7383713</v>
      </c>
      <c r="W71" s="41">
        <v>7582357</v>
      </c>
      <c r="X71" s="41">
        <v>7784074</v>
      </c>
      <c r="Y71" s="41">
        <v>7989178</v>
      </c>
      <c r="Z71" s="41">
        <v>8197648</v>
      </c>
      <c r="AA71" s="41">
        <v>8409396</v>
      </c>
      <c r="AB71" s="41">
        <v>8624594</v>
      </c>
      <c r="AC71" s="41">
        <v>8843463</v>
      </c>
      <c r="AD71" s="41">
        <v>9066100</v>
      </c>
      <c r="AE71" s="41">
        <v>9292481</v>
      </c>
      <c r="AF71" s="41">
        <v>9522362</v>
      </c>
      <c r="AG71" s="41">
        <v>9755576</v>
      </c>
      <c r="AH71" s="41">
        <v>9991870</v>
      </c>
      <c r="AI71" s="41">
        <v>10230931</v>
      </c>
      <c r="AJ71" s="41">
        <v>10472476</v>
      </c>
      <c r="AK71" s="41">
        <v>10716131</v>
      </c>
      <c r="AL71" s="41">
        <v>10961460</v>
      </c>
      <c r="AM71" s="41">
        <v>11207999</v>
      </c>
      <c r="AN71" s="41">
        <v>11455205</v>
      </c>
      <c r="AO71" s="41">
        <v>11703169</v>
      </c>
      <c r="AP71" s="41">
        <v>11951457</v>
      </c>
      <c r="AQ71" s="41">
        <v>12198449</v>
      </c>
      <c r="AR71" s="41">
        <v>12442109</v>
      </c>
      <c r="AS71" s="41">
        <v>12681123</v>
      </c>
      <c r="AT71" s="41">
        <v>12914660</v>
      </c>
      <c r="AU71" s="41">
        <v>13143465</v>
      </c>
      <c r="AV71" s="41">
        <v>13369678</v>
      </c>
      <c r="AW71" s="41">
        <v>13596390</v>
      </c>
      <c r="AX71" s="41">
        <v>13825839</v>
      </c>
      <c r="AY71" s="41">
        <v>14059379</v>
      </c>
      <c r="AZ71" s="41">
        <v>14296554</v>
      </c>
      <c r="BA71" s="41">
        <v>14535740</v>
      </c>
      <c r="BB71" s="41">
        <v>14774412</v>
      </c>
      <c r="BC71" s="41">
        <v>15011114</v>
      </c>
      <c r="BD71" s="41">
        <v>15243885</v>
      </c>
      <c r="BE71" s="41">
        <v>15474099</v>
      </c>
      <c r="BF71" s="41">
        <v>15707473</v>
      </c>
      <c r="BG71" s="41">
        <v>15951832</v>
      </c>
      <c r="BH71" s="41">
        <v>16212022</v>
      </c>
      <c r="BI71" s="41">
        <v>16491116</v>
      </c>
      <c r="BJ71" s="41">
        <v>16785356</v>
      </c>
      <c r="BK71" s="41">
        <v>17084359</v>
      </c>
      <c r="BL71" s="41">
        <v>17373657</v>
      </c>
      <c r="BM71" s="41">
        <v>17643060</v>
      </c>
    </row>
    <row r="72" spans="1:65" x14ac:dyDescent="0.35">
      <c r="A72" s="41" t="s">
        <v>241</v>
      </c>
      <c r="B72" s="41" t="s">
        <v>242</v>
      </c>
      <c r="C72" s="41" t="s">
        <v>666</v>
      </c>
      <c r="D72" s="41" t="s">
        <v>667</v>
      </c>
      <c r="E72" s="41">
        <v>26632891</v>
      </c>
      <c r="F72" s="41">
        <v>27366239</v>
      </c>
      <c r="G72" s="41">
        <v>28112258</v>
      </c>
      <c r="H72" s="41">
        <v>28871383</v>
      </c>
      <c r="I72" s="41">
        <v>29644875</v>
      </c>
      <c r="J72" s="41">
        <v>30433024</v>
      </c>
      <c r="K72" s="41">
        <v>31237597</v>
      </c>
      <c r="L72" s="41">
        <v>32056506</v>
      </c>
      <c r="M72" s="41">
        <v>32881852</v>
      </c>
      <c r="N72" s="41">
        <v>33703127</v>
      </c>
      <c r="O72" s="41">
        <v>34513851</v>
      </c>
      <c r="P72" s="41">
        <v>35311905</v>
      </c>
      <c r="Q72" s="41">
        <v>36102670</v>
      </c>
      <c r="R72" s="41">
        <v>36896551</v>
      </c>
      <c r="S72" s="41">
        <v>37708144</v>
      </c>
      <c r="T72" s="41">
        <v>38549133</v>
      </c>
      <c r="U72" s="41">
        <v>39422731</v>
      </c>
      <c r="V72" s="41">
        <v>40329589</v>
      </c>
      <c r="W72" s="41">
        <v>41275728</v>
      </c>
      <c r="X72" s="41">
        <v>42267429</v>
      </c>
      <c r="Y72" s="41">
        <v>43309063</v>
      </c>
      <c r="Z72" s="41">
        <v>44400113</v>
      </c>
      <c r="AA72" s="41">
        <v>45539295</v>
      </c>
      <c r="AB72" s="41">
        <v>46728284</v>
      </c>
      <c r="AC72" s="41">
        <v>47968643</v>
      </c>
      <c r="AD72" s="41">
        <v>49258726</v>
      </c>
      <c r="AE72" s="41">
        <v>50602360</v>
      </c>
      <c r="AF72" s="41">
        <v>51991696</v>
      </c>
      <c r="AG72" s="41">
        <v>53399243</v>
      </c>
      <c r="AH72" s="41">
        <v>54788680</v>
      </c>
      <c r="AI72" s="41">
        <v>56134478</v>
      </c>
      <c r="AJ72" s="41">
        <v>57424552</v>
      </c>
      <c r="AK72" s="41">
        <v>58666812</v>
      </c>
      <c r="AL72" s="41">
        <v>59880656</v>
      </c>
      <c r="AM72" s="41">
        <v>61095804</v>
      </c>
      <c r="AN72" s="41">
        <v>62334025</v>
      </c>
      <c r="AO72" s="41">
        <v>63601632</v>
      </c>
      <c r="AP72" s="41">
        <v>64892269</v>
      </c>
      <c r="AQ72" s="41">
        <v>66200259</v>
      </c>
      <c r="AR72" s="41">
        <v>67515591</v>
      </c>
      <c r="AS72" s="41">
        <v>68831561</v>
      </c>
      <c r="AT72" s="41">
        <v>70152662</v>
      </c>
      <c r="AU72" s="41">
        <v>71485044</v>
      </c>
      <c r="AV72" s="41">
        <v>72826102</v>
      </c>
      <c r="AW72" s="41">
        <v>74172073</v>
      </c>
      <c r="AX72" s="41">
        <v>75523576</v>
      </c>
      <c r="AY72" s="41">
        <v>76873670</v>
      </c>
      <c r="AZ72" s="41">
        <v>78232124</v>
      </c>
      <c r="BA72" s="41">
        <v>79636081</v>
      </c>
      <c r="BB72" s="41">
        <v>81134789</v>
      </c>
      <c r="BC72" s="41">
        <v>82761244</v>
      </c>
      <c r="BD72" s="41">
        <v>84529251</v>
      </c>
      <c r="BE72" s="41">
        <v>86422240</v>
      </c>
      <c r="BF72" s="41">
        <v>88404652</v>
      </c>
      <c r="BG72" s="41">
        <v>90424668</v>
      </c>
      <c r="BH72" s="41">
        <v>92442549</v>
      </c>
      <c r="BI72" s="41">
        <v>94447071</v>
      </c>
      <c r="BJ72" s="41">
        <v>96442590</v>
      </c>
      <c r="BK72" s="41">
        <v>98423602</v>
      </c>
      <c r="BL72" s="41">
        <v>100388076</v>
      </c>
      <c r="BM72" s="41">
        <v>102334403</v>
      </c>
    </row>
    <row r="73" spans="1:65" x14ac:dyDescent="0.35">
      <c r="A73" s="41" t="s">
        <v>243</v>
      </c>
      <c r="B73" s="41" t="s">
        <v>244</v>
      </c>
      <c r="C73" s="41" t="s">
        <v>666</v>
      </c>
      <c r="D73" s="41" t="s">
        <v>667</v>
      </c>
      <c r="E73" s="41">
        <v>265203956</v>
      </c>
      <c r="F73" s="41">
        <v>267621091</v>
      </c>
      <c r="G73" s="41">
        <v>270110063</v>
      </c>
      <c r="H73" s="41">
        <v>272655396</v>
      </c>
      <c r="I73" s="41">
        <v>275163380</v>
      </c>
      <c r="J73" s="41">
        <v>277650954</v>
      </c>
      <c r="K73" s="41">
        <v>279969050</v>
      </c>
      <c r="L73" s="41">
        <v>281974870</v>
      </c>
      <c r="M73" s="41">
        <v>283866408</v>
      </c>
      <c r="N73" s="41">
        <v>285778639</v>
      </c>
      <c r="O73" s="41">
        <v>287338854</v>
      </c>
      <c r="P73" s="41">
        <v>288923399</v>
      </c>
      <c r="Q73" s="41">
        <v>290874612</v>
      </c>
      <c r="R73" s="41">
        <v>292728242</v>
      </c>
      <c r="S73" s="41">
        <v>294399217</v>
      </c>
      <c r="T73" s="41">
        <v>295923529</v>
      </c>
      <c r="U73" s="41">
        <v>297251532</v>
      </c>
      <c r="V73" s="41">
        <v>298441848</v>
      </c>
      <c r="W73" s="41">
        <v>299652841</v>
      </c>
      <c r="X73" s="41">
        <v>300886487</v>
      </c>
      <c r="Y73" s="41">
        <v>302184216</v>
      </c>
      <c r="Z73" s="41">
        <v>303343114</v>
      </c>
      <c r="AA73" s="41">
        <v>304174261</v>
      </c>
      <c r="AB73" s="41">
        <v>304787497</v>
      </c>
      <c r="AC73" s="41">
        <v>305299144</v>
      </c>
      <c r="AD73" s="41">
        <v>305877743</v>
      </c>
      <c r="AE73" s="41">
        <v>306640636</v>
      </c>
      <c r="AF73" s="41">
        <v>307488377</v>
      </c>
      <c r="AG73" s="41">
        <v>308516476</v>
      </c>
      <c r="AH73" s="41">
        <v>309837575</v>
      </c>
      <c r="AI73" s="41">
        <v>311262608</v>
      </c>
      <c r="AJ73" s="41">
        <v>312708132</v>
      </c>
      <c r="AK73" s="41">
        <v>314162056</v>
      </c>
      <c r="AL73" s="41">
        <v>315449093</v>
      </c>
      <c r="AM73" s="41">
        <v>316366781</v>
      </c>
      <c r="AN73" s="41">
        <v>317181461</v>
      </c>
      <c r="AO73" s="41">
        <v>318003013</v>
      </c>
      <c r="AP73" s="41">
        <v>318761752</v>
      </c>
      <c r="AQ73" s="41">
        <v>319433985</v>
      </c>
      <c r="AR73" s="41">
        <v>320258891</v>
      </c>
      <c r="AS73" s="41">
        <v>321310789</v>
      </c>
      <c r="AT73" s="41">
        <v>322547874</v>
      </c>
      <c r="AU73" s="41">
        <v>324125339</v>
      </c>
      <c r="AV73" s="41">
        <v>325885957</v>
      </c>
      <c r="AW73" s="41">
        <v>327682513</v>
      </c>
      <c r="AX73" s="41">
        <v>329380417</v>
      </c>
      <c r="AY73" s="41">
        <v>330922785</v>
      </c>
      <c r="AZ73" s="41">
        <v>332645162</v>
      </c>
      <c r="BA73" s="41">
        <v>334274725</v>
      </c>
      <c r="BB73" s="41">
        <v>335360891</v>
      </c>
      <c r="BC73" s="41">
        <v>336151482</v>
      </c>
      <c r="BD73" s="41">
        <v>335419656</v>
      </c>
      <c r="BE73" s="41">
        <v>336159199</v>
      </c>
      <c r="BF73" s="41">
        <v>337302111</v>
      </c>
      <c r="BG73" s="41">
        <v>338462234</v>
      </c>
      <c r="BH73" s="41">
        <v>339488382</v>
      </c>
      <c r="BI73" s="41">
        <v>340481755</v>
      </c>
      <c r="BJ73" s="41">
        <v>341217243</v>
      </c>
      <c r="BK73" s="41">
        <v>341979171</v>
      </c>
      <c r="BL73" s="41">
        <v>342282081</v>
      </c>
      <c r="BM73" s="41">
        <v>342949773</v>
      </c>
    </row>
    <row r="74" spans="1:65" x14ac:dyDescent="0.35">
      <c r="A74" s="41" t="s">
        <v>245</v>
      </c>
      <c r="B74" s="41" t="s">
        <v>246</v>
      </c>
      <c r="C74" s="41" t="s">
        <v>666</v>
      </c>
      <c r="D74" s="41" t="s">
        <v>667</v>
      </c>
      <c r="E74" s="41">
        <v>1007586</v>
      </c>
      <c r="F74" s="41">
        <v>1033320</v>
      </c>
      <c r="G74" s="41">
        <v>1060489</v>
      </c>
      <c r="H74" s="41">
        <v>1088859</v>
      </c>
      <c r="I74" s="41">
        <v>1118152</v>
      </c>
      <c r="J74" s="41">
        <v>1148188</v>
      </c>
      <c r="K74" s="41">
        <v>1178875</v>
      </c>
      <c r="L74" s="41">
        <v>1210304</v>
      </c>
      <c r="M74" s="41">
        <v>1242633</v>
      </c>
      <c r="N74" s="41">
        <v>1276122</v>
      </c>
      <c r="O74" s="41">
        <v>1310947</v>
      </c>
      <c r="P74" s="41">
        <v>1347180</v>
      </c>
      <c r="Q74" s="41">
        <v>1384789</v>
      </c>
      <c r="R74" s="41">
        <v>1423749</v>
      </c>
      <c r="S74" s="41">
        <v>1463986</v>
      </c>
      <c r="T74" s="41">
        <v>1505438</v>
      </c>
      <c r="U74" s="41">
        <v>1547978</v>
      </c>
      <c r="V74" s="41">
        <v>1591622</v>
      </c>
      <c r="W74" s="41">
        <v>1636771</v>
      </c>
      <c r="X74" s="41">
        <v>1683932</v>
      </c>
      <c r="Y74" s="41">
        <v>1733423</v>
      </c>
      <c r="Z74" s="41">
        <v>1784557</v>
      </c>
      <c r="AA74" s="41">
        <v>1836825</v>
      </c>
      <c r="AB74" s="41">
        <v>1890556</v>
      </c>
      <c r="AC74" s="41">
        <v>1946299</v>
      </c>
      <c r="AD74" s="41">
        <v>2003942</v>
      </c>
      <c r="AE74" s="41">
        <v>2064803</v>
      </c>
      <c r="AF74" s="41">
        <v>2127421</v>
      </c>
      <c r="AG74" s="41">
        <v>2185607</v>
      </c>
      <c r="AH74" s="41">
        <v>2231144</v>
      </c>
      <c r="AI74" s="41">
        <v>2258649</v>
      </c>
      <c r="AJ74" s="41">
        <v>2266356</v>
      </c>
      <c r="AK74" s="41">
        <v>2257593</v>
      </c>
      <c r="AL74" s="41">
        <v>2238631</v>
      </c>
      <c r="AM74" s="41">
        <v>2218436</v>
      </c>
      <c r="AN74" s="41">
        <v>2204227</v>
      </c>
      <c r="AO74" s="41">
        <v>2196467</v>
      </c>
      <c r="AP74" s="41">
        <v>2195192</v>
      </c>
      <c r="AQ74" s="41">
        <v>2206439</v>
      </c>
      <c r="AR74" s="41">
        <v>2237412</v>
      </c>
      <c r="AS74" s="41">
        <v>2292413</v>
      </c>
      <c r="AT74" s="41">
        <v>2374721</v>
      </c>
      <c r="AU74" s="41">
        <v>2481059</v>
      </c>
      <c r="AV74" s="41">
        <v>2600972</v>
      </c>
      <c r="AW74" s="41">
        <v>2719809</v>
      </c>
      <c r="AX74" s="41">
        <v>2826653</v>
      </c>
      <c r="AY74" s="41">
        <v>2918209</v>
      </c>
      <c r="AZ74" s="41">
        <v>2996540</v>
      </c>
      <c r="BA74" s="41">
        <v>3062782</v>
      </c>
      <c r="BB74" s="41">
        <v>3119920</v>
      </c>
      <c r="BC74" s="41">
        <v>3170437</v>
      </c>
      <c r="BD74" s="41">
        <v>3213969</v>
      </c>
    </row>
    <row r="75" spans="1:65" x14ac:dyDescent="0.35">
      <c r="A75" s="41" t="s">
        <v>247</v>
      </c>
      <c r="B75" s="41" t="s">
        <v>248</v>
      </c>
      <c r="C75" s="41" t="s">
        <v>666</v>
      </c>
      <c r="D75" s="41" t="s">
        <v>667</v>
      </c>
      <c r="E75" s="41">
        <v>30455000</v>
      </c>
      <c r="F75" s="41">
        <v>30739250</v>
      </c>
      <c r="G75" s="41">
        <v>31023366</v>
      </c>
      <c r="H75" s="41">
        <v>31296651</v>
      </c>
      <c r="I75" s="41">
        <v>31609195</v>
      </c>
      <c r="J75" s="41">
        <v>31954292</v>
      </c>
      <c r="K75" s="41">
        <v>32283194</v>
      </c>
      <c r="L75" s="41">
        <v>32682947</v>
      </c>
      <c r="M75" s="41">
        <v>33113134</v>
      </c>
      <c r="N75" s="41">
        <v>33441054</v>
      </c>
      <c r="O75" s="41">
        <v>33814531</v>
      </c>
      <c r="P75" s="41">
        <v>34224490</v>
      </c>
      <c r="Q75" s="41">
        <v>34604469</v>
      </c>
      <c r="R75" s="41">
        <v>34988947</v>
      </c>
      <c r="S75" s="41">
        <v>35373335</v>
      </c>
      <c r="T75" s="41">
        <v>35757900</v>
      </c>
      <c r="U75" s="41">
        <v>36137812</v>
      </c>
      <c r="V75" s="41">
        <v>36511638</v>
      </c>
      <c r="W75" s="41">
        <v>36864898</v>
      </c>
      <c r="X75" s="41">
        <v>37191330</v>
      </c>
      <c r="Y75" s="41">
        <v>37491165</v>
      </c>
      <c r="Z75" s="41">
        <v>37758631</v>
      </c>
      <c r="AA75" s="41">
        <v>37986012</v>
      </c>
      <c r="AB75" s="41">
        <v>38171525</v>
      </c>
      <c r="AC75" s="41">
        <v>38330364</v>
      </c>
      <c r="AD75" s="41">
        <v>38469512</v>
      </c>
      <c r="AE75" s="41">
        <v>38584624</v>
      </c>
      <c r="AF75" s="41">
        <v>38684815</v>
      </c>
      <c r="AG75" s="41">
        <v>38766939</v>
      </c>
      <c r="AH75" s="41">
        <v>38827764</v>
      </c>
      <c r="AI75" s="41">
        <v>38867322</v>
      </c>
      <c r="AJ75" s="41">
        <v>38966376</v>
      </c>
      <c r="AK75" s="41">
        <v>39157685</v>
      </c>
      <c r="AL75" s="41">
        <v>39361262</v>
      </c>
      <c r="AM75" s="41">
        <v>39549108</v>
      </c>
      <c r="AN75" s="41">
        <v>39724050</v>
      </c>
      <c r="AO75" s="41">
        <v>39889852</v>
      </c>
      <c r="AP75" s="41">
        <v>40057389</v>
      </c>
      <c r="AQ75" s="41">
        <v>40223509</v>
      </c>
      <c r="AR75" s="41">
        <v>40386875</v>
      </c>
      <c r="AS75" s="41">
        <v>40567864</v>
      </c>
      <c r="AT75" s="41">
        <v>40850412</v>
      </c>
      <c r="AU75" s="41">
        <v>41431558</v>
      </c>
      <c r="AV75" s="41">
        <v>42187645</v>
      </c>
      <c r="AW75" s="41">
        <v>42921895</v>
      </c>
      <c r="AX75" s="41">
        <v>43653155</v>
      </c>
      <c r="AY75" s="41">
        <v>44397319</v>
      </c>
      <c r="AZ75" s="41">
        <v>45226803</v>
      </c>
      <c r="BA75" s="41">
        <v>45954106</v>
      </c>
      <c r="BB75" s="41">
        <v>46362946</v>
      </c>
      <c r="BC75" s="41">
        <v>46576897</v>
      </c>
      <c r="BD75" s="41">
        <v>46742697</v>
      </c>
      <c r="BE75" s="41">
        <v>46773055</v>
      </c>
      <c r="BF75" s="41">
        <v>46620045</v>
      </c>
      <c r="BG75" s="41">
        <v>46480882</v>
      </c>
      <c r="BH75" s="41">
        <v>46444832</v>
      </c>
      <c r="BI75" s="41">
        <v>46484062</v>
      </c>
      <c r="BJ75" s="41">
        <v>46593236</v>
      </c>
      <c r="BK75" s="41">
        <v>46797754</v>
      </c>
      <c r="BL75" s="41">
        <v>47133521</v>
      </c>
      <c r="BM75" s="41">
        <v>47351567</v>
      </c>
    </row>
    <row r="76" spans="1:65" x14ac:dyDescent="0.35">
      <c r="A76" s="41" t="s">
        <v>249</v>
      </c>
      <c r="B76" s="41" t="s">
        <v>250</v>
      </c>
      <c r="C76" s="41" t="s">
        <v>666</v>
      </c>
      <c r="D76" s="41" t="s">
        <v>667</v>
      </c>
      <c r="E76" s="41">
        <v>1211537</v>
      </c>
      <c r="F76" s="41">
        <v>1225077</v>
      </c>
      <c r="G76" s="41">
        <v>1241623</v>
      </c>
      <c r="H76" s="41">
        <v>1258857</v>
      </c>
      <c r="I76" s="41">
        <v>1277086</v>
      </c>
      <c r="J76" s="41">
        <v>1294566</v>
      </c>
      <c r="K76" s="41">
        <v>1308597</v>
      </c>
      <c r="L76" s="41">
        <v>1318946</v>
      </c>
      <c r="M76" s="41">
        <v>1331214</v>
      </c>
      <c r="N76" s="41">
        <v>1345249</v>
      </c>
      <c r="O76" s="41">
        <v>1360076</v>
      </c>
      <c r="P76" s="41">
        <v>1376955</v>
      </c>
      <c r="Q76" s="41">
        <v>1392518</v>
      </c>
      <c r="R76" s="41">
        <v>1405951</v>
      </c>
      <c r="S76" s="41">
        <v>1418169</v>
      </c>
      <c r="T76" s="41">
        <v>1429352</v>
      </c>
      <c r="U76" s="41">
        <v>1439576</v>
      </c>
      <c r="V76" s="41">
        <v>1450211</v>
      </c>
      <c r="W76" s="41">
        <v>1460188</v>
      </c>
      <c r="X76" s="41">
        <v>1468333</v>
      </c>
      <c r="Y76" s="41">
        <v>1477219</v>
      </c>
      <c r="Z76" s="41">
        <v>1487666</v>
      </c>
      <c r="AA76" s="41">
        <v>1498414</v>
      </c>
      <c r="AB76" s="41">
        <v>1508745</v>
      </c>
      <c r="AC76" s="41">
        <v>1518617</v>
      </c>
      <c r="AD76" s="41">
        <v>1528781</v>
      </c>
      <c r="AE76" s="41">
        <v>1540190</v>
      </c>
      <c r="AF76" s="41">
        <v>1552221</v>
      </c>
      <c r="AG76" s="41">
        <v>1561900</v>
      </c>
      <c r="AH76" s="41">
        <v>1568131</v>
      </c>
      <c r="AI76" s="41">
        <v>1569174</v>
      </c>
      <c r="AJ76" s="41">
        <v>1561314</v>
      </c>
      <c r="AK76" s="41">
        <v>1533091</v>
      </c>
      <c r="AL76" s="41">
        <v>1494128</v>
      </c>
      <c r="AM76" s="41">
        <v>1462514</v>
      </c>
      <c r="AN76" s="41">
        <v>1436634</v>
      </c>
      <c r="AO76" s="41">
        <v>1415594</v>
      </c>
      <c r="AP76" s="41">
        <v>1399535</v>
      </c>
      <c r="AQ76" s="41">
        <v>1386156</v>
      </c>
      <c r="AR76" s="41">
        <v>1390244</v>
      </c>
      <c r="AS76" s="41">
        <v>1396985</v>
      </c>
      <c r="AT76" s="41">
        <v>1388115</v>
      </c>
      <c r="AU76" s="41">
        <v>1379350</v>
      </c>
      <c r="AV76" s="41">
        <v>1370720</v>
      </c>
      <c r="AW76" s="41">
        <v>1362550</v>
      </c>
      <c r="AX76" s="41">
        <v>1354775</v>
      </c>
      <c r="AY76" s="41">
        <v>1346810</v>
      </c>
      <c r="AZ76" s="41">
        <v>1340680</v>
      </c>
      <c r="BA76" s="41">
        <v>1337090</v>
      </c>
      <c r="BB76" s="41">
        <v>1334515</v>
      </c>
      <c r="BC76" s="41">
        <v>1331475</v>
      </c>
      <c r="BD76" s="41">
        <v>1327439</v>
      </c>
      <c r="BE76" s="41">
        <v>1322696</v>
      </c>
      <c r="BF76" s="41">
        <v>1317997</v>
      </c>
      <c r="BG76" s="41">
        <v>1314545</v>
      </c>
      <c r="BH76" s="41">
        <v>1315407</v>
      </c>
      <c r="BI76" s="41">
        <v>1315790</v>
      </c>
      <c r="BJ76" s="41">
        <v>1317384</v>
      </c>
      <c r="BK76" s="41">
        <v>1321977</v>
      </c>
      <c r="BL76" s="41">
        <v>1326898</v>
      </c>
      <c r="BM76" s="41">
        <v>1331057</v>
      </c>
    </row>
    <row r="77" spans="1:65" x14ac:dyDescent="0.35">
      <c r="A77" s="41" t="s">
        <v>11</v>
      </c>
      <c r="B77" s="41" t="s">
        <v>251</v>
      </c>
      <c r="C77" s="41" t="s">
        <v>666</v>
      </c>
      <c r="D77" s="41" t="s">
        <v>667</v>
      </c>
      <c r="E77" s="41">
        <v>22151284</v>
      </c>
      <c r="F77" s="41">
        <v>22671193</v>
      </c>
      <c r="G77" s="41">
        <v>23221385</v>
      </c>
      <c r="H77" s="41">
        <v>23798418</v>
      </c>
      <c r="I77" s="41">
        <v>24397010</v>
      </c>
      <c r="J77" s="41">
        <v>25013634</v>
      </c>
      <c r="K77" s="41">
        <v>25641040</v>
      </c>
      <c r="L77" s="41">
        <v>26280135</v>
      </c>
      <c r="M77" s="41">
        <v>26944386</v>
      </c>
      <c r="N77" s="41">
        <v>27652715</v>
      </c>
      <c r="O77" s="41">
        <v>28415080</v>
      </c>
      <c r="P77" s="41">
        <v>29248650</v>
      </c>
      <c r="Q77" s="41">
        <v>30140799</v>
      </c>
      <c r="R77" s="41">
        <v>31036670</v>
      </c>
      <c r="S77" s="41">
        <v>31861353</v>
      </c>
      <c r="T77" s="41">
        <v>32566855</v>
      </c>
      <c r="U77" s="41">
        <v>33128151</v>
      </c>
      <c r="V77" s="41">
        <v>33577240</v>
      </c>
      <c r="W77" s="41">
        <v>33993301</v>
      </c>
      <c r="X77" s="41">
        <v>34487806</v>
      </c>
      <c r="Y77" s="41">
        <v>35141703</v>
      </c>
      <c r="Z77" s="41">
        <v>35984531</v>
      </c>
      <c r="AA77" s="41">
        <v>36995246</v>
      </c>
      <c r="AB77" s="41">
        <v>38142679</v>
      </c>
      <c r="AC77" s="41">
        <v>39374346</v>
      </c>
      <c r="AD77" s="41">
        <v>40652146</v>
      </c>
      <c r="AE77" s="41">
        <v>41965696</v>
      </c>
      <c r="AF77" s="41">
        <v>43329238</v>
      </c>
      <c r="AG77" s="41">
        <v>44757205</v>
      </c>
      <c r="AH77" s="41">
        <v>46272308</v>
      </c>
      <c r="AI77" s="41">
        <v>47887864</v>
      </c>
      <c r="AJ77" s="41">
        <v>49609976</v>
      </c>
      <c r="AK77" s="41">
        <v>51423591</v>
      </c>
      <c r="AL77" s="41">
        <v>53295556</v>
      </c>
      <c r="AM77" s="41">
        <v>55180993</v>
      </c>
      <c r="AN77" s="41">
        <v>57047906</v>
      </c>
      <c r="AO77" s="41">
        <v>58883531</v>
      </c>
      <c r="AP77" s="41">
        <v>60697443</v>
      </c>
      <c r="AQ77" s="41">
        <v>62507724</v>
      </c>
      <c r="AR77" s="41">
        <v>64343008</v>
      </c>
      <c r="AS77" s="41">
        <v>66224809</v>
      </c>
      <c r="AT77" s="41">
        <v>68159422</v>
      </c>
      <c r="AU77" s="41">
        <v>70142090</v>
      </c>
      <c r="AV77" s="41">
        <v>72170581</v>
      </c>
      <c r="AW77" s="41">
        <v>74239508</v>
      </c>
      <c r="AX77" s="41">
        <v>76346310</v>
      </c>
      <c r="AY77" s="41">
        <v>78489205</v>
      </c>
      <c r="AZ77" s="41">
        <v>80674343</v>
      </c>
      <c r="BA77" s="41">
        <v>82916236</v>
      </c>
      <c r="BB77" s="41">
        <v>85233923</v>
      </c>
      <c r="BC77" s="41">
        <v>87639962</v>
      </c>
      <c r="BD77" s="41">
        <v>90139928</v>
      </c>
      <c r="BE77" s="41">
        <v>92726982</v>
      </c>
      <c r="BF77" s="41">
        <v>95385793</v>
      </c>
      <c r="BG77" s="41">
        <v>98094264</v>
      </c>
      <c r="BH77" s="41">
        <v>100835453</v>
      </c>
      <c r="BI77" s="41">
        <v>103603461</v>
      </c>
      <c r="BJ77" s="41">
        <v>106399926</v>
      </c>
      <c r="BK77" s="41">
        <v>109224410</v>
      </c>
      <c r="BL77" s="41">
        <v>112078727</v>
      </c>
      <c r="BM77" s="41">
        <v>114963583</v>
      </c>
    </row>
    <row r="78" spans="1:65" x14ac:dyDescent="0.35">
      <c r="A78" s="41" t="s">
        <v>252</v>
      </c>
      <c r="B78" s="41" t="s">
        <v>253</v>
      </c>
      <c r="C78" s="41" t="s">
        <v>666</v>
      </c>
      <c r="D78" s="41" t="s">
        <v>667</v>
      </c>
      <c r="E78" s="41">
        <v>356906098</v>
      </c>
      <c r="F78" s="41">
        <v>359998408</v>
      </c>
      <c r="G78" s="41">
        <v>363200480</v>
      </c>
      <c r="H78" s="41">
        <v>366516509</v>
      </c>
      <c r="I78" s="41">
        <v>369850237</v>
      </c>
      <c r="J78" s="41">
        <v>373032729</v>
      </c>
      <c r="K78" s="41">
        <v>376039129</v>
      </c>
      <c r="L78" s="41">
        <v>378917964</v>
      </c>
      <c r="M78" s="41">
        <v>381605442</v>
      </c>
      <c r="N78" s="41">
        <v>384216977</v>
      </c>
      <c r="O78" s="41">
        <v>386322917</v>
      </c>
      <c r="P78" s="41">
        <v>388391948</v>
      </c>
      <c r="Q78" s="41">
        <v>390995000</v>
      </c>
      <c r="R78" s="41">
        <v>393524745</v>
      </c>
      <c r="S78" s="41">
        <v>395949381</v>
      </c>
      <c r="T78" s="41">
        <v>398316579</v>
      </c>
      <c r="U78" s="41">
        <v>400473497</v>
      </c>
      <c r="V78" s="41">
        <v>402425493</v>
      </c>
      <c r="W78" s="41">
        <v>404271789</v>
      </c>
      <c r="X78" s="41">
        <v>406051882</v>
      </c>
      <c r="Y78" s="41">
        <v>407875838</v>
      </c>
      <c r="Z78" s="41">
        <v>409551911</v>
      </c>
      <c r="AA78" s="41">
        <v>410895608</v>
      </c>
      <c r="AB78" s="41">
        <v>411974424</v>
      </c>
      <c r="AC78" s="41">
        <v>412931321</v>
      </c>
      <c r="AD78" s="41">
        <v>413924499</v>
      </c>
      <c r="AE78" s="41">
        <v>415076367</v>
      </c>
      <c r="AF78" s="41">
        <v>416301843</v>
      </c>
      <c r="AG78" s="41">
        <v>417653046</v>
      </c>
      <c r="AH78" s="41">
        <v>419073139</v>
      </c>
      <c r="AI78" s="41">
        <v>420477999</v>
      </c>
      <c r="AJ78" s="41">
        <v>421730520</v>
      </c>
      <c r="AK78" s="41">
        <v>422963890</v>
      </c>
      <c r="AL78" s="41">
        <v>424341124</v>
      </c>
      <c r="AM78" s="41">
        <v>425399126</v>
      </c>
      <c r="AN78" s="41">
        <v>426203356</v>
      </c>
      <c r="AO78" s="41">
        <v>426896861</v>
      </c>
      <c r="AP78" s="41">
        <v>427538048</v>
      </c>
      <c r="AQ78" s="41">
        <v>428109867</v>
      </c>
      <c r="AR78" s="41">
        <v>428815486</v>
      </c>
      <c r="AS78" s="41">
        <v>429328622</v>
      </c>
      <c r="AT78" s="41">
        <v>429895628</v>
      </c>
      <c r="AU78" s="41">
        <v>430881947</v>
      </c>
      <c r="AV78" s="41">
        <v>432415932</v>
      </c>
      <c r="AW78" s="41">
        <v>434040244</v>
      </c>
      <c r="AX78" s="41">
        <v>435581949</v>
      </c>
      <c r="AY78" s="41">
        <v>436998045</v>
      </c>
      <c r="AZ78" s="41">
        <v>438468397</v>
      </c>
      <c r="BA78" s="41">
        <v>439876674</v>
      </c>
      <c r="BB78" s="41">
        <v>440917801</v>
      </c>
      <c r="BC78" s="41">
        <v>441532415</v>
      </c>
      <c r="BD78" s="41">
        <v>440746989</v>
      </c>
      <c r="BE78" s="41">
        <v>441395937</v>
      </c>
      <c r="BF78" s="41">
        <v>442469469</v>
      </c>
      <c r="BG78" s="41">
        <v>443576675</v>
      </c>
      <c r="BH78" s="41">
        <v>444543761</v>
      </c>
      <c r="BI78" s="41">
        <v>445487730</v>
      </c>
      <c r="BJ78" s="41">
        <v>446186344</v>
      </c>
      <c r="BK78" s="41">
        <v>446915113</v>
      </c>
      <c r="BL78" s="41">
        <v>447196538</v>
      </c>
      <c r="BM78" s="41">
        <v>447794691</v>
      </c>
    </row>
    <row r="79" spans="1:65" x14ac:dyDescent="0.35">
      <c r="A79" s="41" t="s">
        <v>254</v>
      </c>
      <c r="B79" s="41" t="s">
        <v>255</v>
      </c>
      <c r="C79" s="41" t="s">
        <v>666</v>
      </c>
      <c r="D79" s="41" t="s">
        <v>667</v>
      </c>
      <c r="E79" s="41">
        <v>208280083</v>
      </c>
      <c r="F79" s="41">
        <v>213082100</v>
      </c>
      <c r="G79" s="41">
        <v>218087139</v>
      </c>
      <c r="H79" s="41">
        <v>223284589</v>
      </c>
      <c r="I79" s="41">
        <v>228670583</v>
      </c>
      <c r="J79" s="41">
        <v>234243249</v>
      </c>
      <c r="K79" s="41">
        <v>240005133</v>
      </c>
      <c r="L79" s="41">
        <v>245962230</v>
      </c>
      <c r="M79" s="41">
        <v>252116419</v>
      </c>
      <c r="N79" s="41">
        <v>258473157</v>
      </c>
      <c r="O79" s="41">
        <v>265037231</v>
      </c>
      <c r="P79" s="41">
        <v>271800288</v>
      </c>
      <c r="Q79" s="41">
        <v>278767597</v>
      </c>
      <c r="R79" s="41">
        <v>285961194</v>
      </c>
      <c r="S79" s="41">
        <v>293417700</v>
      </c>
      <c r="T79" s="41">
        <v>301154406</v>
      </c>
      <c r="U79" s="41">
        <v>309196463</v>
      </c>
      <c r="V79" s="41">
        <v>317520801</v>
      </c>
      <c r="W79" s="41">
        <v>326050578</v>
      </c>
      <c r="X79" s="41">
        <v>334679714</v>
      </c>
      <c r="Y79" s="41">
        <v>343334222</v>
      </c>
      <c r="Z79" s="41">
        <v>352006783</v>
      </c>
      <c r="AA79" s="41">
        <v>360736356</v>
      </c>
      <c r="AB79" s="41">
        <v>369569548</v>
      </c>
      <c r="AC79" s="41">
        <v>378570396</v>
      </c>
      <c r="AD79" s="41">
        <v>387802210</v>
      </c>
      <c r="AE79" s="41">
        <v>397235010</v>
      </c>
      <c r="AF79" s="41">
        <v>406892515</v>
      </c>
      <c r="AG79" s="41">
        <v>416947257</v>
      </c>
      <c r="AH79" s="41">
        <v>427617018</v>
      </c>
      <c r="AI79" s="41">
        <v>440937023</v>
      </c>
      <c r="AJ79" s="41">
        <v>453319269</v>
      </c>
      <c r="AK79" s="41">
        <v>466482751</v>
      </c>
      <c r="AL79" s="41">
        <v>480128168</v>
      </c>
      <c r="AM79" s="41">
        <v>493815711</v>
      </c>
      <c r="AN79" s="41">
        <v>507247502</v>
      </c>
      <c r="AO79" s="41">
        <v>520303326</v>
      </c>
      <c r="AP79" s="41">
        <v>533112558</v>
      </c>
      <c r="AQ79" s="41">
        <v>545728172</v>
      </c>
      <c r="AR79" s="41">
        <v>558627550</v>
      </c>
      <c r="AS79" s="41">
        <v>572303917</v>
      </c>
      <c r="AT79" s="41">
        <v>586760366</v>
      </c>
      <c r="AU79" s="41">
        <v>601848734</v>
      </c>
      <c r="AV79" s="41">
        <v>617468591</v>
      </c>
      <c r="AW79" s="41">
        <v>633460044</v>
      </c>
      <c r="AX79" s="41">
        <v>649704454</v>
      </c>
      <c r="AY79" s="41">
        <v>666174377</v>
      </c>
      <c r="AZ79" s="41">
        <v>682901570</v>
      </c>
      <c r="BA79" s="41">
        <v>700030438</v>
      </c>
      <c r="BB79" s="41">
        <v>717553793</v>
      </c>
      <c r="BC79" s="41">
        <v>735448194</v>
      </c>
      <c r="BD79" s="41">
        <v>753858934</v>
      </c>
      <c r="BE79" s="41">
        <v>772742559</v>
      </c>
      <c r="BF79" s="41">
        <v>791943328</v>
      </c>
      <c r="BG79" s="41">
        <v>811249811</v>
      </c>
      <c r="BH79" s="41">
        <v>830536041</v>
      </c>
      <c r="BI79" s="41">
        <v>849739853</v>
      </c>
      <c r="BJ79" s="41">
        <v>868954263</v>
      </c>
      <c r="BK79" s="41">
        <v>888488369</v>
      </c>
      <c r="BL79" s="41">
        <v>908739462</v>
      </c>
      <c r="BM79" s="41">
        <v>930006546</v>
      </c>
    </row>
    <row r="80" spans="1:65" x14ac:dyDescent="0.35">
      <c r="A80" s="41" t="s">
        <v>256</v>
      </c>
      <c r="B80" s="41" t="s">
        <v>257</v>
      </c>
      <c r="C80" s="41" t="s">
        <v>666</v>
      </c>
      <c r="D80" s="41" t="s">
        <v>667</v>
      </c>
      <c r="E80" s="41">
        <v>4429634</v>
      </c>
      <c r="F80" s="41">
        <v>4461005</v>
      </c>
      <c r="G80" s="41">
        <v>4491443</v>
      </c>
      <c r="H80" s="41">
        <v>4523309</v>
      </c>
      <c r="I80" s="41">
        <v>4548543</v>
      </c>
      <c r="J80" s="41">
        <v>4563732</v>
      </c>
      <c r="K80" s="41">
        <v>4580869</v>
      </c>
      <c r="L80" s="41">
        <v>4605744</v>
      </c>
      <c r="M80" s="41">
        <v>4626469</v>
      </c>
      <c r="N80" s="41">
        <v>4623785</v>
      </c>
      <c r="O80" s="41">
        <v>4606307</v>
      </c>
      <c r="P80" s="41">
        <v>4612124</v>
      </c>
      <c r="Q80" s="41">
        <v>4639657</v>
      </c>
      <c r="R80" s="41">
        <v>4666081</v>
      </c>
      <c r="S80" s="41">
        <v>4690574</v>
      </c>
      <c r="T80" s="41">
        <v>4711440</v>
      </c>
      <c r="U80" s="41">
        <v>4725664</v>
      </c>
      <c r="V80" s="41">
        <v>4738902</v>
      </c>
      <c r="W80" s="41">
        <v>4752528</v>
      </c>
      <c r="X80" s="41">
        <v>4764690</v>
      </c>
      <c r="Y80" s="41">
        <v>4779535</v>
      </c>
      <c r="Z80" s="41">
        <v>4799964</v>
      </c>
      <c r="AA80" s="41">
        <v>4826933</v>
      </c>
      <c r="AB80" s="41">
        <v>4855787</v>
      </c>
      <c r="AC80" s="41">
        <v>4881803</v>
      </c>
      <c r="AD80" s="41">
        <v>4902206</v>
      </c>
      <c r="AE80" s="41">
        <v>4918154</v>
      </c>
      <c r="AF80" s="41">
        <v>4932123</v>
      </c>
      <c r="AG80" s="41">
        <v>4946481</v>
      </c>
      <c r="AH80" s="41">
        <v>4964371</v>
      </c>
      <c r="AI80" s="41">
        <v>4986431</v>
      </c>
      <c r="AJ80" s="41">
        <v>5013740</v>
      </c>
      <c r="AK80" s="41">
        <v>5041992</v>
      </c>
      <c r="AL80" s="41">
        <v>5066447</v>
      </c>
      <c r="AM80" s="41">
        <v>5088333</v>
      </c>
      <c r="AN80" s="41">
        <v>5107790</v>
      </c>
      <c r="AO80" s="41">
        <v>5124573</v>
      </c>
      <c r="AP80" s="41">
        <v>5139835</v>
      </c>
      <c r="AQ80" s="41">
        <v>5153498</v>
      </c>
      <c r="AR80" s="41">
        <v>5165474</v>
      </c>
      <c r="AS80" s="41">
        <v>5176209</v>
      </c>
      <c r="AT80" s="41">
        <v>5188008</v>
      </c>
      <c r="AU80" s="41">
        <v>5200598</v>
      </c>
      <c r="AV80" s="41">
        <v>5213014</v>
      </c>
      <c r="AW80" s="41">
        <v>5228172</v>
      </c>
      <c r="AX80" s="41">
        <v>5246096</v>
      </c>
      <c r="AY80" s="41">
        <v>5266268</v>
      </c>
      <c r="AZ80" s="41">
        <v>5288720</v>
      </c>
      <c r="BA80" s="41">
        <v>5313399</v>
      </c>
      <c r="BB80" s="41">
        <v>5338871</v>
      </c>
      <c r="BC80" s="41">
        <v>5363352</v>
      </c>
      <c r="BD80" s="41">
        <v>5388272</v>
      </c>
      <c r="BE80" s="41">
        <v>5413971</v>
      </c>
      <c r="BF80" s="41">
        <v>5438972</v>
      </c>
      <c r="BG80" s="41">
        <v>5461512</v>
      </c>
      <c r="BH80" s="41">
        <v>5479531</v>
      </c>
      <c r="BI80" s="41">
        <v>5495303</v>
      </c>
      <c r="BJ80" s="41">
        <v>5508214</v>
      </c>
      <c r="BK80" s="41">
        <v>5515525</v>
      </c>
      <c r="BL80" s="41">
        <v>5521606</v>
      </c>
      <c r="BM80" s="41">
        <v>5530719</v>
      </c>
    </row>
    <row r="81" spans="1:65" x14ac:dyDescent="0.35">
      <c r="A81" s="41" t="s">
        <v>258</v>
      </c>
      <c r="B81" s="41" t="s">
        <v>259</v>
      </c>
      <c r="C81" s="41" t="s">
        <v>666</v>
      </c>
      <c r="D81" s="41" t="s">
        <v>667</v>
      </c>
      <c r="E81" s="41">
        <v>393480</v>
      </c>
      <c r="F81" s="41">
        <v>407244</v>
      </c>
      <c r="G81" s="41">
        <v>421673</v>
      </c>
      <c r="H81" s="41">
        <v>436303</v>
      </c>
      <c r="I81" s="41">
        <v>450538</v>
      </c>
      <c r="J81" s="41">
        <v>463960</v>
      </c>
      <c r="K81" s="41">
        <v>476399</v>
      </c>
      <c r="L81" s="41">
        <v>487973</v>
      </c>
      <c r="M81" s="41">
        <v>498944</v>
      </c>
      <c r="N81" s="41">
        <v>509708</v>
      </c>
      <c r="O81" s="41">
        <v>520561</v>
      </c>
      <c r="P81" s="41">
        <v>531622</v>
      </c>
      <c r="Q81" s="41">
        <v>542843</v>
      </c>
      <c r="R81" s="41">
        <v>554143</v>
      </c>
      <c r="S81" s="41">
        <v>565418</v>
      </c>
      <c r="T81" s="41">
        <v>576626</v>
      </c>
      <c r="U81" s="41">
        <v>587561</v>
      </c>
      <c r="V81" s="41">
        <v>598299</v>
      </c>
      <c r="W81" s="41">
        <v>609383</v>
      </c>
      <c r="X81" s="41">
        <v>621584</v>
      </c>
      <c r="Y81" s="41">
        <v>635312</v>
      </c>
      <c r="Z81" s="41">
        <v>651032</v>
      </c>
      <c r="AA81" s="41">
        <v>668281</v>
      </c>
      <c r="AB81" s="41">
        <v>685497</v>
      </c>
      <c r="AC81" s="41">
        <v>700478</v>
      </c>
      <c r="AD81" s="41">
        <v>711770</v>
      </c>
      <c r="AE81" s="41">
        <v>718642</v>
      </c>
      <c r="AF81" s="41">
        <v>721776</v>
      </c>
      <c r="AG81" s="41">
        <v>722924</v>
      </c>
      <c r="AH81" s="41">
        <v>724602</v>
      </c>
      <c r="AI81" s="41">
        <v>728575</v>
      </c>
      <c r="AJ81" s="41">
        <v>735398</v>
      </c>
      <c r="AK81" s="41">
        <v>744470</v>
      </c>
      <c r="AL81" s="41">
        <v>754962</v>
      </c>
      <c r="AM81" s="41">
        <v>765607</v>
      </c>
      <c r="AN81" s="41">
        <v>775428</v>
      </c>
      <c r="AO81" s="41">
        <v>784389</v>
      </c>
      <c r="AP81" s="41">
        <v>792736</v>
      </c>
      <c r="AQ81" s="41">
        <v>800148</v>
      </c>
      <c r="AR81" s="41">
        <v>806302</v>
      </c>
      <c r="AS81" s="41">
        <v>811011</v>
      </c>
      <c r="AT81" s="41">
        <v>813923</v>
      </c>
      <c r="AU81" s="41">
        <v>815257</v>
      </c>
      <c r="AV81" s="41">
        <v>816078</v>
      </c>
      <c r="AW81" s="41">
        <v>817864</v>
      </c>
      <c r="AX81" s="41">
        <v>821606</v>
      </c>
      <c r="AY81" s="41">
        <v>827869</v>
      </c>
      <c r="AZ81" s="41">
        <v>836185</v>
      </c>
      <c r="BA81" s="41">
        <v>845356</v>
      </c>
      <c r="BB81" s="41">
        <v>853636</v>
      </c>
      <c r="BC81" s="41">
        <v>859816</v>
      </c>
      <c r="BD81" s="41">
        <v>863451</v>
      </c>
      <c r="BE81" s="41">
        <v>865065</v>
      </c>
      <c r="BF81" s="41">
        <v>865602</v>
      </c>
      <c r="BG81" s="41">
        <v>866447</v>
      </c>
      <c r="BH81" s="41">
        <v>868632</v>
      </c>
      <c r="BI81" s="41">
        <v>872406</v>
      </c>
      <c r="BJ81" s="41">
        <v>877460</v>
      </c>
      <c r="BK81" s="41">
        <v>883490</v>
      </c>
      <c r="BL81" s="41">
        <v>889955</v>
      </c>
      <c r="BM81" s="41">
        <v>896444</v>
      </c>
    </row>
    <row r="82" spans="1:65" x14ac:dyDescent="0.35">
      <c r="A82" s="41" t="s">
        <v>260</v>
      </c>
      <c r="B82" s="41" t="s">
        <v>261</v>
      </c>
      <c r="C82" s="41" t="s">
        <v>666</v>
      </c>
      <c r="D82" s="41" t="s">
        <v>667</v>
      </c>
      <c r="E82" s="41">
        <v>46621688</v>
      </c>
      <c r="F82" s="41">
        <v>47240526</v>
      </c>
      <c r="G82" s="41">
        <v>47904879</v>
      </c>
      <c r="H82" s="41">
        <v>48582624</v>
      </c>
      <c r="I82" s="41">
        <v>49230585</v>
      </c>
      <c r="J82" s="41">
        <v>49818019</v>
      </c>
      <c r="K82" s="41">
        <v>50330268</v>
      </c>
      <c r="L82" s="41">
        <v>50775788</v>
      </c>
      <c r="M82" s="41">
        <v>51175507</v>
      </c>
      <c r="N82" s="41">
        <v>51561833</v>
      </c>
      <c r="O82" s="41">
        <v>51957747</v>
      </c>
      <c r="P82" s="41">
        <v>52371320</v>
      </c>
      <c r="Q82" s="41">
        <v>52793151</v>
      </c>
      <c r="R82" s="41">
        <v>53207744</v>
      </c>
      <c r="S82" s="41">
        <v>53592235</v>
      </c>
      <c r="T82" s="41">
        <v>53931390</v>
      </c>
      <c r="U82" s="41">
        <v>54220033</v>
      </c>
      <c r="V82" s="41">
        <v>54467709</v>
      </c>
      <c r="W82" s="41">
        <v>54691866</v>
      </c>
      <c r="X82" s="41">
        <v>54917110</v>
      </c>
      <c r="Y82" s="41">
        <v>55161510</v>
      </c>
      <c r="Z82" s="41">
        <v>55430278</v>
      </c>
      <c r="AA82" s="41">
        <v>55718940</v>
      </c>
      <c r="AB82" s="41">
        <v>56023775</v>
      </c>
      <c r="AC82" s="41">
        <v>56337675</v>
      </c>
      <c r="AD82" s="41">
        <v>56654703</v>
      </c>
      <c r="AE82" s="41">
        <v>56976126</v>
      </c>
      <c r="AF82" s="41">
        <v>57302642</v>
      </c>
      <c r="AG82" s="41">
        <v>57627106</v>
      </c>
      <c r="AH82" s="41">
        <v>57940199</v>
      </c>
      <c r="AI82" s="41">
        <v>58235716</v>
      </c>
      <c r="AJ82" s="41">
        <v>58559309</v>
      </c>
      <c r="AK82" s="41">
        <v>58851216</v>
      </c>
      <c r="AL82" s="41">
        <v>59106758</v>
      </c>
      <c r="AM82" s="41">
        <v>59327200</v>
      </c>
      <c r="AN82" s="41">
        <v>59541904</v>
      </c>
      <c r="AO82" s="41">
        <v>59753095</v>
      </c>
      <c r="AP82" s="41">
        <v>59964841</v>
      </c>
      <c r="AQ82" s="41">
        <v>60186284</v>
      </c>
      <c r="AR82" s="41">
        <v>60496708</v>
      </c>
      <c r="AS82" s="41">
        <v>60912500</v>
      </c>
      <c r="AT82" s="41">
        <v>61357432</v>
      </c>
      <c r="AU82" s="41">
        <v>61805266</v>
      </c>
      <c r="AV82" s="41">
        <v>62244880</v>
      </c>
      <c r="AW82" s="41">
        <v>62704901</v>
      </c>
      <c r="AX82" s="41">
        <v>63179356</v>
      </c>
      <c r="AY82" s="41">
        <v>63621376</v>
      </c>
      <c r="AZ82" s="41">
        <v>64016227</v>
      </c>
      <c r="BA82" s="41">
        <v>64374979</v>
      </c>
      <c r="BB82" s="41">
        <v>64707035</v>
      </c>
      <c r="BC82" s="41">
        <v>65027505</v>
      </c>
      <c r="BD82" s="41">
        <v>65342789</v>
      </c>
      <c r="BE82" s="41">
        <v>65659814</v>
      </c>
      <c r="BF82" s="41">
        <v>65998685</v>
      </c>
      <c r="BG82" s="41">
        <v>66312067</v>
      </c>
      <c r="BH82" s="41">
        <v>66548272</v>
      </c>
      <c r="BI82" s="41">
        <v>66724104</v>
      </c>
      <c r="BJ82" s="41">
        <v>66918020</v>
      </c>
      <c r="BK82" s="41">
        <v>67101930</v>
      </c>
      <c r="BL82" s="41">
        <v>67248926</v>
      </c>
      <c r="BM82" s="41">
        <v>67391582</v>
      </c>
    </row>
    <row r="83" spans="1:65" x14ac:dyDescent="0.35">
      <c r="A83" s="41" t="s">
        <v>262</v>
      </c>
      <c r="B83" s="41" t="s">
        <v>263</v>
      </c>
      <c r="C83" s="41" t="s">
        <v>666</v>
      </c>
      <c r="D83" s="41" t="s">
        <v>667</v>
      </c>
      <c r="E83" s="41">
        <v>34624</v>
      </c>
      <c r="F83" s="41">
        <v>35074</v>
      </c>
      <c r="G83" s="41">
        <v>35521</v>
      </c>
      <c r="H83" s="41">
        <v>35965</v>
      </c>
      <c r="I83" s="41">
        <v>36409</v>
      </c>
      <c r="J83" s="41">
        <v>36843</v>
      </c>
      <c r="K83" s="41">
        <v>37283</v>
      </c>
      <c r="L83" s="41">
        <v>37705</v>
      </c>
      <c r="M83" s="41">
        <v>38131</v>
      </c>
      <c r="N83" s="41">
        <v>38560</v>
      </c>
      <c r="O83" s="41">
        <v>39008</v>
      </c>
      <c r="P83" s="41">
        <v>39456</v>
      </c>
      <c r="Q83" s="41">
        <v>39915</v>
      </c>
      <c r="R83" s="41">
        <v>40395</v>
      </c>
      <c r="S83" s="41">
        <v>40847</v>
      </c>
      <c r="T83" s="41">
        <v>41292</v>
      </c>
      <c r="U83" s="41">
        <v>41724</v>
      </c>
      <c r="V83" s="41">
        <v>42133</v>
      </c>
      <c r="W83" s="41">
        <v>42539</v>
      </c>
      <c r="X83" s="41">
        <v>42941</v>
      </c>
      <c r="Y83" s="41">
        <v>43339</v>
      </c>
      <c r="Z83" s="41">
        <v>43725</v>
      </c>
      <c r="AA83" s="41">
        <v>44101</v>
      </c>
      <c r="AB83" s="41">
        <v>44483</v>
      </c>
      <c r="AC83" s="41">
        <v>44895</v>
      </c>
      <c r="AD83" s="41">
        <v>45328</v>
      </c>
      <c r="AE83" s="41">
        <v>45812</v>
      </c>
      <c r="AF83" s="41">
        <v>46340</v>
      </c>
      <c r="AG83" s="41">
        <v>46833</v>
      </c>
      <c r="AH83" s="41">
        <v>47159</v>
      </c>
      <c r="AI83" s="41">
        <v>47276</v>
      </c>
      <c r="AJ83" s="41">
        <v>47123</v>
      </c>
      <c r="AK83" s="41">
        <v>46746</v>
      </c>
      <c r="AL83" s="41">
        <v>46277</v>
      </c>
      <c r="AM83" s="41">
        <v>45848</v>
      </c>
      <c r="AN83" s="41">
        <v>45625</v>
      </c>
      <c r="AO83" s="41">
        <v>45624</v>
      </c>
      <c r="AP83" s="41">
        <v>45789</v>
      </c>
      <c r="AQ83" s="41">
        <v>46094</v>
      </c>
      <c r="AR83" s="41">
        <v>46428</v>
      </c>
      <c r="AS83" s="41">
        <v>46738</v>
      </c>
      <c r="AT83" s="41">
        <v>46999</v>
      </c>
      <c r="AU83" s="41">
        <v>47235</v>
      </c>
      <c r="AV83" s="41">
        <v>47439</v>
      </c>
      <c r="AW83" s="41">
        <v>47600</v>
      </c>
      <c r="AX83" s="41">
        <v>47731</v>
      </c>
      <c r="AY83" s="41">
        <v>47793</v>
      </c>
      <c r="AZ83" s="41">
        <v>47825</v>
      </c>
      <c r="BA83" s="41">
        <v>47822</v>
      </c>
      <c r="BB83" s="41">
        <v>47814</v>
      </c>
      <c r="BC83" s="41">
        <v>47803</v>
      </c>
      <c r="BD83" s="41">
        <v>47815</v>
      </c>
      <c r="BE83" s="41">
        <v>47843</v>
      </c>
      <c r="BF83" s="41">
        <v>47901</v>
      </c>
      <c r="BG83" s="41">
        <v>47965</v>
      </c>
      <c r="BH83" s="41">
        <v>48055</v>
      </c>
      <c r="BI83" s="41">
        <v>48173</v>
      </c>
      <c r="BJ83" s="41">
        <v>48326</v>
      </c>
      <c r="BK83" s="41">
        <v>48497</v>
      </c>
      <c r="BL83" s="41">
        <v>48677</v>
      </c>
      <c r="BM83" s="41">
        <v>48865</v>
      </c>
    </row>
    <row r="84" spans="1:65" x14ac:dyDescent="0.35">
      <c r="A84" s="41" t="s">
        <v>264</v>
      </c>
      <c r="B84" s="41" t="s">
        <v>265</v>
      </c>
      <c r="C84" s="41" t="s">
        <v>666</v>
      </c>
      <c r="D84" s="41" t="s">
        <v>667</v>
      </c>
      <c r="E84" s="41">
        <v>44510</v>
      </c>
      <c r="F84" s="41">
        <v>45939</v>
      </c>
      <c r="G84" s="41">
        <v>47372</v>
      </c>
      <c r="H84" s="41">
        <v>48856</v>
      </c>
      <c r="I84" s="41">
        <v>50476</v>
      </c>
      <c r="J84" s="41">
        <v>52224</v>
      </c>
      <c r="K84" s="41">
        <v>54192</v>
      </c>
      <c r="L84" s="41">
        <v>56308</v>
      </c>
      <c r="M84" s="41">
        <v>58386</v>
      </c>
      <c r="N84" s="41">
        <v>60146</v>
      </c>
      <c r="O84" s="41">
        <v>61415</v>
      </c>
      <c r="P84" s="41">
        <v>62089</v>
      </c>
      <c r="Q84" s="41">
        <v>62275</v>
      </c>
      <c r="R84" s="41">
        <v>62268</v>
      </c>
      <c r="S84" s="41">
        <v>62456</v>
      </c>
      <c r="T84" s="41">
        <v>63122</v>
      </c>
      <c r="U84" s="41">
        <v>64360</v>
      </c>
      <c r="V84" s="41">
        <v>66079</v>
      </c>
      <c r="W84" s="41">
        <v>68196</v>
      </c>
      <c r="X84" s="41">
        <v>70515</v>
      </c>
      <c r="Y84" s="41">
        <v>72936</v>
      </c>
      <c r="Z84" s="41">
        <v>75422</v>
      </c>
      <c r="AA84" s="41">
        <v>78015</v>
      </c>
      <c r="AB84" s="41">
        <v>80630</v>
      </c>
      <c r="AC84" s="41">
        <v>83192</v>
      </c>
      <c r="AD84" s="41">
        <v>85641</v>
      </c>
      <c r="AE84" s="41">
        <v>87904</v>
      </c>
      <c r="AF84" s="41">
        <v>89985</v>
      </c>
      <c r="AG84" s="41">
        <v>91984</v>
      </c>
      <c r="AH84" s="41">
        <v>94062</v>
      </c>
      <c r="AI84" s="41">
        <v>96304</v>
      </c>
      <c r="AJ84" s="41">
        <v>98779</v>
      </c>
      <c r="AK84" s="41">
        <v>101386</v>
      </c>
      <c r="AL84" s="41">
        <v>103901</v>
      </c>
      <c r="AM84" s="41">
        <v>106030</v>
      </c>
      <c r="AN84" s="41">
        <v>107535</v>
      </c>
      <c r="AO84" s="41">
        <v>108311</v>
      </c>
      <c r="AP84" s="41">
        <v>108473</v>
      </c>
      <c r="AQ84" s="41">
        <v>108206</v>
      </c>
      <c r="AR84" s="41">
        <v>107769</v>
      </c>
      <c r="AS84" s="41">
        <v>107405</v>
      </c>
      <c r="AT84" s="41">
        <v>107170</v>
      </c>
      <c r="AU84" s="41">
        <v>107027</v>
      </c>
      <c r="AV84" s="41">
        <v>106902</v>
      </c>
      <c r="AW84" s="41">
        <v>106624</v>
      </c>
      <c r="AX84" s="41">
        <v>106135</v>
      </c>
      <c r="AY84" s="41">
        <v>105374</v>
      </c>
      <c r="AZ84" s="41">
        <v>104442</v>
      </c>
      <c r="BA84" s="41">
        <v>103549</v>
      </c>
      <c r="BB84" s="41">
        <v>102971</v>
      </c>
      <c r="BC84" s="41">
        <v>102916</v>
      </c>
      <c r="BD84" s="41">
        <v>103448</v>
      </c>
      <c r="BE84" s="41">
        <v>104506</v>
      </c>
      <c r="BF84" s="41">
        <v>105922</v>
      </c>
      <c r="BG84" s="41">
        <v>107444</v>
      </c>
      <c r="BH84" s="41">
        <v>108886</v>
      </c>
      <c r="BI84" s="41">
        <v>110215</v>
      </c>
      <c r="BJ84" s="41">
        <v>111461</v>
      </c>
      <c r="BK84" s="41">
        <v>112640</v>
      </c>
      <c r="BL84" s="41">
        <v>113811</v>
      </c>
      <c r="BM84" s="41">
        <v>115021</v>
      </c>
    </row>
    <row r="85" spans="1:65" x14ac:dyDescent="0.35">
      <c r="A85" s="41" t="s">
        <v>266</v>
      </c>
      <c r="B85" s="41" t="s">
        <v>267</v>
      </c>
      <c r="C85" s="41" t="s">
        <v>666</v>
      </c>
      <c r="D85" s="41" t="s">
        <v>667</v>
      </c>
      <c r="E85" s="41">
        <v>500922</v>
      </c>
      <c r="F85" s="41">
        <v>505793</v>
      </c>
      <c r="G85" s="41">
        <v>511285</v>
      </c>
      <c r="H85" s="41">
        <v>517573</v>
      </c>
      <c r="I85" s="41">
        <v>524891</v>
      </c>
      <c r="J85" s="41">
        <v>533357</v>
      </c>
      <c r="K85" s="41">
        <v>543119</v>
      </c>
      <c r="L85" s="41">
        <v>554054</v>
      </c>
      <c r="M85" s="41">
        <v>565763</v>
      </c>
      <c r="N85" s="41">
        <v>577644</v>
      </c>
      <c r="O85" s="41">
        <v>589317</v>
      </c>
      <c r="P85" s="41">
        <v>600608</v>
      </c>
      <c r="Q85" s="41">
        <v>611705</v>
      </c>
      <c r="R85" s="41">
        <v>622914</v>
      </c>
      <c r="S85" s="41">
        <v>634739</v>
      </c>
      <c r="T85" s="41">
        <v>647538</v>
      </c>
      <c r="U85" s="41">
        <v>661398</v>
      </c>
      <c r="V85" s="41">
        <v>676264</v>
      </c>
      <c r="W85" s="41">
        <v>692078</v>
      </c>
      <c r="X85" s="41">
        <v>708788</v>
      </c>
      <c r="Y85" s="41">
        <v>726335</v>
      </c>
      <c r="Z85" s="41">
        <v>744695</v>
      </c>
      <c r="AA85" s="41">
        <v>763932</v>
      </c>
      <c r="AB85" s="41">
        <v>784056</v>
      </c>
      <c r="AC85" s="41">
        <v>805117</v>
      </c>
      <c r="AD85" s="41">
        <v>827107</v>
      </c>
      <c r="AE85" s="41">
        <v>850052</v>
      </c>
      <c r="AF85" s="41">
        <v>873871</v>
      </c>
      <c r="AG85" s="41">
        <v>898472</v>
      </c>
      <c r="AH85" s="41">
        <v>923714</v>
      </c>
      <c r="AI85" s="41">
        <v>949493</v>
      </c>
      <c r="AJ85" s="41">
        <v>975785</v>
      </c>
      <c r="AK85" s="41">
        <v>1002573</v>
      </c>
      <c r="AL85" s="41">
        <v>1029769</v>
      </c>
      <c r="AM85" s="41">
        <v>1057252</v>
      </c>
      <c r="AN85" s="41">
        <v>1084951</v>
      </c>
      <c r="AO85" s="41">
        <v>1112944</v>
      </c>
      <c r="AP85" s="41">
        <v>1141332</v>
      </c>
      <c r="AQ85" s="41">
        <v>1170061</v>
      </c>
      <c r="AR85" s="41">
        <v>1199058</v>
      </c>
      <c r="AS85" s="41">
        <v>1228359</v>
      </c>
      <c r="AT85" s="41">
        <v>1258008</v>
      </c>
      <c r="AU85" s="41">
        <v>1288310</v>
      </c>
      <c r="AV85" s="41">
        <v>1319946</v>
      </c>
      <c r="AW85" s="41">
        <v>1353788</v>
      </c>
      <c r="AX85" s="41">
        <v>1390550</v>
      </c>
      <c r="AY85" s="41">
        <v>1430144</v>
      </c>
      <c r="AZ85" s="41">
        <v>1472565</v>
      </c>
      <c r="BA85" s="41">
        <v>1518538</v>
      </c>
      <c r="BB85" s="41">
        <v>1568925</v>
      </c>
      <c r="BC85" s="41">
        <v>1624146</v>
      </c>
      <c r="BD85" s="41">
        <v>1684629</v>
      </c>
      <c r="BE85" s="41">
        <v>1749677</v>
      </c>
      <c r="BF85" s="41">
        <v>1817070</v>
      </c>
      <c r="BG85" s="41">
        <v>1883801</v>
      </c>
      <c r="BH85" s="41">
        <v>1947690</v>
      </c>
      <c r="BI85" s="41">
        <v>2007882</v>
      </c>
      <c r="BJ85" s="41">
        <v>2064812</v>
      </c>
      <c r="BK85" s="41">
        <v>2119275</v>
      </c>
      <c r="BL85" s="41">
        <v>2172578</v>
      </c>
      <c r="BM85" s="41">
        <v>2225728</v>
      </c>
    </row>
    <row r="86" spans="1:65" x14ac:dyDescent="0.35">
      <c r="A86" s="41" t="s">
        <v>268</v>
      </c>
      <c r="B86" s="41" t="s">
        <v>269</v>
      </c>
      <c r="C86" s="41" t="s">
        <v>666</v>
      </c>
      <c r="D86" s="41" t="s">
        <v>667</v>
      </c>
      <c r="E86" s="41">
        <v>52400000</v>
      </c>
      <c r="F86" s="41">
        <v>52800000</v>
      </c>
      <c r="G86" s="41">
        <v>53250000</v>
      </c>
      <c r="H86" s="41">
        <v>53650000</v>
      </c>
      <c r="I86" s="41">
        <v>54000000</v>
      </c>
      <c r="J86" s="41">
        <v>54348050</v>
      </c>
      <c r="K86" s="41">
        <v>54648500</v>
      </c>
      <c r="L86" s="41">
        <v>54943600</v>
      </c>
      <c r="M86" s="41">
        <v>55211700</v>
      </c>
      <c r="N86" s="41">
        <v>55441750</v>
      </c>
      <c r="O86" s="41">
        <v>55663250</v>
      </c>
      <c r="P86" s="41">
        <v>55896223</v>
      </c>
      <c r="Q86" s="41">
        <v>56086065</v>
      </c>
      <c r="R86" s="41">
        <v>56194527</v>
      </c>
      <c r="S86" s="41">
        <v>56229974</v>
      </c>
      <c r="T86" s="41">
        <v>56225800</v>
      </c>
      <c r="U86" s="41">
        <v>56211968</v>
      </c>
      <c r="V86" s="41">
        <v>56193492</v>
      </c>
      <c r="W86" s="41">
        <v>56196504</v>
      </c>
      <c r="X86" s="41">
        <v>56246951</v>
      </c>
      <c r="Y86" s="41">
        <v>56314216</v>
      </c>
      <c r="Z86" s="41">
        <v>56333829</v>
      </c>
      <c r="AA86" s="41">
        <v>56313641</v>
      </c>
      <c r="AB86" s="41">
        <v>56332848</v>
      </c>
      <c r="AC86" s="41">
        <v>56422072</v>
      </c>
      <c r="AD86" s="41">
        <v>56550268</v>
      </c>
      <c r="AE86" s="41">
        <v>56681396</v>
      </c>
      <c r="AF86" s="41">
        <v>56802050</v>
      </c>
      <c r="AG86" s="41">
        <v>56928327</v>
      </c>
      <c r="AH86" s="41">
        <v>57076711</v>
      </c>
      <c r="AI86" s="41">
        <v>57247586</v>
      </c>
      <c r="AJ86" s="41">
        <v>57424897</v>
      </c>
      <c r="AK86" s="41">
        <v>57580402</v>
      </c>
      <c r="AL86" s="41">
        <v>57718614</v>
      </c>
      <c r="AM86" s="41">
        <v>57865745</v>
      </c>
      <c r="AN86" s="41">
        <v>58019030</v>
      </c>
      <c r="AO86" s="41">
        <v>58166950</v>
      </c>
      <c r="AP86" s="41">
        <v>58316954</v>
      </c>
      <c r="AQ86" s="41">
        <v>58487141</v>
      </c>
      <c r="AR86" s="41">
        <v>58682466</v>
      </c>
      <c r="AS86" s="41">
        <v>58892514</v>
      </c>
      <c r="AT86" s="41">
        <v>59119673</v>
      </c>
      <c r="AU86" s="41">
        <v>59370479</v>
      </c>
      <c r="AV86" s="41">
        <v>59647577</v>
      </c>
      <c r="AW86" s="41">
        <v>59987905</v>
      </c>
      <c r="AX86" s="41">
        <v>60401206</v>
      </c>
      <c r="AY86" s="41">
        <v>60846820</v>
      </c>
      <c r="AZ86" s="41">
        <v>61322463</v>
      </c>
      <c r="BA86" s="41">
        <v>61806995</v>
      </c>
      <c r="BB86" s="41">
        <v>62276270</v>
      </c>
      <c r="BC86" s="41">
        <v>62766365</v>
      </c>
      <c r="BD86" s="41">
        <v>63258810</v>
      </c>
      <c r="BE86" s="41">
        <v>63700215</v>
      </c>
      <c r="BF86" s="41">
        <v>64128273</v>
      </c>
      <c r="BG86" s="41">
        <v>64602298</v>
      </c>
      <c r="BH86" s="41">
        <v>65116219</v>
      </c>
      <c r="BI86" s="41">
        <v>65611593</v>
      </c>
      <c r="BJ86" s="41">
        <v>66058859</v>
      </c>
      <c r="BK86" s="41">
        <v>66460344</v>
      </c>
      <c r="BL86" s="41">
        <v>66836327</v>
      </c>
      <c r="BM86" s="41">
        <v>67215293</v>
      </c>
    </row>
    <row r="87" spans="1:65" x14ac:dyDescent="0.35">
      <c r="A87" s="41" t="s">
        <v>270</v>
      </c>
      <c r="B87" s="41" t="s">
        <v>271</v>
      </c>
      <c r="C87" s="41" t="s">
        <v>666</v>
      </c>
      <c r="D87" s="41" t="s">
        <v>667</v>
      </c>
      <c r="E87" s="41">
        <v>3645600</v>
      </c>
      <c r="F87" s="41">
        <v>3703600</v>
      </c>
      <c r="G87" s="41">
        <v>3760300</v>
      </c>
      <c r="H87" s="41">
        <v>3816100</v>
      </c>
      <c r="I87" s="41">
        <v>3870300</v>
      </c>
      <c r="J87" s="41">
        <v>3921600</v>
      </c>
      <c r="K87" s="41">
        <v>3966700</v>
      </c>
      <c r="L87" s="41">
        <v>4005800</v>
      </c>
      <c r="M87" s="41">
        <v>4042300</v>
      </c>
      <c r="N87" s="41">
        <v>4080300</v>
      </c>
      <c r="O87" s="41">
        <v>4119900</v>
      </c>
      <c r="P87" s="41">
        <v>4163000</v>
      </c>
      <c r="Q87" s="41">
        <v>4205300</v>
      </c>
      <c r="R87" s="41">
        <v>4242500</v>
      </c>
      <c r="S87" s="41">
        <v>4279500</v>
      </c>
      <c r="T87" s="41">
        <v>4311200</v>
      </c>
      <c r="U87" s="41">
        <v>4342400</v>
      </c>
      <c r="V87" s="41">
        <v>4372100</v>
      </c>
      <c r="W87" s="41">
        <v>4397700</v>
      </c>
      <c r="X87" s="41">
        <v>4430200</v>
      </c>
      <c r="Y87" s="41">
        <v>4467700</v>
      </c>
      <c r="Z87" s="41">
        <v>4504500</v>
      </c>
      <c r="AA87" s="41">
        <v>4542800</v>
      </c>
      <c r="AB87" s="41">
        <v>4582900</v>
      </c>
      <c r="AC87" s="41">
        <v>4622200</v>
      </c>
      <c r="AD87" s="41">
        <v>4662900</v>
      </c>
      <c r="AE87" s="41">
        <v>4704500</v>
      </c>
      <c r="AF87" s="41">
        <v>4743500</v>
      </c>
      <c r="AG87" s="41">
        <v>4790700</v>
      </c>
      <c r="AH87" s="41">
        <v>4803300</v>
      </c>
      <c r="AI87" s="41">
        <v>4802000</v>
      </c>
      <c r="AJ87" s="41">
        <v>4835900</v>
      </c>
      <c r="AK87" s="41">
        <v>4873500</v>
      </c>
      <c r="AL87" s="41">
        <v>4911100</v>
      </c>
      <c r="AM87" s="41">
        <v>4836076</v>
      </c>
      <c r="AN87" s="41">
        <v>4657722</v>
      </c>
      <c r="AO87" s="41">
        <v>4491699</v>
      </c>
      <c r="AP87" s="41">
        <v>4349913</v>
      </c>
      <c r="AQ87" s="41">
        <v>4243607</v>
      </c>
      <c r="AR87" s="41">
        <v>4157192</v>
      </c>
      <c r="AS87" s="41">
        <v>4077131</v>
      </c>
      <c r="AT87" s="41">
        <v>4014373</v>
      </c>
      <c r="AU87" s="41">
        <v>3978515</v>
      </c>
      <c r="AV87" s="41">
        <v>3951736</v>
      </c>
      <c r="AW87" s="41">
        <v>3927340</v>
      </c>
      <c r="AX87" s="41">
        <v>3902469</v>
      </c>
      <c r="AY87" s="41">
        <v>3880347</v>
      </c>
      <c r="AZ87" s="41">
        <v>3860158</v>
      </c>
      <c r="BA87" s="41">
        <v>3848449</v>
      </c>
      <c r="BB87" s="41">
        <v>3814419</v>
      </c>
      <c r="BC87" s="41">
        <v>3786695</v>
      </c>
      <c r="BD87" s="41">
        <v>3756441</v>
      </c>
      <c r="BE87" s="41">
        <v>3728874</v>
      </c>
      <c r="BF87" s="41">
        <v>3717668</v>
      </c>
      <c r="BG87" s="41">
        <v>3719414</v>
      </c>
      <c r="BH87" s="41">
        <v>3725276</v>
      </c>
      <c r="BI87" s="41">
        <v>3727505</v>
      </c>
      <c r="BJ87" s="41">
        <v>3728004</v>
      </c>
      <c r="BK87" s="41">
        <v>3726549</v>
      </c>
      <c r="BL87" s="41">
        <v>3720161</v>
      </c>
      <c r="BM87" s="41">
        <v>3714000</v>
      </c>
    </row>
    <row r="88" spans="1:65" x14ac:dyDescent="0.35">
      <c r="A88" s="41" t="s">
        <v>272</v>
      </c>
      <c r="B88" s="41" t="s">
        <v>273</v>
      </c>
      <c r="C88" s="41" t="s">
        <v>666</v>
      </c>
      <c r="D88" s="41" t="s">
        <v>667</v>
      </c>
      <c r="E88" s="41">
        <v>6635229</v>
      </c>
      <c r="F88" s="41">
        <v>6848291</v>
      </c>
      <c r="G88" s="41">
        <v>7071966</v>
      </c>
      <c r="H88" s="41">
        <v>7300124</v>
      </c>
      <c r="I88" s="41">
        <v>7524470</v>
      </c>
      <c r="J88" s="41">
        <v>7739463</v>
      </c>
      <c r="K88" s="41">
        <v>7941418</v>
      </c>
      <c r="L88" s="41">
        <v>8132803</v>
      </c>
      <c r="M88" s="41">
        <v>8321773</v>
      </c>
      <c r="N88" s="41">
        <v>8520018</v>
      </c>
      <c r="O88" s="41">
        <v>8735493</v>
      </c>
      <c r="P88" s="41">
        <v>8973247</v>
      </c>
      <c r="Q88" s="41">
        <v>9229640</v>
      </c>
      <c r="R88" s="41">
        <v>9493552</v>
      </c>
      <c r="S88" s="41">
        <v>9749098</v>
      </c>
      <c r="T88" s="41">
        <v>9985946</v>
      </c>
      <c r="U88" s="41">
        <v>10199164</v>
      </c>
      <c r="V88" s="41">
        <v>10395453</v>
      </c>
      <c r="W88" s="41">
        <v>10590265</v>
      </c>
      <c r="X88" s="41">
        <v>10805318</v>
      </c>
      <c r="Y88" s="41">
        <v>11056112</v>
      </c>
      <c r="Z88" s="41">
        <v>11348287</v>
      </c>
      <c r="AA88" s="41">
        <v>11676828</v>
      </c>
      <c r="AB88" s="41">
        <v>12033559</v>
      </c>
      <c r="AC88" s="41">
        <v>12405659</v>
      </c>
      <c r="AD88" s="41">
        <v>12783617</v>
      </c>
      <c r="AE88" s="41">
        <v>13164839</v>
      </c>
      <c r="AF88" s="41">
        <v>13552021</v>
      </c>
      <c r="AG88" s="41">
        <v>13947047</v>
      </c>
      <c r="AH88" s="41">
        <v>14353409</v>
      </c>
      <c r="AI88" s="41">
        <v>14773274</v>
      </c>
      <c r="AJ88" s="41">
        <v>15207360</v>
      </c>
      <c r="AK88" s="41">
        <v>15653345</v>
      </c>
      <c r="AL88" s="41">
        <v>16106756</v>
      </c>
      <c r="AM88" s="41">
        <v>16561677</v>
      </c>
      <c r="AN88" s="41">
        <v>17014058</v>
      </c>
      <c r="AO88" s="41">
        <v>17462504</v>
      </c>
      <c r="AP88" s="41">
        <v>17908977</v>
      </c>
      <c r="AQ88" s="41">
        <v>18357159</v>
      </c>
      <c r="AR88" s="41">
        <v>18812369</v>
      </c>
      <c r="AS88" s="41">
        <v>19278850</v>
      </c>
      <c r="AT88" s="41">
        <v>19756929</v>
      </c>
      <c r="AU88" s="41">
        <v>20246376</v>
      </c>
      <c r="AV88" s="41">
        <v>20750308</v>
      </c>
      <c r="AW88" s="41">
        <v>21272328</v>
      </c>
      <c r="AX88" s="41">
        <v>21814648</v>
      </c>
      <c r="AY88" s="41">
        <v>22379057</v>
      </c>
      <c r="AZ88" s="41">
        <v>22963946</v>
      </c>
      <c r="BA88" s="41">
        <v>23563832</v>
      </c>
      <c r="BB88" s="41">
        <v>24170943</v>
      </c>
      <c r="BC88" s="41">
        <v>24779614</v>
      </c>
      <c r="BD88" s="41">
        <v>25387713</v>
      </c>
      <c r="BE88" s="41">
        <v>25996454</v>
      </c>
      <c r="BF88" s="41">
        <v>26607641</v>
      </c>
      <c r="BG88" s="41">
        <v>27224480</v>
      </c>
      <c r="BH88" s="41">
        <v>27849203</v>
      </c>
      <c r="BI88" s="41">
        <v>28481947</v>
      </c>
      <c r="BJ88" s="41">
        <v>29121464</v>
      </c>
      <c r="BK88" s="41">
        <v>29767108</v>
      </c>
      <c r="BL88" s="41">
        <v>30417858</v>
      </c>
      <c r="BM88" s="41">
        <v>31072945</v>
      </c>
    </row>
    <row r="89" spans="1:65" x14ac:dyDescent="0.35">
      <c r="A89" s="41" t="s">
        <v>274</v>
      </c>
      <c r="B89" s="41" t="s">
        <v>275</v>
      </c>
      <c r="C89" s="41" t="s">
        <v>666</v>
      </c>
      <c r="D89" s="41" t="s">
        <v>667</v>
      </c>
      <c r="E89" s="41">
        <v>23420</v>
      </c>
      <c r="F89" s="41">
        <v>23808</v>
      </c>
      <c r="G89" s="41">
        <v>24307</v>
      </c>
      <c r="H89" s="41">
        <v>24889</v>
      </c>
      <c r="I89" s="41">
        <v>25478</v>
      </c>
      <c r="J89" s="41">
        <v>26079</v>
      </c>
      <c r="K89" s="41">
        <v>26631</v>
      </c>
      <c r="L89" s="41">
        <v>27172</v>
      </c>
      <c r="M89" s="41">
        <v>27693</v>
      </c>
      <c r="N89" s="41">
        <v>28165</v>
      </c>
      <c r="O89" s="41">
        <v>28601</v>
      </c>
      <c r="P89" s="41">
        <v>29007</v>
      </c>
      <c r="Q89" s="41">
        <v>29353</v>
      </c>
      <c r="R89" s="41">
        <v>29657</v>
      </c>
      <c r="S89" s="41">
        <v>29886</v>
      </c>
      <c r="T89" s="41">
        <v>30062</v>
      </c>
      <c r="U89" s="41">
        <v>30179</v>
      </c>
      <c r="V89" s="41">
        <v>30228</v>
      </c>
      <c r="W89" s="41">
        <v>30224</v>
      </c>
      <c r="X89" s="41">
        <v>30172</v>
      </c>
      <c r="Y89" s="41">
        <v>30068</v>
      </c>
      <c r="Z89" s="41">
        <v>29902</v>
      </c>
      <c r="AA89" s="41">
        <v>29698</v>
      </c>
      <c r="AB89" s="41">
        <v>29481</v>
      </c>
      <c r="AC89" s="41">
        <v>29284</v>
      </c>
      <c r="AD89" s="41">
        <v>29151</v>
      </c>
      <c r="AE89" s="41">
        <v>29096</v>
      </c>
      <c r="AF89" s="41">
        <v>29114</v>
      </c>
      <c r="AG89" s="41">
        <v>29164</v>
      </c>
      <c r="AH89" s="41">
        <v>29187</v>
      </c>
      <c r="AI89" s="41">
        <v>29149</v>
      </c>
      <c r="AJ89" s="41">
        <v>29021</v>
      </c>
      <c r="AK89" s="41">
        <v>28844</v>
      </c>
      <c r="AL89" s="41">
        <v>28680</v>
      </c>
      <c r="AM89" s="41">
        <v>28605</v>
      </c>
      <c r="AN89" s="41">
        <v>28688</v>
      </c>
      <c r="AO89" s="41">
        <v>28970</v>
      </c>
      <c r="AP89" s="41">
        <v>29404</v>
      </c>
      <c r="AQ89" s="41">
        <v>29945</v>
      </c>
      <c r="AR89" s="41">
        <v>30526</v>
      </c>
      <c r="AS89" s="41">
        <v>31081</v>
      </c>
      <c r="AT89" s="41">
        <v>31604</v>
      </c>
      <c r="AU89" s="41">
        <v>32097</v>
      </c>
      <c r="AV89" s="41">
        <v>32556</v>
      </c>
      <c r="AW89" s="41">
        <v>32930</v>
      </c>
      <c r="AX89" s="41">
        <v>33222</v>
      </c>
      <c r="AY89" s="41">
        <v>33420</v>
      </c>
      <c r="AZ89" s="41">
        <v>33524</v>
      </c>
      <c r="BA89" s="41">
        <v>33570</v>
      </c>
      <c r="BB89" s="41">
        <v>33562</v>
      </c>
      <c r="BC89" s="41">
        <v>33585</v>
      </c>
      <c r="BD89" s="41">
        <v>33608</v>
      </c>
      <c r="BE89" s="41">
        <v>33653</v>
      </c>
      <c r="BF89" s="41">
        <v>33694</v>
      </c>
      <c r="BG89" s="41">
        <v>33726</v>
      </c>
      <c r="BH89" s="41">
        <v>33742</v>
      </c>
      <c r="BI89" s="41">
        <v>33738</v>
      </c>
      <c r="BJ89" s="41">
        <v>33723</v>
      </c>
      <c r="BK89" s="41">
        <v>33715</v>
      </c>
      <c r="BL89" s="41">
        <v>33706</v>
      </c>
      <c r="BM89" s="41">
        <v>33691</v>
      </c>
    </row>
    <row r="90" spans="1:65" x14ac:dyDescent="0.35">
      <c r="A90" s="41" t="s">
        <v>276</v>
      </c>
      <c r="B90" s="41" t="s">
        <v>277</v>
      </c>
      <c r="C90" s="41" t="s">
        <v>666</v>
      </c>
      <c r="D90" s="41" t="s">
        <v>667</v>
      </c>
      <c r="E90" s="41">
        <v>3494164</v>
      </c>
      <c r="F90" s="41">
        <v>3552068</v>
      </c>
      <c r="G90" s="41">
        <v>3611428</v>
      </c>
      <c r="H90" s="41">
        <v>3672560</v>
      </c>
      <c r="I90" s="41">
        <v>3735912</v>
      </c>
      <c r="J90" s="41">
        <v>3801711</v>
      </c>
      <c r="K90" s="41">
        <v>3870204</v>
      </c>
      <c r="L90" s="41">
        <v>3941046</v>
      </c>
      <c r="M90" s="41">
        <v>4013050</v>
      </c>
      <c r="N90" s="41">
        <v>4084601</v>
      </c>
      <c r="O90" s="41">
        <v>4154606</v>
      </c>
      <c r="P90" s="41">
        <v>4223056</v>
      </c>
      <c r="Q90" s="41">
        <v>4290544</v>
      </c>
      <c r="R90" s="41">
        <v>4357357</v>
      </c>
      <c r="S90" s="41">
        <v>4424030</v>
      </c>
      <c r="T90" s="41">
        <v>4491248</v>
      </c>
      <c r="U90" s="41">
        <v>4559239</v>
      </c>
      <c r="V90" s="41">
        <v>4628881</v>
      </c>
      <c r="W90" s="41">
        <v>4702371</v>
      </c>
      <c r="X90" s="41">
        <v>4782491</v>
      </c>
      <c r="Y90" s="41">
        <v>4871446</v>
      </c>
      <c r="Z90" s="41">
        <v>4969595</v>
      </c>
      <c r="AA90" s="41">
        <v>5077073</v>
      </c>
      <c r="AB90" s="41">
        <v>5195443</v>
      </c>
      <c r="AC90" s="41">
        <v>5326369</v>
      </c>
      <c r="AD90" s="41">
        <v>5470716</v>
      </c>
      <c r="AE90" s="41">
        <v>5629420</v>
      </c>
      <c r="AF90" s="41">
        <v>5801323</v>
      </c>
      <c r="AG90" s="41">
        <v>5982484</v>
      </c>
      <c r="AH90" s="41">
        <v>6167480</v>
      </c>
      <c r="AI90" s="41">
        <v>6352282</v>
      </c>
      <c r="AJ90" s="41">
        <v>6534936</v>
      </c>
      <c r="AK90" s="41">
        <v>6716032</v>
      </c>
      <c r="AL90" s="41">
        <v>6897171</v>
      </c>
      <c r="AM90" s="41">
        <v>7081119</v>
      </c>
      <c r="AN90" s="41">
        <v>7269631</v>
      </c>
      <c r="AO90" s="41">
        <v>7463782</v>
      </c>
      <c r="AP90" s="41">
        <v>7662071</v>
      </c>
      <c r="AQ90" s="41">
        <v>7860772</v>
      </c>
      <c r="AR90" s="41">
        <v>8054745</v>
      </c>
      <c r="AS90" s="41">
        <v>8240735</v>
      </c>
      <c r="AT90" s="41">
        <v>8417082</v>
      </c>
      <c r="AU90" s="41">
        <v>8586077</v>
      </c>
      <c r="AV90" s="41">
        <v>8753097</v>
      </c>
      <c r="AW90" s="41">
        <v>8925729</v>
      </c>
      <c r="AX90" s="41">
        <v>9109585</v>
      </c>
      <c r="AY90" s="41">
        <v>9307421</v>
      </c>
      <c r="AZ90" s="41">
        <v>9518159</v>
      </c>
      <c r="BA90" s="41">
        <v>9738796</v>
      </c>
      <c r="BB90" s="41">
        <v>9964470</v>
      </c>
      <c r="BC90" s="41">
        <v>10192168</v>
      </c>
      <c r="BD90" s="41">
        <v>10420459</v>
      </c>
      <c r="BE90" s="41">
        <v>10652032</v>
      </c>
      <c r="BF90" s="41">
        <v>10892821</v>
      </c>
      <c r="BG90" s="41">
        <v>11150970</v>
      </c>
      <c r="BH90" s="41">
        <v>11432096</v>
      </c>
      <c r="BI90" s="41">
        <v>11738434</v>
      </c>
      <c r="BJ90" s="41">
        <v>12067516</v>
      </c>
      <c r="BK90" s="41">
        <v>12414292</v>
      </c>
      <c r="BL90" s="41">
        <v>12771246</v>
      </c>
      <c r="BM90" s="41">
        <v>13132792</v>
      </c>
    </row>
    <row r="91" spans="1:65" x14ac:dyDescent="0.35">
      <c r="A91" s="41" t="s">
        <v>278</v>
      </c>
      <c r="B91" s="41" t="s">
        <v>279</v>
      </c>
      <c r="C91" s="41" t="s">
        <v>666</v>
      </c>
      <c r="D91" s="41" t="s">
        <v>667</v>
      </c>
      <c r="E91" s="41">
        <v>365049</v>
      </c>
      <c r="F91" s="41">
        <v>372436</v>
      </c>
      <c r="G91" s="41">
        <v>379886</v>
      </c>
      <c r="H91" s="41">
        <v>387635</v>
      </c>
      <c r="I91" s="41">
        <v>396012</v>
      </c>
      <c r="J91" s="41">
        <v>405258</v>
      </c>
      <c r="K91" s="41">
        <v>415478</v>
      </c>
      <c r="L91" s="41">
        <v>426622</v>
      </c>
      <c r="M91" s="41">
        <v>438590</v>
      </c>
      <c r="N91" s="41">
        <v>451228</v>
      </c>
      <c r="O91" s="41">
        <v>464404</v>
      </c>
      <c r="P91" s="41">
        <v>478106</v>
      </c>
      <c r="Q91" s="41">
        <v>492424</v>
      </c>
      <c r="R91" s="41">
        <v>507428</v>
      </c>
      <c r="S91" s="41">
        <v>523250</v>
      </c>
      <c r="T91" s="41">
        <v>539985</v>
      </c>
      <c r="U91" s="41">
        <v>557810</v>
      </c>
      <c r="V91" s="41">
        <v>576755</v>
      </c>
      <c r="W91" s="41">
        <v>596540</v>
      </c>
      <c r="X91" s="41">
        <v>616770</v>
      </c>
      <c r="Y91" s="41">
        <v>637252</v>
      </c>
      <c r="Z91" s="41">
        <v>657581</v>
      </c>
      <c r="AA91" s="41">
        <v>678111</v>
      </c>
      <c r="AB91" s="41">
        <v>700198</v>
      </c>
      <c r="AC91" s="41">
        <v>725688</v>
      </c>
      <c r="AD91" s="41">
        <v>755791</v>
      </c>
      <c r="AE91" s="41">
        <v>791141</v>
      </c>
      <c r="AF91" s="41">
        <v>831011</v>
      </c>
      <c r="AG91" s="41">
        <v>873440</v>
      </c>
      <c r="AH91" s="41">
        <v>915631</v>
      </c>
      <c r="AI91" s="41">
        <v>955595</v>
      </c>
      <c r="AJ91" s="41">
        <v>992671</v>
      </c>
      <c r="AK91" s="41">
        <v>1027476</v>
      </c>
      <c r="AL91" s="41">
        <v>1060861</v>
      </c>
      <c r="AM91" s="41">
        <v>1094219</v>
      </c>
      <c r="AN91" s="41">
        <v>1128577</v>
      </c>
      <c r="AO91" s="41">
        <v>1164091</v>
      </c>
      <c r="AP91" s="41">
        <v>1200522</v>
      </c>
      <c r="AQ91" s="41">
        <v>1238124</v>
      </c>
      <c r="AR91" s="41">
        <v>1277118</v>
      </c>
      <c r="AS91" s="41">
        <v>1317708</v>
      </c>
      <c r="AT91" s="41">
        <v>1360070</v>
      </c>
      <c r="AU91" s="41">
        <v>1404263</v>
      </c>
      <c r="AV91" s="41">
        <v>1449925</v>
      </c>
      <c r="AW91" s="41">
        <v>1496524</v>
      </c>
      <c r="AX91" s="41">
        <v>1543745</v>
      </c>
      <c r="AY91" s="41">
        <v>1591444</v>
      </c>
      <c r="AZ91" s="41">
        <v>1639846</v>
      </c>
      <c r="BA91" s="41">
        <v>1689288</v>
      </c>
      <c r="BB91" s="41">
        <v>1740277</v>
      </c>
      <c r="BC91" s="41">
        <v>1793199</v>
      </c>
      <c r="BD91" s="41">
        <v>1848142</v>
      </c>
      <c r="BE91" s="41">
        <v>1905020</v>
      </c>
      <c r="BF91" s="41">
        <v>1963708</v>
      </c>
      <c r="BG91" s="41">
        <v>2024037</v>
      </c>
      <c r="BH91" s="41">
        <v>2085860</v>
      </c>
      <c r="BI91" s="41">
        <v>2149134</v>
      </c>
      <c r="BJ91" s="41">
        <v>2213900</v>
      </c>
      <c r="BK91" s="41">
        <v>2280092</v>
      </c>
      <c r="BL91" s="41">
        <v>2347696</v>
      </c>
      <c r="BM91" s="41">
        <v>2416664</v>
      </c>
    </row>
    <row r="92" spans="1:65" x14ac:dyDescent="0.35">
      <c r="A92" s="41" t="s">
        <v>280</v>
      </c>
      <c r="B92" s="41" t="s">
        <v>281</v>
      </c>
      <c r="C92" s="41" t="s">
        <v>666</v>
      </c>
      <c r="D92" s="41" t="s">
        <v>667</v>
      </c>
      <c r="E92" s="41">
        <v>616140</v>
      </c>
      <c r="F92" s="41">
        <v>622754</v>
      </c>
      <c r="G92" s="41">
        <v>628877</v>
      </c>
      <c r="H92" s="41">
        <v>635008</v>
      </c>
      <c r="I92" s="41">
        <v>641821</v>
      </c>
      <c r="J92" s="41">
        <v>649795</v>
      </c>
      <c r="K92" s="41">
        <v>658998</v>
      </c>
      <c r="L92" s="41">
        <v>669243</v>
      </c>
      <c r="M92" s="41">
        <v>680431</v>
      </c>
      <c r="N92" s="41">
        <v>692407</v>
      </c>
      <c r="O92" s="41">
        <v>704937</v>
      </c>
      <c r="P92" s="41">
        <v>718359</v>
      </c>
      <c r="Q92" s="41">
        <v>732516</v>
      </c>
      <c r="R92" s="41">
        <v>746178</v>
      </c>
      <c r="S92" s="41">
        <v>757668</v>
      </c>
      <c r="T92" s="41">
        <v>765985</v>
      </c>
      <c r="U92" s="41">
        <v>770415</v>
      </c>
      <c r="V92" s="41">
        <v>771732</v>
      </c>
      <c r="W92" s="41">
        <v>772137</v>
      </c>
      <c r="X92" s="41">
        <v>774726</v>
      </c>
      <c r="Y92" s="41">
        <v>781678</v>
      </c>
      <c r="Z92" s="41">
        <v>793804</v>
      </c>
      <c r="AA92" s="41">
        <v>810402</v>
      </c>
      <c r="AB92" s="41">
        <v>830212</v>
      </c>
      <c r="AC92" s="41">
        <v>851276</v>
      </c>
      <c r="AD92" s="41">
        <v>872163</v>
      </c>
      <c r="AE92" s="41">
        <v>892530</v>
      </c>
      <c r="AF92" s="41">
        <v>912755</v>
      </c>
      <c r="AG92" s="41">
        <v>933046</v>
      </c>
      <c r="AH92" s="41">
        <v>953782</v>
      </c>
      <c r="AI92" s="41">
        <v>975265</v>
      </c>
      <c r="AJ92" s="41">
        <v>997522</v>
      </c>
      <c r="AK92" s="41">
        <v>1020353</v>
      </c>
      <c r="AL92" s="41">
        <v>1043421</v>
      </c>
      <c r="AM92" s="41">
        <v>1066345</v>
      </c>
      <c r="AN92" s="41">
        <v>1088850</v>
      </c>
      <c r="AO92" s="41">
        <v>1110835</v>
      </c>
      <c r="AP92" s="41">
        <v>1132505</v>
      </c>
      <c r="AQ92" s="41">
        <v>1154372</v>
      </c>
      <c r="AR92" s="41">
        <v>1177133</v>
      </c>
      <c r="AS92" s="41">
        <v>1201305</v>
      </c>
      <c r="AT92" s="41">
        <v>1227105</v>
      </c>
      <c r="AU92" s="41">
        <v>1254454</v>
      </c>
      <c r="AV92" s="41">
        <v>1283297</v>
      </c>
      <c r="AW92" s="41">
        <v>1313492</v>
      </c>
      <c r="AX92" s="41">
        <v>1344931</v>
      </c>
      <c r="AY92" s="41">
        <v>1377582</v>
      </c>
      <c r="AZ92" s="41">
        <v>1411545</v>
      </c>
      <c r="BA92" s="41">
        <v>1446936</v>
      </c>
      <c r="BB92" s="41">
        <v>1483920</v>
      </c>
      <c r="BC92" s="41">
        <v>1522603</v>
      </c>
      <c r="BD92" s="41">
        <v>1562996</v>
      </c>
      <c r="BE92" s="41">
        <v>1604981</v>
      </c>
      <c r="BF92" s="41">
        <v>1648259</v>
      </c>
      <c r="BG92" s="41">
        <v>1692433</v>
      </c>
      <c r="BH92" s="41">
        <v>1737207</v>
      </c>
      <c r="BI92" s="41">
        <v>1782434</v>
      </c>
      <c r="BJ92" s="41">
        <v>1828146</v>
      </c>
      <c r="BK92" s="41">
        <v>1874304</v>
      </c>
      <c r="BL92" s="41">
        <v>1920917</v>
      </c>
      <c r="BM92" s="41">
        <v>1967998</v>
      </c>
    </row>
    <row r="93" spans="1:65" x14ac:dyDescent="0.35">
      <c r="A93" s="41" t="s">
        <v>282</v>
      </c>
      <c r="B93" s="41" t="s">
        <v>283</v>
      </c>
      <c r="C93" s="41" t="s">
        <v>666</v>
      </c>
      <c r="D93" s="41" t="s">
        <v>667</v>
      </c>
      <c r="E93" s="41">
        <v>255338</v>
      </c>
      <c r="F93" s="41">
        <v>258786</v>
      </c>
      <c r="G93" s="41">
        <v>262219</v>
      </c>
      <c r="H93" s="41">
        <v>266005</v>
      </c>
      <c r="I93" s="41">
        <v>270616</v>
      </c>
      <c r="J93" s="41">
        <v>276296</v>
      </c>
      <c r="K93" s="41">
        <v>283506</v>
      </c>
      <c r="L93" s="41">
        <v>291786</v>
      </c>
      <c r="M93" s="41">
        <v>299416</v>
      </c>
      <c r="N93" s="41">
        <v>304000</v>
      </c>
      <c r="O93" s="41">
        <v>303986</v>
      </c>
      <c r="P93" s="41">
        <v>298852</v>
      </c>
      <c r="Q93" s="41">
        <v>289508</v>
      </c>
      <c r="R93" s="41">
        <v>277656</v>
      </c>
      <c r="S93" s="41">
        <v>265762</v>
      </c>
      <c r="T93" s="41">
        <v>255808</v>
      </c>
      <c r="U93" s="41">
        <v>247969</v>
      </c>
      <c r="V93" s="41">
        <v>242160</v>
      </c>
      <c r="W93" s="41">
        <v>239681</v>
      </c>
      <c r="X93" s="41">
        <v>241977</v>
      </c>
      <c r="Y93" s="41">
        <v>249931</v>
      </c>
      <c r="Z93" s="41">
        <v>264370</v>
      </c>
      <c r="AA93" s="41">
        <v>284638</v>
      </c>
      <c r="AB93" s="41">
        <v>308208</v>
      </c>
      <c r="AC93" s="41">
        <v>331554</v>
      </c>
      <c r="AD93" s="41">
        <v>352116</v>
      </c>
      <c r="AE93" s="41">
        <v>369024</v>
      </c>
      <c r="AF93" s="41">
        <v>382977</v>
      </c>
      <c r="AG93" s="41">
        <v>394973</v>
      </c>
      <c r="AH93" s="41">
        <v>406620</v>
      </c>
      <c r="AI93" s="41">
        <v>419188</v>
      </c>
      <c r="AJ93" s="41">
        <v>432844</v>
      </c>
      <c r="AK93" s="41">
        <v>447269</v>
      </c>
      <c r="AL93" s="41">
        <v>462637</v>
      </c>
      <c r="AM93" s="41">
        <v>479099</v>
      </c>
      <c r="AN93" s="41">
        <v>496768</v>
      </c>
      <c r="AO93" s="41">
        <v>515844</v>
      </c>
      <c r="AP93" s="41">
        <v>536459</v>
      </c>
      <c r="AQ93" s="41">
        <v>558496</v>
      </c>
      <c r="AR93" s="41">
        <v>581765</v>
      </c>
      <c r="AS93" s="41">
        <v>606180</v>
      </c>
      <c r="AT93" s="41">
        <v>631662</v>
      </c>
      <c r="AU93" s="41">
        <v>658388</v>
      </c>
      <c r="AV93" s="41">
        <v>686670</v>
      </c>
      <c r="AW93" s="41">
        <v>716949</v>
      </c>
      <c r="AX93" s="41">
        <v>749527</v>
      </c>
      <c r="AY93" s="41">
        <v>784494</v>
      </c>
      <c r="AZ93" s="41">
        <v>821686</v>
      </c>
      <c r="BA93" s="41">
        <v>860839</v>
      </c>
      <c r="BB93" s="41">
        <v>901589</v>
      </c>
      <c r="BC93" s="41">
        <v>943640</v>
      </c>
      <c r="BD93" s="41">
        <v>986861</v>
      </c>
      <c r="BE93" s="41">
        <v>1031191</v>
      </c>
      <c r="BF93" s="41">
        <v>1076412</v>
      </c>
      <c r="BG93" s="41">
        <v>1122273</v>
      </c>
      <c r="BH93" s="41">
        <v>1168575</v>
      </c>
      <c r="BI93" s="41">
        <v>1215181</v>
      </c>
      <c r="BJ93" s="41">
        <v>1262008</v>
      </c>
      <c r="BK93" s="41">
        <v>1308966</v>
      </c>
      <c r="BL93" s="41">
        <v>1355982</v>
      </c>
      <c r="BM93" s="41">
        <v>1402985</v>
      </c>
    </row>
    <row r="94" spans="1:65" x14ac:dyDescent="0.35">
      <c r="A94" s="41" t="s">
        <v>284</v>
      </c>
      <c r="B94" s="41" t="s">
        <v>285</v>
      </c>
      <c r="C94" s="41" t="s">
        <v>666</v>
      </c>
      <c r="D94" s="41" t="s">
        <v>667</v>
      </c>
      <c r="E94" s="41">
        <v>8331725</v>
      </c>
      <c r="F94" s="41">
        <v>8398050</v>
      </c>
      <c r="G94" s="41">
        <v>8448233</v>
      </c>
      <c r="H94" s="41">
        <v>8479625</v>
      </c>
      <c r="I94" s="41">
        <v>8510429</v>
      </c>
      <c r="J94" s="41">
        <v>8550333</v>
      </c>
      <c r="K94" s="41">
        <v>8613651</v>
      </c>
      <c r="L94" s="41">
        <v>8684088</v>
      </c>
      <c r="M94" s="41">
        <v>8740765</v>
      </c>
      <c r="N94" s="41">
        <v>8772764</v>
      </c>
      <c r="O94" s="41">
        <v>8792806</v>
      </c>
      <c r="P94" s="41">
        <v>8831036</v>
      </c>
      <c r="Q94" s="41">
        <v>8888628</v>
      </c>
      <c r="R94" s="41">
        <v>8929086</v>
      </c>
      <c r="S94" s="41">
        <v>8962022</v>
      </c>
      <c r="T94" s="41">
        <v>9046541</v>
      </c>
      <c r="U94" s="41">
        <v>9188150</v>
      </c>
      <c r="V94" s="41">
        <v>9308479</v>
      </c>
      <c r="W94" s="41">
        <v>9429959</v>
      </c>
      <c r="X94" s="41">
        <v>9548258</v>
      </c>
      <c r="Y94" s="41">
        <v>9642505</v>
      </c>
      <c r="Z94" s="41">
        <v>9729350</v>
      </c>
      <c r="AA94" s="41">
        <v>9789513</v>
      </c>
      <c r="AB94" s="41">
        <v>9846627</v>
      </c>
      <c r="AC94" s="41">
        <v>9895801</v>
      </c>
      <c r="AD94" s="41">
        <v>9934300</v>
      </c>
      <c r="AE94" s="41">
        <v>9967213</v>
      </c>
      <c r="AF94" s="41">
        <v>10000595</v>
      </c>
      <c r="AG94" s="41">
        <v>10036983</v>
      </c>
      <c r="AH94" s="41">
        <v>10089498</v>
      </c>
      <c r="AI94" s="41">
        <v>10196792</v>
      </c>
      <c r="AJ94" s="41">
        <v>10319927</v>
      </c>
      <c r="AK94" s="41">
        <v>10399061</v>
      </c>
      <c r="AL94" s="41">
        <v>10460415</v>
      </c>
      <c r="AM94" s="41">
        <v>10512922</v>
      </c>
      <c r="AN94" s="41">
        <v>10562153</v>
      </c>
      <c r="AO94" s="41">
        <v>10608800</v>
      </c>
      <c r="AP94" s="41">
        <v>10661259</v>
      </c>
      <c r="AQ94" s="41">
        <v>10720509</v>
      </c>
      <c r="AR94" s="41">
        <v>10761698</v>
      </c>
      <c r="AS94" s="41">
        <v>10805808</v>
      </c>
      <c r="AT94" s="41">
        <v>10862132</v>
      </c>
      <c r="AU94" s="41">
        <v>10902022</v>
      </c>
      <c r="AV94" s="41">
        <v>10928070</v>
      </c>
      <c r="AW94" s="41">
        <v>10955141</v>
      </c>
      <c r="AX94" s="41">
        <v>10987314</v>
      </c>
      <c r="AY94" s="41">
        <v>11020362</v>
      </c>
      <c r="AZ94" s="41">
        <v>11048473</v>
      </c>
      <c r="BA94" s="41">
        <v>11077841</v>
      </c>
      <c r="BB94" s="41">
        <v>11107017</v>
      </c>
      <c r="BC94" s="41">
        <v>11121341</v>
      </c>
      <c r="BD94" s="41">
        <v>11104899</v>
      </c>
      <c r="BE94" s="41">
        <v>11045011</v>
      </c>
      <c r="BF94" s="41">
        <v>10965211</v>
      </c>
      <c r="BG94" s="41">
        <v>10892413</v>
      </c>
      <c r="BH94" s="41">
        <v>10820883</v>
      </c>
      <c r="BI94" s="41">
        <v>10775971</v>
      </c>
      <c r="BJ94" s="41">
        <v>10754679</v>
      </c>
      <c r="BK94" s="41">
        <v>10732882</v>
      </c>
      <c r="BL94" s="41">
        <v>10721582</v>
      </c>
      <c r="BM94" s="41">
        <v>10715549</v>
      </c>
    </row>
    <row r="95" spans="1:65" x14ac:dyDescent="0.35">
      <c r="A95" s="41" t="s">
        <v>286</v>
      </c>
      <c r="B95" s="41" t="s">
        <v>287</v>
      </c>
      <c r="C95" s="41" t="s">
        <v>666</v>
      </c>
      <c r="D95" s="41" t="s">
        <v>667</v>
      </c>
      <c r="E95" s="41">
        <v>89927</v>
      </c>
      <c r="F95" s="41">
        <v>91324</v>
      </c>
      <c r="G95" s="41">
        <v>92481</v>
      </c>
      <c r="H95" s="41">
        <v>93409</v>
      </c>
      <c r="I95" s="41">
        <v>94122</v>
      </c>
      <c r="J95" s="41">
        <v>94634</v>
      </c>
      <c r="K95" s="41">
        <v>94936</v>
      </c>
      <c r="L95" s="41">
        <v>95012</v>
      </c>
      <c r="M95" s="41">
        <v>94929</v>
      </c>
      <c r="N95" s="41">
        <v>94723</v>
      </c>
      <c r="O95" s="41">
        <v>94476</v>
      </c>
      <c r="P95" s="41">
        <v>94212</v>
      </c>
      <c r="Q95" s="41">
        <v>93984</v>
      </c>
      <c r="R95" s="41">
        <v>93661</v>
      </c>
      <c r="S95" s="41">
        <v>93190</v>
      </c>
      <c r="T95" s="41">
        <v>92494</v>
      </c>
      <c r="U95" s="41">
        <v>91469</v>
      </c>
      <c r="V95" s="41">
        <v>90219</v>
      </c>
      <c r="W95" s="41">
        <v>89104</v>
      </c>
      <c r="X95" s="41">
        <v>88603</v>
      </c>
      <c r="Y95" s="41">
        <v>89032</v>
      </c>
      <c r="Z95" s="41">
        <v>90610</v>
      </c>
      <c r="AA95" s="41">
        <v>93132</v>
      </c>
      <c r="AB95" s="41">
        <v>96020</v>
      </c>
      <c r="AC95" s="41">
        <v>98472</v>
      </c>
      <c r="AD95" s="41">
        <v>99953</v>
      </c>
      <c r="AE95" s="41">
        <v>100183</v>
      </c>
      <c r="AF95" s="41">
        <v>99425</v>
      </c>
      <c r="AG95" s="41">
        <v>98126</v>
      </c>
      <c r="AH95" s="41">
        <v>96932</v>
      </c>
      <c r="AI95" s="41">
        <v>96328</v>
      </c>
      <c r="AJ95" s="41">
        <v>96462</v>
      </c>
      <c r="AK95" s="41">
        <v>97161</v>
      </c>
      <c r="AL95" s="41">
        <v>98234</v>
      </c>
      <c r="AM95" s="41">
        <v>99345</v>
      </c>
      <c r="AN95" s="41">
        <v>100286</v>
      </c>
      <c r="AO95" s="41">
        <v>101003</v>
      </c>
      <c r="AP95" s="41">
        <v>101567</v>
      </c>
      <c r="AQ95" s="41">
        <v>102023</v>
      </c>
      <c r="AR95" s="41">
        <v>102429</v>
      </c>
      <c r="AS95" s="41">
        <v>102837</v>
      </c>
      <c r="AT95" s="41">
        <v>103242</v>
      </c>
      <c r="AU95" s="41">
        <v>103636</v>
      </c>
      <c r="AV95" s="41">
        <v>104003</v>
      </c>
      <c r="AW95" s="41">
        <v>104346</v>
      </c>
      <c r="AX95" s="41">
        <v>104658</v>
      </c>
      <c r="AY95" s="41">
        <v>104938</v>
      </c>
      <c r="AZ95" s="41">
        <v>105183</v>
      </c>
      <c r="BA95" s="41">
        <v>105457</v>
      </c>
      <c r="BB95" s="41">
        <v>105787</v>
      </c>
      <c r="BC95" s="41">
        <v>106227</v>
      </c>
      <c r="BD95" s="41">
        <v>106786</v>
      </c>
      <c r="BE95" s="41">
        <v>107452</v>
      </c>
      <c r="BF95" s="41">
        <v>108172</v>
      </c>
      <c r="BG95" s="41">
        <v>108900</v>
      </c>
      <c r="BH95" s="41">
        <v>109603</v>
      </c>
      <c r="BI95" s="41">
        <v>110263</v>
      </c>
      <c r="BJ95" s="41">
        <v>110874</v>
      </c>
      <c r="BK95" s="41">
        <v>111449</v>
      </c>
      <c r="BL95" s="41">
        <v>112002</v>
      </c>
      <c r="BM95" s="41">
        <v>112519</v>
      </c>
    </row>
    <row r="96" spans="1:65" x14ac:dyDescent="0.35">
      <c r="A96" s="41" t="s">
        <v>288</v>
      </c>
      <c r="B96" s="41" t="s">
        <v>289</v>
      </c>
      <c r="C96" s="41" t="s">
        <v>666</v>
      </c>
      <c r="D96" s="41" t="s">
        <v>667</v>
      </c>
      <c r="E96" s="41">
        <v>32500</v>
      </c>
      <c r="F96" s="41">
        <v>33700</v>
      </c>
      <c r="G96" s="41">
        <v>35000</v>
      </c>
      <c r="H96" s="41">
        <v>36400</v>
      </c>
      <c r="I96" s="41">
        <v>37600</v>
      </c>
      <c r="J96" s="41">
        <v>39200</v>
      </c>
      <c r="K96" s="41">
        <v>40500</v>
      </c>
      <c r="L96" s="41">
        <v>41900</v>
      </c>
      <c r="M96" s="41">
        <v>43400</v>
      </c>
      <c r="N96" s="41">
        <v>44900</v>
      </c>
      <c r="O96" s="41">
        <v>46400</v>
      </c>
      <c r="P96" s="41">
        <v>47200</v>
      </c>
      <c r="Q96" s="41">
        <v>48300</v>
      </c>
      <c r="R96" s="41">
        <v>49000</v>
      </c>
      <c r="S96" s="41">
        <v>49500</v>
      </c>
      <c r="T96" s="41">
        <v>49600</v>
      </c>
      <c r="U96" s="41">
        <v>49700</v>
      </c>
      <c r="V96" s="41">
        <v>49400</v>
      </c>
      <c r="W96" s="41">
        <v>49200</v>
      </c>
      <c r="X96" s="41">
        <v>49600</v>
      </c>
      <c r="Y96" s="41">
        <v>50200</v>
      </c>
      <c r="Z96" s="41">
        <v>51000</v>
      </c>
      <c r="AA96" s="41">
        <v>51500</v>
      </c>
      <c r="AB96" s="41">
        <v>52100</v>
      </c>
      <c r="AC96" s="41">
        <v>52700</v>
      </c>
      <c r="AD96" s="41">
        <v>53200</v>
      </c>
      <c r="AE96" s="41">
        <v>53500</v>
      </c>
      <c r="AF96" s="41">
        <v>54100</v>
      </c>
      <c r="AG96" s="41">
        <v>54800</v>
      </c>
      <c r="AH96" s="41">
        <v>55300</v>
      </c>
      <c r="AI96" s="41">
        <v>55600</v>
      </c>
      <c r="AJ96" s="41">
        <v>55500</v>
      </c>
      <c r="AK96" s="41">
        <v>55300</v>
      </c>
      <c r="AL96" s="41">
        <v>55200</v>
      </c>
      <c r="AM96" s="41">
        <v>55500</v>
      </c>
      <c r="AN96" s="41">
        <v>55800</v>
      </c>
      <c r="AO96" s="41">
        <v>55900</v>
      </c>
      <c r="AP96" s="41">
        <v>56000</v>
      </c>
      <c r="AQ96" s="41">
        <v>56100</v>
      </c>
      <c r="AR96" s="41">
        <v>56100</v>
      </c>
      <c r="AS96" s="41">
        <v>56200</v>
      </c>
      <c r="AT96" s="41">
        <v>56350</v>
      </c>
      <c r="AU96" s="41">
        <v>56609</v>
      </c>
      <c r="AV96" s="41">
        <v>56765</v>
      </c>
      <c r="AW96" s="41">
        <v>56911</v>
      </c>
      <c r="AX96" s="41">
        <v>56935</v>
      </c>
      <c r="AY96" s="41">
        <v>56774</v>
      </c>
      <c r="AZ96" s="41">
        <v>56555</v>
      </c>
      <c r="BA96" s="41">
        <v>56328</v>
      </c>
      <c r="BB96" s="41">
        <v>56323</v>
      </c>
      <c r="BC96" s="41">
        <v>56905</v>
      </c>
      <c r="BD96" s="41">
        <v>56890</v>
      </c>
      <c r="BE96" s="41">
        <v>56810</v>
      </c>
      <c r="BF96" s="41">
        <v>56483</v>
      </c>
      <c r="BG96" s="41">
        <v>56295</v>
      </c>
      <c r="BH96" s="41">
        <v>56114</v>
      </c>
      <c r="BI96" s="41">
        <v>56186</v>
      </c>
      <c r="BJ96" s="41">
        <v>56172</v>
      </c>
      <c r="BK96" s="41">
        <v>56023</v>
      </c>
      <c r="BL96" s="41">
        <v>56225</v>
      </c>
      <c r="BM96" s="41">
        <v>56367</v>
      </c>
    </row>
    <row r="97" spans="1:65" x14ac:dyDescent="0.35">
      <c r="A97" s="41" t="s">
        <v>290</v>
      </c>
      <c r="B97" s="41" t="s">
        <v>291</v>
      </c>
      <c r="C97" s="41" t="s">
        <v>666</v>
      </c>
      <c r="D97" s="41" t="s">
        <v>667</v>
      </c>
      <c r="E97" s="41">
        <v>4128880</v>
      </c>
      <c r="F97" s="41">
        <v>4251911</v>
      </c>
      <c r="G97" s="41">
        <v>4378604</v>
      </c>
      <c r="H97" s="41">
        <v>4508444</v>
      </c>
      <c r="I97" s="41">
        <v>4640795</v>
      </c>
      <c r="J97" s="41">
        <v>4774984</v>
      </c>
      <c r="K97" s="41">
        <v>4910790</v>
      </c>
      <c r="L97" s="41">
        <v>5047435</v>
      </c>
      <c r="M97" s="41">
        <v>5184095</v>
      </c>
      <c r="N97" s="41">
        <v>5320100</v>
      </c>
      <c r="O97" s="41">
        <v>5455197</v>
      </c>
      <c r="P97" s="41">
        <v>5589563</v>
      </c>
      <c r="Q97" s="41">
        <v>5723759</v>
      </c>
      <c r="R97" s="41">
        <v>5858466</v>
      </c>
      <c r="S97" s="41">
        <v>5994300</v>
      </c>
      <c r="T97" s="41">
        <v>6131151</v>
      </c>
      <c r="U97" s="41">
        <v>6269983</v>
      </c>
      <c r="V97" s="41">
        <v>6412667</v>
      </c>
      <c r="W97" s="41">
        <v>6561919</v>
      </c>
      <c r="X97" s="41">
        <v>6720582</v>
      </c>
      <c r="Y97" s="41">
        <v>6890346</v>
      </c>
      <c r="Z97" s="41">
        <v>7071186</v>
      </c>
      <c r="AA97" s="41">
        <v>7262658</v>
      </c>
      <c r="AB97" s="41">
        <v>7462585</v>
      </c>
      <c r="AC97" s="41">
        <v>7669863</v>
      </c>
      <c r="AD97" s="41">
        <v>7884034</v>
      </c>
      <c r="AE97" s="41">
        <v>8104921</v>
      </c>
      <c r="AF97" s="41">
        <v>8332446</v>
      </c>
      <c r="AG97" s="41">
        <v>8566331</v>
      </c>
      <c r="AH97" s="41">
        <v>8805995</v>
      </c>
      <c r="AI97" s="41">
        <v>9050115</v>
      </c>
      <c r="AJ97" s="41">
        <v>9296814</v>
      </c>
      <c r="AK97" s="41">
        <v>9544055</v>
      </c>
      <c r="AL97" s="41">
        <v>9790619</v>
      </c>
      <c r="AM97" s="41">
        <v>10037522</v>
      </c>
      <c r="AN97" s="41">
        <v>10286786</v>
      </c>
      <c r="AO97" s="41">
        <v>10536942</v>
      </c>
      <c r="AP97" s="41">
        <v>10788362</v>
      </c>
      <c r="AQ97" s="41">
        <v>11046215</v>
      </c>
      <c r="AR97" s="41">
        <v>11311078</v>
      </c>
      <c r="AS97" s="41">
        <v>11589761</v>
      </c>
      <c r="AT97" s="41">
        <v>11871565</v>
      </c>
      <c r="AU97" s="41">
        <v>12147518</v>
      </c>
      <c r="AV97" s="41">
        <v>12415334</v>
      </c>
      <c r="AW97" s="41">
        <v>12682108</v>
      </c>
      <c r="AX97" s="41">
        <v>12948292</v>
      </c>
      <c r="AY97" s="41">
        <v>13213330</v>
      </c>
      <c r="AZ97" s="41">
        <v>13477017</v>
      </c>
      <c r="BA97" s="41">
        <v>13739299</v>
      </c>
      <c r="BB97" s="41">
        <v>14000190</v>
      </c>
      <c r="BC97" s="41">
        <v>14259687</v>
      </c>
      <c r="BD97" s="41">
        <v>14521515</v>
      </c>
      <c r="BE97" s="41">
        <v>14781942</v>
      </c>
      <c r="BF97" s="41">
        <v>15043981</v>
      </c>
      <c r="BG97" s="41">
        <v>15306316</v>
      </c>
      <c r="BH97" s="41">
        <v>15567419</v>
      </c>
      <c r="BI97" s="41">
        <v>15827690</v>
      </c>
      <c r="BJ97" s="41">
        <v>16087418</v>
      </c>
      <c r="BK97" s="41">
        <v>16346950</v>
      </c>
      <c r="BL97" s="41">
        <v>16604026</v>
      </c>
      <c r="BM97" s="41">
        <v>16858333</v>
      </c>
    </row>
    <row r="98" spans="1:65" x14ac:dyDescent="0.35">
      <c r="A98" s="41" t="s">
        <v>292</v>
      </c>
      <c r="B98" s="41" t="s">
        <v>293</v>
      </c>
      <c r="C98" s="41" t="s">
        <v>666</v>
      </c>
      <c r="D98" s="41" t="s">
        <v>667</v>
      </c>
      <c r="E98" s="41">
        <v>66733</v>
      </c>
      <c r="F98" s="41">
        <v>68065</v>
      </c>
      <c r="G98" s="41">
        <v>69605</v>
      </c>
      <c r="H98" s="41">
        <v>71289</v>
      </c>
      <c r="I98" s="41">
        <v>73047</v>
      </c>
      <c r="J98" s="41">
        <v>74828</v>
      </c>
      <c r="K98" s="41">
        <v>76611</v>
      </c>
      <c r="L98" s="41">
        <v>78412</v>
      </c>
      <c r="M98" s="41">
        <v>80212</v>
      </c>
      <c r="N98" s="41">
        <v>82040</v>
      </c>
      <c r="O98" s="41">
        <v>83875</v>
      </c>
      <c r="P98" s="41">
        <v>85729</v>
      </c>
      <c r="Q98" s="41">
        <v>87580</v>
      </c>
      <c r="R98" s="41">
        <v>89459</v>
      </c>
      <c r="S98" s="41">
        <v>91378</v>
      </c>
      <c r="T98" s="41">
        <v>93351</v>
      </c>
      <c r="U98" s="41">
        <v>95380</v>
      </c>
      <c r="V98" s="41">
        <v>97477</v>
      </c>
      <c r="W98" s="41">
        <v>99629</v>
      </c>
      <c r="X98" s="41">
        <v>101837</v>
      </c>
      <c r="Y98" s="41">
        <v>104134</v>
      </c>
      <c r="Z98" s="41">
        <v>106482</v>
      </c>
      <c r="AA98" s="41">
        <v>108901</v>
      </c>
      <c r="AB98" s="41">
        <v>111403</v>
      </c>
      <c r="AC98" s="41">
        <v>113953</v>
      </c>
      <c r="AD98" s="41">
        <v>116576</v>
      </c>
      <c r="AE98" s="41">
        <v>119228</v>
      </c>
      <c r="AF98" s="41">
        <v>121923</v>
      </c>
      <c r="AG98" s="41">
        <v>124674</v>
      </c>
      <c r="AH98" s="41">
        <v>127525</v>
      </c>
      <c r="AI98" s="41">
        <v>130480</v>
      </c>
      <c r="AJ98" s="41">
        <v>133553</v>
      </c>
      <c r="AK98" s="41">
        <v>136693</v>
      </c>
      <c r="AL98" s="41">
        <v>139813</v>
      </c>
      <c r="AM98" s="41">
        <v>142806</v>
      </c>
      <c r="AN98" s="41">
        <v>145559</v>
      </c>
      <c r="AO98" s="41">
        <v>148061</v>
      </c>
      <c r="AP98" s="41">
        <v>150303</v>
      </c>
      <c r="AQ98" s="41">
        <v>152274</v>
      </c>
      <c r="AR98" s="41">
        <v>153955</v>
      </c>
      <c r="AS98" s="41">
        <v>155323</v>
      </c>
      <c r="AT98" s="41">
        <v>156395</v>
      </c>
      <c r="AU98" s="41">
        <v>157173</v>
      </c>
      <c r="AV98" s="41">
        <v>157723</v>
      </c>
      <c r="AW98" s="41">
        <v>158094</v>
      </c>
      <c r="AX98" s="41">
        <v>158406</v>
      </c>
      <c r="AY98" s="41">
        <v>158649</v>
      </c>
      <c r="AZ98" s="41">
        <v>158848</v>
      </c>
      <c r="BA98" s="41">
        <v>159037</v>
      </c>
      <c r="BB98" s="41">
        <v>159232</v>
      </c>
      <c r="BC98" s="41">
        <v>159439</v>
      </c>
      <c r="BD98" s="41">
        <v>159690</v>
      </c>
      <c r="BE98" s="41">
        <v>159990</v>
      </c>
      <c r="BF98" s="41">
        <v>160415</v>
      </c>
      <c r="BG98" s="41">
        <v>161007</v>
      </c>
      <c r="BH98" s="41">
        <v>161851</v>
      </c>
      <c r="BI98" s="41">
        <v>162948</v>
      </c>
      <c r="BJ98" s="41">
        <v>164281</v>
      </c>
      <c r="BK98" s="41">
        <v>165770</v>
      </c>
      <c r="BL98" s="41">
        <v>167295</v>
      </c>
      <c r="BM98" s="41">
        <v>168783</v>
      </c>
    </row>
    <row r="99" spans="1:65" x14ac:dyDescent="0.35">
      <c r="A99" s="41" t="s">
        <v>294</v>
      </c>
      <c r="B99" s="41" t="s">
        <v>295</v>
      </c>
      <c r="C99" s="41" t="s">
        <v>666</v>
      </c>
      <c r="D99" s="41" t="s">
        <v>667</v>
      </c>
      <c r="E99" s="41">
        <v>571813</v>
      </c>
      <c r="F99" s="41">
        <v>589274</v>
      </c>
      <c r="G99" s="41">
        <v>606286</v>
      </c>
      <c r="H99" s="41">
        <v>622580</v>
      </c>
      <c r="I99" s="41">
        <v>637835</v>
      </c>
      <c r="J99" s="41">
        <v>651865</v>
      </c>
      <c r="K99" s="41">
        <v>664518</v>
      </c>
      <c r="L99" s="41">
        <v>675861</v>
      </c>
      <c r="M99" s="41">
        <v>686144</v>
      </c>
      <c r="N99" s="41">
        <v>695743</v>
      </c>
      <c r="O99" s="41">
        <v>704930</v>
      </c>
      <c r="P99" s="41">
        <v>713684</v>
      </c>
      <c r="Q99" s="41">
        <v>721949</v>
      </c>
      <c r="R99" s="41">
        <v>729909</v>
      </c>
      <c r="S99" s="41">
        <v>737846</v>
      </c>
      <c r="T99" s="41">
        <v>745847</v>
      </c>
      <c r="U99" s="41">
        <v>754101</v>
      </c>
      <c r="V99" s="41">
        <v>762424</v>
      </c>
      <c r="W99" s="41">
        <v>770128</v>
      </c>
      <c r="X99" s="41">
        <v>776257</v>
      </c>
      <c r="Y99" s="41">
        <v>780153</v>
      </c>
      <c r="Z99" s="41">
        <v>781734</v>
      </c>
      <c r="AA99" s="41">
        <v>781249</v>
      </c>
      <c r="AB99" s="41">
        <v>778953</v>
      </c>
      <c r="AC99" s="41">
        <v>775217</v>
      </c>
      <c r="AD99" s="41">
        <v>770439</v>
      </c>
      <c r="AE99" s="41">
        <v>764447</v>
      </c>
      <c r="AF99" s="41">
        <v>757451</v>
      </c>
      <c r="AG99" s="41">
        <v>750641</v>
      </c>
      <c r="AH99" s="41">
        <v>745581</v>
      </c>
      <c r="AI99" s="41">
        <v>743306</v>
      </c>
      <c r="AJ99" s="41">
        <v>744477</v>
      </c>
      <c r="AK99" s="41">
        <v>748596</v>
      </c>
      <c r="AL99" s="41">
        <v>754141</v>
      </c>
      <c r="AM99" s="41">
        <v>758896</v>
      </c>
      <c r="AN99" s="41">
        <v>761298</v>
      </c>
      <c r="AO99" s="41">
        <v>760801</v>
      </c>
      <c r="AP99" s="41">
        <v>757975</v>
      </c>
      <c r="AQ99" s="41">
        <v>753778</v>
      </c>
      <c r="AR99" s="41">
        <v>749676</v>
      </c>
      <c r="AS99" s="41">
        <v>746718</v>
      </c>
      <c r="AT99" s="41">
        <v>745206</v>
      </c>
      <c r="AU99" s="41">
        <v>744789</v>
      </c>
      <c r="AV99" s="41">
        <v>745142</v>
      </c>
      <c r="AW99" s="41">
        <v>745737</v>
      </c>
      <c r="AX99" s="41">
        <v>746156</v>
      </c>
      <c r="AY99" s="41">
        <v>746335</v>
      </c>
      <c r="AZ99" s="41">
        <v>746477</v>
      </c>
      <c r="BA99" s="41">
        <v>746815</v>
      </c>
      <c r="BB99" s="41">
        <v>747718</v>
      </c>
      <c r="BC99" s="41">
        <v>749430</v>
      </c>
      <c r="BD99" s="41">
        <v>752029</v>
      </c>
      <c r="BE99" s="41">
        <v>755388</v>
      </c>
      <c r="BF99" s="41">
        <v>759281</v>
      </c>
      <c r="BG99" s="41">
        <v>763371</v>
      </c>
      <c r="BH99" s="41">
        <v>767433</v>
      </c>
      <c r="BI99" s="41">
        <v>771363</v>
      </c>
      <c r="BJ99" s="41">
        <v>775218</v>
      </c>
      <c r="BK99" s="41">
        <v>779007</v>
      </c>
      <c r="BL99" s="41">
        <v>782775</v>
      </c>
      <c r="BM99" s="41">
        <v>786559</v>
      </c>
    </row>
    <row r="100" spans="1:65" x14ac:dyDescent="0.35">
      <c r="A100" s="41" t="s">
        <v>296</v>
      </c>
      <c r="B100" s="41" t="s">
        <v>297</v>
      </c>
      <c r="C100" s="41" t="s">
        <v>666</v>
      </c>
      <c r="D100" s="41" t="s">
        <v>667</v>
      </c>
      <c r="E100" s="41">
        <v>759783611</v>
      </c>
      <c r="F100" s="41">
        <v>769499360</v>
      </c>
      <c r="G100" s="41">
        <v>779465348</v>
      </c>
      <c r="H100" s="41">
        <v>789358853</v>
      </c>
      <c r="I100" s="41">
        <v>799159797</v>
      </c>
      <c r="J100" s="41">
        <v>808596600</v>
      </c>
      <c r="K100" s="41">
        <v>817426786</v>
      </c>
      <c r="L100" s="41">
        <v>825698975</v>
      </c>
      <c r="M100" s="41">
        <v>833895491</v>
      </c>
      <c r="N100" s="41">
        <v>842260894</v>
      </c>
      <c r="O100" s="41">
        <v>850563450</v>
      </c>
      <c r="P100" s="41">
        <v>860560048</v>
      </c>
      <c r="Q100" s="41">
        <v>869313732</v>
      </c>
      <c r="R100" s="41">
        <v>877805133</v>
      </c>
      <c r="S100" s="41">
        <v>886141034</v>
      </c>
      <c r="T100" s="41">
        <v>894227661</v>
      </c>
      <c r="U100" s="41">
        <v>901732072</v>
      </c>
      <c r="V100" s="41">
        <v>909139852</v>
      </c>
      <c r="W100" s="41">
        <v>916611800</v>
      </c>
      <c r="X100" s="41">
        <v>924450013</v>
      </c>
      <c r="Y100" s="41">
        <v>932075328</v>
      </c>
      <c r="Z100" s="41">
        <v>939681156</v>
      </c>
      <c r="AA100" s="41">
        <v>946904804</v>
      </c>
      <c r="AB100" s="41">
        <v>953688382</v>
      </c>
      <c r="AC100" s="41">
        <v>960111311</v>
      </c>
      <c r="AD100" s="41">
        <v>966563677</v>
      </c>
      <c r="AE100" s="41">
        <v>973188301</v>
      </c>
      <c r="AF100" s="41">
        <v>979874901</v>
      </c>
      <c r="AG100" s="41">
        <v>986702713</v>
      </c>
      <c r="AH100" s="41">
        <v>993966356</v>
      </c>
      <c r="AI100" s="41">
        <v>1001677611</v>
      </c>
      <c r="AJ100" s="41">
        <v>1010166079</v>
      </c>
      <c r="AK100" s="41">
        <v>1016513603</v>
      </c>
      <c r="AL100" s="41">
        <v>1024551207</v>
      </c>
      <c r="AM100" s="41">
        <v>1032035681</v>
      </c>
      <c r="AN100" s="41">
        <v>1040719622</v>
      </c>
      <c r="AO100" s="41">
        <v>1047818942</v>
      </c>
      <c r="AP100" s="41">
        <v>1054747601</v>
      </c>
      <c r="AQ100" s="41">
        <v>1061501831</v>
      </c>
      <c r="AR100" s="41">
        <v>1068197515</v>
      </c>
      <c r="AS100" s="41">
        <v>1074819578</v>
      </c>
      <c r="AT100" s="41">
        <v>1081809509</v>
      </c>
      <c r="AU100" s="41">
        <v>1089036403</v>
      </c>
      <c r="AV100" s="41">
        <v>1096166107</v>
      </c>
      <c r="AW100" s="41">
        <v>1103693618</v>
      </c>
      <c r="AX100" s="41">
        <v>1111423301</v>
      </c>
      <c r="AY100" s="41">
        <v>1119840651</v>
      </c>
      <c r="AZ100" s="41">
        <v>1128710968</v>
      </c>
      <c r="BA100" s="41">
        <v>1138167727</v>
      </c>
      <c r="BB100" s="41">
        <v>1146611428</v>
      </c>
      <c r="BC100" s="41">
        <v>1154194529</v>
      </c>
      <c r="BD100" s="41">
        <v>1159642350</v>
      </c>
      <c r="BE100" s="41">
        <v>1166465944</v>
      </c>
      <c r="BF100" s="41">
        <v>1173351852</v>
      </c>
      <c r="BG100" s="41">
        <v>1180423771</v>
      </c>
      <c r="BH100" s="41">
        <v>1187317397</v>
      </c>
      <c r="BI100" s="41">
        <v>1194191812</v>
      </c>
      <c r="BJ100" s="41">
        <v>1200273639</v>
      </c>
      <c r="BK100" s="41">
        <v>1205941621</v>
      </c>
      <c r="BL100" s="41">
        <v>1210795776</v>
      </c>
      <c r="BM100" s="41">
        <v>1214930230</v>
      </c>
    </row>
    <row r="101" spans="1:65" x14ac:dyDescent="0.35">
      <c r="A101" s="41" t="s">
        <v>298</v>
      </c>
      <c r="B101" s="41" t="s">
        <v>299</v>
      </c>
      <c r="C101" s="41" t="s">
        <v>666</v>
      </c>
      <c r="D101" s="41" t="s">
        <v>667</v>
      </c>
      <c r="E101" s="41">
        <v>3075605</v>
      </c>
      <c r="F101" s="41">
        <v>3168100</v>
      </c>
      <c r="G101" s="41">
        <v>3305200</v>
      </c>
      <c r="H101" s="41">
        <v>3420900</v>
      </c>
      <c r="I101" s="41">
        <v>3504600</v>
      </c>
      <c r="J101" s="41">
        <v>3597900</v>
      </c>
      <c r="K101" s="41">
        <v>3629900</v>
      </c>
      <c r="L101" s="41">
        <v>3722800</v>
      </c>
      <c r="M101" s="41">
        <v>3802700</v>
      </c>
      <c r="N101" s="41">
        <v>3863900</v>
      </c>
      <c r="O101" s="41">
        <v>3959000</v>
      </c>
      <c r="P101" s="41">
        <v>4045300</v>
      </c>
      <c r="Q101" s="41">
        <v>4123600</v>
      </c>
      <c r="R101" s="41">
        <v>4241600</v>
      </c>
      <c r="S101" s="41">
        <v>4377800</v>
      </c>
      <c r="T101" s="41">
        <v>4461600</v>
      </c>
      <c r="U101" s="41">
        <v>4518000</v>
      </c>
      <c r="V101" s="41">
        <v>4583700</v>
      </c>
      <c r="W101" s="41">
        <v>4667500</v>
      </c>
      <c r="X101" s="41">
        <v>4929700</v>
      </c>
      <c r="Y101" s="41">
        <v>5063100</v>
      </c>
      <c r="Z101" s="41">
        <v>5183400</v>
      </c>
      <c r="AA101" s="41">
        <v>5264500</v>
      </c>
      <c r="AB101" s="41">
        <v>5345100</v>
      </c>
      <c r="AC101" s="41">
        <v>5397900</v>
      </c>
      <c r="AD101" s="41">
        <v>5456200</v>
      </c>
      <c r="AE101" s="41">
        <v>5524600</v>
      </c>
      <c r="AF101" s="41">
        <v>5580500</v>
      </c>
      <c r="AG101" s="41">
        <v>5627600</v>
      </c>
      <c r="AH101" s="41">
        <v>5686200</v>
      </c>
      <c r="AI101" s="41">
        <v>5704500</v>
      </c>
      <c r="AJ101" s="41">
        <v>5752000</v>
      </c>
      <c r="AK101" s="41">
        <v>5800500</v>
      </c>
      <c r="AL101" s="41">
        <v>5901000</v>
      </c>
      <c r="AM101" s="41">
        <v>6035400</v>
      </c>
      <c r="AN101" s="41">
        <v>6156100</v>
      </c>
      <c r="AO101" s="41">
        <v>6435500</v>
      </c>
      <c r="AP101" s="41">
        <v>6489300</v>
      </c>
      <c r="AQ101" s="41">
        <v>6543700</v>
      </c>
      <c r="AR101" s="41">
        <v>6606500</v>
      </c>
      <c r="AS101" s="41">
        <v>6665000</v>
      </c>
      <c r="AT101" s="41">
        <v>6714300</v>
      </c>
      <c r="AU101" s="41">
        <v>6744100</v>
      </c>
      <c r="AV101" s="41">
        <v>6730800</v>
      </c>
      <c r="AW101" s="41">
        <v>6783500</v>
      </c>
      <c r="AX101" s="41">
        <v>6813200</v>
      </c>
      <c r="AY101" s="41">
        <v>6857100</v>
      </c>
      <c r="AZ101" s="41">
        <v>6916300</v>
      </c>
      <c r="BA101" s="41">
        <v>6957800</v>
      </c>
      <c r="BB101" s="41">
        <v>6972800</v>
      </c>
      <c r="BC101" s="41">
        <v>7024200</v>
      </c>
      <c r="BD101" s="41">
        <v>7071600</v>
      </c>
      <c r="BE101" s="41">
        <v>7150100</v>
      </c>
      <c r="BF101" s="41">
        <v>7178900</v>
      </c>
      <c r="BG101" s="41">
        <v>7229500</v>
      </c>
      <c r="BH101" s="41">
        <v>7291300</v>
      </c>
      <c r="BI101" s="41">
        <v>7336600</v>
      </c>
      <c r="BJ101" s="41">
        <v>7391700</v>
      </c>
      <c r="BK101" s="41">
        <v>7451000</v>
      </c>
      <c r="BL101" s="41">
        <v>7507400</v>
      </c>
      <c r="BM101" s="41">
        <v>7481800</v>
      </c>
    </row>
    <row r="102" spans="1:65" x14ac:dyDescent="0.35">
      <c r="A102" s="41" t="s">
        <v>300</v>
      </c>
      <c r="B102" s="41" t="s">
        <v>301</v>
      </c>
      <c r="C102" s="41" t="s">
        <v>666</v>
      </c>
      <c r="D102" s="41" t="s">
        <v>667</v>
      </c>
      <c r="E102" s="41">
        <v>2038636</v>
      </c>
      <c r="F102" s="41">
        <v>2096407</v>
      </c>
      <c r="G102" s="41">
        <v>2155648</v>
      </c>
      <c r="H102" s="41">
        <v>2216712</v>
      </c>
      <c r="I102" s="41">
        <v>2280044</v>
      </c>
      <c r="J102" s="41">
        <v>2346005</v>
      </c>
      <c r="K102" s="41">
        <v>2414805</v>
      </c>
      <c r="L102" s="41">
        <v>2486418</v>
      </c>
      <c r="M102" s="41">
        <v>2560723</v>
      </c>
      <c r="N102" s="41">
        <v>2637515</v>
      </c>
      <c r="O102" s="41">
        <v>2716652</v>
      </c>
      <c r="P102" s="41">
        <v>2798125</v>
      </c>
      <c r="Q102" s="41">
        <v>2882102</v>
      </c>
      <c r="R102" s="41">
        <v>2968978</v>
      </c>
      <c r="S102" s="41">
        <v>3059245</v>
      </c>
      <c r="T102" s="41">
        <v>3153252</v>
      </c>
      <c r="U102" s="41">
        <v>3251145</v>
      </c>
      <c r="V102" s="41">
        <v>3352825</v>
      </c>
      <c r="W102" s="41">
        <v>3458102</v>
      </c>
      <c r="X102" s="41">
        <v>3566661</v>
      </c>
      <c r="Y102" s="41">
        <v>3678274</v>
      </c>
      <c r="Z102" s="41">
        <v>3792922</v>
      </c>
      <c r="AA102" s="41">
        <v>3910642</v>
      </c>
      <c r="AB102" s="41">
        <v>4031333</v>
      </c>
      <c r="AC102" s="41">
        <v>4154864</v>
      </c>
      <c r="AD102" s="41">
        <v>4281167</v>
      </c>
      <c r="AE102" s="41">
        <v>4410270</v>
      </c>
      <c r="AF102" s="41">
        <v>4542218</v>
      </c>
      <c r="AG102" s="41">
        <v>4677023</v>
      </c>
      <c r="AH102" s="41">
        <v>4814696</v>
      </c>
      <c r="AI102" s="41">
        <v>4955302</v>
      </c>
      <c r="AJ102" s="41">
        <v>5098594</v>
      </c>
      <c r="AK102" s="41">
        <v>5244677</v>
      </c>
      <c r="AL102" s="41">
        <v>5394416</v>
      </c>
      <c r="AM102" s="41">
        <v>5548969</v>
      </c>
      <c r="AN102" s="41">
        <v>5709010</v>
      </c>
      <c r="AO102" s="41">
        <v>5874814</v>
      </c>
      <c r="AP102" s="41">
        <v>6045704</v>
      </c>
      <c r="AQ102" s="41">
        <v>6220405</v>
      </c>
      <c r="AR102" s="41">
        <v>6397140</v>
      </c>
      <c r="AS102" s="41">
        <v>6574510</v>
      </c>
      <c r="AT102" s="41">
        <v>6751912</v>
      </c>
      <c r="AU102" s="41">
        <v>6929267</v>
      </c>
      <c r="AV102" s="41">
        <v>7106323</v>
      </c>
      <c r="AW102" s="41">
        <v>7282953</v>
      </c>
      <c r="AX102" s="41">
        <v>7458982</v>
      </c>
      <c r="AY102" s="41">
        <v>7634295</v>
      </c>
      <c r="AZ102" s="41">
        <v>7808520</v>
      </c>
      <c r="BA102" s="41">
        <v>7980955</v>
      </c>
      <c r="BB102" s="41">
        <v>8150780</v>
      </c>
      <c r="BC102" s="41">
        <v>8317467</v>
      </c>
      <c r="BD102" s="41">
        <v>8480670</v>
      </c>
      <c r="BE102" s="41">
        <v>8640692</v>
      </c>
      <c r="BF102" s="41">
        <v>8798524</v>
      </c>
      <c r="BG102" s="41">
        <v>8955579</v>
      </c>
      <c r="BH102" s="41">
        <v>9112904</v>
      </c>
      <c r="BI102" s="41">
        <v>9270794</v>
      </c>
      <c r="BJ102" s="41">
        <v>9429016</v>
      </c>
      <c r="BK102" s="41">
        <v>9587523</v>
      </c>
      <c r="BL102" s="41">
        <v>9746115</v>
      </c>
      <c r="BM102" s="41">
        <v>9904608</v>
      </c>
    </row>
    <row r="103" spans="1:65" x14ac:dyDescent="0.35">
      <c r="A103" s="41" t="s">
        <v>302</v>
      </c>
      <c r="B103" s="41" t="s">
        <v>303</v>
      </c>
      <c r="C103" s="41" t="s">
        <v>666</v>
      </c>
      <c r="D103" s="41" t="s">
        <v>667</v>
      </c>
      <c r="E103" s="41">
        <v>161734348</v>
      </c>
      <c r="F103" s="41">
        <v>165573136</v>
      </c>
      <c r="G103" s="41">
        <v>169567052</v>
      </c>
      <c r="H103" s="41">
        <v>173722891</v>
      </c>
      <c r="I103" s="41">
        <v>178048131</v>
      </c>
      <c r="J103" s="41">
        <v>182548798</v>
      </c>
      <c r="K103" s="41">
        <v>187227553</v>
      </c>
      <c r="L103" s="41">
        <v>192084675</v>
      </c>
      <c r="M103" s="41">
        <v>197119416</v>
      </c>
      <c r="N103" s="41">
        <v>202329958</v>
      </c>
      <c r="O103" s="41">
        <v>207714326</v>
      </c>
      <c r="P103" s="41">
        <v>213272593</v>
      </c>
      <c r="Q103" s="41">
        <v>219004306</v>
      </c>
      <c r="R103" s="41">
        <v>224905337</v>
      </c>
      <c r="S103" s="41">
        <v>230970270</v>
      </c>
      <c r="T103" s="41">
        <v>237195030</v>
      </c>
      <c r="U103" s="41">
        <v>243590882</v>
      </c>
      <c r="V103" s="41">
        <v>250160343</v>
      </c>
      <c r="W103" s="41">
        <v>256880818</v>
      </c>
      <c r="X103" s="41">
        <v>263721632</v>
      </c>
      <c r="Y103" s="41">
        <v>270668519</v>
      </c>
      <c r="Z103" s="41">
        <v>277719154</v>
      </c>
      <c r="AA103" s="41">
        <v>284905161</v>
      </c>
      <c r="AB103" s="41">
        <v>292290400</v>
      </c>
      <c r="AC103" s="41">
        <v>299959455</v>
      </c>
      <c r="AD103" s="41">
        <v>307980326</v>
      </c>
      <c r="AE103" s="41">
        <v>316358167</v>
      </c>
      <c r="AF103" s="41">
        <v>325095129</v>
      </c>
      <c r="AG103" s="41">
        <v>334249174</v>
      </c>
      <c r="AH103" s="41">
        <v>343887503</v>
      </c>
      <c r="AI103" s="41">
        <v>354047283</v>
      </c>
      <c r="AJ103" s="41">
        <v>364782214</v>
      </c>
      <c r="AK103" s="41">
        <v>376055877</v>
      </c>
      <c r="AL103" s="41">
        <v>387705086</v>
      </c>
      <c r="AM103" s="41">
        <v>399503994</v>
      </c>
      <c r="AN103" s="41">
        <v>411298637</v>
      </c>
      <c r="AO103" s="41">
        <v>423019239</v>
      </c>
      <c r="AP103" s="41">
        <v>434736157</v>
      </c>
      <c r="AQ103" s="41">
        <v>446608371</v>
      </c>
      <c r="AR103" s="41">
        <v>458867418</v>
      </c>
      <c r="AS103" s="41">
        <v>471680803</v>
      </c>
      <c r="AT103" s="41">
        <v>485112670</v>
      </c>
      <c r="AU103" s="41">
        <v>499113608</v>
      </c>
      <c r="AV103" s="41">
        <v>513601222</v>
      </c>
      <c r="AW103" s="41">
        <v>528444638</v>
      </c>
      <c r="AX103" s="41">
        <v>543555314</v>
      </c>
      <c r="AY103" s="41">
        <v>558909246</v>
      </c>
      <c r="AZ103" s="41">
        <v>574560319</v>
      </c>
      <c r="BA103" s="41">
        <v>590590409</v>
      </c>
      <c r="BB103" s="41">
        <v>607115601</v>
      </c>
      <c r="BC103" s="41">
        <v>624219296</v>
      </c>
      <c r="BD103" s="41">
        <v>641921373</v>
      </c>
      <c r="BE103" s="41">
        <v>660193919</v>
      </c>
      <c r="BF103" s="41">
        <v>679013004</v>
      </c>
      <c r="BG103" s="41">
        <v>698336663</v>
      </c>
      <c r="BH103" s="41">
        <v>718128408</v>
      </c>
      <c r="BI103" s="41">
        <v>738387077</v>
      </c>
      <c r="BJ103" s="41">
        <v>759106118</v>
      </c>
      <c r="BK103" s="41">
        <v>780234453</v>
      </c>
      <c r="BL103" s="41">
        <v>801708019</v>
      </c>
      <c r="BM103" s="41">
        <v>823480038</v>
      </c>
    </row>
    <row r="104" spans="1:65" x14ac:dyDescent="0.35">
      <c r="A104" s="41" t="s">
        <v>304</v>
      </c>
      <c r="B104" s="41" t="s">
        <v>305</v>
      </c>
      <c r="C104" s="41" t="s">
        <v>666</v>
      </c>
      <c r="D104" s="41" t="s">
        <v>667</v>
      </c>
      <c r="E104" s="41">
        <v>4140181</v>
      </c>
      <c r="F104" s="41">
        <v>4167292</v>
      </c>
      <c r="G104" s="41">
        <v>4196712</v>
      </c>
      <c r="H104" s="41">
        <v>4225675</v>
      </c>
      <c r="I104" s="41">
        <v>4252876</v>
      </c>
      <c r="J104" s="41">
        <v>4280923</v>
      </c>
      <c r="K104" s="41">
        <v>4310701</v>
      </c>
      <c r="L104" s="41">
        <v>4338683</v>
      </c>
      <c r="M104" s="41">
        <v>4365628</v>
      </c>
      <c r="N104" s="41">
        <v>4391490</v>
      </c>
      <c r="O104" s="41">
        <v>4412252</v>
      </c>
      <c r="P104" s="41">
        <v>4431275</v>
      </c>
      <c r="Q104" s="41">
        <v>4450564</v>
      </c>
      <c r="R104" s="41">
        <v>4470161</v>
      </c>
      <c r="S104" s="41">
        <v>4490660</v>
      </c>
      <c r="T104" s="41">
        <v>4512082</v>
      </c>
      <c r="U104" s="41">
        <v>4535934</v>
      </c>
      <c r="V104" s="41">
        <v>4559571</v>
      </c>
      <c r="W104" s="41">
        <v>4581085</v>
      </c>
      <c r="X104" s="41">
        <v>4594778</v>
      </c>
      <c r="Y104" s="41">
        <v>4599782</v>
      </c>
      <c r="Z104" s="41">
        <v>4611509</v>
      </c>
      <c r="AA104" s="41">
        <v>4634234</v>
      </c>
      <c r="AB104" s="41">
        <v>4658254</v>
      </c>
      <c r="AC104" s="41">
        <v>4680285</v>
      </c>
      <c r="AD104" s="41">
        <v>4701417</v>
      </c>
      <c r="AE104" s="41">
        <v>4721446</v>
      </c>
      <c r="AF104" s="41">
        <v>4739745</v>
      </c>
      <c r="AG104" s="41">
        <v>4755207</v>
      </c>
      <c r="AH104" s="41">
        <v>4767260</v>
      </c>
      <c r="AI104" s="41">
        <v>4777368</v>
      </c>
      <c r="AJ104" s="41">
        <v>4689022</v>
      </c>
      <c r="AK104" s="41">
        <v>4575818</v>
      </c>
      <c r="AL104" s="41">
        <v>4600463</v>
      </c>
      <c r="AM104" s="41">
        <v>4652024</v>
      </c>
      <c r="AN104" s="41">
        <v>4620030</v>
      </c>
      <c r="AO104" s="41">
        <v>4557097</v>
      </c>
      <c r="AP104" s="41">
        <v>4534920</v>
      </c>
      <c r="AQ104" s="41">
        <v>4532135</v>
      </c>
      <c r="AR104" s="41">
        <v>4512597</v>
      </c>
      <c r="AS104" s="41">
        <v>4468302</v>
      </c>
      <c r="AT104" s="41">
        <v>4299642</v>
      </c>
      <c r="AU104" s="41">
        <v>4302174</v>
      </c>
      <c r="AV104" s="41">
        <v>4303399</v>
      </c>
      <c r="AW104" s="41">
        <v>4304600</v>
      </c>
      <c r="AX104" s="41">
        <v>4310145</v>
      </c>
      <c r="AY104" s="41">
        <v>4311159</v>
      </c>
      <c r="AZ104" s="41">
        <v>4310217</v>
      </c>
      <c r="BA104" s="41">
        <v>4309705</v>
      </c>
      <c r="BB104" s="41">
        <v>4305181</v>
      </c>
      <c r="BC104" s="41">
        <v>4295427</v>
      </c>
      <c r="BD104" s="41">
        <v>4280622</v>
      </c>
      <c r="BE104" s="41">
        <v>4267558</v>
      </c>
      <c r="BF104" s="41">
        <v>4255689</v>
      </c>
      <c r="BG104" s="41">
        <v>4238389</v>
      </c>
      <c r="BH104" s="41">
        <v>4203604</v>
      </c>
      <c r="BI104" s="41">
        <v>4174349</v>
      </c>
      <c r="BJ104" s="41">
        <v>4124531</v>
      </c>
      <c r="BK104" s="41">
        <v>4087843</v>
      </c>
      <c r="BL104" s="41">
        <v>4065253</v>
      </c>
      <c r="BM104" s="41">
        <v>4047200</v>
      </c>
    </row>
    <row r="105" spans="1:65" x14ac:dyDescent="0.35">
      <c r="A105" s="41" t="s">
        <v>306</v>
      </c>
      <c r="B105" s="41" t="s">
        <v>307</v>
      </c>
      <c r="C105" s="41" t="s">
        <v>666</v>
      </c>
      <c r="D105" s="41" t="s">
        <v>667</v>
      </c>
      <c r="E105" s="41">
        <v>3866162</v>
      </c>
      <c r="F105" s="41">
        <v>3941956</v>
      </c>
      <c r="G105" s="41">
        <v>4019171</v>
      </c>
      <c r="H105" s="41">
        <v>4097755</v>
      </c>
      <c r="I105" s="41">
        <v>4177631</v>
      </c>
      <c r="J105" s="41">
        <v>4258734</v>
      </c>
      <c r="K105" s="41">
        <v>4341325</v>
      </c>
      <c r="L105" s="41">
        <v>4425318</v>
      </c>
      <c r="M105" s="41">
        <v>4509811</v>
      </c>
      <c r="N105" s="41">
        <v>4593666</v>
      </c>
      <c r="O105" s="41">
        <v>4676237</v>
      </c>
      <c r="P105" s="41">
        <v>4757175</v>
      </c>
      <c r="Q105" s="41">
        <v>4837334</v>
      </c>
      <c r="R105" s="41">
        <v>4918625</v>
      </c>
      <c r="S105" s="41">
        <v>5003708</v>
      </c>
      <c r="T105" s="41">
        <v>5094570</v>
      </c>
      <c r="U105" s="41">
        <v>5191637</v>
      </c>
      <c r="V105" s="41">
        <v>5294625</v>
      </c>
      <c r="W105" s="41">
        <v>5404020</v>
      </c>
      <c r="X105" s="41">
        <v>5520187</v>
      </c>
      <c r="Y105" s="41">
        <v>5643175</v>
      </c>
      <c r="Z105" s="41">
        <v>5773367</v>
      </c>
      <c r="AA105" s="41">
        <v>5910223</v>
      </c>
      <c r="AB105" s="41">
        <v>6051617</v>
      </c>
      <c r="AC105" s="41">
        <v>6194686</v>
      </c>
      <c r="AD105" s="41">
        <v>6337275</v>
      </c>
      <c r="AE105" s="41">
        <v>6478537</v>
      </c>
      <c r="AF105" s="41">
        <v>6618742</v>
      </c>
      <c r="AG105" s="41">
        <v>6758222</v>
      </c>
      <c r="AH105" s="41">
        <v>6897755</v>
      </c>
      <c r="AI105" s="41">
        <v>7037915</v>
      </c>
      <c r="AJ105" s="41">
        <v>7178611</v>
      </c>
      <c r="AK105" s="41">
        <v>7319491</v>
      </c>
      <c r="AL105" s="41">
        <v>7460684</v>
      </c>
      <c r="AM105" s="41">
        <v>7602318</v>
      </c>
      <c r="AN105" s="41">
        <v>7744509</v>
      </c>
      <c r="AO105" s="41">
        <v>7887312</v>
      </c>
      <c r="AP105" s="41">
        <v>8030721</v>
      </c>
      <c r="AQ105" s="41">
        <v>8174680</v>
      </c>
      <c r="AR105" s="41">
        <v>8319070</v>
      </c>
      <c r="AS105" s="41">
        <v>8463802</v>
      </c>
      <c r="AT105" s="41">
        <v>8608810</v>
      </c>
      <c r="AU105" s="41">
        <v>8754148</v>
      </c>
      <c r="AV105" s="41">
        <v>8900108</v>
      </c>
      <c r="AW105" s="41">
        <v>9047082</v>
      </c>
      <c r="AX105" s="41">
        <v>9195289</v>
      </c>
      <c r="AY105" s="41">
        <v>9344784</v>
      </c>
      <c r="AZ105" s="41">
        <v>9495336</v>
      </c>
      <c r="BA105" s="41">
        <v>9646570</v>
      </c>
      <c r="BB105" s="41">
        <v>9798046</v>
      </c>
      <c r="BC105" s="41">
        <v>9949318</v>
      </c>
      <c r="BD105" s="41">
        <v>10100320</v>
      </c>
      <c r="BE105" s="41">
        <v>10250922</v>
      </c>
      <c r="BF105" s="41">
        <v>10400672</v>
      </c>
      <c r="BG105" s="41">
        <v>10549007</v>
      </c>
      <c r="BH105" s="41">
        <v>10695540</v>
      </c>
      <c r="BI105" s="41">
        <v>10839976</v>
      </c>
      <c r="BJ105" s="41">
        <v>10982367</v>
      </c>
      <c r="BK105" s="41">
        <v>11123183</v>
      </c>
      <c r="BL105" s="41">
        <v>11263079</v>
      </c>
      <c r="BM105" s="41">
        <v>11402533</v>
      </c>
    </row>
    <row r="106" spans="1:65" x14ac:dyDescent="0.35">
      <c r="A106" s="41" t="s">
        <v>308</v>
      </c>
      <c r="B106" s="41" t="s">
        <v>309</v>
      </c>
      <c r="C106" s="41" t="s">
        <v>666</v>
      </c>
      <c r="D106" s="41" t="s">
        <v>667</v>
      </c>
      <c r="E106" s="41">
        <v>9983967</v>
      </c>
      <c r="F106" s="41">
        <v>10029321</v>
      </c>
      <c r="G106" s="41">
        <v>10061734</v>
      </c>
      <c r="H106" s="41">
        <v>10087947</v>
      </c>
      <c r="I106" s="41">
        <v>10119835</v>
      </c>
      <c r="J106" s="41">
        <v>10147935</v>
      </c>
      <c r="K106" s="41">
        <v>10178653</v>
      </c>
      <c r="L106" s="41">
        <v>10216604</v>
      </c>
      <c r="M106" s="41">
        <v>10255815</v>
      </c>
      <c r="N106" s="41">
        <v>10298723</v>
      </c>
      <c r="O106" s="41">
        <v>10337910</v>
      </c>
      <c r="P106" s="41">
        <v>10367537</v>
      </c>
      <c r="Q106" s="41">
        <v>10398489</v>
      </c>
      <c r="R106" s="41">
        <v>10432055</v>
      </c>
      <c r="S106" s="41">
        <v>10478720</v>
      </c>
      <c r="T106" s="41">
        <v>10540525</v>
      </c>
      <c r="U106" s="41">
        <v>10598677</v>
      </c>
      <c r="V106" s="41">
        <v>10648031</v>
      </c>
      <c r="W106" s="41">
        <v>10684822</v>
      </c>
      <c r="X106" s="41">
        <v>10704152</v>
      </c>
      <c r="Y106" s="41">
        <v>10711122</v>
      </c>
      <c r="Z106" s="41">
        <v>10711848</v>
      </c>
      <c r="AA106" s="41">
        <v>10705535</v>
      </c>
      <c r="AB106" s="41">
        <v>10689463</v>
      </c>
      <c r="AC106" s="41">
        <v>10668095</v>
      </c>
      <c r="AD106" s="41">
        <v>10648713</v>
      </c>
      <c r="AE106" s="41">
        <v>10630564</v>
      </c>
      <c r="AF106" s="41">
        <v>10612741</v>
      </c>
      <c r="AG106" s="41">
        <v>10596487</v>
      </c>
      <c r="AH106" s="41">
        <v>10481719</v>
      </c>
      <c r="AI106" s="41">
        <v>10373988</v>
      </c>
      <c r="AJ106" s="41">
        <v>10373400</v>
      </c>
      <c r="AK106" s="41">
        <v>10369341</v>
      </c>
      <c r="AL106" s="41">
        <v>10357523</v>
      </c>
      <c r="AM106" s="41">
        <v>10343355</v>
      </c>
      <c r="AN106" s="41">
        <v>10328965</v>
      </c>
      <c r="AO106" s="41">
        <v>10311238</v>
      </c>
      <c r="AP106" s="41">
        <v>10290486</v>
      </c>
      <c r="AQ106" s="41">
        <v>10266570</v>
      </c>
      <c r="AR106" s="41">
        <v>10237530</v>
      </c>
      <c r="AS106" s="41">
        <v>10210971</v>
      </c>
      <c r="AT106" s="41">
        <v>10187576</v>
      </c>
      <c r="AU106" s="41">
        <v>10158608</v>
      </c>
      <c r="AV106" s="41">
        <v>10129552</v>
      </c>
      <c r="AW106" s="41">
        <v>10107146</v>
      </c>
      <c r="AX106" s="41">
        <v>10087065</v>
      </c>
      <c r="AY106" s="41">
        <v>10071370</v>
      </c>
      <c r="AZ106" s="41">
        <v>10055780</v>
      </c>
      <c r="BA106" s="41">
        <v>10038188</v>
      </c>
      <c r="BB106" s="41">
        <v>10022650</v>
      </c>
      <c r="BC106" s="41">
        <v>10000023</v>
      </c>
      <c r="BD106" s="41">
        <v>9971727</v>
      </c>
      <c r="BE106" s="41">
        <v>9920362</v>
      </c>
      <c r="BF106" s="41">
        <v>9893082</v>
      </c>
      <c r="BG106" s="41">
        <v>9866468</v>
      </c>
      <c r="BH106" s="41">
        <v>9843028</v>
      </c>
      <c r="BI106" s="41">
        <v>9814023</v>
      </c>
      <c r="BJ106" s="41">
        <v>9787966</v>
      </c>
      <c r="BK106" s="41">
        <v>9775564</v>
      </c>
      <c r="BL106" s="41">
        <v>9771141</v>
      </c>
      <c r="BM106" s="41">
        <v>9749763</v>
      </c>
    </row>
    <row r="107" spans="1:65" x14ac:dyDescent="0.35">
      <c r="A107" s="41" t="s">
        <v>310</v>
      </c>
      <c r="B107" s="41" t="s">
        <v>311</v>
      </c>
      <c r="C107" s="41" t="s">
        <v>666</v>
      </c>
      <c r="D107" s="41" t="s">
        <v>667</v>
      </c>
      <c r="E107" s="41">
        <v>1919643259</v>
      </c>
      <c r="F107" s="41">
        <v>1940356959</v>
      </c>
      <c r="G107" s="41">
        <v>1974018983</v>
      </c>
      <c r="H107" s="41">
        <v>2019553695</v>
      </c>
      <c r="I107" s="41">
        <v>2065153294</v>
      </c>
      <c r="J107" s="41">
        <v>2111931236</v>
      </c>
      <c r="K107" s="41">
        <v>2161881347</v>
      </c>
      <c r="L107" s="41">
        <v>2211446261</v>
      </c>
      <c r="M107" s="41">
        <v>2262350288</v>
      </c>
      <c r="N107" s="41">
        <v>2315407668</v>
      </c>
      <c r="O107" s="41">
        <v>2369907013</v>
      </c>
      <c r="P107" s="41">
        <v>2425733326</v>
      </c>
      <c r="Q107" s="41">
        <v>2480636089</v>
      </c>
      <c r="R107" s="41">
        <v>2535259156</v>
      </c>
      <c r="S107" s="41">
        <v>2589035943</v>
      </c>
      <c r="T107" s="41">
        <v>2641036429</v>
      </c>
      <c r="U107" s="41">
        <v>2691929607</v>
      </c>
      <c r="V107" s="41">
        <v>2741759767</v>
      </c>
      <c r="W107" s="41">
        <v>2792102883</v>
      </c>
      <c r="X107" s="41">
        <v>2843436775</v>
      </c>
      <c r="Y107" s="41">
        <v>2895270850</v>
      </c>
      <c r="Z107" s="41">
        <v>2948643246</v>
      </c>
      <c r="AA107" s="41">
        <v>3004914790</v>
      </c>
      <c r="AB107" s="41">
        <v>3061809639</v>
      </c>
      <c r="AC107" s="41">
        <v>3118212761</v>
      </c>
      <c r="AD107" s="41">
        <v>3175484847</v>
      </c>
      <c r="AE107" s="41">
        <v>3234352999</v>
      </c>
      <c r="AF107" s="41">
        <v>3294789920</v>
      </c>
      <c r="AG107" s="41">
        <v>3355391546</v>
      </c>
      <c r="AH107" s="41">
        <v>3414926034</v>
      </c>
      <c r="AI107" s="41">
        <v>3472779184</v>
      </c>
      <c r="AJ107" s="41">
        <v>3529273044</v>
      </c>
      <c r="AK107" s="41">
        <v>3583653536</v>
      </c>
      <c r="AL107" s="41">
        <v>3636953664</v>
      </c>
      <c r="AM107" s="41">
        <v>3689444601</v>
      </c>
      <c r="AN107" s="41">
        <v>3740821661</v>
      </c>
      <c r="AO107" s="41">
        <v>3791695832</v>
      </c>
      <c r="AP107" s="41">
        <v>3842266104</v>
      </c>
      <c r="AQ107" s="41">
        <v>3892059002</v>
      </c>
      <c r="AR107" s="41">
        <v>3940459628</v>
      </c>
      <c r="AS107" s="41">
        <v>3987195302</v>
      </c>
      <c r="AT107" s="41">
        <v>4032822479</v>
      </c>
      <c r="AU107" s="41">
        <v>4077663917</v>
      </c>
      <c r="AV107" s="41">
        <v>4122166290</v>
      </c>
      <c r="AW107" s="41">
        <v>4166322561</v>
      </c>
      <c r="AX107" s="41">
        <v>4210325668</v>
      </c>
      <c r="AY107" s="41">
        <v>4253873210</v>
      </c>
      <c r="AZ107" s="41">
        <v>4296873722</v>
      </c>
      <c r="BA107" s="41">
        <v>4340127558</v>
      </c>
      <c r="BB107" s="41">
        <v>4383703227</v>
      </c>
      <c r="BC107" s="41">
        <v>4427061950</v>
      </c>
      <c r="BD107" s="41">
        <v>4471052457</v>
      </c>
      <c r="BE107" s="41">
        <v>4515480155</v>
      </c>
      <c r="BF107" s="41">
        <v>4560237588</v>
      </c>
      <c r="BG107" s="41">
        <v>4604818094</v>
      </c>
      <c r="BH107" s="41">
        <v>4648913836</v>
      </c>
      <c r="BI107" s="41">
        <v>4692822905</v>
      </c>
      <c r="BJ107" s="41">
        <v>4736245535</v>
      </c>
      <c r="BK107" s="41">
        <v>4777365115</v>
      </c>
      <c r="BL107" s="41">
        <v>4816232592</v>
      </c>
      <c r="BM107" s="41">
        <v>4853608684</v>
      </c>
    </row>
    <row r="108" spans="1:65" x14ac:dyDescent="0.35">
      <c r="A108" s="41" t="s">
        <v>312</v>
      </c>
      <c r="B108" s="41" t="s">
        <v>313</v>
      </c>
      <c r="C108" s="41" t="s">
        <v>666</v>
      </c>
      <c r="D108" s="41" t="s">
        <v>667</v>
      </c>
      <c r="E108" s="41">
        <v>2299245319</v>
      </c>
      <c r="F108" s="41">
        <v>2329154652</v>
      </c>
      <c r="G108" s="41">
        <v>2372380699</v>
      </c>
      <c r="H108" s="41">
        <v>2427869417</v>
      </c>
      <c r="I108" s="41">
        <v>2483839827</v>
      </c>
      <c r="J108" s="41">
        <v>2541414856</v>
      </c>
      <c r="K108" s="41">
        <v>2602626879</v>
      </c>
      <c r="L108" s="41">
        <v>2663895780</v>
      </c>
      <c r="M108" s="41">
        <v>2726850543</v>
      </c>
      <c r="N108" s="41">
        <v>2792171255</v>
      </c>
      <c r="O108" s="41">
        <v>2859058030</v>
      </c>
      <c r="P108" s="41">
        <v>2927364907</v>
      </c>
      <c r="Q108" s="41">
        <v>2994908497</v>
      </c>
      <c r="R108" s="41">
        <v>3062459678</v>
      </c>
      <c r="S108" s="41">
        <v>3129647875</v>
      </c>
      <c r="T108" s="41">
        <v>3195675150</v>
      </c>
      <c r="U108" s="41">
        <v>3261263509</v>
      </c>
      <c r="V108" s="41">
        <v>3326428526</v>
      </c>
      <c r="W108" s="41">
        <v>3392709227</v>
      </c>
      <c r="X108" s="41">
        <v>3460519136</v>
      </c>
      <c r="Y108" s="41">
        <v>3529315742</v>
      </c>
      <c r="Z108" s="41">
        <v>3600136821</v>
      </c>
      <c r="AA108" s="41">
        <v>3674370514</v>
      </c>
      <c r="AB108" s="41">
        <v>3749764704</v>
      </c>
      <c r="AC108" s="41">
        <v>3825225748</v>
      </c>
      <c r="AD108" s="41">
        <v>3902131693</v>
      </c>
      <c r="AE108" s="41">
        <v>3981206664</v>
      </c>
      <c r="AF108" s="41">
        <v>4062409031</v>
      </c>
      <c r="AG108" s="41">
        <v>4144329655</v>
      </c>
      <c r="AH108" s="41">
        <v>4225751603</v>
      </c>
      <c r="AI108" s="41">
        <v>4306143198</v>
      </c>
      <c r="AJ108" s="41">
        <v>4385563803</v>
      </c>
      <c r="AK108" s="41">
        <v>4463427809</v>
      </c>
      <c r="AL108" s="41">
        <v>4540599387</v>
      </c>
      <c r="AM108" s="41">
        <v>4617237223</v>
      </c>
      <c r="AN108" s="41">
        <v>4693044112</v>
      </c>
      <c r="AO108" s="41">
        <v>4768632853</v>
      </c>
      <c r="AP108" s="41">
        <v>4844173689</v>
      </c>
      <c r="AQ108" s="41">
        <v>4919046237</v>
      </c>
      <c r="AR108" s="41">
        <v>4992708011</v>
      </c>
      <c r="AS108" s="41">
        <v>5065364303</v>
      </c>
      <c r="AT108" s="41">
        <v>5137401800</v>
      </c>
      <c r="AU108" s="41">
        <v>5209100179</v>
      </c>
      <c r="AV108" s="41">
        <v>5280932681</v>
      </c>
      <c r="AW108" s="41">
        <v>5352930991</v>
      </c>
      <c r="AX108" s="41">
        <v>5425296669</v>
      </c>
      <c r="AY108" s="41">
        <v>5497791266</v>
      </c>
      <c r="AZ108" s="41">
        <v>5570347436</v>
      </c>
      <c r="BA108" s="41">
        <v>5643704018</v>
      </c>
      <c r="BB108" s="41">
        <v>5717826420</v>
      </c>
      <c r="BC108" s="41">
        <v>5792408567</v>
      </c>
      <c r="BD108" s="41">
        <v>5867926277</v>
      </c>
      <c r="BE108" s="41">
        <v>5943942309</v>
      </c>
      <c r="BF108" s="41">
        <v>6020848836</v>
      </c>
      <c r="BG108" s="41">
        <v>6098309666</v>
      </c>
      <c r="BH108" s="41">
        <v>6176132700</v>
      </c>
      <c r="BI108" s="41">
        <v>6254651557</v>
      </c>
      <c r="BJ108" s="41">
        <v>6333519283</v>
      </c>
      <c r="BK108" s="41">
        <v>6410926655</v>
      </c>
      <c r="BL108" s="41">
        <v>6486925157</v>
      </c>
      <c r="BM108" s="41">
        <v>6562212357</v>
      </c>
    </row>
    <row r="109" spans="1:65" x14ac:dyDescent="0.35">
      <c r="A109" s="41" t="s">
        <v>314</v>
      </c>
      <c r="B109" s="41" t="s">
        <v>315</v>
      </c>
      <c r="C109" s="41" t="s">
        <v>666</v>
      </c>
      <c r="D109" s="41" t="s">
        <v>667</v>
      </c>
      <c r="E109" s="41">
        <v>379602060</v>
      </c>
      <c r="F109" s="41">
        <v>388797693</v>
      </c>
      <c r="G109" s="41">
        <v>398361716</v>
      </c>
      <c r="H109" s="41">
        <v>408315722</v>
      </c>
      <c r="I109" s="41">
        <v>418686533</v>
      </c>
      <c r="J109" s="41">
        <v>429483620</v>
      </c>
      <c r="K109" s="41">
        <v>440745532</v>
      </c>
      <c r="L109" s="41">
        <v>452449519</v>
      </c>
      <c r="M109" s="41">
        <v>464500255</v>
      </c>
      <c r="N109" s="41">
        <v>476763587</v>
      </c>
      <c r="O109" s="41">
        <v>489151017</v>
      </c>
      <c r="P109" s="41">
        <v>501631581</v>
      </c>
      <c r="Q109" s="41">
        <v>514272408</v>
      </c>
      <c r="R109" s="41">
        <v>527200522</v>
      </c>
      <c r="S109" s="41">
        <v>540611932</v>
      </c>
      <c r="T109" s="41">
        <v>554638721</v>
      </c>
      <c r="U109" s="41">
        <v>569333902</v>
      </c>
      <c r="V109" s="41">
        <v>584668759</v>
      </c>
      <c r="W109" s="41">
        <v>600606344</v>
      </c>
      <c r="X109" s="41">
        <v>617082361</v>
      </c>
      <c r="Y109" s="41">
        <v>634044892</v>
      </c>
      <c r="Z109" s="41">
        <v>651493575</v>
      </c>
      <c r="AA109" s="41">
        <v>669455724</v>
      </c>
      <c r="AB109" s="41">
        <v>687955065</v>
      </c>
      <c r="AC109" s="41">
        <v>707012987</v>
      </c>
      <c r="AD109" s="41">
        <v>726646846</v>
      </c>
      <c r="AE109" s="41">
        <v>746853665</v>
      </c>
      <c r="AF109" s="41">
        <v>767619111</v>
      </c>
      <c r="AG109" s="41">
        <v>788938109</v>
      </c>
      <c r="AH109" s="41">
        <v>810825569</v>
      </c>
      <c r="AI109" s="41">
        <v>833364014</v>
      </c>
      <c r="AJ109" s="41">
        <v>856290759</v>
      </c>
      <c r="AK109" s="41">
        <v>879774273</v>
      </c>
      <c r="AL109" s="41">
        <v>903645723</v>
      </c>
      <c r="AM109" s="41">
        <v>927792622</v>
      </c>
      <c r="AN109" s="41">
        <v>952222451</v>
      </c>
      <c r="AO109" s="41">
        <v>976937021</v>
      </c>
      <c r="AP109" s="41">
        <v>1001907585</v>
      </c>
      <c r="AQ109" s="41">
        <v>1026987235</v>
      </c>
      <c r="AR109" s="41">
        <v>1052248383</v>
      </c>
      <c r="AS109" s="41">
        <v>1078169001</v>
      </c>
      <c r="AT109" s="41">
        <v>1104579321</v>
      </c>
      <c r="AU109" s="41">
        <v>1131436262</v>
      </c>
      <c r="AV109" s="41">
        <v>1158766391</v>
      </c>
      <c r="AW109" s="41">
        <v>1186608430</v>
      </c>
      <c r="AX109" s="41">
        <v>1214971001</v>
      </c>
      <c r="AY109" s="41">
        <v>1243918056</v>
      </c>
      <c r="AZ109" s="41">
        <v>1273473714</v>
      </c>
      <c r="BA109" s="41">
        <v>1303576460</v>
      </c>
      <c r="BB109" s="41">
        <v>1334123193</v>
      </c>
      <c r="BC109" s="41">
        <v>1365346617</v>
      </c>
      <c r="BD109" s="41">
        <v>1396873820</v>
      </c>
      <c r="BE109" s="41">
        <v>1428462154</v>
      </c>
      <c r="BF109" s="41">
        <v>1460611248</v>
      </c>
      <c r="BG109" s="41">
        <v>1493491572</v>
      </c>
      <c r="BH109" s="41">
        <v>1527218864</v>
      </c>
      <c r="BI109" s="41">
        <v>1561828652</v>
      </c>
      <c r="BJ109" s="41">
        <v>1597273748</v>
      </c>
      <c r="BK109" s="41">
        <v>1633561540</v>
      </c>
      <c r="BL109" s="41">
        <v>1670692565</v>
      </c>
      <c r="BM109" s="41">
        <v>1708603673</v>
      </c>
    </row>
    <row r="110" spans="1:65" x14ac:dyDescent="0.35">
      <c r="A110" s="41" t="s">
        <v>316</v>
      </c>
      <c r="B110" s="41" t="s">
        <v>317</v>
      </c>
      <c r="C110" s="41" t="s">
        <v>666</v>
      </c>
      <c r="D110" s="41" t="s">
        <v>667</v>
      </c>
      <c r="E110" s="41">
        <v>120391642</v>
      </c>
      <c r="F110" s="41">
        <v>123270998</v>
      </c>
      <c r="G110" s="41">
        <v>126289838</v>
      </c>
      <c r="H110" s="41">
        <v>129443834</v>
      </c>
      <c r="I110" s="41">
        <v>132726682</v>
      </c>
      <c r="J110" s="41">
        <v>136134348</v>
      </c>
      <c r="K110" s="41">
        <v>139672971</v>
      </c>
      <c r="L110" s="41">
        <v>143347860</v>
      </c>
      <c r="M110" s="41">
        <v>147154758</v>
      </c>
      <c r="N110" s="41">
        <v>151087339</v>
      </c>
      <c r="O110" s="41">
        <v>155145837</v>
      </c>
      <c r="P110" s="41">
        <v>159323709</v>
      </c>
      <c r="Q110" s="41">
        <v>163635977</v>
      </c>
      <c r="R110" s="41">
        <v>168129765</v>
      </c>
      <c r="S110" s="41">
        <v>172867304</v>
      </c>
      <c r="T110" s="41">
        <v>177892039</v>
      </c>
      <c r="U110" s="41">
        <v>183221937</v>
      </c>
      <c r="V110" s="41">
        <v>188841826</v>
      </c>
      <c r="W110" s="41">
        <v>194720560</v>
      </c>
      <c r="X110" s="41">
        <v>200810543</v>
      </c>
      <c r="Y110" s="41">
        <v>207074946</v>
      </c>
      <c r="Z110" s="41">
        <v>213499720</v>
      </c>
      <c r="AA110" s="41">
        <v>220088448</v>
      </c>
      <c r="AB110" s="41">
        <v>226841896</v>
      </c>
      <c r="AC110" s="41">
        <v>233765810</v>
      </c>
      <c r="AD110" s="41">
        <v>240860675</v>
      </c>
      <c r="AE110" s="41">
        <v>248127780</v>
      </c>
      <c r="AF110" s="41">
        <v>255551895</v>
      </c>
      <c r="AG110" s="41">
        <v>263097505</v>
      </c>
      <c r="AH110" s="41">
        <v>270718966</v>
      </c>
      <c r="AI110" s="41">
        <v>278496624</v>
      </c>
      <c r="AJ110" s="41">
        <v>286142541</v>
      </c>
      <c r="AK110" s="41">
        <v>293874928</v>
      </c>
      <c r="AL110" s="41">
        <v>301679823</v>
      </c>
      <c r="AM110" s="41">
        <v>309568084</v>
      </c>
      <c r="AN110" s="41">
        <v>317616125</v>
      </c>
      <c r="AO110" s="41">
        <v>325908669</v>
      </c>
      <c r="AP110" s="41">
        <v>334399195</v>
      </c>
      <c r="AQ110" s="41">
        <v>342980973</v>
      </c>
      <c r="AR110" s="41">
        <v>351519915</v>
      </c>
      <c r="AS110" s="41">
        <v>360173395</v>
      </c>
      <c r="AT110" s="41">
        <v>368820674</v>
      </c>
      <c r="AU110" s="41">
        <v>377512139</v>
      </c>
      <c r="AV110" s="41">
        <v>386309887</v>
      </c>
      <c r="AW110" s="41">
        <v>395320129</v>
      </c>
      <c r="AX110" s="41">
        <v>404615733</v>
      </c>
      <c r="AY110" s="41">
        <v>414232540</v>
      </c>
      <c r="AZ110" s="41">
        <v>424192620</v>
      </c>
      <c r="BA110" s="41">
        <v>434469632</v>
      </c>
      <c r="BB110" s="41">
        <v>444998547</v>
      </c>
      <c r="BC110" s="41">
        <v>456049577</v>
      </c>
      <c r="BD110" s="41">
        <v>467267685</v>
      </c>
      <c r="BE110" s="41">
        <v>478335316</v>
      </c>
      <c r="BF110" s="41">
        <v>489624577</v>
      </c>
      <c r="BG110" s="41">
        <v>501146189</v>
      </c>
      <c r="BH110" s="41">
        <v>512877239</v>
      </c>
      <c r="BI110" s="41">
        <v>524794580</v>
      </c>
      <c r="BJ110" s="41">
        <v>536871945</v>
      </c>
      <c r="BK110" s="41">
        <v>549127807</v>
      </c>
      <c r="BL110" s="41">
        <v>561571929</v>
      </c>
      <c r="BM110" s="41">
        <v>574159138</v>
      </c>
    </row>
    <row r="111" spans="1:65" x14ac:dyDescent="0.35">
      <c r="A111" s="41" t="s">
        <v>318</v>
      </c>
      <c r="B111" s="41" t="s">
        <v>319</v>
      </c>
      <c r="C111" s="41" t="s">
        <v>666</v>
      </c>
      <c r="D111" s="41" t="s">
        <v>667</v>
      </c>
      <c r="E111" s="41">
        <v>87751066</v>
      </c>
      <c r="F111" s="41">
        <v>90098396</v>
      </c>
      <c r="G111" s="41">
        <v>92518373</v>
      </c>
      <c r="H111" s="41">
        <v>95015295</v>
      </c>
      <c r="I111" s="41">
        <v>97596728</v>
      </c>
      <c r="J111" s="41">
        <v>100267070</v>
      </c>
      <c r="K111" s="41">
        <v>103025423</v>
      </c>
      <c r="L111" s="41">
        <v>105865576</v>
      </c>
      <c r="M111" s="41">
        <v>108779926</v>
      </c>
      <c r="N111" s="41">
        <v>111758566</v>
      </c>
      <c r="O111" s="41">
        <v>114793179</v>
      </c>
      <c r="P111" s="41">
        <v>117880146</v>
      </c>
      <c r="Q111" s="41">
        <v>121017316</v>
      </c>
      <c r="R111" s="41">
        <v>124199693</v>
      </c>
      <c r="S111" s="41">
        <v>127422198</v>
      </c>
      <c r="T111" s="41">
        <v>130680730</v>
      </c>
      <c r="U111" s="41">
        <v>133966940</v>
      </c>
      <c r="V111" s="41">
        <v>137278057</v>
      </c>
      <c r="W111" s="41">
        <v>140621731</v>
      </c>
      <c r="X111" s="41">
        <v>144009844</v>
      </c>
      <c r="Y111" s="41">
        <v>147447834</v>
      </c>
      <c r="Z111" s="41">
        <v>150938222</v>
      </c>
      <c r="AA111" s="41">
        <v>154468235</v>
      </c>
      <c r="AB111" s="41">
        <v>158009248</v>
      </c>
      <c r="AC111" s="41">
        <v>161523353</v>
      </c>
      <c r="AD111" s="41">
        <v>164982452</v>
      </c>
      <c r="AE111" s="41">
        <v>168374287</v>
      </c>
      <c r="AF111" s="41">
        <v>171702756</v>
      </c>
      <c r="AG111" s="41">
        <v>174975953</v>
      </c>
      <c r="AH111" s="41">
        <v>178209147</v>
      </c>
      <c r="AI111" s="41">
        <v>181413398</v>
      </c>
      <c r="AJ111" s="41">
        <v>184591897</v>
      </c>
      <c r="AK111" s="41">
        <v>187739786</v>
      </c>
      <c r="AL111" s="41">
        <v>190851184</v>
      </c>
      <c r="AM111" s="41">
        <v>193917458</v>
      </c>
      <c r="AN111" s="41">
        <v>196934257</v>
      </c>
      <c r="AO111" s="41">
        <v>199901231</v>
      </c>
      <c r="AP111" s="41">
        <v>202826444</v>
      </c>
      <c r="AQ111" s="41">
        <v>205724597</v>
      </c>
      <c r="AR111" s="41">
        <v>208615171</v>
      </c>
      <c r="AS111" s="41">
        <v>211513822</v>
      </c>
      <c r="AT111" s="41">
        <v>214427419</v>
      </c>
      <c r="AU111" s="41">
        <v>217357790</v>
      </c>
      <c r="AV111" s="41">
        <v>220309473</v>
      </c>
      <c r="AW111" s="41">
        <v>223285666</v>
      </c>
      <c r="AX111" s="41">
        <v>226289468</v>
      </c>
      <c r="AY111" s="41">
        <v>229318262</v>
      </c>
      <c r="AZ111" s="41">
        <v>232374239</v>
      </c>
      <c r="BA111" s="41">
        <v>235469755</v>
      </c>
      <c r="BB111" s="41">
        <v>238620554</v>
      </c>
      <c r="BC111" s="41">
        <v>241834226</v>
      </c>
      <c r="BD111" s="41">
        <v>245115988</v>
      </c>
      <c r="BE111" s="41">
        <v>248451714</v>
      </c>
      <c r="BF111" s="41">
        <v>251805314</v>
      </c>
      <c r="BG111" s="41">
        <v>255128076</v>
      </c>
      <c r="BH111" s="41">
        <v>258383257</v>
      </c>
      <c r="BI111" s="41">
        <v>261556386</v>
      </c>
      <c r="BJ111" s="41">
        <v>264650969</v>
      </c>
      <c r="BK111" s="41">
        <v>267670549</v>
      </c>
      <c r="BL111" s="41">
        <v>270625567</v>
      </c>
      <c r="BM111" s="41">
        <v>273523621</v>
      </c>
    </row>
    <row r="112" spans="1:65" x14ac:dyDescent="0.35">
      <c r="A112" s="41" t="s">
        <v>320</v>
      </c>
      <c r="B112" s="41" t="s">
        <v>321</v>
      </c>
      <c r="C112" s="41" t="s">
        <v>666</v>
      </c>
      <c r="D112" s="41" t="s">
        <v>667</v>
      </c>
      <c r="E112" s="41">
        <v>259210418</v>
      </c>
      <c r="F112" s="41">
        <v>265526695</v>
      </c>
      <c r="G112" s="41">
        <v>272071878</v>
      </c>
      <c r="H112" s="41">
        <v>278871888</v>
      </c>
      <c r="I112" s="41">
        <v>285959851</v>
      </c>
      <c r="J112" s="41">
        <v>293349272</v>
      </c>
      <c r="K112" s="41">
        <v>301072561</v>
      </c>
      <c r="L112" s="41">
        <v>309101659</v>
      </c>
      <c r="M112" s="41">
        <v>317345497</v>
      </c>
      <c r="N112" s="41">
        <v>325676248</v>
      </c>
      <c r="O112" s="41">
        <v>334005180</v>
      </c>
      <c r="P112" s="41">
        <v>342307872</v>
      </c>
      <c r="Q112" s="41">
        <v>350636431</v>
      </c>
      <c r="R112" s="41">
        <v>359070757</v>
      </c>
      <c r="S112" s="41">
        <v>367744628</v>
      </c>
      <c r="T112" s="41">
        <v>376746682</v>
      </c>
      <c r="U112" s="41">
        <v>386111965</v>
      </c>
      <c r="V112" s="41">
        <v>395826933</v>
      </c>
      <c r="W112" s="41">
        <v>405885784</v>
      </c>
      <c r="X112" s="41">
        <v>416271818</v>
      </c>
      <c r="Y112" s="41">
        <v>426969946</v>
      </c>
      <c r="Z112" s="41">
        <v>437993855</v>
      </c>
      <c r="AA112" s="41">
        <v>449367276</v>
      </c>
      <c r="AB112" s="41">
        <v>461113169</v>
      </c>
      <c r="AC112" s="41">
        <v>473247177</v>
      </c>
      <c r="AD112" s="41">
        <v>485786171</v>
      </c>
      <c r="AE112" s="41">
        <v>498725885</v>
      </c>
      <c r="AF112" s="41">
        <v>512067216</v>
      </c>
      <c r="AG112" s="41">
        <v>525840604</v>
      </c>
      <c r="AH112" s="41">
        <v>540106603</v>
      </c>
      <c r="AI112" s="41">
        <v>554867390</v>
      </c>
      <c r="AJ112" s="41">
        <v>570148218</v>
      </c>
      <c r="AK112" s="41">
        <v>585899345</v>
      </c>
      <c r="AL112" s="41">
        <v>601965900</v>
      </c>
      <c r="AM112" s="41">
        <v>618224538</v>
      </c>
      <c r="AN112" s="41">
        <v>634606326</v>
      </c>
      <c r="AO112" s="41">
        <v>651028352</v>
      </c>
      <c r="AP112" s="41">
        <v>667508390</v>
      </c>
      <c r="AQ112" s="41">
        <v>684006262</v>
      </c>
      <c r="AR112" s="41">
        <v>700728468</v>
      </c>
      <c r="AS112" s="41">
        <v>717995606</v>
      </c>
      <c r="AT112" s="41">
        <v>735758647</v>
      </c>
      <c r="AU112" s="41">
        <v>753924123</v>
      </c>
      <c r="AV112" s="41">
        <v>772456504</v>
      </c>
      <c r="AW112" s="41">
        <v>791288301</v>
      </c>
      <c r="AX112" s="41">
        <v>810355268</v>
      </c>
      <c r="AY112" s="41">
        <v>829685516</v>
      </c>
      <c r="AZ112" s="41">
        <v>849281094</v>
      </c>
      <c r="BA112" s="41">
        <v>869106828</v>
      </c>
      <c r="BB112" s="41">
        <v>889124646</v>
      </c>
      <c r="BC112" s="41">
        <v>909297040</v>
      </c>
      <c r="BD112" s="41">
        <v>929606135</v>
      </c>
      <c r="BE112" s="41">
        <v>950126838</v>
      </c>
      <c r="BF112" s="41">
        <v>970986671</v>
      </c>
      <c r="BG112" s="41">
        <v>992345383</v>
      </c>
      <c r="BH112" s="41">
        <v>1014341625</v>
      </c>
      <c r="BI112" s="41">
        <v>1037034072</v>
      </c>
      <c r="BJ112" s="41">
        <v>1060401803</v>
      </c>
      <c r="BK112" s="41">
        <v>1084433733</v>
      </c>
      <c r="BL112" s="41">
        <v>1109120636</v>
      </c>
      <c r="BM112" s="41">
        <v>1134444535</v>
      </c>
    </row>
    <row r="113" spans="1:65" x14ac:dyDescent="0.35">
      <c r="A113" s="41" t="s">
        <v>322</v>
      </c>
      <c r="B113" s="41" t="s">
        <v>323</v>
      </c>
      <c r="C113" s="41" t="s">
        <v>666</v>
      </c>
      <c r="D113" s="41" t="s">
        <v>667</v>
      </c>
      <c r="E113" s="41">
        <v>48444</v>
      </c>
      <c r="F113" s="41">
        <v>48286</v>
      </c>
      <c r="G113" s="41">
        <v>48421</v>
      </c>
      <c r="H113" s="41">
        <v>48800</v>
      </c>
      <c r="I113" s="41">
        <v>49396</v>
      </c>
      <c r="J113" s="41">
        <v>50145</v>
      </c>
      <c r="K113" s="41">
        <v>51051</v>
      </c>
      <c r="L113" s="41">
        <v>52117</v>
      </c>
      <c r="M113" s="41">
        <v>53252</v>
      </c>
      <c r="N113" s="41">
        <v>54378</v>
      </c>
      <c r="O113" s="41">
        <v>55431</v>
      </c>
      <c r="P113" s="41">
        <v>56352</v>
      </c>
      <c r="Q113" s="41">
        <v>57166</v>
      </c>
      <c r="R113" s="41">
        <v>57919</v>
      </c>
      <c r="S113" s="41">
        <v>58673</v>
      </c>
      <c r="T113" s="41">
        <v>59482</v>
      </c>
      <c r="U113" s="41">
        <v>60374</v>
      </c>
      <c r="V113" s="41">
        <v>61335</v>
      </c>
      <c r="W113" s="41">
        <v>62260</v>
      </c>
      <c r="X113" s="41">
        <v>63026</v>
      </c>
      <c r="Y113" s="41">
        <v>63546</v>
      </c>
      <c r="Z113" s="41">
        <v>63778</v>
      </c>
      <c r="AA113" s="41">
        <v>63765</v>
      </c>
      <c r="AB113" s="41">
        <v>63697</v>
      </c>
      <c r="AC113" s="41">
        <v>63812</v>
      </c>
      <c r="AD113" s="41">
        <v>64277</v>
      </c>
      <c r="AE113" s="41">
        <v>65200</v>
      </c>
      <c r="AF113" s="41">
        <v>66476</v>
      </c>
      <c r="AG113" s="41">
        <v>67927</v>
      </c>
      <c r="AH113" s="41">
        <v>69263</v>
      </c>
      <c r="AI113" s="41">
        <v>70292</v>
      </c>
      <c r="AJ113" s="41">
        <v>70928</v>
      </c>
      <c r="AK113" s="41">
        <v>71262</v>
      </c>
      <c r="AL113" s="41">
        <v>71431</v>
      </c>
      <c r="AM113" s="41">
        <v>71662</v>
      </c>
      <c r="AN113" s="41">
        <v>72133</v>
      </c>
      <c r="AO113" s="41">
        <v>72884</v>
      </c>
      <c r="AP113" s="41">
        <v>73851</v>
      </c>
      <c r="AQ113" s="41">
        <v>74936</v>
      </c>
      <c r="AR113" s="41">
        <v>75996</v>
      </c>
      <c r="AS113" s="41">
        <v>76942</v>
      </c>
      <c r="AT113" s="41">
        <v>77707</v>
      </c>
      <c r="AU113" s="41">
        <v>78318</v>
      </c>
      <c r="AV113" s="41">
        <v>78878</v>
      </c>
      <c r="AW113" s="41">
        <v>79515</v>
      </c>
      <c r="AX113" s="41">
        <v>80293</v>
      </c>
      <c r="AY113" s="41">
        <v>81283</v>
      </c>
      <c r="AZ113" s="41">
        <v>82406</v>
      </c>
      <c r="BA113" s="41">
        <v>83515</v>
      </c>
      <c r="BB113" s="41">
        <v>84379</v>
      </c>
      <c r="BC113" s="41">
        <v>84856</v>
      </c>
      <c r="BD113" s="41">
        <v>84889</v>
      </c>
      <c r="BE113" s="41">
        <v>84534</v>
      </c>
      <c r="BF113" s="41">
        <v>83985</v>
      </c>
      <c r="BG113" s="41">
        <v>83488</v>
      </c>
      <c r="BH113" s="41">
        <v>83232</v>
      </c>
      <c r="BI113" s="41">
        <v>83296</v>
      </c>
      <c r="BJ113" s="41">
        <v>83610</v>
      </c>
      <c r="BK113" s="41">
        <v>84073</v>
      </c>
      <c r="BL113" s="41">
        <v>84589</v>
      </c>
      <c r="BM113" s="41">
        <v>85032</v>
      </c>
    </row>
    <row r="114" spans="1:65" x14ac:dyDescent="0.35">
      <c r="A114" s="41" t="s">
        <v>324</v>
      </c>
      <c r="B114" s="41" t="s">
        <v>325</v>
      </c>
      <c r="C114" s="41" t="s">
        <v>666</v>
      </c>
      <c r="D114" s="41" t="s">
        <v>667</v>
      </c>
      <c r="E114" s="41">
        <v>450547675</v>
      </c>
      <c r="F114" s="41">
        <v>459642166</v>
      </c>
      <c r="G114" s="41">
        <v>469077191</v>
      </c>
      <c r="H114" s="41">
        <v>478825602</v>
      </c>
      <c r="I114" s="41">
        <v>488848139</v>
      </c>
      <c r="J114" s="41">
        <v>499123328</v>
      </c>
      <c r="K114" s="41">
        <v>509631509</v>
      </c>
      <c r="L114" s="41">
        <v>520400577</v>
      </c>
      <c r="M114" s="41">
        <v>531513834</v>
      </c>
      <c r="N114" s="41">
        <v>543084333</v>
      </c>
      <c r="O114" s="41">
        <v>555189797</v>
      </c>
      <c r="P114" s="41">
        <v>567868021</v>
      </c>
      <c r="Q114" s="41">
        <v>581087255</v>
      </c>
      <c r="R114" s="41">
        <v>594770136</v>
      </c>
      <c r="S114" s="41">
        <v>608802595</v>
      </c>
      <c r="T114" s="41">
        <v>623102900</v>
      </c>
      <c r="U114" s="41">
        <v>637630085</v>
      </c>
      <c r="V114" s="41">
        <v>652408766</v>
      </c>
      <c r="W114" s="41">
        <v>667499815</v>
      </c>
      <c r="X114" s="41">
        <v>682995348</v>
      </c>
      <c r="Y114" s="41">
        <v>698952837</v>
      </c>
      <c r="Z114" s="41">
        <v>715384997</v>
      </c>
      <c r="AA114" s="41">
        <v>732239498</v>
      </c>
      <c r="AB114" s="41">
        <v>749428958</v>
      </c>
      <c r="AC114" s="41">
        <v>766833411</v>
      </c>
      <c r="AD114" s="41">
        <v>784360012</v>
      </c>
      <c r="AE114" s="41">
        <v>801975250</v>
      </c>
      <c r="AF114" s="41">
        <v>819682095</v>
      </c>
      <c r="AG114" s="41">
        <v>837468938</v>
      </c>
      <c r="AH114" s="41">
        <v>855334675</v>
      </c>
      <c r="AI114" s="41">
        <v>873277799</v>
      </c>
      <c r="AJ114" s="41">
        <v>891273202</v>
      </c>
      <c r="AK114" s="41">
        <v>909307018</v>
      </c>
      <c r="AL114" s="41">
        <v>927403866</v>
      </c>
      <c r="AM114" s="41">
        <v>945601828</v>
      </c>
      <c r="AN114" s="41">
        <v>963922586</v>
      </c>
      <c r="AO114" s="41">
        <v>982365248</v>
      </c>
      <c r="AP114" s="41">
        <v>1000900028</v>
      </c>
      <c r="AQ114" s="41">
        <v>1019483586</v>
      </c>
      <c r="AR114" s="41">
        <v>1038058154</v>
      </c>
      <c r="AS114" s="41">
        <v>1056575548</v>
      </c>
      <c r="AT114" s="41">
        <v>1075000094</v>
      </c>
      <c r="AU114" s="41">
        <v>1093317187</v>
      </c>
      <c r="AV114" s="41">
        <v>1111523146</v>
      </c>
      <c r="AW114" s="41">
        <v>1129623466</v>
      </c>
      <c r="AX114" s="41">
        <v>1147609924</v>
      </c>
      <c r="AY114" s="41">
        <v>1165486291</v>
      </c>
      <c r="AZ114" s="41">
        <v>1183209471</v>
      </c>
      <c r="BA114" s="41">
        <v>1200669762</v>
      </c>
      <c r="BB114" s="41">
        <v>1217726217</v>
      </c>
      <c r="BC114" s="41">
        <v>1234281163</v>
      </c>
      <c r="BD114" s="41">
        <v>1250287939</v>
      </c>
      <c r="BE114" s="41">
        <v>1265780243</v>
      </c>
      <c r="BF114" s="41">
        <v>1280842119</v>
      </c>
      <c r="BG114" s="41">
        <v>1295600768</v>
      </c>
      <c r="BH114" s="41">
        <v>1310152392</v>
      </c>
      <c r="BI114" s="41">
        <v>1324517250</v>
      </c>
      <c r="BJ114" s="41">
        <v>1338676779</v>
      </c>
      <c r="BK114" s="41">
        <v>1352642283</v>
      </c>
      <c r="BL114" s="41">
        <v>1366417756</v>
      </c>
      <c r="BM114" s="41">
        <v>1380004385</v>
      </c>
    </row>
    <row r="115" spans="1:65" x14ac:dyDescent="0.35">
      <c r="A115" s="41" t="s">
        <v>326</v>
      </c>
      <c r="B115" s="41" t="s">
        <v>327</v>
      </c>
      <c r="C115" s="41" t="s">
        <v>666</v>
      </c>
      <c r="D115" s="41" t="s">
        <v>667</v>
      </c>
    </row>
    <row r="116" spans="1:65" x14ac:dyDescent="0.35">
      <c r="A116" s="41" t="s">
        <v>328</v>
      </c>
      <c r="B116" s="41" t="s">
        <v>329</v>
      </c>
      <c r="C116" s="41" t="s">
        <v>666</v>
      </c>
      <c r="D116" s="41" t="s">
        <v>667</v>
      </c>
      <c r="E116" s="41">
        <v>2828600</v>
      </c>
      <c r="F116" s="41">
        <v>2824400</v>
      </c>
      <c r="G116" s="41">
        <v>2836050</v>
      </c>
      <c r="H116" s="41">
        <v>2852650</v>
      </c>
      <c r="I116" s="41">
        <v>2866550</v>
      </c>
      <c r="J116" s="41">
        <v>2877300</v>
      </c>
      <c r="K116" s="41">
        <v>2888800</v>
      </c>
      <c r="L116" s="41">
        <v>2902450</v>
      </c>
      <c r="M116" s="41">
        <v>2915550</v>
      </c>
      <c r="N116" s="41">
        <v>2932650</v>
      </c>
      <c r="O116" s="41">
        <v>2957250</v>
      </c>
      <c r="P116" s="41">
        <v>2992050</v>
      </c>
      <c r="Q116" s="41">
        <v>3036850</v>
      </c>
      <c r="R116" s="41">
        <v>3085950</v>
      </c>
      <c r="S116" s="41">
        <v>3137500</v>
      </c>
      <c r="T116" s="41">
        <v>3189550</v>
      </c>
      <c r="U116" s="41">
        <v>3238050</v>
      </c>
      <c r="V116" s="41">
        <v>3282200</v>
      </c>
      <c r="W116" s="41">
        <v>3329100</v>
      </c>
      <c r="X116" s="41">
        <v>3373750</v>
      </c>
      <c r="Y116" s="41">
        <v>3412800</v>
      </c>
      <c r="Z116" s="41">
        <v>3453000</v>
      </c>
      <c r="AA116" s="41">
        <v>3485800</v>
      </c>
      <c r="AB116" s="41">
        <v>3510600</v>
      </c>
      <c r="AC116" s="41">
        <v>3532423</v>
      </c>
      <c r="AD116" s="41">
        <v>3538082</v>
      </c>
      <c r="AE116" s="41">
        <v>3539690</v>
      </c>
      <c r="AF116" s="41">
        <v>3540057</v>
      </c>
      <c r="AG116" s="41">
        <v>3524949</v>
      </c>
      <c r="AH116" s="41">
        <v>3511009</v>
      </c>
      <c r="AI116" s="41">
        <v>3513974</v>
      </c>
      <c r="AJ116" s="41">
        <v>3534235</v>
      </c>
      <c r="AK116" s="41">
        <v>3558430</v>
      </c>
      <c r="AL116" s="41">
        <v>3576261</v>
      </c>
      <c r="AM116" s="41">
        <v>3590386</v>
      </c>
      <c r="AN116" s="41">
        <v>3608841</v>
      </c>
      <c r="AO116" s="41">
        <v>3637510</v>
      </c>
      <c r="AP116" s="41">
        <v>3674171</v>
      </c>
      <c r="AQ116" s="41">
        <v>3712696</v>
      </c>
      <c r="AR116" s="41">
        <v>3754786</v>
      </c>
      <c r="AS116" s="41">
        <v>3805174</v>
      </c>
      <c r="AT116" s="41">
        <v>3866243</v>
      </c>
      <c r="AU116" s="41">
        <v>3931947</v>
      </c>
      <c r="AV116" s="41">
        <v>3996521</v>
      </c>
      <c r="AW116" s="41">
        <v>4070262</v>
      </c>
      <c r="AX116" s="41">
        <v>4159914</v>
      </c>
      <c r="AY116" s="41">
        <v>4273591</v>
      </c>
      <c r="AZ116" s="41">
        <v>4398942</v>
      </c>
      <c r="BA116" s="41">
        <v>4489544</v>
      </c>
      <c r="BB116" s="41">
        <v>4535375</v>
      </c>
      <c r="BC116" s="41">
        <v>4560155</v>
      </c>
      <c r="BD116" s="41">
        <v>4580084</v>
      </c>
      <c r="BE116" s="41">
        <v>4599533</v>
      </c>
      <c r="BF116" s="41">
        <v>4623816</v>
      </c>
      <c r="BG116" s="41">
        <v>4657740</v>
      </c>
      <c r="BH116" s="41">
        <v>4701957</v>
      </c>
      <c r="BI116" s="41">
        <v>4755335</v>
      </c>
      <c r="BJ116" s="41">
        <v>4807388</v>
      </c>
      <c r="BK116" s="41">
        <v>4867316</v>
      </c>
      <c r="BL116" s="41">
        <v>4934340</v>
      </c>
      <c r="BM116" s="41">
        <v>4994724</v>
      </c>
    </row>
    <row r="117" spans="1:65" x14ac:dyDescent="0.35">
      <c r="A117" s="41" t="s">
        <v>330</v>
      </c>
      <c r="B117" s="41" t="s">
        <v>331</v>
      </c>
      <c r="C117" s="41" t="s">
        <v>666</v>
      </c>
      <c r="D117" s="41" t="s">
        <v>667</v>
      </c>
      <c r="E117" s="41">
        <v>21906909</v>
      </c>
      <c r="F117" s="41">
        <v>22480371</v>
      </c>
      <c r="G117" s="41">
        <v>23071309</v>
      </c>
      <c r="H117" s="41">
        <v>23680246</v>
      </c>
      <c r="I117" s="41">
        <v>24307855</v>
      </c>
      <c r="J117" s="41">
        <v>24954865</v>
      </c>
      <c r="K117" s="41">
        <v>25624380</v>
      </c>
      <c r="L117" s="41">
        <v>26317776</v>
      </c>
      <c r="M117" s="41">
        <v>27032576</v>
      </c>
      <c r="N117" s="41">
        <v>27764928</v>
      </c>
      <c r="O117" s="41">
        <v>28513872</v>
      </c>
      <c r="P117" s="41">
        <v>29281583</v>
      </c>
      <c r="Q117" s="41">
        <v>30075295</v>
      </c>
      <c r="R117" s="41">
        <v>30905721</v>
      </c>
      <c r="S117" s="41">
        <v>31786481</v>
      </c>
      <c r="T117" s="41">
        <v>32729772</v>
      </c>
      <c r="U117" s="41">
        <v>33733975</v>
      </c>
      <c r="V117" s="41">
        <v>34803041</v>
      </c>
      <c r="W117" s="41">
        <v>35960811</v>
      </c>
      <c r="X117" s="41">
        <v>37237145</v>
      </c>
      <c r="Y117" s="41">
        <v>38650244</v>
      </c>
      <c r="Z117" s="41">
        <v>40199911</v>
      </c>
      <c r="AA117" s="41">
        <v>41869231</v>
      </c>
      <c r="AB117" s="41">
        <v>43636838</v>
      </c>
      <c r="AC117" s="41">
        <v>45472792</v>
      </c>
      <c r="AD117" s="41">
        <v>47347197</v>
      </c>
      <c r="AE117" s="41">
        <v>49260263</v>
      </c>
      <c r="AF117" s="41">
        <v>51193782</v>
      </c>
      <c r="AG117" s="41">
        <v>53077312</v>
      </c>
      <c r="AH117" s="41">
        <v>54822005</v>
      </c>
      <c r="AI117" s="41">
        <v>56366212</v>
      </c>
      <c r="AJ117" s="41">
        <v>57679025</v>
      </c>
      <c r="AK117" s="41">
        <v>58780376</v>
      </c>
      <c r="AL117" s="41">
        <v>59723761</v>
      </c>
      <c r="AM117" s="41">
        <v>60590608</v>
      </c>
      <c r="AN117" s="41">
        <v>61442658</v>
      </c>
      <c r="AO117" s="41">
        <v>62294919</v>
      </c>
      <c r="AP117" s="41">
        <v>63136309</v>
      </c>
      <c r="AQ117" s="41">
        <v>63971836</v>
      </c>
      <c r="AR117" s="41">
        <v>64800875</v>
      </c>
      <c r="AS117" s="41">
        <v>65623397</v>
      </c>
      <c r="AT117" s="41">
        <v>66449111</v>
      </c>
      <c r="AU117" s="41">
        <v>67284801</v>
      </c>
      <c r="AV117" s="41">
        <v>68122947</v>
      </c>
      <c r="AW117" s="41">
        <v>68951279</v>
      </c>
      <c r="AX117" s="41">
        <v>69762345</v>
      </c>
      <c r="AY117" s="41">
        <v>70554756</v>
      </c>
      <c r="AZ117" s="41">
        <v>71336476</v>
      </c>
      <c r="BA117" s="41">
        <v>72120608</v>
      </c>
      <c r="BB117" s="41">
        <v>72924833</v>
      </c>
      <c r="BC117" s="41">
        <v>73762519</v>
      </c>
      <c r="BD117" s="41">
        <v>74634959</v>
      </c>
      <c r="BE117" s="41">
        <v>75539881</v>
      </c>
      <c r="BF117" s="41">
        <v>76481963</v>
      </c>
      <c r="BG117" s="41">
        <v>77465769</v>
      </c>
      <c r="BH117" s="41">
        <v>78492208</v>
      </c>
      <c r="BI117" s="41">
        <v>79563991</v>
      </c>
      <c r="BJ117" s="41">
        <v>80673888</v>
      </c>
      <c r="BK117" s="41">
        <v>81800204</v>
      </c>
      <c r="BL117" s="41">
        <v>82913893</v>
      </c>
      <c r="BM117" s="41">
        <v>83992953</v>
      </c>
    </row>
    <row r="118" spans="1:65" x14ac:dyDescent="0.35">
      <c r="A118" s="41" t="s">
        <v>332</v>
      </c>
      <c r="B118" s="41" t="s">
        <v>333</v>
      </c>
      <c r="C118" s="41" t="s">
        <v>666</v>
      </c>
      <c r="D118" s="41" t="s">
        <v>667</v>
      </c>
      <c r="E118" s="41">
        <v>7289753</v>
      </c>
      <c r="F118" s="41">
        <v>7475349</v>
      </c>
      <c r="G118" s="41">
        <v>7674217</v>
      </c>
      <c r="H118" s="41">
        <v>7888910</v>
      </c>
      <c r="I118" s="41">
        <v>8122199</v>
      </c>
      <c r="J118" s="41">
        <v>8375795</v>
      </c>
      <c r="K118" s="41">
        <v>8651162</v>
      </c>
      <c r="L118" s="41">
        <v>8947397</v>
      </c>
      <c r="M118" s="41">
        <v>9260687</v>
      </c>
      <c r="N118" s="41">
        <v>9585585</v>
      </c>
      <c r="O118" s="41">
        <v>9917978</v>
      </c>
      <c r="P118" s="41">
        <v>10255853</v>
      </c>
      <c r="Q118" s="41">
        <v>10599661</v>
      </c>
      <c r="R118" s="41">
        <v>10950888</v>
      </c>
      <c r="S118" s="41">
        <v>11312062</v>
      </c>
      <c r="T118" s="41">
        <v>11684579</v>
      </c>
      <c r="U118" s="41">
        <v>12068675</v>
      </c>
      <c r="V118" s="41">
        <v>12462059</v>
      </c>
      <c r="W118" s="41">
        <v>12860678</v>
      </c>
      <c r="X118" s="41">
        <v>13259107</v>
      </c>
      <c r="Y118" s="41">
        <v>13653348</v>
      </c>
      <c r="Z118" s="41">
        <v>14044115</v>
      </c>
      <c r="AA118" s="41">
        <v>14432466</v>
      </c>
      <c r="AB118" s="41">
        <v>14815653</v>
      </c>
      <c r="AC118" s="41">
        <v>15190396</v>
      </c>
      <c r="AD118" s="41">
        <v>15555807</v>
      </c>
      <c r="AE118" s="41">
        <v>15909764</v>
      </c>
      <c r="AF118" s="41">
        <v>16257072</v>
      </c>
      <c r="AG118" s="41">
        <v>16612319</v>
      </c>
      <c r="AH118" s="41">
        <v>16994942</v>
      </c>
      <c r="AI118" s="41">
        <v>17419113</v>
      </c>
      <c r="AJ118" s="41">
        <v>17889457</v>
      </c>
      <c r="AK118" s="41">
        <v>18402740</v>
      </c>
      <c r="AL118" s="41">
        <v>18955087</v>
      </c>
      <c r="AM118" s="41">
        <v>19539348</v>
      </c>
      <c r="AN118" s="41">
        <v>20149342</v>
      </c>
      <c r="AO118" s="41">
        <v>20783073</v>
      </c>
      <c r="AP118" s="41">
        <v>21439579</v>
      </c>
      <c r="AQ118" s="41">
        <v>22114330</v>
      </c>
      <c r="AR118" s="41">
        <v>22802061</v>
      </c>
      <c r="AS118" s="41">
        <v>23497589</v>
      </c>
      <c r="AT118" s="41">
        <v>24208178</v>
      </c>
      <c r="AU118" s="41">
        <v>24931922</v>
      </c>
      <c r="AV118" s="41">
        <v>25644503</v>
      </c>
      <c r="AW118" s="41">
        <v>26313838</v>
      </c>
      <c r="AX118" s="41">
        <v>26922279</v>
      </c>
      <c r="AY118" s="41">
        <v>27448124</v>
      </c>
      <c r="AZ118" s="41">
        <v>27911242</v>
      </c>
      <c r="BA118" s="41">
        <v>28385739</v>
      </c>
      <c r="BB118" s="41">
        <v>28973157</v>
      </c>
      <c r="BC118" s="41">
        <v>29741977</v>
      </c>
      <c r="BD118" s="41">
        <v>30725305</v>
      </c>
      <c r="BE118" s="41">
        <v>31890012</v>
      </c>
      <c r="BF118" s="41">
        <v>33157061</v>
      </c>
      <c r="BG118" s="41">
        <v>34411949</v>
      </c>
      <c r="BH118" s="41">
        <v>35572269</v>
      </c>
      <c r="BI118" s="41">
        <v>36610632</v>
      </c>
      <c r="BJ118" s="41">
        <v>37552789</v>
      </c>
      <c r="BK118" s="41">
        <v>38433604</v>
      </c>
      <c r="BL118" s="41">
        <v>39309789</v>
      </c>
      <c r="BM118" s="41">
        <v>40222503</v>
      </c>
    </row>
    <row r="119" spans="1:65" x14ac:dyDescent="0.35">
      <c r="A119" s="41" t="s">
        <v>334</v>
      </c>
      <c r="B119" s="41" t="s">
        <v>335</v>
      </c>
      <c r="C119" s="41" t="s">
        <v>666</v>
      </c>
      <c r="D119" s="41" t="s">
        <v>667</v>
      </c>
      <c r="E119" s="41">
        <v>175574</v>
      </c>
      <c r="F119" s="41">
        <v>179029</v>
      </c>
      <c r="G119" s="41">
        <v>182378</v>
      </c>
      <c r="H119" s="41">
        <v>185653</v>
      </c>
      <c r="I119" s="41">
        <v>188983</v>
      </c>
      <c r="J119" s="41">
        <v>192286</v>
      </c>
      <c r="K119" s="41">
        <v>195570</v>
      </c>
      <c r="L119" s="41">
        <v>198751</v>
      </c>
      <c r="M119" s="41">
        <v>201488</v>
      </c>
      <c r="N119" s="41">
        <v>203369</v>
      </c>
      <c r="O119" s="41">
        <v>204438</v>
      </c>
      <c r="P119" s="41">
        <v>206098</v>
      </c>
      <c r="Q119" s="41">
        <v>209137</v>
      </c>
      <c r="R119" s="41">
        <v>212317</v>
      </c>
      <c r="S119" s="41">
        <v>215209</v>
      </c>
      <c r="T119" s="41">
        <v>217979</v>
      </c>
      <c r="U119" s="41">
        <v>220154</v>
      </c>
      <c r="V119" s="41">
        <v>221799</v>
      </c>
      <c r="W119" s="41">
        <v>223537</v>
      </c>
      <c r="X119" s="41">
        <v>225735</v>
      </c>
      <c r="Y119" s="41">
        <v>228138</v>
      </c>
      <c r="Z119" s="41">
        <v>230755</v>
      </c>
      <c r="AA119" s="41">
        <v>233860</v>
      </c>
      <c r="AB119" s="41">
        <v>236977</v>
      </c>
      <c r="AC119" s="41">
        <v>239511</v>
      </c>
      <c r="AD119" s="41">
        <v>241405</v>
      </c>
      <c r="AE119" s="41">
        <v>243180</v>
      </c>
      <c r="AF119" s="41">
        <v>245859</v>
      </c>
      <c r="AG119" s="41">
        <v>249740</v>
      </c>
      <c r="AH119" s="41">
        <v>252852</v>
      </c>
      <c r="AI119" s="41">
        <v>254826</v>
      </c>
      <c r="AJ119" s="41">
        <v>257797</v>
      </c>
      <c r="AK119" s="41">
        <v>261057</v>
      </c>
      <c r="AL119" s="41">
        <v>263725</v>
      </c>
      <c r="AM119" s="41">
        <v>266021</v>
      </c>
      <c r="AN119" s="41">
        <v>267468</v>
      </c>
      <c r="AO119" s="41">
        <v>268916</v>
      </c>
      <c r="AP119" s="41">
        <v>271128</v>
      </c>
      <c r="AQ119" s="41">
        <v>274047</v>
      </c>
      <c r="AR119" s="41">
        <v>277381</v>
      </c>
      <c r="AS119" s="41">
        <v>281205</v>
      </c>
      <c r="AT119" s="41">
        <v>284968</v>
      </c>
      <c r="AU119" s="41">
        <v>287523</v>
      </c>
      <c r="AV119" s="41">
        <v>289521</v>
      </c>
      <c r="AW119" s="41">
        <v>292074</v>
      </c>
      <c r="AX119" s="41">
        <v>296734</v>
      </c>
      <c r="AY119" s="41">
        <v>303782</v>
      </c>
      <c r="AZ119" s="41">
        <v>311566</v>
      </c>
      <c r="BA119" s="41">
        <v>317414</v>
      </c>
      <c r="BB119" s="41">
        <v>318499</v>
      </c>
      <c r="BC119" s="41">
        <v>318041</v>
      </c>
      <c r="BD119" s="41">
        <v>319014</v>
      </c>
      <c r="BE119" s="41">
        <v>320716</v>
      </c>
      <c r="BF119" s="41">
        <v>323764</v>
      </c>
      <c r="BG119" s="41">
        <v>327386</v>
      </c>
      <c r="BH119" s="41">
        <v>330815</v>
      </c>
      <c r="BI119" s="41">
        <v>335439</v>
      </c>
      <c r="BJ119" s="41">
        <v>343400</v>
      </c>
      <c r="BK119" s="41">
        <v>352721</v>
      </c>
      <c r="BL119" s="41">
        <v>360563</v>
      </c>
      <c r="BM119" s="41">
        <v>366425</v>
      </c>
    </row>
    <row r="120" spans="1:65" x14ac:dyDescent="0.35">
      <c r="A120" s="41" t="s">
        <v>336</v>
      </c>
      <c r="B120" s="41" t="s">
        <v>337</v>
      </c>
      <c r="C120" s="41" t="s">
        <v>666</v>
      </c>
      <c r="D120" s="41" t="s">
        <v>667</v>
      </c>
      <c r="E120" s="41">
        <v>2114020</v>
      </c>
      <c r="F120" s="41">
        <v>2185000</v>
      </c>
      <c r="G120" s="41">
        <v>2293000</v>
      </c>
      <c r="H120" s="41">
        <v>2379000</v>
      </c>
      <c r="I120" s="41">
        <v>2475000</v>
      </c>
      <c r="J120" s="41">
        <v>2563000</v>
      </c>
      <c r="K120" s="41">
        <v>2629000</v>
      </c>
      <c r="L120" s="41">
        <v>2745000</v>
      </c>
      <c r="M120" s="41">
        <v>2803000</v>
      </c>
      <c r="N120" s="41">
        <v>2877000</v>
      </c>
      <c r="O120" s="41">
        <v>2974000</v>
      </c>
      <c r="P120" s="41">
        <v>3069000</v>
      </c>
      <c r="Q120" s="41">
        <v>3148000</v>
      </c>
      <c r="R120" s="41">
        <v>3278000</v>
      </c>
      <c r="S120" s="41">
        <v>3377000</v>
      </c>
      <c r="T120" s="41">
        <v>3455000</v>
      </c>
      <c r="U120" s="41">
        <v>3533000</v>
      </c>
      <c r="V120" s="41">
        <v>3613000</v>
      </c>
      <c r="W120" s="41">
        <v>3690000</v>
      </c>
      <c r="X120" s="41">
        <v>3786000</v>
      </c>
      <c r="Y120" s="41">
        <v>3878000</v>
      </c>
      <c r="Z120" s="41">
        <v>3956000</v>
      </c>
      <c r="AA120" s="41">
        <v>4031000</v>
      </c>
      <c r="AB120" s="41">
        <v>4105000</v>
      </c>
      <c r="AC120" s="41">
        <v>4159000</v>
      </c>
      <c r="AD120" s="41">
        <v>4233000</v>
      </c>
      <c r="AE120" s="41">
        <v>4299000</v>
      </c>
      <c r="AF120" s="41">
        <v>4369000</v>
      </c>
      <c r="AG120" s="41">
        <v>4442000</v>
      </c>
      <c r="AH120" s="41">
        <v>4518000</v>
      </c>
      <c r="AI120" s="41">
        <v>4660000</v>
      </c>
      <c r="AJ120" s="41">
        <v>4949000</v>
      </c>
      <c r="AK120" s="41">
        <v>5123000</v>
      </c>
      <c r="AL120" s="41">
        <v>5261000</v>
      </c>
      <c r="AM120" s="41">
        <v>5399000</v>
      </c>
      <c r="AN120" s="41">
        <v>5545000</v>
      </c>
      <c r="AO120" s="41">
        <v>5692000</v>
      </c>
      <c r="AP120" s="41">
        <v>5836000</v>
      </c>
      <c r="AQ120" s="41">
        <v>5971000</v>
      </c>
      <c r="AR120" s="41">
        <v>6125000</v>
      </c>
      <c r="AS120" s="41">
        <v>6289000</v>
      </c>
      <c r="AT120" s="41">
        <v>6439000</v>
      </c>
      <c r="AU120" s="41">
        <v>6570000</v>
      </c>
      <c r="AV120" s="41">
        <v>6689700</v>
      </c>
      <c r="AW120" s="41">
        <v>6809000</v>
      </c>
      <c r="AX120" s="41">
        <v>6930100</v>
      </c>
      <c r="AY120" s="41">
        <v>7053700</v>
      </c>
      <c r="AZ120" s="41">
        <v>7180100</v>
      </c>
      <c r="BA120" s="41">
        <v>7308800</v>
      </c>
      <c r="BB120" s="41">
        <v>7485600</v>
      </c>
      <c r="BC120" s="41">
        <v>7623600</v>
      </c>
      <c r="BD120" s="41">
        <v>7765800</v>
      </c>
      <c r="BE120" s="41">
        <v>7910500</v>
      </c>
      <c r="BF120" s="41">
        <v>8059500</v>
      </c>
      <c r="BG120" s="41">
        <v>8215700</v>
      </c>
      <c r="BH120" s="41">
        <v>8380100</v>
      </c>
      <c r="BI120" s="41">
        <v>8546000</v>
      </c>
      <c r="BJ120" s="41">
        <v>8713300</v>
      </c>
      <c r="BK120" s="41">
        <v>8882800</v>
      </c>
      <c r="BL120" s="41">
        <v>9054000</v>
      </c>
      <c r="BM120" s="41">
        <v>9216900</v>
      </c>
    </row>
    <row r="121" spans="1:65" x14ac:dyDescent="0.35">
      <c r="A121" s="41" t="s">
        <v>338</v>
      </c>
      <c r="B121" s="41" t="s">
        <v>339</v>
      </c>
      <c r="C121" s="41" t="s">
        <v>666</v>
      </c>
      <c r="D121" s="41" t="s">
        <v>667</v>
      </c>
      <c r="E121" s="41">
        <v>50199700</v>
      </c>
      <c r="F121" s="41">
        <v>50536350</v>
      </c>
      <c r="G121" s="41">
        <v>50879450</v>
      </c>
      <c r="H121" s="41">
        <v>51252000</v>
      </c>
      <c r="I121" s="41">
        <v>51675350</v>
      </c>
      <c r="J121" s="41">
        <v>52112350</v>
      </c>
      <c r="K121" s="41">
        <v>52519000</v>
      </c>
      <c r="L121" s="41">
        <v>52900500</v>
      </c>
      <c r="M121" s="41">
        <v>53235750</v>
      </c>
      <c r="N121" s="41">
        <v>53537950</v>
      </c>
      <c r="O121" s="41">
        <v>53821850</v>
      </c>
      <c r="P121" s="41">
        <v>54073490</v>
      </c>
      <c r="Q121" s="41">
        <v>54381345</v>
      </c>
      <c r="R121" s="41">
        <v>54751406</v>
      </c>
      <c r="S121" s="41">
        <v>55110868</v>
      </c>
      <c r="T121" s="41">
        <v>55441001</v>
      </c>
      <c r="U121" s="41">
        <v>55718260</v>
      </c>
      <c r="V121" s="41">
        <v>55955411</v>
      </c>
      <c r="W121" s="41">
        <v>56155143</v>
      </c>
      <c r="X121" s="41">
        <v>56317749</v>
      </c>
      <c r="Y121" s="41">
        <v>56433883</v>
      </c>
      <c r="Z121" s="41">
        <v>56501675</v>
      </c>
      <c r="AA121" s="41">
        <v>56543548</v>
      </c>
      <c r="AB121" s="41">
        <v>56564074</v>
      </c>
      <c r="AC121" s="41">
        <v>56576718</v>
      </c>
      <c r="AD121" s="41">
        <v>56593071</v>
      </c>
      <c r="AE121" s="41">
        <v>56596155</v>
      </c>
      <c r="AF121" s="41">
        <v>56601931</v>
      </c>
      <c r="AG121" s="41">
        <v>56629288</v>
      </c>
      <c r="AH121" s="41">
        <v>56671781</v>
      </c>
      <c r="AI121" s="41">
        <v>56719240</v>
      </c>
      <c r="AJ121" s="41">
        <v>56758521</v>
      </c>
      <c r="AK121" s="41">
        <v>56797087</v>
      </c>
      <c r="AL121" s="41">
        <v>56831821</v>
      </c>
      <c r="AM121" s="41">
        <v>56843400</v>
      </c>
      <c r="AN121" s="41">
        <v>56844303</v>
      </c>
      <c r="AO121" s="41">
        <v>56860281</v>
      </c>
      <c r="AP121" s="41">
        <v>56890372</v>
      </c>
      <c r="AQ121" s="41">
        <v>56906744</v>
      </c>
      <c r="AR121" s="41">
        <v>56916317</v>
      </c>
      <c r="AS121" s="41">
        <v>56942108</v>
      </c>
      <c r="AT121" s="41">
        <v>56974100</v>
      </c>
      <c r="AU121" s="41">
        <v>57059007</v>
      </c>
      <c r="AV121" s="41">
        <v>57313203</v>
      </c>
      <c r="AW121" s="41">
        <v>57685327</v>
      </c>
      <c r="AX121" s="41">
        <v>57969484</v>
      </c>
      <c r="AY121" s="41">
        <v>58143979</v>
      </c>
      <c r="AZ121" s="41">
        <v>58438310</v>
      </c>
      <c r="BA121" s="41">
        <v>58826731</v>
      </c>
      <c r="BB121" s="41">
        <v>59095365</v>
      </c>
      <c r="BC121" s="41">
        <v>59277417</v>
      </c>
      <c r="BD121" s="41">
        <v>59379449</v>
      </c>
      <c r="BE121" s="41">
        <v>59539717</v>
      </c>
      <c r="BF121" s="41">
        <v>60233948</v>
      </c>
      <c r="BG121" s="41">
        <v>60789140</v>
      </c>
      <c r="BH121" s="41">
        <v>60730582</v>
      </c>
      <c r="BI121" s="41">
        <v>60627498</v>
      </c>
      <c r="BJ121" s="41">
        <v>60536709</v>
      </c>
      <c r="BK121" s="41">
        <v>60421760</v>
      </c>
      <c r="BL121" s="41">
        <v>59729081</v>
      </c>
      <c r="BM121" s="41">
        <v>59554023</v>
      </c>
    </row>
    <row r="122" spans="1:65" x14ac:dyDescent="0.35">
      <c r="A122" s="41" t="s">
        <v>340</v>
      </c>
      <c r="B122" s="41" t="s">
        <v>341</v>
      </c>
      <c r="C122" s="41" t="s">
        <v>666</v>
      </c>
      <c r="D122" s="41" t="s">
        <v>667</v>
      </c>
      <c r="E122" s="41">
        <v>1628524</v>
      </c>
      <c r="F122" s="41">
        <v>1651067</v>
      </c>
      <c r="G122" s="41">
        <v>1676500</v>
      </c>
      <c r="H122" s="41">
        <v>1703660</v>
      </c>
      <c r="I122" s="41">
        <v>1730739</v>
      </c>
      <c r="J122" s="41">
        <v>1756508</v>
      </c>
      <c r="K122" s="41">
        <v>1780522</v>
      </c>
      <c r="L122" s="41">
        <v>1803324</v>
      </c>
      <c r="M122" s="41">
        <v>1825873</v>
      </c>
      <c r="N122" s="41">
        <v>1849658</v>
      </c>
      <c r="O122" s="41">
        <v>1875637</v>
      </c>
      <c r="P122" s="41">
        <v>1904281</v>
      </c>
      <c r="Q122" s="41">
        <v>1935089</v>
      </c>
      <c r="R122" s="41">
        <v>1966978</v>
      </c>
      <c r="S122" s="41">
        <v>1998313</v>
      </c>
      <c r="T122" s="41">
        <v>2028019</v>
      </c>
      <c r="U122" s="41">
        <v>2055371</v>
      </c>
      <c r="V122" s="41">
        <v>2080824</v>
      </c>
      <c r="W122" s="41">
        <v>2105903</v>
      </c>
      <c r="X122" s="41">
        <v>2132784</v>
      </c>
      <c r="Y122" s="41">
        <v>2162839</v>
      </c>
      <c r="Z122" s="41">
        <v>2196921</v>
      </c>
      <c r="AA122" s="41">
        <v>2234062</v>
      </c>
      <c r="AB122" s="41">
        <v>2271735</v>
      </c>
      <c r="AC122" s="41">
        <v>2306367</v>
      </c>
      <c r="AD122" s="41">
        <v>2335510</v>
      </c>
      <c r="AE122" s="41">
        <v>2358165</v>
      </c>
      <c r="AF122" s="41">
        <v>2375400</v>
      </c>
      <c r="AG122" s="41">
        <v>2389415</v>
      </c>
      <c r="AH122" s="41">
        <v>2403464</v>
      </c>
      <c r="AI122" s="41">
        <v>2419901</v>
      </c>
      <c r="AJ122" s="41">
        <v>2439329</v>
      </c>
      <c r="AK122" s="41">
        <v>2461047</v>
      </c>
      <c r="AL122" s="41">
        <v>2484583</v>
      </c>
      <c r="AM122" s="41">
        <v>2509042</v>
      </c>
      <c r="AN122" s="41">
        <v>2533705</v>
      </c>
      <c r="AO122" s="41">
        <v>2558631</v>
      </c>
      <c r="AP122" s="41">
        <v>2583914</v>
      </c>
      <c r="AQ122" s="41">
        <v>2608874</v>
      </c>
      <c r="AR122" s="41">
        <v>2632677</v>
      </c>
      <c r="AS122" s="41">
        <v>2654698</v>
      </c>
      <c r="AT122" s="41">
        <v>2674706</v>
      </c>
      <c r="AU122" s="41">
        <v>2692843</v>
      </c>
      <c r="AV122" s="41">
        <v>2709438</v>
      </c>
      <c r="AW122" s="41">
        <v>2725017</v>
      </c>
      <c r="AX122" s="41">
        <v>2740000</v>
      </c>
      <c r="AY122" s="41">
        <v>2754414</v>
      </c>
      <c r="AZ122" s="41">
        <v>2768229</v>
      </c>
      <c r="BA122" s="41">
        <v>2781869</v>
      </c>
      <c r="BB122" s="41">
        <v>2795839</v>
      </c>
      <c r="BC122" s="41">
        <v>2810464</v>
      </c>
      <c r="BD122" s="41">
        <v>2825932</v>
      </c>
      <c r="BE122" s="41">
        <v>2842128</v>
      </c>
      <c r="BF122" s="41">
        <v>2858710</v>
      </c>
      <c r="BG122" s="41">
        <v>2875137</v>
      </c>
      <c r="BH122" s="41">
        <v>2891024</v>
      </c>
      <c r="BI122" s="41">
        <v>2906242</v>
      </c>
      <c r="BJ122" s="41">
        <v>2920848</v>
      </c>
      <c r="BK122" s="41">
        <v>2934853</v>
      </c>
      <c r="BL122" s="41">
        <v>2948277</v>
      </c>
      <c r="BM122" s="41">
        <v>2961161</v>
      </c>
    </row>
    <row r="123" spans="1:65" x14ac:dyDescent="0.35">
      <c r="A123" s="41" t="s">
        <v>342</v>
      </c>
      <c r="B123" s="41" t="s">
        <v>343</v>
      </c>
      <c r="C123" s="41" t="s">
        <v>666</v>
      </c>
      <c r="D123" s="41" t="s">
        <v>667</v>
      </c>
      <c r="E123" s="41">
        <v>933102</v>
      </c>
      <c r="F123" s="41">
        <v>973983</v>
      </c>
      <c r="G123" s="41">
        <v>1010647</v>
      </c>
      <c r="H123" s="41">
        <v>1050212</v>
      </c>
      <c r="I123" s="41">
        <v>1102404</v>
      </c>
      <c r="J123" s="41">
        <v>1173603</v>
      </c>
      <c r="K123" s="41">
        <v>1267063</v>
      </c>
      <c r="L123" s="41">
        <v>1378995</v>
      </c>
      <c r="M123" s="41">
        <v>1500168</v>
      </c>
      <c r="N123" s="41">
        <v>1617427</v>
      </c>
      <c r="O123" s="41">
        <v>1721315</v>
      </c>
      <c r="P123" s="41">
        <v>1809193</v>
      </c>
      <c r="Q123" s="41">
        <v>1883923</v>
      </c>
      <c r="R123" s="41">
        <v>1948443</v>
      </c>
      <c r="S123" s="41">
        <v>2007735</v>
      </c>
      <c r="T123" s="41">
        <v>2065916</v>
      </c>
      <c r="U123" s="41">
        <v>2123180</v>
      </c>
      <c r="V123" s="41">
        <v>2179361</v>
      </c>
      <c r="W123" s="41">
        <v>2237936</v>
      </c>
      <c r="X123" s="41">
        <v>2303116</v>
      </c>
      <c r="Y123" s="41">
        <v>2377997</v>
      </c>
      <c r="Z123" s="41">
        <v>2464870</v>
      </c>
      <c r="AA123" s="41">
        <v>2563525</v>
      </c>
      <c r="AB123" s="41">
        <v>2671413</v>
      </c>
      <c r="AC123" s="41">
        <v>2784457</v>
      </c>
      <c r="AD123" s="41">
        <v>2900055</v>
      </c>
      <c r="AE123" s="41">
        <v>3015294</v>
      </c>
      <c r="AF123" s="41">
        <v>3131800</v>
      </c>
      <c r="AG123" s="41">
        <v>3256552</v>
      </c>
      <c r="AH123" s="41">
        <v>3399333</v>
      </c>
      <c r="AI123" s="41">
        <v>3565888</v>
      </c>
      <c r="AJ123" s="41">
        <v>3760493</v>
      </c>
      <c r="AK123" s="41">
        <v>3977667</v>
      </c>
      <c r="AL123" s="41">
        <v>4201559</v>
      </c>
      <c r="AM123" s="41">
        <v>4410357</v>
      </c>
      <c r="AN123" s="41">
        <v>4588842</v>
      </c>
      <c r="AO123" s="41">
        <v>4732848</v>
      </c>
      <c r="AP123" s="41">
        <v>4848536</v>
      </c>
      <c r="AQ123" s="41">
        <v>4943975</v>
      </c>
      <c r="AR123" s="41">
        <v>5031754</v>
      </c>
      <c r="AS123" s="41">
        <v>5122495</v>
      </c>
      <c r="AT123" s="41">
        <v>5217328</v>
      </c>
      <c r="AU123" s="41">
        <v>5317514</v>
      </c>
      <c r="AV123" s="41">
        <v>5434036</v>
      </c>
      <c r="AW123" s="41">
        <v>5580241</v>
      </c>
      <c r="AX123" s="41">
        <v>5765639</v>
      </c>
      <c r="AY123" s="41">
        <v>5991547</v>
      </c>
      <c r="AZ123" s="41">
        <v>6255290</v>
      </c>
      <c r="BA123" s="41">
        <v>6556473</v>
      </c>
      <c r="BB123" s="41">
        <v>6893258</v>
      </c>
      <c r="BC123" s="41">
        <v>7261541</v>
      </c>
      <c r="BD123" s="41">
        <v>7662858</v>
      </c>
      <c r="BE123" s="41">
        <v>8089963</v>
      </c>
      <c r="BF123" s="41">
        <v>8518992</v>
      </c>
      <c r="BG123" s="41">
        <v>8918822</v>
      </c>
      <c r="BH123" s="41">
        <v>9266573</v>
      </c>
      <c r="BI123" s="41">
        <v>9554286</v>
      </c>
      <c r="BJ123" s="41">
        <v>9785840</v>
      </c>
      <c r="BK123" s="41">
        <v>9965322</v>
      </c>
      <c r="BL123" s="41">
        <v>10101697</v>
      </c>
      <c r="BM123" s="41">
        <v>10203140</v>
      </c>
    </row>
    <row r="124" spans="1:65" x14ac:dyDescent="0.35">
      <c r="A124" s="41" t="s">
        <v>344</v>
      </c>
      <c r="B124" s="41" t="s">
        <v>345</v>
      </c>
      <c r="C124" s="41" t="s">
        <v>666</v>
      </c>
      <c r="D124" s="41" t="s">
        <v>667</v>
      </c>
      <c r="E124" s="41">
        <v>93216000</v>
      </c>
      <c r="F124" s="41">
        <v>94055000</v>
      </c>
      <c r="G124" s="41">
        <v>94933000</v>
      </c>
      <c r="H124" s="41">
        <v>95900000</v>
      </c>
      <c r="I124" s="41">
        <v>96903000</v>
      </c>
      <c r="J124" s="41">
        <v>97952000</v>
      </c>
      <c r="K124" s="41">
        <v>98851000</v>
      </c>
      <c r="L124" s="41">
        <v>99879000</v>
      </c>
      <c r="M124" s="41">
        <v>101011000</v>
      </c>
      <c r="N124" s="41">
        <v>102219000</v>
      </c>
      <c r="O124" s="41">
        <v>103403000</v>
      </c>
      <c r="P124" s="41">
        <v>105697000</v>
      </c>
      <c r="Q124" s="41">
        <v>107188000</v>
      </c>
      <c r="R124" s="41">
        <v>108707000</v>
      </c>
      <c r="S124" s="41">
        <v>110162000</v>
      </c>
      <c r="T124" s="41">
        <v>111573000</v>
      </c>
      <c r="U124" s="41">
        <v>112775000</v>
      </c>
      <c r="V124" s="41">
        <v>113872000</v>
      </c>
      <c r="W124" s="41">
        <v>114913000</v>
      </c>
      <c r="X124" s="41">
        <v>115890000</v>
      </c>
      <c r="Y124" s="41">
        <v>116807000</v>
      </c>
      <c r="Z124" s="41">
        <v>117661000</v>
      </c>
      <c r="AA124" s="41">
        <v>118480000</v>
      </c>
      <c r="AB124" s="41">
        <v>119307000</v>
      </c>
      <c r="AC124" s="41">
        <v>120083000</v>
      </c>
      <c r="AD124" s="41">
        <v>120837000</v>
      </c>
      <c r="AE124" s="41">
        <v>121482000</v>
      </c>
      <c r="AF124" s="41">
        <v>122069000</v>
      </c>
      <c r="AG124" s="41">
        <v>122578000</v>
      </c>
      <c r="AH124" s="41">
        <v>123069000</v>
      </c>
      <c r="AI124" s="41">
        <v>123478000</v>
      </c>
      <c r="AJ124" s="41">
        <v>123964000</v>
      </c>
      <c r="AK124" s="41">
        <v>124425000</v>
      </c>
      <c r="AL124" s="41">
        <v>124829000</v>
      </c>
      <c r="AM124" s="41">
        <v>125178000</v>
      </c>
      <c r="AN124" s="41">
        <v>125472000</v>
      </c>
      <c r="AO124" s="41">
        <v>125757000</v>
      </c>
      <c r="AP124" s="41">
        <v>126057000</v>
      </c>
      <c r="AQ124" s="41">
        <v>126400000</v>
      </c>
      <c r="AR124" s="41">
        <v>126631000</v>
      </c>
      <c r="AS124" s="41">
        <v>126843000</v>
      </c>
      <c r="AT124" s="41">
        <v>127149000</v>
      </c>
      <c r="AU124" s="41">
        <v>127445000</v>
      </c>
      <c r="AV124" s="41">
        <v>127718000</v>
      </c>
      <c r="AW124" s="41">
        <v>127761000</v>
      </c>
      <c r="AX124" s="41">
        <v>127773000</v>
      </c>
      <c r="AY124" s="41">
        <v>127854000</v>
      </c>
      <c r="AZ124" s="41">
        <v>128001000</v>
      </c>
      <c r="BA124" s="41">
        <v>128063000</v>
      </c>
      <c r="BB124" s="41">
        <v>128047000</v>
      </c>
      <c r="BC124" s="41">
        <v>128070000</v>
      </c>
      <c r="BD124" s="41">
        <v>127833000</v>
      </c>
      <c r="BE124" s="41">
        <v>127629000</v>
      </c>
      <c r="BF124" s="41">
        <v>127445000</v>
      </c>
      <c r="BG124" s="41">
        <v>127276000</v>
      </c>
      <c r="BH124" s="41">
        <v>127141000</v>
      </c>
      <c r="BI124" s="41">
        <v>126994511</v>
      </c>
      <c r="BJ124" s="41">
        <v>126785797</v>
      </c>
      <c r="BK124" s="41">
        <v>126529100</v>
      </c>
      <c r="BL124" s="41">
        <v>126264931</v>
      </c>
      <c r="BM124" s="41">
        <v>125836021</v>
      </c>
    </row>
    <row r="125" spans="1:65" x14ac:dyDescent="0.35">
      <c r="A125" s="41" t="s">
        <v>346</v>
      </c>
      <c r="B125" s="41" t="s">
        <v>347</v>
      </c>
      <c r="C125" s="41" t="s">
        <v>666</v>
      </c>
      <c r="D125" s="41" t="s">
        <v>667</v>
      </c>
      <c r="E125" s="41">
        <v>9934564</v>
      </c>
      <c r="F125" s="41">
        <v>10349422</v>
      </c>
      <c r="G125" s="41">
        <v>10756931</v>
      </c>
      <c r="H125" s="41">
        <v>11147860</v>
      </c>
      <c r="I125" s="41">
        <v>11511856</v>
      </c>
      <c r="J125" s="41">
        <v>11841926</v>
      </c>
      <c r="K125" s="41">
        <v>12132560</v>
      </c>
      <c r="L125" s="41">
        <v>12385706</v>
      </c>
      <c r="M125" s="41">
        <v>12611432</v>
      </c>
      <c r="N125" s="41">
        <v>12824614</v>
      </c>
      <c r="O125" s="41">
        <v>13036140</v>
      </c>
      <c r="P125" s="41">
        <v>13250211</v>
      </c>
      <c r="Q125" s="41">
        <v>13463985</v>
      </c>
      <c r="R125" s="41">
        <v>13673014</v>
      </c>
      <c r="S125" s="41">
        <v>13869975</v>
      </c>
      <c r="T125" s="41">
        <v>14050227</v>
      </c>
      <c r="U125" s="41">
        <v>14212145</v>
      </c>
      <c r="V125" s="41">
        <v>14359629</v>
      </c>
      <c r="W125" s="41">
        <v>14499957</v>
      </c>
      <c r="X125" s="41">
        <v>14643133</v>
      </c>
      <c r="Y125" s="41">
        <v>14796175</v>
      </c>
      <c r="Z125" s="41">
        <v>14958897</v>
      </c>
      <c r="AA125" s="41">
        <v>15128090</v>
      </c>
      <c r="AB125" s="41">
        <v>15303316</v>
      </c>
      <c r="AC125" s="41">
        <v>15483411</v>
      </c>
      <c r="AD125" s="41">
        <v>15665594</v>
      </c>
      <c r="AE125" s="41">
        <v>15852524</v>
      </c>
      <c r="AF125" s="41">
        <v>16039253</v>
      </c>
      <c r="AG125" s="41">
        <v>16205998</v>
      </c>
      <c r="AH125" s="41">
        <v>16249500</v>
      </c>
      <c r="AI125" s="41">
        <v>16348000</v>
      </c>
      <c r="AJ125" s="41">
        <v>16451711</v>
      </c>
      <c r="AK125" s="41">
        <v>16439095</v>
      </c>
      <c r="AL125" s="41">
        <v>16380672</v>
      </c>
      <c r="AM125" s="41">
        <v>16145766</v>
      </c>
      <c r="AN125" s="41">
        <v>15816243</v>
      </c>
      <c r="AO125" s="41">
        <v>15578227</v>
      </c>
      <c r="AP125" s="41">
        <v>15334405</v>
      </c>
      <c r="AQ125" s="41">
        <v>15071640</v>
      </c>
      <c r="AR125" s="41">
        <v>14928374</v>
      </c>
      <c r="AS125" s="41">
        <v>14883626</v>
      </c>
      <c r="AT125" s="41">
        <v>14858335</v>
      </c>
      <c r="AU125" s="41">
        <v>14858948</v>
      </c>
      <c r="AV125" s="41">
        <v>14909019</v>
      </c>
      <c r="AW125" s="41">
        <v>15012984</v>
      </c>
      <c r="AX125" s="41">
        <v>15147029</v>
      </c>
      <c r="AY125" s="41">
        <v>15308085</v>
      </c>
      <c r="AZ125" s="41">
        <v>15484192</v>
      </c>
      <c r="BA125" s="41">
        <v>15776938</v>
      </c>
      <c r="BB125" s="41">
        <v>16092822</v>
      </c>
      <c r="BC125" s="41">
        <v>16321872</v>
      </c>
      <c r="BD125" s="41">
        <v>16557202</v>
      </c>
      <c r="BE125" s="41">
        <v>16792090</v>
      </c>
      <c r="BF125" s="41">
        <v>17035551</v>
      </c>
      <c r="BG125" s="41">
        <v>17288285</v>
      </c>
      <c r="BH125" s="41">
        <v>17542806</v>
      </c>
      <c r="BI125" s="41">
        <v>17794055</v>
      </c>
      <c r="BJ125" s="41">
        <v>18037776</v>
      </c>
      <c r="BK125" s="41">
        <v>18276452</v>
      </c>
      <c r="BL125" s="41">
        <v>18513673</v>
      </c>
      <c r="BM125" s="41">
        <v>18754440</v>
      </c>
    </row>
    <row r="126" spans="1:65" x14ac:dyDescent="0.35">
      <c r="A126" s="41" t="s">
        <v>8</v>
      </c>
      <c r="B126" s="41" t="s">
        <v>348</v>
      </c>
      <c r="C126" s="41" t="s">
        <v>666</v>
      </c>
      <c r="D126" s="41" t="s">
        <v>667</v>
      </c>
      <c r="E126" s="41">
        <v>8120082</v>
      </c>
      <c r="F126" s="41">
        <v>8377693</v>
      </c>
      <c r="G126" s="41">
        <v>8647002</v>
      </c>
      <c r="H126" s="41">
        <v>8928510</v>
      </c>
      <c r="I126" s="41">
        <v>9222692</v>
      </c>
      <c r="J126" s="41">
        <v>9530163</v>
      </c>
      <c r="K126" s="41">
        <v>9851453</v>
      </c>
      <c r="L126" s="41">
        <v>10187487</v>
      </c>
      <c r="M126" s="41">
        <v>10539909</v>
      </c>
      <c r="N126" s="41">
        <v>10910677</v>
      </c>
      <c r="O126" s="41">
        <v>11301394</v>
      </c>
      <c r="P126" s="41">
        <v>11713046</v>
      </c>
      <c r="Q126" s="41">
        <v>12146070</v>
      </c>
      <c r="R126" s="41">
        <v>12600799</v>
      </c>
      <c r="S126" s="41">
        <v>13077341</v>
      </c>
      <c r="T126" s="41">
        <v>13575898</v>
      </c>
      <c r="U126" s="41">
        <v>14096258</v>
      </c>
      <c r="V126" s="41">
        <v>14638887</v>
      </c>
      <c r="W126" s="41">
        <v>15205381</v>
      </c>
      <c r="X126" s="41">
        <v>15797771</v>
      </c>
      <c r="Y126" s="41">
        <v>16417203</v>
      </c>
      <c r="Z126" s="41">
        <v>17063870</v>
      </c>
      <c r="AA126" s="41">
        <v>17736326</v>
      </c>
      <c r="AB126" s="41">
        <v>18431760</v>
      </c>
      <c r="AC126" s="41">
        <v>19146403</v>
      </c>
      <c r="AD126" s="41">
        <v>19877078</v>
      </c>
      <c r="AE126" s="41">
        <v>20622560</v>
      </c>
      <c r="AF126" s="41">
        <v>21382111</v>
      </c>
      <c r="AG126" s="41">
        <v>22153685</v>
      </c>
      <c r="AH126" s="41">
        <v>22935088</v>
      </c>
      <c r="AI126" s="41">
        <v>23724574</v>
      </c>
      <c r="AJ126" s="41">
        <v>24521714</v>
      </c>
      <c r="AK126" s="41">
        <v>25326080</v>
      </c>
      <c r="AL126" s="41">
        <v>26136217</v>
      </c>
      <c r="AM126" s="41">
        <v>26950508</v>
      </c>
      <c r="AN126" s="41">
        <v>27768297</v>
      </c>
      <c r="AO126" s="41">
        <v>28589456</v>
      </c>
      <c r="AP126" s="41">
        <v>29415660</v>
      </c>
      <c r="AQ126" s="41">
        <v>30250488</v>
      </c>
      <c r="AR126" s="41">
        <v>31098763</v>
      </c>
      <c r="AS126" s="41">
        <v>31964557</v>
      </c>
      <c r="AT126" s="41">
        <v>32848569</v>
      </c>
      <c r="AU126" s="41">
        <v>33751746</v>
      </c>
      <c r="AV126" s="41">
        <v>34678781</v>
      </c>
      <c r="AW126" s="41">
        <v>35635267</v>
      </c>
      <c r="AX126" s="41">
        <v>36624897</v>
      </c>
      <c r="AY126" s="41">
        <v>37649039</v>
      </c>
      <c r="AZ126" s="41">
        <v>38705934</v>
      </c>
      <c r="BA126" s="41">
        <v>39791984</v>
      </c>
      <c r="BB126" s="41">
        <v>40901798</v>
      </c>
      <c r="BC126" s="41">
        <v>42030684</v>
      </c>
      <c r="BD126" s="41">
        <v>43178270</v>
      </c>
      <c r="BE126" s="41">
        <v>44343469</v>
      </c>
      <c r="BF126" s="41">
        <v>45519986</v>
      </c>
      <c r="BG126" s="41">
        <v>46700063</v>
      </c>
      <c r="BH126" s="41">
        <v>47878339</v>
      </c>
      <c r="BI126" s="41">
        <v>49051531</v>
      </c>
      <c r="BJ126" s="41">
        <v>50221146</v>
      </c>
      <c r="BK126" s="41">
        <v>51392570</v>
      </c>
      <c r="BL126" s="41">
        <v>52573967</v>
      </c>
      <c r="BM126" s="41">
        <v>53771300</v>
      </c>
    </row>
    <row r="127" spans="1:65" x14ac:dyDescent="0.35">
      <c r="A127" s="41" t="s">
        <v>349</v>
      </c>
      <c r="B127" s="41" t="s">
        <v>350</v>
      </c>
      <c r="C127" s="41" t="s">
        <v>666</v>
      </c>
      <c r="D127" s="41" t="s">
        <v>667</v>
      </c>
      <c r="E127" s="41">
        <v>2172300</v>
      </c>
      <c r="F127" s="41">
        <v>2255900</v>
      </c>
      <c r="G127" s="41">
        <v>2333400</v>
      </c>
      <c r="H127" s="41">
        <v>2413700</v>
      </c>
      <c r="I127" s="41">
        <v>2495300</v>
      </c>
      <c r="J127" s="41">
        <v>2573300</v>
      </c>
      <c r="K127" s="41">
        <v>2655300</v>
      </c>
      <c r="L127" s="41">
        <v>2736500</v>
      </c>
      <c r="M127" s="41">
        <v>2818300</v>
      </c>
      <c r="N127" s="41">
        <v>2894800</v>
      </c>
      <c r="O127" s="41">
        <v>2959900</v>
      </c>
      <c r="P127" s="41">
        <v>3022300</v>
      </c>
      <c r="Q127" s="41">
        <v>3088200</v>
      </c>
      <c r="R127" s="41">
        <v>3153800</v>
      </c>
      <c r="S127" s="41">
        <v>3223900</v>
      </c>
      <c r="T127" s="41">
        <v>3292400</v>
      </c>
      <c r="U127" s="41">
        <v>3358700</v>
      </c>
      <c r="V127" s="41">
        <v>3423900</v>
      </c>
      <c r="W127" s="41">
        <v>3487100</v>
      </c>
      <c r="X127" s="41">
        <v>3552000</v>
      </c>
      <c r="Y127" s="41">
        <v>3617400</v>
      </c>
      <c r="Z127" s="41">
        <v>3685800</v>
      </c>
      <c r="AA127" s="41">
        <v>3759300</v>
      </c>
      <c r="AB127" s="41">
        <v>3838300</v>
      </c>
      <c r="AC127" s="41">
        <v>3916400</v>
      </c>
      <c r="AD127" s="41">
        <v>3990300</v>
      </c>
      <c r="AE127" s="41">
        <v>4066500</v>
      </c>
      <c r="AF127" s="41">
        <v>4144600</v>
      </c>
      <c r="AG127" s="41">
        <v>4218400</v>
      </c>
      <c r="AH127" s="41">
        <v>4307500</v>
      </c>
      <c r="AI127" s="41">
        <v>4391200</v>
      </c>
      <c r="AJ127" s="41">
        <v>4463600</v>
      </c>
      <c r="AK127" s="41">
        <v>4515400</v>
      </c>
      <c r="AL127" s="41">
        <v>4516700</v>
      </c>
      <c r="AM127" s="41">
        <v>4515100</v>
      </c>
      <c r="AN127" s="41">
        <v>4560400</v>
      </c>
      <c r="AO127" s="41">
        <v>4628400</v>
      </c>
      <c r="AP127" s="41">
        <v>4696400</v>
      </c>
      <c r="AQ127" s="41">
        <v>4769000</v>
      </c>
      <c r="AR127" s="41">
        <v>4840400</v>
      </c>
      <c r="AS127" s="41">
        <v>4898400</v>
      </c>
      <c r="AT127" s="41">
        <v>4945100</v>
      </c>
      <c r="AU127" s="41">
        <v>4990700</v>
      </c>
      <c r="AV127" s="41">
        <v>5043300</v>
      </c>
      <c r="AW127" s="41">
        <v>5104700</v>
      </c>
      <c r="AX127" s="41">
        <v>5162600</v>
      </c>
      <c r="AY127" s="41">
        <v>5218400</v>
      </c>
      <c r="AZ127" s="41">
        <v>5268400</v>
      </c>
      <c r="BA127" s="41">
        <v>5318700</v>
      </c>
      <c r="BB127" s="41">
        <v>5383300</v>
      </c>
      <c r="BC127" s="41">
        <v>5447900</v>
      </c>
      <c r="BD127" s="41">
        <v>5514600</v>
      </c>
      <c r="BE127" s="41">
        <v>5607200</v>
      </c>
      <c r="BF127" s="41">
        <v>5719600</v>
      </c>
      <c r="BG127" s="41">
        <v>5835500</v>
      </c>
      <c r="BH127" s="41">
        <v>5956900</v>
      </c>
      <c r="BI127" s="41">
        <v>6079500</v>
      </c>
      <c r="BJ127" s="41">
        <v>6198200</v>
      </c>
      <c r="BK127" s="41">
        <v>6322800</v>
      </c>
      <c r="BL127" s="41">
        <v>6456200</v>
      </c>
      <c r="BM127" s="41">
        <v>6591600</v>
      </c>
    </row>
    <row r="128" spans="1:65" x14ac:dyDescent="0.35">
      <c r="A128" s="41" t="s">
        <v>351</v>
      </c>
      <c r="B128" s="41" t="s">
        <v>352</v>
      </c>
      <c r="C128" s="41" t="s">
        <v>666</v>
      </c>
      <c r="D128" s="41" t="s">
        <v>667</v>
      </c>
      <c r="E128" s="41">
        <v>5722372</v>
      </c>
      <c r="F128" s="41">
        <v>5872968</v>
      </c>
      <c r="G128" s="41">
        <v>6028434</v>
      </c>
      <c r="H128" s="41">
        <v>6183586</v>
      </c>
      <c r="I128" s="41">
        <v>6331443</v>
      </c>
      <c r="J128" s="41">
        <v>6467191</v>
      </c>
      <c r="K128" s="41">
        <v>6585034</v>
      </c>
      <c r="L128" s="41">
        <v>6685961</v>
      </c>
      <c r="M128" s="41">
        <v>6779778</v>
      </c>
      <c r="N128" s="41">
        <v>6880623</v>
      </c>
      <c r="O128" s="41">
        <v>6996576</v>
      </c>
      <c r="P128" s="41">
        <v>7139640</v>
      </c>
      <c r="Q128" s="41">
        <v>7302114</v>
      </c>
      <c r="R128" s="41">
        <v>7449233</v>
      </c>
      <c r="S128" s="41">
        <v>7533332</v>
      </c>
      <c r="T128" s="41">
        <v>7524457</v>
      </c>
      <c r="U128" s="41">
        <v>7404687</v>
      </c>
      <c r="V128" s="41">
        <v>7196042</v>
      </c>
      <c r="W128" s="41">
        <v>6957267</v>
      </c>
      <c r="X128" s="41">
        <v>6770393</v>
      </c>
      <c r="Y128" s="41">
        <v>6693759</v>
      </c>
      <c r="Z128" s="41">
        <v>6749849</v>
      </c>
      <c r="AA128" s="41">
        <v>6919803</v>
      </c>
      <c r="AB128" s="41">
        <v>7170004</v>
      </c>
      <c r="AC128" s="41">
        <v>7447844</v>
      </c>
      <c r="AD128" s="41">
        <v>7714894</v>
      </c>
      <c r="AE128" s="41">
        <v>7960952</v>
      </c>
      <c r="AF128" s="41">
        <v>8198082</v>
      </c>
      <c r="AG128" s="41">
        <v>8435909</v>
      </c>
      <c r="AH128" s="41">
        <v>8691331</v>
      </c>
      <c r="AI128" s="41">
        <v>8975597</v>
      </c>
      <c r="AJ128" s="41">
        <v>9289298</v>
      </c>
      <c r="AK128" s="41">
        <v>9623899</v>
      </c>
      <c r="AL128" s="41">
        <v>9970727</v>
      </c>
      <c r="AM128" s="41">
        <v>10317901</v>
      </c>
      <c r="AN128" s="41">
        <v>10656145</v>
      </c>
      <c r="AO128" s="41">
        <v>10982919</v>
      </c>
      <c r="AP128" s="41">
        <v>11298594</v>
      </c>
      <c r="AQ128" s="41">
        <v>11600510</v>
      </c>
      <c r="AR128" s="41">
        <v>11886464</v>
      </c>
      <c r="AS128" s="41">
        <v>12155241</v>
      </c>
      <c r="AT128" s="41">
        <v>12405411</v>
      </c>
      <c r="AU128" s="41">
        <v>12637719</v>
      </c>
      <c r="AV128" s="41">
        <v>12856171</v>
      </c>
      <c r="AW128" s="41">
        <v>13066475</v>
      </c>
      <c r="AX128" s="41">
        <v>13273355</v>
      </c>
      <c r="AY128" s="41">
        <v>13477705</v>
      </c>
      <c r="AZ128" s="41">
        <v>13679953</v>
      </c>
      <c r="BA128" s="41">
        <v>13883835</v>
      </c>
      <c r="BB128" s="41">
        <v>14093605</v>
      </c>
      <c r="BC128" s="41">
        <v>14312205</v>
      </c>
      <c r="BD128" s="41">
        <v>14541421</v>
      </c>
      <c r="BE128" s="41">
        <v>14780454</v>
      </c>
      <c r="BF128" s="41">
        <v>15026330</v>
      </c>
      <c r="BG128" s="41">
        <v>15274506</v>
      </c>
      <c r="BH128" s="41">
        <v>15521435</v>
      </c>
      <c r="BI128" s="41">
        <v>15766290</v>
      </c>
      <c r="BJ128" s="41">
        <v>16009413</v>
      </c>
      <c r="BK128" s="41">
        <v>16249795</v>
      </c>
      <c r="BL128" s="41">
        <v>16486542</v>
      </c>
      <c r="BM128" s="41">
        <v>16718971</v>
      </c>
    </row>
    <row r="129" spans="1:65" x14ac:dyDescent="0.35">
      <c r="A129" s="41" t="s">
        <v>353</v>
      </c>
      <c r="B129" s="41" t="s">
        <v>354</v>
      </c>
      <c r="C129" s="41" t="s">
        <v>666</v>
      </c>
      <c r="D129" s="41" t="s">
        <v>667</v>
      </c>
      <c r="E129" s="41">
        <v>41196</v>
      </c>
      <c r="F129" s="41">
        <v>42234</v>
      </c>
      <c r="G129" s="41">
        <v>43283</v>
      </c>
      <c r="H129" s="41">
        <v>44342</v>
      </c>
      <c r="I129" s="41">
        <v>45392</v>
      </c>
      <c r="J129" s="41">
        <v>46429</v>
      </c>
      <c r="K129" s="41">
        <v>47429</v>
      </c>
      <c r="L129" s="41">
        <v>48403</v>
      </c>
      <c r="M129" s="41">
        <v>49354</v>
      </c>
      <c r="N129" s="41">
        <v>50267</v>
      </c>
      <c r="O129" s="41">
        <v>51142</v>
      </c>
      <c r="P129" s="41">
        <v>51979</v>
      </c>
      <c r="Q129" s="41">
        <v>52775</v>
      </c>
      <c r="R129" s="41">
        <v>53558</v>
      </c>
      <c r="S129" s="41">
        <v>54334</v>
      </c>
      <c r="T129" s="41">
        <v>55114</v>
      </c>
      <c r="U129" s="41">
        <v>55922</v>
      </c>
      <c r="V129" s="41">
        <v>56759</v>
      </c>
      <c r="W129" s="41">
        <v>57613</v>
      </c>
      <c r="X129" s="41">
        <v>58469</v>
      </c>
      <c r="Y129" s="41">
        <v>59296</v>
      </c>
      <c r="Z129" s="41">
        <v>60101</v>
      </c>
      <c r="AA129" s="41">
        <v>60887</v>
      </c>
      <c r="AB129" s="41">
        <v>61736</v>
      </c>
      <c r="AC129" s="41">
        <v>62745</v>
      </c>
      <c r="AD129" s="41">
        <v>63989</v>
      </c>
      <c r="AE129" s="41">
        <v>65504</v>
      </c>
      <c r="AF129" s="41">
        <v>67244</v>
      </c>
      <c r="AG129" s="41">
        <v>69087</v>
      </c>
      <c r="AH129" s="41">
        <v>70849</v>
      </c>
      <c r="AI129" s="41">
        <v>72394</v>
      </c>
      <c r="AJ129" s="41">
        <v>73692</v>
      </c>
      <c r="AK129" s="41">
        <v>74767</v>
      </c>
      <c r="AL129" s="41">
        <v>75711</v>
      </c>
      <c r="AM129" s="41">
        <v>76668</v>
      </c>
      <c r="AN129" s="41">
        <v>77716</v>
      </c>
      <c r="AO129" s="41">
        <v>78904</v>
      </c>
      <c r="AP129" s="41">
        <v>80188</v>
      </c>
      <c r="AQ129" s="41">
        <v>81558</v>
      </c>
      <c r="AR129" s="41">
        <v>82969</v>
      </c>
      <c r="AS129" s="41">
        <v>84405</v>
      </c>
      <c r="AT129" s="41">
        <v>85844</v>
      </c>
      <c r="AU129" s="41">
        <v>87308</v>
      </c>
      <c r="AV129" s="41">
        <v>88840</v>
      </c>
      <c r="AW129" s="41">
        <v>90498</v>
      </c>
      <c r="AX129" s="41">
        <v>92319</v>
      </c>
      <c r="AY129" s="41">
        <v>94341</v>
      </c>
      <c r="AZ129" s="41">
        <v>96531</v>
      </c>
      <c r="BA129" s="41">
        <v>98760</v>
      </c>
      <c r="BB129" s="41">
        <v>100928</v>
      </c>
      <c r="BC129" s="41">
        <v>102930</v>
      </c>
      <c r="BD129" s="41">
        <v>104735</v>
      </c>
      <c r="BE129" s="41">
        <v>106359</v>
      </c>
      <c r="BF129" s="41">
        <v>107887</v>
      </c>
      <c r="BG129" s="41">
        <v>109387</v>
      </c>
      <c r="BH129" s="41">
        <v>110927</v>
      </c>
      <c r="BI129" s="41">
        <v>112529</v>
      </c>
      <c r="BJ129" s="41">
        <v>114153</v>
      </c>
      <c r="BK129" s="41">
        <v>115842</v>
      </c>
      <c r="BL129" s="41">
        <v>117608</v>
      </c>
      <c r="BM129" s="41">
        <v>119446</v>
      </c>
    </row>
    <row r="130" spans="1:65" x14ac:dyDescent="0.35">
      <c r="A130" s="41" t="s">
        <v>355</v>
      </c>
      <c r="B130" s="41" t="s">
        <v>356</v>
      </c>
      <c r="C130" s="41" t="s">
        <v>666</v>
      </c>
      <c r="D130" s="41" t="s">
        <v>667</v>
      </c>
      <c r="E130" s="41">
        <v>51199</v>
      </c>
      <c r="F130" s="41">
        <v>51196</v>
      </c>
      <c r="G130" s="41">
        <v>50961</v>
      </c>
      <c r="H130" s="41">
        <v>50529</v>
      </c>
      <c r="I130" s="41">
        <v>49928</v>
      </c>
      <c r="J130" s="41">
        <v>49209</v>
      </c>
      <c r="K130" s="41">
        <v>48351</v>
      </c>
      <c r="L130" s="41">
        <v>47388</v>
      </c>
      <c r="M130" s="41">
        <v>46399</v>
      </c>
      <c r="N130" s="41">
        <v>45529</v>
      </c>
      <c r="O130" s="41">
        <v>44878</v>
      </c>
      <c r="P130" s="41">
        <v>44489</v>
      </c>
      <c r="Q130" s="41">
        <v>44318</v>
      </c>
      <c r="R130" s="41">
        <v>44304</v>
      </c>
      <c r="S130" s="41">
        <v>44322</v>
      </c>
      <c r="T130" s="41">
        <v>44271</v>
      </c>
      <c r="U130" s="41">
        <v>44140</v>
      </c>
      <c r="V130" s="41">
        <v>43944</v>
      </c>
      <c r="W130" s="41">
        <v>43703</v>
      </c>
      <c r="X130" s="41">
        <v>43452</v>
      </c>
      <c r="Y130" s="41">
        <v>43201</v>
      </c>
      <c r="Z130" s="41">
        <v>42963</v>
      </c>
      <c r="AA130" s="41">
        <v>42733</v>
      </c>
      <c r="AB130" s="41">
        <v>42477</v>
      </c>
      <c r="AC130" s="41">
        <v>42198</v>
      </c>
      <c r="AD130" s="41">
        <v>41874</v>
      </c>
      <c r="AE130" s="41">
        <v>41479</v>
      </c>
      <c r="AF130" s="41">
        <v>41041</v>
      </c>
      <c r="AG130" s="41">
        <v>40633</v>
      </c>
      <c r="AH130" s="41">
        <v>40354</v>
      </c>
      <c r="AI130" s="41">
        <v>40260</v>
      </c>
      <c r="AJ130" s="41">
        <v>40381</v>
      </c>
      <c r="AK130" s="41">
        <v>40691</v>
      </c>
      <c r="AL130" s="41">
        <v>41141</v>
      </c>
      <c r="AM130" s="41">
        <v>41618</v>
      </c>
      <c r="AN130" s="41">
        <v>42077</v>
      </c>
      <c r="AO130" s="41">
        <v>42472</v>
      </c>
      <c r="AP130" s="41">
        <v>42857</v>
      </c>
      <c r="AQ130" s="41">
        <v>43225</v>
      </c>
      <c r="AR130" s="41">
        <v>43622</v>
      </c>
      <c r="AS130" s="41">
        <v>44083</v>
      </c>
      <c r="AT130" s="41">
        <v>44602</v>
      </c>
      <c r="AU130" s="41">
        <v>45168</v>
      </c>
      <c r="AV130" s="41">
        <v>45749</v>
      </c>
      <c r="AW130" s="41">
        <v>46323</v>
      </c>
      <c r="AX130" s="41">
        <v>46852</v>
      </c>
      <c r="AY130" s="41">
        <v>47333</v>
      </c>
      <c r="AZ130" s="41">
        <v>47769</v>
      </c>
      <c r="BA130" s="41">
        <v>48178</v>
      </c>
      <c r="BB130" s="41">
        <v>48599</v>
      </c>
      <c r="BC130" s="41">
        <v>49011</v>
      </c>
      <c r="BD130" s="41">
        <v>49442</v>
      </c>
      <c r="BE130" s="41">
        <v>49881</v>
      </c>
      <c r="BF130" s="41">
        <v>50328</v>
      </c>
      <c r="BG130" s="41">
        <v>50776</v>
      </c>
      <c r="BH130" s="41">
        <v>51204</v>
      </c>
      <c r="BI130" s="41">
        <v>51629</v>
      </c>
      <c r="BJ130" s="41">
        <v>52036</v>
      </c>
      <c r="BK130" s="41">
        <v>52438</v>
      </c>
      <c r="BL130" s="41">
        <v>52834</v>
      </c>
      <c r="BM130" s="41">
        <v>53192</v>
      </c>
    </row>
    <row r="131" spans="1:65" x14ac:dyDescent="0.35">
      <c r="A131" s="41" t="s">
        <v>357</v>
      </c>
      <c r="B131" s="41" t="s">
        <v>358</v>
      </c>
      <c r="C131" s="41" t="s">
        <v>666</v>
      </c>
      <c r="D131" s="41" t="s">
        <v>667</v>
      </c>
      <c r="E131" s="41">
        <v>25012374</v>
      </c>
      <c r="F131" s="41">
        <v>25765673</v>
      </c>
      <c r="G131" s="41">
        <v>26513030</v>
      </c>
      <c r="H131" s="41">
        <v>27261747</v>
      </c>
      <c r="I131" s="41">
        <v>27984155</v>
      </c>
      <c r="J131" s="41">
        <v>28704674</v>
      </c>
      <c r="K131" s="41">
        <v>29435571</v>
      </c>
      <c r="L131" s="41">
        <v>30130983</v>
      </c>
      <c r="M131" s="41">
        <v>30838302</v>
      </c>
      <c r="N131" s="41">
        <v>31544266</v>
      </c>
      <c r="O131" s="41">
        <v>32240827</v>
      </c>
      <c r="P131" s="41">
        <v>32882704</v>
      </c>
      <c r="Q131" s="41">
        <v>33505406</v>
      </c>
      <c r="R131" s="41">
        <v>34103149</v>
      </c>
      <c r="S131" s="41">
        <v>34692266</v>
      </c>
      <c r="T131" s="41">
        <v>35280725</v>
      </c>
      <c r="U131" s="41">
        <v>35848523</v>
      </c>
      <c r="V131" s="41">
        <v>36411795</v>
      </c>
      <c r="W131" s="41">
        <v>36969185</v>
      </c>
      <c r="X131" s="41">
        <v>37534236</v>
      </c>
      <c r="Y131" s="41">
        <v>38123775</v>
      </c>
      <c r="Z131" s="41">
        <v>38723248</v>
      </c>
      <c r="AA131" s="41">
        <v>39326352</v>
      </c>
      <c r="AB131" s="41">
        <v>39910403</v>
      </c>
      <c r="AC131" s="41">
        <v>40405956</v>
      </c>
      <c r="AD131" s="41">
        <v>40805744</v>
      </c>
      <c r="AE131" s="41">
        <v>41213674</v>
      </c>
      <c r="AF131" s="41">
        <v>41621690</v>
      </c>
      <c r="AG131" s="41">
        <v>42031247</v>
      </c>
      <c r="AH131" s="41">
        <v>42449038</v>
      </c>
      <c r="AI131" s="41">
        <v>42869283</v>
      </c>
      <c r="AJ131" s="41">
        <v>43295704</v>
      </c>
      <c r="AK131" s="41">
        <v>43747962</v>
      </c>
      <c r="AL131" s="41">
        <v>44194628</v>
      </c>
      <c r="AM131" s="41">
        <v>44641540</v>
      </c>
      <c r="AN131" s="41">
        <v>45092991</v>
      </c>
      <c r="AO131" s="41">
        <v>45524681</v>
      </c>
      <c r="AP131" s="41">
        <v>45953580</v>
      </c>
      <c r="AQ131" s="41">
        <v>46286503</v>
      </c>
      <c r="AR131" s="41">
        <v>46616677</v>
      </c>
      <c r="AS131" s="41">
        <v>47008111</v>
      </c>
      <c r="AT131" s="41">
        <v>47370164</v>
      </c>
      <c r="AU131" s="41">
        <v>47644736</v>
      </c>
      <c r="AV131" s="41">
        <v>47892330</v>
      </c>
      <c r="AW131" s="41">
        <v>48082519</v>
      </c>
      <c r="AX131" s="41">
        <v>48184561</v>
      </c>
      <c r="AY131" s="41">
        <v>48438292</v>
      </c>
      <c r="AZ131" s="41">
        <v>48683638</v>
      </c>
      <c r="BA131" s="41">
        <v>49054708</v>
      </c>
      <c r="BB131" s="41">
        <v>49307835</v>
      </c>
      <c r="BC131" s="41">
        <v>49554112</v>
      </c>
      <c r="BD131" s="41">
        <v>49936638</v>
      </c>
      <c r="BE131" s="41">
        <v>50199853</v>
      </c>
      <c r="BF131" s="41">
        <v>50428893</v>
      </c>
      <c r="BG131" s="41">
        <v>50746659</v>
      </c>
      <c r="BH131" s="41">
        <v>51014947</v>
      </c>
      <c r="BI131" s="41">
        <v>51217803</v>
      </c>
      <c r="BJ131" s="41">
        <v>51361911</v>
      </c>
      <c r="BK131" s="41">
        <v>51606633</v>
      </c>
      <c r="BL131" s="41">
        <v>51709098</v>
      </c>
      <c r="BM131" s="41">
        <v>51780579</v>
      </c>
    </row>
    <row r="132" spans="1:65" x14ac:dyDescent="0.35">
      <c r="A132" s="41" t="s">
        <v>359</v>
      </c>
      <c r="B132" s="41" t="s">
        <v>360</v>
      </c>
      <c r="C132" s="41" t="s">
        <v>666</v>
      </c>
      <c r="D132" s="41" t="s">
        <v>667</v>
      </c>
      <c r="E132" s="41">
        <v>269026</v>
      </c>
      <c r="F132" s="41">
        <v>300581</v>
      </c>
      <c r="G132" s="41">
        <v>337346</v>
      </c>
      <c r="H132" s="41">
        <v>378756</v>
      </c>
      <c r="I132" s="41">
        <v>423900</v>
      </c>
      <c r="J132" s="41">
        <v>472032</v>
      </c>
      <c r="K132" s="41">
        <v>523169</v>
      </c>
      <c r="L132" s="41">
        <v>577164</v>
      </c>
      <c r="M132" s="41">
        <v>632911</v>
      </c>
      <c r="N132" s="41">
        <v>688972</v>
      </c>
      <c r="O132" s="41">
        <v>744444</v>
      </c>
      <c r="P132" s="41">
        <v>798639</v>
      </c>
      <c r="Q132" s="41">
        <v>851918</v>
      </c>
      <c r="R132" s="41">
        <v>905639</v>
      </c>
      <c r="S132" s="41">
        <v>961773</v>
      </c>
      <c r="T132" s="41">
        <v>1021725</v>
      </c>
      <c r="U132" s="41">
        <v>1085866</v>
      </c>
      <c r="V132" s="41">
        <v>1153573</v>
      </c>
      <c r="W132" s="41">
        <v>1224063</v>
      </c>
      <c r="X132" s="41">
        <v>1296077</v>
      </c>
      <c r="Y132" s="41">
        <v>1368680</v>
      </c>
      <c r="Z132" s="41">
        <v>1439334</v>
      </c>
      <c r="AA132" s="41">
        <v>1507636</v>
      </c>
      <c r="AB132" s="41">
        <v>1576975</v>
      </c>
      <c r="AC132" s="41">
        <v>1652150</v>
      </c>
      <c r="AD132" s="41">
        <v>1735278</v>
      </c>
      <c r="AE132" s="41">
        <v>1832302</v>
      </c>
      <c r="AF132" s="41">
        <v>1938916</v>
      </c>
      <c r="AG132" s="41">
        <v>2034850</v>
      </c>
      <c r="AH132" s="41">
        <v>2092786</v>
      </c>
      <c r="AI132" s="41">
        <v>2095350</v>
      </c>
      <c r="AJ132" s="41">
        <v>2031297</v>
      </c>
      <c r="AN132" s="41">
        <v>1605907</v>
      </c>
      <c r="AO132" s="41">
        <v>1626858</v>
      </c>
      <c r="AP132" s="41">
        <v>1710257</v>
      </c>
      <c r="AQ132" s="41">
        <v>1831121</v>
      </c>
      <c r="AR132" s="41">
        <v>1951642</v>
      </c>
      <c r="AS132" s="41">
        <v>2045123</v>
      </c>
      <c r="AT132" s="41">
        <v>2103273</v>
      </c>
      <c r="AU132" s="41">
        <v>2136991</v>
      </c>
      <c r="AV132" s="41">
        <v>2161626</v>
      </c>
      <c r="AW132" s="41">
        <v>2200498</v>
      </c>
      <c r="AX132" s="41">
        <v>2270196</v>
      </c>
      <c r="AY132" s="41">
        <v>2373661</v>
      </c>
      <c r="AZ132" s="41">
        <v>2504026</v>
      </c>
      <c r="BA132" s="41">
        <v>2656010</v>
      </c>
      <c r="BB132" s="41">
        <v>2821041</v>
      </c>
      <c r="BC132" s="41">
        <v>2991884</v>
      </c>
      <c r="BD132" s="41">
        <v>3168054</v>
      </c>
      <c r="BE132" s="41">
        <v>3348852</v>
      </c>
      <c r="BF132" s="41">
        <v>3526382</v>
      </c>
      <c r="BG132" s="41">
        <v>3690939</v>
      </c>
      <c r="BH132" s="41">
        <v>3835588</v>
      </c>
      <c r="BI132" s="41">
        <v>3956862</v>
      </c>
      <c r="BJ132" s="41">
        <v>4056102</v>
      </c>
      <c r="BK132" s="41">
        <v>4137314</v>
      </c>
      <c r="BL132" s="41">
        <v>4207077</v>
      </c>
      <c r="BM132" s="41">
        <v>4270563</v>
      </c>
    </row>
    <row r="133" spans="1:65" x14ac:dyDescent="0.35">
      <c r="A133" s="41" t="s">
        <v>361</v>
      </c>
      <c r="B133" s="41" t="s">
        <v>362</v>
      </c>
      <c r="C133" s="41" t="s">
        <v>666</v>
      </c>
      <c r="D133" s="41" t="s">
        <v>667</v>
      </c>
      <c r="E133" s="41">
        <v>197123485</v>
      </c>
      <c r="F133" s="41">
        <v>202635411</v>
      </c>
      <c r="G133" s="41">
        <v>208319980</v>
      </c>
      <c r="H133" s="41">
        <v>214152054</v>
      </c>
      <c r="I133" s="41">
        <v>220096687</v>
      </c>
      <c r="J133" s="41">
        <v>226126959</v>
      </c>
      <c r="K133" s="41">
        <v>232233929</v>
      </c>
      <c r="L133" s="41">
        <v>238418074</v>
      </c>
      <c r="M133" s="41">
        <v>244674060</v>
      </c>
      <c r="N133" s="41">
        <v>250999444</v>
      </c>
      <c r="O133" s="41">
        <v>257392749</v>
      </c>
      <c r="P133" s="41">
        <v>263849485</v>
      </c>
      <c r="Q133" s="41">
        <v>270368419</v>
      </c>
      <c r="R133" s="41">
        <v>276956213</v>
      </c>
      <c r="S133" s="41">
        <v>283622634</v>
      </c>
      <c r="T133" s="41">
        <v>290374325</v>
      </c>
      <c r="U133" s="41">
        <v>297207329</v>
      </c>
      <c r="V133" s="41">
        <v>304120290</v>
      </c>
      <c r="W133" s="41">
        <v>311125944</v>
      </c>
      <c r="X133" s="41">
        <v>318240296</v>
      </c>
      <c r="Y133" s="41">
        <v>325470475</v>
      </c>
      <c r="Z133" s="41">
        <v>332819629</v>
      </c>
      <c r="AA133" s="41">
        <v>340272476</v>
      </c>
      <c r="AB133" s="41">
        <v>347792200</v>
      </c>
      <c r="AC133" s="41">
        <v>355331567</v>
      </c>
      <c r="AD133" s="41">
        <v>362854776</v>
      </c>
      <c r="AE133" s="41">
        <v>370346031</v>
      </c>
      <c r="AF133" s="41">
        <v>377806267</v>
      </c>
      <c r="AG133" s="41">
        <v>385236744</v>
      </c>
      <c r="AH133" s="41">
        <v>392644850</v>
      </c>
      <c r="AI133" s="41">
        <v>400034081</v>
      </c>
      <c r="AJ133" s="41">
        <v>407394108</v>
      </c>
      <c r="AK133" s="41">
        <v>414713589</v>
      </c>
      <c r="AL133" s="41">
        <v>421995092</v>
      </c>
      <c r="AM133" s="41">
        <v>429246145</v>
      </c>
      <c r="AN133" s="41">
        <v>436470219</v>
      </c>
      <c r="AO133" s="41">
        <v>443669730</v>
      </c>
      <c r="AP133" s="41">
        <v>450833590</v>
      </c>
      <c r="AQ133" s="41">
        <v>457935268</v>
      </c>
      <c r="AR133" s="41">
        <v>464933468</v>
      </c>
      <c r="AS133" s="41">
        <v>471805920</v>
      </c>
      <c r="AT133" s="41">
        <v>478530627</v>
      </c>
      <c r="AU133" s="41">
        <v>485108963</v>
      </c>
      <c r="AV133" s="41">
        <v>491558169</v>
      </c>
      <c r="AW133" s="41">
        <v>497915775</v>
      </c>
      <c r="AX133" s="41">
        <v>504205968</v>
      </c>
      <c r="AY133" s="41">
        <v>510437972</v>
      </c>
      <c r="AZ133" s="41">
        <v>516611312</v>
      </c>
      <c r="BA133" s="41">
        <v>522729313</v>
      </c>
      <c r="BB133" s="41">
        <v>528793175</v>
      </c>
      <c r="BC133" s="41">
        <v>534699518</v>
      </c>
      <c r="BD133" s="41">
        <v>540699864</v>
      </c>
      <c r="BE133" s="41">
        <v>546631449</v>
      </c>
      <c r="BF133" s="41">
        <v>552552130</v>
      </c>
      <c r="BG133" s="41">
        <v>558534202</v>
      </c>
      <c r="BH133" s="41">
        <v>564618410</v>
      </c>
      <c r="BI133" s="41">
        <v>570838477</v>
      </c>
      <c r="BJ133" s="41">
        <v>577151682</v>
      </c>
      <c r="BK133" s="41">
        <v>583432088</v>
      </c>
      <c r="BL133" s="41">
        <v>589503742</v>
      </c>
      <c r="BM133" s="41">
        <v>595242966</v>
      </c>
    </row>
    <row r="134" spans="1:65" x14ac:dyDescent="0.35">
      <c r="A134" s="41" t="s">
        <v>363</v>
      </c>
      <c r="B134" s="41" t="s">
        <v>364</v>
      </c>
      <c r="C134" s="41" t="s">
        <v>666</v>
      </c>
      <c r="D134" s="41" t="s">
        <v>667</v>
      </c>
      <c r="E134" s="41">
        <v>2120892</v>
      </c>
      <c r="F134" s="41">
        <v>2170340</v>
      </c>
      <c r="G134" s="41">
        <v>2221123</v>
      </c>
      <c r="H134" s="41">
        <v>2273352</v>
      </c>
      <c r="I134" s="41">
        <v>2327137</v>
      </c>
      <c r="J134" s="41">
        <v>2382586</v>
      </c>
      <c r="K134" s="41">
        <v>2439197</v>
      </c>
      <c r="L134" s="41">
        <v>2496927</v>
      </c>
      <c r="M134" s="41">
        <v>2556845</v>
      </c>
      <c r="N134" s="41">
        <v>2620448</v>
      </c>
      <c r="O134" s="41">
        <v>2688429</v>
      </c>
      <c r="P134" s="41">
        <v>2762264</v>
      </c>
      <c r="Q134" s="41">
        <v>2840842</v>
      </c>
      <c r="R134" s="41">
        <v>2919288</v>
      </c>
      <c r="S134" s="41">
        <v>2990963</v>
      </c>
      <c r="T134" s="41">
        <v>3051583</v>
      </c>
      <c r="U134" s="41">
        <v>3098962</v>
      </c>
      <c r="V134" s="41">
        <v>3135839</v>
      </c>
      <c r="W134" s="41">
        <v>3168838</v>
      </c>
      <c r="X134" s="41">
        <v>3207331</v>
      </c>
      <c r="Y134" s="41">
        <v>3258149</v>
      </c>
      <c r="Z134" s="41">
        <v>3323353</v>
      </c>
      <c r="AA134" s="41">
        <v>3401193</v>
      </c>
      <c r="AB134" s="41">
        <v>3489910</v>
      </c>
      <c r="AC134" s="41">
        <v>3586315</v>
      </c>
      <c r="AD134" s="41">
        <v>3687889</v>
      </c>
      <c r="AE134" s="41">
        <v>3794204</v>
      </c>
      <c r="AF134" s="41">
        <v>3905530</v>
      </c>
      <c r="AG134" s="41">
        <v>4020817</v>
      </c>
      <c r="AH134" s="41">
        <v>4138845</v>
      </c>
      <c r="AI134" s="41">
        <v>4258471</v>
      </c>
      <c r="AJ134" s="41">
        <v>4379234</v>
      </c>
      <c r="AK134" s="41">
        <v>4500346</v>
      </c>
      <c r="AL134" s="41">
        <v>4619946</v>
      </c>
      <c r="AM134" s="41">
        <v>4735837</v>
      </c>
      <c r="AN134" s="41">
        <v>4846477</v>
      </c>
      <c r="AO134" s="41">
        <v>4951189</v>
      </c>
      <c r="AP134" s="41">
        <v>5050308</v>
      </c>
      <c r="AQ134" s="41">
        <v>5144601</v>
      </c>
      <c r="AR134" s="41">
        <v>5235339</v>
      </c>
      <c r="AS134" s="41">
        <v>5323701</v>
      </c>
      <c r="AT134" s="41">
        <v>5409584</v>
      </c>
      <c r="AU134" s="41">
        <v>5493247</v>
      </c>
      <c r="AV134" s="41">
        <v>5576640</v>
      </c>
      <c r="AW134" s="41">
        <v>5662199</v>
      </c>
      <c r="AX134" s="41">
        <v>5751675</v>
      </c>
      <c r="AY134" s="41">
        <v>5846075</v>
      </c>
      <c r="AZ134" s="41">
        <v>5944950</v>
      </c>
      <c r="BA134" s="41">
        <v>6046630</v>
      </c>
      <c r="BB134" s="41">
        <v>6148621</v>
      </c>
      <c r="BC134" s="41">
        <v>6249168</v>
      </c>
      <c r="BD134" s="41">
        <v>6347564</v>
      </c>
      <c r="BE134" s="41">
        <v>6444527</v>
      </c>
      <c r="BF134" s="41">
        <v>6541302</v>
      </c>
      <c r="BG134" s="41">
        <v>6639763</v>
      </c>
      <c r="BH134" s="41">
        <v>6741160</v>
      </c>
      <c r="BI134" s="41">
        <v>6845848</v>
      </c>
      <c r="BJ134" s="41">
        <v>6953031</v>
      </c>
      <c r="BK134" s="41">
        <v>7061498</v>
      </c>
      <c r="BL134" s="41">
        <v>7169456</v>
      </c>
      <c r="BM134" s="41">
        <v>7275556</v>
      </c>
    </row>
    <row r="135" spans="1:65" x14ac:dyDescent="0.35">
      <c r="A135" s="41" t="s">
        <v>365</v>
      </c>
      <c r="B135" s="41" t="s">
        <v>366</v>
      </c>
      <c r="C135" s="41" t="s">
        <v>666</v>
      </c>
      <c r="D135" s="41" t="s">
        <v>667</v>
      </c>
      <c r="E135" s="41">
        <v>1804935</v>
      </c>
      <c r="F135" s="41">
        <v>1864613</v>
      </c>
      <c r="G135" s="41">
        <v>1925295</v>
      </c>
      <c r="H135" s="41">
        <v>1984999</v>
      </c>
      <c r="I135" s="41">
        <v>2041231</v>
      </c>
      <c r="J135" s="41">
        <v>2092374</v>
      </c>
      <c r="K135" s="41">
        <v>2136617</v>
      </c>
      <c r="L135" s="41">
        <v>2174732</v>
      </c>
      <c r="M135" s="41">
        <v>2210769</v>
      </c>
      <c r="N135" s="41">
        <v>2250454</v>
      </c>
      <c r="O135" s="41">
        <v>2297436</v>
      </c>
      <c r="P135" s="41">
        <v>2354046</v>
      </c>
      <c r="Q135" s="41">
        <v>2417837</v>
      </c>
      <c r="R135" s="41">
        <v>2481943</v>
      </c>
      <c r="S135" s="41">
        <v>2536772</v>
      </c>
      <c r="T135" s="41">
        <v>2575746</v>
      </c>
      <c r="U135" s="41">
        <v>2596409</v>
      </c>
      <c r="V135" s="41">
        <v>2601734</v>
      </c>
      <c r="W135" s="41">
        <v>2597202</v>
      </c>
      <c r="X135" s="41">
        <v>2590911</v>
      </c>
      <c r="Y135" s="41">
        <v>2588928</v>
      </c>
      <c r="Z135" s="41">
        <v>2594299</v>
      </c>
      <c r="AA135" s="41">
        <v>2606148</v>
      </c>
      <c r="AB135" s="41">
        <v>2622072</v>
      </c>
      <c r="AC135" s="41">
        <v>2638056</v>
      </c>
      <c r="AD135" s="41">
        <v>2651992</v>
      </c>
      <c r="AE135" s="41">
        <v>2660873</v>
      </c>
      <c r="AF135" s="41">
        <v>2667957</v>
      </c>
      <c r="AG135" s="41">
        <v>2684682</v>
      </c>
      <c r="AH135" s="41">
        <v>2726438</v>
      </c>
      <c r="AI135" s="41">
        <v>2803032</v>
      </c>
      <c r="AJ135" s="41">
        <v>2921700</v>
      </c>
      <c r="AK135" s="41">
        <v>3076133</v>
      </c>
      <c r="AL135" s="41">
        <v>3246129</v>
      </c>
      <c r="AM135" s="41">
        <v>3403359</v>
      </c>
      <c r="AN135" s="41">
        <v>3528379</v>
      </c>
      <c r="AO135" s="41">
        <v>3610663</v>
      </c>
      <c r="AP135" s="41">
        <v>3658425</v>
      </c>
      <c r="AQ135" s="41">
        <v>3693514</v>
      </c>
      <c r="AR135" s="41">
        <v>3747762</v>
      </c>
      <c r="AS135" s="41">
        <v>3842774</v>
      </c>
      <c r="AT135" s="41">
        <v>3990999</v>
      </c>
      <c r="AU135" s="41">
        <v>4182205</v>
      </c>
      <c r="AV135" s="41">
        <v>4388378</v>
      </c>
      <c r="AW135" s="41">
        <v>4569377</v>
      </c>
      <c r="AX135" s="41">
        <v>4698761</v>
      </c>
      <c r="AY135" s="41">
        <v>4759760</v>
      </c>
      <c r="AZ135" s="41">
        <v>4767347</v>
      </c>
      <c r="BA135" s="41">
        <v>4764745</v>
      </c>
      <c r="BB135" s="41">
        <v>4813026</v>
      </c>
      <c r="BC135" s="41">
        <v>4953064</v>
      </c>
      <c r="BD135" s="41">
        <v>5202022</v>
      </c>
      <c r="BE135" s="41">
        <v>5537620</v>
      </c>
      <c r="BF135" s="41">
        <v>5913016</v>
      </c>
      <c r="BG135" s="41">
        <v>6261046</v>
      </c>
      <c r="BH135" s="41">
        <v>6532681</v>
      </c>
      <c r="BI135" s="41">
        <v>6714281</v>
      </c>
      <c r="BJ135" s="41">
        <v>6819373</v>
      </c>
      <c r="BK135" s="41">
        <v>6859408</v>
      </c>
      <c r="BL135" s="41">
        <v>6855709</v>
      </c>
      <c r="BM135" s="41">
        <v>6825442</v>
      </c>
    </row>
    <row r="136" spans="1:65" x14ac:dyDescent="0.35">
      <c r="A136" s="41" t="s">
        <v>367</v>
      </c>
      <c r="B136" s="41" t="s">
        <v>368</v>
      </c>
      <c r="C136" s="41" t="s">
        <v>666</v>
      </c>
      <c r="D136" s="41" t="s">
        <v>667</v>
      </c>
      <c r="E136" s="41">
        <v>1118655</v>
      </c>
      <c r="F136" s="41">
        <v>1142304</v>
      </c>
      <c r="G136" s="41">
        <v>1166651</v>
      </c>
      <c r="H136" s="41">
        <v>1191796</v>
      </c>
      <c r="I136" s="41">
        <v>1217905</v>
      </c>
      <c r="J136" s="41">
        <v>1245104</v>
      </c>
      <c r="K136" s="41">
        <v>1273458</v>
      </c>
      <c r="L136" s="41">
        <v>1303032</v>
      </c>
      <c r="M136" s="41">
        <v>1333980</v>
      </c>
      <c r="N136" s="41">
        <v>1366500</v>
      </c>
      <c r="O136" s="41">
        <v>1400730</v>
      </c>
      <c r="P136" s="41">
        <v>1436740</v>
      </c>
      <c r="Q136" s="41">
        <v>1474567</v>
      </c>
      <c r="R136" s="41">
        <v>1514364</v>
      </c>
      <c r="S136" s="41">
        <v>1556288</v>
      </c>
      <c r="T136" s="41">
        <v>1600454</v>
      </c>
      <c r="U136" s="41">
        <v>1645833</v>
      </c>
      <c r="V136" s="41">
        <v>1692155</v>
      </c>
      <c r="W136" s="41">
        <v>1740919</v>
      </c>
      <c r="X136" s="41">
        <v>1794251</v>
      </c>
      <c r="Y136" s="41">
        <v>1852991</v>
      </c>
      <c r="Z136" s="41">
        <v>1918832</v>
      </c>
      <c r="AA136" s="41">
        <v>1989477</v>
      </c>
      <c r="AB136" s="41">
        <v>2057232</v>
      </c>
      <c r="AC136" s="41">
        <v>2111667</v>
      </c>
      <c r="AD136" s="41">
        <v>2145756</v>
      </c>
      <c r="AE136" s="41">
        <v>2158434</v>
      </c>
      <c r="AF136" s="41">
        <v>2153312</v>
      </c>
      <c r="AG136" s="41">
        <v>2134105</v>
      </c>
      <c r="AH136" s="41">
        <v>2106429</v>
      </c>
      <c r="AI136" s="41">
        <v>2075917</v>
      </c>
      <c r="AJ136" s="41">
        <v>2040141</v>
      </c>
      <c r="AK136" s="41">
        <v>2001612</v>
      </c>
      <c r="AL136" s="41">
        <v>1976701</v>
      </c>
      <c r="AM136" s="41">
        <v>1986491</v>
      </c>
      <c r="AN136" s="41">
        <v>2044657</v>
      </c>
      <c r="AO136" s="41">
        <v>2160480</v>
      </c>
      <c r="AP136" s="41">
        <v>2326210</v>
      </c>
      <c r="AQ136" s="41">
        <v>2517472</v>
      </c>
      <c r="AR136" s="41">
        <v>2699708</v>
      </c>
      <c r="AS136" s="41">
        <v>2848447</v>
      </c>
      <c r="AT136" s="41">
        <v>2953928</v>
      </c>
      <c r="AU136" s="41">
        <v>3024727</v>
      </c>
      <c r="AV136" s="41">
        <v>3077055</v>
      </c>
      <c r="AW136" s="41">
        <v>3135654</v>
      </c>
      <c r="AX136" s="41">
        <v>3218114</v>
      </c>
      <c r="AY136" s="41">
        <v>3329211</v>
      </c>
      <c r="AZ136" s="41">
        <v>3461911</v>
      </c>
      <c r="BA136" s="41">
        <v>3607863</v>
      </c>
      <c r="BB136" s="41">
        <v>3754129</v>
      </c>
      <c r="BC136" s="41">
        <v>3891357</v>
      </c>
      <c r="BD136" s="41">
        <v>4017446</v>
      </c>
      <c r="BE136" s="41">
        <v>4135662</v>
      </c>
      <c r="BF136" s="41">
        <v>4248337</v>
      </c>
      <c r="BG136" s="41">
        <v>4359508</v>
      </c>
      <c r="BH136" s="41">
        <v>4472229</v>
      </c>
      <c r="BI136" s="41">
        <v>4586788</v>
      </c>
      <c r="BJ136" s="41">
        <v>4702224</v>
      </c>
      <c r="BK136" s="41">
        <v>4818976</v>
      </c>
      <c r="BL136" s="41">
        <v>4937374</v>
      </c>
      <c r="BM136" s="41">
        <v>5057677</v>
      </c>
    </row>
    <row r="137" spans="1:65" x14ac:dyDescent="0.35">
      <c r="A137" s="41" t="s">
        <v>369</v>
      </c>
      <c r="B137" s="41" t="s">
        <v>370</v>
      </c>
      <c r="C137" s="41" t="s">
        <v>666</v>
      </c>
      <c r="D137" s="41" t="s">
        <v>667</v>
      </c>
      <c r="E137" s="41">
        <v>1448416</v>
      </c>
      <c r="F137" s="41">
        <v>1498076</v>
      </c>
      <c r="G137" s="41">
        <v>1550815</v>
      </c>
      <c r="H137" s="41">
        <v>1607168</v>
      </c>
      <c r="I137" s="41">
        <v>1667822</v>
      </c>
      <c r="J137" s="41">
        <v>1733307</v>
      </c>
      <c r="K137" s="41">
        <v>1803689</v>
      </c>
      <c r="L137" s="41">
        <v>1878869</v>
      </c>
      <c r="M137" s="41">
        <v>1958909</v>
      </c>
      <c r="N137" s="41">
        <v>2043820</v>
      </c>
      <c r="O137" s="41">
        <v>2133527</v>
      </c>
      <c r="P137" s="41">
        <v>2228142</v>
      </c>
      <c r="Q137" s="41">
        <v>2327487</v>
      </c>
      <c r="R137" s="41">
        <v>2430754</v>
      </c>
      <c r="S137" s="41">
        <v>2536895</v>
      </c>
      <c r="T137" s="41">
        <v>2645136</v>
      </c>
      <c r="U137" s="41">
        <v>2754698</v>
      </c>
      <c r="V137" s="41">
        <v>2865639</v>
      </c>
      <c r="W137" s="41">
        <v>2979102</v>
      </c>
      <c r="X137" s="41">
        <v>3096724</v>
      </c>
      <c r="Y137" s="41">
        <v>3219462</v>
      </c>
      <c r="Z137" s="41">
        <v>3347779</v>
      </c>
      <c r="AA137" s="41">
        <v>3480443</v>
      </c>
      <c r="AB137" s="41">
        <v>3614682</v>
      </c>
      <c r="AC137" s="41">
        <v>3746712</v>
      </c>
      <c r="AD137" s="41">
        <v>3873781</v>
      </c>
      <c r="AE137" s="41">
        <v>3994601</v>
      </c>
      <c r="AF137" s="41">
        <v>4109717</v>
      </c>
      <c r="AG137" s="41">
        <v>4220451</v>
      </c>
      <c r="AH137" s="41">
        <v>4328935</v>
      </c>
      <c r="AI137" s="41">
        <v>4436663</v>
      </c>
      <c r="AJ137" s="41">
        <v>4544245</v>
      </c>
      <c r="AK137" s="41">
        <v>4650896</v>
      </c>
      <c r="AL137" s="41">
        <v>4755134</v>
      </c>
      <c r="AM137" s="41">
        <v>4854871</v>
      </c>
      <c r="AN137" s="41">
        <v>4948796</v>
      </c>
      <c r="AO137" s="41">
        <v>5036173</v>
      </c>
      <c r="AP137" s="41">
        <v>5118008</v>
      </c>
      <c r="AQ137" s="41">
        <v>5196774</v>
      </c>
      <c r="AR137" s="41">
        <v>5275921</v>
      </c>
      <c r="AS137" s="41">
        <v>5357893</v>
      </c>
      <c r="AT137" s="41">
        <v>5443249</v>
      </c>
      <c r="AU137" s="41">
        <v>5531097</v>
      </c>
      <c r="AV137" s="41">
        <v>5620545</v>
      </c>
      <c r="AW137" s="41">
        <v>5710163</v>
      </c>
      <c r="AX137" s="41">
        <v>5798615</v>
      </c>
      <c r="AY137" s="41">
        <v>5886874</v>
      </c>
      <c r="AZ137" s="41">
        <v>5974786</v>
      </c>
      <c r="BA137" s="41">
        <v>6058740</v>
      </c>
      <c r="BB137" s="41">
        <v>6133987</v>
      </c>
      <c r="BC137" s="41">
        <v>6197667</v>
      </c>
      <c r="BD137" s="41">
        <v>6247438</v>
      </c>
      <c r="BE137" s="41">
        <v>6285751</v>
      </c>
      <c r="BF137" s="41">
        <v>6320350</v>
      </c>
      <c r="BG137" s="41">
        <v>6362039</v>
      </c>
      <c r="BH137" s="41">
        <v>6418315</v>
      </c>
      <c r="BI137" s="41">
        <v>6492160</v>
      </c>
      <c r="BJ137" s="41">
        <v>6580723</v>
      </c>
      <c r="BK137" s="41">
        <v>6678565</v>
      </c>
      <c r="BL137" s="41">
        <v>6777453</v>
      </c>
      <c r="BM137" s="41">
        <v>6871287</v>
      </c>
    </row>
    <row r="138" spans="1:65" x14ac:dyDescent="0.35">
      <c r="A138" s="41" t="s">
        <v>371</v>
      </c>
      <c r="B138" s="41" t="s">
        <v>372</v>
      </c>
      <c r="C138" s="41" t="s">
        <v>666</v>
      </c>
      <c r="D138" s="41" t="s">
        <v>667</v>
      </c>
      <c r="E138" s="41">
        <v>89698</v>
      </c>
      <c r="F138" s="41">
        <v>90718</v>
      </c>
      <c r="G138" s="41">
        <v>91892</v>
      </c>
      <c r="H138" s="41">
        <v>93214</v>
      </c>
      <c r="I138" s="41">
        <v>94637</v>
      </c>
      <c r="J138" s="41">
        <v>96138</v>
      </c>
      <c r="K138" s="41">
        <v>97721</v>
      </c>
      <c r="L138" s="41">
        <v>99370</v>
      </c>
      <c r="M138" s="41">
        <v>101028</v>
      </c>
      <c r="N138" s="41">
        <v>102599</v>
      </c>
      <c r="O138" s="41">
        <v>104016</v>
      </c>
      <c r="P138" s="41">
        <v>105244</v>
      </c>
      <c r="Q138" s="41">
        <v>106303</v>
      </c>
      <c r="R138" s="41">
        <v>107311</v>
      </c>
      <c r="S138" s="41">
        <v>108389</v>
      </c>
      <c r="T138" s="41">
        <v>109634</v>
      </c>
      <c r="U138" s="41">
        <v>111074</v>
      </c>
      <c r="V138" s="41">
        <v>112685</v>
      </c>
      <c r="W138" s="41">
        <v>114398</v>
      </c>
      <c r="X138" s="41">
        <v>116148</v>
      </c>
      <c r="Y138" s="41">
        <v>117828</v>
      </c>
      <c r="Z138" s="41">
        <v>119435</v>
      </c>
      <c r="AA138" s="41">
        <v>120987</v>
      </c>
      <c r="AB138" s="41">
        <v>122571</v>
      </c>
      <c r="AC138" s="41">
        <v>124296</v>
      </c>
      <c r="AD138" s="41">
        <v>126246</v>
      </c>
      <c r="AE138" s="41">
        <v>128448</v>
      </c>
      <c r="AF138" s="41">
        <v>130868</v>
      </c>
      <c r="AG138" s="41">
        <v>133364</v>
      </c>
      <c r="AH138" s="41">
        <v>135787</v>
      </c>
      <c r="AI138" s="41">
        <v>138019</v>
      </c>
      <c r="AJ138" s="41">
        <v>140001</v>
      </c>
      <c r="AK138" s="41">
        <v>141758</v>
      </c>
      <c r="AL138" s="41">
        <v>143402</v>
      </c>
      <c r="AM138" s="41">
        <v>145080</v>
      </c>
      <c r="AN138" s="41">
        <v>146871</v>
      </c>
      <c r="AO138" s="41">
        <v>148837</v>
      </c>
      <c r="AP138" s="41">
        <v>150920</v>
      </c>
      <c r="AQ138" s="41">
        <v>153023</v>
      </c>
      <c r="AR138" s="41">
        <v>154988</v>
      </c>
      <c r="AS138" s="41">
        <v>156737</v>
      </c>
      <c r="AT138" s="41">
        <v>158184</v>
      </c>
      <c r="AU138" s="41">
        <v>159392</v>
      </c>
      <c r="AV138" s="41">
        <v>160530</v>
      </c>
      <c r="AW138" s="41">
        <v>161821</v>
      </c>
      <c r="AX138" s="41">
        <v>163408</v>
      </c>
      <c r="AY138" s="41">
        <v>165378</v>
      </c>
      <c r="AZ138" s="41">
        <v>167644</v>
      </c>
      <c r="BA138" s="41">
        <v>170011</v>
      </c>
      <c r="BB138" s="41">
        <v>172223</v>
      </c>
      <c r="BC138" s="41">
        <v>174092</v>
      </c>
      <c r="BD138" s="41">
        <v>175538</v>
      </c>
      <c r="BE138" s="41">
        <v>176654</v>
      </c>
      <c r="BF138" s="41">
        <v>177505</v>
      </c>
      <c r="BG138" s="41">
        <v>178307</v>
      </c>
      <c r="BH138" s="41">
        <v>179131</v>
      </c>
      <c r="BI138" s="41">
        <v>180028</v>
      </c>
      <c r="BJ138" s="41">
        <v>180955</v>
      </c>
      <c r="BK138" s="41">
        <v>181890</v>
      </c>
      <c r="BL138" s="41">
        <v>182795</v>
      </c>
      <c r="BM138" s="41">
        <v>183629</v>
      </c>
    </row>
    <row r="139" spans="1:65" x14ac:dyDescent="0.35">
      <c r="A139" s="41" t="s">
        <v>373</v>
      </c>
      <c r="B139" s="41" t="s">
        <v>374</v>
      </c>
      <c r="C139" s="41" t="s">
        <v>666</v>
      </c>
      <c r="D139" s="41" t="s">
        <v>667</v>
      </c>
      <c r="E139" s="41">
        <v>219828794</v>
      </c>
      <c r="F139" s="41">
        <v>225912719</v>
      </c>
      <c r="G139" s="41">
        <v>232183258</v>
      </c>
      <c r="H139" s="41">
        <v>238612680</v>
      </c>
      <c r="I139" s="41">
        <v>245147710</v>
      </c>
      <c r="J139" s="41">
        <v>251760583</v>
      </c>
      <c r="K139" s="41">
        <v>258440584</v>
      </c>
      <c r="L139" s="41">
        <v>265187879</v>
      </c>
      <c r="M139" s="41">
        <v>272006857</v>
      </c>
      <c r="N139" s="41">
        <v>278898334</v>
      </c>
      <c r="O139" s="41">
        <v>285867424</v>
      </c>
      <c r="P139" s="41">
        <v>292913867</v>
      </c>
      <c r="Q139" s="41">
        <v>300028905</v>
      </c>
      <c r="R139" s="41">
        <v>307224818</v>
      </c>
      <c r="S139" s="41">
        <v>314508488</v>
      </c>
      <c r="T139" s="41">
        <v>321883714</v>
      </c>
      <c r="U139" s="41">
        <v>329348136</v>
      </c>
      <c r="V139" s="41">
        <v>336897935</v>
      </c>
      <c r="W139" s="41">
        <v>344553109</v>
      </c>
      <c r="X139" s="41">
        <v>352320721</v>
      </c>
      <c r="Y139" s="41">
        <v>360211832</v>
      </c>
      <c r="Z139" s="41">
        <v>368220724</v>
      </c>
      <c r="AA139" s="41">
        <v>376337306</v>
      </c>
      <c r="AB139" s="41">
        <v>384527729</v>
      </c>
      <c r="AC139" s="41">
        <v>392750803</v>
      </c>
      <c r="AD139" s="41">
        <v>400974913</v>
      </c>
      <c r="AE139" s="41">
        <v>409183996</v>
      </c>
      <c r="AF139" s="41">
        <v>417376183</v>
      </c>
      <c r="AG139" s="41">
        <v>425549887</v>
      </c>
      <c r="AH139" s="41">
        <v>433708712</v>
      </c>
      <c r="AI139" s="41">
        <v>441855797</v>
      </c>
      <c r="AJ139" s="41">
        <v>449968703</v>
      </c>
      <c r="AK139" s="41">
        <v>458041493</v>
      </c>
      <c r="AL139" s="41">
        <v>466082322</v>
      </c>
      <c r="AM139" s="41">
        <v>474089591</v>
      </c>
      <c r="AN139" s="41">
        <v>482060085</v>
      </c>
      <c r="AO139" s="41">
        <v>490002410</v>
      </c>
      <c r="AP139" s="41">
        <v>497889881</v>
      </c>
      <c r="AQ139" s="41">
        <v>505687097</v>
      </c>
      <c r="AR139" s="41">
        <v>513366691</v>
      </c>
      <c r="AS139" s="41">
        <v>520903474</v>
      </c>
      <c r="AT139" s="41">
        <v>528283130</v>
      </c>
      <c r="AU139" s="41">
        <v>535509387</v>
      </c>
      <c r="AV139" s="41">
        <v>542599527</v>
      </c>
      <c r="AW139" s="41">
        <v>549590680</v>
      </c>
      <c r="AX139" s="41">
        <v>556504216</v>
      </c>
      <c r="AY139" s="41">
        <v>563337657</v>
      </c>
      <c r="AZ139" s="41">
        <v>570091479</v>
      </c>
      <c r="BA139" s="41">
        <v>576783743</v>
      </c>
      <c r="BB139" s="41">
        <v>583430021</v>
      </c>
      <c r="BC139" s="41">
        <v>589932530</v>
      </c>
      <c r="BD139" s="41">
        <v>596538052</v>
      </c>
      <c r="BE139" s="41">
        <v>603094656</v>
      </c>
      <c r="BF139" s="41">
        <v>609595811</v>
      </c>
      <c r="BG139" s="41">
        <v>615999056</v>
      </c>
      <c r="BH139" s="41">
        <v>622301041</v>
      </c>
      <c r="BI139" s="41">
        <v>628493594</v>
      </c>
      <c r="BJ139" s="41">
        <v>634566052</v>
      </c>
      <c r="BK139" s="41">
        <v>640483586</v>
      </c>
      <c r="BL139" s="41">
        <v>646430786</v>
      </c>
      <c r="BM139" s="41">
        <v>652276325</v>
      </c>
    </row>
    <row r="140" spans="1:65" x14ac:dyDescent="0.35">
      <c r="A140" s="41" t="s">
        <v>375</v>
      </c>
      <c r="B140" s="41" t="s">
        <v>376</v>
      </c>
      <c r="C140" s="41" t="s">
        <v>666</v>
      </c>
      <c r="D140" s="41" t="s">
        <v>667</v>
      </c>
      <c r="E140" s="41">
        <v>240518397</v>
      </c>
      <c r="F140" s="41">
        <v>246113624</v>
      </c>
      <c r="G140" s="41">
        <v>251900655</v>
      </c>
      <c r="H140" s="41">
        <v>257908038</v>
      </c>
      <c r="I140" s="41">
        <v>264174076</v>
      </c>
      <c r="J140" s="41">
        <v>270720935</v>
      </c>
      <c r="K140" s="41">
        <v>277573103</v>
      </c>
      <c r="L140" s="41">
        <v>284708606</v>
      </c>
      <c r="M140" s="41">
        <v>292046003</v>
      </c>
      <c r="N140" s="41">
        <v>299473694</v>
      </c>
      <c r="O140" s="41">
        <v>306916898</v>
      </c>
      <c r="P140" s="41">
        <v>314345051</v>
      </c>
      <c r="Q140" s="41">
        <v>321797948</v>
      </c>
      <c r="R140" s="41">
        <v>329357734</v>
      </c>
      <c r="S140" s="41">
        <v>337142875</v>
      </c>
      <c r="T140" s="41">
        <v>345242741</v>
      </c>
      <c r="U140" s="41">
        <v>353691447</v>
      </c>
      <c r="V140" s="41">
        <v>362475157</v>
      </c>
      <c r="W140" s="41">
        <v>371577357</v>
      </c>
      <c r="X140" s="41">
        <v>380963357</v>
      </c>
      <c r="Y140" s="41">
        <v>390612544</v>
      </c>
      <c r="Z140" s="41">
        <v>400528973</v>
      </c>
      <c r="AA140" s="41">
        <v>410740623</v>
      </c>
      <c r="AB140" s="41">
        <v>421279177</v>
      </c>
      <c r="AC140" s="41">
        <v>432185306</v>
      </c>
      <c r="AD140" s="41">
        <v>443491299</v>
      </c>
      <c r="AE140" s="41">
        <v>455193679</v>
      </c>
      <c r="AF140" s="41">
        <v>467290486</v>
      </c>
      <c r="AG140" s="41">
        <v>479814027</v>
      </c>
      <c r="AH140" s="41">
        <v>492803041</v>
      </c>
      <c r="AI140" s="41">
        <v>506275626</v>
      </c>
      <c r="AJ140" s="41">
        <v>520262436</v>
      </c>
      <c r="AK140" s="41">
        <v>534731004</v>
      </c>
      <c r="AL140" s="41">
        <v>549559275</v>
      </c>
      <c r="AM140" s="41">
        <v>564581120</v>
      </c>
      <c r="AN140" s="41">
        <v>579681702</v>
      </c>
      <c r="AO140" s="41">
        <v>594801271</v>
      </c>
      <c r="AP140" s="41">
        <v>609983284</v>
      </c>
      <c r="AQ140" s="41">
        <v>625342129</v>
      </c>
      <c r="AR140" s="41">
        <v>641046832</v>
      </c>
      <c r="AS140" s="41">
        <v>657215854</v>
      </c>
      <c r="AT140" s="41">
        <v>673903088</v>
      </c>
      <c r="AU140" s="41">
        <v>691061433</v>
      </c>
      <c r="AV140" s="41">
        <v>708587940</v>
      </c>
      <c r="AW140" s="41">
        <v>726331171</v>
      </c>
      <c r="AX140" s="41">
        <v>744190509</v>
      </c>
      <c r="AY140" s="41">
        <v>762132501</v>
      </c>
      <c r="AZ140" s="41">
        <v>780219573</v>
      </c>
      <c r="BA140" s="41">
        <v>798563425</v>
      </c>
      <c r="BB140" s="41">
        <v>817322615</v>
      </c>
      <c r="BC140" s="41">
        <v>836614841</v>
      </c>
      <c r="BD140" s="41">
        <v>856471437</v>
      </c>
      <c r="BE140" s="41">
        <v>876867234</v>
      </c>
      <c r="BF140" s="41">
        <v>897793439</v>
      </c>
      <c r="BG140" s="41">
        <v>919222955</v>
      </c>
      <c r="BH140" s="41">
        <v>941131317</v>
      </c>
      <c r="BI140" s="41">
        <v>963519718</v>
      </c>
      <c r="BJ140" s="41">
        <v>986385402</v>
      </c>
      <c r="BK140" s="41">
        <v>1009691252</v>
      </c>
      <c r="BL140" s="41">
        <v>1033388868</v>
      </c>
      <c r="BM140" s="41">
        <v>1057438163</v>
      </c>
    </row>
    <row r="141" spans="1:65" x14ac:dyDescent="0.35">
      <c r="A141" s="41" t="s">
        <v>377</v>
      </c>
      <c r="B141" s="41" t="s">
        <v>378</v>
      </c>
      <c r="C141" s="41" t="s">
        <v>666</v>
      </c>
      <c r="D141" s="41" t="s">
        <v>667</v>
      </c>
      <c r="E141" s="41">
        <v>137782356</v>
      </c>
      <c r="F141" s="41">
        <v>140848427</v>
      </c>
      <c r="G141" s="41">
        <v>143991035</v>
      </c>
      <c r="H141" s="41">
        <v>147246689</v>
      </c>
      <c r="I141" s="41">
        <v>150668279</v>
      </c>
      <c r="J141" s="41">
        <v>154292515</v>
      </c>
      <c r="K141" s="41">
        <v>158131724</v>
      </c>
      <c r="L141" s="41">
        <v>162169520</v>
      </c>
      <c r="M141" s="41">
        <v>166378127</v>
      </c>
      <c r="N141" s="41">
        <v>170716523</v>
      </c>
      <c r="O141" s="41">
        <v>175154298</v>
      </c>
      <c r="P141" s="41">
        <v>179681941</v>
      </c>
      <c r="Q141" s="41">
        <v>184306845</v>
      </c>
      <c r="R141" s="41">
        <v>189035415</v>
      </c>
      <c r="S141" s="41">
        <v>193880021</v>
      </c>
      <c r="T141" s="41">
        <v>198849250</v>
      </c>
      <c r="U141" s="41">
        <v>203955515</v>
      </c>
      <c r="V141" s="41">
        <v>209195581</v>
      </c>
      <c r="W141" s="41">
        <v>214544342</v>
      </c>
      <c r="X141" s="41">
        <v>219966776</v>
      </c>
      <c r="Y141" s="41">
        <v>225445124</v>
      </c>
      <c r="Z141" s="41">
        <v>230976727</v>
      </c>
      <c r="AA141" s="41">
        <v>236593189</v>
      </c>
      <c r="AB141" s="41">
        <v>242355131</v>
      </c>
      <c r="AC141" s="41">
        <v>248343146</v>
      </c>
      <c r="AD141" s="41">
        <v>254622410</v>
      </c>
      <c r="AE141" s="41">
        <v>261201749</v>
      </c>
      <c r="AF141" s="41">
        <v>268084615</v>
      </c>
      <c r="AG141" s="41">
        <v>275322077</v>
      </c>
      <c r="AH141" s="41">
        <v>282972202</v>
      </c>
      <c r="AI141" s="41">
        <v>291068697</v>
      </c>
      <c r="AJ141" s="41">
        <v>299656373</v>
      </c>
      <c r="AK141" s="41">
        <v>308709029</v>
      </c>
      <c r="AL141" s="41">
        <v>318101755</v>
      </c>
      <c r="AM141" s="41">
        <v>327660123</v>
      </c>
      <c r="AN141" s="41">
        <v>337265010</v>
      </c>
      <c r="AO141" s="41">
        <v>346863261</v>
      </c>
      <c r="AP141" s="41">
        <v>356508832</v>
      </c>
      <c r="AQ141" s="41">
        <v>366320517</v>
      </c>
      <c r="AR141" s="41">
        <v>376471932</v>
      </c>
      <c r="AS141" s="41">
        <v>387088076</v>
      </c>
      <c r="AT141" s="41">
        <v>398196096</v>
      </c>
      <c r="AU141" s="41">
        <v>409752737</v>
      </c>
      <c r="AV141" s="41">
        <v>421725011</v>
      </c>
      <c r="AW141" s="41">
        <v>434055590</v>
      </c>
      <c r="AX141" s="41">
        <v>446695034</v>
      </c>
      <c r="AY141" s="41">
        <v>459659653</v>
      </c>
      <c r="AZ141" s="41">
        <v>472947450</v>
      </c>
      <c r="BA141" s="41">
        <v>486468200</v>
      </c>
      <c r="BB141" s="41">
        <v>500104939</v>
      </c>
      <c r="BC141" s="41">
        <v>513783318</v>
      </c>
      <c r="BD141" s="41">
        <v>527467149</v>
      </c>
      <c r="BE141" s="41">
        <v>541205688</v>
      </c>
      <c r="BF141" s="41">
        <v>555116804</v>
      </c>
      <c r="BG141" s="41">
        <v>569367413</v>
      </c>
      <c r="BH141" s="41">
        <v>584084928</v>
      </c>
      <c r="BI141" s="41">
        <v>599290280</v>
      </c>
      <c r="BJ141" s="41">
        <v>614965124</v>
      </c>
      <c r="BK141" s="41">
        <v>631147232</v>
      </c>
      <c r="BL141" s="41">
        <v>647870823</v>
      </c>
      <c r="BM141" s="41">
        <v>665149035</v>
      </c>
    </row>
    <row r="142" spans="1:65" x14ac:dyDescent="0.35">
      <c r="A142" s="41" t="s">
        <v>379</v>
      </c>
      <c r="B142" s="41" t="s">
        <v>380</v>
      </c>
      <c r="C142" s="41" t="s">
        <v>666</v>
      </c>
      <c r="D142" s="41" t="s">
        <v>667</v>
      </c>
      <c r="E142" s="41">
        <v>16501</v>
      </c>
      <c r="F142" s="41">
        <v>16894</v>
      </c>
      <c r="G142" s="41">
        <v>17300</v>
      </c>
      <c r="H142" s="41">
        <v>17724</v>
      </c>
      <c r="I142" s="41">
        <v>18170</v>
      </c>
      <c r="J142" s="41">
        <v>18642</v>
      </c>
      <c r="K142" s="41">
        <v>19160</v>
      </c>
      <c r="L142" s="41">
        <v>19688</v>
      </c>
      <c r="M142" s="41">
        <v>20237</v>
      </c>
      <c r="N142" s="41">
        <v>20766</v>
      </c>
      <c r="O142" s="41">
        <v>21268</v>
      </c>
      <c r="P142" s="41">
        <v>21729</v>
      </c>
      <c r="Q142" s="41">
        <v>22161</v>
      </c>
      <c r="R142" s="41">
        <v>22560</v>
      </c>
      <c r="S142" s="41">
        <v>22985</v>
      </c>
      <c r="T142" s="41">
        <v>23436</v>
      </c>
      <c r="U142" s="41">
        <v>23933</v>
      </c>
      <c r="V142" s="41">
        <v>24451</v>
      </c>
      <c r="W142" s="41">
        <v>24968</v>
      </c>
      <c r="X142" s="41">
        <v>25463</v>
      </c>
      <c r="Y142" s="41">
        <v>25881</v>
      </c>
      <c r="Z142" s="41">
        <v>26229</v>
      </c>
      <c r="AA142" s="41">
        <v>26533</v>
      </c>
      <c r="AB142" s="41">
        <v>26790</v>
      </c>
      <c r="AC142" s="41">
        <v>27028</v>
      </c>
      <c r="AD142" s="41">
        <v>27286</v>
      </c>
      <c r="AE142" s="41">
        <v>27552</v>
      </c>
      <c r="AF142" s="41">
        <v>27835</v>
      </c>
      <c r="AG142" s="41">
        <v>28135</v>
      </c>
      <c r="AH142" s="41">
        <v>28449</v>
      </c>
      <c r="AI142" s="41">
        <v>28790</v>
      </c>
      <c r="AJ142" s="41">
        <v>29166</v>
      </c>
      <c r="AK142" s="41">
        <v>29552</v>
      </c>
      <c r="AL142" s="41">
        <v>29987</v>
      </c>
      <c r="AM142" s="41">
        <v>30415</v>
      </c>
      <c r="AN142" s="41">
        <v>30884</v>
      </c>
      <c r="AO142" s="41">
        <v>31354</v>
      </c>
      <c r="AP142" s="41">
        <v>31830</v>
      </c>
      <c r="AQ142" s="41">
        <v>32306</v>
      </c>
      <c r="AR142" s="41">
        <v>32765</v>
      </c>
      <c r="AS142" s="41">
        <v>33184</v>
      </c>
      <c r="AT142" s="41">
        <v>33543</v>
      </c>
      <c r="AU142" s="41">
        <v>33885</v>
      </c>
      <c r="AV142" s="41">
        <v>34172</v>
      </c>
      <c r="AW142" s="41">
        <v>34444</v>
      </c>
      <c r="AX142" s="41">
        <v>34718</v>
      </c>
      <c r="AY142" s="41">
        <v>34975</v>
      </c>
      <c r="AZ142" s="41">
        <v>35217</v>
      </c>
      <c r="BA142" s="41">
        <v>35469</v>
      </c>
      <c r="BB142" s="41">
        <v>35723</v>
      </c>
      <c r="BC142" s="41">
        <v>35996</v>
      </c>
      <c r="BD142" s="41">
        <v>36299</v>
      </c>
      <c r="BE142" s="41">
        <v>36615</v>
      </c>
      <c r="BF142" s="41">
        <v>36940</v>
      </c>
      <c r="BG142" s="41">
        <v>37219</v>
      </c>
      <c r="BH142" s="41">
        <v>37465</v>
      </c>
      <c r="BI142" s="41">
        <v>37655</v>
      </c>
      <c r="BJ142" s="41">
        <v>37805</v>
      </c>
      <c r="BK142" s="41">
        <v>37918</v>
      </c>
      <c r="BL142" s="41">
        <v>38020</v>
      </c>
      <c r="BM142" s="41">
        <v>38137</v>
      </c>
    </row>
    <row r="143" spans="1:65" x14ac:dyDescent="0.35">
      <c r="A143" s="41" t="s">
        <v>381</v>
      </c>
      <c r="B143" s="41" t="s">
        <v>382</v>
      </c>
      <c r="C143" s="41" t="s">
        <v>666</v>
      </c>
      <c r="D143" s="41" t="s">
        <v>667</v>
      </c>
      <c r="E143" s="41">
        <v>9874476</v>
      </c>
      <c r="F143" s="41">
        <v>10111639</v>
      </c>
      <c r="G143" s="41">
        <v>10352180</v>
      </c>
      <c r="H143" s="41">
        <v>10597516</v>
      </c>
      <c r="I143" s="41">
        <v>10849977</v>
      </c>
      <c r="J143" s="41">
        <v>11110825</v>
      </c>
      <c r="K143" s="41">
        <v>11380665</v>
      </c>
      <c r="L143" s="41">
        <v>11657650</v>
      </c>
      <c r="M143" s="41">
        <v>11937607</v>
      </c>
      <c r="N143" s="41">
        <v>12214948</v>
      </c>
      <c r="O143" s="41">
        <v>12485736</v>
      </c>
      <c r="P143" s="41">
        <v>12747831</v>
      </c>
      <c r="Q143" s="41">
        <v>13002234</v>
      </c>
      <c r="R143" s="41">
        <v>13252033</v>
      </c>
      <c r="S143" s="41">
        <v>13501931</v>
      </c>
      <c r="T143" s="41">
        <v>13755141</v>
      </c>
      <c r="U143" s="41">
        <v>14012894</v>
      </c>
      <c r="V143" s="41">
        <v>14273495</v>
      </c>
      <c r="W143" s="41">
        <v>14533691</v>
      </c>
      <c r="X143" s="41">
        <v>14788866</v>
      </c>
      <c r="Y143" s="41">
        <v>15035840</v>
      </c>
      <c r="Z143" s="41">
        <v>15272822</v>
      </c>
      <c r="AA143" s="41">
        <v>15501210</v>
      </c>
      <c r="AB143" s="41">
        <v>15724641</v>
      </c>
      <c r="AC143" s="41">
        <v>15948501</v>
      </c>
      <c r="AD143" s="41">
        <v>16176282</v>
      </c>
      <c r="AE143" s="41">
        <v>16408861</v>
      </c>
      <c r="AF143" s="41">
        <v>16643956</v>
      </c>
      <c r="AG143" s="41">
        <v>16878186</v>
      </c>
      <c r="AH143" s="41">
        <v>17106752</v>
      </c>
      <c r="AI143" s="41">
        <v>17325769</v>
      </c>
      <c r="AJ143" s="41">
        <v>17535732</v>
      </c>
      <c r="AK143" s="41">
        <v>17736827</v>
      </c>
      <c r="AL143" s="41">
        <v>17924827</v>
      </c>
      <c r="AM143" s="41">
        <v>18094474</v>
      </c>
      <c r="AN143" s="41">
        <v>18242917</v>
      </c>
      <c r="AO143" s="41">
        <v>18367290</v>
      </c>
      <c r="AP143" s="41">
        <v>18470897</v>
      </c>
      <c r="AQ143" s="41">
        <v>18564595</v>
      </c>
      <c r="AR143" s="41">
        <v>18663293</v>
      </c>
      <c r="AS143" s="41">
        <v>18777606</v>
      </c>
      <c r="AT143" s="41">
        <v>18911727</v>
      </c>
      <c r="AU143" s="41">
        <v>19062476</v>
      </c>
      <c r="AV143" s="41">
        <v>19224036</v>
      </c>
      <c r="AW143" s="41">
        <v>19387153</v>
      </c>
      <c r="AX143" s="41">
        <v>19544988</v>
      </c>
      <c r="AY143" s="41">
        <v>19695977</v>
      </c>
      <c r="AZ143" s="41">
        <v>19842044</v>
      </c>
      <c r="BA143" s="41">
        <v>19983984</v>
      </c>
      <c r="BB143" s="41">
        <v>20123508</v>
      </c>
      <c r="BC143" s="41">
        <v>20261738</v>
      </c>
      <c r="BD143" s="41">
        <v>20398496</v>
      </c>
      <c r="BE143" s="41">
        <v>20425000</v>
      </c>
      <c r="BF143" s="41">
        <v>20585000</v>
      </c>
      <c r="BG143" s="41">
        <v>20778000</v>
      </c>
      <c r="BH143" s="41">
        <v>20970000</v>
      </c>
      <c r="BI143" s="41">
        <v>21203000</v>
      </c>
      <c r="BJ143" s="41">
        <v>21444000</v>
      </c>
      <c r="BK143" s="41">
        <v>21670000</v>
      </c>
      <c r="BL143" s="41">
        <v>21803000</v>
      </c>
      <c r="BM143" s="41">
        <v>21919000</v>
      </c>
    </row>
    <row r="144" spans="1:65" x14ac:dyDescent="0.35">
      <c r="A144" s="41" t="s">
        <v>383</v>
      </c>
      <c r="B144" s="41" t="s">
        <v>384</v>
      </c>
      <c r="C144" s="41" t="s">
        <v>666</v>
      </c>
      <c r="D144" s="41" t="s">
        <v>667</v>
      </c>
      <c r="E144" s="41">
        <v>989984004</v>
      </c>
      <c r="F144" s="41">
        <v>1012695283</v>
      </c>
      <c r="G144" s="41">
        <v>1036174880</v>
      </c>
      <c r="H144" s="41">
        <v>1060393357</v>
      </c>
      <c r="I144" s="41">
        <v>1085299211</v>
      </c>
      <c r="J144" s="41">
        <v>1110852757</v>
      </c>
      <c r="K144" s="41">
        <v>1137057458</v>
      </c>
      <c r="L144" s="41">
        <v>1163922580</v>
      </c>
      <c r="M144" s="41">
        <v>1191458095</v>
      </c>
      <c r="N144" s="41">
        <v>1219673698</v>
      </c>
      <c r="O144" s="41">
        <v>1248583279</v>
      </c>
      <c r="P144" s="41">
        <v>1278208964</v>
      </c>
      <c r="Q144" s="41">
        <v>1308581612</v>
      </c>
      <c r="R144" s="41">
        <v>1339744791</v>
      </c>
      <c r="S144" s="41">
        <v>1371761160</v>
      </c>
      <c r="T144" s="41">
        <v>1404677295</v>
      </c>
      <c r="U144" s="41">
        <v>1438471529</v>
      </c>
      <c r="V144" s="41">
        <v>1473161514</v>
      </c>
      <c r="W144" s="41">
        <v>1508876331</v>
      </c>
      <c r="X144" s="41">
        <v>1545785670</v>
      </c>
      <c r="Y144" s="41">
        <v>1583984211</v>
      </c>
      <c r="Z144" s="41">
        <v>1623540865</v>
      </c>
      <c r="AA144" s="41">
        <v>1664223803</v>
      </c>
      <c r="AB144" s="41">
        <v>1705941229</v>
      </c>
      <c r="AC144" s="41">
        <v>1748404026</v>
      </c>
      <c r="AD144" s="41">
        <v>1791342151</v>
      </c>
      <c r="AE144" s="41">
        <v>1834732208</v>
      </c>
      <c r="AF144" s="41">
        <v>1878529520</v>
      </c>
      <c r="AG144" s="41">
        <v>1922581048</v>
      </c>
      <c r="AH144" s="41">
        <v>1966720233</v>
      </c>
      <c r="AI144" s="41">
        <v>2012725416</v>
      </c>
      <c r="AJ144" s="41">
        <v>2056479735</v>
      </c>
      <c r="AK144" s="41">
        <v>2100111594</v>
      </c>
      <c r="AL144" s="41">
        <v>2143451976</v>
      </c>
      <c r="AM144" s="41">
        <v>2186469992</v>
      </c>
      <c r="AN144" s="41">
        <v>2229481699</v>
      </c>
      <c r="AO144" s="41">
        <v>2272648448</v>
      </c>
      <c r="AP144" s="41">
        <v>2315905969</v>
      </c>
      <c r="AQ144" s="41">
        <v>2359112024</v>
      </c>
      <c r="AR144" s="41">
        <v>2402132069</v>
      </c>
      <c r="AS144" s="41">
        <v>2445096607</v>
      </c>
      <c r="AT144" s="41">
        <v>2487900839</v>
      </c>
      <c r="AU144" s="41">
        <v>2530679514</v>
      </c>
      <c r="AV144" s="41">
        <v>2573512638</v>
      </c>
      <c r="AW144" s="41">
        <v>2616457516</v>
      </c>
      <c r="AX144" s="41">
        <v>2659559236</v>
      </c>
      <c r="AY144" s="41">
        <v>2702862046</v>
      </c>
      <c r="AZ144" s="41">
        <v>2746406133</v>
      </c>
      <c r="BA144" s="41">
        <v>2790205950</v>
      </c>
      <c r="BB144" s="41">
        <v>2834272715</v>
      </c>
      <c r="BC144" s="41">
        <v>2878875404</v>
      </c>
      <c r="BD144" s="41">
        <v>2923659939</v>
      </c>
      <c r="BE144" s="41">
        <v>2968243908</v>
      </c>
      <c r="BF144" s="41">
        <v>3013187396</v>
      </c>
      <c r="BG144" s="41">
        <v>3058248975</v>
      </c>
      <c r="BH144" s="41">
        <v>3103569257</v>
      </c>
      <c r="BI144" s="41">
        <v>3149022555</v>
      </c>
      <c r="BJ144" s="41">
        <v>3194517542</v>
      </c>
      <c r="BK144" s="41">
        <v>3240031866</v>
      </c>
      <c r="BL144" s="41">
        <v>3285416867</v>
      </c>
      <c r="BM144" s="41">
        <v>3330652547</v>
      </c>
    </row>
    <row r="145" spans="1:65" x14ac:dyDescent="0.35">
      <c r="A145" s="41" t="s">
        <v>385</v>
      </c>
      <c r="B145" s="41" t="s">
        <v>386</v>
      </c>
      <c r="C145" s="41" t="s">
        <v>666</v>
      </c>
      <c r="D145" s="41" t="s">
        <v>667</v>
      </c>
      <c r="E145" s="41">
        <v>2264230620</v>
      </c>
      <c r="F145" s="41">
        <v>2293657434</v>
      </c>
      <c r="G145" s="41">
        <v>2336352877</v>
      </c>
      <c r="H145" s="41">
        <v>2391244202</v>
      </c>
      <c r="I145" s="41">
        <v>2446616794</v>
      </c>
      <c r="J145" s="41">
        <v>2503757914</v>
      </c>
      <c r="K145" s="41">
        <v>2564648351</v>
      </c>
      <c r="L145" s="41">
        <v>2625561008</v>
      </c>
      <c r="M145" s="41">
        <v>2688185221</v>
      </c>
      <c r="N145" s="41">
        <v>2753244603</v>
      </c>
      <c r="O145" s="41">
        <v>2820016062</v>
      </c>
      <c r="P145" s="41">
        <v>2888210757</v>
      </c>
      <c r="Q145" s="41">
        <v>2955489373</v>
      </c>
      <c r="R145" s="41">
        <v>3022725529</v>
      </c>
      <c r="S145" s="41">
        <v>3089529348</v>
      </c>
      <c r="T145" s="41">
        <v>3155089855</v>
      </c>
      <c r="U145" s="41">
        <v>3220127983</v>
      </c>
      <c r="V145" s="41">
        <v>3284682193</v>
      </c>
      <c r="W145" s="41">
        <v>3350362852</v>
      </c>
      <c r="X145" s="41">
        <v>3417557084</v>
      </c>
      <c r="Y145" s="41">
        <v>3485705709</v>
      </c>
      <c r="Z145" s="41">
        <v>3555885098</v>
      </c>
      <c r="AA145" s="41">
        <v>3629464839</v>
      </c>
      <c r="AB145" s="41">
        <v>3704198772</v>
      </c>
      <c r="AC145" s="41">
        <v>3779008675</v>
      </c>
      <c r="AD145" s="41">
        <v>3855293544</v>
      </c>
      <c r="AE145" s="41">
        <v>3933787633</v>
      </c>
      <c r="AF145" s="41">
        <v>4014448614</v>
      </c>
      <c r="AG145" s="41">
        <v>4095886112</v>
      </c>
      <c r="AH145" s="41">
        <v>4176844232</v>
      </c>
      <c r="AI145" s="41">
        <v>4258735820</v>
      </c>
      <c r="AJ145" s="41">
        <v>4337877075</v>
      </c>
      <c r="AK145" s="41">
        <v>4415505150</v>
      </c>
      <c r="AL145" s="41">
        <v>4492317445</v>
      </c>
      <c r="AM145" s="41">
        <v>4568575554</v>
      </c>
      <c r="AN145" s="41">
        <v>4644103191</v>
      </c>
      <c r="AO145" s="41">
        <v>4719451017</v>
      </c>
      <c r="AP145" s="41">
        <v>4794701339</v>
      </c>
      <c r="AQ145" s="41">
        <v>4869215508</v>
      </c>
      <c r="AR145" s="41">
        <v>4942554270</v>
      </c>
      <c r="AS145" s="41">
        <v>5015320490</v>
      </c>
      <c r="AT145" s="41">
        <v>5087215714</v>
      </c>
      <c r="AU145" s="41">
        <v>5158616199</v>
      </c>
      <c r="AV145" s="41">
        <v>5230164654</v>
      </c>
      <c r="AW145" s="41">
        <v>5301861509</v>
      </c>
      <c r="AX145" s="41">
        <v>5373892527</v>
      </c>
      <c r="AY145" s="41">
        <v>5446043718</v>
      </c>
      <c r="AZ145" s="41">
        <v>5518245128</v>
      </c>
      <c r="BA145" s="41">
        <v>5591217271</v>
      </c>
      <c r="BB145" s="41">
        <v>5664931795</v>
      </c>
      <c r="BC145" s="41">
        <v>5739242600</v>
      </c>
      <c r="BD145" s="41">
        <v>5814350691</v>
      </c>
      <c r="BE145" s="41">
        <v>5889963667</v>
      </c>
      <c r="BF145" s="41">
        <v>5966542299</v>
      </c>
      <c r="BG145" s="41">
        <v>6043826104</v>
      </c>
      <c r="BH145" s="41">
        <v>6121677430</v>
      </c>
      <c r="BI145" s="41">
        <v>6200441680</v>
      </c>
      <c r="BJ145" s="41">
        <v>6279734109</v>
      </c>
      <c r="BK145" s="41">
        <v>6357646877</v>
      </c>
      <c r="BL145" s="41">
        <v>6434033786</v>
      </c>
      <c r="BM145" s="41">
        <v>6509474374</v>
      </c>
    </row>
    <row r="146" spans="1:65" x14ac:dyDescent="0.35">
      <c r="A146" s="41" t="s">
        <v>10</v>
      </c>
      <c r="B146" s="41" t="s">
        <v>387</v>
      </c>
      <c r="C146" s="41" t="s">
        <v>666</v>
      </c>
      <c r="D146" s="41" t="s">
        <v>667</v>
      </c>
      <c r="E146" s="41">
        <v>837264</v>
      </c>
      <c r="F146" s="41">
        <v>852892</v>
      </c>
      <c r="G146" s="41">
        <v>869132</v>
      </c>
      <c r="H146" s="41">
        <v>886061</v>
      </c>
      <c r="I146" s="41">
        <v>903757</v>
      </c>
      <c r="J146" s="41">
        <v>922307</v>
      </c>
      <c r="K146" s="41">
        <v>941798</v>
      </c>
      <c r="L146" s="41">
        <v>962279</v>
      </c>
      <c r="M146" s="41">
        <v>983683</v>
      </c>
      <c r="N146" s="41">
        <v>1005911</v>
      </c>
      <c r="O146" s="41">
        <v>1028930</v>
      </c>
      <c r="P146" s="41">
        <v>1052619</v>
      </c>
      <c r="Q146" s="41">
        <v>1077102</v>
      </c>
      <c r="R146" s="41">
        <v>1102885</v>
      </c>
      <c r="S146" s="41">
        <v>1130634</v>
      </c>
      <c r="T146" s="41">
        <v>1160795</v>
      </c>
      <c r="U146" s="41">
        <v>1193517</v>
      </c>
      <c r="V146" s="41">
        <v>1228527</v>
      </c>
      <c r="W146" s="41">
        <v>1265211</v>
      </c>
      <c r="X146" s="41">
        <v>1302670</v>
      </c>
      <c r="Y146" s="41">
        <v>1340258</v>
      </c>
      <c r="Z146" s="41">
        <v>1377808</v>
      </c>
      <c r="AA146" s="41">
        <v>1415362</v>
      </c>
      <c r="AB146" s="41">
        <v>1452727</v>
      </c>
      <c r="AC146" s="41">
        <v>1489685</v>
      </c>
      <c r="AD146" s="41">
        <v>1526132</v>
      </c>
      <c r="AE146" s="41">
        <v>1561687</v>
      </c>
      <c r="AF146" s="41">
        <v>1596395</v>
      </c>
      <c r="AG146" s="41">
        <v>1630993</v>
      </c>
      <c r="AH146" s="41">
        <v>1666564</v>
      </c>
      <c r="AI146" s="41">
        <v>1703757</v>
      </c>
      <c r="AJ146" s="41">
        <v>1742534</v>
      </c>
      <c r="AK146" s="41">
        <v>1782284</v>
      </c>
      <c r="AL146" s="41">
        <v>1822237</v>
      </c>
      <c r="AM146" s="41">
        <v>1861323</v>
      </c>
      <c r="AN146" s="41">
        <v>1898598</v>
      </c>
      <c r="AO146" s="41">
        <v>1934294</v>
      </c>
      <c r="AP146" s="41">
        <v>1968054</v>
      </c>
      <c r="AQ146" s="41">
        <v>1997524</v>
      </c>
      <c r="AR146" s="41">
        <v>2019732</v>
      </c>
      <c r="AS146" s="41">
        <v>2032805</v>
      </c>
      <c r="AT146" s="41">
        <v>2035738</v>
      </c>
      <c r="AU146" s="41">
        <v>2029832</v>
      </c>
      <c r="AV146" s="41">
        <v>2018355</v>
      </c>
      <c r="AW146" s="41">
        <v>2005953</v>
      </c>
      <c r="AX146" s="41">
        <v>1996115</v>
      </c>
      <c r="AY146" s="41">
        <v>1989933</v>
      </c>
      <c r="AZ146" s="41">
        <v>1986926</v>
      </c>
      <c r="BA146" s="41">
        <v>1987130</v>
      </c>
      <c r="BB146" s="41">
        <v>1990135</v>
      </c>
      <c r="BC146" s="41">
        <v>1995575</v>
      </c>
      <c r="BD146" s="41">
        <v>2003793</v>
      </c>
      <c r="BE146" s="41">
        <v>2014988</v>
      </c>
      <c r="BF146" s="41">
        <v>2028528</v>
      </c>
      <c r="BG146" s="41">
        <v>2043448</v>
      </c>
      <c r="BH146" s="41">
        <v>2059011</v>
      </c>
      <c r="BI146" s="41">
        <v>2075041</v>
      </c>
      <c r="BJ146" s="41">
        <v>2091532</v>
      </c>
      <c r="BK146" s="41">
        <v>2108327</v>
      </c>
      <c r="BL146" s="41">
        <v>2125267</v>
      </c>
      <c r="BM146" s="41">
        <v>2142252</v>
      </c>
    </row>
    <row r="147" spans="1:65" x14ac:dyDescent="0.35">
      <c r="A147" s="41" t="s">
        <v>388</v>
      </c>
      <c r="B147" s="41" t="s">
        <v>389</v>
      </c>
      <c r="C147" s="41" t="s">
        <v>666</v>
      </c>
      <c r="D147" s="41" t="s">
        <v>667</v>
      </c>
      <c r="E147" s="41">
        <v>1096903448</v>
      </c>
      <c r="F147" s="41">
        <v>1099284940</v>
      </c>
      <c r="G147" s="41">
        <v>1113927919</v>
      </c>
      <c r="H147" s="41">
        <v>1139889997</v>
      </c>
      <c r="I147" s="41">
        <v>1165421495</v>
      </c>
      <c r="J147" s="41">
        <v>1191679434</v>
      </c>
      <c r="K147" s="41">
        <v>1220687497</v>
      </c>
      <c r="L147" s="41">
        <v>1248850553</v>
      </c>
      <c r="M147" s="41">
        <v>1277803242</v>
      </c>
      <c r="N147" s="41">
        <v>1308225875</v>
      </c>
      <c r="O147" s="41">
        <v>1339320296</v>
      </c>
      <c r="P147" s="41">
        <v>1370950386</v>
      </c>
      <c r="Q147" s="41">
        <v>1400911434</v>
      </c>
      <c r="R147" s="41">
        <v>1429901917</v>
      </c>
      <c r="S147" s="41">
        <v>1457475769</v>
      </c>
      <c r="T147" s="41">
        <v>1482809855</v>
      </c>
      <c r="U147" s="41">
        <v>1506611986</v>
      </c>
      <c r="V147" s="41">
        <v>1528866928</v>
      </c>
      <c r="W147" s="41">
        <v>1551073484</v>
      </c>
      <c r="X147" s="41">
        <v>1573488423</v>
      </c>
      <c r="Y147" s="41">
        <v>1595481006</v>
      </c>
      <c r="Z147" s="41">
        <v>1618039026</v>
      </c>
      <c r="AA147" s="41">
        <v>1642764734</v>
      </c>
      <c r="AB147" s="41">
        <v>1667457285</v>
      </c>
      <c r="AC147" s="41">
        <v>1691255626</v>
      </c>
      <c r="AD147" s="41">
        <v>1715762768</v>
      </c>
      <c r="AE147" s="41">
        <v>1741726104</v>
      </c>
      <c r="AF147" s="41">
        <v>1769123601</v>
      </c>
      <c r="AG147" s="41">
        <v>1796650131</v>
      </c>
      <c r="AH147" s="41">
        <v>1823252483</v>
      </c>
      <c r="AI147" s="41">
        <v>1848477086</v>
      </c>
      <c r="AJ147" s="41">
        <v>1872532928</v>
      </c>
      <c r="AK147" s="41">
        <v>1892668367</v>
      </c>
      <c r="AL147" s="41">
        <v>1913822185</v>
      </c>
      <c r="AM147" s="41">
        <v>1934464875</v>
      </c>
      <c r="AN147" s="41">
        <v>1955853174</v>
      </c>
      <c r="AO147" s="41">
        <v>1975201502</v>
      </c>
      <c r="AP147" s="41">
        <v>1994265140</v>
      </c>
      <c r="AQ147" s="41">
        <v>2012571686</v>
      </c>
      <c r="AR147" s="41">
        <v>2029613463</v>
      </c>
      <c r="AS147" s="41">
        <v>2045125929</v>
      </c>
      <c r="AT147" s="41">
        <v>2059873472</v>
      </c>
      <c r="AU147" s="41">
        <v>2073757388</v>
      </c>
      <c r="AV147" s="41">
        <v>2087310573</v>
      </c>
      <c r="AW147" s="41">
        <v>2100746553</v>
      </c>
      <c r="AX147" s="41">
        <v>2114307472</v>
      </c>
      <c r="AY147" s="41">
        <v>2127750947</v>
      </c>
      <c r="AZ147" s="41">
        <v>2140907333</v>
      </c>
      <c r="BA147" s="41">
        <v>2154348068</v>
      </c>
      <c r="BB147" s="41">
        <v>2167842694</v>
      </c>
      <c r="BC147" s="41">
        <v>2180828802</v>
      </c>
      <c r="BD147" s="41">
        <v>2193829487</v>
      </c>
      <c r="BE147" s="41">
        <v>2206930121</v>
      </c>
      <c r="BF147" s="41">
        <v>2220295172</v>
      </c>
      <c r="BG147" s="41">
        <v>2233865679</v>
      </c>
      <c r="BH147" s="41">
        <v>2247405366</v>
      </c>
      <c r="BI147" s="41">
        <v>2261410364</v>
      </c>
      <c r="BJ147" s="41">
        <v>2275536083</v>
      </c>
      <c r="BK147" s="41">
        <v>2287851415</v>
      </c>
      <c r="BL147" s="41">
        <v>2298495924</v>
      </c>
      <c r="BM147" s="41">
        <v>2307887395</v>
      </c>
    </row>
    <row r="148" spans="1:65" x14ac:dyDescent="0.35">
      <c r="A148" s="41" t="s">
        <v>390</v>
      </c>
      <c r="B148" s="41" t="s">
        <v>391</v>
      </c>
      <c r="C148" s="41" t="s">
        <v>666</v>
      </c>
      <c r="D148" s="41" t="s">
        <v>667</v>
      </c>
      <c r="E148" s="41">
        <v>2778550</v>
      </c>
      <c r="F148" s="41">
        <v>2823550</v>
      </c>
      <c r="G148" s="41">
        <v>2863350</v>
      </c>
      <c r="H148" s="41">
        <v>2898950</v>
      </c>
      <c r="I148" s="41">
        <v>2935200</v>
      </c>
      <c r="J148" s="41">
        <v>2971450</v>
      </c>
      <c r="K148" s="41">
        <v>3008050</v>
      </c>
      <c r="L148" s="41">
        <v>3044400</v>
      </c>
      <c r="M148" s="41">
        <v>3078850</v>
      </c>
      <c r="N148" s="41">
        <v>3107321</v>
      </c>
      <c r="O148" s="41">
        <v>3139689</v>
      </c>
      <c r="P148" s="41">
        <v>3179041</v>
      </c>
      <c r="Q148" s="41">
        <v>3213622</v>
      </c>
      <c r="R148" s="41">
        <v>3244438</v>
      </c>
      <c r="S148" s="41">
        <v>3273894</v>
      </c>
      <c r="T148" s="41">
        <v>3301652</v>
      </c>
      <c r="U148" s="41">
        <v>3328664</v>
      </c>
      <c r="V148" s="41">
        <v>3355036</v>
      </c>
      <c r="W148" s="41">
        <v>3379514</v>
      </c>
      <c r="X148" s="41">
        <v>3397842</v>
      </c>
      <c r="Y148" s="41">
        <v>3413202</v>
      </c>
      <c r="Z148" s="41">
        <v>3432947</v>
      </c>
      <c r="AA148" s="41">
        <v>3457179</v>
      </c>
      <c r="AB148" s="41">
        <v>3485192</v>
      </c>
      <c r="AC148" s="41">
        <v>3514205</v>
      </c>
      <c r="AD148" s="41">
        <v>3544543</v>
      </c>
      <c r="AE148" s="41">
        <v>3578914</v>
      </c>
      <c r="AF148" s="41">
        <v>3616367</v>
      </c>
      <c r="AG148" s="41">
        <v>3655049</v>
      </c>
      <c r="AH148" s="41">
        <v>3684255</v>
      </c>
      <c r="AI148" s="41">
        <v>3697838</v>
      </c>
      <c r="AJ148" s="41">
        <v>3704134</v>
      </c>
      <c r="AK148" s="41">
        <v>3700114</v>
      </c>
      <c r="AL148" s="41">
        <v>3682613</v>
      </c>
      <c r="AM148" s="41">
        <v>3657144</v>
      </c>
      <c r="AN148" s="41">
        <v>3629102</v>
      </c>
      <c r="AO148" s="41">
        <v>3601613</v>
      </c>
      <c r="AP148" s="41">
        <v>3575137</v>
      </c>
      <c r="AQ148" s="41">
        <v>3549331</v>
      </c>
      <c r="AR148" s="41">
        <v>3524238</v>
      </c>
      <c r="AS148" s="41">
        <v>3499536</v>
      </c>
      <c r="AT148" s="41">
        <v>3470818</v>
      </c>
      <c r="AU148" s="41">
        <v>3443067</v>
      </c>
      <c r="AV148" s="41">
        <v>3415213</v>
      </c>
      <c r="AW148" s="41">
        <v>3377075</v>
      </c>
      <c r="AX148" s="41">
        <v>3322528</v>
      </c>
      <c r="AY148" s="41">
        <v>3269909</v>
      </c>
      <c r="AZ148" s="41">
        <v>3231294</v>
      </c>
      <c r="BA148" s="41">
        <v>3198231</v>
      </c>
      <c r="BB148" s="41">
        <v>3162916</v>
      </c>
      <c r="BC148" s="41">
        <v>3097282</v>
      </c>
      <c r="BD148" s="41">
        <v>3028115</v>
      </c>
      <c r="BE148" s="41">
        <v>2987773</v>
      </c>
      <c r="BF148" s="41">
        <v>2957689</v>
      </c>
      <c r="BG148" s="41">
        <v>2932367</v>
      </c>
      <c r="BH148" s="41">
        <v>2904910</v>
      </c>
      <c r="BI148" s="41">
        <v>2868231</v>
      </c>
      <c r="BJ148" s="41">
        <v>2828403</v>
      </c>
      <c r="BK148" s="41">
        <v>2801543</v>
      </c>
      <c r="BL148" s="41">
        <v>2794137</v>
      </c>
      <c r="BM148" s="41">
        <v>2794700</v>
      </c>
    </row>
    <row r="149" spans="1:65" x14ac:dyDescent="0.35">
      <c r="A149" s="41" t="s">
        <v>392</v>
      </c>
      <c r="B149" s="41" t="s">
        <v>393</v>
      </c>
      <c r="C149" s="41" t="s">
        <v>666</v>
      </c>
      <c r="D149" s="41" t="s">
        <v>667</v>
      </c>
      <c r="E149" s="41">
        <v>313970</v>
      </c>
      <c r="F149" s="41">
        <v>316845</v>
      </c>
      <c r="G149" s="41">
        <v>320750</v>
      </c>
      <c r="H149" s="41">
        <v>324100</v>
      </c>
      <c r="I149" s="41">
        <v>327750</v>
      </c>
      <c r="J149" s="41">
        <v>331500</v>
      </c>
      <c r="K149" s="41">
        <v>333895</v>
      </c>
      <c r="L149" s="41">
        <v>334995</v>
      </c>
      <c r="M149" s="41">
        <v>335850</v>
      </c>
      <c r="N149" s="41">
        <v>337500</v>
      </c>
      <c r="O149" s="41">
        <v>339171</v>
      </c>
      <c r="P149" s="41">
        <v>342421</v>
      </c>
      <c r="Q149" s="41">
        <v>346600</v>
      </c>
      <c r="R149" s="41">
        <v>350450</v>
      </c>
      <c r="S149" s="41">
        <v>355050</v>
      </c>
      <c r="T149" s="41">
        <v>358950</v>
      </c>
      <c r="U149" s="41">
        <v>360731</v>
      </c>
      <c r="V149" s="41">
        <v>361358</v>
      </c>
      <c r="W149" s="41">
        <v>362007</v>
      </c>
      <c r="X149" s="41">
        <v>362856</v>
      </c>
      <c r="Y149" s="41">
        <v>364150</v>
      </c>
      <c r="Z149" s="41">
        <v>365225</v>
      </c>
      <c r="AA149" s="41">
        <v>365525</v>
      </c>
      <c r="AB149" s="41">
        <v>365622</v>
      </c>
      <c r="AC149" s="41">
        <v>365998</v>
      </c>
      <c r="AD149" s="41">
        <v>366706</v>
      </c>
      <c r="AE149" s="41">
        <v>368355</v>
      </c>
      <c r="AF149" s="41">
        <v>370750</v>
      </c>
      <c r="AG149" s="41">
        <v>373450</v>
      </c>
      <c r="AH149" s="41">
        <v>377100</v>
      </c>
      <c r="AI149" s="41">
        <v>381850</v>
      </c>
      <c r="AJ149" s="41">
        <v>387000</v>
      </c>
      <c r="AK149" s="41">
        <v>392175</v>
      </c>
      <c r="AL149" s="41">
        <v>397475</v>
      </c>
      <c r="AM149" s="41">
        <v>402925</v>
      </c>
      <c r="AN149" s="41">
        <v>408625</v>
      </c>
      <c r="AO149" s="41">
        <v>414225</v>
      </c>
      <c r="AP149" s="41">
        <v>419450</v>
      </c>
      <c r="AQ149" s="41">
        <v>424700</v>
      </c>
      <c r="AR149" s="41">
        <v>430475</v>
      </c>
      <c r="AS149" s="41">
        <v>436300</v>
      </c>
      <c r="AT149" s="41">
        <v>441525</v>
      </c>
      <c r="AU149" s="41">
        <v>446175</v>
      </c>
      <c r="AV149" s="41">
        <v>451630</v>
      </c>
      <c r="AW149" s="41">
        <v>458095</v>
      </c>
      <c r="AX149" s="41">
        <v>465158</v>
      </c>
      <c r="AY149" s="41">
        <v>472637</v>
      </c>
      <c r="AZ149" s="41">
        <v>479993</v>
      </c>
      <c r="BA149" s="41">
        <v>488650</v>
      </c>
      <c r="BB149" s="41">
        <v>497783</v>
      </c>
      <c r="BC149" s="41">
        <v>506953</v>
      </c>
      <c r="BD149" s="41">
        <v>518347</v>
      </c>
      <c r="BE149" s="41">
        <v>530946</v>
      </c>
      <c r="BF149" s="41">
        <v>543360</v>
      </c>
      <c r="BG149" s="41">
        <v>556319</v>
      </c>
      <c r="BH149" s="41">
        <v>569604</v>
      </c>
      <c r="BI149" s="41">
        <v>582014</v>
      </c>
      <c r="BJ149" s="41">
        <v>596336</v>
      </c>
      <c r="BK149" s="41">
        <v>607950</v>
      </c>
      <c r="BL149" s="41">
        <v>620001</v>
      </c>
      <c r="BM149" s="41">
        <v>632275</v>
      </c>
    </row>
    <row r="150" spans="1:65" x14ac:dyDescent="0.35">
      <c r="A150" s="41" t="s">
        <v>394</v>
      </c>
      <c r="B150" s="41" t="s">
        <v>395</v>
      </c>
      <c r="C150" s="41" t="s">
        <v>666</v>
      </c>
      <c r="D150" s="41" t="s">
        <v>667</v>
      </c>
      <c r="E150" s="41">
        <v>2120979</v>
      </c>
      <c r="F150" s="41">
        <v>2152681</v>
      </c>
      <c r="G150" s="41">
        <v>2181586</v>
      </c>
      <c r="H150" s="41">
        <v>2210919</v>
      </c>
      <c r="I150" s="41">
        <v>2240623</v>
      </c>
      <c r="J150" s="41">
        <v>2265919</v>
      </c>
      <c r="K150" s="41">
        <v>2283217</v>
      </c>
      <c r="L150" s="41">
        <v>2301220</v>
      </c>
      <c r="M150" s="41">
        <v>2323619</v>
      </c>
      <c r="N150" s="41">
        <v>2343173</v>
      </c>
      <c r="O150" s="41">
        <v>2359164</v>
      </c>
      <c r="P150" s="41">
        <v>2376389</v>
      </c>
      <c r="Q150" s="41">
        <v>2395674</v>
      </c>
      <c r="R150" s="41">
        <v>2415819</v>
      </c>
      <c r="S150" s="41">
        <v>2437186</v>
      </c>
      <c r="T150" s="41">
        <v>2456130</v>
      </c>
      <c r="U150" s="41">
        <v>2470989</v>
      </c>
      <c r="V150" s="41">
        <v>2485073</v>
      </c>
      <c r="W150" s="41">
        <v>2497921</v>
      </c>
      <c r="X150" s="41">
        <v>2505953</v>
      </c>
      <c r="Y150" s="41">
        <v>2511701</v>
      </c>
      <c r="Z150" s="41">
        <v>2519421</v>
      </c>
      <c r="AA150" s="41">
        <v>2531080</v>
      </c>
      <c r="AB150" s="41">
        <v>2546011</v>
      </c>
      <c r="AC150" s="41">
        <v>2562047</v>
      </c>
      <c r="AD150" s="41">
        <v>2578873</v>
      </c>
      <c r="AE150" s="41">
        <v>2599892</v>
      </c>
      <c r="AF150" s="41">
        <v>2626583</v>
      </c>
      <c r="AG150" s="41">
        <v>2653434</v>
      </c>
      <c r="AH150" s="41">
        <v>2666955</v>
      </c>
      <c r="AI150" s="41">
        <v>2663151</v>
      </c>
      <c r="AJ150" s="41">
        <v>2650581</v>
      </c>
      <c r="AK150" s="41">
        <v>2614338</v>
      </c>
      <c r="AL150" s="41">
        <v>2563290</v>
      </c>
      <c r="AM150" s="41">
        <v>2520742</v>
      </c>
      <c r="AN150" s="41">
        <v>2485056</v>
      </c>
      <c r="AO150" s="41">
        <v>2457222</v>
      </c>
      <c r="AP150" s="41">
        <v>2432851</v>
      </c>
      <c r="AQ150" s="41">
        <v>2410019</v>
      </c>
      <c r="AR150" s="41">
        <v>2390482</v>
      </c>
      <c r="AS150" s="41">
        <v>2367550</v>
      </c>
      <c r="AT150" s="41">
        <v>2337170</v>
      </c>
      <c r="AU150" s="41">
        <v>2310173</v>
      </c>
      <c r="AV150" s="41">
        <v>2287955</v>
      </c>
      <c r="AW150" s="41">
        <v>2263122</v>
      </c>
      <c r="AX150" s="41">
        <v>2238799</v>
      </c>
      <c r="AY150" s="41">
        <v>2218357</v>
      </c>
      <c r="AZ150" s="41">
        <v>2200325</v>
      </c>
      <c r="BA150" s="41">
        <v>2177322</v>
      </c>
      <c r="BB150" s="41">
        <v>2141669</v>
      </c>
      <c r="BC150" s="41">
        <v>2097555</v>
      </c>
      <c r="BD150" s="41">
        <v>2059709</v>
      </c>
      <c r="BE150" s="41">
        <v>2034319</v>
      </c>
      <c r="BF150" s="41">
        <v>2012647</v>
      </c>
      <c r="BG150" s="41">
        <v>1993782</v>
      </c>
      <c r="BH150" s="41">
        <v>1977527</v>
      </c>
      <c r="BI150" s="41">
        <v>1959537</v>
      </c>
      <c r="BJ150" s="41">
        <v>1942248</v>
      </c>
      <c r="BK150" s="41">
        <v>1927174</v>
      </c>
      <c r="BL150" s="41">
        <v>1913822</v>
      </c>
      <c r="BM150" s="41">
        <v>1901548</v>
      </c>
    </row>
    <row r="151" spans="1:65" x14ac:dyDescent="0.35">
      <c r="A151" s="41" t="s">
        <v>396</v>
      </c>
      <c r="B151" s="41" t="s">
        <v>397</v>
      </c>
      <c r="C151" s="41" t="s">
        <v>666</v>
      </c>
      <c r="D151" s="41" t="s">
        <v>667</v>
      </c>
      <c r="E151" s="41">
        <v>167795</v>
      </c>
      <c r="F151" s="41">
        <v>170466</v>
      </c>
      <c r="G151" s="41">
        <v>176188</v>
      </c>
      <c r="H151" s="41">
        <v>184245</v>
      </c>
      <c r="I151" s="41">
        <v>193556</v>
      </c>
      <c r="J151" s="41">
        <v>203224</v>
      </c>
      <c r="K151" s="41">
        <v>213189</v>
      </c>
      <c r="L151" s="41">
        <v>223416</v>
      </c>
      <c r="M151" s="41">
        <v>233002</v>
      </c>
      <c r="N151" s="41">
        <v>240837</v>
      </c>
      <c r="O151" s="41">
        <v>246193</v>
      </c>
      <c r="P151" s="41">
        <v>248745</v>
      </c>
      <c r="Q151" s="41">
        <v>248770</v>
      </c>
      <c r="R151" s="41">
        <v>246945</v>
      </c>
      <c r="S151" s="41">
        <v>244289</v>
      </c>
      <c r="T151" s="41">
        <v>241631</v>
      </c>
      <c r="U151" s="41">
        <v>239074</v>
      </c>
      <c r="V151" s="41">
        <v>236669</v>
      </c>
      <c r="W151" s="41">
        <v>235175</v>
      </c>
      <c r="X151" s="41">
        <v>235440</v>
      </c>
      <c r="Y151" s="41">
        <v>238085</v>
      </c>
      <c r="Z151" s="41">
        <v>243373</v>
      </c>
      <c r="AA151" s="41">
        <v>251154</v>
      </c>
      <c r="AB151" s="41">
        <v>260921</v>
      </c>
      <c r="AC151" s="41">
        <v>271914</v>
      </c>
      <c r="AD151" s="41">
        <v>283490</v>
      </c>
      <c r="AE151" s="41">
        <v>295597</v>
      </c>
      <c r="AF151" s="41">
        <v>308181</v>
      </c>
      <c r="AG151" s="41">
        <v>320774</v>
      </c>
      <c r="AH151" s="41">
        <v>332783</v>
      </c>
      <c r="AI151" s="41">
        <v>343816</v>
      </c>
      <c r="AJ151" s="41">
        <v>353623</v>
      </c>
      <c r="AK151" s="41">
        <v>362308</v>
      </c>
      <c r="AL151" s="41">
        <v>370195</v>
      </c>
      <c r="AM151" s="41">
        <v>377805</v>
      </c>
      <c r="AN151" s="41">
        <v>385517</v>
      </c>
      <c r="AO151" s="41">
        <v>393376</v>
      </c>
      <c r="AP151" s="41">
        <v>401353</v>
      </c>
      <c r="AQ151" s="41">
        <v>409620</v>
      </c>
      <c r="AR151" s="41">
        <v>418388</v>
      </c>
      <c r="AS151" s="41">
        <v>427772</v>
      </c>
      <c r="AT151" s="41">
        <v>437928</v>
      </c>
      <c r="AU151" s="41">
        <v>448813</v>
      </c>
      <c r="AV151" s="41">
        <v>460157</v>
      </c>
      <c r="AW151" s="41">
        <v>471600</v>
      </c>
      <c r="AX151" s="41">
        <v>482863</v>
      </c>
      <c r="AY151" s="41">
        <v>493804</v>
      </c>
      <c r="AZ151" s="41">
        <v>504504</v>
      </c>
      <c r="BA151" s="41">
        <v>515232</v>
      </c>
      <c r="BB151" s="41">
        <v>526401</v>
      </c>
      <c r="BC151" s="41">
        <v>538215</v>
      </c>
      <c r="BD151" s="41">
        <v>550833</v>
      </c>
      <c r="BE151" s="41">
        <v>564037</v>
      </c>
      <c r="BF151" s="41">
        <v>577368</v>
      </c>
      <c r="BG151" s="41">
        <v>590210</v>
      </c>
      <c r="BH151" s="41">
        <v>602093</v>
      </c>
      <c r="BI151" s="41">
        <v>612824</v>
      </c>
      <c r="BJ151" s="41">
        <v>622578</v>
      </c>
      <c r="BK151" s="41">
        <v>631633</v>
      </c>
      <c r="BL151" s="41">
        <v>640446</v>
      </c>
      <c r="BM151" s="41">
        <v>649342</v>
      </c>
    </row>
    <row r="152" spans="1:65" x14ac:dyDescent="0.35">
      <c r="A152" s="41" t="s">
        <v>398</v>
      </c>
      <c r="B152" s="41" t="s">
        <v>399</v>
      </c>
      <c r="C152" s="41" t="s">
        <v>666</v>
      </c>
      <c r="D152" s="41" t="s">
        <v>667</v>
      </c>
      <c r="E152" s="41">
        <v>3898</v>
      </c>
      <c r="F152" s="41">
        <v>3996</v>
      </c>
      <c r="G152" s="41">
        <v>4078</v>
      </c>
      <c r="H152" s="41">
        <v>4179</v>
      </c>
      <c r="I152" s="41">
        <v>4302</v>
      </c>
      <c r="J152" s="41">
        <v>4471</v>
      </c>
      <c r="K152" s="41">
        <v>4675</v>
      </c>
      <c r="L152" s="41">
        <v>4922</v>
      </c>
      <c r="M152" s="41">
        <v>5194</v>
      </c>
      <c r="N152" s="41">
        <v>5461</v>
      </c>
      <c r="O152" s="41">
        <v>5707</v>
      </c>
      <c r="P152" s="41">
        <v>5945</v>
      </c>
      <c r="Q152" s="41">
        <v>6156</v>
      </c>
      <c r="R152" s="41">
        <v>6370</v>
      </c>
      <c r="S152" s="41">
        <v>6601</v>
      </c>
      <c r="T152" s="41">
        <v>6882</v>
      </c>
      <c r="U152" s="41">
        <v>7250</v>
      </c>
      <c r="V152" s="41">
        <v>7713</v>
      </c>
      <c r="W152" s="41">
        <v>8191</v>
      </c>
      <c r="X152" s="41">
        <v>8557</v>
      </c>
      <c r="Y152" s="41">
        <v>8777</v>
      </c>
      <c r="Z152" s="41">
        <v>8675</v>
      </c>
      <c r="AA152" s="41">
        <v>8372</v>
      </c>
      <c r="AB152" s="41">
        <v>8296</v>
      </c>
      <c r="AC152" s="41">
        <v>9067</v>
      </c>
      <c r="AD152" s="41">
        <v>11066</v>
      </c>
      <c r="AE152" s="41">
        <v>14561</v>
      </c>
      <c r="AF152" s="41">
        <v>19274</v>
      </c>
      <c r="AG152" s="41">
        <v>24374</v>
      </c>
      <c r="AH152" s="41">
        <v>28723</v>
      </c>
      <c r="AI152" s="41">
        <v>31522</v>
      </c>
      <c r="AJ152" s="41">
        <v>32441</v>
      </c>
      <c r="AK152" s="41">
        <v>31816</v>
      </c>
      <c r="AL152" s="41">
        <v>30194</v>
      </c>
      <c r="AM152" s="41">
        <v>28482</v>
      </c>
      <c r="AN152" s="41">
        <v>27320</v>
      </c>
      <c r="AO152" s="41">
        <v>26854</v>
      </c>
      <c r="AP152" s="41">
        <v>26910</v>
      </c>
      <c r="AQ152" s="41">
        <v>27388</v>
      </c>
      <c r="AR152" s="41">
        <v>28122</v>
      </c>
      <c r="AS152" s="41">
        <v>28935</v>
      </c>
      <c r="AT152" s="41">
        <v>29847</v>
      </c>
      <c r="AU152" s="41">
        <v>30913</v>
      </c>
      <c r="AV152" s="41">
        <v>32055</v>
      </c>
      <c r="AW152" s="41">
        <v>33187</v>
      </c>
      <c r="AX152" s="41">
        <v>34252</v>
      </c>
      <c r="AY152" s="41">
        <v>35240</v>
      </c>
      <c r="AZ152" s="41">
        <v>36138</v>
      </c>
      <c r="BA152" s="41">
        <v>36880</v>
      </c>
      <c r="BB152" s="41">
        <v>37380</v>
      </c>
      <c r="BC152" s="41">
        <v>37582</v>
      </c>
      <c r="BD152" s="41">
        <v>37451</v>
      </c>
      <c r="BE152" s="41">
        <v>37012</v>
      </c>
      <c r="BF152" s="41">
        <v>36458</v>
      </c>
      <c r="BG152" s="41">
        <v>36018</v>
      </c>
      <c r="BH152" s="41">
        <v>35865</v>
      </c>
      <c r="BI152" s="41">
        <v>36061</v>
      </c>
      <c r="BJ152" s="41">
        <v>36569</v>
      </c>
      <c r="BK152" s="41">
        <v>37264</v>
      </c>
      <c r="BL152" s="41">
        <v>38002</v>
      </c>
      <c r="BM152" s="41">
        <v>38659</v>
      </c>
    </row>
    <row r="153" spans="1:65" x14ac:dyDescent="0.35">
      <c r="A153" s="41" t="s">
        <v>400</v>
      </c>
      <c r="B153" s="41" t="s">
        <v>401</v>
      </c>
      <c r="C153" s="41" t="s">
        <v>666</v>
      </c>
      <c r="D153" s="41" t="s">
        <v>667</v>
      </c>
      <c r="E153" s="41">
        <v>12328532</v>
      </c>
      <c r="F153" s="41">
        <v>12710587</v>
      </c>
      <c r="G153" s="41">
        <v>13094890</v>
      </c>
      <c r="H153" s="41">
        <v>13478425</v>
      </c>
      <c r="I153" s="41">
        <v>13857656</v>
      </c>
      <c r="J153" s="41">
        <v>14230163</v>
      </c>
      <c r="K153" s="41">
        <v>14595351</v>
      </c>
      <c r="L153" s="41">
        <v>14954037</v>
      </c>
      <c r="M153" s="41">
        <v>15307267</v>
      </c>
      <c r="N153" s="41">
        <v>15656846</v>
      </c>
      <c r="O153" s="41">
        <v>16004732</v>
      </c>
      <c r="P153" s="41">
        <v>16350883</v>
      </c>
      <c r="Q153" s="41">
        <v>16696890</v>
      </c>
      <c r="R153" s="41">
        <v>17048525</v>
      </c>
      <c r="S153" s="41">
        <v>17413149</v>
      </c>
      <c r="T153" s="41">
        <v>17796171</v>
      </c>
      <c r="U153" s="41">
        <v>18198836</v>
      </c>
      <c r="V153" s="41">
        <v>18620087</v>
      </c>
      <c r="W153" s="41">
        <v>19059773</v>
      </c>
      <c r="X153" s="41">
        <v>19516942</v>
      </c>
      <c r="Y153" s="41">
        <v>19990006</v>
      </c>
      <c r="Z153" s="41">
        <v>20479709</v>
      </c>
      <c r="AA153" s="41">
        <v>20984023</v>
      </c>
      <c r="AB153" s="41">
        <v>21495088</v>
      </c>
      <c r="AC153" s="41">
        <v>22002641</v>
      </c>
      <c r="AD153" s="41">
        <v>22499111</v>
      </c>
      <c r="AE153" s="41">
        <v>22980334</v>
      </c>
      <c r="AF153" s="41">
        <v>23447256</v>
      </c>
      <c r="AG153" s="41">
        <v>23903592</v>
      </c>
      <c r="AH153" s="41">
        <v>24355624</v>
      </c>
      <c r="AI153" s="41">
        <v>24807461</v>
      </c>
      <c r="AJ153" s="41">
        <v>25260407</v>
      </c>
      <c r="AK153" s="41">
        <v>25711410</v>
      </c>
      <c r="AL153" s="41">
        <v>26155204</v>
      </c>
      <c r="AM153" s="41">
        <v>26584473</v>
      </c>
      <c r="AN153" s="41">
        <v>26994255</v>
      </c>
      <c r="AO153" s="41">
        <v>27383472</v>
      </c>
      <c r="AP153" s="41">
        <v>27754573</v>
      </c>
      <c r="AQ153" s="41">
        <v>28110447</v>
      </c>
      <c r="AR153" s="41">
        <v>28455504</v>
      </c>
      <c r="AS153" s="41">
        <v>28793672</v>
      </c>
      <c r="AT153" s="41">
        <v>29126323</v>
      </c>
      <c r="AU153" s="41">
        <v>29454765</v>
      </c>
      <c r="AV153" s="41">
        <v>29782884</v>
      </c>
      <c r="AW153" s="41">
        <v>30115196</v>
      </c>
      <c r="AX153" s="41">
        <v>30455563</v>
      </c>
      <c r="AY153" s="41">
        <v>30804689</v>
      </c>
      <c r="AZ153" s="41">
        <v>31163670</v>
      </c>
      <c r="BA153" s="41">
        <v>31536807</v>
      </c>
      <c r="BB153" s="41">
        <v>31929087</v>
      </c>
      <c r="BC153" s="41">
        <v>32343384</v>
      </c>
      <c r="BD153" s="41">
        <v>32781860</v>
      </c>
      <c r="BE153" s="41">
        <v>33241898</v>
      </c>
      <c r="BF153" s="41">
        <v>33715705</v>
      </c>
      <c r="BG153" s="41">
        <v>34192358</v>
      </c>
      <c r="BH153" s="41">
        <v>34663608</v>
      </c>
      <c r="BI153" s="41">
        <v>35126274</v>
      </c>
      <c r="BJ153" s="41">
        <v>35581257</v>
      </c>
      <c r="BK153" s="41">
        <v>36029089</v>
      </c>
      <c r="BL153" s="41">
        <v>36471766</v>
      </c>
      <c r="BM153" s="41">
        <v>36910558</v>
      </c>
    </row>
    <row r="154" spans="1:65" x14ac:dyDescent="0.35">
      <c r="A154" s="41" t="s">
        <v>402</v>
      </c>
      <c r="B154" s="41" t="s">
        <v>403</v>
      </c>
      <c r="C154" s="41" t="s">
        <v>666</v>
      </c>
      <c r="D154" s="41" t="s">
        <v>667</v>
      </c>
      <c r="E154" s="41">
        <v>22461</v>
      </c>
      <c r="F154" s="41">
        <v>22813</v>
      </c>
      <c r="G154" s="41">
        <v>23043</v>
      </c>
      <c r="H154" s="41">
        <v>23165</v>
      </c>
      <c r="I154" s="41">
        <v>23236</v>
      </c>
      <c r="J154" s="41">
        <v>23289</v>
      </c>
      <c r="K154" s="41">
        <v>23302</v>
      </c>
      <c r="L154" s="41">
        <v>23292</v>
      </c>
      <c r="M154" s="41">
        <v>23295</v>
      </c>
      <c r="N154" s="41">
        <v>23348</v>
      </c>
      <c r="O154" s="41">
        <v>23487</v>
      </c>
      <c r="P154" s="41">
        <v>23721</v>
      </c>
      <c r="Q154" s="41">
        <v>24049</v>
      </c>
      <c r="R154" s="41">
        <v>24445</v>
      </c>
      <c r="S154" s="41">
        <v>24829</v>
      </c>
      <c r="T154" s="41">
        <v>25203</v>
      </c>
      <c r="U154" s="41">
        <v>25523</v>
      </c>
      <c r="V154" s="41">
        <v>25811</v>
      </c>
      <c r="W154" s="41">
        <v>26090</v>
      </c>
      <c r="X154" s="41">
        <v>26391</v>
      </c>
      <c r="Y154" s="41">
        <v>26752</v>
      </c>
      <c r="Z154" s="41">
        <v>27162</v>
      </c>
      <c r="AA154" s="41">
        <v>27633</v>
      </c>
      <c r="AB154" s="41">
        <v>28091</v>
      </c>
      <c r="AC154" s="41">
        <v>28511</v>
      </c>
      <c r="AD154" s="41">
        <v>28836</v>
      </c>
      <c r="AE154" s="41">
        <v>29050</v>
      </c>
      <c r="AF154" s="41">
        <v>29156</v>
      </c>
      <c r="AG154" s="41">
        <v>29232</v>
      </c>
      <c r="AH154" s="41">
        <v>29309</v>
      </c>
      <c r="AI154" s="41">
        <v>29433</v>
      </c>
      <c r="AJ154" s="41">
        <v>29629</v>
      </c>
      <c r="AK154" s="41">
        <v>29859</v>
      </c>
      <c r="AL154" s="41">
        <v>30145</v>
      </c>
      <c r="AM154" s="41">
        <v>30436</v>
      </c>
      <c r="AN154" s="41">
        <v>30731</v>
      </c>
      <c r="AO154" s="41">
        <v>31001</v>
      </c>
      <c r="AP154" s="41">
        <v>31268</v>
      </c>
      <c r="AQ154" s="41">
        <v>31554</v>
      </c>
      <c r="AR154" s="41">
        <v>31836</v>
      </c>
      <c r="AS154" s="41">
        <v>32148</v>
      </c>
      <c r="AT154" s="41">
        <v>32474</v>
      </c>
      <c r="AU154" s="41">
        <v>32804</v>
      </c>
      <c r="AV154" s="41">
        <v>33144</v>
      </c>
      <c r="AW154" s="41">
        <v>33499</v>
      </c>
      <c r="AX154" s="41">
        <v>33842</v>
      </c>
      <c r="AY154" s="41">
        <v>34189</v>
      </c>
      <c r="AZ154" s="41">
        <v>34524</v>
      </c>
      <c r="BA154" s="41">
        <v>34860</v>
      </c>
      <c r="BB154" s="41">
        <v>35223</v>
      </c>
      <c r="BC154" s="41">
        <v>35609</v>
      </c>
      <c r="BD154" s="41">
        <v>36025</v>
      </c>
      <c r="BE154" s="41">
        <v>36459</v>
      </c>
      <c r="BF154" s="41">
        <v>36899</v>
      </c>
      <c r="BG154" s="41">
        <v>37320</v>
      </c>
      <c r="BH154" s="41">
        <v>37723</v>
      </c>
      <c r="BI154" s="41">
        <v>38070</v>
      </c>
      <c r="BJ154" s="41">
        <v>38392</v>
      </c>
      <c r="BK154" s="41">
        <v>38682</v>
      </c>
      <c r="BL154" s="41">
        <v>38967</v>
      </c>
      <c r="BM154" s="41">
        <v>39244</v>
      </c>
    </row>
    <row r="155" spans="1:65" x14ac:dyDescent="0.35">
      <c r="A155" s="41" t="s">
        <v>404</v>
      </c>
      <c r="B155" s="41" t="s">
        <v>405</v>
      </c>
      <c r="C155" s="41" t="s">
        <v>666</v>
      </c>
      <c r="D155" s="41" t="s">
        <v>667</v>
      </c>
      <c r="E155" s="41">
        <v>2043664</v>
      </c>
      <c r="F155" s="41">
        <v>2092667</v>
      </c>
      <c r="G155" s="41">
        <v>2140063</v>
      </c>
      <c r="H155" s="41">
        <v>2185050</v>
      </c>
      <c r="I155" s="41">
        <v>2228429</v>
      </c>
      <c r="J155" s="41">
        <v>2269399</v>
      </c>
      <c r="K155" s="41">
        <v>2307959</v>
      </c>
      <c r="L155" s="41">
        <v>2344108</v>
      </c>
      <c r="M155" s="41">
        <v>2377848</v>
      </c>
      <c r="N155" s="41">
        <v>2411588</v>
      </c>
      <c r="O155" s="41">
        <v>2445328</v>
      </c>
      <c r="P155" s="41">
        <v>2479871</v>
      </c>
      <c r="Q155" s="41">
        <v>2515217</v>
      </c>
      <c r="R155" s="41">
        <v>2549760</v>
      </c>
      <c r="S155" s="41">
        <v>2582697</v>
      </c>
      <c r="T155" s="41">
        <v>2611616</v>
      </c>
      <c r="U155" s="41">
        <v>2638126</v>
      </c>
      <c r="V155" s="41">
        <v>2660619</v>
      </c>
      <c r="W155" s="41">
        <v>2682309</v>
      </c>
      <c r="X155" s="41">
        <v>2703999</v>
      </c>
      <c r="Y155" s="41">
        <v>2728099</v>
      </c>
      <c r="Z155" s="41">
        <v>2754609</v>
      </c>
      <c r="AA155" s="41">
        <v>2782725</v>
      </c>
      <c r="AB155" s="41">
        <v>2811645</v>
      </c>
      <c r="AC155" s="41">
        <v>2840565</v>
      </c>
      <c r="AD155" s="41">
        <v>2867878</v>
      </c>
      <c r="AE155" s="41">
        <v>2893584</v>
      </c>
      <c r="AF155" s="41">
        <v>2918487</v>
      </c>
      <c r="AG155" s="41">
        <v>2940177</v>
      </c>
      <c r="AH155" s="41">
        <v>2957047</v>
      </c>
      <c r="AI155" s="41">
        <v>2969097</v>
      </c>
      <c r="AJ155" s="41">
        <v>2975523</v>
      </c>
      <c r="AK155" s="41">
        <v>2977130</v>
      </c>
      <c r="AL155" s="41">
        <v>2973114</v>
      </c>
      <c r="AM155" s="41">
        <v>2964277</v>
      </c>
      <c r="AN155" s="41">
        <v>2952307</v>
      </c>
      <c r="AO155" s="41">
        <v>2946401</v>
      </c>
      <c r="AP155" s="41">
        <v>2935524</v>
      </c>
      <c r="AQ155" s="41">
        <v>2934339</v>
      </c>
      <c r="AR155" s="41">
        <v>2929735</v>
      </c>
      <c r="AS155" s="41">
        <v>2923783</v>
      </c>
      <c r="AT155" s="41">
        <v>2917252</v>
      </c>
      <c r="AU155" s="41">
        <v>2910504</v>
      </c>
      <c r="AV155" s="41">
        <v>2902320</v>
      </c>
      <c r="AW155" s="41">
        <v>2895147</v>
      </c>
      <c r="AX155" s="41">
        <v>2888111</v>
      </c>
      <c r="AY155" s="41">
        <v>2880095</v>
      </c>
      <c r="AZ155" s="41">
        <v>2873429</v>
      </c>
      <c r="BA155" s="41">
        <v>2867964</v>
      </c>
      <c r="BB155" s="41">
        <v>2864346</v>
      </c>
      <c r="BC155" s="41">
        <v>2861487</v>
      </c>
      <c r="BD155" s="41">
        <v>2859833</v>
      </c>
      <c r="BE155" s="41">
        <v>2859458</v>
      </c>
      <c r="BF155" s="41">
        <v>2858692</v>
      </c>
      <c r="BG155" s="41">
        <v>2856950</v>
      </c>
      <c r="BH155" s="41">
        <v>2834530</v>
      </c>
      <c r="BI155" s="41">
        <v>2802170</v>
      </c>
      <c r="BJ155" s="41">
        <v>2755158</v>
      </c>
      <c r="BK155" s="41">
        <v>2708214</v>
      </c>
      <c r="BL155" s="41">
        <v>2663251</v>
      </c>
      <c r="BM155" s="41">
        <v>2617820</v>
      </c>
    </row>
    <row r="156" spans="1:65" x14ac:dyDescent="0.35">
      <c r="A156" s="41" t="s">
        <v>406</v>
      </c>
      <c r="B156" s="41" t="s">
        <v>407</v>
      </c>
      <c r="C156" s="41" t="s">
        <v>666</v>
      </c>
      <c r="D156" s="41" t="s">
        <v>667</v>
      </c>
      <c r="E156" s="41">
        <v>5099368</v>
      </c>
      <c r="F156" s="41">
        <v>5223561</v>
      </c>
      <c r="G156" s="41">
        <v>5352497</v>
      </c>
      <c r="H156" s="41">
        <v>5486319</v>
      </c>
      <c r="I156" s="41">
        <v>5625164</v>
      </c>
      <c r="J156" s="41">
        <v>5769215</v>
      </c>
      <c r="K156" s="41">
        <v>5918592</v>
      </c>
      <c r="L156" s="41">
        <v>6073529</v>
      </c>
      <c r="M156" s="41">
        <v>6234468</v>
      </c>
      <c r="N156" s="41">
        <v>6401920</v>
      </c>
      <c r="O156" s="41">
        <v>6576305</v>
      </c>
      <c r="P156" s="41">
        <v>6757853</v>
      </c>
      <c r="Q156" s="41">
        <v>6946619</v>
      </c>
      <c r="R156" s="41">
        <v>7142634</v>
      </c>
      <c r="S156" s="41">
        <v>7345773</v>
      </c>
      <c r="T156" s="41">
        <v>7556032</v>
      </c>
      <c r="U156" s="41">
        <v>7773452</v>
      </c>
      <c r="V156" s="41">
        <v>7998157</v>
      </c>
      <c r="W156" s="41">
        <v>8230214</v>
      </c>
      <c r="X156" s="41">
        <v>8469677</v>
      </c>
      <c r="Y156" s="41">
        <v>8716549</v>
      </c>
      <c r="Z156" s="41">
        <v>8971339</v>
      </c>
      <c r="AA156" s="41">
        <v>9234137</v>
      </c>
      <c r="AB156" s="41">
        <v>9504283</v>
      </c>
      <c r="AC156" s="41">
        <v>9780869</v>
      </c>
      <c r="AD156" s="41">
        <v>10063493</v>
      </c>
      <c r="AE156" s="41">
        <v>10352117</v>
      </c>
      <c r="AF156" s="41">
        <v>10647753</v>
      </c>
      <c r="AG156" s="41">
        <v>10952396</v>
      </c>
      <c r="AH156" s="41">
        <v>11268653</v>
      </c>
      <c r="AI156" s="41">
        <v>11598647</v>
      </c>
      <c r="AJ156" s="41">
        <v>11942809</v>
      </c>
      <c r="AK156" s="41">
        <v>12301338</v>
      </c>
      <c r="AL156" s="41">
        <v>12675469</v>
      </c>
      <c r="AM156" s="41">
        <v>13066544</v>
      </c>
      <c r="AN156" s="41">
        <v>13475403</v>
      </c>
      <c r="AO156" s="41">
        <v>13902697</v>
      </c>
      <c r="AP156" s="41">
        <v>14347860</v>
      </c>
      <c r="AQ156" s="41">
        <v>14808791</v>
      </c>
      <c r="AR156" s="41">
        <v>15282524</v>
      </c>
      <c r="AS156" s="41">
        <v>15766806</v>
      </c>
      <c r="AT156" s="41">
        <v>16260933</v>
      </c>
      <c r="AU156" s="41">
        <v>16765122</v>
      </c>
      <c r="AV156" s="41">
        <v>17279139</v>
      </c>
      <c r="AW156" s="41">
        <v>17802992</v>
      </c>
      <c r="AX156" s="41">
        <v>18336722</v>
      </c>
      <c r="AY156" s="41">
        <v>18880265</v>
      </c>
      <c r="AZ156" s="41">
        <v>19433520</v>
      </c>
      <c r="BA156" s="41">
        <v>19996476</v>
      </c>
      <c r="BB156" s="41">
        <v>20569115</v>
      </c>
      <c r="BC156" s="41">
        <v>21151640</v>
      </c>
      <c r="BD156" s="41">
        <v>21743970</v>
      </c>
      <c r="BE156" s="41">
        <v>22346641</v>
      </c>
      <c r="BF156" s="41">
        <v>22961259</v>
      </c>
      <c r="BG156" s="41">
        <v>23589897</v>
      </c>
      <c r="BH156" s="41">
        <v>24234080</v>
      </c>
      <c r="BI156" s="41">
        <v>24894370</v>
      </c>
      <c r="BJ156" s="41">
        <v>25570511</v>
      </c>
      <c r="BK156" s="41">
        <v>26262313</v>
      </c>
      <c r="BL156" s="41">
        <v>26969306</v>
      </c>
      <c r="BM156" s="41">
        <v>27691019</v>
      </c>
    </row>
    <row r="157" spans="1:65" x14ac:dyDescent="0.35">
      <c r="A157" s="41" t="s">
        <v>408</v>
      </c>
      <c r="B157" s="41" t="s">
        <v>409</v>
      </c>
      <c r="C157" s="41" t="s">
        <v>666</v>
      </c>
      <c r="D157" s="41" t="s">
        <v>667</v>
      </c>
      <c r="E157" s="41">
        <v>89873</v>
      </c>
      <c r="F157" s="41">
        <v>92328</v>
      </c>
      <c r="G157" s="41">
        <v>94902</v>
      </c>
      <c r="H157" s="41">
        <v>97540</v>
      </c>
      <c r="I157" s="41">
        <v>100177</v>
      </c>
      <c r="J157" s="41">
        <v>102710</v>
      </c>
      <c r="K157" s="41">
        <v>105129</v>
      </c>
      <c r="L157" s="41">
        <v>107481</v>
      </c>
      <c r="M157" s="41">
        <v>109893</v>
      </c>
      <c r="N157" s="41">
        <v>112582</v>
      </c>
      <c r="O157" s="41">
        <v>115688</v>
      </c>
      <c r="P157" s="41">
        <v>119303</v>
      </c>
      <c r="Q157" s="41">
        <v>123347</v>
      </c>
      <c r="R157" s="41">
        <v>127700</v>
      </c>
      <c r="S157" s="41">
        <v>132102</v>
      </c>
      <c r="T157" s="41">
        <v>136418</v>
      </c>
      <c r="U157" s="41">
        <v>140563</v>
      </c>
      <c r="V157" s="41">
        <v>144625</v>
      </c>
      <c r="W157" s="41">
        <v>148774</v>
      </c>
      <c r="X157" s="41">
        <v>153276</v>
      </c>
      <c r="Y157" s="41">
        <v>158271</v>
      </c>
      <c r="Z157" s="41">
        <v>163821</v>
      </c>
      <c r="AA157" s="41">
        <v>169849</v>
      </c>
      <c r="AB157" s="41">
        <v>176255</v>
      </c>
      <c r="AC157" s="41">
        <v>182848</v>
      </c>
      <c r="AD157" s="41">
        <v>189540</v>
      </c>
      <c r="AE157" s="41">
        <v>196262</v>
      </c>
      <c r="AF157" s="41">
        <v>203024</v>
      </c>
      <c r="AG157" s="41">
        <v>209787</v>
      </c>
      <c r="AH157" s="41">
        <v>216502</v>
      </c>
      <c r="AI157" s="41">
        <v>223159</v>
      </c>
      <c r="AJ157" s="41">
        <v>229743</v>
      </c>
      <c r="AK157" s="41">
        <v>236271</v>
      </c>
      <c r="AL157" s="41">
        <v>242596</v>
      </c>
      <c r="AM157" s="41">
        <v>248582</v>
      </c>
      <c r="AN157" s="41">
        <v>254144</v>
      </c>
      <c r="AO157" s="41">
        <v>259178</v>
      </c>
      <c r="AP157" s="41">
        <v>263836</v>
      </c>
      <c r="AQ157" s="41">
        <v>268445</v>
      </c>
      <c r="AR157" s="41">
        <v>273522</v>
      </c>
      <c r="AS157" s="41">
        <v>279396</v>
      </c>
      <c r="AT157" s="41">
        <v>286309</v>
      </c>
      <c r="AU157" s="41">
        <v>294185</v>
      </c>
      <c r="AV157" s="41">
        <v>302681</v>
      </c>
      <c r="AW157" s="41">
        <v>311265</v>
      </c>
      <c r="AX157" s="41">
        <v>319604</v>
      </c>
      <c r="AY157" s="41">
        <v>327489</v>
      </c>
      <c r="AZ157" s="41">
        <v>335172</v>
      </c>
      <c r="BA157" s="41">
        <v>343448</v>
      </c>
      <c r="BB157" s="41">
        <v>353391</v>
      </c>
      <c r="BC157" s="41">
        <v>365730</v>
      </c>
      <c r="BD157" s="41">
        <v>380493</v>
      </c>
      <c r="BE157" s="41">
        <v>397231</v>
      </c>
      <c r="BF157" s="41">
        <v>415592</v>
      </c>
      <c r="BG157" s="41">
        <v>435018</v>
      </c>
      <c r="BH157" s="41">
        <v>454914</v>
      </c>
      <c r="BI157" s="41">
        <v>475505</v>
      </c>
      <c r="BJ157" s="41">
        <v>496398</v>
      </c>
      <c r="BK157" s="41">
        <v>515704</v>
      </c>
      <c r="BL157" s="41">
        <v>530957</v>
      </c>
      <c r="BM157" s="41">
        <v>540542</v>
      </c>
    </row>
    <row r="158" spans="1:65" x14ac:dyDescent="0.35">
      <c r="A158" s="41" t="s">
        <v>410</v>
      </c>
      <c r="B158" s="41" t="s">
        <v>411</v>
      </c>
      <c r="C158" s="41" t="s">
        <v>666</v>
      </c>
      <c r="D158" s="41" t="s">
        <v>667</v>
      </c>
      <c r="E158" s="41">
        <v>105203230</v>
      </c>
      <c r="F158" s="41">
        <v>108061826</v>
      </c>
      <c r="G158" s="41">
        <v>111045418</v>
      </c>
      <c r="H158" s="41">
        <v>114101578</v>
      </c>
      <c r="I158" s="41">
        <v>117271192</v>
      </c>
      <c r="J158" s="41">
        <v>120541198</v>
      </c>
      <c r="K158" s="41">
        <v>123908187</v>
      </c>
      <c r="L158" s="41">
        <v>127444919</v>
      </c>
      <c r="M158" s="41">
        <v>131026902</v>
      </c>
      <c r="N158" s="41">
        <v>134704201</v>
      </c>
      <c r="O158" s="41">
        <v>138473057</v>
      </c>
      <c r="P158" s="41">
        <v>142307871</v>
      </c>
      <c r="Q158" s="41">
        <v>146213398</v>
      </c>
      <c r="R158" s="41">
        <v>150292311</v>
      </c>
      <c r="S158" s="41">
        <v>154509840</v>
      </c>
      <c r="T158" s="41">
        <v>158917282</v>
      </c>
      <c r="U158" s="41">
        <v>163532333</v>
      </c>
      <c r="V158" s="41">
        <v>168361040</v>
      </c>
      <c r="W158" s="41">
        <v>173447050</v>
      </c>
      <c r="X158" s="41">
        <v>178866336</v>
      </c>
      <c r="Y158" s="41">
        <v>184628581</v>
      </c>
      <c r="Z158" s="41">
        <v>190731389</v>
      </c>
      <c r="AA158" s="41">
        <v>197157155</v>
      </c>
      <c r="AB158" s="41">
        <v>203834175</v>
      </c>
      <c r="AC158" s="41">
        <v>210648804</v>
      </c>
      <c r="AD158" s="41">
        <v>217572797</v>
      </c>
      <c r="AE158" s="41">
        <v>224549836</v>
      </c>
      <c r="AF158" s="41">
        <v>231570125</v>
      </c>
      <c r="AG158" s="41">
        <v>238565130</v>
      </c>
      <c r="AH158" s="41">
        <v>245453236</v>
      </c>
      <c r="AI158" s="41">
        <v>254215127</v>
      </c>
      <c r="AJ158" s="41">
        <v>261046286</v>
      </c>
      <c r="AK158" s="41">
        <v>265656639</v>
      </c>
      <c r="AL158" s="41">
        <v>272107854</v>
      </c>
      <c r="AM158" s="41">
        <v>278384977</v>
      </c>
      <c r="AN158" s="41">
        <v>286096967</v>
      </c>
      <c r="AO158" s="41">
        <v>292041169</v>
      </c>
      <c r="AP158" s="41">
        <v>297891711</v>
      </c>
      <c r="AQ158" s="41">
        <v>303641719</v>
      </c>
      <c r="AR158" s="41">
        <v>309436718</v>
      </c>
      <c r="AS158" s="41">
        <v>315326781</v>
      </c>
      <c r="AT158" s="41">
        <v>321297196</v>
      </c>
      <c r="AU158" s="41">
        <v>327362274</v>
      </c>
      <c r="AV158" s="41">
        <v>333608806</v>
      </c>
      <c r="AW158" s="41">
        <v>340143477</v>
      </c>
      <c r="AX158" s="41">
        <v>347029862</v>
      </c>
      <c r="AY158" s="41">
        <v>354302465</v>
      </c>
      <c r="AZ158" s="41">
        <v>361929175</v>
      </c>
      <c r="BA158" s="41">
        <v>369823227</v>
      </c>
      <c r="BB158" s="41">
        <v>377883960</v>
      </c>
      <c r="BC158" s="41">
        <v>385917928</v>
      </c>
      <c r="BD158" s="41">
        <v>393942668</v>
      </c>
      <c r="BE158" s="41">
        <v>401968363</v>
      </c>
      <c r="BF158" s="41">
        <v>409968633</v>
      </c>
      <c r="BG158" s="41">
        <v>417924350</v>
      </c>
      <c r="BH158" s="41">
        <v>425821771</v>
      </c>
      <c r="BI158" s="41">
        <v>433616042</v>
      </c>
      <c r="BJ158" s="41">
        <v>441298977</v>
      </c>
      <c r="BK158" s="41">
        <v>448974232</v>
      </c>
      <c r="BL158" s="41">
        <v>456709496</v>
      </c>
      <c r="BM158" s="41">
        <v>464554123</v>
      </c>
    </row>
    <row r="159" spans="1:65" x14ac:dyDescent="0.35">
      <c r="A159" s="41" t="s">
        <v>412</v>
      </c>
      <c r="B159" s="41" t="s">
        <v>413</v>
      </c>
      <c r="C159" s="41" t="s">
        <v>666</v>
      </c>
      <c r="D159" s="41" t="s">
        <v>667</v>
      </c>
      <c r="E159" s="41">
        <v>37771861</v>
      </c>
      <c r="F159" s="41">
        <v>38966049</v>
      </c>
      <c r="G159" s="41">
        <v>40195318</v>
      </c>
      <c r="H159" s="41">
        <v>41462373</v>
      </c>
      <c r="I159" s="41">
        <v>42771077</v>
      </c>
      <c r="J159" s="41">
        <v>44123863</v>
      </c>
      <c r="K159" s="41">
        <v>45519746</v>
      </c>
      <c r="L159" s="41">
        <v>46956208</v>
      </c>
      <c r="M159" s="41">
        <v>48431971</v>
      </c>
      <c r="N159" s="41">
        <v>49945278</v>
      </c>
      <c r="O159" s="41">
        <v>51493565</v>
      </c>
      <c r="P159" s="41">
        <v>53076366</v>
      </c>
      <c r="Q159" s="41">
        <v>54689944</v>
      </c>
      <c r="R159" s="41">
        <v>56324310</v>
      </c>
      <c r="S159" s="41">
        <v>57966812</v>
      </c>
      <c r="T159" s="41">
        <v>59607947</v>
      </c>
      <c r="U159" s="41">
        <v>61242189</v>
      </c>
      <c r="V159" s="41">
        <v>62869908</v>
      </c>
      <c r="W159" s="41">
        <v>64494872</v>
      </c>
      <c r="X159" s="41">
        <v>66123908</v>
      </c>
      <c r="Y159" s="41">
        <v>67761367</v>
      </c>
      <c r="Z159" s="41">
        <v>69407623</v>
      </c>
      <c r="AA159" s="41">
        <v>71058650</v>
      </c>
      <c r="AB159" s="41">
        <v>72709306</v>
      </c>
      <c r="AC159" s="41">
        <v>74352631</v>
      </c>
      <c r="AD159" s="41">
        <v>75983486</v>
      </c>
      <c r="AE159" s="41">
        <v>77599105</v>
      </c>
      <c r="AF159" s="41">
        <v>79200081</v>
      </c>
      <c r="AG159" s="41">
        <v>80788725</v>
      </c>
      <c r="AH159" s="41">
        <v>82368930</v>
      </c>
      <c r="AI159" s="41">
        <v>83943135</v>
      </c>
      <c r="AJ159" s="41">
        <v>85512621</v>
      </c>
      <c r="AK159" s="41">
        <v>87075136</v>
      </c>
      <c r="AL159" s="41">
        <v>88625440</v>
      </c>
      <c r="AM159" s="41">
        <v>90156396</v>
      </c>
      <c r="AN159" s="41">
        <v>91663290</v>
      </c>
      <c r="AO159" s="41">
        <v>93147045</v>
      </c>
      <c r="AP159" s="41">
        <v>94611008</v>
      </c>
      <c r="AQ159" s="41">
        <v>96056313</v>
      </c>
      <c r="AR159" s="41">
        <v>97484823</v>
      </c>
      <c r="AS159" s="41">
        <v>98899845</v>
      </c>
      <c r="AT159" s="41">
        <v>100298152</v>
      </c>
      <c r="AU159" s="41">
        <v>101684764</v>
      </c>
      <c r="AV159" s="41">
        <v>103081020</v>
      </c>
      <c r="AW159" s="41">
        <v>104514934</v>
      </c>
      <c r="AX159" s="41">
        <v>106005199</v>
      </c>
      <c r="AY159" s="41">
        <v>107560155</v>
      </c>
      <c r="AZ159" s="41">
        <v>109170503</v>
      </c>
      <c r="BA159" s="41">
        <v>110815272</v>
      </c>
      <c r="BB159" s="41">
        <v>112463886</v>
      </c>
      <c r="BC159" s="41">
        <v>114092961</v>
      </c>
      <c r="BD159" s="41">
        <v>115695468</v>
      </c>
      <c r="BE159" s="41">
        <v>117274156</v>
      </c>
      <c r="BF159" s="41">
        <v>118827158</v>
      </c>
      <c r="BG159" s="41">
        <v>120355137</v>
      </c>
      <c r="BH159" s="41">
        <v>121858251</v>
      </c>
      <c r="BI159" s="41">
        <v>123333379</v>
      </c>
      <c r="BJ159" s="41">
        <v>124777326</v>
      </c>
      <c r="BK159" s="41">
        <v>126190782</v>
      </c>
      <c r="BL159" s="41">
        <v>127575529</v>
      </c>
      <c r="BM159" s="41">
        <v>128932753</v>
      </c>
    </row>
    <row r="160" spans="1:65" x14ac:dyDescent="0.35">
      <c r="A160" s="41" t="s">
        <v>414</v>
      </c>
      <c r="B160" s="41" t="s">
        <v>415</v>
      </c>
      <c r="C160" s="41" t="s">
        <v>666</v>
      </c>
      <c r="D160" s="41" t="s">
        <v>667</v>
      </c>
      <c r="E160" s="41">
        <v>14674</v>
      </c>
      <c r="F160" s="41">
        <v>15056</v>
      </c>
      <c r="G160" s="41">
        <v>15547</v>
      </c>
      <c r="H160" s="41">
        <v>16111</v>
      </c>
      <c r="I160" s="41">
        <v>16710</v>
      </c>
      <c r="J160" s="41">
        <v>17282</v>
      </c>
      <c r="K160" s="41">
        <v>17834</v>
      </c>
      <c r="L160" s="41">
        <v>18383</v>
      </c>
      <c r="M160" s="41">
        <v>18966</v>
      </c>
      <c r="N160" s="41">
        <v>19617</v>
      </c>
      <c r="O160" s="41">
        <v>20394</v>
      </c>
      <c r="P160" s="41">
        <v>21305</v>
      </c>
      <c r="Q160" s="41">
        <v>22335</v>
      </c>
      <c r="R160" s="41">
        <v>23440</v>
      </c>
      <c r="S160" s="41">
        <v>24530</v>
      </c>
      <c r="T160" s="41">
        <v>25579</v>
      </c>
      <c r="U160" s="41">
        <v>26548</v>
      </c>
      <c r="V160" s="41">
        <v>27479</v>
      </c>
      <c r="W160" s="41">
        <v>28400</v>
      </c>
      <c r="X160" s="41">
        <v>29417</v>
      </c>
      <c r="Y160" s="41">
        <v>30574</v>
      </c>
      <c r="Z160" s="41">
        <v>31883</v>
      </c>
      <c r="AA160" s="41">
        <v>33330</v>
      </c>
      <c r="AB160" s="41">
        <v>34881</v>
      </c>
      <c r="AC160" s="41">
        <v>36564</v>
      </c>
      <c r="AD160" s="41">
        <v>38331</v>
      </c>
      <c r="AE160" s="41">
        <v>40212</v>
      </c>
      <c r="AF160" s="41">
        <v>42168</v>
      </c>
      <c r="AG160" s="41">
        <v>44092</v>
      </c>
      <c r="AH160" s="41">
        <v>45827</v>
      </c>
      <c r="AI160" s="41">
        <v>47265</v>
      </c>
      <c r="AJ160" s="41">
        <v>48403</v>
      </c>
      <c r="AK160" s="41">
        <v>49242</v>
      </c>
      <c r="AL160" s="41">
        <v>49828</v>
      </c>
      <c r="AM160" s="41">
        <v>50214</v>
      </c>
      <c r="AN160" s="41">
        <v>50454</v>
      </c>
      <c r="AO160" s="41">
        <v>50523</v>
      </c>
      <c r="AP160" s="41">
        <v>50453</v>
      </c>
      <c r="AQ160" s="41">
        <v>50356</v>
      </c>
      <c r="AR160" s="41">
        <v>50418</v>
      </c>
      <c r="AS160" s="41">
        <v>50754</v>
      </c>
      <c r="AT160" s="41">
        <v>51411</v>
      </c>
      <c r="AU160" s="41">
        <v>52368</v>
      </c>
      <c r="AV160" s="41">
        <v>53465</v>
      </c>
      <c r="AW160" s="41">
        <v>54476</v>
      </c>
      <c r="AX160" s="41">
        <v>55257</v>
      </c>
      <c r="AY160" s="41">
        <v>55765</v>
      </c>
      <c r="AZ160" s="41">
        <v>56046</v>
      </c>
      <c r="BA160" s="41">
        <v>56166</v>
      </c>
      <c r="BB160" s="41">
        <v>56255</v>
      </c>
      <c r="BC160" s="41">
        <v>56361</v>
      </c>
      <c r="BD160" s="41">
        <v>56524</v>
      </c>
      <c r="BE160" s="41">
        <v>56712</v>
      </c>
      <c r="BF160" s="41">
        <v>56933</v>
      </c>
      <c r="BG160" s="41">
        <v>57183</v>
      </c>
      <c r="BH160" s="41">
        <v>57444</v>
      </c>
      <c r="BI160" s="41">
        <v>57723</v>
      </c>
      <c r="BJ160" s="41">
        <v>58053</v>
      </c>
      <c r="BK160" s="41">
        <v>58412</v>
      </c>
      <c r="BL160" s="41">
        <v>58791</v>
      </c>
      <c r="BM160" s="41">
        <v>59194</v>
      </c>
    </row>
    <row r="161" spans="1:65" x14ac:dyDescent="0.35">
      <c r="A161" s="41" t="s">
        <v>416</v>
      </c>
      <c r="B161" s="41" t="s">
        <v>417</v>
      </c>
      <c r="C161" s="41" t="s">
        <v>666</v>
      </c>
      <c r="D161" s="41" t="s">
        <v>667</v>
      </c>
      <c r="E161" s="41">
        <v>2126448264</v>
      </c>
      <c r="F161" s="41">
        <v>2152809007</v>
      </c>
      <c r="G161" s="41">
        <v>2192361842</v>
      </c>
      <c r="H161" s="41">
        <v>2243997513</v>
      </c>
      <c r="I161" s="41">
        <v>2295948515</v>
      </c>
      <c r="J161" s="41">
        <v>2349465399</v>
      </c>
      <c r="K161" s="41">
        <v>2406516627</v>
      </c>
      <c r="L161" s="41">
        <v>2463391488</v>
      </c>
      <c r="M161" s="41">
        <v>2521807094</v>
      </c>
      <c r="N161" s="41">
        <v>2582528080</v>
      </c>
      <c r="O161" s="41">
        <v>2644861764</v>
      </c>
      <c r="P161" s="41">
        <v>2708528816</v>
      </c>
      <c r="Q161" s="41">
        <v>2771182528</v>
      </c>
      <c r="R161" s="41">
        <v>2833690114</v>
      </c>
      <c r="S161" s="41">
        <v>2895649327</v>
      </c>
      <c r="T161" s="41">
        <v>2956240605</v>
      </c>
      <c r="U161" s="41">
        <v>3016172468</v>
      </c>
      <c r="V161" s="41">
        <v>3075486612</v>
      </c>
      <c r="W161" s="41">
        <v>3135818510</v>
      </c>
      <c r="X161" s="41">
        <v>3197590308</v>
      </c>
      <c r="Y161" s="41">
        <v>3260260585</v>
      </c>
      <c r="Z161" s="41">
        <v>3324908371</v>
      </c>
      <c r="AA161" s="41">
        <v>3392871650</v>
      </c>
      <c r="AB161" s="41">
        <v>3461843641</v>
      </c>
      <c r="AC161" s="41">
        <v>3530665529</v>
      </c>
      <c r="AD161" s="41">
        <v>3600671134</v>
      </c>
      <c r="AE161" s="41">
        <v>3672585884</v>
      </c>
      <c r="AF161" s="41">
        <v>3746363999</v>
      </c>
      <c r="AG161" s="41">
        <v>3820564035</v>
      </c>
      <c r="AH161" s="41">
        <v>3893872030</v>
      </c>
      <c r="AI161" s="41">
        <v>3967667123</v>
      </c>
      <c r="AJ161" s="41">
        <v>4038220702</v>
      </c>
      <c r="AK161" s="41">
        <v>4106796121</v>
      </c>
      <c r="AL161" s="41">
        <v>4174215690</v>
      </c>
      <c r="AM161" s="41">
        <v>4240915431</v>
      </c>
      <c r="AN161" s="41">
        <v>4306838181</v>
      </c>
      <c r="AO161" s="41">
        <v>4372587756</v>
      </c>
      <c r="AP161" s="41">
        <v>4438192507</v>
      </c>
      <c r="AQ161" s="41">
        <v>4502894991</v>
      </c>
      <c r="AR161" s="41">
        <v>4566082338</v>
      </c>
      <c r="AS161" s="41">
        <v>4628232414</v>
      </c>
      <c r="AT161" s="41">
        <v>4689019618</v>
      </c>
      <c r="AU161" s="41">
        <v>4748863462</v>
      </c>
      <c r="AV161" s="41">
        <v>4808439643</v>
      </c>
      <c r="AW161" s="41">
        <v>4867805919</v>
      </c>
      <c r="AX161" s="41">
        <v>4927197493</v>
      </c>
      <c r="AY161" s="41">
        <v>4986384065</v>
      </c>
      <c r="AZ161" s="41">
        <v>5045297678</v>
      </c>
      <c r="BA161" s="41">
        <v>5104749071</v>
      </c>
      <c r="BB161" s="41">
        <v>5164826856</v>
      </c>
      <c r="BC161" s="41">
        <v>5225459282</v>
      </c>
      <c r="BD161" s="41">
        <v>5286883542</v>
      </c>
      <c r="BE161" s="41">
        <v>5348757979</v>
      </c>
      <c r="BF161" s="41">
        <v>5411425495</v>
      </c>
      <c r="BG161" s="41">
        <v>5474458691</v>
      </c>
      <c r="BH161" s="41">
        <v>5537592502</v>
      </c>
      <c r="BI161" s="41">
        <v>5601151400</v>
      </c>
      <c r="BJ161" s="41">
        <v>5664768985</v>
      </c>
      <c r="BK161" s="41">
        <v>5726499645</v>
      </c>
      <c r="BL161" s="41">
        <v>5786162963</v>
      </c>
      <c r="BM161" s="41">
        <v>5844325339</v>
      </c>
    </row>
    <row r="162" spans="1:65" x14ac:dyDescent="0.35">
      <c r="A162" s="41" t="s">
        <v>418</v>
      </c>
      <c r="B162" s="41" t="s">
        <v>419</v>
      </c>
      <c r="C162" s="41" t="s">
        <v>666</v>
      </c>
      <c r="D162" s="41" t="s">
        <v>667</v>
      </c>
      <c r="E162" s="41">
        <v>1488670</v>
      </c>
      <c r="F162" s="41">
        <v>1507647</v>
      </c>
      <c r="G162" s="41">
        <v>1527109</v>
      </c>
      <c r="H162" s="41">
        <v>1547449</v>
      </c>
      <c r="I162" s="41">
        <v>1569139</v>
      </c>
      <c r="J162" s="41">
        <v>1592437</v>
      </c>
      <c r="K162" s="41">
        <v>1617797</v>
      </c>
      <c r="L162" s="41">
        <v>1644949</v>
      </c>
      <c r="M162" s="41">
        <v>1672399</v>
      </c>
      <c r="N162" s="41">
        <v>1698150</v>
      </c>
      <c r="O162" s="41">
        <v>1720805</v>
      </c>
      <c r="P162" s="41">
        <v>1739529</v>
      </c>
      <c r="Q162" s="41">
        <v>1754951</v>
      </c>
      <c r="R162" s="41">
        <v>1769002</v>
      </c>
      <c r="S162" s="41">
        <v>1784400</v>
      </c>
      <c r="T162" s="41">
        <v>1803008</v>
      </c>
      <c r="U162" s="41">
        <v>1825559</v>
      </c>
      <c r="V162" s="41">
        <v>1851070</v>
      </c>
      <c r="W162" s="41">
        <v>1877690</v>
      </c>
      <c r="X162" s="41">
        <v>1902718</v>
      </c>
      <c r="Y162" s="41">
        <v>1924203</v>
      </c>
      <c r="Z162" s="41">
        <v>1941527</v>
      </c>
      <c r="AA162" s="41">
        <v>1955247</v>
      </c>
      <c r="AB162" s="41">
        <v>1965892</v>
      </c>
      <c r="AC162" s="41">
        <v>1974413</v>
      </c>
      <c r="AD162" s="41">
        <v>1981536</v>
      </c>
      <c r="AE162" s="41">
        <v>1987538</v>
      </c>
      <c r="AF162" s="41">
        <v>1992278</v>
      </c>
      <c r="AG162" s="41">
        <v>1995508</v>
      </c>
      <c r="AH162" s="41">
        <v>1996863</v>
      </c>
      <c r="AI162" s="41">
        <v>1996218</v>
      </c>
      <c r="AJ162" s="41">
        <v>1993304</v>
      </c>
      <c r="AK162" s="41">
        <v>1988659</v>
      </c>
      <c r="AL162" s="41">
        <v>1984024</v>
      </c>
      <c r="AM162" s="41">
        <v>1981713</v>
      </c>
      <c r="AN162" s="41">
        <v>1983259</v>
      </c>
      <c r="AO162" s="41">
        <v>1989441</v>
      </c>
      <c r="AP162" s="41">
        <v>1999588</v>
      </c>
      <c r="AQ162" s="41">
        <v>2012052</v>
      </c>
      <c r="AR162" s="41">
        <v>2024393</v>
      </c>
      <c r="AS162" s="41">
        <v>2034823</v>
      </c>
      <c r="AT162" s="41">
        <v>2042844</v>
      </c>
      <c r="AU162" s="41">
        <v>2048930</v>
      </c>
      <c r="AV162" s="41">
        <v>2053426</v>
      </c>
      <c r="AW162" s="41">
        <v>2057044</v>
      </c>
      <c r="AX162" s="41">
        <v>2060280</v>
      </c>
      <c r="AY162" s="41">
        <v>2063132</v>
      </c>
      <c r="AZ162" s="41">
        <v>2065408</v>
      </c>
      <c r="BA162" s="41">
        <v>2067309</v>
      </c>
      <c r="BB162" s="41">
        <v>2069030</v>
      </c>
      <c r="BC162" s="41">
        <v>2070737</v>
      </c>
      <c r="BD162" s="41">
        <v>2072484</v>
      </c>
      <c r="BE162" s="41">
        <v>2074275</v>
      </c>
      <c r="BF162" s="41">
        <v>2076065</v>
      </c>
      <c r="BG162" s="41">
        <v>2077780</v>
      </c>
      <c r="BH162" s="41">
        <v>2079335</v>
      </c>
      <c r="BI162" s="41">
        <v>2080746</v>
      </c>
      <c r="BJ162" s="41">
        <v>2081996</v>
      </c>
      <c r="BK162" s="41">
        <v>2082957</v>
      </c>
      <c r="BL162" s="41">
        <v>2083458</v>
      </c>
      <c r="BM162" s="41">
        <v>2083380</v>
      </c>
    </row>
    <row r="163" spans="1:65" x14ac:dyDescent="0.35">
      <c r="A163" s="41" t="s">
        <v>420</v>
      </c>
      <c r="B163" s="41" t="s">
        <v>421</v>
      </c>
      <c r="C163" s="41" t="s">
        <v>666</v>
      </c>
      <c r="D163" s="41" t="s">
        <v>667</v>
      </c>
      <c r="E163" s="41">
        <v>5263727</v>
      </c>
      <c r="F163" s="41">
        <v>5322269</v>
      </c>
      <c r="G163" s="41">
        <v>5381367</v>
      </c>
      <c r="H163" s="41">
        <v>5441618</v>
      </c>
      <c r="I163" s="41">
        <v>5503750</v>
      </c>
      <c r="J163" s="41">
        <v>5568495</v>
      </c>
      <c r="K163" s="41">
        <v>5635864</v>
      </c>
      <c r="L163" s="41">
        <v>5706192</v>
      </c>
      <c r="M163" s="41">
        <v>5780836</v>
      </c>
      <c r="N163" s="41">
        <v>5861417</v>
      </c>
      <c r="O163" s="41">
        <v>5949042</v>
      </c>
      <c r="P163" s="41">
        <v>6044524</v>
      </c>
      <c r="Q163" s="41">
        <v>6147464</v>
      </c>
      <c r="R163" s="41">
        <v>6256191</v>
      </c>
      <c r="S163" s="41">
        <v>6368346</v>
      </c>
      <c r="T163" s="41">
        <v>6482282</v>
      </c>
      <c r="U163" s="41">
        <v>6596721</v>
      </c>
      <c r="V163" s="41">
        <v>6712267</v>
      </c>
      <c r="W163" s="41">
        <v>6831090</v>
      </c>
      <c r="X163" s="41">
        <v>6956409</v>
      </c>
      <c r="Y163" s="41">
        <v>7090124</v>
      </c>
      <c r="Z163" s="41">
        <v>7234725</v>
      </c>
      <c r="AA163" s="41">
        <v>7388670</v>
      </c>
      <c r="AB163" s="41">
        <v>7545163</v>
      </c>
      <c r="AC163" s="41">
        <v>7694857</v>
      </c>
      <c r="AD163" s="41">
        <v>7831888</v>
      </c>
      <c r="AE163" s="41">
        <v>7952863</v>
      </c>
      <c r="AF163" s="41">
        <v>8062216</v>
      </c>
      <c r="AG163" s="41">
        <v>8171525</v>
      </c>
      <c r="AH163" s="41">
        <v>8296919</v>
      </c>
      <c r="AI163" s="41">
        <v>8449915</v>
      </c>
      <c r="AJ163" s="41">
        <v>8635528</v>
      </c>
      <c r="AK163" s="41">
        <v>8850334</v>
      </c>
      <c r="AL163" s="41">
        <v>9087173</v>
      </c>
      <c r="AM163" s="41">
        <v>9334893</v>
      </c>
      <c r="AN163" s="41">
        <v>9585660</v>
      </c>
      <c r="AO163" s="41">
        <v>9837575</v>
      </c>
      <c r="AP163" s="41">
        <v>10094363</v>
      </c>
      <c r="AQ163" s="41">
        <v>10360564</v>
      </c>
      <c r="AR163" s="41">
        <v>10642937</v>
      </c>
      <c r="AS163" s="41">
        <v>10946448</v>
      </c>
      <c r="AT163" s="41">
        <v>11271603</v>
      </c>
      <c r="AU163" s="41">
        <v>11616890</v>
      </c>
      <c r="AV163" s="41">
        <v>11982692</v>
      </c>
      <c r="AW163" s="41">
        <v>12369078</v>
      </c>
      <c r="AX163" s="41">
        <v>12775509</v>
      </c>
      <c r="AY163" s="41">
        <v>13203378</v>
      </c>
      <c r="AZ163" s="41">
        <v>13651455</v>
      </c>
      <c r="BA163" s="41">
        <v>14113578</v>
      </c>
      <c r="BB163" s="41">
        <v>14581427</v>
      </c>
      <c r="BC163" s="41">
        <v>15049352</v>
      </c>
      <c r="BD163" s="41">
        <v>15514593</v>
      </c>
      <c r="BE163" s="41">
        <v>15979492</v>
      </c>
      <c r="BF163" s="41">
        <v>16449854</v>
      </c>
      <c r="BG163" s="41">
        <v>16934213</v>
      </c>
      <c r="BH163" s="41">
        <v>17438772</v>
      </c>
      <c r="BI163" s="41">
        <v>17965448</v>
      </c>
      <c r="BJ163" s="41">
        <v>18512429</v>
      </c>
      <c r="BK163" s="41">
        <v>19077755</v>
      </c>
      <c r="BL163" s="41">
        <v>19658023</v>
      </c>
      <c r="BM163" s="41">
        <v>20250834</v>
      </c>
    </row>
    <row r="164" spans="1:65" x14ac:dyDescent="0.35">
      <c r="A164" s="41" t="s">
        <v>422</v>
      </c>
      <c r="B164" s="41" t="s">
        <v>423</v>
      </c>
      <c r="C164" s="41" t="s">
        <v>666</v>
      </c>
      <c r="D164" s="41" t="s">
        <v>667</v>
      </c>
      <c r="E164" s="41">
        <v>326550</v>
      </c>
      <c r="F164" s="41">
        <v>325250</v>
      </c>
      <c r="G164" s="41">
        <v>323900</v>
      </c>
      <c r="H164" s="41">
        <v>322550</v>
      </c>
      <c r="I164" s="41">
        <v>321250</v>
      </c>
      <c r="J164" s="41">
        <v>318800</v>
      </c>
      <c r="K164" s="41">
        <v>315200</v>
      </c>
      <c r="L164" s="41">
        <v>311550</v>
      </c>
      <c r="M164" s="41">
        <v>307900</v>
      </c>
      <c r="N164" s="41">
        <v>304300</v>
      </c>
      <c r="O164" s="41">
        <v>302650</v>
      </c>
      <c r="P164" s="41">
        <v>302700</v>
      </c>
      <c r="Q164" s="41">
        <v>302450</v>
      </c>
      <c r="R164" s="41">
        <v>302200</v>
      </c>
      <c r="S164" s="41">
        <v>301996</v>
      </c>
      <c r="T164" s="41">
        <v>304222</v>
      </c>
      <c r="U164" s="41">
        <v>305774</v>
      </c>
      <c r="V164" s="41">
        <v>306970</v>
      </c>
      <c r="W164" s="41">
        <v>310182</v>
      </c>
      <c r="X164" s="41">
        <v>313342</v>
      </c>
      <c r="Y164" s="41">
        <v>316645</v>
      </c>
      <c r="Z164" s="41">
        <v>318982</v>
      </c>
      <c r="AA164" s="41">
        <v>325898</v>
      </c>
      <c r="AB164" s="41">
        <v>330524</v>
      </c>
      <c r="AC164" s="41">
        <v>330593</v>
      </c>
      <c r="AD164" s="41">
        <v>336452</v>
      </c>
      <c r="AE164" s="41">
        <v>342121</v>
      </c>
      <c r="AF164" s="41">
        <v>344485</v>
      </c>
      <c r="AG164" s="41">
        <v>347325</v>
      </c>
      <c r="AH164" s="41">
        <v>350722</v>
      </c>
      <c r="AI164" s="41">
        <v>354170</v>
      </c>
      <c r="AJ164" s="41">
        <v>363845</v>
      </c>
      <c r="AK164" s="41">
        <v>367618</v>
      </c>
      <c r="AL164" s="41">
        <v>371308</v>
      </c>
      <c r="AM164" s="41">
        <v>374797</v>
      </c>
      <c r="AN164" s="41">
        <v>377419</v>
      </c>
      <c r="AO164" s="41">
        <v>379905</v>
      </c>
      <c r="AP164" s="41">
        <v>382791</v>
      </c>
      <c r="AQ164" s="41">
        <v>385287</v>
      </c>
      <c r="AR164" s="41">
        <v>387578</v>
      </c>
      <c r="AS164" s="41">
        <v>390087</v>
      </c>
      <c r="AT164" s="41">
        <v>393028</v>
      </c>
      <c r="AU164" s="41">
        <v>395969</v>
      </c>
      <c r="AV164" s="41">
        <v>398582</v>
      </c>
      <c r="AW164" s="41">
        <v>401268</v>
      </c>
      <c r="AX164" s="41">
        <v>403834</v>
      </c>
      <c r="AY164" s="41">
        <v>405308</v>
      </c>
      <c r="AZ164" s="41">
        <v>406724</v>
      </c>
      <c r="BA164" s="41">
        <v>409379</v>
      </c>
      <c r="BB164" s="41">
        <v>412477</v>
      </c>
      <c r="BC164" s="41">
        <v>414508</v>
      </c>
      <c r="BD164" s="41">
        <v>416268</v>
      </c>
      <c r="BE164" s="41">
        <v>420028</v>
      </c>
      <c r="BF164" s="41">
        <v>425967</v>
      </c>
      <c r="BG164" s="41">
        <v>434558</v>
      </c>
      <c r="BH164" s="41">
        <v>445053</v>
      </c>
      <c r="BI164" s="41">
        <v>455356</v>
      </c>
      <c r="BJ164" s="41">
        <v>467999</v>
      </c>
      <c r="BK164" s="41">
        <v>484630</v>
      </c>
      <c r="BL164" s="41">
        <v>504062</v>
      </c>
      <c r="BM164" s="41">
        <v>525285</v>
      </c>
    </row>
    <row r="165" spans="1:65" x14ac:dyDescent="0.35">
      <c r="A165" s="41" t="s">
        <v>424</v>
      </c>
      <c r="B165" s="41" t="s">
        <v>425</v>
      </c>
      <c r="C165" s="41" t="s">
        <v>666</v>
      </c>
      <c r="D165" s="41" t="s">
        <v>667</v>
      </c>
      <c r="E165" s="41">
        <v>21736947</v>
      </c>
      <c r="F165" s="41">
        <v>22211626</v>
      </c>
      <c r="G165" s="41">
        <v>22697664</v>
      </c>
      <c r="H165" s="41">
        <v>23198238</v>
      </c>
      <c r="I165" s="41">
        <v>23717785</v>
      </c>
      <c r="J165" s="41">
        <v>24259356</v>
      </c>
      <c r="K165" s="41">
        <v>24823937</v>
      </c>
      <c r="L165" s="41">
        <v>25410054</v>
      </c>
      <c r="M165" s="41">
        <v>26015239</v>
      </c>
      <c r="N165" s="41">
        <v>26635852</v>
      </c>
      <c r="O165" s="41">
        <v>27269063</v>
      </c>
      <c r="P165" s="41">
        <v>27913749</v>
      </c>
      <c r="Q165" s="41">
        <v>28570093</v>
      </c>
      <c r="R165" s="41">
        <v>29238168</v>
      </c>
      <c r="S165" s="41">
        <v>29918469</v>
      </c>
      <c r="T165" s="41">
        <v>30611093</v>
      </c>
      <c r="U165" s="41">
        <v>31314347</v>
      </c>
      <c r="V165" s="41">
        <v>32026748</v>
      </c>
      <c r="W165" s="41">
        <v>32748782</v>
      </c>
      <c r="X165" s="41">
        <v>33481397</v>
      </c>
      <c r="Y165" s="41">
        <v>34224316</v>
      </c>
      <c r="Z165" s="41">
        <v>34976465</v>
      </c>
      <c r="AA165" s="41">
        <v>35734273</v>
      </c>
      <c r="AB165" s="41">
        <v>36491804</v>
      </c>
      <c r="AC165" s="41">
        <v>37241530</v>
      </c>
      <c r="AD165" s="41">
        <v>37977087</v>
      </c>
      <c r="AE165" s="41">
        <v>38698484</v>
      </c>
      <c r="AF165" s="41">
        <v>39404350</v>
      </c>
      <c r="AG165" s="41">
        <v>40085653</v>
      </c>
      <c r="AH165" s="41">
        <v>40731439</v>
      </c>
      <c r="AI165" s="41">
        <v>41335188</v>
      </c>
      <c r="AJ165" s="41">
        <v>41890192</v>
      </c>
      <c r="AK165" s="41">
        <v>42401686</v>
      </c>
      <c r="AL165" s="41">
        <v>42889992</v>
      </c>
      <c r="AM165" s="41">
        <v>43383421</v>
      </c>
      <c r="AN165" s="41">
        <v>43901598</v>
      </c>
      <c r="AO165" s="41">
        <v>44452203</v>
      </c>
      <c r="AP165" s="41">
        <v>45027223</v>
      </c>
      <c r="AQ165" s="41">
        <v>45611220</v>
      </c>
      <c r="AR165" s="41">
        <v>46181075</v>
      </c>
      <c r="AS165" s="41">
        <v>46719698</v>
      </c>
      <c r="AT165" s="41">
        <v>47225119</v>
      </c>
      <c r="AU165" s="41">
        <v>47702163</v>
      </c>
      <c r="AV165" s="41">
        <v>48148907</v>
      </c>
      <c r="AW165" s="41">
        <v>48564489</v>
      </c>
      <c r="AX165" s="41">
        <v>48949931</v>
      </c>
      <c r="AY165" s="41">
        <v>49301049</v>
      </c>
      <c r="AZ165" s="41">
        <v>49621479</v>
      </c>
      <c r="BA165" s="41">
        <v>49929642</v>
      </c>
      <c r="BB165" s="41">
        <v>50250366</v>
      </c>
      <c r="BC165" s="41">
        <v>50600827</v>
      </c>
      <c r="BD165" s="41">
        <v>50990612</v>
      </c>
      <c r="BE165" s="41">
        <v>51413703</v>
      </c>
      <c r="BF165" s="41">
        <v>51852464</v>
      </c>
      <c r="BG165" s="41">
        <v>52280816</v>
      </c>
      <c r="BH165" s="41">
        <v>52680724</v>
      </c>
      <c r="BI165" s="41">
        <v>53045199</v>
      </c>
      <c r="BJ165" s="41">
        <v>53382521</v>
      </c>
      <c r="BK165" s="41">
        <v>53708318</v>
      </c>
      <c r="BL165" s="41">
        <v>54045422</v>
      </c>
      <c r="BM165" s="41">
        <v>54409794</v>
      </c>
    </row>
    <row r="166" spans="1:65" x14ac:dyDescent="0.35">
      <c r="A166" s="41" t="s">
        <v>426</v>
      </c>
      <c r="B166" s="41" t="s">
        <v>427</v>
      </c>
      <c r="C166" s="41" t="s">
        <v>666</v>
      </c>
      <c r="D166" s="41" t="s">
        <v>667</v>
      </c>
      <c r="E166" s="41">
        <v>97553136</v>
      </c>
      <c r="F166" s="41">
        <v>100147125</v>
      </c>
      <c r="G166" s="41">
        <v>102808039</v>
      </c>
      <c r="H166" s="41">
        <v>105546241</v>
      </c>
      <c r="I166" s="41">
        <v>108376349</v>
      </c>
      <c r="J166" s="41">
        <v>111307810</v>
      </c>
      <c r="K166" s="41">
        <v>114351844</v>
      </c>
      <c r="L166" s="41">
        <v>117503838</v>
      </c>
      <c r="M166" s="41">
        <v>120739199</v>
      </c>
      <c r="N166" s="41">
        <v>124023275</v>
      </c>
      <c r="O166" s="41">
        <v>127335093</v>
      </c>
      <c r="P166" s="41">
        <v>130670746</v>
      </c>
      <c r="Q166" s="41">
        <v>134051048</v>
      </c>
      <c r="R166" s="41">
        <v>137511232</v>
      </c>
      <c r="S166" s="41">
        <v>141099598</v>
      </c>
      <c r="T166" s="41">
        <v>144855662</v>
      </c>
      <c r="U166" s="41">
        <v>148781943</v>
      </c>
      <c r="V166" s="41">
        <v>152881163</v>
      </c>
      <c r="W166" s="41">
        <v>157192250</v>
      </c>
      <c r="X166" s="41">
        <v>161761403</v>
      </c>
      <c r="Y166" s="41">
        <v>166616386</v>
      </c>
      <c r="Z166" s="41">
        <v>171766018</v>
      </c>
      <c r="AA166" s="41">
        <v>177185651</v>
      </c>
      <c r="AB166" s="41">
        <v>182825252</v>
      </c>
      <c r="AC166" s="41">
        <v>188614684</v>
      </c>
      <c r="AD166" s="41">
        <v>194494177</v>
      </c>
      <c r="AE166" s="41">
        <v>200443463</v>
      </c>
      <c r="AF166" s="41">
        <v>206447529</v>
      </c>
      <c r="AG166" s="41">
        <v>212456877</v>
      </c>
      <c r="AH166" s="41">
        <v>218415839</v>
      </c>
      <c r="AI166" s="41">
        <v>226259024</v>
      </c>
      <c r="AJ166" s="41">
        <v>232101413</v>
      </c>
      <c r="AK166" s="41">
        <v>237828686</v>
      </c>
      <c r="AL166" s="41">
        <v>243429317</v>
      </c>
      <c r="AM166" s="41">
        <v>248897278</v>
      </c>
      <c r="AN166" s="41">
        <v>254233340</v>
      </c>
      <c r="AO166" s="41">
        <v>259431598</v>
      </c>
      <c r="AP166" s="41">
        <v>264504158</v>
      </c>
      <c r="AQ166" s="41">
        <v>269440674</v>
      </c>
      <c r="AR166" s="41">
        <v>274350014</v>
      </c>
      <c r="AS166" s="41">
        <v>279279614</v>
      </c>
      <c r="AT166" s="41">
        <v>284249005</v>
      </c>
      <c r="AU166" s="41">
        <v>289264351</v>
      </c>
      <c r="AV166" s="41">
        <v>294343659</v>
      </c>
      <c r="AW166" s="41">
        <v>299502746</v>
      </c>
      <c r="AX166" s="41">
        <v>304755514</v>
      </c>
      <c r="AY166" s="41">
        <v>310109431</v>
      </c>
      <c r="AZ166" s="41">
        <v>315573363</v>
      </c>
      <c r="BA166" s="41">
        <v>321168746</v>
      </c>
      <c r="BB166" s="41">
        <v>326900966</v>
      </c>
      <c r="BC166" s="41">
        <v>332777842</v>
      </c>
      <c r="BD166" s="41">
        <v>338813060</v>
      </c>
      <c r="BE166" s="41">
        <v>344998428</v>
      </c>
      <c r="BF166" s="41">
        <v>351290405</v>
      </c>
      <c r="BG166" s="41">
        <v>357629838</v>
      </c>
      <c r="BH166" s="41">
        <v>363975556</v>
      </c>
      <c r="BI166" s="41">
        <v>370294017</v>
      </c>
      <c r="BJ166" s="41">
        <v>376588457</v>
      </c>
      <c r="BK166" s="41">
        <v>382955167</v>
      </c>
      <c r="BL166" s="41">
        <v>389457075</v>
      </c>
      <c r="BM166" s="41">
        <v>396147843</v>
      </c>
    </row>
    <row r="167" spans="1:65" x14ac:dyDescent="0.35">
      <c r="A167" s="41" t="s">
        <v>428</v>
      </c>
      <c r="B167" s="41" t="s">
        <v>429</v>
      </c>
      <c r="C167" s="41" t="s">
        <v>666</v>
      </c>
      <c r="D167" s="41" t="s">
        <v>667</v>
      </c>
      <c r="E167" s="41">
        <v>480579</v>
      </c>
      <c r="F167" s="41">
        <v>491140</v>
      </c>
      <c r="G167" s="41">
        <v>502558</v>
      </c>
      <c r="H167" s="41">
        <v>513409</v>
      </c>
      <c r="I167" s="41">
        <v>521753</v>
      </c>
      <c r="J167" s="41">
        <v>526327</v>
      </c>
      <c r="K167" s="41">
        <v>526419</v>
      </c>
      <c r="L167" s="41">
        <v>522796</v>
      </c>
      <c r="M167" s="41">
        <v>517481</v>
      </c>
      <c r="N167" s="41">
        <v>513340</v>
      </c>
      <c r="O167" s="41">
        <v>512407</v>
      </c>
      <c r="P167" s="41">
        <v>515449</v>
      </c>
      <c r="Q167" s="41">
        <v>521785</v>
      </c>
      <c r="R167" s="41">
        <v>530220</v>
      </c>
      <c r="S167" s="41">
        <v>538902</v>
      </c>
      <c r="T167" s="41">
        <v>546487</v>
      </c>
      <c r="U167" s="41">
        <v>552562</v>
      </c>
      <c r="V167" s="41">
        <v>557576</v>
      </c>
      <c r="W167" s="41">
        <v>562065</v>
      </c>
      <c r="X167" s="41">
        <v>566888</v>
      </c>
      <c r="Y167" s="41">
        <v>572608</v>
      </c>
      <c r="Z167" s="41">
        <v>579445</v>
      </c>
      <c r="AA167" s="41">
        <v>587001</v>
      </c>
      <c r="AB167" s="41">
        <v>594506</v>
      </c>
      <c r="AC167" s="41">
        <v>600884</v>
      </c>
      <c r="AD167" s="41">
        <v>605398</v>
      </c>
      <c r="AE167" s="41">
        <v>607711</v>
      </c>
      <c r="AF167" s="41">
        <v>608144</v>
      </c>
      <c r="AG167" s="41">
        <v>607413</v>
      </c>
      <c r="AH167" s="41">
        <v>606571</v>
      </c>
      <c r="AI167" s="41">
        <v>606372</v>
      </c>
      <c r="AJ167" s="41">
        <v>607105</v>
      </c>
      <c r="AK167" s="41">
        <v>608516</v>
      </c>
      <c r="AL167" s="41">
        <v>610170</v>
      </c>
      <c r="AM167" s="41">
        <v>611389</v>
      </c>
      <c r="AN167" s="41">
        <v>611712</v>
      </c>
      <c r="AO167" s="41">
        <v>611003</v>
      </c>
      <c r="AP167" s="41">
        <v>609520</v>
      </c>
      <c r="AQ167" s="41">
        <v>607662</v>
      </c>
      <c r="AR167" s="41">
        <v>606001</v>
      </c>
      <c r="AS167" s="41">
        <v>604950</v>
      </c>
      <c r="AT167" s="41">
        <v>607389</v>
      </c>
      <c r="AU167" s="41">
        <v>609828</v>
      </c>
      <c r="AV167" s="41">
        <v>612267</v>
      </c>
      <c r="AW167" s="41">
        <v>613353</v>
      </c>
      <c r="AX167" s="41">
        <v>614261</v>
      </c>
      <c r="AY167" s="41">
        <v>615025</v>
      </c>
      <c r="AZ167" s="41">
        <v>615875</v>
      </c>
      <c r="BA167" s="41">
        <v>616969</v>
      </c>
      <c r="BB167" s="41">
        <v>618294</v>
      </c>
      <c r="BC167" s="41">
        <v>619428</v>
      </c>
      <c r="BD167" s="41">
        <v>620079</v>
      </c>
      <c r="BE167" s="41">
        <v>620601</v>
      </c>
      <c r="BF167" s="41">
        <v>621207</v>
      </c>
      <c r="BG167" s="41">
        <v>621810</v>
      </c>
      <c r="BH167" s="41">
        <v>622159</v>
      </c>
      <c r="BI167" s="41">
        <v>622303</v>
      </c>
      <c r="BJ167" s="41">
        <v>622373</v>
      </c>
      <c r="BK167" s="41">
        <v>622227</v>
      </c>
      <c r="BL167" s="41">
        <v>622028</v>
      </c>
      <c r="BM167" s="41">
        <v>621718</v>
      </c>
    </row>
    <row r="168" spans="1:65" x14ac:dyDescent="0.35">
      <c r="A168" s="41" t="s">
        <v>430</v>
      </c>
      <c r="B168" s="41" t="s">
        <v>431</v>
      </c>
      <c r="C168" s="41" t="s">
        <v>666</v>
      </c>
      <c r="D168" s="41" t="s">
        <v>667</v>
      </c>
      <c r="E168" s="41">
        <v>955514</v>
      </c>
      <c r="F168" s="41">
        <v>982181</v>
      </c>
      <c r="G168" s="41">
        <v>1011327</v>
      </c>
      <c r="H168" s="41">
        <v>1042387</v>
      </c>
      <c r="I168" s="41">
        <v>1074518</v>
      </c>
      <c r="J168" s="41">
        <v>1107121</v>
      </c>
      <c r="K168" s="41">
        <v>1139962</v>
      </c>
      <c r="L168" s="41">
        <v>1173186</v>
      </c>
      <c r="M168" s="41">
        <v>1207104</v>
      </c>
      <c r="N168" s="41">
        <v>1242213</v>
      </c>
      <c r="O168" s="41">
        <v>1278819</v>
      </c>
      <c r="P168" s="41">
        <v>1317042</v>
      </c>
      <c r="Q168" s="41">
        <v>1356673</v>
      </c>
      <c r="R168" s="41">
        <v>1397305</v>
      </c>
      <c r="S168" s="41">
        <v>1438421</v>
      </c>
      <c r="T168" s="41">
        <v>1479646</v>
      </c>
      <c r="U168" s="41">
        <v>1520868</v>
      </c>
      <c r="V168" s="41">
        <v>1562207</v>
      </c>
      <c r="W168" s="41">
        <v>1603910</v>
      </c>
      <c r="X168" s="41">
        <v>1646290</v>
      </c>
      <c r="Y168" s="41">
        <v>1689622</v>
      </c>
      <c r="Z168" s="41">
        <v>1733475</v>
      </c>
      <c r="AA168" s="41">
        <v>1777727</v>
      </c>
      <c r="AB168" s="41">
        <v>1823214</v>
      </c>
      <c r="AC168" s="41">
        <v>1871089</v>
      </c>
      <c r="AD168" s="41">
        <v>1921889</v>
      </c>
      <c r="AE168" s="41">
        <v>1976313</v>
      </c>
      <c r="AF168" s="41">
        <v>2033351</v>
      </c>
      <c r="AG168" s="41">
        <v>2089709</v>
      </c>
      <c r="AH168" s="41">
        <v>2141005</v>
      </c>
      <c r="AI168" s="41">
        <v>2184139</v>
      </c>
      <c r="AJ168" s="41">
        <v>2217918</v>
      </c>
      <c r="AK168" s="41">
        <v>2243495</v>
      </c>
      <c r="AL168" s="41">
        <v>2263196</v>
      </c>
      <c r="AM168" s="41">
        <v>2280475</v>
      </c>
      <c r="AN168" s="41">
        <v>2298017</v>
      </c>
      <c r="AO168" s="41">
        <v>2316571</v>
      </c>
      <c r="AP168" s="41">
        <v>2335744</v>
      </c>
      <c r="AQ168" s="41">
        <v>2355667</v>
      </c>
      <c r="AR168" s="41">
        <v>2376228</v>
      </c>
      <c r="AS168" s="41">
        <v>2397417</v>
      </c>
      <c r="AT168" s="41">
        <v>2419594</v>
      </c>
      <c r="AU168" s="41">
        <v>2443261</v>
      </c>
      <c r="AV168" s="41">
        <v>2468765</v>
      </c>
      <c r="AW168" s="41">
        <v>2496394</v>
      </c>
      <c r="AX168" s="41">
        <v>2526429</v>
      </c>
      <c r="AY168" s="41">
        <v>2558854</v>
      </c>
      <c r="AZ168" s="41">
        <v>2593819</v>
      </c>
      <c r="BA168" s="41">
        <v>2631899</v>
      </c>
      <c r="BB168" s="41">
        <v>2673794</v>
      </c>
      <c r="BC168" s="41">
        <v>2719902</v>
      </c>
      <c r="BD168" s="41">
        <v>2770357</v>
      </c>
      <c r="BE168" s="41">
        <v>2824698</v>
      </c>
      <c r="BF168" s="41">
        <v>2881783</v>
      </c>
      <c r="BG168" s="41">
        <v>2940111</v>
      </c>
      <c r="BH168" s="41">
        <v>2998433</v>
      </c>
      <c r="BI168" s="41">
        <v>3056358</v>
      </c>
      <c r="BJ168" s="41">
        <v>3113788</v>
      </c>
      <c r="BK168" s="41">
        <v>3170214</v>
      </c>
      <c r="BL168" s="41">
        <v>3225166</v>
      </c>
      <c r="BM168" s="41">
        <v>3278292</v>
      </c>
    </row>
    <row r="169" spans="1:65" x14ac:dyDescent="0.35">
      <c r="A169" s="41" t="s">
        <v>432</v>
      </c>
      <c r="B169" s="41" t="s">
        <v>433</v>
      </c>
      <c r="C169" s="41" t="s">
        <v>666</v>
      </c>
      <c r="D169" s="41" t="s">
        <v>667</v>
      </c>
      <c r="E169" s="41">
        <v>9980</v>
      </c>
      <c r="F169" s="41">
        <v>10243</v>
      </c>
      <c r="G169" s="41">
        <v>10438</v>
      </c>
      <c r="H169" s="41">
        <v>10591</v>
      </c>
      <c r="I169" s="41">
        <v>10780</v>
      </c>
      <c r="J169" s="41">
        <v>11023</v>
      </c>
      <c r="K169" s="41">
        <v>11341</v>
      </c>
      <c r="L169" s="41">
        <v>11723</v>
      </c>
      <c r="M169" s="41">
        <v>12135</v>
      </c>
      <c r="N169" s="41">
        <v>12577</v>
      </c>
      <c r="O169" s="41">
        <v>13000</v>
      </c>
      <c r="P169" s="41">
        <v>13423</v>
      </c>
      <c r="Q169" s="41">
        <v>13884</v>
      </c>
      <c r="R169" s="41">
        <v>14322</v>
      </c>
      <c r="S169" s="41">
        <v>14672</v>
      </c>
      <c r="T169" s="41">
        <v>14917</v>
      </c>
      <c r="U169" s="41">
        <v>15024</v>
      </c>
      <c r="V169" s="41">
        <v>15049</v>
      </c>
      <c r="W169" s="41">
        <v>15167</v>
      </c>
      <c r="X169" s="41">
        <v>15640</v>
      </c>
      <c r="Y169" s="41">
        <v>16633</v>
      </c>
      <c r="Z169" s="41">
        <v>18168</v>
      </c>
      <c r="AA169" s="41">
        <v>20163</v>
      </c>
      <c r="AB169" s="41">
        <v>22622</v>
      </c>
      <c r="AC169" s="41">
        <v>25496</v>
      </c>
      <c r="AD169" s="41">
        <v>28719</v>
      </c>
      <c r="AE169" s="41">
        <v>32377</v>
      </c>
      <c r="AF169" s="41">
        <v>36371</v>
      </c>
      <c r="AG169" s="41">
        <v>40294</v>
      </c>
      <c r="AH169" s="41">
        <v>43542</v>
      </c>
      <c r="AI169" s="41">
        <v>45752</v>
      </c>
      <c r="AJ169" s="41">
        <v>46662</v>
      </c>
      <c r="AK169" s="41">
        <v>46473</v>
      </c>
      <c r="AL169" s="41">
        <v>45763</v>
      </c>
      <c r="AM169" s="41">
        <v>45361</v>
      </c>
      <c r="AN169" s="41">
        <v>45872</v>
      </c>
      <c r="AO169" s="41">
        <v>47518</v>
      </c>
      <c r="AP169" s="41">
        <v>50052</v>
      </c>
      <c r="AQ169" s="41">
        <v>52999</v>
      </c>
      <c r="AR169" s="41">
        <v>55633</v>
      </c>
      <c r="AS169" s="41">
        <v>57453</v>
      </c>
      <c r="AT169" s="41">
        <v>58319</v>
      </c>
      <c r="AU169" s="41">
        <v>58412</v>
      </c>
      <c r="AV169" s="41">
        <v>57954</v>
      </c>
      <c r="AW169" s="41">
        <v>57240</v>
      </c>
      <c r="AX169" s="41">
        <v>56547</v>
      </c>
      <c r="AY169" s="41">
        <v>55886</v>
      </c>
      <c r="AZ169" s="41">
        <v>55215</v>
      </c>
      <c r="BA169" s="41">
        <v>54621</v>
      </c>
      <c r="BB169" s="41">
        <v>54194</v>
      </c>
      <c r="BC169" s="41">
        <v>53971</v>
      </c>
      <c r="BD169" s="41">
        <v>54013</v>
      </c>
      <c r="BE169" s="41">
        <v>54306</v>
      </c>
      <c r="BF169" s="41">
        <v>54786</v>
      </c>
      <c r="BG169" s="41">
        <v>55301</v>
      </c>
      <c r="BH169" s="41">
        <v>55779</v>
      </c>
      <c r="BI169" s="41">
        <v>56187</v>
      </c>
      <c r="BJ169" s="41">
        <v>56553</v>
      </c>
      <c r="BK169" s="41">
        <v>56889</v>
      </c>
      <c r="BL169" s="41">
        <v>57213</v>
      </c>
      <c r="BM169" s="41">
        <v>57557</v>
      </c>
    </row>
    <row r="170" spans="1:65" x14ac:dyDescent="0.35">
      <c r="A170" s="41" t="s">
        <v>434</v>
      </c>
      <c r="B170" s="41" t="s">
        <v>435</v>
      </c>
      <c r="C170" s="41" t="s">
        <v>666</v>
      </c>
      <c r="D170" s="41" t="s">
        <v>667</v>
      </c>
      <c r="E170" s="41">
        <v>7184870</v>
      </c>
      <c r="F170" s="41">
        <v>7342117</v>
      </c>
      <c r="G170" s="41">
        <v>7507309</v>
      </c>
      <c r="H170" s="41">
        <v>7679465</v>
      </c>
      <c r="I170" s="41">
        <v>7857107</v>
      </c>
      <c r="J170" s="41">
        <v>8039217</v>
      </c>
      <c r="K170" s="41">
        <v>8225919</v>
      </c>
      <c r="L170" s="41">
        <v>8417698</v>
      </c>
      <c r="M170" s="41">
        <v>8614445</v>
      </c>
      <c r="N170" s="41">
        <v>8816056</v>
      </c>
      <c r="O170" s="41">
        <v>9022747</v>
      </c>
      <c r="P170" s="41">
        <v>9232655</v>
      </c>
      <c r="Q170" s="41">
        <v>9446235</v>
      </c>
      <c r="R170" s="41">
        <v>9668655</v>
      </c>
      <c r="S170" s="41">
        <v>9906963</v>
      </c>
      <c r="T170" s="41">
        <v>10165216</v>
      </c>
      <c r="U170" s="41">
        <v>10443954</v>
      </c>
      <c r="V170" s="41">
        <v>10738534</v>
      </c>
      <c r="W170" s="41">
        <v>11041206</v>
      </c>
      <c r="X170" s="41">
        <v>11341405</v>
      </c>
      <c r="Y170" s="41">
        <v>11630194</v>
      </c>
      <c r="Z170" s="41">
        <v>11913085</v>
      </c>
      <c r="AA170" s="41">
        <v>12189817</v>
      </c>
      <c r="AB170" s="41">
        <v>12439773</v>
      </c>
      <c r="AC170" s="41">
        <v>12636120</v>
      </c>
      <c r="AD170" s="41">
        <v>12764385</v>
      </c>
      <c r="AE170" s="41">
        <v>12808566</v>
      </c>
      <c r="AF170" s="41">
        <v>12786353</v>
      </c>
      <c r="AG170" s="41">
        <v>12758003</v>
      </c>
      <c r="AH170" s="41">
        <v>12805950</v>
      </c>
      <c r="AI170" s="41">
        <v>12987292</v>
      </c>
      <c r="AJ170" s="41">
        <v>13328029</v>
      </c>
      <c r="AK170" s="41">
        <v>13805999</v>
      </c>
      <c r="AL170" s="41">
        <v>14370950</v>
      </c>
      <c r="AM170" s="41">
        <v>14948050</v>
      </c>
      <c r="AN170" s="41">
        <v>15483277</v>
      </c>
      <c r="AO170" s="41">
        <v>15960445</v>
      </c>
      <c r="AP170" s="41">
        <v>16397175</v>
      </c>
      <c r="AQ170" s="41">
        <v>16813946</v>
      </c>
      <c r="AR170" s="41">
        <v>17244176</v>
      </c>
      <c r="AS170" s="41">
        <v>17711925</v>
      </c>
      <c r="AT170" s="41">
        <v>18221884</v>
      </c>
      <c r="AU170" s="41">
        <v>18764147</v>
      </c>
      <c r="AV170" s="41">
        <v>19331097</v>
      </c>
      <c r="AW170" s="41">
        <v>19910549</v>
      </c>
      <c r="AX170" s="41">
        <v>20493927</v>
      </c>
      <c r="AY170" s="41">
        <v>21080108</v>
      </c>
      <c r="AZ170" s="41">
        <v>21673319</v>
      </c>
      <c r="BA170" s="41">
        <v>22276596</v>
      </c>
      <c r="BB170" s="41">
        <v>22894718</v>
      </c>
      <c r="BC170" s="41">
        <v>23531567</v>
      </c>
      <c r="BD170" s="41">
        <v>24187500</v>
      </c>
      <c r="BE170" s="41">
        <v>24862673</v>
      </c>
      <c r="BF170" s="41">
        <v>25560752</v>
      </c>
      <c r="BG170" s="41">
        <v>26286192</v>
      </c>
      <c r="BH170" s="41">
        <v>27042001</v>
      </c>
      <c r="BI170" s="41">
        <v>27829930</v>
      </c>
      <c r="BJ170" s="41">
        <v>28649007</v>
      </c>
      <c r="BK170" s="41">
        <v>29496009</v>
      </c>
      <c r="BL170" s="41">
        <v>30366043</v>
      </c>
      <c r="BM170" s="41">
        <v>31255435</v>
      </c>
    </row>
    <row r="171" spans="1:65" x14ac:dyDescent="0.35">
      <c r="A171" s="41" t="s">
        <v>436</v>
      </c>
      <c r="B171" s="41" t="s">
        <v>437</v>
      </c>
      <c r="C171" s="41" t="s">
        <v>666</v>
      </c>
      <c r="D171" s="41" t="s">
        <v>667</v>
      </c>
      <c r="E171" s="41">
        <v>850377</v>
      </c>
      <c r="F171" s="41">
        <v>875586</v>
      </c>
      <c r="G171" s="41">
        <v>901690</v>
      </c>
      <c r="H171" s="41">
        <v>928742</v>
      </c>
      <c r="I171" s="41">
        <v>956794</v>
      </c>
      <c r="J171" s="41">
        <v>985907</v>
      </c>
      <c r="K171" s="41">
        <v>1016093</v>
      </c>
      <c r="L171" s="41">
        <v>1047345</v>
      </c>
      <c r="M171" s="41">
        <v>1079580</v>
      </c>
      <c r="N171" s="41">
        <v>1112749</v>
      </c>
      <c r="O171" s="41">
        <v>1146776</v>
      </c>
      <c r="P171" s="41">
        <v>1181659</v>
      </c>
      <c r="Q171" s="41">
        <v>1217443</v>
      </c>
      <c r="R171" s="41">
        <v>1254156</v>
      </c>
      <c r="S171" s="41">
        <v>1291857</v>
      </c>
      <c r="T171" s="41">
        <v>1330594</v>
      </c>
      <c r="U171" s="41">
        <v>1370364</v>
      </c>
      <c r="V171" s="41">
        <v>1411139</v>
      </c>
      <c r="W171" s="41">
        <v>1453028</v>
      </c>
      <c r="X171" s="41">
        <v>1496174</v>
      </c>
      <c r="Y171" s="41">
        <v>1540644</v>
      </c>
      <c r="Z171" s="41">
        <v>1586496</v>
      </c>
      <c r="AA171" s="41">
        <v>1633655</v>
      </c>
      <c r="AB171" s="41">
        <v>1681859</v>
      </c>
      <c r="AC171" s="41">
        <v>1730737</v>
      </c>
      <c r="AD171" s="41">
        <v>1780033</v>
      </c>
      <c r="AE171" s="41">
        <v>1829678</v>
      </c>
      <c r="AF171" s="41">
        <v>1879756</v>
      </c>
      <c r="AG171" s="41">
        <v>1930427</v>
      </c>
      <c r="AH171" s="41">
        <v>1981902</v>
      </c>
      <c r="AI171" s="41">
        <v>2034347</v>
      </c>
      <c r="AJ171" s="41">
        <v>2087914</v>
      </c>
      <c r="AK171" s="41">
        <v>2142645</v>
      </c>
      <c r="AL171" s="41">
        <v>2198538</v>
      </c>
      <c r="AM171" s="41">
        <v>2255520</v>
      </c>
      <c r="AN171" s="41">
        <v>2313630</v>
      </c>
      <c r="AO171" s="41">
        <v>2372900</v>
      </c>
      <c r="AP171" s="41">
        <v>2433567</v>
      </c>
      <c r="AQ171" s="41">
        <v>2496217</v>
      </c>
      <c r="AR171" s="41">
        <v>2561584</v>
      </c>
      <c r="AS171" s="41">
        <v>2630217</v>
      </c>
      <c r="AT171" s="41">
        <v>2702405</v>
      </c>
      <c r="AU171" s="41">
        <v>2778097</v>
      </c>
      <c r="AV171" s="41">
        <v>2857150</v>
      </c>
      <c r="AW171" s="41">
        <v>2939246</v>
      </c>
      <c r="AX171" s="41">
        <v>3024198</v>
      </c>
      <c r="AY171" s="41">
        <v>3111908</v>
      </c>
      <c r="AZ171" s="41">
        <v>3202512</v>
      </c>
      <c r="BA171" s="41">
        <v>3296237</v>
      </c>
      <c r="BB171" s="41">
        <v>3393408</v>
      </c>
      <c r="BC171" s="41">
        <v>3494200</v>
      </c>
      <c r="BD171" s="41">
        <v>3598646</v>
      </c>
      <c r="BE171" s="41">
        <v>3706555</v>
      </c>
      <c r="BF171" s="41">
        <v>3817497</v>
      </c>
      <c r="BG171" s="41">
        <v>3930894</v>
      </c>
      <c r="BH171" s="41">
        <v>4046304</v>
      </c>
      <c r="BI171" s="41">
        <v>4163532</v>
      </c>
      <c r="BJ171" s="41">
        <v>4282582</v>
      </c>
      <c r="BK171" s="41">
        <v>4403312</v>
      </c>
      <c r="BL171" s="41">
        <v>4525698</v>
      </c>
      <c r="BM171" s="41">
        <v>4649660</v>
      </c>
    </row>
    <row r="172" spans="1:65" x14ac:dyDescent="0.35">
      <c r="A172" s="41" t="s">
        <v>438</v>
      </c>
      <c r="B172" s="41" t="s">
        <v>439</v>
      </c>
      <c r="C172" s="41" t="s">
        <v>666</v>
      </c>
      <c r="D172" s="41" t="s">
        <v>667</v>
      </c>
      <c r="E172" s="41">
        <v>659351</v>
      </c>
      <c r="F172" s="41">
        <v>680757</v>
      </c>
      <c r="G172" s="41">
        <v>700349</v>
      </c>
      <c r="H172" s="41">
        <v>718861</v>
      </c>
      <c r="I172" s="41">
        <v>736381</v>
      </c>
      <c r="J172" s="41">
        <v>753000</v>
      </c>
      <c r="K172" s="41">
        <v>768813</v>
      </c>
      <c r="L172" s="41">
        <v>783917</v>
      </c>
      <c r="M172" s="41">
        <v>798413</v>
      </c>
      <c r="N172" s="41">
        <v>812405</v>
      </c>
      <c r="O172" s="41">
        <v>826000</v>
      </c>
      <c r="P172" s="41">
        <v>839230</v>
      </c>
      <c r="Q172" s="41">
        <v>852053</v>
      </c>
      <c r="R172" s="41">
        <v>864819</v>
      </c>
      <c r="S172" s="41">
        <v>878042</v>
      </c>
      <c r="T172" s="41">
        <v>892000</v>
      </c>
      <c r="U172" s="41">
        <v>906507</v>
      </c>
      <c r="V172" s="41">
        <v>921379</v>
      </c>
      <c r="W172" s="41">
        <v>933499</v>
      </c>
      <c r="X172" s="41">
        <v>949888</v>
      </c>
      <c r="Y172" s="41">
        <v>966039</v>
      </c>
      <c r="Z172" s="41">
        <v>980462</v>
      </c>
      <c r="AA172" s="41">
        <v>992521</v>
      </c>
      <c r="AB172" s="41">
        <v>1001691</v>
      </c>
      <c r="AC172" s="41">
        <v>1012221</v>
      </c>
      <c r="AD172" s="41">
        <v>1020528</v>
      </c>
      <c r="AE172" s="41">
        <v>1028360</v>
      </c>
      <c r="AF172" s="41">
        <v>1036082</v>
      </c>
      <c r="AG172" s="41">
        <v>1043239</v>
      </c>
      <c r="AH172" s="41">
        <v>1051260</v>
      </c>
      <c r="AI172" s="41">
        <v>1058775</v>
      </c>
      <c r="AJ172" s="41">
        <v>1070266</v>
      </c>
      <c r="AK172" s="41">
        <v>1084441</v>
      </c>
      <c r="AL172" s="41">
        <v>1097374</v>
      </c>
      <c r="AM172" s="41">
        <v>1112846</v>
      </c>
      <c r="AN172" s="41">
        <v>1122457</v>
      </c>
      <c r="AO172" s="41">
        <v>1133996</v>
      </c>
      <c r="AP172" s="41">
        <v>1148284</v>
      </c>
      <c r="AQ172" s="41">
        <v>1160421</v>
      </c>
      <c r="AR172" s="41">
        <v>1175267</v>
      </c>
      <c r="AS172" s="41">
        <v>1186873</v>
      </c>
      <c r="AT172" s="41">
        <v>1196287</v>
      </c>
      <c r="AU172" s="41">
        <v>1204621</v>
      </c>
      <c r="AV172" s="41">
        <v>1213370</v>
      </c>
      <c r="AW172" s="41">
        <v>1221003</v>
      </c>
      <c r="AX172" s="41">
        <v>1228254</v>
      </c>
      <c r="AY172" s="41">
        <v>1233996</v>
      </c>
      <c r="AZ172" s="41">
        <v>1239630</v>
      </c>
      <c r="BA172" s="41">
        <v>1244121</v>
      </c>
      <c r="BB172" s="41">
        <v>1247429</v>
      </c>
      <c r="BC172" s="41">
        <v>1250400</v>
      </c>
      <c r="BD172" s="41">
        <v>1252404</v>
      </c>
      <c r="BE172" s="41">
        <v>1255882</v>
      </c>
      <c r="BF172" s="41">
        <v>1258653</v>
      </c>
      <c r="BG172" s="41">
        <v>1260934</v>
      </c>
      <c r="BH172" s="41">
        <v>1262605</v>
      </c>
      <c r="BI172" s="41">
        <v>1263473</v>
      </c>
      <c r="BJ172" s="41">
        <v>1264613</v>
      </c>
      <c r="BK172" s="41">
        <v>1265303</v>
      </c>
      <c r="BL172" s="41">
        <v>1265711</v>
      </c>
      <c r="BM172" s="41">
        <v>1265740</v>
      </c>
    </row>
    <row r="173" spans="1:65" x14ac:dyDescent="0.35">
      <c r="A173" s="41" t="s">
        <v>16</v>
      </c>
      <c r="B173" s="41" t="s">
        <v>440</v>
      </c>
      <c r="C173" s="41" t="s">
        <v>666</v>
      </c>
      <c r="D173" s="41" t="s">
        <v>667</v>
      </c>
      <c r="E173" s="41">
        <v>3659980</v>
      </c>
      <c r="F173" s="41">
        <v>3747758</v>
      </c>
      <c r="G173" s="41">
        <v>3839047</v>
      </c>
      <c r="H173" s="41">
        <v>3933914</v>
      </c>
      <c r="I173" s="41">
        <v>4032364</v>
      </c>
      <c r="J173" s="41">
        <v>4134464</v>
      </c>
      <c r="K173" s="41">
        <v>4240430</v>
      </c>
      <c r="L173" s="41">
        <v>4350456</v>
      </c>
      <c r="M173" s="41">
        <v>4464427</v>
      </c>
      <c r="N173" s="41">
        <v>4582197</v>
      </c>
      <c r="O173" s="41">
        <v>4703783</v>
      </c>
      <c r="P173" s="41">
        <v>4829092</v>
      </c>
      <c r="Q173" s="41">
        <v>4958556</v>
      </c>
      <c r="R173" s="41">
        <v>5093368</v>
      </c>
      <c r="S173" s="41">
        <v>5235074</v>
      </c>
      <c r="T173" s="41">
        <v>5384798</v>
      </c>
      <c r="U173" s="41">
        <v>5545653</v>
      </c>
      <c r="V173" s="41">
        <v>5717954</v>
      </c>
      <c r="W173" s="41">
        <v>5896864</v>
      </c>
      <c r="X173" s="41">
        <v>6075485</v>
      </c>
      <c r="Y173" s="41">
        <v>6250434</v>
      </c>
      <c r="Z173" s="41">
        <v>6412380</v>
      </c>
      <c r="AA173" s="41">
        <v>6565985</v>
      </c>
      <c r="AB173" s="41">
        <v>6737924</v>
      </c>
      <c r="AC173" s="41">
        <v>6964613</v>
      </c>
      <c r="AD173" s="41">
        <v>7268271</v>
      </c>
      <c r="AE173" s="41">
        <v>7666390</v>
      </c>
      <c r="AF173" s="41">
        <v>8141140</v>
      </c>
      <c r="AG173" s="41">
        <v>8636686</v>
      </c>
      <c r="AH173" s="41">
        <v>9075568</v>
      </c>
      <c r="AI173" s="41">
        <v>9404499</v>
      </c>
      <c r="AJ173" s="41">
        <v>9600361</v>
      </c>
      <c r="AK173" s="41">
        <v>9685974</v>
      </c>
      <c r="AL173" s="41">
        <v>9710335</v>
      </c>
      <c r="AM173" s="41">
        <v>9745695</v>
      </c>
      <c r="AN173" s="41">
        <v>9844418</v>
      </c>
      <c r="AO173" s="41">
        <v>10022783</v>
      </c>
      <c r="AP173" s="41">
        <v>10264906</v>
      </c>
      <c r="AQ173" s="41">
        <v>10552345</v>
      </c>
      <c r="AR173" s="41">
        <v>10854325</v>
      </c>
      <c r="AS173" s="41">
        <v>11148751</v>
      </c>
      <c r="AT173" s="41">
        <v>11432001</v>
      </c>
      <c r="AU173" s="41">
        <v>11713663</v>
      </c>
      <c r="AV173" s="41">
        <v>12000183</v>
      </c>
      <c r="AW173" s="41">
        <v>12301837</v>
      </c>
      <c r="AX173" s="41">
        <v>12625950</v>
      </c>
      <c r="AY173" s="41">
        <v>12973693</v>
      </c>
      <c r="AZ173" s="41">
        <v>13341808</v>
      </c>
      <c r="BA173" s="41">
        <v>13727899</v>
      </c>
      <c r="BB173" s="41">
        <v>14128161</v>
      </c>
      <c r="BC173" s="41">
        <v>14539609</v>
      </c>
      <c r="BD173" s="41">
        <v>14962118</v>
      </c>
      <c r="BE173" s="41">
        <v>15396010</v>
      </c>
      <c r="BF173" s="41">
        <v>15839287</v>
      </c>
      <c r="BG173" s="41">
        <v>16289550</v>
      </c>
      <c r="BH173" s="41">
        <v>16745305</v>
      </c>
      <c r="BI173" s="41">
        <v>17205253</v>
      </c>
      <c r="BJ173" s="41">
        <v>17670193</v>
      </c>
      <c r="BK173" s="41">
        <v>18143215</v>
      </c>
      <c r="BL173" s="41">
        <v>18628749</v>
      </c>
      <c r="BM173" s="41">
        <v>19129955</v>
      </c>
    </row>
    <row r="174" spans="1:65" x14ac:dyDescent="0.35">
      <c r="A174" s="41" t="s">
        <v>441</v>
      </c>
      <c r="B174" s="41" t="s">
        <v>442</v>
      </c>
      <c r="C174" s="41" t="s">
        <v>666</v>
      </c>
      <c r="D174" s="41" t="s">
        <v>667</v>
      </c>
      <c r="E174" s="41">
        <v>8156342</v>
      </c>
      <c r="F174" s="41">
        <v>8417821</v>
      </c>
      <c r="G174" s="41">
        <v>8692337</v>
      </c>
      <c r="H174" s="41">
        <v>8973791</v>
      </c>
      <c r="I174" s="41">
        <v>9253827</v>
      </c>
      <c r="J174" s="41">
        <v>9526558</v>
      </c>
      <c r="K174" s="41">
        <v>9790083</v>
      </c>
      <c r="L174" s="41">
        <v>10046321</v>
      </c>
      <c r="M174" s="41">
        <v>10297983</v>
      </c>
      <c r="N174" s="41">
        <v>10549395</v>
      </c>
      <c r="O174" s="41">
        <v>10804131</v>
      </c>
      <c r="P174" s="41">
        <v>11062434</v>
      </c>
      <c r="Q174" s="41">
        <v>11324277</v>
      </c>
      <c r="R174" s="41">
        <v>11592638</v>
      </c>
      <c r="S174" s="41">
        <v>11871102</v>
      </c>
      <c r="T174" s="41">
        <v>12162189</v>
      </c>
      <c r="U174" s="41">
        <v>12468688</v>
      </c>
      <c r="V174" s="41">
        <v>12790313</v>
      </c>
      <c r="W174" s="41">
        <v>13122833</v>
      </c>
      <c r="X174" s="41">
        <v>13460035</v>
      </c>
      <c r="Y174" s="41">
        <v>13798094</v>
      </c>
      <c r="Z174" s="41">
        <v>14134060</v>
      </c>
      <c r="AA174" s="41">
        <v>14471215</v>
      </c>
      <c r="AB174" s="41">
        <v>14819430</v>
      </c>
      <c r="AC174" s="41">
        <v>15192300</v>
      </c>
      <c r="AD174" s="41">
        <v>15598924</v>
      </c>
      <c r="AE174" s="41">
        <v>16043736</v>
      </c>
      <c r="AF174" s="41">
        <v>16522004</v>
      </c>
      <c r="AG174" s="41">
        <v>17022470</v>
      </c>
      <c r="AH174" s="41">
        <v>17528961</v>
      </c>
      <c r="AI174" s="41">
        <v>18029824</v>
      </c>
      <c r="AJ174" s="41">
        <v>18519941</v>
      </c>
      <c r="AK174" s="41">
        <v>19002660</v>
      </c>
      <c r="AL174" s="41">
        <v>19484901</v>
      </c>
      <c r="AM174" s="41">
        <v>19977508</v>
      </c>
      <c r="AN174" s="41">
        <v>20487604</v>
      </c>
      <c r="AO174" s="41">
        <v>21017619</v>
      </c>
      <c r="AP174" s="41">
        <v>21562790</v>
      </c>
      <c r="AQ174" s="41">
        <v>22114647</v>
      </c>
      <c r="AR174" s="41">
        <v>22661293</v>
      </c>
      <c r="AS174" s="41">
        <v>23194252</v>
      </c>
      <c r="AT174" s="41">
        <v>23709115</v>
      </c>
      <c r="AU174" s="41">
        <v>24208391</v>
      </c>
      <c r="AV174" s="41">
        <v>24698821</v>
      </c>
      <c r="AW174" s="41">
        <v>25190647</v>
      </c>
      <c r="AX174" s="41">
        <v>25690615</v>
      </c>
      <c r="AY174" s="41">
        <v>26201954</v>
      </c>
      <c r="AZ174" s="41">
        <v>26720367</v>
      </c>
      <c r="BA174" s="41">
        <v>27236003</v>
      </c>
      <c r="BB174" s="41">
        <v>27735038</v>
      </c>
      <c r="BC174" s="41">
        <v>28208028</v>
      </c>
      <c r="BD174" s="41">
        <v>28650962</v>
      </c>
      <c r="BE174" s="41">
        <v>29068189</v>
      </c>
      <c r="BF174" s="41">
        <v>29468923</v>
      </c>
      <c r="BG174" s="41">
        <v>29866606</v>
      </c>
      <c r="BH174" s="41">
        <v>30270965</v>
      </c>
      <c r="BI174" s="41">
        <v>30684652</v>
      </c>
      <c r="BJ174" s="41">
        <v>31104655</v>
      </c>
      <c r="BK174" s="41">
        <v>31528033</v>
      </c>
      <c r="BL174" s="41">
        <v>31949789</v>
      </c>
      <c r="BM174" s="41">
        <v>32365998</v>
      </c>
    </row>
    <row r="175" spans="1:65" x14ac:dyDescent="0.35">
      <c r="A175" s="41" t="s">
        <v>443</v>
      </c>
      <c r="B175" s="41" t="s">
        <v>444</v>
      </c>
      <c r="C175" s="41" t="s">
        <v>666</v>
      </c>
      <c r="D175" s="41" t="s">
        <v>667</v>
      </c>
      <c r="E175" s="41">
        <v>198624409</v>
      </c>
      <c r="F175" s="41">
        <v>202007500</v>
      </c>
      <c r="G175" s="41">
        <v>205198600</v>
      </c>
      <c r="H175" s="41">
        <v>208253700</v>
      </c>
      <c r="I175" s="41">
        <v>211262900</v>
      </c>
      <c r="J175" s="41">
        <v>214031100</v>
      </c>
      <c r="K175" s="41">
        <v>216659000</v>
      </c>
      <c r="L175" s="41">
        <v>219176000</v>
      </c>
      <c r="M175" s="41">
        <v>221503000</v>
      </c>
      <c r="N175" s="41">
        <v>223759000</v>
      </c>
      <c r="O175" s="41">
        <v>226431000</v>
      </c>
      <c r="P175" s="41">
        <v>229677632</v>
      </c>
      <c r="Q175" s="41">
        <v>232168663</v>
      </c>
      <c r="R175" s="41">
        <v>234454577</v>
      </c>
      <c r="S175" s="41">
        <v>236715369</v>
      </c>
      <c r="T175" s="41">
        <v>239169275</v>
      </c>
      <c r="U175" s="41">
        <v>241538008</v>
      </c>
      <c r="V175" s="41">
        <v>244018243</v>
      </c>
      <c r="W175" s="41">
        <v>246601803</v>
      </c>
      <c r="X175" s="41">
        <v>249310344</v>
      </c>
      <c r="Y175" s="41">
        <v>251795337</v>
      </c>
      <c r="Z175" s="41">
        <v>254340965</v>
      </c>
      <c r="AA175" s="41">
        <v>256836391</v>
      </c>
      <c r="AB175" s="41">
        <v>259214381</v>
      </c>
      <c r="AC175" s="41">
        <v>261488476</v>
      </c>
      <c r="AD175" s="41">
        <v>263823014</v>
      </c>
      <c r="AE175" s="41">
        <v>266290660</v>
      </c>
      <c r="AF175" s="41">
        <v>268793450</v>
      </c>
      <c r="AG175" s="41">
        <v>271349094</v>
      </c>
      <c r="AH175" s="41">
        <v>274154622</v>
      </c>
      <c r="AI175" s="41">
        <v>277373464</v>
      </c>
      <c r="AJ175" s="41">
        <v>281077441</v>
      </c>
      <c r="AK175" s="41">
        <v>284943859</v>
      </c>
      <c r="AL175" s="41">
        <v>288662674</v>
      </c>
      <c r="AM175" s="41">
        <v>292185983</v>
      </c>
      <c r="AN175" s="41">
        <v>295640057</v>
      </c>
      <c r="AO175" s="41">
        <v>299064347</v>
      </c>
      <c r="AP175" s="41">
        <v>302623445</v>
      </c>
      <c r="AQ175" s="41">
        <v>306070116</v>
      </c>
      <c r="AR175" s="41">
        <v>309502571</v>
      </c>
      <c r="AS175" s="41">
        <v>312909974</v>
      </c>
      <c r="AT175" s="41">
        <v>316052361</v>
      </c>
      <c r="AU175" s="41">
        <v>319048184</v>
      </c>
      <c r="AV175" s="41">
        <v>321815286</v>
      </c>
      <c r="AW175" s="41">
        <v>324809693</v>
      </c>
      <c r="AX175" s="41">
        <v>327824506</v>
      </c>
      <c r="AY175" s="41">
        <v>331015609</v>
      </c>
      <c r="AZ175" s="41">
        <v>334185120</v>
      </c>
      <c r="BA175" s="41">
        <v>337406357</v>
      </c>
      <c r="BB175" s="41">
        <v>340466060</v>
      </c>
      <c r="BC175" s="41">
        <v>343397156</v>
      </c>
      <c r="BD175" s="41">
        <v>345987373</v>
      </c>
      <c r="BE175" s="41">
        <v>348656682</v>
      </c>
      <c r="BF175" s="41">
        <v>351207902</v>
      </c>
      <c r="BG175" s="41">
        <v>353888902</v>
      </c>
      <c r="BH175" s="41">
        <v>356507139</v>
      </c>
      <c r="BI175" s="41">
        <v>359245796</v>
      </c>
      <c r="BJ175" s="41">
        <v>361731296</v>
      </c>
      <c r="BK175" s="41">
        <v>363967296</v>
      </c>
      <c r="BL175" s="41">
        <v>365987250</v>
      </c>
      <c r="BM175" s="41">
        <v>367553264</v>
      </c>
    </row>
    <row r="176" spans="1:65" x14ac:dyDescent="0.35">
      <c r="A176" s="41" t="s">
        <v>445</v>
      </c>
      <c r="B176" s="41" t="s">
        <v>446</v>
      </c>
      <c r="C176" s="41" t="s">
        <v>666</v>
      </c>
      <c r="D176" s="41" t="s">
        <v>667</v>
      </c>
      <c r="E176" s="41">
        <v>634138</v>
      </c>
      <c r="F176" s="41">
        <v>649274</v>
      </c>
      <c r="G176" s="41">
        <v>665119</v>
      </c>
      <c r="H176" s="41">
        <v>681633</v>
      </c>
      <c r="I176" s="41">
        <v>698797</v>
      </c>
      <c r="J176" s="41">
        <v>716588</v>
      </c>
      <c r="K176" s="41">
        <v>734866</v>
      </c>
      <c r="L176" s="41">
        <v>753683</v>
      </c>
      <c r="M176" s="41">
        <v>773428</v>
      </c>
      <c r="N176" s="41">
        <v>794588</v>
      </c>
      <c r="O176" s="41">
        <v>817474</v>
      </c>
      <c r="P176" s="41">
        <v>842353</v>
      </c>
      <c r="Q176" s="41">
        <v>868954</v>
      </c>
      <c r="R176" s="41">
        <v>896264</v>
      </c>
      <c r="S176" s="41">
        <v>922900</v>
      </c>
      <c r="T176" s="41">
        <v>947925</v>
      </c>
      <c r="U176" s="41">
        <v>971117</v>
      </c>
      <c r="V176" s="41">
        <v>992955</v>
      </c>
      <c r="W176" s="41">
        <v>1014055</v>
      </c>
      <c r="X176" s="41">
        <v>1035379</v>
      </c>
      <c r="Y176" s="41">
        <v>1057723</v>
      </c>
      <c r="Z176" s="41">
        <v>1080938</v>
      </c>
      <c r="AA176" s="41">
        <v>1105103</v>
      </c>
      <c r="AB176" s="41">
        <v>1131624</v>
      </c>
      <c r="AC176" s="41">
        <v>1162282</v>
      </c>
      <c r="AD176" s="41">
        <v>1198149</v>
      </c>
      <c r="AE176" s="41">
        <v>1239923</v>
      </c>
      <c r="AF176" s="41">
        <v>1286796</v>
      </c>
      <c r="AG176" s="41">
        <v>1336545</v>
      </c>
      <c r="AH176" s="41">
        <v>1386011</v>
      </c>
      <c r="AI176" s="41">
        <v>1432899</v>
      </c>
      <c r="AJ176" s="41">
        <v>1476399</v>
      </c>
      <c r="AK176" s="41">
        <v>1516951</v>
      </c>
      <c r="AL176" s="41">
        <v>1555098</v>
      </c>
      <c r="AM176" s="41">
        <v>1591826</v>
      </c>
      <c r="AN176" s="41">
        <v>1627866</v>
      </c>
      <c r="AO176" s="41">
        <v>1663378</v>
      </c>
      <c r="AP176" s="41">
        <v>1698029</v>
      </c>
      <c r="AQ176" s="41">
        <v>1731635</v>
      </c>
      <c r="AR176" s="41">
        <v>1763861</v>
      </c>
      <c r="AS176" s="41">
        <v>1794583</v>
      </c>
      <c r="AT176" s="41">
        <v>1823667</v>
      </c>
      <c r="AU176" s="41">
        <v>1851519</v>
      </c>
      <c r="AV176" s="41">
        <v>1879113</v>
      </c>
      <c r="AW176" s="41">
        <v>1907737</v>
      </c>
      <c r="AX176" s="41">
        <v>1938316</v>
      </c>
      <c r="AY176" s="41">
        <v>1971318</v>
      </c>
      <c r="AZ176" s="41">
        <v>2006516</v>
      </c>
      <c r="BA176" s="41">
        <v>2043382</v>
      </c>
      <c r="BB176" s="41">
        <v>2081039</v>
      </c>
      <c r="BC176" s="41">
        <v>2118877</v>
      </c>
      <c r="BD176" s="41">
        <v>2156698</v>
      </c>
      <c r="BE176" s="41">
        <v>2194777</v>
      </c>
      <c r="BF176" s="41">
        <v>2233506</v>
      </c>
      <c r="BG176" s="41">
        <v>2273426</v>
      </c>
      <c r="BH176" s="41">
        <v>2314901</v>
      </c>
      <c r="BI176" s="41">
        <v>2358044</v>
      </c>
      <c r="BJ176" s="41">
        <v>2402623</v>
      </c>
      <c r="BK176" s="41">
        <v>2448300</v>
      </c>
      <c r="BL176" s="41">
        <v>2494524</v>
      </c>
      <c r="BM176" s="41">
        <v>2540916</v>
      </c>
    </row>
    <row r="177" spans="1:65" x14ac:dyDescent="0.35">
      <c r="A177" s="41" t="s">
        <v>447</v>
      </c>
      <c r="B177" s="41" t="s">
        <v>448</v>
      </c>
      <c r="C177" s="41" t="s">
        <v>666</v>
      </c>
      <c r="D177" s="41" t="s">
        <v>667</v>
      </c>
      <c r="E177" s="41">
        <v>79000</v>
      </c>
      <c r="F177" s="41">
        <v>81200</v>
      </c>
      <c r="G177" s="41">
        <v>83400</v>
      </c>
      <c r="H177" s="41">
        <v>85700</v>
      </c>
      <c r="I177" s="41">
        <v>88100</v>
      </c>
      <c r="J177" s="41">
        <v>90500</v>
      </c>
      <c r="K177" s="41">
        <v>93500</v>
      </c>
      <c r="L177" s="41">
        <v>96500</v>
      </c>
      <c r="M177" s="41">
        <v>99500</v>
      </c>
      <c r="N177" s="41">
        <v>104000</v>
      </c>
      <c r="O177" s="41">
        <v>112000</v>
      </c>
      <c r="P177" s="41">
        <v>120000</v>
      </c>
      <c r="Q177" s="41">
        <v>125500</v>
      </c>
      <c r="R177" s="41">
        <v>128500</v>
      </c>
      <c r="S177" s="41">
        <v>131000</v>
      </c>
      <c r="T177" s="41">
        <v>132500</v>
      </c>
      <c r="U177" s="41">
        <v>134000</v>
      </c>
      <c r="V177" s="41">
        <v>136000</v>
      </c>
      <c r="W177" s="41">
        <v>137500</v>
      </c>
      <c r="X177" s="41">
        <v>138500</v>
      </c>
      <c r="Y177" s="41">
        <v>140050</v>
      </c>
      <c r="Z177" s="41">
        <v>142650</v>
      </c>
      <c r="AA177" s="41">
        <v>145700</v>
      </c>
      <c r="AB177" s="41">
        <v>148700</v>
      </c>
      <c r="AC177" s="41">
        <v>151650</v>
      </c>
      <c r="AD177" s="41">
        <v>154450</v>
      </c>
      <c r="AE177" s="41">
        <v>157350</v>
      </c>
      <c r="AF177" s="41">
        <v>160500</v>
      </c>
      <c r="AG177" s="41">
        <v>163650</v>
      </c>
      <c r="AH177" s="41">
        <v>166898</v>
      </c>
      <c r="AI177" s="41">
        <v>170899</v>
      </c>
      <c r="AJ177" s="41">
        <v>175362</v>
      </c>
      <c r="AK177" s="41">
        <v>179799</v>
      </c>
      <c r="AL177" s="41">
        <v>184496</v>
      </c>
      <c r="AM177" s="41">
        <v>189482</v>
      </c>
      <c r="AN177" s="41">
        <v>193816</v>
      </c>
      <c r="AO177" s="41">
        <v>197564</v>
      </c>
      <c r="AP177" s="41">
        <v>201418</v>
      </c>
      <c r="AQ177" s="41">
        <v>205279</v>
      </c>
      <c r="AR177" s="41">
        <v>209214</v>
      </c>
      <c r="AS177" s="41">
        <v>213230</v>
      </c>
      <c r="AT177" s="41">
        <v>217324</v>
      </c>
      <c r="AU177" s="41">
        <v>221490</v>
      </c>
      <c r="AV177" s="41">
        <v>225296</v>
      </c>
      <c r="AW177" s="41">
        <v>228750</v>
      </c>
      <c r="AX177" s="41">
        <v>232250</v>
      </c>
      <c r="AY177" s="41">
        <v>235750</v>
      </c>
      <c r="AZ177" s="41">
        <v>239250</v>
      </c>
      <c r="BA177" s="41">
        <v>242750</v>
      </c>
      <c r="BB177" s="41">
        <v>245950</v>
      </c>
      <c r="BC177" s="41">
        <v>249750</v>
      </c>
      <c r="BD177" s="41">
        <v>254350</v>
      </c>
      <c r="BE177" s="41">
        <v>259000</v>
      </c>
      <c r="BF177" s="41">
        <v>263650</v>
      </c>
      <c r="BG177" s="41">
        <v>268050</v>
      </c>
      <c r="BH177" s="41">
        <v>268700</v>
      </c>
      <c r="BI177" s="41">
        <v>269350</v>
      </c>
      <c r="BJ177" s="41">
        <v>270000</v>
      </c>
      <c r="BK177" s="41">
        <v>270650</v>
      </c>
      <c r="BL177" s="41">
        <v>271300</v>
      </c>
      <c r="BM177" s="41">
        <v>271960</v>
      </c>
    </row>
    <row r="178" spans="1:65" x14ac:dyDescent="0.35">
      <c r="A178" s="41" t="s">
        <v>449</v>
      </c>
      <c r="B178" s="41" t="s">
        <v>450</v>
      </c>
      <c r="C178" s="41" t="s">
        <v>666</v>
      </c>
      <c r="D178" s="41" t="s">
        <v>667</v>
      </c>
      <c r="E178" s="41">
        <v>3388774</v>
      </c>
      <c r="F178" s="41">
        <v>3486322</v>
      </c>
      <c r="G178" s="41">
        <v>3588228</v>
      </c>
      <c r="H178" s="41">
        <v>3693985</v>
      </c>
      <c r="I178" s="41">
        <v>3802802</v>
      </c>
      <c r="J178" s="41">
        <v>3914118</v>
      </c>
      <c r="K178" s="41">
        <v>4027969</v>
      </c>
      <c r="L178" s="41">
        <v>4144588</v>
      </c>
      <c r="M178" s="41">
        <v>4263925</v>
      </c>
      <c r="N178" s="41">
        <v>4385925</v>
      </c>
      <c r="O178" s="41">
        <v>4510645</v>
      </c>
      <c r="P178" s="41">
        <v>4637984</v>
      </c>
      <c r="Q178" s="41">
        <v>4768225</v>
      </c>
      <c r="R178" s="41">
        <v>4902151</v>
      </c>
      <c r="S178" s="41">
        <v>5040795</v>
      </c>
      <c r="T178" s="41">
        <v>5184940</v>
      </c>
      <c r="U178" s="41">
        <v>5335083</v>
      </c>
      <c r="V178" s="41">
        <v>5491158</v>
      </c>
      <c r="W178" s="41">
        <v>5652655</v>
      </c>
      <c r="X178" s="41">
        <v>5818763</v>
      </c>
      <c r="Y178" s="41">
        <v>5989000</v>
      </c>
      <c r="Z178" s="41">
        <v>6163711</v>
      </c>
      <c r="AA178" s="41">
        <v>6343530</v>
      </c>
      <c r="AB178" s="41">
        <v>6528646</v>
      </c>
      <c r="AC178" s="41">
        <v>6719310</v>
      </c>
      <c r="AD178" s="41">
        <v>6915994</v>
      </c>
      <c r="AE178" s="41">
        <v>7118885</v>
      </c>
      <c r="AF178" s="41">
        <v>7328934</v>
      </c>
      <c r="AG178" s="41">
        <v>7548429</v>
      </c>
      <c r="AH178" s="41">
        <v>7780242</v>
      </c>
      <c r="AI178" s="41">
        <v>8026592</v>
      </c>
      <c r="AJ178" s="41">
        <v>8288739</v>
      </c>
      <c r="AK178" s="41">
        <v>8566773</v>
      </c>
      <c r="AL178" s="41">
        <v>8860297</v>
      </c>
      <c r="AM178" s="41">
        <v>9168316</v>
      </c>
      <c r="AN178" s="41">
        <v>9490289</v>
      </c>
      <c r="AO178" s="41">
        <v>9826600</v>
      </c>
      <c r="AP178" s="41">
        <v>10178196</v>
      </c>
      <c r="AQ178" s="41">
        <v>10545720</v>
      </c>
      <c r="AR178" s="41">
        <v>10929922</v>
      </c>
      <c r="AS178" s="41">
        <v>11331561</v>
      </c>
      <c r="AT178" s="41">
        <v>11751364</v>
      </c>
      <c r="AU178" s="41">
        <v>12189988</v>
      </c>
      <c r="AV178" s="41">
        <v>12647983</v>
      </c>
      <c r="AW178" s="41">
        <v>13125914</v>
      </c>
      <c r="AX178" s="41">
        <v>13624474</v>
      </c>
      <c r="AY178" s="41">
        <v>14143969</v>
      </c>
      <c r="AZ178" s="41">
        <v>14685404</v>
      </c>
      <c r="BA178" s="41">
        <v>15250913</v>
      </c>
      <c r="BB178" s="41">
        <v>15843131</v>
      </c>
      <c r="BC178" s="41">
        <v>16464025</v>
      </c>
      <c r="BD178" s="41">
        <v>17114770</v>
      </c>
      <c r="BE178" s="41">
        <v>17795209</v>
      </c>
      <c r="BF178" s="41">
        <v>18504287</v>
      </c>
      <c r="BG178" s="41">
        <v>19240182</v>
      </c>
      <c r="BH178" s="41">
        <v>20001663</v>
      </c>
      <c r="BI178" s="41">
        <v>20788789</v>
      </c>
      <c r="BJ178" s="41">
        <v>21602388</v>
      </c>
      <c r="BK178" s="41">
        <v>22442831</v>
      </c>
      <c r="BL178" s="41">
        <v>23310719</v>
      </c>
      <c r="BM178" s="41">
        <v>24206636</v>
      </c>
    </row>
    <row r="179" spans="1:65" x14ac:dyDescent="0.35">
      <c r="A179" s="41" t="s">
        <v>451</v>
      </c>
      <c r="B179" s="41" t="s">
        <v>452</v>
      </c>
      <c r="C179" s="41" t="s">
        <v>666</v>
      </c>
      <c r="D179" s="41" t="s">
        <v>667</v>
      </c>
      <c r="E179" s="41">
        <v>45138460</v>
      </c>
      <c r="F179" s="41">
        <v>46063570</v>
      </c>
      <c r="G179" s="41">
        <v>47029818</v>
      </c>
      <c r="H179" s="41">
        <v>48032932</v>
      </c>
      <c r="I179" s="41">
        <v>49066762</v>
      </c>
      <c r="J179" s="41">
        <v>50127920</v>
      </c>
      <c r="K179" s="41">
        <v>51217969</v>
      </c>
      <c r="L179" s="41">
        <v>52342231</v>
      </c>
      <c r="M179" s="41">
        <v>53506201</v>
      </c>
      <c r="N179" s="41">
        <v>54717035</v>
      </c>
      <c r="O179" s="41">
        <v>55982142</v>
      </c>
      <c r="P179" s="41">
        <v>57296988</v>
      </c>
      <c r="Q179" s="41">
        <v>58665813</v>
      </c>
      <c r="R179" s="41">
        <v>60114615</v>
      </c>
      <c r="S179" s="41">
        <v>61677167</v>
      </c>
      <c r="T179" s="41">
        <v>63374289</v>
      </c>
      <c r="U179" s="41">
        <v>65221379</v>
      </c>
      <c r="V179" s="41">
        <v>67203134</v>
      </c>
      <c r="W179" s="41">
        <v>69271915</v>
      </c>
      <c r="X179" s="41">
        <v>71361141</v>
      </c>
      <c r="Y179" s="41">
        <v>73423646</v>
      </c>
      <c r="Z179" s="41">
        <v>75440505</v>
      </c>
      <c r="AA179" s="41">
        <v>77427539</v>
      </c>
      <c r="AB179" s="41">
        <v>79414841</v>
      </c>
      <c r="AC179" s="41">
        <v>81448757</v>
      </c>
      <c r="AD179" s="41">
        <v>83562776</v>
      </c>
      <c r="AE179" s="41">
        <v>85766396</v>
      </c>
      <c r="AF179" s="41">
        <v>88048029</v>
      </c>
      <c r="AG179" s="41">
        <v>90395278</v>
      </c>
      <c r="AH179" s="41">
        <v>92788039</v>
      </c>
      <c r="AI179" s="41">
        <v>95212454</v>
      </c>
      <c r="AJ179" s="41">
        <v>97667632</v>
      </c>
      <c r="AK179" s="41">
        <v>100161708</v>
      </c>
      <c r="AL179" s="41">
        <v>102700751</v>
      </c>
      <c r="AM179" s="41">
        <v>105293701</v>
      </c>
      <c r="AN179" s="41">
        <v>107948339</v>
      </c>
      <c r="AO179" s="41">
        <v>110668784</v>
      </c>
      <c r="AP179" s="41">
        <v>113457661</v>
      </c>
      <c r="AQ179" s="41">
        <v>116319763</v>
      </c>
      <c r="AR179" s="41">
        <v>119260055</v>
      </c>
      <c r="AS179" s="41">
        <v>122283853</v>
      </c>
      <c r="AT179" s="41">
        <v>125394046</v>
      </c>
      <c r="AU179" s="41">
        <v>128596079</v>
      </c>
      <c r="AV179" s="41">
        <v>131900634</v>
      </c>
      <c r="AW179" s="41">
        <v>135320420</v>
      </c>
      <c r="AX179" s="41">
        <v>138865014</v>
      </c>
      <c r="AY179" s="41">
        <v>142538305</v>
      </c>
      <c r="AZ179" s="41">
        <v>146339971</v>
      </c>
      <c r="BA179" s="41">
        <v>150269622</v>
      </c>
      <c r="BB179" s="41">
        <v>154324939</v>
      </c>
      <c r="BC179" s="41">
        <v>158503203</v>
      </c>
      <c r="BD179" s="41">
        <v>162805080</v>
      </c>
      <c r="BE179" s="41">
        <v>167228803</v>
      </c>
      <c r="BF179" s="41">
        <v>171765819</v>
      </c>
      <c r="BG179" s="41">
        <v>176404931</v>
      </c>
      <c r="BH179" s="41">
        <v>181137454</v>
      </c>
      <c r="BI179" s="41">
        <v>185960244</v>
      </c>
      <c r="BJ179" s="41">
        <v>190873247</v>
      </c>
      <c r="BK179" s="41">
        <v>195874685</v>
      </c>
      <c r="BL179" s="41">
        <v>200963603</v>
      </c>
      <c r="BM179" s="41">
        <v>206139587</v>
      </c>
    </row>
    <row r="180" spans="1:65" x14ac:dyDescent="0.35">
      <c r="A180" s="41" t="s">
        <v>453</v>
      </c>
      <c r="B180" s="41" t="s">
        <v>454</v>
      </c>
      <c r="C180" s="41" t="s">
        <v>666</v>
      </c>
      <c r="D180" s="41" t="s">
        <v>667</v>
      </c>
      <c r="E180" s="41">
        <v>1773132</v>
      </c>
      <c r="F180" s="41">
        <v>1829772</v>
      </c>
      <c r="G180" s="41">
        <v>1887426</v>
      </c>
      <c r="H180" s="41">
        <v>1946240</v>
      </c>
      <c r="I180" s="41">
        <v>2006478</v>
      </c>
      <c r="J180" s="41">
        <v>2068379</v>
      </c>
      <c r="K180" s="41">
        <v>2131973</v>
      </c>
      <c r="L180" s="41">
        <v>2197303</v>
      </c>
      <c r="M180" s="41">
        <v>2264623</v>
      </c>
      <c r="N180" s="41">
        <v>2334285</v>
      </c>
      <c r="O180" s="41">
        <v>2406523</v>
      </c>
      <c r="P180" s="41">
        <v>2481345</v>
      </c>
      <c r="Q180" s="41">
        <v>2558705</v>
      </c>
      <c r="R180" s="41">
        <v>2638699</v>
      </c>
      <c r="S180" s="41">
        <v>2721417</v>
      </c>
      <c r="T180" s="41">
        <v>2806859</v>
      </c>
      <c r="U180" s="41">
        <v>2894967</v>
      </c>
      <c r="V180" s="41">
        <v>2985480</v>
      </c>
      <c r="W180" s="41">
        <v>3077861</v>
      </c>
      <c r="X180" s="41">
        <v>3171404</v>
      </c>
      <c r="Y180" s="41">
        <v>3265520</v>
      </c>
      <c r="Z180" s="41">
        <v>3360142</v>
      </c>
      <c r="AA180" s="41">
        <v>3455129</v>
      </c>
      <c r="AB180" s="41">
        <v>3549711</v>
      </c>
      <c r="AC180" s="41">
        <v>3642978</v>
      </c>
      <c r="AD180" s="41">
        <v>3734343</v>
      </c>
      <c r="AE180" s="41">
        <v>3823133</v>
      </c>
      <c r="AF180" s="41">
        <v>3909672</v>
      </c>
      <c r="AG180" s="41">
        <v>3995529</v>
      </c>
      <c r="AH180" s="41">
        <v>4082958</v>
      </c>
      <c r="AI180" s="41">
        <v>4173435</v>
      </c>
      <c r="AJ180" s="41">
        <v>4267570</v>
      </c>
      <c r="AK180" s="41">
        <v>4364514</v>
      </c>
      <c r="AL180" s="41">
        <v>4462496</v>
      </c>
      <c r="AM180" s="41">
        <v>4559010</v>
      </c>
      <c r="AN180" s="41">
        <v>4652185</v>
      </c>
      <c r="AO180" s="41">
        <v>4741571</v>
      </c>
      <c r="AP180" s="41">
        <v>4827658</v>
      </c>
      <c r="AQ180" s="41">
        <v>4910642</v>
      </c>
      <c r="AR180" s="41">
        <v>4991041</v>
      </c>
      <c r="AS180" s="41">
        <v>5069310</v>
      </c>
      <c r="AT180" s="41">
        <v>5145367</v>
      </c>
      <c r="AU180" s="41">
        <v>5219324</v>
      </c>
      <c r="AV180" s="41">
        <v>5292115</v>
      </c>
      <c r="AW180" s="41">
        <v>5364930</v>
      </c>
      <c r="AX180" s="41">
        <v>5438692</v>
      </c>
      <c r="AY180" s="41">
        <v>5513757</v>
      </c>
      <c r="AZ180" s="41">
        <v>5590066</v>
      </c>
      <c r="BA180" s="41">
        <v>5667436</v>
      </c>
      <c r="BB180" s="41">
        <v>5745538</v>
      </c>
      <c r="BC180" s="41">
        <v>5824058</v>
      </c>
      <c r="BD180" s="41">
        <v>5903035</v>
      </c>
      <c r="BE180" s="41">
        <v>5982530</v>
      </c>
      <c r="BF180" s="41">
        <v>6062462</v>
      </c>
      <c r="BG180" s="41">
        <v>6142734</v>
      </c>
      <c r="BH180" s="41">
        <v>6223234</v>
      </c>
      <c r="BI180" s="41">
        <v>6303970</v>
      </c>
      <c r="BJ180" s="41">
        <v>6384843</v>
      </c>
      <c r="BK180" s="41">
        <v>6465502</v>
      </c>
      <c r="BL180" s="41">
        <v>6545503</v>
      </c>
      <c r="BM180" s="41">
        <v>6624554</v>
      </c>
    </row>
    <row r="181" spans="1:65" x14ac:dyDescent="0.35">
      <c r="A181" s="41" t="s">
        <v>455</v>
      </c>
      <c r="B181" s="41" t="s">
        <v>456</v>
      </c>
      <c r="C181" s="41" t="s">
        <v>666</v>
      </c>
      <c r="D181" s="41" t="s">
        <v>667</v>
      </c>
      <c r="E181" s="41">
        <v>11486631</v>
      </c>
      <c r="F181" s="41">
        <v>11638712</v>
      </c>
      <c r="G181" s="41">
        <v>11805689</v>
      </c>
      <c r="H181" s="41">
        <v>11965966</v>
      </c>
      <c r="I181" s="41">
        <v>12127120</v>
      </c>
      <c r="J181" s="41">
        <v>12294732</v>
      </c>
      <c r="K181" s="41">
        <v>12456251</v>
      </c>
      <c r="L181" s="41">
        <v>12598201</v>
      </c>
      <c r="M181" s="41">
        <v>12729721</v>
      </c>
      <c r="N181" s="41">
        <v>12877984</v>
      </c>
      <c r="O181" s="41">
        <v>13038526</v>
      </c>
      <c r="P181" s="41">
        <v>13194497</v>
      </c>
      <c r="Q181" s="41">
        <v>13328593</v>
      </c>
      <c r="R181" s="41">
        <v>13439322</v>
      </c>
      <c r="S181" s="41">
        <v>13545056</v>
      </c>
      <c r="T181" s="41">
        <v>13666335</v>
      </c>
      <c r="U181" s="41">
        <v>13774037</v>
      </c>
      <c r="V181" s="41">
        <v>13856185</v>
      </c>
      <c r="W181" s="41">
        <v>13941700</v>
      </c>
      <c r="X181" s="41">
        <v>14038270</v>
      </c>
      <c r="Y181" s="41">
        <v>14149800</v>
      </c>
      <c r="Z181" s="41">
        <v>14247208</v>
      </c>
      <c r="AA181" s="41">
        <v>14312690</v>
      </c>
      <c r="AB181" s="41">
        <v>14367070</v>
      </c>
      <c r="AC181" s="41">
        <v>14424211</v>
      </c>
      <c r="AD181" s="41">
        <v>14491632</v>
      </c>
      <c r="AE181" s="41">
        <v>14572278</v>
      </c>
      <c r="AF181" s="41">
        <v>14665037</v>
      </c>
      <c r="AG181" s="41">
        <v>14760094</v>
      </c>
      <c r="AH181" s="41">
        <v>14848907</v>
      </c>
      <c r="AI181" s="41">
        <v>14951510</v>
      </c>
      <c r="AJ181" s="41">
        <v>15069798</v>
      </c>
      <c r="AK181" s="41">
        <v>15184166</v>
      </c>
      <c r="AL181" s="41">
        <v>15290368</v>
      </c>
      <c r="AM181" s="41">
        <v>15382838</v>
      </c>
      <c r="AN181" s="41">
        <v>15459006</v>
      </c>
      <c r="AO181" s="41">
        <v>15530498</v>
      </c>
      <c r="AP181" s="41">
        <v>15610650</v>
      </c>
      <c r="AQ181" s="41">
        <v>15707209</v>
      </c>
      <c r="AR181" s="41">
        <v>15812088</v>
      </c>
      <c r="AS181" s="41">
        <v>15925513</v>
      </c>
      <c r="AT181" s="41">
        <v>16046180</v>
      </c>
      <c r="AU181" s="41">
        <v>16148929</v>
      </c>
      <c r="AV181" s="41">
        <v>16225302</v>
      </c>
      <c r="AW181" s="41">
        <v>16281779</v>
      </c>
      <c r="AX181" s="41">
        <v>16319868</v>
      </c>
      <c r="AY181" s="41">
        <v>16346101</v>
      </c>
      <c r="AZ181" s="41">
        <v>16381696</v>
      </c>
      <c r="BA181" s="41">
        <v>16445593</v>
      </c>
      <c r="BB181" s="41">
        <v>16530388</v>
      </c>
      <c r="BC181" s="41">
        <v>16615394</v>
      </c>
      <c r="BD181" s="41">
        <v>16693074</v>
      </c>
      <c r="BE181" s="41">
        <v>16754962</v>
      </c>
      <c r="BF181" s="41">
        <v>16804432</v>
      </c>
      <c r="BG181" s="41">
        <v>16865008</v>
      </c>
      <c r="BH181" s="41">
        <v>16939923</v>
      </c>
      <c r="BI181" s="41">
        <v>17030314</v>
      </c>
      <c r="BJ181" s="41">
        <v>17131296</v>
      </c>
      <c r="BK181" s="41">
        <v>17231624</v>
      </c>
      <c r="BL181" s="41">
        <v>17344874</v>
      </c>
      <c r="BM181" s="41">
        <v>17441139</v>
      </c>
    </row>
    <row r="182" spans="1:65" x14ac:dyDescent="0.35">
      <c r="A182" s="41" t="s">
        <v>457</v>
      </c>
      <c r="B182" s="41" t="s">
        <v>458</v>
      </c>
      <c r="C182" s="41" t="s">
        <v>666</v>
      </c>
      <c r="D182" s="41" t="s">
        <v>667</v>
      </c>
      <c r="E182" s="41">
        <v>3581239</v>
      </c>
      <c r="F182" s="41">
        <v>3609800</v>
      </c>
      <c r="G182" s="41">
        <v>3638918</v>
      </c>
      <c r="H182" s="41">
        <v>3666537</v>
      </c>
      <c r="I182" s="41">
        <v>3694339</v>
      </c>
      <c r="J182" s="41">
        <v>3723168</v>
      </c>
      <c r="K182" s="41">
        <v>3753012</v>
      </c>
      <c r="L182" s="41">
        <v>3784539</v>
      </c>
      <c r="M182" s="41">
        <v>3816486</v>
      </c>
      <c r="N182" s="41">
        <v>3847707</v>
      </c>
      <c r="O182" s="41">
        <v>3875763</v>
      </c>
      <c r="P182" s="41">
        <v>3903039</v>
      </c>
      <c r="Q182" s="41">
        <v>3933004</v>
      </c>
      <c r="R182" s="41">
        <v>3960612</v>
      </c>
      <c r="S182" s="41">
        <v>3985258</v>
      </c>
      <c r="T182" s="41">
        <v>4007313</v>
      </c>
      <c r="U182" s="41">
        <v>4026152</v>
      </c>
      <c r="V182" s="41">
        <v>4043205</v>
      </c>
      <c r="W182" s="41">
        <v>4058671</v>
      </c>
      <c r="X182" s="41">
        <v>4072517</v>
      </c>
      <c r="Y182" s="41">
        <v>4085620</v>
      </c>
      <c r="Z182" s="41">
        <v>4099702</v>
      </c>
      <c r="AA182" s="41">
        <v>4114787</v>
      </c>
      <c r="AB182" s="41">
        <v>4128432</v>
      </c>
      <c r="AC182" s="41">
        <v>4140099</v>
      </c>
      <c r="AD182" s="41">
        <v>4152516</v>
      </c>
      <c r="AE182" s="41">
        <v>4167354</v>
      </c>
      <c r="AF182" s="41">
        <v>4186905</v>
      </c>
      <c r="AG182" s="41">
        <v>4209488</v>
      </c>
      <c r="AH182" s="41">
        <v>4226901</v>
      </c>
      <c r="AI182" s="41">
        <v>4241473</v>
      </c>
      <c r="AJ182" s="41">
        <v>4261732</v>
      </c>
      <c r="AK182" s="41">
        <v>4286401</v>
      </c>
      <c r="AL182" s="41">
        <v>4311991</v>
      </c>
      <c r="AM182" s="41">
        <v>4336613</v>
      </c>
      <c r="AN182" s="41">
        <v>4359184</v>
      </c>
      <c r="AO182" s="41">
        <v>4381336</v>
      </c>
      <c r="AP182" s="41">
        <v>4405157</v>
      </c>
      <c r="AQ182" s="41">
        <v>4431464</v>
      </c>
      <c r="AR182" s="41">
        <v>4461913</v>
      </c>
      <c r="AS182" s="41">
        <v>4490967</v>
      </c>
      <c r="AT182" s="41">
        <v>4513751</v>
      </c>
      <c r="AU182" s="41">
        <v>4538159</v>
      </c>
      <c r="AV182" s="41">
        <v>4564855</v>
      </c>
      <c r="AW182" s="41">
        <v>4591910</v>
      </c>
      <c r="AX182" s="41">
        <v>4623291</v>
      </c>
      <c r="AY182" s="41">
        <v>4660677</v>
      </c>
      <c r="AZ182" s="41">
        <v>4709153</v>
      </c>
      <c r="BA182" s="41">
        <v>4768212</v>
      </c>
      <c r="BB182" s="41">
        <v>4828726</v>
      </c>
      <c r="BC182" s="41">
        <v>4889252</v>
      </c>
      <c r="BD182" s="41">
        <v>4953088</v>
      </c>
      <c r="BE182" s="41">
        <v>5018573</v>
      </c>
      <c r="BF182" s="41">
        <v>5079623</v>
      </c>
      <c r="BG182" s="41">
        <v>5137232</v>
      </c>
      <c r="BH182" s="41">
        <v>5188607</v>
      </c>
      <c r="BI182" s="41">
        <v>5234519</v>
      </c>
      <c r="BJ182" s="41">
        <v>5276968</v>
      </c>
      <c r="BK182" s="41">
        <v>5311916</v>
      </c>
      <c r="BL182" s="41">
        <v>5347896</v>
      </c>
      <c r="BM182" s="41">
        <v>5379475</v>
      </c>
    </row>
    <row r="183" spans="1:65" x14ac:dyDescent="0.35">
      <c r="A183" s="41" t="s">
        <v>459</v>
      </c>
      <c r="B183" s="41" t="s">
        <v>460</v>
      </c>
      <c r="C183" s="41" t="s">
        <v>666</v>
      </c>
      <c r="D183" s="41" t="s">
        <v>667</v>
      </c>
      <c r="E183" s="41">
        <v>10105060</v>
      </c>
      <c r="F183" s="41">
        <v>10267260</v>
      </c>
      <c r="G183" s="41">
        <v>10433147</v>
      </c>
      <c r="H183" s="41">
        <v>10604620</v>
      </c>
      <c r="I183" s="41">
        <v>10783958</v>
      </c>
      <c r="J183" s="41">
        <v>10972912</v>
      </c>
      <c r="K183" s="41">
        <v>11172530</v>
      </c>
      <c r="L183" s="41">
        <v>11382965</v>
      </c>
      <c r="M183" s="41">
        <v>11603921</v>
      </c>
      <c r="N183" s="41">
        <v>11834657</v>
      </c>
      <c r="O183" s="41">
        <v>12074628</v>
      </c>
      <c r="P183" s="41">
        <v>12323984</v>
      </c>
      <c r="Q183" s="41">
        <v>12583142</v>
      </c>
      <c r="R183" s="41">
        <v>12852205</v>
      </c>
      <c r="S183" s="41">
        <v>13131260</v>
      </c>
      <c r="T183" s="41">
        <v>13420367</v>
      </c>
      <c r="U183" s="41">
        <v>13719466</v>
      </c>
      <c r="V183" s="41">
        <v>14028535</v>
      </c>
      <c r="W183" s="41">
        <v>14347653</v>
      </c>
      <c r="X183" s="41">
        <v>14676932</v>
      </c>
      <c r="Y183" s="41">
        <v>15016408</v>
      </c>
      <c r="Z183" s="41">
        <v>15367229</v>
      </c>
      <c r="AA183" s="41">
        <v>15729431</v>
      </c>
      <c r="AB183" s="41">
        <v>16100623</v>
      </c>
      <c r="AC183" s="41">
        <v>16477488</v>
      </c>
      <c r="AD183" s="41">
        <v>16858315</v>
      </c>
      <c r="AE183" s="41">
        <v>17239677</v>
      </c>
      <c r="AF183" s="41">
        <v>17623697</v>
      </c>
      <c r="AG183" s="41">
        <v>18020755</v>
      </c>
      <c r="AH183" s="41">
        <v>18445021</v>
      </c>
      <c r="AI183" s="41">
        <v>18905480</v>
      </c>
      <c r="AJ183" s="41">
        <v>19405506</v>
      </c>
      <c r="AK183" s="41">
        <v>19938322</v>
      </c>
      <c r="AL183" s="41">
        <v>20489973</v>
      </c>
      <c r="AM183" s="41">
        <v>21040899</v>
      </c>
      <c r="AN183" s="41">
        <v>21576074</v>
      </c>
      <c r="AO183" s="41">
        <v>22090352</v>
      </c>
      <c r="AP183" s="41">
        <v>22584772</v>
      </c>
      <c r="AQ183" s="41">
        <v>23057875</v>
      </c>
      <c r="AR183" s="41">
        <v>23509971</v>
      </c>
      <c r="AS183" s="41">
        <v>23941099</v>
      </c>
      <c r="AT183" s="41">
        <v>24347113</v>
      </c>
      <c r="AU183" s="41">
        <v>24725625</v>
      </c>
      <c r="AV183" s="41">
        <v>25080880</v>
      </c>
      <c r="AW183" s="41">
        <v>25419337</v>
      </c>
      <c r="AX183" s="41">
        <v>25744500</v>
      </c>
      <c r="AY183" s="41">
        <v>26066687</v>
      </c>
      <c r="AZ183" s="41">
        <v>26382586</v>
      </c>
      <c r="BA183" s="41">
        <v>26666581</v>
      </c>
      <c r="BB183" s="41">
        <v>26883531</v>
      </c>
      <c r="BC183" s="41">
        <v>27013207</v>
      </c>
      <c r="BD183" s="41">
        <v>27041220</v>
      </c>
      <c r="BE183" s="41">
        <v>26989160</v>
      </c>
      <c r="BF183" s="41">
        <v>26916795</v>
      </c>
      <c r="BG183" s="41">
        <v>26905982</v>
      </c>
      <c r="BH183" s="41">
        <v>27015033</v>
      </c>
      <c r="BI183" s="41">
        <v>27263430</v>
      </c>
      <c r="BJ183" s="41">
        <v>27632682</v>
      </c>
      <c r="BK183" s="41">
        <v>28095712</v>
      </c>
      <c r="BL183" s="41">
        <v>28608715</v>
      </c>
      <c r="BM183" s="41">
        <v>29136808</v>
      </c>
    </row>
    <row r="184" spans="1:65" x14ac:dyDescent="0.35">
      <c r="A184" s="41" t="s">
        <v>461</v>
      </c>
      <c r="B184" s="41" t="s">
        <v>462</v>
      </c>
      <c r="C184" s="41" t="s">
        <v>666</v>
      </c>
      <c r="D184" s="41" t="s">
        <v>667</v>
      </c>
      <c r="E184" s="41">
        <v>4377</v>
      </c>
      <c r="F184" s="41">
        <v>4627</v>
      </c>
      <c r="G184" s="41">
        <v>4942</v>
      </c>
      <c r="H184" s="41">
        <v>5270</v>
      </c>
      <c r="I184" s="41">
        <v>5590</v>
      </c>
      <c r="J184" s="41">
        <v>5859</v>
      </c>
      <c r="K184" s="41">
        <v>6065</v>
      </c>
      <c r="L184" s="41">
        <v>6221</v>
      </c>
      <c r="M184" s="41">
        <v>6343</v>
      </c>
      <c r="N184" s="41">
        <v>6445</v>
      </c>
      <c r="O184" s="41">
        <v>6553</v>
      </c>
      <c r="P184" s="41">
        <v>6669</v>
      </c>
      <c r="Q184" s="41">
        <v>6798</v>
      </c>
      <c r="R184" s="41">
        <v>6929</v>
      </c>
      <c r="S184" s="41">
        <v>7062</v>
      </c>
      <c r="T184" s="41">
        <v>7178</v>
      </c>
      <c r="U184" s="41">
        <v>7284</v>
      </c>
      <c r="V184" s="41">
        <v>7396</v>
      </c>
      <c r="W184" s="41">
        <v>7505</v>
      </c>
      <c r="X184" s="41">
        <v>7626</v>
      </c>
      <c r="Y184" s="41">
        <v>7751</v>
      </c>
      <c r="Z184" s="41">
        <v>7871</v>
      </c>
      <c r="AA184" s="41">
        <v>8016</v>
      </c>
      <c r="AB184" s="41">
        <v>8163</v>
      </c>
      <c r="AC184" s="41">
        <v>8331</v>
      </c>
      <c r="AD184" s="41">
        <v>8501</v>
      </c>
      <c r="AE184" s="41">
        <v>8679</v>
      </c>
      <c r="AF184" s="41">
        <v>8868</v>
      </c>
      <c r="AG184" s="41">
        <v>9058</v>
      </c>
      <c r="AH184" s="41">
        <v>9275</v>
      </c>
      <c r="AI184" s="41">
        <v>9506</v>
      </c>
      <c r="AJ184" s="41">
        <v>9766</v>
      </c>
      <c r="AK184" s="41">
        <v>10030</v>
      </c>
      <c r="AL184" s="41">
        <v>10287</v>
      </c>
      <c r="AM184" s="41">
        <v>10496</v>
      </c>
      <c r="AN184" s="41">
        <v>10626</v>
      </c>
      <c r="AO184" s="41">
        <v>10677</v>
      </c>
      <c r="AP184" s="41">
        <v>10643</v>
      </c>
      <c r="AQ184" s="41">
        <v>10567</v>
      </c>
      <c r="AR184" s="41">
        <v>10449</v>
      </c>
      <c r="AS184" s="41">
        <v>10335</v>
      </c>
      <c r="AT184" s="41">
        <v>10219</v>
      </c>
      <c r="AU184" s="41">
        <v>10102</v>
      </c>
      <c r="AV184" s="41">
        <v>9990</v>
      </c>
      <c r="AW184" s="41">
        <v>9906</v>
      </c>
      <c r="AX184" s="41">
        <v>9848</v>
      </c>
      <c r="AY184" s="41">
        <v>9827</v>
      </c>
      <c r="AZ184" s="41">
        <v>9846</v>
      </c>
      <c r="BA184" s="41">
        <v>9880</v>
      </c>
      <c r="BB184" s="41">
        <v>9945</v>
      </c>
      <c r="BC184" s="41">
        <v>10009</v>
      </c>
      <c r="BD184" s="41">
        <v>10069</v>
      </c>
      <c r="BE184" s="41">
        <v>10136</v>
      </c>
      <c r="BF184" s="41">
        <v>10208</v>
      </c>
      <c r="BG184" s="41">
        <v>10289</v>
      </c>
      <c r="BH184" s="41">
        <v>10374</v>
      </c>
      <c r="BI184" s="41">
        <v>10474</v>
      </c>
      <c r="BJ184" s="41">
        <v>10577</v>
      </c>
      <c r="BK184" s="41">
        <v>10678</v>
      </c>
      <c r="BL184" s="41">
        <v>10764</v>
      </c>
      <c r="BM184" s="41">
        <v>10834</v>
      </c>
    </row>
    <row r="185" spans="1:65" x14ac:dyDescent="0.35">
      <c r="A185" s="41" t="s">
        <v>463</v>
      </c>
      <c r="B185" s="41" t="s">
        <v>464</v>
      </c>
      <c r="C185" s="41" t="s">
        <v>666</v>
      </c>
      <c r="D185" s="41" t="s">
        <v>667</v>
      </c>
      <c r="E185" s="41">
        <v>2371800</v>
      </c>
      <c r="F185" s="41">
        <v>2419700</v>
      </c>
      <c r="G185" s="41">
        <v>2482000</v>
      </c>
      <c r="H185" s="41">
        <v>2531800</v>
      </c>
      <c r="I185" s="41">
        <v>2585400</v>
      </c>
      <c r="J185" s="41">
        <v>2628400</v>
      </c>
      <c r="K185" s="41">
        <v>2675900</v>
      </c>
      <c r="L185" s="41">
        <v>2724100</v>
      </c>
      <c r="M185" s="41">
        <v>2748100</v>
      </c>
      <c r="N185" s="41">
        <v>2772800</v>
      </c>
      <c r="O185" s="41">
        <v>2810700</v>
      </c>
      <c r="P185" s="41">
        <v>2853000</v>
      </c>
      <c r="Q185" s="41">
        <v>2903900</v>
      </c>
      <c r="R185" s="41">
        <v>2961300</v>
      </c>
      <c r="S185" s="41">
        <v>3023700</v>
      </c>
      <c r="T185" s="41">
        <v>3083100</v>
      </c>
      <c r="U185" s="41">
        <v>3110500</v>
      </c>
      <c r="V185" s="41">
        <v>3120200</v>
      </c>
      <c r="W185" s="41">
        <v>3121200</v>
      </c>
      <c r="X185" s="41">
        <v>3109000</v>
      </c>
      <c r="Y185" s="41">
        <v>3112900</v>
      </c>
      <c r="Z185" s="41">
        <v>3124900</v>
      </c>
      <c r="AA185" s="41">
        <v>3156100</v>
      </c>
      <c r="AB185" s="41">
        <v>3199300</v>
      </c>
      <c r="AC185" s="41">
        <v>3227100</v>
      </c>
      <c r="AD185" s="41">
        <v>3247100</v>
      </c>
      <c r="AE185" s="41">
        <v>3246300</v>
      </c>
      <c r="AF185" s="41">
        <v>3274400</v>
      </c>
      <c r="AG185" s="41">
        <v>3283400</v>
      </c>
      <c r="AH185" s="41">
        <v>3299200</v>
      </c>
      <c r="AI185" s="41">
        <v>3329800</v>
      </c>
      <c r="AJ185" s="41">
        <v>3495100</v>
      </c>
      <c r="AK185" s="41">
        <v>3531700</v>
      </c>
      <c r="AL185" s="41">
        <v>3572200</v>
      </c>
      <c r="AM185" s="41">
        <v>3620000</v>
      </c>
      <c r="AN185" s="41">
        <v>3673400</v>
      </c>
      <c r="AO185" s="41">
        <v>3732000</v>
      </c>
      <c r="AP185" s="41">
        <v>3781300</v>
      </c>
      <c r="AQ185" s="41">
        <v>3815000</v>
      </c>
      <c r="AR185" s="41">
        <v>3835100</v>
      </c>
      <c r="AS185" s="41">
        <v>3857700</v>
      </c>
      <c r="AT185" s="41">
        <v>3880500</v>
      </c>
      <c r="AU185" s="41">
        <v>3948500</v>
      </c>
      <c r="AV185" s="41">
        <v>4027200</v>
      </c>
      <c r="AW185" s="41">
        <v>4087500</v>
      </c>
      <c r="AX185" s="41">
        <v>4133900</v>
      </c>
      <c r="AY185" s="41">
        <v>4184600</v>
      </c>
      <c r="AZ185" s="41">
        <v>4223800</v>
      </c>
      <c r="BA185" s="41">
        <v>4259800</v>
      </c>
      <c r="BB185" s="41">
        <v>4302600</v>
      </c>
      <c r="BC185" s="41">
        <v>4350700</v>
      </c>
      <c r="BD185" s="41">
        <v>4384000</v>
      </c>
      <c r="BE185" s="41">
        <v>4408100</v>
      </c>
      <c r="BF185" s="41">
        <v>4442100</v>
      </c>
      <c r="BG185" s="41">
        <v>4516500</v>
      </c>
      <c r="BH185" s="41">
        <v>4609400</v>
      </c>
      <c r="BI185" s="41">
        <v>4714100</v>
      </c>
      <c r="BJ185" s="41">
        <v>4813600</v>
      </c>
      <c r="BK185" s="41">
        <v>4900600</v>
      </c>
      <c r="BL185" s="41">
        <v>4979300</v>
      </c>
      <c r="BM185" s="41">
        <v>5084300</v>
      </c>
    </row>
    <row r="186" spans="1:65" x14ac:dyDescent="0.35">
      <c r="A186" s="41" t="s">
        <v>465</v>
      </c>
      <c r="B186" s="41" t="s">
        <v>466</v>
      </c>
      <c r="C186" s="41" t="s">
        <v>666</v>
      </c>
      <c r="D186" s="41" t="s">
        <v>667</v>
      </c>
      <c r="E186" s="41">
        <v>809413164</v>
      </c>
      <c r="F186" s="41">
        <v>820690358</v>
      </c>
      <c r="G186" s="41">
        <v>832204126</v>
      </c>
      <c r="H186" s="41">
        <v>843700013</v>
      </c>
      <c r="I186" s="41">
        <v>855187441</v>
      </c>
      <c r="J186" s="41">
        <v>866357882</v>
      </c>
      <c r="K186" s="41">
        <v>877034871</v>
      </c>
      <c r="L186" s="41">
        <v>887433263</v>
      </c>
      <c r="M186" s="41">
        <v>897619456</v>
      </c>
      <c r="N186" s="41">
        <v>907848349</v>
      </c>
      <c r="O186" s="41">
        <v>917970733</v>
      </c>
      <c r="P186" s="41">
        <v>929959388</v>
      </c>
      <c r="Q186" s="41">
        <v>940747243</v>
      </c>
      <c r="R186" s="41">
        <v>951245160</v>
      </c>
      <c r="S186" s="41">
        <v>961564535</v>
      </c>
      <c r="T186" s="41">
        <v>971664215</v>
      </c>
      <c r="U186" s="41">
        <v>981155050</v>
      </c>
      <c r="V186" s="41">
        <v>990517797</v>
      </c>
      <c r="W186" s="41">
        <v>999924442</v>
      </c>
      <c r="X186" s="41">
        <v>1009488956</v>
      </c>
      <c r="Y186" s="41">
        <v>1018954080</v>
      </c>
      <c r="Z186" s="41">
        <v>1028314741</v>
      </c>
      <c r="AA186" s="41">
        <v>1037309705</v>
      </c>
      <c r="AB186" s="41">
        <v>1045955467</v>
      </c>
      <c r="AC186" s="41">
        <v>1054256534</v>
      </c>
      <c r="AD186" s="41">
        <v>1062613469</v>
      </c>
      <c r="AE186" s="41">
        <v>1071150369</v>
      </c>
      <c r="AF186" s="41">
        <v>1079711152</v>
      </c>
      <c r="AG186" s="41">
        <v>1088387125</v>
      </c>
      <c r="AH186" s="41">
        <v>1097531158</v>
      </c>
      <c r="AI186" s="41">
        <v>1107196961</v>
      </c>
      <c r="AJ186" s="41">
        <v>1117820520</v>
      </c>
      <c r="AK186" s="41">
        <v>1128349539</v>
      </c>
      <c r="AL186" s="41">
        <v>1138362949</v>
      </c>
      <c r="AM186" s="41">
        <v>1147748534</v>
      </c>
      <c r="AN186" s="41">
        <v>1156879819</v>
      </c>
      <c r="AO186" s="41">
        <v>1165880992</v>
      </c>
      <c r="AP186" s="41">
        <v>1174865635</v>
      </c>
      <c r="AQ186" s="41">
        <v>1183546848</v>
      </c>
      <c r="AR186" s="41">
        <v>1192267323</v>
      </c>
      <c r="AS186" s="41">
        <v>1200836415</v>
      </c>
      <c r="AT186" s="41">
        <v>1209787876</v>
      </c>
      <c r="AU186" s="41">
        <v>1218855820</v>
      </c>
      <c r="AV186" s="41">
        <v>1227854277</v>
      </c>
      <c r="AW186" s="41">
        <v>1236872189</v>
      </c>
      <c r="AX186" s="41">
        <v>1245821323</v>
      </c>
      <c r="AY186" s="41">
        <v>1255133872</v>
      </c>
      <c r="AZ186" s="41">
        <v>1264614793</v>
      </c>
      <c r="BA186" s="41">
        <v>1274522708</v>
      </c>
      <c r="BB186" s="41">
        <v>1283634878</v>
      </c>
      <c r="BC186" s="41">
        <v>1292110708</v>
      </c>
      <c r="BD186" s="41">
        <v>1298723126</v>
      </c>
      <c r="BE186" s="41">
        <v>1306807834</v>
      </c>
      <c r="BF186" s="41">
        <v>1315224394</v>
      </c>
      <c r="BG186" s="41">
        <v>1324034852</v>
      </c>
      <c r="BH186" s="41">
        <v>1332787383</v>
      </c>
      <c r="BI186" s="41">
        <v>1341701902</v>
      </c>
      <c r="BJ186" s="41">
        <v>1350048436</v>
      </c>
      <c r="BK186" s="41">
        <v>1358019416</v>
      </c>
      <c r="BL186" s="41">
        <v>1364841892</v>
      </c>
      <c r="BM186" s="41">
        <v>1370858752</v>
      </c>
    </row>
    <row r="187" spans="1:65" x14ac:dyDescent="0.35">
      <c r="A187" s="41" t="s">
        <v>467</v>
      </c>
      <c r="B187" s="41" t="s">
        <v>468</v>
      </c>
      <c r="C187" s="41" t="s">
        <v>666</v>
      </c>
      <c r="D187" s="41" t="s">
        <v>667</v>
      </c>
      <c r="E187" s="41">
        <v>551735</v>
      </c>
      <c r="F187" s="41">
        <v>564891</v>
      </c>
      <c r="G187" s="41">
        <v>578827</v>
      </c>
      <c r="H187" s="41">
        <v>593498</v>
      </c>
      <c r="I187" s="41">
        <v>608890</v>
      </c>
      <c r="J187" s="41">
        <v>625006</v>
      </c>
      <c r="K187" s="41">
        <v>642007</v>
      </c>
      <c r="L187" s="41">
        <v>660117</v>
      </c>
      <c r="M187" s="41">
        <v>679592</v>
      </c>
      <c r="N187" s="41">
        <v>700725</v>
      </c>
      <c r="O187" s="41">
        <v>723842</v>
      </c>
      <c r="P187" s="41">
        <v>748968</v>
      </c>
      <c r="Q187" s="41">
        <v>776385</v>
      </c>
      <c r="R187" s="41">
        <v>806985</v>
      </c>
      <c r="S187" s="41">
        <v>841952</v>
      </c>
      <c r="T187" s="41">
        <v>882038</v>
      </c>
      <c r="U187" s="41">
        <v>927434</v>
      </c>
      <c r="V187" s="41">
        <v>977804</v>
      </c>
      <c r="W187" s="41">
        <v>1032797</v>
      </c>
      <c r="X187" s="41">
        <v>1091858</v>
      </c>
      <c r="Y187" s="41">
        <v>1154373</v>
      </c>
      <c r="Z187" s="41">
        <v>1220578</v>
      </c>
      <c r="AA187" s="41">
        <v>1290121</v>
      </c>
      <c r="AB187" s="41">
        <v>1361085</v>
      </c>
      <c r="AC187" s="41">
        <v>1431066</v>
      </c>
      <c r="AD187" s="41">
        <v>1498413</v>
      </c>
      <c r="AE187" s="41">
        <v>1561180</v>
      </c>
      <c r="AF187" s="41">
        <v>1619871</v>
      </c>
      <c r="AG187" s="41">
        <v>1678119</v>
      </c>
      <c r="AH187" s="41">
        <v>1741155</v>
      </c>
      <c r="AI187" s="41">
        <v>1812158</v>
      </c>
      <c r="AJ187" s="41">
        <v>1893761</v>
      </c>
      <c r="AK187" s="41">
        <v>1983272</v>
      </c>
      <c r="AL187" s="41">
        <v>2072106</v>
      </c>
      <c r="AM187" s="41">
        <v>2148416</v>
      </c>
      <c r="AN187" s="41">
        <v>2204267</v>
      </c>
      <c r="AO187" s="41">
        <v>2236652</v>
      </c>
      <c r="AP187" s="41">
        <v>2249759</v>
      </c>
      <c r="AQ187" s="41">
        <v>2251859</v>
      </c>
      <c r="AR187" s="41">
        <v>2254898</v>
      </c>
      <c r="AS187" s="41">
        <v>2267973</v>
      </c>
      <c r="AT187" s="41">
        <v>2294959</v>
      </c>
      <c r="AU187" s="41">
        <v>2334860</v>
      </c>
      <c r="AV187" s="41">
        <v>2386164</v>
      </c>
      <c r="AW187" s="41">
        <v>2445524</v>
      </c>
      <c r="AX187" s="41">
        <v>2511254</v>
      </c>
      <c r="AY187" s="41">
        <v>2580753</v>
      </c>
      <c r="AZ187" s="41">
        <v>2657162</v>
      </c>
      <c r="BA187" s="41">
        <v>2750956</v>
      </c>
      <c r="BB187" s="41">
        <v>2876186</v>
      </c>
      <c r="BC187" s="41">
        <v>3041435</v>
      </c>
      <c r="BD187" s="41">
        <v>3251102</v>
      </c>
      <c r="BE187" s="41">
        <v>3498031</v>
      </c>
      <c r="BF187" s="41">
        <v>3764805</v>
      </c>
      <c r="BG187" s="41">
        <v>4027255</v>
      </c>
      <c r="BH187" s="41">
        <v>4267341</v>
      </c>
      <c r="BI187" s="41">
        <v>4479217</v>
      </c>
      <c r="BJ187" s="41">
        <v>4665926</v>
      </c>
      <c r="BK187" s="41">
        <v>4829476</v>
      </c>
      <c r="BL187" s="41">
        <v>4974992</v>
      </c>
      <c r="BM187" s="41">
        <v>5106622</v>
      </c>
    </row>
    <row r="188" spans="1:65" x14ac:dyDescent="0.35">
      <c r="A188" s="41" t="s">
        <v>469</v>
      </c>
      <c r="B188" s="41" t="s">
        <v>470</v>
      </c>
      <c r="C188" s="41" t="s">
        <v>666</v>
      </c>
      <c r="D188" s="41" t="s">
        <v>667</v>
      </c>
      <c r="E188" s="41">
        <v>9151857</v>
      </c>
      <c r="F188" s="41">
        <v>9315834</v>
      </c>
      <c r="G188" s="41">
        <v>9485194</v>
      </c>
      <c r="H188" s="41">
        <v>9659416</v>
      </c>
      <c r="I188" s="41">
        <v>9840401</v>
      </c>
      <c r="J188" s="41">
        <v>10026023</v>
      </c>
      <c r="K188" s="41">
        <v>10214282</v>
      </c>
      <c r="L188" s="41">
        <v>10406007</v>
      </c>
      <c r="M188" s="41">
        <v>10606217</v>
      </c>
      <c r="N188" s="41">
        <v>10813719</v>
      </c>
      <c r="O188" s="41">
        <v>11029164</v>
      </c>
      <c r="P188" s="41">
        <v>11255188</v>
      </c>
      <c r="Q188" s="41">
        <v>11488070</v>
      </c>
      <c r="R188" s="41">
        <v>11725338</v>
      </c>
      <c r="S188" s="41">
        <v>11968057</v>
      </c>
      <c r="T188" s="41">
        <v>12219420</v>
      </c>
      <c r="U188" s="41">
        <v>12475005</v>
      </c>
      <c r="V188" s="41">
        <v>12737700</v>
      </c>
      <c r="W188" s="41">
        <v>13008020</v>
      </c>
      <c r="X188" s="41">
        <v>13294824</v>
      </c>
      <c r="Y188" s="41">
        <v>13598547</v>
      </c>
      <c r="Z188" s="41">
        <v>13917150</v>
      </c>
      <c r="AA188" s="41">
        <v>14253285</v>
      </c>
      <c r="AB188" s="41">
        <v>14600166</v>
      </c>
      <c r="AC188" s="41">
        <v>14962369</v>
      </c>
      <c r="AD188" s="41">
        <v>15347574</v>
      </c>
      <c r="AE188" s="41">
        <v>15754491</v>
      </c>
      <c r="AF188" s="41">
        <v>16180206</v>
      </c>
      <c r="AG188" s="41">
        <v>16610046</v>
      </c>
      <c r="AH188" s="41">
        <v>17031505</v>
      </c>
      <c r="AI188" s="41">
        <v>17430785</v>
      </c>
      <c r="AJ188" s="41">
        <v>17813808</v>
      </c>
      <c r="AK188" s="41">
        <v>18156582</v>
      </c>
      <c r="AL188" s="41">
        <v>18476080</v>
      </c>
      <c r="AM188" s="41">
        <v>18801091</v>
      </c>
      <c r="AN188" s="41">
        <v>19125038</v>
      </c>
      <c r="AO188" s="41">
        <v>19460551</v>
      </c>
      <c r="AP188" s="41">
        <v>19809591</v>
      </c>
      <c r="AQ188" s="41">
        <v>20163900</v>
      </c>
      <c r="AR188" s="41">
        <v>20540135</v>
      </c>
      <c r="AS188" s="41">
        <v>20917080</v>
      </c>
      <c r="AT188" s="41">
        <v>21276754</v>
      </c>
      <c r="AU188" s="41">
        <v>21639144</v>
      </c>
      <c r="AV188" s="41">
        <v>22018460</v>
      </c>
      <c r="AW188" s="41">
        <v>22442097</v>
      </c>
      <c r="AX188" s="41">
        <v>22929069</v>
      </c>
      <c r="AY188" s="41">
        <v>23486191</v>
      </c>
      <c r="AZ188" s="41">
        <v>24104686</v>
      </c>
      <c r="BA188" s="41">
        <v>24762404</v>
      </c>
      <c r="BB188" s="41">
        <v>25417810</v>
      </c>
      <c r="BC188" s="41">
        <v>26050929</v>
      </c>
      <c r="BD188" s="41">
        <v>26647965</v>
      </c>
      <c r="BE188" s="41">
        <v>27227313</v>
      </c>
      <c r="BF188" s="41">
        <v>27794594</v>
      </c>
      <c r="BG188" s="41">
        <v>28364446</v>
      </c>
      <c r="BH188" s="41">
        <v>28948893</v>
      </c>
      <c r="BI188" s="41">
        <v>29542903</v>
      </c>
      <c r="BJ188" s="41">
        <v>30148954</v>
      </c>
      <c r="BK188" s="41">
        <v>30760469</v>
      </c>
      <c r="BL188" s="41">
        <v>31361259</v>
      </c>
      <c r="BM188" s="41">
        <v>31941786</v>
      </c>
    </row>
    <row r="189" spans="1:65" x14ac:dyDescent="0.35">
      <c r="A189" s="41" t="s">
        <v>471</v>
      </c>
      <c r="B189" s="41" t="s">
        <v>472</v>
      </c>
      <c r="C189" s="41" t="s">
        <v>666</v>
      </c>
      <c r="D189" s="41" t="s">
        <v>667</v>
      </c>
      <c r="E189" s="41">
        <v>44988690</v>
      </c>
      <c r="F189" s="41">
        <v>46065229</v>
      </c>
      <c r="G189" s="41">
        <v>47198886</v>
      </c>
      <c r="H189" s="41">
        <v>48387293</v>
      </c>
      <c r="I189" s="41">
        <v>49627623</v>
      </c>
      <c r="J189" s="41">
        <v>50917975</v>
      </c>
      <c r="K189" s="41">
        <v>52260183</v>
      </c>
      <c r="L189" s="41">
        <v>53655783</v>
      </c>
      <c r="M189" s="41">
        <v>55102690</v>
      </c>
      <c r="N189" s="41">
        <v>56598148</v>
      </c>
      <c r="O189" s="41">
        <v>58142062</v>
      </c>
      <c r="P189" s="41">
        <v>59734479</v>
      </c>
      <c r="Q189" s="41">
        <v>61381982</v>
      </c>
      <c r="R189" s="41">
        <v>63099404</v>
      </c>
      <c r="S189" s="41">
        <v>64905996</v>
      </c>
      <c r="T189" s="41">
        <v>66816875</v>
      </c>
      <c r="U189" s="41">
        <v>68834324</v>
      </c>
      <c r="V189" s="41">
        <v>70958168</v>
      </c>
      <c r="W189" s="41">
        <v>73197254</v>
      </c>
      <c r="X189" s="41">
        <v>75561128</v>
      </c>
      <c r="Y189" s="41">
        <v>78054346</v>
      </c>
      <c r="Z189" s="41">
        <v>80680461</v>
      </c>
      <c r="AA189" s="41">
        <v>83431597</v>
      </c>
      <c r="AB189" s="41">
        <v>86285936</v>
      </c>
      <c r="AC189" s="41">
        <v>89213708</v>
      </c>
      <c r="AD189" s="41">
        <v>92191505</v>
      </c>
      <c r="AE189" s="41">
        <v>95215375</v>
      </c>
      <c r="AF189" s="41">
        <v>98285762</v>
      </c>
      <c r="AG189" s="41">
        <v>101389603</v>
      </c>
      <c r="AH189" s="41">
        <v>104512874</v>
      </c>
      <c r="AI189" s="41">
        <v>107647918</v>
      </c>
      <c r="AJ189" s="41">
        <v>110778655</v>
      </c>
      <c r="AK189" s="41">
        <v>113911126</v>
      </c>
      <c r="AL189" s="41">
        <v>117086680</v>
      </c>
      <c r="AM189" s="41">
        <v>120362764</v>
      </c>
      <c r="AN189" s="41">
        <v>123776835</v>
      </c>
      <c r="AO189" s="41">
        <v>127349293</v>
      </c>
      <c r="AP189" s="41">
        <v>131057432</v>
      </c>
      <c r="AQ189" s="41">
        <v>134843233</v>
      </c>
      <c r="AR189" s="41">
        <v>138624625</v>
      </c>
      <c r="AS189" s="41">
        <v>142343583</v>
      </c>
      <c r="AT189" s="41">
        <v>145978408</v>
      </c>
      <c r="AU189" s="41">
        <v>149549695</v>
      </c>
      <c r="AV189" s="41">
        <v>153093371</v>
      </c>
      <c r="AW189" s="41">
        <v>156664698</v>
      </c>
      <c r="AX189" s="41">
        <v>160304007</v>
      </c>
      <c r="AY189" s="41">
        <v>164022626</v>
      </c>
      <c r="AZ189" s="41">
        <v>167808106</v>
      </c>
      <c r="BA189" s="41">
        <v>171648984</v>
      </c>
      <c r="BB189" s="41">
        <v>175525610</v>
      </c>
      <c r="BC189" s="41">
        <v>179424643</v>
      </c>
      <c r="BD189" s="41">
        <v>183340168</v>
      </c>
      <c r="BE189" s="41">
        <v>187280125</v>
      </c>
      <c r="BF189" s="41">
        <v>191260799</v>
      </c>
      <c r="BG189" s="41">
        <v>195305012</v>
      </c>
      <c r="BH189" s="41">
        <v>199426953</v>
      </c>
      <c r="BI189" s="41">
        <v>203631356</v>
      </c>
      <c r="BJ189" s="41">
        <v>207906210</v>
      </c>
      <c r="BK189" s="41">
        <v>212228288</v>
      </c>
      <c r="BL189" s="41">
        <v>216565317</v>
      </c>
      <c r="BM189" s="41">
        <v>220892331</v>
      </c>
    </row>
    <row r="190" spans="1:65" x14ac:dyDescent="0.35">
      <c r="A190" s="41" t="s">
        <v>473</v>
      </c>
      <c r="B190" s="41" t="s">
        <v>474</v>
      </c>
      <c r="C190" s="41" t="s">
        <v>666</v>
      </c>
      <c r="D190" s="41" t="s">
        <v>667</v>
      </c>
      <c r="E190" s="41">
        <v>1133005</v>
      </c>
      <c r="F190" s="41">
        <v>1167120</v>
      </c>
      <c r="G190" s="41">
        <v>1202447</v>
      </c>
      <c r="H190" s="41">
        <v>1238893</v>
      </c>
      <c r="I190" s="41">
        <v>1276331</v>
      </c>
      <c r="J190" s="41">
        <v>1314679</v>
      </c>
      <c r="K190" s="41">
        <v>1353847</v>
      </c>
      <c r="L190" s="41">
        <v>1393824</v>
      </c>
      <c r="M190" s="41">
        <v>1434676</v>
      </c>
      <c r="N190" s="41">
        <v>1476481</v>
      </c>
      <c r="O190" s="41">
        <v>1519286</v>
      </c>
      <c r="P190" s="41">
        <v>1563093</v>
      </c>
      <c r="Q190" s="41">
        <v>1607797</v>
      </c>
      <c r="R190" s="41">
        <v>1653208</v>
      </c>
      <c r="S190" s="41">
        <v>1699056</v>
      </c>
      <c r="T190" s="41">
        <v>1745142</v>
      </c>
      <c r="U190" s="41">
        <v>1791389</v>
      </c>
      <c r="V190" s="41">
        <v>1837804</v>
      </c>
      <c r="W190" s="41">
        <v>1884427</v>
      </c>
      <c r="X190" s="41">
        <v>1931302</v>
      </c>
      <c r="Y190" s="41">
        <v>1978489</v>
      </c>
      <c r="Z190" s="41">
        <v>2025965</v>
      </c>
      <c r="AA190" s="41">
        <v>2073748</v>
      </c>
      <c r="AB190" s="41">
        <v>2121863</v>
      </c>
      <c r="AC190" s="41">
        <v>2170330</v>
      </c>
      <c r="AD190" s="41">
        <v>2219200</v>
      </c>
      <c r="AE190" s="41">
        <v>2268500</v>
      </c>
      <c r="AF190" s="41">
        <v>2318259</v>
      </c>
      <c r="AG190" s="41">
        <v>2368556</v>
      </c>
      <c r="AH190" s="41">
        <v>2419424</v>
      </c>
      <c r="AI190" s="41">
        <v>2470946</v>
      </c>
      <c r="AJ190" s="41">
        <v>2523115</v>
      </c>
      <c r="AK190" s="41">
        <v>2575949</v>
      </c>
      <c r="AL190" s="41">
        <v>2629584</v>
      </c>
      <c r="AM190" s="41">
        <v>2684117</v>
      </c>
      <c r="AN190" s="41">
        <v>2739667</v>
      </c>
      <c r="AO190" s="41">
        <v>2796291</v>
      </c>
      <c r="AP190" s="41">
        <v>2853907</v>
      </c>
      <c r="AQ190" s="41">
        <v>2912318</v>
      </c>
      <c r="AR190" s="41">
        <v>2971197</v>
      </c>
      <c r="AS190" s="41">
        <v>3030333</v>
      </c>
      <c r="AT190" s="41">
        <v>3089641</v>
      </c>
      <c r="AU190" s="41">
        <v>3149195</v>
      </c>
      <c r="AV190" s="41">
        <v>3209056</v>
      </c>
      <c r="AW190" s="41">
        <v>3269356</v>
      </c>
      <c r="AX190" s="41">
        <v>3330222</v>
      </c>
      <c r="AY190" s="41">
        <v>3391673</v>
      </c>
      <c r="AZ190" s="41">
        <v>3453671</v>
      </c>
      <c r="BA190" s="41">
        <v>3516204</v>
      </c>
      <c r="BB190" s="41">
        <v>3579215</v>
      </c>
      <c r="BC190" s="41">
        <v>3642691</v>
      </c>
      <c r="BD190" s="41">
        <v>3706479</v>
      </c>
      <c r="BE190" s="41">
        <v>3770635</v>
      </c>
      <c r="BF190" s="41">
        <v>3835447</v>
      </c>
      <c r="BG190" s="41">
        <v>3901311</v>
      </c>
      <c r="BH190" s="41">
        <v>3968490</v>
      </c>
      <c r="BI190" s="41">
        <v>4037073</v>
      </c>
      <c r="BJ190" s="41">
        <v>4106764</v>
      </c>
      <c r="BK190" s="41">
        <v>4176868</v>
      </c>
      <c r="BL190" s="41">
        <v>4246440</v>
      </c>
      <c r="BM190" s="41">
        <v>4314768</v>
      </c>
    </row>
    <row r="191" spans="1:65" x14ac:dyDescent="0.35">
      <c r="A191" s="41" t="s">
        <v>475</v>
      </c>
      <c r="B191" s="41" t="s">
        <v>476</v>
      </c>
      <c r="C191" s="41" t="s">
        <v>666</v>
      </c>
      <c r="D191" s="41" t="s">
        <v>667</v>
      </c>
      <c r="E191" s="41">
        <v>10155011</v>
      </c>
      <c r="F191" s="41">
        <v>10446618</v>
      </c>
      <c r="G191" s="41">
        <v>10749463</v>
      </c>
      <c r="H191" s="41">
        <v>11062295</v>
      </c>
      <c r="I191" s="41">
        <v>11383364</v>
      </c>
      <c r="J191" s="41">
        <v>11711402</v>
      </c>
      <c r="K191" s="41">
        <v>12045783</v>
      </c>
      <c r="L191" s="41">
        <v>12386868</v>
      </c>
      <c r="M191" s="41">
        <v>12735491</v>
      </c>
      <c r="N191" s="41">
        <v>13092846</v>
      </c>
      <c r="O191" s="41">
        <v>13459789</v>
      </c>
      <c r="P191" s="41">
        <v>13836365</v>
      </c>
      <c r="Q191" s="41">
        <v>14221954</v>
      </c>
      <c r="R191" s="41">
        <v>14615847</v>
      </c>
      <c r="S191" s="41">
        <v>15017060</v>
      </c>
      <c r="T191" s="41">
        <v>15424745</v>
      </c>
      <c r="U191" s="41">
        <v>15838568</v>
      </c>
      <c r="V191" s="41">
        <v>16258323</v>
      </c>
      <c r="W191" s="41">
        <v>16683451</v>
      </c>
      <c r="X191" s="41">
        <v>17113393</v>
      </c>
      <c r="Y191" s="41">
        <v>17547612</v>
      </c>
      <c r="Z191" s="41">
        <v>17985398</v>
      </c>
      <c r="AA191" s="41">
        <v>18426420</v>
      </c>
      <c r="AB191" s="41">
        <v>18870988</v>
      </c>
      <c r="AC191" s="41">
        <v>19319746</v>
      </c>
      <c r="AD191" s="41">
        <v>19772871</v>
      </c>
      <c r="AE191" s="41">
        <v>20230385</v>
      </c>
      <c r="AF191" s="41">
        <v>20691285</v>
      </c>
      <c r="AG191" s="41">
        <v>21153462</v>
      </c>
      <c r="AH191" s="41">
        <v>21614193</v>
      </c>
      <c r="AI191" s="41">
        <v>22071433</v>
      </c>
      <c r="AJ191" s="41">
        <v>22522383</v>
      </c>
      <c r="AK191" s="41">
        <v>22966822</v>
      </c>
      <c r="AL191" s="41">
        <v>23408135</v>
      </c>
      <c r="AM191" s="41">
        <v>23851405</v>
      </c>
      <c r="AN191" s="41">
        <v>24299168</v>
      </c>
      <c r="AO191" s="41">
        <v>24753825</v>
      </c>
      <c r="AP191" s="41">
        <v>25210957</v>
      </c>
      <c r="AQ191" s="41">
        <v>25658070</v>
      </c>
      <c r="AR191" s="41">
        <v>26078295</v>
      </c>
      <c r="AS191" s="41">
        <v>26459944</v>
      </c>
      <c r="AT191" s="41">
        <v>26799289</v>
      </c>
      <c r="AU191" s="41">
        <v>27100964</v>
      </c>
      <c r="AV191" s="41">
        <v>27372217</v>
      </c>
      <c r="AW191" s="41">
        <v>27624226</v>
      </c>
      <c r="AX191" s="41">
        <v>27866140</v>
      </c>
      <c r="AY191" s="41">
        <v>28102055</v>
      </c>
      <c r="AZ191" s="41">
        <v>28333050</v>
      </c>
      <c r="BA191" s="41">
        <v>28562321</v>
      </c>
      <c r="BB191" s="41">
        <v>28792663</v>
      </c>
      <c r="BC191" s="41">
        <v>29027680</v>
      </c>
      <c r="BD191" s="41">
        <v>29264314</v>
      </c>
      <c r="BE191" s="41">
        <v>29506790</v>
      </c>
      <c r="BF191" s="41">
        <v>29773986</v>
      </c>
      <c r="BG191" s="41">
        <v>30090372</v>
      </c>
      <c r="BH191" s="41">
        <v>30470739</v>
      </c>
      <c r="BI191" s="41">
        <v>30926036</v>
      </c>
      <c r="BJ191" s="41">
        <v>31444299</v>
      </c>
      <c r="BK191" s="41">
        <v>31989265</v>
      </c>
      <c r="BL191" s="41">
        <v>32510462</v>
      </c>
      <c r="BM191" s="41">
        <v>32971846</v>
      </c>
    </row>
    <row r="192" spans="1:65" x14ac:dyDescent="0.35">
      <c r="A192" s="41" t="s">
        <v>477</v>
      </c>
      <c r="B192" s="41" t="s">
        <v>478</v>
      </c>
      <c r="C192" s="41" t="s">
        <v>666</v>
      </c>
      <c r="D192" s="41" t="s">
        <v>667</v>
      </c>
      <c r="E192" s="41">
        <v>26269741</v>
      </c>
      <c r="F192" s="41">
        <v>27161052</v>
      </c>
      <c r="G192" s="41">
        <v>28077345</v>
      </c>
      <c r="H192" s="41">
        <v>29012630</v>
      </c>
      <c r="I192" s="41">
        <v>29958687</v>
      </c>
      <c r="J192" s="41">
        <v>30909997</v>
      </c>
      <c r="K192" s="41">
        <v>31864175</v>
      </c>
      <c r="L192" s="41">
        <v>32823970</v>
      </c>
      <c r="M192" s="41">
        <v>33795203</v>
      </c>
      <c r="N192" s="41">
        <v>34786309</v>
      </c>
      <c r="O192" s="41">
        <v>35803591</v>
      </c>
      <c r="P192" s="41">
        <v>36849678</v>
      </c>
      <c r="Q192" s="41">
        <v>37923400</v>
      </c>
      <c r="R192" s="41">
        <v>39022759</v>
      </c>
      <c r="S192" s="41">
        <v>40144250</v>
      </c>
      <c r="T192" s="41">
        <v>41285741</v>
      </c>
      <c r="U192" s="41">
        <v>42446659</v>
      </c>
      <c r="V192" s="41">
        <v>43629415</v>
      </c>
      <c r="W192" s="41">
        <v>44838485</v>
      </c>
      <c r="X192" s="41">
        <v>46079844</v>
      </c>
      <c r="Y192" s="41">
        <v>47357741</v>
      </c>
      <c r="Z192" s="41">
        <v>48672831</v>
      </c>
      <c r="AA192" s="41">
        <v>50023564</v>
      </c>
      <c r="AB192" s="41">
        <v>51408910</v>
      </c>
      <c r="AC192" s="41">
        <v>52827047</v>
      </c>
      <c r="AD192" s="41">
        <v>54275836</v>
      </c>
      <c r="AE192" s="41">
        <v>55755346</v>
      </c>
      <c r="AF192" s="41">
        <v>57263835</v>
      </c>
      <c r="AG192" s="41">
        <v>58794999</v>
      </c>
      <c r="AH192" s="41">
        <v>60340768</v>
      </c>
      <c r="AI192" s="41">
        <v>61895169</v>
      </c>
      <c r="AJ192" s="41">
        <v>63454785</v>
      </c>
      <c r="AK192" s="41">
        <v>65020124</v>
      </c>
      <c r="AL192" s="41">
        <v>66593904</v>
      </c>
      <c r="AM192" s="41">
        <v>68180846</v>
      </c>
      <c r="AN192" s="41">
        <v>69784087</v>
      </c>
      <c r="AO192" s="41">
        <v>71401743</v>
      </c>
      <c r="AP192" s="41">
        <v>73030879</v>
      </c>
      <c r="AQ192" s="41">
        <v>74672009</v>
      </c>
      <c r="AR192" s="41">
        <v>76325927</v>
      </c>
      <c r="AS192" s="41">
        <v>77991757</v>
      </c>
      <c r="AT192" s="41">
        <v>79672869</v>
      </c>
      <c r="AU192" s="41">
        <v>81365260</v>
      </c>
      <c r="AV192" s="41">
        <v>83051970</v>
      </c>
      <c r="AW192" s="41">
        <v>84710544</v>
      </c>
      <c r="AX192" s="41">
        <v>86326251</v>
      </c>
      <c r="AY192" s="41">
        <v>87888675</v>
      </c>
      <c r="AZ192" s="41">
        <v>89405482</v>
      </c>
      <c r="BA192" s="41">
        <v>90901967</v>
      </c>
      <c r="BB192" s="41">
        <v>92414161</v>
      </c>
      <c r="BC192" s="41">
        <v>93966784</v>
      </c>
      <c r="BD192" s="41">
        <v>95570049</v>
      </c>
      <c r="BE192" s="41">
        <v>97212639</v>
      </c>
      <c r="BF192" s="41">
        <v>98871558</v>
      </c>
      <c r="BG192" s="41">
        <v>100513137</v>
      </c>
      <c r="BH192" s="41">
        <v>102113206</v>
      </c>
      <c r="BI192" s="41">
        <v>103663812</v>
      </c>
      <c r="BJ192" s="41">
        <v>105172921</v>
      </c>
      <c r="BK192" s="41">
        <v>106651394</v>
      </c>
      <c r="BL192" s="41">
        <v>108116622</v>
      </c>
      <c r="BM192" s="41">
        <v>109581085</v>
      </c>
    </row>
    <row r="193" spans="1:65" x14ac:dyDescent="0.35">
      <c r="A193" s="41" t="s">
        <v>479</v>
      </c>
      <c r="B193" s="41" t="s">
        <v>480</v>
      </c>
      <c r="C193" s="41" t="s">
        <v>666</v>
      </c>
      <c r="D193" s="41" t="s">
        <v>667</v>
      </c>
      <c r="E193" s="41">
        <v>9769</v>
      </c>
      <c r="F193" s="41">
        <v>10046</v>
      </c>
      <c r="G193" s="41">
        <v>10329</v>
      </c>
      <c r="H193" s="41">
        <v>10566</v>
      </c>
      <c r="I193" s="41">
        <v>10792</v>
      </c>
      <c r="J193" s="41">
        <v>11005</v>
      </c>
      <c r="K193" s="41">
        <v>11178</v>
      </c>
      <c r="L193" s="41">
        <v>11329</v>
      </c>
      <c r="M193" s="41">
        <v>11460</v>
      </c>
      <c r="N193" s="41">
        <v>11617</v>
      </c>
      <c r="O193" s="41">
        <v>11803</v>
      </c>
      <c r="P193" s="41">
        <v>12051</v>
      </c>
      <c r="Q193" s="41">
        <v>12342</v>
      </c>
      <c r="R193" s="41">
        <v>12625</v>
      </c>
      <c r="S193" s="41">
        <v>12823</v>
      </c>
      <c r="T193" s="41">
        <v>12898</v>
      </c>
      <c r="U193" s="41">
        <v>12835</v>
      </c>
      <c r="V193" s="41">
        <v>12646</v>
      </c>
      <c r="W193" s="41">
        <v>12409</v>
      </c>
      <c r="X193" s="41">
        <v>12231</v>
      </c>
      <c r="Y193" s="41">
        <v>12178</v>
      </c>
      <c r="Z193" s="41">
        <v>12281</v>
      </c>
      <c r="AA193" s="41">
        <v>12519</v>
      </c>
      <c r="AB193" s="41">
        <v>12842</v>
      </c>
      <c r="AC193" s="41">
        <v>13190</v>
      </c>
      <c r="AD193" s="41">
        <v>13534</v>
      </c>
      <c r="AE193" s="41">
        <v>13835</v>
      </c>
      <c r="AF193" s="41">
        <v>14121</v>
      </c>
      <c r="AG193" s="41">
        <v>14400</v>
      </c>
      <c r="AH193" s="41">
        <v>14704</v>
      </c>
      <c r="AI193" s="41">
        <v>15063</v>
      </c>
      <c r="AJ193" s="41">
        <v>15442</v>
      </c>
      <c r="AK193" s="41">
        <v>15859</v>
      </c>
      <c r="AL193" s="41">
        <v>16285</v>
      </c>
      <c r="AM193" s="41">
        <v>16735</v>
      </c>
      <c r="AN193" s="41">
        <v>17158</v>
      </c>
      <c r="AO193" s="41">
        <v>17599</v>
      </c>
      <c r="AP193" s="41">
        <v>18016</v>
      </c>
      <c r="AQ193" s="41">
        <v>18409</v>
      </c>
      <c r="AR193" s="41">
        <v>18773</v>
      </c>
      <c r="AS193" s="41">
        <v>19104</v>
      </c>
      <c r="AT193" s="41">
        <v>19390</v>
      </c>
      <c r="AU193" s="41">
        <v>19642</v>
      </c>
      <c r="AV193" s="41">
        <v>19812</v>
      </c>
      <c r="AW193" s="41">
        <v>19861</v>
      </c>
      <c r="AX193" s="41">
        <v>19784</v>
      </c>
      <c r="AY193" s="41">
        <v>19545</v>
      </c>
      <c r="AZ193" s="41">
        <v>19159</v>
      </c>
      <c r="BA193" s="41">
        <v>18708</v>
      </c>
      <c r="BB193" s="41">
        <v>18290</v>
      </c>
      <c r="BC193" s="41">
        <v>17954</v>
      </c>
      <c r="BD193" s="41">
        <v>17748</v>
      </c>
      <c r="BE193" s="41">
        <v>17635</v>
      </c>
      <c r="BF193" s="41">
        <v>17603</v>
      </c>
      <c r="BG193" s="41">
        <v>17625</v>
      </c>
      <c r="BH193" s="41">
        <v>17665</v>
      </c>
      <c r="BI193" s="41">
        <v>17718</v>
      </c>
      <c r="BJ193" s="41">
        <v>17809</v>
      </c>
      <c r="BK193" s="41">
        <v>17911</v>
      </c>
      <c r="BL193" s="41">
        <v>18001</v>
      </c>
      <c r="BM193" s="41">
        <v>18092</v>
      </c>
    </row>
    <row r="194" spans="1:65" x14ac:dyDescent="0.35">
      <c r="A194" s="41" t="s">
        <v>481</v>
      </c>
      <c r="B194" s="41" t="s">
        <v>482</v>
      </c>
      <c r="C194" s="41" t="s">
        <v>666</v>
      </c>
      <c r="D194" s="41" t="s">
        <v>667</v>
      </c>
      <c r="E194" s="41">
        <v>2255858</v>
      </c>
      <c r="F194" s="41">
        <v>2297052</v>
      </c>
      <c r="G194" s="41">
        <v>2340349</v>
      </c>
      <c r="H194" s="41">
        <v>2385943</v>
      </c>
      <c r="I194" s="41">
        <v>2434220</v>
      </c>
      <c r="J194" s="41">
        <v>2485433</v>
      </c>
      <c r="K194" s="41">
        <v>2539683</v>
      </c>
      <c r="L194" s="41">
        <v>2596820</v>
      </c>
      <c r="M194" s="41">
        <v>2656636</v>
      </c>
      <c r="N194" s="41">
        <v>2718805</v>
      </c>
      <c r="O194" s="41">
        <v>2783132</v>
      </c>
      <c r="P194" s="41">
        <v>2849522</v>
      </c>
      <c r="Q194" s="41">
        <v>2918138</v>
      </c>
      <c r="R194" s="41">
        <v>2989201</v>
      </c>
      <c r="S194" s="41">
        <v>3063051</v>
      </c>
      <c r="T194" s="41">
        <v>3139944</v>
      </c>
      <c r="U194" s="41">
        <v>3219825</v>
      </c>
      <c r="V194" s="41">
        <v>3302636</v>
      </c>
      <c r="W194" s="41">
        <v>3388631</v>
      </c>
      <c r="X194" s="41">
        <v>3478093</v>
      </c>
      <c r="Y194" s="41">
        <v>3571209</v>
      </c>
      <c r="Z194" s="41">
        <v>3668102</v>
      </c>
      <c r="AA194" s="41">
        <v>3768489</v>
      </c>
      <c r="AB194" s="41">
        <v>3871490</v>
      </c>
      <c r="AC194" s="41">
        <v>3975950</v>
      </c>
      <c r="AD194" s="41">
        <v>4081022</v>
      </c>
      <c r="AE194" s="41">
        <v>4186499</v>
      </c>
      <c r="AF194" s="41">
        <v>4292575</v>
      </c>
      <c r="AG194" s="41">
        <v>4399320</v>
      </c>
      <c r="AH194" s="41">
        <v>4506996</v>
      </c>
      <c r="AI194" s="41">
        <v>4615843</v>
      </c>
      <c r="AJ194" s="41">
        <v>4725543</v>
      </c>
      <c r="AK194" s="41">
        <v>4836216</v>
      </c>
      <c r="AL194" s="41">
        <v>4949053</v>
      </c>
      <c r="AM194" s="41">
        <v>5065664</v>
      </c>
      <c r="AN194" s="41">
        <v>5187063</v>
      </c>
      <c r="AO194" s="41">
        <v>5314258</v>
      </c>
      <c r="AP194" s="41">
        <v>5446633</v>
      </c>
      <c r="AQ194" s="41">
        <v>5581767</v>
      </c>
      <c r="AR194" s="41">
        <v>5716166</v>
      </c>
      <c r="AS194" s="41">
        <v>5847590</v>
      </c>
      <c r="AT194" s="41">
        <v>5974627</v>
      </c>
      <c r="AU194" s="41">
        <v>6098621</v>
      </c>
      <c r="AV194" s="41">
        <v>6223378</v>
      </c>
      <c r="AW194" s="41">
        <v>6354247</v>
      </c>
      <c r="AX194" s="41">
        <v>6494902</v>
      </c>
      <c r="AY194" s="41">
        <v>6646891</v>
      </c>
      <c r="AZ194" s="41">
        <v>6808503</v>
      </c>
      <c r="BA194" s="41">
        <v>6976200</v>
      </c>
      <c r="BB194" s="41">
        <v>7144774</v>
      </c>
      <c r="BC194" s="41">
        <v>7310512</v>
      </c>
      <c r="BD194" s="41">
        <v>7472196</v>
      </c>
      <c r="BE194" s="41">
        <v>7631003</v>
      </c>
      <c r="BF194" s="41">
        <v>7788388</v>
      </c>
      <c r="BG194" s="41">
        <v>7946733</v>
      </c>
      <c r="BH194" s="41">
        <v>8107772</v>
      </c>
      <c r="BI194" s="41">
        <v>8271766</v>
      </c>
      <c r="BJ194" s="41">
        <v>8438038</v>
      </c>
      <c r="BK194" s="41">
        <v>8606324</v>
      </c>
      <c r="BL194" s="41">
        <v>8776119</v>
      </c>
      <c r="BM194" s="41">
        <v>8947027</v>
      </c>
    </row>
    <row r="195" spans="1:65" x14ac:dyDescent="0.35">
      <c r="A195" s="41" t="s">
        <v>483</v>
      </c>
      <c r="B195" s="41" t="s">
        <v>484</v>
      </c>
      <c r="C195" s="41" t="s">
        <v>666</v>
      </c>
      <c r="D195" s="41" t="s">
        <v>667</v>
      </c>
      <c r="E195" s="41">
        <v>29637450</v>
      </c>
      <c r="F195" s="41">
        <v>29964000</v>
      </c>
      <c r="G195" s="41">
        <v>30308500</v>
      </c>
      <c r="H195" s="41">
        <v>30712000</v>
      </c>
      <c r="I195" s="41">
        <v>31139450</v>
      </c>
      <c r="J195" s="41">
        <v>31444950</v>
      </c>
      <c r="K195" s="41">
        <v>31681000</v>
      </c>
      <c r="L195" s="41">
        <v>31987155</v>
      </c>
      <c r="M195" s="41">
        <v>32294655</v>
      </c>
      <c r="N195" s="41">
        <v>32548300</v>
      </c>
      <c r="O195" s="41">
        <v>32664300</v>
      </c>
      <c r="P195" s="41">
        <v>32783500</v>
      </c>
      <c r="Q195" s="41">
        <v>33055650</v>
      </c>
      <c r="R195" s="41">
        <v>33357200</v>
      </c>
      <c r="S195" s="41">
        <v>33678899</v>
      </c>
      <c r="T195" s="41">
        <v>34015199</v>
      </c>
      <c r="U195" s="41">
        <v>34356300</v>
      </c>
      <c r="V195" s="41">
        <v>34689050</v>
      </c>
      <c r="W195" s="41">
        <v>34965600</v>
      </c>
      <c r="X195" s="41">
        <v>35247217</v>
      </c>
      <c r="Y195" s="41">
        <v>35574150</v>
      </c>
      <c r="Z195" s="41">
        <v>35898587</v>
      </c>
      <c r="AA195" s="41">
        <v>36230481</v>
      </c>
      <c r="AB195" s="41">
        <v>36571808</v>
      </c>
      <c r="AC195" s="41">
        <v>36904134</v>
      </c>
      <c r="AD195" s="41">
        <v>37201885</v>
      </c>
      <c r="AE195" s="41">
        <v>37456119</v>
      </c>
      <c r="AF195" s="41">
        <v>37668045</v>
      </c>
      <c r="AG195" s="41">
        <v>37824487</v>
      </c>
      <c r="AH195" s="41">
        <v>37961529</v>
      </c>
      <c r="AI195" s="41">
        <v>38110782</v>
      </c>
      <c r="AJ195" s="41">
        <v>38246193</v>
      </c>
      <c r="AK195" s="41">
        <v>38363667</v>
      </c>
      <c r="AL195" s="41">
        <v>38461408</v>
      </c>
      <c r="AM195" s="41">
        <v>38542652</v>
      </c>
      <c r="AN195" s="41">
        <v>38594998</v>
      </c>
      <c r="AO195" s="41">
        <v>38624370</v>
      </c>
      <c r="AP195" s="41">
        <v>38649660</v>
      </c>
      <c r="AQ195" s="41">
        <v>38663481</v>
      </c>
      <c r="AR195" s="41">
        <v>38660271</v>
      </c>
      <c r="AS195" s="41">
        <v>38258629</v>
      </c>
      <c r="AT195" s="41">
        <v>38248076</v>
      </c>
      <c r="AU195" s="41">
        <v>38230364</v>
      </c>
      <c r="AV195" s="41">
        <v>38204570</v>
      </c>
      <c r="AW195" s="41">
        <v>38182222</v>
      </c>
      <c r="AX195" s="41">
        <v>38165445</v>
      </c>
      <c r="AY195" s="41">
        <v>38141267</v>
      </c>
      <c r="AZ195" s="41">
        <v>38120560</v>
      </c>
      <c r="BA195" s="41">
        <v>38125759</v>
      </c>
      <c r="BB195" s="41">
        <v>38151603</v>
      </c>
      <c r="BC195" s="41">
        <v>38042794</v>
      </c>
      <c r="BD195" s="41">
        <v>38063255</v>
      </c>
      <c r="BE195" s="41">
        <v>38063164</v>
      </c>
      <c r="BF195" s="41">
        <v>38040196</v>
      </c>
      <c r="BG195" s="41">
        <v>38011735</v>
      </c>
      <c r="BH195" s="41">
        <v>37986412</v>
      </c>
      <c r="BI195" s="41">
        <v>37970087</v>
      </c>
      <c r="BJ195" s="41">
        <v>37974826</v>
      </c>
      <c r="BK195" s="41">
        <v>37974750</v>
      </c>
      <c r="BL195" s="41">
        <v>37965475</v>
      </c>
      <c r="BM195" s="41">
        <v>37950802</v>
      </c>
    </row>
    <row r="196" spans="1:65" x14ac:dyDescent="0.35">
      <c r="A196" s="41" t="s">
        <v>485</v>
      </c>
      <c r="B196" s="41" t="s">
        <v>486</v>
      </c>
      <c r="C196" s="41" t="s">
        <v>666</v>
      </c>
      <c r="D196" s="41" t="s">
        <v>667</v>
      </c>
      <c r="E196" s="41">
        <v>187617086</v>
      </c>
      <c r="F196" s="41">
        <v>191889668</v>
      </c>
      <c r="G196" s="41">
        <v>196349130</v>
      </c>
      <c r="H196" s="41">
        <v>200997696</v>
      </c>
      <c r="I196" s="41">
        <v>205835402</v>
      </c>
      <c r="J196" s="41">
        <v>210865011</v>
      </c>
      <c r="K196" s="41">
        <v>216096182</v>
      </c>
      <c r="L196" s="41">
        <v>221539857</v>
      </c>
      <c r="M196" s="41">
        <v>227201766</v>
      </c>
      <c r="N196" s="41">
        <v>233087196</v>
      </c>
      <c r="O196" s="41">
        <v>239204922</v>
      </c>
      <c r="P196" s="41">
        <v>245537967</v>
      </c>
      <c r="Q196" s="41">
        <v>252097876</v>
      </c>
      <c r="R196" s="41">
        <v>258953399</v>
      </c>
      <c r="S196" s="41">
        <v>266195192</v>
      </c>
      <c r="T196" s="41">
        <v>273877853</v>
      </c>
      <c r="U196" s="41">
        <v>282049633</v>
      </c>
      <c r="V196" s="41">
        <v>290664978</v>
      </c>
      <c r="W196" s="41">
        <v>299570039</v>
      </c>
      <c r="X196" s="41">
        <v>308551498</v>
      </c>
      <c r="Y196" s="41">
        <v>317462476</v>
      </c>
      <c r="Z196" s="41">
        <v>326257709</v>
      </c>
      <c r="AA196" s="41">
        <v>335003783</v>
      </c>
      <c r="AB196" s="41">
        <v>343806080</v>
      </c>
      <c r="AC196" s="41">
        <v>352822095</v>
      </c>
      <c r="AD196" s="41">
        <v>362177648</v>
      </c>
      <c r="AE196" s="41">
        <v>371878713</v>
      </c>
      <c r="AF196" s="41">
        <v>381918442</v>
      </c>
      <c r="AG196" s="41">
        <v>392393113</v>
      </c>
      <c r="AH196" s="41">
        <v>403416174</v>
      </c>
      <c r="AI196" s="41">
        <v>415057402</v>
      </c>
      <c r="AJ196" s="41">
        <v>427398546</v>
      </c>
      <c r="AK196" s="41">
        <v>440397744</v>
      </c>
      <c r="AL196" s="41">
        <v>453849671</v>
      </c>
      <c r="AM196" s="41">
        <v>467465268</v>
      </c>
      <c r="AN196" s="41">
        <v>481049536</v>
      </c>
      <c r="AO196" s="41">
        <v>494517689</v>
      </c>
      <c r="AP196" s="41">
        <v>507968951</v>
      </c>
      <c r="AQ196" s="41">
        <v>521617701</v>
      </c>
      <c r="AR196" s="41">
        <v>535773383</v>
      </c>
      <c r="AS196" s="41">
        <v>550660000</v>
      </c>
      <c r="AT196" s="41">
        <v>566366083</v>
      </c>
      <c r="AU196" s="41">
        <v>582828758</v>
      </c>
      <c r="AV196" s="41">
        <v>599938100</v>
      </c>
      <c r="AW196" s="41">
        <v>617518659</v>
      </c>
      <c r="AX196" s="41">
        <v>635451626</v>
      </c>
      <c r="AY196" s="41">
        <v>653695057</v>
      </c>
      <c r="AZ196" s="41">
        <v>672318862</v>
      </c>
      <c r="BA196" s="41">
        <v>691447634</v>
      </c>
      <c r="BB196" s="41">
        <v>711257518</v>
      </c>
      <c r="BC196" s="41">
        <v>731868780</v>
      </c>
      <c r="BD196" s="41">
        <v>753326898</v>
      </c>
      <c r="BE196" s="41">
        <v>775573262</v>
      </c>
      <c r="BF196" s="41">
        <v>798496024</v>
      </c>
      <c r="BG196" s="41">
        <v>821931559</v>
      </c>
      <c r="BH196" s="41">
        <v>845759372</v>
      </c>
      <c r="BI196" s="41">
        <v>869943573</v>
      </c>
      <c r="BJ196" s="41">
        <v>894512378</v>
      </c>
      <c r="BK196" s="41">
        <v>919485090</v>
      </c>
      <c r="BL196" s="41">
        <v>944902748</v>
      </c>
      <c r="BM196" s="41">
        <v>970795671</v>
      </c>
    </row>
    <row r="197" spans="1:65" x14ac:dyDescent="0.35">
      <c r="A197" s="41" t="s">
        <v>487</v>
      </c>
      <c r="B197" s="41" t="s">
        <v>488</v>
      </c>
      <c r="C197" s="41" t="s">
        <v>666</v>
      </c>
      <c r="D197" s="41" t="s">
        <v>667</v>
      </c>
      <c r="E197" s="41">
        <v>2358000</v>
      </c>
      <c r="F197" s="41">
        <v>2399722</v>
      </c>
      <c r="G197" s="41">
        <v>2450322</v>
      </c>
      <c r="H197" s="41">
        <v>2504530</v>
      </c>
      <c r="I197" s="41">
        <v>2554066</v>
      </c>
      <c r="J197" s="41">
        <v>2594000</v>
      </c>
      <c r="K197" s="41">
        <v>2624995</v>
      </c>
      <c r="L197" s="41">
        <v>2645674</v>
      </c>
      <c r="M197" s="41">
        <v>2662064</v>
      </c>
      <c r="N197" s="41">
        <v>2684150</v>
      </c>
      <c r="O197" s="41">
        <v>2718000</v>
      </c>
      <c r="P197" s="41">
        <v>2762190</v>
      </c>
      <c r="Q197" s="41">
        <v>2817256</v>
      </c>
      <c r="R197" s="41">
        <v>2878786</v>
      </c>
      <c r="S197" s="41">
        <v>2939299</v>
      </c>
      <c r="T197" s="41">
        <v>2994000</v>
      </c>
      <c r="U197" s="41">
        <v>3043854</v>
      </c>
      <c r="V197" s="41">
        <v>3088690</v>
      </c>
      <c r="W197" s="41">
        <v>3129421</v>
      </c>
      <c r="X197" s="41">
        <v>3168088</v>
      </c>
      <c r="Y197" s="41">
        <v>3206000</v>
      </c>
      <c r="Z197" s="41">
        <v>3242552</v>
      </c>
      <c r="AA197" s="41">
        <v>3277453</v>
      </c>
      <c r="AB197" s="41">
        <v>3311138</v>
      </c>
      <c r="AC197" s="41">
        <v>3344190</v>
      </c>
      <c r="AD197" s="41">
        <v>3377000</v>
      </c>
      <c r="AE197" s="41">
        <v>3409554</v>
      </c>
      <c r="AF197" s="41">
        <v>3441850</v>
      </c>
      <c r="AG197" s="41">
        <v>3473898</v>
      </c>
      <c r="AH197" s="41">
        <v>3505650</v>
      </c>
      <c r="AI197" s="41">
        <v>3537000</v>
      </c>
      <c r="AJ197" s="41">
        <v>3562110</v>
      </c>
      <c r="AK197" s="41">
        <v>3585176</v>
      </c>
      <c r="AL197" s="41">
        <v>3615497</v>
      </c>
      <c r="AM197" s="41">
        <v>3649237</v>
      </c>
      <c r="AN197" s="41">
        <v>3683103</v>
      </c>
      <c r="AO197" s="41">
        <v>3724655</v>
      </c>
      <c r="AP197" s="41">
        <v>3759430</v>
      </c>
      <c r="AQ197" s="41">
        <v>3781101</v>
      </c>
      <c r="AR197" s="41">
        <v>3800081</v>
      </c>
      <c r="AS197" s="41">
        <v>3810605</v>
      </c>
      <c r="AT197" s="41">
        <v>3818774</v>
      </c>
      <c r="AU197" s="41">
        <v>3823701</v>
      </c>
      <c r="AV197" s="41">
        <v>3826095</v>
      </c>
      <c r="AW197" s="41">
        <v>3826878</v>
      </c>
      <c r="AX197" s="41">
        <v>3821362</v>
      </c>
      <c r="AY197" s="41">
        <v>3805214</v>
      </c>
      <c r="AZ197" s="41">
        <v>3782995</v>
      </c>
      <c r="BA197" s="41">
        <v>3760866</v>
      </c>
      <c r="BB197" s="41">
        <v>3740410</v>
      </c>
      <c r="BC197" s="41">
        <v>3721525</v>
      </c>
      <c r="BD197" s="41">
        <v>3678732</v>
      </c>
      <c r="BE197" s="41">
        <v>3634488</v>
      </c>
      <c r="BF197" s="41">
        <v>3593077</v>
      </c>
      <c r="BG197" s="41">
        <v>3534874</v>
      </c>
      <c r="BH197" s="41">
        <v>3473232</v>
      </c>
      <c r="BI197" s="41">
        <v>3406672</v>
      </c>
      <c r="BJ197" s="41">
        <v>3325286</v>
      </c>
      <c r="BK197" s="41">
        <v>3193354</v>
      </c>
      <c r="BL197" s="41">
        <v>3193694</v>
      </c>
      <c r="BM197" s="41">
        <v>3194034</v>
      </c>
    </row>
    <row r="198" spans="1:65" x14ac:dyDescent="0.35">
      <c r="A198" s="41" t="s">
        <v>665</v>
      </c>
      <c r="B198" s="41" t="s">
        <v>490</v>
      </c>
      <c r="C198" s="41" t="s">
        <v>666</v>
      </c>
      <c r="D198" s="41" t="s">
        <v>667</v>
      </c>
      <c r="E198" s="41">
        <v>11424189</v>
      </c>
      <c r="F198" s="41">
        <v>11665592</v>
      </c>
      <c r="G198" s="41">
        <v>11871726</v>
      </c>
      <c r="H198" s="41">
        <v>12065468</v>
      </c>
      <c r="I198" s="41">
        <v>12282417</v>
      </c>
      <c r="J198" s="41">
        <v>12547524</v>
      </c>
      <c r="K198" s="41">
        <v>12864947</v>
      </c>
      <c r="L198" s="41">
        <v>13222703</v>
      </c>
      <c r="M198" s="41">
        <v>13609976</v>
      </c>
      <c r="N198" s="41">
        <v>14010339</v>
      </c>
      <c r="O198" s="41">
        <v>14410391</v>
      </c>
      <c r="P198" s="41">
        <v>14809518</v>
      </c>
      <c r="Q198" s="41">
        <v>15207765</v>
      </c>
      <c r="R198" s="41">
        <v>15593353</v>
      </c>
      <c r="S198" s="41">
        <v>15952077</v>
      </c>
      <c r="T198" s="41">
        <v>16274737</v>
      </c>
      <c r="U198" s="41">
        <v>16554744</v>
      </c>
      <c r="V198" s="41">
        <v>16796568</v>
      </c>
      <c r="W198" s="41">
        <v>17015984</v>
      </c>
      <c r="X198" s="41">
        <v>17235668</v>
      </c>
      <c r="Y198" s="41">
        <v>17472144</v>
      </c>
      <c r="Z198" s="41">
        <v>17731229</v>
      </c>
      <c r="AA198" s="41">
        <v>18008568</v>
      </c>
      <c r="AB198" s="41">
        <v>18298212</v>
      </c>
      <c r="AC198" s="41">
        <v>18590142</v>
      </c>
      <c r="AD198" s="41">
        <v>18877226</v>
      </c>
      <c r="AE198" s="41">
        <v>19156791</v>
      </c>
      <c r="AF198" s="41">
        <v>19431992</v>
      </c>
      <c r="AG198" s="41">
        <v>19708316</v>
      </c>
      <c r="AH198" s="41">
        <v>19993757</v>
      </c>
      <c r="AI198" s="41">
        <v>20293057</v>
      </c>
      <c r="AJ198" s="41">
        <v>20609151</v>
      </c>
      <c r="AK198" s="41">
        <v>20937407</v>
      </c>
      <c r="AL198" s="41">
        <v>21265832</v>
      </c>
      <c r="AM198" s="41">
        <v>21577979</v>
      </c>
      <c r="AN198" s="41">
        <v>21862300</v>
      </c>
      <c r="AO198" s="41">
        <v>22113428</v>
      </c>
      <c r="AP198" s="41">
        <v>22335263</v>
      </c>
      <c r="AQ198" s="41">
        <v>22536754</v>
      </c>
      <c r="AR198" s="41">
        <v>22731470</v>
      </c>
      <c r="AS198" s="41">
        <v>22929078</v>
      </c>
      <c r="AT198" s="41">
        <v>23132982</v>
      </c>
      <c r="AU198" s="41">
        <v>23339453</v>
      </c>
      <c r="AV198" s="41">
        <v>23542434</v>
      </c>
      <c r="AW198" s="41">
        <v>23732740</v>
      </c>
      <c r="AX198" s="41">
        <v>23904167</v>
      </c>
      <c r="AY198" s="41">
        <v>24054866</v>
      </c>
      <c r="AZ198" s="41">
        <v>24188330</v>
      </c>
      <c r="BA198" s="41">
        <v>24310143</v>
      </c>
      <c r="BB198" s="41">
        <v>24428340</v>
      </c>
      <c r="BC198" s="41">
        <v>24548840</v>
      </c>
      <c r="BD198" s="41">
        <v>24673392</v>
      </c>
      <c r="BE198" s="41">
        <v>24800638</v>
      </c>
      <c r="BF198" s="41">
        <v>24929500</v>
      </c>
      <c r="BG198" s="41">
        <v>25057793</v>
      </c>
      <c r="BH198" s="41">
        <v>25183832</v>
      </c>
      <c r="BI198" s="41">
        <v>25307665</v>
      </c>
      <c r="BJ198" s="41">
        <v>25429816</v>
      </c>
      <c r="BK198" s="41">
        <v>25549606</v>
      </c>
      <c r="BL198" s="41">
        <v>25666158</v>
      </c>
      <c r="BM198" s="41">
        <v>25778815</v>
      </c>
    </row>
    <row r="199" spans="1:65" x14ac:dyDescent="0.35">
      <c r="A199" s="41" t="s">
        <v>491</v>
      </c>
      <c r="B199" s="41" t="s">
        <v>492</v>
      </c>
      <c r="C199" s="41" t="s">
        <v>666</v>
      </c>
      <c r="D199" s="41" t="s">
        <v>667</v>
      </c>
      <c r="E199" s="41">
        <v>8857716</v>
      </c>
      <c r="F199" s="41">
        <v>8929316</v>
      </c>
      <c r="G199" s="41">
        <v>8993985</v>
      </c>
      <c r="H199" s="41">
        <v>9030355</v>
      </c>
      <c r="I199" s="41">
        <v>9035365</v>
      </c>
      <c r="J199" s="41">
        <v>8998595</v>
      </c>
      <c r="K199" s="41">
        <v>8930990</v>
      </c>
      <c r="L199" s="41">
        <v>8874520</v>
      </c>
      <c r="M199" s="41">
        <v>8836650</v>
      </c>
      <c r="N199" s="41">
        <v>8757705</v>
      </c>
      <c r="O199" s="41">
        <v>8680431</v>
      </c>
      <c r="P199" s="41">
        <v>8643756</v>
      </c>
      <c r="Q199" s="41">
        <v>8630430</v>
      </c>
      <c r="R199" s="41">
        <v>8633100</v>
      </c>
      <c r="S199" s="41">
        <v>8754365</v>
      </c>
      <c r="T199" s="41">
        <v>9093470</v>
      </c>
      <c r="U199" s="41">
        <v>9355810</v>
      </c>
      <c r="V199" s="41">
        <v>9455675</v>
      </c>
      <c r="W199" s="41">
        <v>9558250</v>
      </c>
      <c r="X199" s="41">
        <v>9661265</v>
      </c>
      <c r="Y199" s="41">
        <v>9766312</v>
      </c>
      <c r="Z199" s="41">
        <v>9851362</v>
      </c>
      <c r="AA199" s="41">
        <v>9911771</v>
      </c>
      <c r="AB199" s="41">
        <v>9957865</v>
      </c>
      <c r="AC199" s="41">
        <v>9996232</v>
      </c>
      <c r="AD199" s="41">
        <v>10023613</v>
      </c>
      <c r="AE199" s="41">
        <v>10032734</v>
      </c>
      <c r="AF199" s="41">
        <v>10030031</v>
      </c>
      <c r="AG199" s="41">
        <v>10019610</v>
      </c>
      <c r="AH199" s="41">
        <v>10005000</v>
      </c>
      <c r="AI199" s="41">
        <v>9983218</v>
      </c>
      <c r="AJ199" s="41">
        <v>9960235</v>
      </c>
      <c r="AK199" s="41">
        <v>9952494</v>
      </c>
      <c r="AL199" s="41">
        <v>9964675</v>
      </c>
      <c r="AM199" s="41">
        <v>9991525</v>
      </c>
      <c r="AN199" s="41">
        <v>10026176</v>
      </c>
      <c r="AO199" s="41">
        <v>10063945</v>
      </c>
      <c r="AP199" s="41">
        <v>10108977</v>
      </c>
      <c r="AQ199" s="41">
        <v>10160196</v>
      </c>
      <c r="AR199" s="41">
        <v>10217828</v>
      </c>
      <c r="AS199" s="41">
        <v>10289898</v>
      </c>
      <c r="AT199" s="41">
        <v>10362722</v>
      </c>
      <c r="AU199" s="41">
        <v>10419631</v>
      </c>
      <c r="AV199" s="41">
        <v>10458821</v>
      </c>
      <c r="AW199" s="41">
        <v>10483861</v>
      </c>
      <c r="AX199" s="41">
        <v>10503330</v>
      </c>
      <c r="AY199" s="41">
        <v>10522288</v>
      </c>
      <c r="AZ199" s="41">
        <v>10542964</v>
      </c>
      <c r="BA199" s="41">
        <v>10558177</v>
      </c>
      <c r="BB199" s="41">
        <v>10568247</v>
      </c>
      <c r="BC199" s="41">
        <v>10573100</v>
      </c>
      <c r="BD199" s="41">
        <v>10557560</v>
      </c>
      <c r="BE199" s="41">
        <v>10514844</v>
      </c>
      <c r="BF199" s="41">
        <v>10457295</v>
      </c>
      <c r="BG199" s="41">
        <v>10401062</v>
      </c>
      <c r="BH199" s="41">
        <v>10358076</v>
      </c>
      <c r="BI199" s="41">
        <v>10325452</v>
      </c>
      <c r="BJ199" s="41">
        <v>10300300</v>
      </c>
      <c r="BK199" s="41">
        <v>10283822</v>
      </c>
      <c r="BL199" s="41">
        <v>10286263</v>
      </c>
      <c r="BM199" s="41">
        <v>10305564</v>
      </c>
    </row>
    <row r="200" spans="1:65" x14ac:dyDescent="0.35">
      <c r="A200" s="41" t="s">
        <v>493</v>
      </c>
      <c r="B200" s="41" t="s">
        <v>494</v>
      </c>
      <c r="C200" s="41" t="s">
        <v>666</v>
      </c>
      <c r="D200" s="41" t="s">
        <v>667</v>
      </c>
      <c r="E200" s="41">
        <v>1903990</v>
      </c>
      <c r="F200" s="41">
        <v>1954552</v>
      </c>
      <c r="G200" s="41">
        <v>2006675</v>
      </c>
      <c r="H200" s="41">
        <v>2060340</v>
      </c>
      <c r="I200" s="41">
        <v>2115573</v>
      </c>
      <c r="J200" s="41">
        <v>2172309</v>
      </c>
      <c r="K200" s="41">
        <v>2230733</v>
      </c>
      <c r="L200" s="41">
        <v>2290797</v>
      </c>
      <c r="M200" s="41">
        <v>2351926</v>
      </c>
      <c r="N200" s="41">
        <v>2413396</v>
      </c>
      <c r="O200" s="41">
        <v>2474757</v>
      </c>
      <c r="P200" s="41">
        <v>2535877</v>
      </c>
      <c r="Q200" s="41">
        <v>2597149</v>
      </c>
      <c r="R200" s="41">
        <v>2659418</v>
      </c>
      <c r="S200" s="41">
        <v>2723816</v>
      </c>
      <c r="T200" s="41">
        <v>2791236</v>
      </c>
      <c r="U200" s="41">
        <v>2861868</v>
      </c>
      <c r="V200" s="41">
        <v>2935710</v>
      </c>
      <c r="W200" s="41">
        <v>3013281</v>
      </c>
      <c r="X200" s="41">
        <v>3095151</v>
      </c>
      <c r="Y200" s="41">
        <v>3181627</v>
      </c>
      <c r="Z200" s="41">
        <v>3272922</v>
      </c>
      <c r="AA200" s="41">
        <v>3368763</v>
      </c>
      <c r="AB200" s="41">
        <v>3468533</v>
      </c>
      <c r="AC200" s="41">
        <v>3571275</v>
      </c>
      <c r="AD200" s="41">
        <v>3676206</v>
      </c>
      <c r="AE200" s="41">
        <v>3783074</v>
      </c>
      <c r="AF200" s="41">
        <v>3891725</v>
      </c>
      <c r="AG200" s="41">
        <v>4001678</v>
      </c>
      <c r="AH200" s="41">
        <v>4112396</v>
      </c>
      <c r="AI200" s="41">
        <v>4223413</v>
      </c>
      <c r="AJ200" s="41">
        <v>4334348</v>
      </c>
      <c r="AK200" s="41">
        <v>4445019</v>
      </c>
      <c r="AL200" s="41">
        <v>4555518</v>
      </c>
      <c r="AM200" s="41">
        <v>4666096</v>
      </c>
      <c r="AN200" s="41">
        <v>4776838</v>
      </c>
      <c r="AO200" s="41">
        <v>4887638</v>
      </c>
      <c r="AP200" s="41">
        <v>4998096</v>
      </c>
      <c r="AQ200" s="41">
        <v>5107840</v>
      </c>
      <c r="AR200" s="41">
        <v>5216346</v>
      </c>
      <c r="AS200" s="41">
        <v>5323202</v>
      </c>
      <c r="AT200" s="41">
        <v>5428442</v>
      </c>
      <c r="AU200" s="41">
        <v>5531958</v>
      </c>
      <c r="AV200" s="41">
        <v>5632983</v>
      </c>
      <c r="AW200" s="41">
        <v>5730556</v>
      </c>
      <c r="AX200" s="41">
        <v>5824095</v>
      </c>
      <c r="AY200" s="41">
        <v>5913212</v>
      </c>
      <c r="AZ200" s="41">
        <v>5998430</v>
      </c>
      <c r="BA200" s="41">
        <v>6081296</v>
      </c>
      <c r="BB200" s="41">
        <v>6163970</v>
      </c>
      <c r="BC200" s="41">
        <v>6248017</v>
      </c>
      <c r="BD200" s="41">
        <v>6333981</v>
      </c>
      <c r="BE200" s="41">
        <v>6421510</v>
      </c>
      <c r="BF200" s="41">
        <v>6510273</v>
      </c>
      <c r="BG200" s="41">
        <v>6599524</v>
      </c>
      <c r="BH200" s="41">
        <v>6688746</v>
      </c>
      <c r="BI200" s="41">
        <v>6777878</v>
      </c>
      <c r="BJ200" s="41">
        <v>6867058</v>
      </c>
      <c r="BK200" s="41">
        <v>6956069</v>
      </c>
      <c r="BL200" s="41">
        <v>7044639</v>
      </c>
      <c r="BM200" s="41">
        <v>7132530</v>
      </c>
    </row>
    <row r="201" spans="1:65" x14ac:dyDescent="0.35">
      <c r="A201" s="41" t="s">
        <v>495</v>
      </c>
      <c r="B201" s="41" t="s">
        <v>496</v>
      </c>
      <c r="C201" s="41" t="s">
        <v>666</v>
      </c>
      <c r="D201" s="41" t="s">
        <v>667</v>
      </c>
      <c r="AI201" s="41">
        <v>1978248</v>
      </c>
      <c r="AJ201" s="41">
        <v>2068845</v>
      </c>
      <c r="AK201" s="41">
        <v>2163591</v>
      </c>
      <c r="AL201" s="41">
        <v>2262676</v>
      </c>
      <c r="AM201" s="41">
        <v>2366298</v>
      </c>
      <c r="AN201" s="41">
        <v>2474666</v>
      </c>
      <c r="AO201" s="41">
        <v>2587997</v>
      </c>
      <c r="AP201" s="41">
        <v>2706518</v>
      </c>
      <c r="AQ201" s="41">
        <v>2776568</v>
      </c>
      <c r="AR201" s="41">
        <v>2848431</v>
      </c>
      <c r="AS201" s="41">
        <v>2922153</v>
      </c>
      <c r="AT201" s="41">
        <v>2997784</v>
      </c>
      <c r="AU201" s="41">
        <v>3075373</v>
      </c>
      <c r="AV201" s="41">
        <v>3154969</v>
      </c>
      <c r="AW201" s="41">
        <v>3236626</v>
      </c>
      <c r="AX201" s="41">
        <v>3320396</v>
      </c>
      <c r="AY201" s="41">
        <v>3406334</v>
      </c>
      <c r="AZ201" s="41">
        <v>3494496</v>
      </c>
      <c r="BA201" s="41">
        <v>3591977</v>
      </c>
      <c r="BB201" s="41">
        <v>3689099</v>
      </c>
      <c r="BC201" s="41">
        <v>3786161</v>
      </c>
      <c r="BD201" s="41">
        <v>3882986</v>
      </c>
      <c r="BE201" s="41">
        <v>3979998</v>
      </c>
      <c r="BF201" s="41">
        <v>4076708</v>
      </c>
      <c r="BG201" s="41">
        <v>4173398</v>
      </c>
      <c r="BH201" s="41">
        <v>4270092</v>
      </c>
      <c r="BI201" s="41">
        <v>4367088</v>
      </c>
      <c r="BJ201" s="41">
        <v>4454805</v>
      </c>
      <c r="BK201" s="41">
        <v>4569087</v>
      </c>
      <c r="BL201" s="41">
        <v>4685306</v>
      </c>
      <c r="BM201" s="41">
        <v>4803269</v>
      </c>
    </row>
    <row r="202" spans="1:65" x14ac:dyDescent="0.35">
      <c r="A202" s="41" t="s">
        <v>497</v>
      </c>
      <c r="B202" s="41" t="s">
        <v>498</v>
      </c>
      <c r="C202" s="41" t="s">
        <v>666</v>
      </c>
      <c r="D202" s="41" t="s">
        <v>667</v>
      </c>
      <c r="E202" s="41">
        <v>865064</v>
      </c>
      <c r="F202" s="41">
        <v>893394</v>
      </c>
      <c r="G202" s="41">
        <v>923320</v>
      </c>
      <c r="H202" s="41">
        <v>954098</v>
      </c>
      <c r="I202" s="41">
        <v>984824</v>
      </c>
      <c r="J202" s="41">
        <v>1014633</v>
      </c>
      <c r="K202" s="41">
        <v>1043365</v>
      </c>
      <c r="L202" s="41">
        <v>1071166</v>
      </c>
      <c r="M202" s="41">
        <v>1098151</v>
      </c>
      <c r="N202" s="41">
        <v>1124577</v>
      </c>
      <c r="O202" s="41">
        <v>1150712</v>
      </c>
      <c r="P202" s="41">
        <v>1176559</v>
      </c>
      <c r="Q202" s="41">
        <v>1202128</v>
      </c>
      <c r="R202" s="41">
        <v>1227653</v>
      </c>
      <c r="S202" s="41">
        <v>1253371</v>
      </c>
      <c r="T202" s="41">
        <v>1279519</v>
      </c>
      <c r="U202" s="41">
        <v>1306023</v>
      </c>
      <c r="V202" s="41">
        <v>1332876</v>
      </c>
      <c r="W202" s="41">
        <v>1360542</v>
      </c>
      <c r="X202" s="41">
        <v>1389594</v>
      </c>
      <c r="Y202" s="41">
        <v>1420314</v>
      </c>
      <c r="Z202" s="41">
        <v>1453209</v>
      </c>
      <c r="AA202" s="41">
        <v>1487849</v>
      </c>
      <c r="AB202" s="41">
        <v>1522650</v>
      </c>
      <c r="AC202" s="41">
        <v>1555395</v>
      </c>
      <c r="AD202" s="41">
        <v>1584644</v>
      </c>
      <c r="AE202" s="41">
        <v>1609572</v>
      </c>
      <c r="AF202" s="41">
        <v>1630869</v>
      </c>
      <c r="AG202" s="41">
        <v>1650438</v>
      </c>
      <c r="AH202" s="41">
        <v>1670962</v>
      </c>
      <c r="AI202" s="41">
        <v>1694327</v>
      </c>
      <c r="AJ202" s="41">
        <v>1721236</v>
      </c>
      <c r="AK202" s="41">
        <v>1750932</v>
      </c>
      <c r="AL202" s="41">
        <v>1782085</v>
      </c>
      <c r="AM202" s="41">
        <v>1812838</v>
      </c>
      <c r="AN202" s="41">
        <v>1841674</v>
      </c>
      <c r="AO202" s="41">
        <v>1868390</v>
      </c>
      <c r="AP202" s="41">
        <v>1893438</v>
      </c>
      <c r="AQ202" s="41">
        <v>1917140</v>
      </c>
      <c r="AR202" s="41">
        <v>1939956</v>
      </c>
      <c r="AS202" s="41">
        <v>1962451</v>
      </c>
      <c r="AT202" s="41">
        <v>1984469</v>
      </c>
      <c r="AU202" s="41">
        <v>2006091</v>
      </c>
      <c r="AV202" s="41">
        <v>2027859</v>
      </c>
      <c r="AW202" s="41">
        <v>2050583</v>
      </c>
      <c r="AX202" s="41">
        <v>2074776</v>
      </c>
      <c r="AY202" s="41">
        <v>2100892</v>
      </c>
      <c r="AZ202" s="41">
        <v>2128647</v>
      </c>
      <c r="BA202" s="41">
        <v>2157454</v>
      </c>
      <c r="BB202" s="41">
        <v>2186314</v>
      </c>
      <c r="BC202" s="41">
        <v>2214509</v>
      </c>
      <c r="BD202" s="41">
        <v>2241808</v>
      </c>
      <c r="BE202" s="41">
        <v>2268553</v>
      </c>
      <c r="BF202" s="41">
        <v>2295450</v>
      </c>
      <c r="BG202" s="41">
        <v>2323558</v>
      </c>
      <c r="BH202" s="41">
        <v>2353578</v>
      </c>
      <c r="BI202" s="41">
        <v>2385744</v>
      </c>
      <c r="BJ202" s="41">
        <v>2419767</v>
      </c>
      <c r="BK202" s="41">
        <v>2455336</v>
      </c>
      <c r="BL202" s="41">
        <v>2491878</v>
      </c>
      <c r="BM202" s="41">
        <v>2528958</v>
      </c>
    </row>
    <row r="203" spans="1:65" x14ac:dyDescent="0.35">
      <c r="A203" s="41" t="s">
        <v>499</v>
      </c>
      <c r="B203" s="41" t="s">
        <v>500</v>
      </c>
      <c r="C203" s="41" t="s">
        <v>666</v>
      </c>
      <c r="D203" s="41" t="s">
        <v>667</v>
      </c>
      <c r="E203" s="41">
        <v>755229793</v>
      </c>
      <c r="F203" s="41">
        <v>764423461</v>
      </c>
      <c r="G203" s="41">
        <v>773856028</v>
      </c>
      <c r="H203" s="41">
        <v>783141819</v>
      </c>
      <c r="I203" s="41">
        <v>792263980</v>
      </c>
      <c r="J203" s="41">
        <v>801098720</v>
      </c>
      <c r="K203" s="41">
        <v>809363152</v>
      </c>
      <c r="L203" s="41">
        <v>817179925</v>
      </c>
      <c r="M203" s="41">
        <v>824733296</v>
      </c>
      <c r="N203" s="41">
        <v>832280859</v>
      </c>
      <c r="O203" s="41">
        <v>839822017</v>
      </c>
      <c r="P203" s="41">
        <v>849163924</v>
      </c>
      <c r="Q203" s="41">
        <v>857079422</v>
      </c>
      <c r="R203" s="41">
        <v>864609745</v>
      </c>
      <c r="S203" s="41">
        <v>871928836</v>
      </c>
      <c r="T203" s="41">
        <v>878890622</v>
      </c>
      <c r="U203" s="41">
        <v>885145869</v>
      </c>
      <c r="V203" s="41">
        <v>891251760</v>
      </c>
      <c r="W203" s="41">
        <v>897391855</v>
      </c>
      <c r="X203" s="41">
        <v>903788370</v>
      </c>
      <c r="Y203" s="41">
        <v>909890607</v>
      </c>
      <c r="Z203" s="41">
        <v>915971623</v>
      </c>
      <c r="AA203" s="41">
        <v>921511883</v>
      </c>
      <c r="AB203" s="41">
        <v>926614804</v>
      </c>
      <c r="AC203" s="41">
        <v>931410415</v>
      </c>
      <c r="AD203" s="41">
        <v>936241263</v>
      </c>
      <c r="AE203" s="41">
        <v>941376248</v>
      </c>
      <c r="AF203" s="41">
        <v>946671291</v>
      </c>
      <c r="AG203" s="41">
        <v>952173528</v>
      </c>
      <c r="AH203" s="41">
        <v>958081653</v>
      </c>
      <c r="AI203" s="41">
        <v>964173901</v>
      </c>
      <c r="AJ203" s="41">
        <v>970997793</v>
      </c>
      <c r="AK203" s="41">
        <v>977878861</v>
      </c>
      <c r="AL203" s="41">
        <v>984374928</v>
      </c>
      <c r="AM203" s="41">
        <v>990074277</v>
      </c>
      <c r="AN203" s="41">
        <v>995310615</v>
      </c>
      <c r="AO203" s="41">
        <v>1000603716</v>
      </c>
      <c r="AP203" s="41">
        <v>1005700198</v>
      </c>
      <c r="AQ203" s="41">
        <v>1010590857</v>
      </c>
      <c r="AR203" s="41">
        <v>1015421531</v>
      </c>
      <c r="AS203" s="41">
        <v>1020504874</v>
      </c>
      <c r="AT203" s="41">
        <v>1025401797</v>
      </c>
      <c r="AU203" s="41">
        <v>1030561691</v>
      </c>
      <c r="AV203" s="41">
        <v>1035711715</v>
      </c>
      <c r="AW203" s="41">
        <v>1041075191</v>
      </c>
      <c r="AX203" s="41">
        <v>1046366703</v>
      </c>
      <c r="AY203" s="41">
        <v>1052054839</v>
      </c>
      <c r="AZ203" s="41">
        <v>1057981930</v>
      </c>
      <c r="BA203" s="41">
        <v>1064394135</v>
      </c>
      <c r="BB203" s="41">
        <v>1069878419</v>
      </c>
      <c r="BC203" s="41">
        <v>1074870583</v>
      </c>
      <c r="BD203" s="41">
        <v>1077841980</v>
      </c>
      <c r="BE203" s="41">
        <v>1082374116</v>
      </c>
      <c r="BF203" s="41">
        <v>1087130325</v>
      </c>
      <c r="BG203" s="41">
        <v>1092088238</v>
      </c>
      <c r="BH203" s="41">
        <v>1096977604</v>
      </c>
      <c r="BI203" s="41">
        <v>1101866343</v>
      </c>
      <c r="BJ203" s="41">
        <v>1105983497</v>
      </c>
      <c r="BK203" s="41">
        <v>1109795203</v>
      </c>
      <c r="BL203" s="41">
        <v>1112707633</v>
      </c>
      <c r="BM203" s="41">
        <v>1115116448</v>
      </c>
    </row>
    <row r="204" spans="1:65" x14ac:dyDescent="0.35">
      <c r="A204" s="41" t="s">
        <v>501</v>
      </c>
      <c r="B204" s="41" t="s">
        <v>502</v>
      </c>
      <c r="C204" s="41" t="s">
        <v>666</v>
      </c>
      <c r="D204" s="41" t="s">
        <v>667</v>
      </c>
      <c r="E204" s="41">
        <v>78080</v>
      </c>
      <c r="F204" s="41">
        <v>80705</v>
      </c>
      <c r="G204" s="41">
        <v>83652</v>
      </c>
      <c r="H204" s="41">
        <v>86847</v>
      </c>
      <c r="I204" s="41">
        <v>90132</v>
      </c>
      <c r="J204" s="41">
        <v>93442</v>
      </c>
      <c r="K204" s="41">
        <v>96719</v>
      </c>
      <c r="L204" s="41">
        <v>99990</v>
      </c>
      <c r="M204" s="41">
        <v>103329</v>
      </c>
      <c r="N204" s="41">
        <v>106814</v>
      </c>
      <c r="O204" s="41">
        <v>110490</v>
      </c>
      <c r="P204" s="41">
        <v>114385</v>
      </c>
      <c r="Q204" s="41">
        <v>118438</v>
      </c>
      <c r="R204" s="41">
        <v>122641</v>
      </c>
      <c r="S204" s="41">
        <v>126919</v>
      </c>
      <c r="T204" s="41">
        <v>131229</v>
      </c>
      <c r="U204" s="41">
        <v>135559</v>
      </c>
      <c r="V204" s="41">
        <v>139893</v>
      </c>
      <c r="W204" s="41">
        <v>144273</v>
      </c>
      <c r="X204" s="41">
        <v>148734</v>
      </c>
      <c r="Y204" s="41">
        <v>153298</v>
      </c>
      <c r="Z204" s="41">
        <v>157954</v>
      </c>
      <c r="AA204" s="41">
        <v>162679</v>
      </c>
      <c r="AB204" s="41">
        <v>167456</v>
      </c>
      <c r="AC204" s="41">
        <v>172249</v>
      </c>
      <c r="AD204" s="41">
        <v>177024</v>
      </c>
      <c r="AE204" s="41">
        <v>181807</v>
      </c>
      <c r="AF204" s="41">
        <v>186588</v>
      </c>
      <c r="AG204" s="41">
        <v>191260</v>
      </c>
      <c r="AH204" s="41">
        <v>195728</v>
      </c>
      <c r="AI204" s="41">
        <v>199906</v>
      </c>
      <c r="AJ204" s="41">
        <v>203716</v>
      </c>
      <c r="AK204" s="41">
        <v>207238</v>
      </c>
      <c r="AL204" s="41">
        <v>210644</v>
      </c>
      <c r="AM204" s="41">
        <v>214196</v>
      </c>
      <c r="AN204" s="41">
        <v>218064</v>
      </c>
      <c r="AO204" s="41">
        <v>222323</v>
      </c>
      <c r="AP204" s="41">
        <v>226854</v>
      </c>
      <c r="AQ204" s="41">
        <v>231562</v>
      </c>
      <c r="AR204" s="41">
        <v>236217</v>
      </c>
      <c r="AS204" s="41">
        <v>240681</v>
      </c>
      <c r="AT204" s="41">
        <v>244929</v>
      </c>
      <c r="AU204" s="41">
        <v>248976</v>
      </c>
      <c r="AV204" s="41">
        <v>252707</v>
      </c>
      <c r="AW204" s="41">
        <v>255995</v>
      </c>
      <c r="AX204" s="41">
        <v>258780</v>
      </c>
      <c r="AY204" s="41">
        <v>261007</v>
      </c>
      <c r="AZ204" s="41">
        <v>262717</v>
      </c>
      <c r="BA204" s="41">
        <v>264064</v>
      </c>
      <c r="BB204" s="41">
        <v>265256</v>
      </c>
      <c r="BC204" s="41">
        <v>266449</v>
      </c>
      <c r="BD204" s="41">
        <v>267702</v>
      </c>
      <c r="BE204" s="41">
        <v>268995</v>
      </c>
      <c r="BF204" s="41">
        <v>270332</v>
      </c>
      <c r="BG204" s="41">
        <v>271713</v>
      </c>
      <c r="BH204" s="41">
        <v>273119</v>
      </c>
      <c r="BI204" s="41">
        <v>274576</v>
      </c>
      <c r="BJ204" s="41">
        <v>276108</v>
      </c>
      <c r="BK204" s="41">
        <v>277673</v>
      </c>
      <c r="BL204" s="41">
        <v>279285</v>
      </c>
      <c r="BM204" s="41">
        <v>280904</v>
      </c>
    </row>
    <row r="205" spans="1:65" x14ac:dyDescent="0.35">
      <c r="A205" s="41" t="s">
        <v>503</v>
      </c>
      <c r="B205" s="41" t="s">
        <v>504</v>
      </c>
      <c r="C205" s="41" t="s">
        <v>666</v>
      </c>
      <c r="D205" s="41" t="s">
        <v>667</v>
      </c>
      <c r="E205" s="41">
        <v>47383</v>
      </c>
      <c r="F205" s="41">
        <v>51427</v>
      </c>
      <c r="G205" s="41">
        <v>56266</v>
      </c>
      <c r="H205" s="41">
        <v>61721</v>
      </c>
      <c r="I205" s="41">
        <v>67562</v>
      </c>
      <c r="J205" s="41">
        <v>73631</v>
      </c>
      <c r="K205" s="41">
        <v>79850</v>
      </c>
      <c r="L205" s="41">
        <v>86298</v>
      </c>
      <c r="M205" s="41">
        <v>93206</v>
      </c>
      <c r="N205" s="41">
        <v>100880</v>
      </c>
      <c r="O205" s="41">
        <v>109521</v>
      </c>
      <c r="P205" s="41">
        <v>119413</v>
      </c>
      <c r="Q205" s="41">
        <v>130505</v>
      </c>
      <c r="R205" s="41">
        <v>142181</v>
      </c>
      <c r="S205" s="41">
        <v>153624</v>
      </c>
      <c r="T205" s="41">
        <v>164314</v>
      </c>
      <c r="U205" s="41">
        <v>173716</v>
      </c>
      <c r="V205" s="41">
        <v>182319</v>
      </c>
      <c r="W205" s="41">
        <v>191947</v>
      </c>
      <c r="X205" s="41">
        <v>205172</v>
      </c>
      <c r="Y205" s="41">
        <v>223622</v>
      </c>
      <c r="Z205" s="41">
        <v>247984</v>
      </c>
      <c r="AA205" s="41">
        <v>277229</v>
      </c>
      <c r="AB205" s="41">
        <v>309299</v>
      </c>
      <c r="AC205" s="41">
        <v>341272</v>
      </c>
      <c r="AD205" s="41">
        <v>370886</v>
      </c>
      <c r="AE205" s="41">
        <v>397739</v>
      </c>
      <c r="AF205" s="41">
        <v>422154</v>
      </c>
      <c r="AG205" s="41">
        <v>443611</v>
      </c>
      <c r="AH205" s="41">
        <v>461688</v>
      </c>
      <c r="AI205" s="41">
        <v>476275</v>
      </c>
      <c r="AJ205" s="41">
        <v>487354</v>
      </c>
      <c r="AK205" s="41">
        <v>495403</v>
      </c>
      <c r="AL205" s="41">
        <v>501479</v>
      </c>
      <c r="AM205" s="41">
        <v>507044</v>
      </c>
      <c r="AN205" s="41">
        <v>513447</v>
      </c>
      <c r="AO205" s="41">
        <v>522531</v>
      </c>
      <c r="AP205" s="41">
        <v>535320</v>
      </c>
      <c r="AQ205" s="41">
        <v>551566</v>
      </c>
      <c r="AR205" s="41">
        <v>570486</v>
      </c>
      <c r="AS205" s="41">
        <v>592467</v>
      </c>
      <c r="AT205" s="41">
        <v>615013</v>
      </c>
      <c r="AU205" s="41">
        <v>640872</v>
      </c>
      <c r="AV205" s="41">
        <v>681791</v>
      </c>
      <c r="AW205" s="41">
        <v>753332</v>
      </c>
      <c r="AX205" s="41">
        <v>865410</v>
      </c>
      <c r="AY205" s="41">
        <v>1022704</v>
      </c>
      <c r="AZ205" s="41">
        <v>1218441</v>
      </c>
      <c r="BA205" s="41">
        <v>1436670</v>
      </c>
      <c r="BB205" s="41">
        <v>1654944</v>
      </c>
      <c r="BC205" s="41">
        <v>1856329</v>
      </c>
      <c r="BD205" s="41">
        <v>2035862</v>
      </c>
      <c r="BE205" s="41">
        <v>2196078</v>
      </c>
      <c r="BF205" s="41">
        <v>2336579</v>
      </c>
      <c r="BG205" s="41">
        <v>2459202</v>
      </c>
      <c r="BH205" s="41">
        <v>2565708</v>
      </c>
      <c r="BI205" s="41">
        <v>2654379</v>
      </c>
      <c r="BJ205" s="41">
        <v>2724727</v>
      </c>
      <c r="BK205" s="41">
        <v>2781682</v>
      </c>
      <c r="BL205" s="41">
        <v>2832071</v>
      </c>
      <c r="BM205" s="41">
        <v>2881060</v>
      </c>
    </row>
    <row r="206" spans="1:65" x14ac:dyDescent="0.35">
      <c r="A206" s="41" t="s">
        <v>505</v>
      </c>
      <c r="B206" s="41" t="s">
        <v>506</v>
      </c>
      <c r="C206" s="41" t="s">
        <v>666</v>
      </c>
      <c r="D206" s="41" t="s">
        <v>667</v>
      </c>
      <c r="E206" s="41">
        <v>18406905</v>
      </c>
      <c r="F206" s="41">
        <v>18555250</v>
      </c>
      <c r="G206" s="41">
        <v>18676550</v>
      </c>
      <c r="H206" s="41">
        <v>18797850</v>
      </c>
      <c r="I206" s="41">
        <v>18919126</v>
      </c>
      <c r="J206" s="41">
        <v>19031576</v>
      </c>
      <c r="K206" s="41">
        <v>19215450</v>
      </c>
      <c r="L206" s="41">
        <v>19534242</v>
      </c>
      <c r="M206" s="41">
        <v>19799831</v>
      </c>
      <c r="N206" s="41">
        <v>20009141</v>
      </c>
      <c r="O206" s="41">
        <v>20250398</v>
      </c>
      <c r="P206" s="41">
        <v>20461567</v>
      </c>
      <c r="Q206" s="41">
        <v>20657957</v>
      </c>
      <c r="R206" s="41">
        <v>20835681</v>
      </c>
      <c r="S206" s="41">
        <v>21029429</v>
      </c>
      <c r="T206" s="41">
        <v>21293583</v>
      </c>
      <c r="U206" s="41">
        <v>21551634</v>
      </c>
      <c r="V206" s="41">
        <v>21756096</v>
      </c>
      <c r="W206" s="41">
        <v>21951464</v>
      </c>
      <c r="X206" s="41">
        <v>22090488</v>
      </c>
      <c r="Y206" s="41">
        <v>22207282</v>
      </c>
      <c r="Z206" s="41">
        <v>22353070</v>
      </c>
      <c r="AA206" s="41">
        <v>22475741</v>
      </c>
      <c r="AB206" s="41">
        <v>22560478</v>
      </c>
      <c r="AC206" s="41">
        <v>22640547</v>
      </c>
      <c r="AD206" s="41">
        <v>22732999</v>
      </c>
      <c r="AE206" s="41">
        <v>22836841</v>
      </c>
      <c r="AF206" s="41">
        <v>22949430</v>
      </c>
      <c r="AG206" s="41">
        <v>23057662</v>
      </c>
      <c r="AH206" s="41">
        <v>23161458</v>
      </c>
      <c r="AI206" s="41">
        <v>23201835</v>
      </c>
      <c r="AJ206" s="41">
        <v>23001155</v>
      </c>
      <c r="AK206" s="41">
        <v>22794284</v>
      </c>
      <c r="AL206" s="41">
        <v>22763280</v>
      </c>
      <c r="AM206" s="41">
        <v>22730211</v>
      </c>
      <c r="AN206" s="41">
        <v>22684270</v>
      </c>
      <c r="AO206" s="41">
        <v>22619004</v>
      </c>
      <c r="AP206" s="41">
        <v>22553978</v>
      </c>
      <c r="AQ206" s="41">
        <v>22507344</v>
      </c>
      <c r="AR206" s="41">
        <v>22472040</v>
      </c>
      <c r="AS206" s="41">
        <v>22442971</v>
      </c>
      <c r="AT206" s="41">
        <v>22131970</v>
      </c>
      <c r="AU206" s="41">
        <v>21730496</v>
      </c>
      <c r="AV206" s="41">
        <v>21574326</v>
      </c>
      <c r="AW206" s="41">
        <v>21451748</v>
      </c>
      <c r="AX206" s="41">
        <v>21319685</v>
      </c>
      <c r="AY206" s="41">
        <v>21193760</v>
      </c>
      <c r="AZ206" s="41">
        <v>20882982</v>
      </c>
      <c r="BA206" s="41">
        <v>20537875</v>
      </c>
      <c r="BB206" s="41">
        <v>20367487</v>
      </c>
      <c r="BC206" s="41">
        <v>20246871</v>
      </c>
      <c r="BD206" s="41">
        <v>20147528</v>
      </c>
      <c r="BE206" s="41">
        <v>20058035</v>
      </c>
      <c r="BF206" s="41">
        <v>19983693</v>
      </c>
      <c r="BG206" s="41">
        <v>19908979</v>
      </c>
      <c r="BH206" s="41">
        <v>19815616</v>
      </c>
      <c r="BI206" s="41">
        <v>19702267</v>
      </c>
      <c r="BJ206" s="41">
        <v>19588715</v>
      </c>
      <c r="BK206" s="41">
        <v>19473970</v>
      </c>
      <c r="BL206" s="41">
        <v>19371648</v>
      </c>
      <c r="BM206" s="41">
        <v>19286123</v>
      </c>
    </row>
    <row r="207" spans="1:65" x14ac:dyDescent="0.35">
      <c r="A207" s="41" t="s">
        <v>507</v>
      </c>
      <c r="B207" s="41" t="s">
        <v>508</v>
      </c>
      <c r="C207" s="41" t="s">
        <v>666</v>
      </c>
      <c r="D207" s="41" t="s">
        <v>667</v>
      </c>
      <c r="E207" s="41">
        <v>119897000</v>
      </c>
      <c r="F207" s="41">
        <v>121236000</v>
      </c>
      <c r="G207" s="41">
        <v>122591000</v>
      </c>
      <c r="H207" s="41">
        <v>123960000</v>
      </c>
      <c r="I207" s="41">
        <v>125345000</v>
      </c>
      <c r="J207" s="41">
        <v>126745000</v>
      </c>
      <c r="K207" s="41">
        <v>127468000</v>
      </c>
      <c r="L207" s="41">
        <v>128196000</v>
      </c>
      <c r="M207" s="41">
        <v>128928000</v>
      </c>
      <c r="N207" s="41">
        <v>129664000</v>
      </c>
      <c r="O207" s="41">
        <v>130404000</v>
      </c>
      <c r="P207" s="41">
        <v>131155000</v>
      </c>
      <c r="Q207" s="41">
        <v>131909000</v>
      </c>
      <c r="R207" s="41">
        <v>132669000</v>
      </c>
      <c r="S207" s="41">
        <v>133432000</v>
      </c>
      <c r="T207" s="41">
        <v>134200000</v>
      </c>
      <c r="U207" s="41">
        <v>135147000</v>
      </c>
      <c r="V207" s="41">
        <v>136100000</v>
      </c>
      <c r="W207" s="41">
        <v>137060000</v>
      </c>
      <c r="X207" s="41">
        <v>138027000</v>
      </c>
      <c r="Y207" s="41">
        <v>139010000</v>
      </c>
      <c r="Z207" s="41">
        <v>139941000</v>
      </c>
      <c r="AA207" s="41">
        <v>140823000</v>
      </c>
      <c r="AB207" s="41">
        <v>141668000</v>
      </c>
      <c r="AC207" s="41">
        <v>142745000</v>
      </c>
      <c r="AD207" s="41">
        <v>143858000</v>
      </c>
      <c r="AE207" s="41">
        <v>144894000</v>
      </c>
      <c r="AF207" s="41">
        <v>145908000</v>
      </c>
      <c r="AG207" s="41">
        <v>146857000</v>
      </c>
      <c r="AH207" s="41">
        <v>147721000</v>
      </c>
      <c r="AI207" s="41">
        <v>147969407</v>
      </c>
      <c r="AJ207" s="41">
        <v>148394216</v>
      </c>
      <c r="AK207" s="41">
        <v>148538197</v>
      </c>
      <c r="AL207" s="41">
        <v>148458777</v>
      </c>
      <c r="AM207" s="41">
        <v>148407912</v>
      </c>
      <c r="AN207" s="41">
        <v>148375787</v>
      </c>
      <c r="AO207" s="41">
        <v>148160129</v>
      </c>
      <c r="AP207" s="41">
        <v>147915361</v>
      </c>
      <c r="AQ207" s="41">
        <v>147670784</v>
      </c>
      <c r="AR207" s="41">
        <v>147214776</v>
      </c>
      <c r="AS207" s="41">
        <v>146596869</v>
      </c>
      <c r="AT207" s="41">
        <v>145976482</v>
      </c>
      <c r="AU207" s="41">
        <v>145306497</v>
      </c>
      <c r="AV207" s="41">
        <v>144648618</v>
      </c>
      <c r="AW207" s="41">
        <v>144067316</v>
      </c>
      <c r="AX207" s="41">
        <v>143518814</v>
      </c>
      <c r="AY207" s="41">
        <v>143049637</v>
      </c>
      <c r="AZ207" s="41">
        <v>142805114</v>
      </c>
      <c r="BA207" s="41">
        <v>142742366</v>
      </c>
      <c r="BB207" s="41">
        <v>142785349</v>
      </c>
      <c r="BC207" s="41">
        <v>142849468</v>
      </c>
      <c r="BD207" s="41">
        <v>142960908</v>
      </c>
      <c r="BE207" s="41">
        <v>143201721</v>
      </c>
      <c r="BF207" s="41">
        <v>143506995</v>
      </c>
      <c r="BG207" s="41">
        <v>143819667</v>
      </c>
      <c r="BH207" s="41">
        <v>144096870</v>
      </c>
      <c r="BI207" s="41">
        <v>144342397</v>
      </c>
      <c r="BJ207" s="41">
        <v>144496739</v>
      </c>
      <c r="BK207" s="41">
        <v>144477859</v>
      </c>
      <c r="BL207" s="41">
        <v>144406261</v>
      </c>
      <c r="BM207" s="41">
        <v>144104080</v>
      </c>
    </row>
    <row r="208" spans="1:65" x14ac:dyDescent="0.35">
      <c r="A208" s="41" t="s">
        <v>14</v>
      </c>
      <c r="B208" s="41" t="s">
        <v>509</v>
      </c>
      <c r="C208" s="41" t="s">
        <v>666</v>
      </c>
      <c r="D208" s="41" t="s">
        <v>667</v>
      </c>
      <c r="E208" s="41">
        <v>2935575</v>
      </c>
      <c r="F208" s="41">
        <v>2998334</v>
      </c>
      <c r="G208" s="41">
        <v>3052937</v>
      </c>
      <c r="H208" s="41">
        <v>3105417</v>
      </c>
      <c r="I208" s="41">
        <v>3164258</v>
      </c>
      <c r="J208" s="41">
        <v>3235536</v>
      </c>
      <c r="K208" s="41">
        <v>3321674</v>
      </c>
      <c r="L208" s="41">
        <v>3420897</v>
      </c>
      <c r="M208" s="41">
        <v>3529839</v>
      </c>
      <c r="N208" s="41">
        <v>3643237</v>
      </c>
      <c r="O208" s="41">
        <v>3757351</v>
      </c>
      <c r="P208" s="41">
        <v>3871428</v>
      </c>
      <c r="Q208" s="41">
        <v>3987223</v>
      </c>
      <c r="R208" s="41">
        <v>4106411</v>
      </c>
      <c r="S208" s="41">
        <v>4231579</v>
      </c>
      <c r="T208" s="41">
        <v>4364709</v>
      </c>
      <c r="U208" s="41">
        <v>4506109</v>
      </c>
      <c r="V208" s="41">
        <v>4655386</v>
      </c>
      <c r="W208" s="41">
        <v>4812872</v>
      </c>
      <c r="X208" s="41">
        <v>4978812</v>
      </c>
      <c r="Y208" s="41">
        <v>5153314</v>
      </c>
      <c r="Z208" s="41">
        <v>5329250</v>
      </c>
      <c r="AA208" s="41">
        <v>5504847</v>
      </c>
      <c r="AB208" s="41">
        <v>5690989</v>
      </c>
      <c r="AC208" s="41">
        <v>5902847</v>
      </c>
      <c r="AD208" s="41">
        <v>6146884</v>
      </c>
      <c r="AE208" s="41">
        <v>6443748</v>
      </c>
      <c r="AF208" s="41">
        <v>6779981</v>
      </c>
      <c r="AG208" s="41">
        <v>7088194</v>
      </c>
      <c r="AH208" s="41">
        <v>7276983</v>
      </c>
      <c r="AI208" s="41">
        <v>7288883</v>
      </c>
      <c r="AJ208" s="41">
        <v>7083928</v>
      </c>
      <c r="AK208" s="41">
        <v>6702239</v>
      </c>
      <c r="AL208" s="41">
        <v>6263758</v>
      </c>
      <c r="AM208" s="41">
        <v>5936253</v>
      </c>
      <c r="AN208" s="41">
        <v>5836490</v>
      </c>
      <c r="AO208" s="41">
        <v>6013112</v>
      </c>
      <c r="AP208" s="41">
        <v>6419898</v>
      </c>
      <c r="AQ208" s="41">
        <v>6962800</v>
      </c>
      <c r="AR208" s="41">
        <v>7501238</v>
      </c>
      <c r="AS208" s="41">
        <v>7933688</v>
      </c>
      <c r="AT208" s="41">
        <v>8231150</v>
      </c>
      <c r="AU208" s="41">
        <v>8427061</v>
      </c>
      <c r="AV208" s="41">
        <v>8557160</v>
      </c>
      <c r="AW208" s="41">
        <v>8680516</v>
      </c>
      <c r="AX208" s="41">
        <v>8840220</v>
      </c>
      <c r="AY208" s="41">
        <v>9043342</v>
      </c>
      <c r="AZ208" s="41">
        <v>9273759</v>
      </c>
      <c r="BA208" s="41">
        <v>9524532</v>
      </c>
      <c r="BB208" s="41">
        <v>9782770</v>
      </c>
      <c r="BC208" s="41">
        <v>10039338</v>
      </c>
      <c r="BD208" s="41">
        <v>10293333</v>
      </c>
      <c r="BE208" s="41">
        <v>10549668</v>
      </c>
      <c r="BF208" s="41">
        <v>10811538</v>
      </c>
      <c r="BG208" s="41">
        <v>11083629</v>
      </c>
      <c r="BH208" s="41">
        <v>11369066</v>
      </c>
      <c r="BI208" s="41">
        <v>11668829</v>
      </c>
      <c r="BJ208" s="41">
        <v>11980960</v>
      </c>
      <c r="BK208" s="41">
        <v>12301969</v>
      </c>
      <c r="BL208" s="41">
        <v>12626938</v>
      </c>
      <c r="BM208" s="41">
        <v>12952209</v>
      </c>
    </row>
    <row r="209" spans="1:65" x14ac:dyDescent="0.35">
      <c r="A209" s="41" t="s">
        <v>510</v>
      </c>
      <c r="B209" s="41" t="s">
        <v>511</v>
      </c>
      <c r="C209" s="41" t="s">
        <v>666</v>
      </c>
      <c r="D209" s="41" t="s">
        <v>667</v>
      </c>
      <c r="E209" s="41">
        <v>572839530</v>
      </c>
      <c r="F209" s="41">
        <v>584939711</v>
      </c>
      <c r="G209" s="41">
        <v>597494450</v>
      </c>
      <c r="H209" s="41">
        <v>610498308</v>
      </c>
      <c r="I209" s="41">
        <v>623943328</v>
      </c>
      <c r="J209" s="41">
        <v>637823175</v>
      </c>
      <c r="K209" s="41">
        <v>652144171</v>
      </c>
      <c r="L209" s="41">
        <v>666908586</v>
      </c>
      <c r="M209" s="41">
        <v>682102192</v>
      </c>
      <c r="N209" s="41">
        <v>697706091</v>
      </c>
      <c r="O209" s="41">
        <v>713711358</v>
      </c>
      <c r="P209" s="41">
        <v>730107660</v>
      </c>
      <c r="Q209" s="41">
        <v>746911710</v>
      </c>
      <c r="R209" s="41">
        <v>764174968</v>
      </c>
      <c r="S209" s="41">
        <v>781966557</v>
      </c>
      <c r="T209" s="41">
        <v>800335570</v>
      </c>
      <c r="U209" s="41">
        <v>819292532</v>
      </c>
      <c r="V209" s="41">
        <v>838819900</v>
      </c>
      <c r="W209" s="41">
        <v>858901743</v>
      </c>
      <c r="X209" s="41">
        <v>879510842</v>
      </c>
      <c r="Y209" s="41">
        <v>900620583</v>
      </c>
      <c r="Z209" s="41">
        <v>922226632</v>
      </c>
      <c r="AA209" s="41">
        <v>944315173</v>
      </c>
      <c r="AB209" s="41">
        <v>966836458</v>
      </c>
      <c r="AC209" s="41">
        <v>989728262</v>
      </c>
      <c r="AD209" s="41">
        <v>1012942302</v>
      </c>
      <c r="AE209" s="41">
        <v>1036437878</v>
      </c>
      <c r="AF209" s="41">
        <v>1060208544</v>
      </c>
      <c r="AG209" s="41">
        <v>1084281159</v>
      </c>
      <c r="AH209" s="41">
        <v>1108702366</v>
      </c>
      <c r="AI209" s="41">
        <v>1133495194</v>
      </c>
      <c r="AJ209" s="41">
        <v>1158655616</v>
      </c>
      <c r="AK209" s="41">
        <v>1184133340</v>
      </c>
      <c r="AL209" s="41">
        <v>1209847774</v>
      </c>
      <c r="AM209" s="41">
        <v>1235693864</v>
      </c>
      <c r="AN209" s="41">
        <v>1261587780</v>
      </c>
      <c r="AO209" s="41">
        <v>1287476203</v>
      </c>
      <c r="AP209" s="41">
        <v>1313346375</v>
      </c>
      <c r="AQ209" s="41">
        <v>1339202700</v>
      </c>
      <c r="AR209" s="41">
        <v>1365067953</v>
      </c>
      <c r="AS209" s="41">
        <v>1390946065</v>
      </c>
      <c r="AT209" s="41">
        <v>1416822995</v>
      </c>
      <c r="AU209" s="41">
        <v>1442644044</v>
      </c>
      <c r="AV209" s="41">
        <v>1468324423</v>
      </c>
      <c r="AW209" s="41">
        <v>1493757846</v>
      </c>
      <c r="AX209" s="41">
        <v>1518861546</v>
      </c>
      <c r="AY209" s="41">
        <v>1543610686</v>
      </c>
      <c r="AZ209" s="41">
        <v>1568003175</v>
      </c>
      <c r="BA209" s="41">
        <v>1592010815</v>
      </c>
      <c r="BB209" s="41">
        <v>1615610187</v>
      </c>
      <c r="BC209" s="41">
        <v>1638792927</v>
      </c>
      <c r="BD209" s="41">
        <v>1661532158</v>
      </c>
      <c r="BE209" s="41">
        <v>1683740452</v>
      </c>
      <c r="BF209" s="41">
        <v>1705761545</v>
      </c>
      <c r="BG209" s="41">
        <v>1727632022</v>
      </c>
      <c r="BH209" s="41">
        <v>1749417067</v>
      </c>
      <c r="BI209" s="41">
        <v>1771187426</v>
      </c>
      <c r="BJ209" s="41">
        <v>1792883164</v>
      </c>
      <c r="BK209" s="41">
        <v>1814455018</v>
      </c>
      <c r="BL209" s="41">
        <v>1835776769</v>
      </c>
      <c r="BM209" s="41">
        <v>1856882402</v>
      </c>
    </row>
    <row r="210" spans="1:65" x14ac:dyDescent="0.35">
      <c r="A210" s="41" t="s">
        <v>512</v>
      </c>
      <c r="B210" s="41" t="s">
        <v>513</v>
      </c>
      <c r="C210" s="41" t="s">
        <v>666</v>
      </c>
      <c r="D210" s="41" t="s">
        <v>667</v>
      </c>
      <c r="E210" s="41">
        <v>4086534</v>
      </c>
      <c r="F210" s="41">
        <v>4218852</v>
      </c>
      <c r="G210" s="41">
        <v>4362788</v>
      </c>
      <c r="H210" s="41">
        <v>4516540</v>
      </c>
      <c r="I210" s="41">
        <v>4677304</v>
      </c>
      <c r="J210" s="41">
        <v>4843632</v>
      </c>
      <c r="K210" s="41">
        <v>5015353</v>
      </c>
      <c r="L210" s="41">
        <v>5195124</v>
      </c>
      <c r="M210" s="41">
        <v>5387822</v>
      </c>
      <c r="N210" s="41">
        <v>5599909</v>
      </c>
      <c r="O210" s="41">
        <v>5836388</v>
      </c>
      <c r="P210" s="41">
        <v>6100631</v>
      </c>
      <c r="Q210" s="41">
        <v>6392973</v>
      </c>
      <c r="R210" s="41">
        <v>6711922</v>
      </c>
      <c r="S210" s="41">
        <v>7054532</v>
      </c>
      <c r="T210" s="41">
        <v>7419486</v>
      </c>
      <c r="U210" s="41">
        <v>7802928</v>
      </c>
      <c r="V210" s="41">
        <v>8207695</v>
      </c>
      <c r="W210" s="41">
        <v>8646845</v>
      </c>
      <c r="X210" s="41">
        <v>9137928</v>
      </c>
      <c r="Y210" s="41">
        <v>9691471</v>
      </c>
      <c r="Z210" s="41">
        <v>10311771</v>
      </c>
      <c r="AA210" s="41">
        <v>10988851</v>
      </c>
      <c r="AB210" s="41">
        <v>11701132</v>
      </c>
      <c r="AC210" s="41">
        <v>12418836</v>
      </c>
      <c r="AD210" s="41">
        <v>13118998</v>
      </c>
      <c r="AE210" s="41">
        <v>13794167</v>
      </c>
      <c r="AF210" s="41">
        <v>14445663</v>
      </c>
      <c r="AG210" s="41">
        <v>15070082</v>
      </c>
      <c r="AH210" s="41">
        <v>15666289</v>
      </c>
      <c r="AI210" s="41">
        <v>16233786</v>
      </c>
      <c r="AJ210" s="41">
        <v>16772695</v>
      </c>
      <c r="AK210" s="41">
        <v>17282686</v>
      </c>
      <c r="AL210" s="41">
        <v>17763297</v>
      </c>
      <c r="AM210" s="41">
        <v>18214475</v>
      </c>
      <c r="AN210" s="41">
        <v>18638790</v>
      </c>
      <c r="AO210" s="41">
        <v>19033843</v>
      </c>
      <c r="AP210" s="41">
        <v>19407138</v>
      </c>
      <c r="AQ210" s="41">
        <v>19783301</v>
      </c>
      <c r="AR210" s="41">
        <v>20194531</v>
      </c>
      <c r="AS210" s="41">
        <v>20663840</v>
      </c>
      <c r="AT210" s="41">
        <v>21202646</v>
      </c>
      <c r="AU210" s="41">
        <v>21805322</v>
      </c>
      <c r="AV210" s="41">
        <v>22456645</v>
      </c>
      <c r="AW210" s="41">
        <v>23132686</v>
      </c>
      <c r="AX210" s="41">
        <v>23816175</v>
      </c>
      <c r="AY210" s="41">
        <v>24498313</v>
      </c>
      <c r="AZ210" s="41">
        <v>25184589</v>
      </c>
      <c r="BA210" s="41">
        <v>25888535</v>
      </c>
      <c r="BB210" s="41">
        <v>26630303</v>
      </c>
      <c r="BC210" s="41">
        <v>27421468</v>
      </c>
      <c r="BD210" s="41">
        <v>28267591</v>
      </c>
      <c r="BE210" s="41">
        <v>29154906</v>
      </c>
      <c r="BF210" s="41">
        <v>30052058</v>
      </c>
      <c r="BG210" s="41">
        <v>30916603</v>
      </c>
      <c r="BH210" s="41">
        <v>31717676</v>
      </c>
      <c r="BI210" s="41">
        <v>32443443</v>
      </c>
      <c r="BJ210" s="41">
        <v>33101183</v>
      </c>
      <c r="BK210" s="41">
        <v>33702757</v>
      </c>
      <c r="BL210" s="41">
        <v>34268529</v>
      </c>
      <c r="BM210" s="41">
        <v>34813867</v>
      </c>
    </row>
    <row r="211" spans="1:65" x14ac:dyDescent="0.35">
      <c r="A211" s="41" t="s">
        <v>514</v>
      </c>
      <c r="B211" s="41" t="s">
        <v>515</v>
      </c>
      <c r="C211" s="41" t="s">
        <v>666</v>
      </c>
      <c r="D211" s="41" t="s">
        <v>667</v>
      </c>
      <c r="E211" s="41">
        <v>7544498</v>
      </c>
      <c r="F211" s="41">
        <v>7769475</v>
      </c>
      <c r="G211" s="41">
        <v>8004122</v>
      </c>
      <c r="H211" s="41">
        <v>8248818</v>
      </c>
      <c r="I211" s="41">
        <v>8503989</v>
      </c>
      <c r="J211" s="41">
        <v>8770094</v>
      </c>
      <c r="K211" s="41">
        <v>9047803</v>
      </c>
      <c r="L211" s="41">
        <v>9337662</v>
      </c>
      <c r="M211" s="41">
        <v>9639846</v>
      </c>
      <c r="N211" s="41">
        <v>9954411</v>
      </c>
      <c r="O211" s="41">
        <v>10281695</v>
      </c>
      <c r="P211" s="41">
        <v>10621471</v>
      </c>
      <c r="Q211" s="41">
        <v>10974626</v>
      </c>
      <c r="R211" s="41">
        <v>11343923</v>
      </c>
      <c r="S211" s="41">
        <v>11732957</v>
      </c>
      <c r="T211" s="41">
        <v>12144128</v>
      </c>
      <c r="U211" s="41">
        <v>12578398</v>
      </c>
      <c r="V211" s="41">
        <v>13034631</v>
      </c>
      <c r="W211" s="41">
        <v>13510429</v>
      </c>
      <c r="X211" s="41">
        <v>14002302</v>
      </c>
      <c r="Y211" s="41">
        <v>14507466</v>
      </c>
      <c r="Z211" s="41">
        <v>15027254</v>
      </c>
      <c r="AA211" s="41">
        <v>15562129</v>
      </c>
      <c r="AB211" s="41">
        <v>16107613</v>
      </c>
      <c r="AC211" s="41">
        <v>16657956</v>
      </c>
      <c r="AD211" s="41">
        <v>17210182</v>
      </c>
      <c r="AE211" s="41">
        <v>17757494</v>
      </c>
      <c r="AF211" s="41">
        <v>18303430</v>
      </c>
      <c r="AG211" s="41">
        <v>18867559</v>
      </c>
      <c r="AH211" s="41">
        <v>19476653</v>
      </c>
      <c r="AI211" s="41">
        <v>20147592</v>
      </c>
      <c r="AJ211" s="41">
        <v>20891442</v>
      </c>
      <c r="AK211" s="41">
        <v>21696240</v>
      </c>
      <c r="AL211" s="41">
        <v>22527837</v>
      </c>
      <c r="AM211" s="41">
        <v>23338465</v>
      </c>
      <c r="AN211" s="41">
        <v>24094741</v>
      </c>
      <c r="AO211" s="41">
        <v>24782384</v>
      </c>
      <c r="AP211" s="41">
        <v>25413912</v>
      </c>
      <c r="AQ211" s="41">
        <v>26015518</v>
      </c>
      <c r="AR211" s="41">
        <v>26626512</v>
      </c>
      <c r="AS211" s="41">
        <v>27275019</v>
      </c>
      <c r="AT211" s="41">
        <v>27971077</v>
      </c>
      <c r="AU211" s="41">
        <v>28704786</v>
      </c>
      <c r="AV211" s="41">
        <v>29460517</v>
      </c>
      <c r="AW211" s="41">
        <v>30214189</v>
      </c>
      <c r="AX211" s="41">
        <v>30949514</v>
      </c>
      <c r="AY211" s="41">
        <v>31661824</v>
      </c>
      <c r="AZ211" s="41">
        <v>32360619</v>
      </c>
      <c r="BA211" s="41">
        <v>33060844</v>
      </c>
      <c r="BB211" s="41">
        <v>33783779</v>
      </c>
      <c r="BC211" s="41">
        <v>34545014</v>
      </c>
      <c r="BD211" s="41">
        <v>35349676</v>
      </c>
      <c r="BE211" s="41">
        <v>36193781</v>
      </c>
      <c r="BF211" s="41">
        <v>37072555</v>
      </c>
      <c r="BG211" s="41">
        <v>37977657</v>
      </c>
      <c r="BH211" s="41">
        <v>38902948</v>
      </c>
      <c r="BI211" s="41">
        <v>39847433</v>
      </c>
      <c r="BJ211" s="41">
        <v>40813398</v>
      </c>
      <c r="BK211" s="41">
        <v>41801532</v>
      </c>
      <c r="BL211" s="41">
        <v>42813237</v>
      </c>
      <c r="BM211" s="41">
        <v>43849269</v>
      </c>
    </row>
    <row r="212" spans="1:65" x14ac:dyDescent="0.35">
      <c r="A212" s="41" t="s">
        <v>516</v>
      </c>
      <c r="B212" s="41" t="s">
        <v>517</v>
      </c>
      <c r="C212" s="41" t="s">
        <v>666</v>
      </c>
      <c r="D212" s="41" t="s">
        <v>667</v>
      </c>
      <c r="E212" s="41">
        <v>3206757</v>
      </c>
      <c r="F212" s="41">
        <v>3295280</v>
      </c>
      <c r="G212" s="41">
        <v>3386803</v>
      </c>
      <c r="H212" s="41">
        <v>3481654</v>
      </c>
      <c r="I212" s="41">
        <v>3580241</v>
      </c>
      <c r="J212" s="41">
        <v>3682879</v>
      </c>
      <c r="K212" s="41">
        <v>3789381</v>
      </c>
      <c r="L212" s="41">
        <v>3899648</v>
      </c>
      <c r="M212" s="41">
        <v>4014107</v>
      </c>
      <c r="N212" s="41">
        <v>4133324</v>
      </c>
      <c r="O212" s="41">
        <v>4257508</v>
      </c>
      <c r="P212" s="41">
        <v>4387532</v>
      </c>
      <c r="Q212" s="41">
        <v>4522886</v>
      </c>
      <c r="R212" s="41">
        <v>4660726</v>
      </c>
      <c r="S212" s="41">
        <v>4797188</v>
      </c>
      <c r="T212" s="41">
        <v>4929846</v>
      </c>
      <c r="U212" s="41">
        <v>5057375</v>
      </c>
      <c r="V212" s="41">
        <v>5181505</v>
      </c>
      <c r="W212" s="41">
        <v>5306685</v>
      </c>
      <c r="X212" s="41">
        <v>5439069</v>
      </c>
      <c r="Y212" s="41">
        <v>5583157</v>
      </c>
      <c r="Z212" s="41">
        <v>5740441</v>
      </c>
      <c r="AA212" s="41">
        <v>5909734</v>
      </c>
      <c r="AB212" s="41">
        <v>6089567</v>
      </c>
      <c r="AC212" s="41">
        <v>6277420</v>
      </c>
      <c r="AD212" s="41">
        <v>6471329</v>
      </c>
      <c r="AE212" s="41">
        <v>6670665</v>
      </c>
      <c r="AF212" s="41">
        <v>6875746</v>
      </c>
      <c r="AG212" s="41">
        <v>7086624</v>
      </c>
      <c r="AH212" s="41">
        <v>7303511</v>
      </c>
      <c r="AI212" s="41">
        <v>7526306</v>
      </c>
      <c r="AJ212" s="41">
        <v>7755503</v>
      </c>
      <c r="AK212" s="41">
        <v>7990090</v>
      </c>
      <c r="AL212" s="41">
        <v>8226749</v>
      </c>
      <c r="AM212" s="41">
        <v>8461066</v>
      </c>
      <c r="AN212" s="41">
        <v>8690155</v>
      </c>
      <c r="AO212" s="41">
        <v>8912872</v>
      </c>
      <c r="AP212" s="41">
        <v>9130876</v>
      </c>
      <c r="AQ212" s="41">
        <v>9347777</v>
      </c>
      <c r="AR212" s="41">
        <v>9568717</v>
      </c>
      <c r="AS212" s="41">
        <v>9797731</v>
      </c>
      <c r="AT212" s="41">
        <v>10036102</v>
      </c>
      <c r="AU212" s="41">
        <v>10283694</v>
      </c>
      <c r="AV212" s="41">
        <v>10541470</v>
      </c>
      <c r="AW212" s="41">
        <v>10810086</v>
      </c>
      <c r="AX212" s="41">
        <v>11090123</v>
      </c>
      <c r="AY212" s="41">
        <v>11382272</v>
      </c>
      <c r="AZ212" s="41">
        <v>11687078</v>
      </c>
      <c r="BA212" s="41">
        <v>12004700</v>
      </c>
      <c r="BB212" s="41">
        <v>12335092</v>
      </c>
      <c r="BC212" s="41">
        <v>12678143</v>
      </c>
      <c r="BD212" s="41">
        <v>13033814</v>
      </c>
      <c r="BE212" s="41">
        <v>13401990</v>
      </c>
      <c r="BF212" s="41">
        <v>13782429</v>
      </c>
      <c r="BG212" s="41">
        <v>14174740</v>
      </c>
      <c r="BH212" s="41">
        <v>14578450</v>
      </c>
      <c r="BI212" s="41">
        <v>14993514</v>
      </c>
      <c r="BJ212" s="41">
        <v>15419354</v>
      </c>
      <c r="BK212" s="41">
        <v>15854324</v>
      </c>
      <c r="BL212" s="41">
        <v>16296362</v>
      </c>
      <c r="BM212" s="41">
        <v>16743930</v>
      </c>
    </row>
    <row r="213" spans="1:65" x14ac:dyDescent="0.35">
      <c r="A213" s="41" t="s">
        <v>518</v>
      </c>
      <c r="B213" s="41" t="s">
        <v>519</v>
      </c>
      <c r="C213" s="41" t="s">
        <v>666</v>
      </c>
      <c r="D213" s="41" t="s">
        <v>667</v>
      </c>
      <c r="E213" s="41">
        <v>1646400</v>
      </c>
      <c r="F213" s="41">
        <v>1702400</v>
      </c>
      <c r="G213" s="41">
        <v>1750200</v>
      </c>
      <c r="H213" s="41">
        <v>1795000</v>
      </c>
      <c r="I213" s="41">
        <v>1841600</v>
      </c>
      <c r="J213" s="41">
        <v>1886900</v>
      </c>
      <c r="K213" s="41">
        <v>1934400</v>
      </c>
      <c r="L213" s="41">
        <v>1977600</v>
      </c>
      <c r="M213" s="41">
        <v>2012000</v>
      </c>
      <c r="N213" s="41">
        <v>2042500</v>
      </c>
      <c r="O213" s="41">
        <v>2074507</v>
      </c>
      <c r="P213" s="41">
        <v>2112900</v>
      </c>
      <c r="Q213" s="41">
        <v>2152400</v>
      </c>
      <c r="R213" s="41">
        <v>2193000</v>
      </c>
      <c r="S213" s="41">
        <v>2229800</v>
      </c>
      <c r="T213" s="41">
        <v>2262600</v>
      </c>
      <c r="U213" s="41">
        <v>2293300</v>
      </c>
      <c r="V213" s="41">
        <v>2325300</v>
      </c>
      <c r="W213" s="41">
        <v>2353600</v>
      </c>
      <c r="X213" s="41">
        <v>2383500</v>
      </c>
      <c r="Y213" s="41">
        <v>2413945</v>
      </c>
      <c r="Z213" s="41">
        <v>2532835</v>
      </c>
      <c r="AA213" s="41">
        <v>2646466</v>
      </c>
      <c r="AB213" s="41">
        <v>2681061</v>
      </c>
      <c r="AC213" s="41">
        <v>2732221</v>
      </c>
      <c r="AD213" s="41">
        <v>2735957</v>
      </c>
      <c r="AE213" s="41">
        <v>2733373</v>
      </c>
      <c r="AF213" s="41">
        <v>2774789</v>
      </c>
      <c r="AG213" s="41">
        <v>2846108</v>
      </c>
      <c r="AH213" s="41">
        <v>2930901</v>
      </c>
      <c r="AI213" s="41">
        <v>3047132</v>
      </c>
      <c r="AJ213" s="41">
        <v>3135083</v>
      </c>
      <c r="AK213" s="41">
        <v>3230698</v>
      </c>
      <c r="AL213" s="41">
        <v>3313471</v>
      </c>
      <c r="AM213" s="41">
        <v>3419048</v>
      </c>
      <c r="AN213" s="41">
        <v>3524506</v>
      </c>
      <c r="AO213" s="41">
        <v>3670704</v>
      </c>
      <c r="AP213" s="41">
        <v>3796038</v>
      </c>
      <c r="AQ213" s="41">
        <v>3927213</v>
      </c>
      <c r="AR213" s="41">
        <v>3958723</v>
      </c>
      <c r="AS213" s="41">
        <v>4027887</v>
      </c>
      <c r="AT213" s="41">
        <v>4138012</v>
      </c>
      <c r="AU213" s="41">
        <v>4175950</v>
      </c>
      <c r="AV213" s="41">
        <v>4114826</v>
      </c>
      <c r="AW213" s="41">
        <v>4166664</v>
      </c>
      <c r="AX213" s="41">
        <v>4265762</v>
      </c>
      <c r="AY213" s="41">
        <v>4401365</v>
      </c>
      <c r="AZ213" s="41">
        <v>4588599</v>
      </c>
      <c r="BA213" s="41">
        <v>4839396</v>
      </c>
      <c r="BB213" s="41">
        <v>4987573</v>
      </c>
      <c r="BC213" s="41">
        <v>5076732</v>
      </c>
      <c r="BD213" s="41">
        <v>5183688</v>
      </c>
      <c r="BE213" s="41">
        <v>5312437</v>
      </c>
      <c r="BF213" s="41">
        <v>5399162</v>
      </c>
      <c r="BG213" s="41">
        <v>5469724</v>
      </c>
      <c r="BH213" s="41">
        <v>5535002</v>
      </c>
      <c r="BI213" s="41">
        <v>5607283</v>
      </c>
      <c r="BJ213" s="41">
        <v>5612253</v>
      </c>
      <c r="BK213" s="41">
        <v>5638676</v>
      </c>
      <c r="BL213" s="41">
        <v>5703569</v>
      </c>
      <c r="BM213" s="41">
        <v>5685807</v>
      </c>
    </row>
    <row r="214" spans="1:65" x14ac:dyDescent="0.35">
      <c r="A214" s="41" t="s">
        <v>520</v>
      </c>
      <c r="B214" s="41" t="s">
        <v>521</v>
      </c>
      <c r="C214" s="41" t="s">
        <v>666</v>
      </c>
      <c r="D214" s="41" t="s">
        <v>667</v>
      </c>
      <c r="E214" s="41">
        <v>117847</v>
      </c>
      <c r="F214" s="41">
        <v>121385</v>
      </c>
      <c r="G214" s="41">
        <v>125040</v>
      </c>
      <c r="H214" s="41">
        <v>128838</v>
      </c>
      <c r="I214" s="41">
        <v>132766</v>
      </c>
      <c r="J214" s="41">
        <v>136815</v>
      </c>
      <c r="K214" s="41">
        <v>140995</v>
      </c>
      <c r="L214" s="41">
        <v>145319</v>
      </c>
      <c r="M214" s="41">
        <v>149887</v>
      </c>
      <c r="N214" s="41">
        <v>154830</v>
      </c>
      <c r="O214" s="41">
        <v>160240</v>
      </c>
      <c r="P214" s="41">
        <v>166163</v>
      </c>
      <c r="Q214" s="41">
        <v>172550</v>
      </c>
      <c r="R214" s="41">
        <v>179306</v>
      </c>
      <c r="S214" s="41">
        <v>186297</v>
      </c>
      <c r="T214" s="41">
        <v>193401</v>
      </c>
      <c r="U214" s="41">
        <v>200602</v>
      </c>
      <c r="V214" s="41">
        <v>207885</v>
      </c>
      <c r="W214" s="41">
        <v>215299</v>
      </c>
      <c r="X214" s="41">
        <v>222841</v>
      </c>
      <c r="Y214" s="41">
        <v>230550</v>
      </c>
      <c r="Z214" s="41">
        <v>238423</v>
      </c>
      <c r="AA214" s="41">
        <v>246451</v>
      </c>
      <c r="AB214" s="41">
        <v>254566</v>
      </c>
      <c r="AC214" s="41">
        <v>262691</v>
      </c>
      <c r="AD214" s="41">
        <v>270787</v>
      </c>
      <c r="AE214" s="41">
        <v>278834</v>
      </c>
      <c r="AF214" s="41">
        <v>286871</v>
      </c>
      <c r="AG214" s="41">
        <v>294976</v>
      </c>
      <c r="AH214" s="41">
        <v>303272</v>
      </c>
      <c r="AI214" s="41">
        <v>311869</v>
      </c>
      <c r="AJ214" s="41">
        <v>320781</v>
      </c>
      <c r="AK214" s="41">
        <v>330004</v>
      </c>
      <c r="AL214" s="41">
        <v>339501</v>
      </c>
      <c r="AM214" s="41">
        <v>349273</v>
      </c>
      <c r="AN214" s="41">
        <v>359276</v>
      </c>
      <c r="AO214" s="41">
        <v>369517</v>
      </c>
      <c r="AP214" s="41">
        <v>379998</v>
      </c>
      <c r="AQ214" s="41">
        <v>390702</v>
      </c>
      <c r="AR214" s="41">
        <v>401592</v>
      </c>
      <c r="AS214" s="41">
        <v>412665</v>
      </c>
      <c r="AT214" s="41">
        <v>423949</v>
      </c>
      <c r="AU214" s="41">
        <v>435434</v>
      </c>
      <c r="AV214" s="41">
        <v>447016</v>
      </c>
      <c r="AW214" s="41">
        <v>458549</v>
      </c>
      <c r="AX214" s="41">
        <v>469918</v>
      </c>
      <c r="AY214" s="41">
        <v>481086</v>
      </c>
      <c r="AZ214" s="41">
        <v>492133</v>
      </c>
      <c r="BA214" s="41">
        <v>503366</v>
      </c>
      <c r="BB214" s="41">
        <v>515182</v>
      </c>
      <c r="BC214" s="41">
        <v>527861</v>
      </c>
      <c r="BD214" s="41">
        <v>541522</v>
      </c>
      <c r="BE214" s="41">
        <v>556066</v>
      </c>
      <c r="BF214" s="41">
        <v>571329</v>
      </c>
      <c r="BG214" s="41">
        <v>587079</v>
      </c>
      <c r="BH214" s="41">
        <v>603133</v>
      </c>
      <c r="BI214" s="41">
        <v>619438</v>
      </c>
      <c r="BJ214" s="41">
        <v>636030</v>
      </c>
      <c r="BK214" s="41">
        <v>652856</v>
      </c>
      <c r="BL214" s="41">
        <v>669821</v>
      </c>
      <c r="BM214" s="41">
        <v>686878</v>
      </c>
    </row>
    <row r="215" spans="1:65" x14ac:dyDescent="0.35">
      <c r="A215" s="41" t="s">
        <v>12</v>
      </c>
      <c r="B215" s="41" t="s">
        <v>522</v>
      </c>
      <c r="C215" s="41" t="s">
        <v>666</v>
      </c>
      <c r="D215" s="41" t="s">
        <v>667</v>
      </c>
      <c r="E215" s="41">
        <v>2317638</v>
      </c>
      <c r="F215" s="41">
        <v>2352370</v>
      </c>
      <c r="G215" s="41">
        <v>2388759</v>
      </c>
      <c r="H215" s="41">
        <v>2426864</v>
      </c>
      <c r="I215" s="41">
        <v>2466671</v>
      </c>
      <c r="J215" s="41">
        <v>2508226</v>
      </c>
      <c r="K215" s="41">
        <v>2551580</v>
      </c>
      <c r="L215" s="41">
        <v>2596798</v>
      </c>
      <c r="M215" s="41">
        <v>2644011</v>
      </c>
      <c r="N215" s="41">
        <v>2693344</v>
      </c>
      <c r="O215" s="41">
        <v>2744890</v>
      </c>
      <c r="P215" s="41">
        <v>2798727</v>
      </c>
      <c r="Q215" s="41">
        <v>2854866</v>
      </c>
      <c r="R215" s="41">
        <v>2913347</v>
      </c>
      <c r="S215" s="41">
        <v>2974105</v>
      </c>
      <c r="T215" s="41">
        <v>3037158</v>
      </c>
      <c r="U215" s="41">
        <v>3102595</v>
      </c>
      <c r="V215" s="41">
        <v>3170503</v>
      </c>
      <c r="W215" s="41">
        <v>3240841</v>
      </c>
      <c r="X215" s="41">
        <v>3313506</v>
      </c>
      <c r="Y215" s="41">
        <v>3388494</v>
      </c>
      <c r="Z215" s="41">
        <v>3464113</v>
      </c>
      <c r="AA215" s="41">
        <v>3540164</v>
      </c>
      <c r="AB215" s="41">
        <v>3619854</v>
      </c>
      <c r="AC215" s="41">
        <v>3707513</v>
      </c>
      <c r="AD215" s="41">
        <v>3805304</v>
      </c>
      <c r="AE215" s="41">
        <v>3916685</v>
      </c>
      <c r="AF215" s="41">
        <v>4038154</v>
      </c>
      <c r="AG215" s="41">
        <v>4156636</v>
      </c>
      <c r="AH215" s="41">
        <v>4254434</v>
      </c>
      <c r="AI215" s="41">
        <v>4319763</v>
      </c>
      <c r="AJ215" s="41">
        <v>4348663</v>
      </c>
      <c r="AK215" s="41">
        <v>4347727</v>
      </c>
      <c r="AL215" s="41">
        <v>4328965</v>
      </c>
      <c r="AM215" s="41">
        <v>4309780</v>
      </c>
      <c r="AN215" s="41">
        <v>4303953</v>
      </c>
      <c r="AO215" s="41">
        <v>4312660</v>
      </c>
      <c r="AP215" s="41">
        <v>4335295</v>
      </c>
      <c r="AQ215" s="41">
        <v>4381484</v>
      </c>
      <c r="AR215" s="41">
        <v>4462374</v>
      </c>
      <c r="AS215" s="41">
        <v>4584570</v>
      </c>
      <c r="AT215" s="41">
        <v>4754069</v>
      </c>
      <c r="AU215" s="41">
        <v>4965770</v>
      </c>
      <c r="AV215" s="41">
        <v>5201074</v>
      </c>
      <c r="AW215" s="41">
        <v>5433995</v>
      </c>
      <c r="AX215" s="41">
        <v>5645629</v>
      </c>
      <c r="AY215" s="41">
        <v>5829240</v>
      </c>
      <c r="AZ215" s="41">
        <v>5989641</v>
      </c>
      <c r="BA215" s="41">
        <v>6133599</v>
      </c>
      <c r="BB215" s="41">
        <v>6272735</v>
      </c>
      <c r="BC215" s="41">
        <v>6415636</v>
      </c>
      <c r="BD215" s="41">
        <v>6563238</v>
      </c>
      <c r="BE215" s="41">
        <v>6712586</v>
      </c>
      <c r="BF215" s="41">
        <v>6863975</v>
      </c>
      <c r="BG215" s="41">
        <v>7017153</v>
      </c>
      <c r="BH215" s="41">
        <v>7171909</v>
      </c>
      <c r="BI215" s="41">
        <v>7328846</v>
      </c>
      <c r="BJ215" s="41">
        <v>7488427</v>
      </c>
      <c r="BK215" s="41">
        <v>7650149</v>
      </c>
      <c r="BL215" s="41">
        <v>7813207</v>
      </c>
      <c r="BM215" s="41">
        <v>7976985</v>
      </c>
    </row>
    <row r="216" spans="1:65" x14ac:dyDescent="0.35">
      <c r="A216" s="41" t="s">
        <v>523</v>
      </c>
      <c r="B216" s="41" t="s">
        <v>524</v>
      </c>
      <c r="C216" s="41" t="s">
        <v>666</v>
      </c>
      <c r="D216" s="41" t="s">
        <v>667</v>
      </c>
      <c r="E216" s="41">
        <v>2766319</v>
      </c>
      <c r="F216" s="41">
        <v>2846601</v>
      </c>
      <c r="G216" s="41">
        <v>2931187</v>
      </c>
      <c r="H216" s="41">
        <v>3019224</v>
      </c>
      <c r="I216" s="41">
        <v>3109571</v>
      </c>
      <c r="J216" s="41">
        <v>3201310</v>
      </c>
      <c r="K216" s="41">
        <v>3293954</v>
      </c>
      <c r="L216" s="41">
        <v>3387384</v>
      </c>
      <c r="M216" s="41">
        <v>3481624</v>
      </c>
      <c r="N216" s="41">
        <v>3576834</v>
      </c>
      <c r="O216" s="41">
        <v>3673066</v>
      </c>
      <c r="P216" s="41">
        <v>3770060</v>
      </c>
      <c r="Q216" s="41">
        <v>3867310</v>
      </c>
      <c r="R216" s="41">
        <v>3964273</v>
      </c>
      <c r="S216" s="41">
        <v>4060255</v>
      </c>
      <c r="T216" s="41">
        <v>4154689</v>
      </c>
      <c r="U216" s="41">
        <v>4247508</v>
      </c>
      <c r="V216" s="41">
        <v>4338451</v>
      </c>
      <c r="W216" s="41">
        <v>4426679</v>
      </c>
      <c r="X216" s="41">
        <v>4511127</v>
      </c>
      <c r="Y216" s="41">
        <v>4591135</v>
      </c>
      <c r="Z216" s="41">
        <v>4666361</v>
      </c>
      <c r="AA216" s="41">
        <v>4737256</v>
      </c>
      <c r="AB216" s="41">
        <v>4804936</v>
      </c>
      <c r="AC216" s="41">
        <v>4871041</v>
      </c>
      <c r="AD216" s="41">
        <v>4936803</v>
      </c>
      <c r="AE216" s="41">
        <v>5002339</v>
      </c>
      <c r="AF216" s="41">
        <v>5067531</v>
      </c>
      <c r="AG216" s="41">
        <v>5133273</v>
      </c>
      <c r="AH216" s="41">
        <v>5200608</v>
      </c>
      <c r="AI216" s="41">
        <v>5270074</v>
      </c>
      <c r="AJ216" s="41">
        <v>5342190</v>
      </c>
      <c r="AK216" s="41">
        <v>5416327</v>
      </c>
      <c r="AL216" s="41">
        <v>5490478</v>
      </c>
      <c r="AM216" s="41">
        <v>5561916</v>
      </c>
      <c r="AN216" s="41">
        <v>5628602</v>
      </c>
      <c r="AO216" s="41">
        <v>5689943</v>
      </c>
      <c r="AP216" s="41">
        <v>5746288</v>
      </c>
      <c r="AQ216" s="41">
        <v>5797764</v>
      </c>
      <c r="AR216" s="41">
        <v>5844834</v>
      </c>
      <c r="AS216" s="41">
        <v>5887930</v>
      </c>
      <c r="AT216" s="41">
        <v>5927001</v>
      </c>
      <c r="AU216" s="41">
        <v>5962139</v>
      </c>
      <c r="AV216" s="41">
        <v>5994075</v>
      </c>
      <c r="AW216" s="41">
        <v>6023801</v>
      </c>
      <c r="AX216" s="41">
        <v>6052124</v>
      </c>
      <c r="AY216" s="41">
        <v>6079395</v>
      </c>
      <c r="AZ216" s="41">
        <v>6105810</v>
      </c>
      <c r="BA216" s="41">
        <v>6131767</v>
      </c>
      <c r="BB216" s="41">
        <v>6157678</v>
      </c>
      <c r="BC216" s="41">
        <v>6183877</v>
      </c>
      <c r="BD216" s="41">
        <v>6210567</v>
      </c>
      <c r="BE216" s="41">
        <v>6237922</v>
      </c>
      <c r="BF216" s="41">
        <v>6266076</v>
      </c>
      <c r="BG216" s="41">
        <v>6295124</v>
      </c>
      <c r="BH216" s="41">
        <v>6325121</v>
      </c>
      <c r="BI216" s="41">
        <v>6356137</v>
      </c>
      <c r="BJ216" s="41">
        <v>6388124</v>
      </c>
      <c r="BK216" s="41">
        <v>6420740</v>
      </c>
      <c r="BL216" s="41">
        <v>6453550</v>
      </c>
      <c r="BM216" s="41">
        <v>6486201</v>
      </c>
    </row>
    <row r="217" spans="1:65" x14ac:dyDescent="0.35">
      <c r="A217" s="41" t="s">
        <v>525</v>
      </c>
      <c r="B217" s="41" t="s">
        <v>526</v>
      </c>
      <c r="C217" s="41" t="s">
        <v>666</v>
      </c>
      <c r="D217" s="41" t="s">
        <v>667</v>
      </c>
      <c r="E217" s="41">
        <v>15440</v>
      </c>
      <c r="F217" s="41">
        <v>15836</v>
      </c>
      <c r="G217" s="41">
        <v>16255</v>
      </c>
      <c r="H217" s="41">
        <v>16669</v>
      </c>
      <c r="I217" s="41">
        <v>17101</v>
      </c>
      <c r="J217" s="41">
        <v>17508</v>
      </c>
      <c r="K217" s="41">
        <v>17919</v>
      </c>
      <c r="L217" s="41">
        <v>18309</v>
      </c>
      <c r="M217" s="41">
        <v>18668</v>
      </c>
      <c r="N217" s="41">
        <v>18980</v>
      </c>
      <c r="O217" s="41">
        <v>19224</v>
      </c>
      <c r="P217" s="41">
        <v>19393</v>
      </c>
      <c r="Q217" s="41">
        <v>19490</v>
      </c>
      <c r="R217" s="41">
        <v>19561</v>
      </c>
      <c r="S217" s="41">
        <v>19661</v>
      </c>
      <c r="T217" s="41">
        <v>19829</v>
      </c>
      <c r="U217" s="41">
        <v>20086</v>
      </c>
      <c r="V217" s="41">
        <v>20397</v>
      </c>
      <c r="W217" s="41">
        <v>20764</v>
      </c>
      <c r="X217" s="41">
        <v>21122</v>
      </c>
      <c r="Y217" s="41">
        <v>21453</v>
      </c>
      <c r="Z217" s="41">
        <v>21761</v>
      </c>
      <c r="AA217" s="41">
        <v>22043</v>
      </c>
      <c r="AB217" s="41">
        <v>22295</v>
      </c>
      <c r="AC217" s="41">
        <v>22546</v>
      </c>
      <c r="AD217" s="41">
        <v>22794</v>
      </c>
      <c r="AE217" s="41">
        <v>23046</v>
      </c>
      <c r="AF217" s="41">
        <v>23297</v>
      </c>
      <c r="AG217" s="41">
        <v>23548</v>
      </c>
      <c r="AH217" s="41">
        <v>23833</v>
      </c>
      <c r="AI217" s="41">
        <v>24124</v>
      </c>
      <c r="AJ217" s="41">
        <v>24454</v>
      </c>
      <c r="AK217" s="41">
        <v>24830</v>
      </c>
      <c r="AL217" s="41">
        <v>25208</v>
      </c>
      <c r="AM217" s="41">
        <v>25588</v>
      </c>
      <c r="AN217" s="41">
        <v>25925</v>
      </c>
      <c r="AO217" s="41">
        <v>26253</v>
      </c>
      <c r="AP217" s="41">
        <v>26563</v>
      </c>
      <c r="AQ217" s="41">
        <v>26851</v>
      </c>
      <c r="AR217" s="41">
        <v>27141</v>
      </c>
      <c r="AS217" s="41">
        <v>27460</v>
      </c>
      <c r="AT217" s="41">
        <v>27818</v>
      </c>
      <c r="AU217" s="41">
        <v>28175</v>
      </c>
      <c r="AV217" s="41">
        <v>28561</v>
      </c>
      <c r="AW217" s="41">
        <v>28942</v>
      </c>
      <c r="AX217" s="41">
        <v>29324</v>
      </c>
      <c r="AY217" s="41">
        <v>29694</v>
      </c>
      <c r="AZ217" s="41">
        <v>30068</v>
      </c>
      <c r="BA217" s="41">
        <v>30434</v>
      </c>
      <c r="BB217" s="41">
        <v>30825</v>
      </c>
      <c r="BC217" s="41">
        <v>31221</v>
      </c>
      <c r="BD217" s="41">
        <v>31655</v>
      </c>
      <c r="BE217" s="41">
        <v>32103</v>
      </c>
      <c r="BF217" s="41">
        <v>32554</v>
      </c>
      <c r="BG217" s="41">
        <v>32941</v>
      </c>
      <c r="BH217" s="41">
        <v>33270</v>
      </c>
      <c r="BI217" s="41">
        <v>33503</v>
      </c>
      <c r="BJ217" s="41">
        <v>33671</v>
      </c>
      <c r="BK217" s="41">
        <v>33784</v>
      </c>
      <c r="BL217" s="41">
        <v>33864</v>
      </c>
      <c r="BM217" s="41">
        <v>33938</v>
      </c>
    </row>
    <row r="218" spans="1:65" x14ac:dyDescent="0.35">
      <c r="A218" s="41" t="s">
        <v>527</v>
      </c>
      <c r="B218" s="41" t="s">
        <v>528</v>
      </c>
      <c r="C218" s="41" t="s">
        <v>666</v>
      </c>
      <c r="D218" s="41" t="s">
        <v>667</v>
      </c>
      <c r="E218" s="41">
        <v>2755967</v>
      </c>
      <c r="F218" s="41">
        <v>2814125</v>
      </c>
      <c r="G218" s="41">
        <v>2874215</v>
      </c>
      <c r="H218" s="41">
        <v>2936478</v>
      </c>
      <c r="I218" s="41">
        <v>3001160</v>
      </c>
      <c r="J218" s="41">
        <v>3068465</v>
      </c>
      <c r="K218" s="41">
        <v>3143654</v>
      </c>
      <c r="L218" s="41">
        <v>3227835</v>
      </c>
      <c r="M218" s="41">
        <v>3312735</v>
      </c>
      <c r="N218" s="41">
        <v>3386736</v>
      </c>
      <c r="O218" s="41">
        <v>3444569</v>
      </c>
      <c r="P218" s="41">
        <v>3472357</v>
      </c>
      <c r="Q218" s="41">
        <v>3479792</v>
      </c>
      <c r="R218" s="41">
        <v>3512626</v>
      </c>
      <c r="S218" s="41">
        <v>3632986</v>
      </c>
      <c r="T218" s="41">
        <v>3880285</v>
      </c>
      <c r="U218" s="41">
        <v>4278974</v>
      </c>
      <c r="V218" s="41">
        <v>4802134</v>
      </c>
      <c r="W218" s="41">
        <v>5375018</v>
      </c>
      <c r="X218" s="41">
        <v>5892763</v>
      </c>
      <c r="Y218" s="41">
        <v>6281138</v>
      </c>
      <c r="Z218" s="41">
        <v>6511115</v>
      </c>
      <c r="AA218" s="41">
        <v>6608040</v>
      </c>
      <c r="AB218" s="41">
        <v>6618594</v>
      </c>
      <c r="AC218" s="41">
        <v>6614713</v>
      </c>
      <c r="AD218" s="41">
        <v>6648628</v>
      </c>
      <c r="AE218" s="41">
        <v>6736751</v>
      </c>
      <c r="AF218" s="41">
        <v>6862267</v>
      </c>
      <c r="AG218" s="41">
        <v>7005226</v>
      </c>
      <c r="AH218" s="41">
        <v>7133263</v>
      </c>
      <c r="AI218" s="41">
        <v>7225089</v>
      </c>
      <c r="AJ218" s="41">
        <v>7274026</v>
      </c>
      <c r="AK218" s="41">
        <v>7295380</v>
      </c>
      <c r="AL218" s="41">
        <v>7315864</v>
      </c>
      <c r="AM218" s="41">
        <v>7372592</v>
      </c>
      <c r="AN218" s="41">
        <v>7491647</v>
      </c>
      <c r="AO218" s="41">
        <v>7682683</v>
      </c>
      <c r="AP218" s="41">
        <v>7936122</v>
      </c>
      <c r="AQ218" s="41">
        <v>8235064</v>
      </c>
      <c r="AR218" s="41">
        <v>8553595</v>
      </c>
      <c r="AS218" s="41">
        <v>8872250</v>
      </c>
      <c r="AT218" s="41">
        <v>9186719</v>
      </c>
      <c r="AU218" s="41">
        <v>9501335</v>
      </c>
      <c r="AV218" s="41">
        <v>9815412</v>
      </c>
      <c r="AW218" s="41">
        <v>10130251</v>
      </c>
      <c r="AX218" s="41">
        <v>10446856</v>
      </c>
      <c r="AY218" s="41">
        <v>10763904</v>
      </c>
      <c r="AZ218" s="41">
        <v>11080122</v>
      </c>
      <c r="BA218" s="41">
        <v>11397188</v>
      </c>
      <c r="BB218" s="41">
        <v>11717691</v>
      </c>
      <c r="BC218" s="41">
        <v>12043886</v>
      </c>
      <c r="BD218" s="41">
        <v>12376305</v>
      </c>
      <c r="BE218" s="41">
        <v>12715487</v>
      </c>
      <c r="BF218" s="41">
        <v>13063711</v>
      </c>
      <c r="BG218" s="41">
        <v>13423571</v>
      </c>
      <c r="BH218" s="41">
        <v>13797204</v>
      </c>
      <c r="BI218" s="41">
        <v>14185635</v>
      </c>
      <c r="BJ218" s="41">
        <v>14589165</v>
      </c>
      <c r="BK218" s="41">
        <v>15008225</v>
      </c>
      <c r="BL218" s="41">
        <v>15442906</v>
      </c>
      <c r="BM218" s="41">
        <v>15893219</v>
      </c>
    </row>
    <row r="219" spans="1:65" x14ac:dyDescent="0.35">
      <c r="A219" s="41" t="s">
        <v>529</v>
      </c>
      <c r="B219" s="41" t="s">
        <v>530</v>
      </c>
      <c r="C219" s="41" t="s">
        <v>666</v>
      </c>
      <c r="D219" s="41" t="s">
        <v>667</v>
      </c>
      <c r="E219" s="41">
        <v>6608000</v>
      </c>
      <c r="F219" s="41">
        <v>6655000</v>
      </c>
      <c r="G219" s="41">
        <v>6696000</v>
      </c>
      <c r="H219" s="41">
        <v>6732000</v>
      </c>
      <c r="I219" s="41">
        <v>6765000</v>
      </c>
      <c r="J219" s="41">
        <v>6794000</v>
      </c>
      <c r="K219" s="41">
        <v>6841000</v>
      </c>
      <c r="L219" s="41">
        <v>6880000</v>
      </c>
      <c r="M219" s="41">
        <v>6915000</v>
      </c>
      <c r="N219" s="41">
        <v>6945000</v>
      </c>
      <c r="O219" s="41">
        <v>6972000</v>
      </c>
      <c r="P219" s="41">
        <v>7013000</v>
      </c>
      <c r="Q219" s="41">
        <v>7053000</v>
      </c>
      <c r="R219" s="41">
        <v>7091000</v>
      </c>
      <c r="S219" s="41">
        <v>7128000</v>
      </c>
      <c r="T219" s="41">
        <v>7163000</v>
      </c>
      <c r="U219" s="41">
        <v>7214000</v>
      </c>
      <c r="V219" s="41">
        <v>7258000</v>
      </c>
      <c r="W219" s="41">
        <v>7297000</v>
      </c>
      <c r="X219" s="41">
        <v>7332000</v>
      </c>
      <c r="Y219" s="41">
        <v>7362000</v>
      </c>
      <c r="Z219" s="41">
        <v>7405000</v>
      </c>
      <c r="AA219" s="41">
        <v>7440000</v>
      </c>
      <c r="AB219" s="41">
        <v>7468000</v>
      </c>
      <c r="AC219" s="41">
        <v>7489000</v>
      </c>
      <c r="AD219" s="41">
        <v>7504000</v>
      </c>
      <c r="AE219" s="41">
        <v>7536000</v>
      </c>
      <c r="AF219" s="41">
        <v>7558000</v>
      </c>
      <c r="AG219" s="41">
        <v>7572000</v>
      </c>
      <c r="AH219" s="41">
        <v>7581000</v>
      </c>
      <c r="AI219" s="41">
        <v>7586000</v>
      </c>
      <c r="AJ219" s="41">
        <v>7595636</v>
      </c>
      <c r="AK219" s="41">
        <v>7646424</v>
      </c>
      <c r="AL219" s="41">
        <v>7699307</v>
      </c>
      <c r="AM219" s="41">
        <v>7734639</v>
      </c>
      <c r="AN219" s="41">
        <v>7625357</v>
      </c>
      <c r="AO219" s="41">
        <v>7617794</v>
      </c>
      <c r="AP219" s="41">
        <v>7596501</v>
      </c>
      <c r="AQ219" s="41">
        <v>7567745</v>
      </c>
      <c r="AR219" s="41">
        <v>7540401</v>
      </c>
      <c r="AS219" s="41">
        <v>7516346</v>
      </c>
      <c r="AT219" s="41">
        <v>7503433</v>
      </c>
      <c r="AU219" s="41">
        <v>7496522</v>
      </c>
      <c r="AV219" s="41">
        <v>7480591</v>
      </c>
      <c r="AW219" s="41">
        <v>7463157</v>
      </c>
      <c r="AX219" s="41">
        <v>7440769</v>
      </c>
      <c r="AY219" s="41">
        <v>7411569</v>
      </c>
      <c r="AZ219" s="41">
        <v>7381579</v>
      </c>
      <c r="BA219" s="41">
        <v>7350222</v>
      </c>
      <c r="BB219" s="41">
        <v>7320807</v>
      </c>
      <c r="BC219" s="41">
        <v>7291436</v>
      </c>
      <c r="BD219" s="41">
        <v>7234099</v>
      </c>
      <c r="BE219" s="41">
        <v>7199077</v>
      </c>
      <c r="BF219" s="41">
        <v>7164132</v>
      </c>
      <c r="BG219" s="41">
        <v>7130576</v>
      </c>
      <c r="BH219" s="41">
        <v>7095383</v>
      </c>
      <c r="BI219" s="41">
        <v>7058322</v>
      </c>
      <c r="BJ219" s="41">
        <v>7020858</v>
      </c>
      <c r="BK219" s="41">
        <v>6982604</v>
      </c>
      <c r="BL219" s="41">
        <v>6945235</v>
      </c>
      <c r="BM219" s="41">
        <v>6908224</v>
      </c>
    </row>
    <row r="220" spans="1:65" x14ac:dyDescent="0.35">
      <c r="A220" s="41" t="s">
        <v>531</v>
      </c>
      <c r="B220" s="41" t="s">
        <v>532</v>
      </c>
      <c r="C220" s="41" t="s">
        <v>666</v>
      </c>
      <c r="D220" s="41" t="s">
        <v>667</v>
      </c>
      <c r="E220" s="41">
        <v>227191484</v>
      </c>
      <c r="F220" s="41">
        <v>232524118</v>
      </c>
      <c r="G220" s="41">
        <v>238077562</v>
      </c>
      <c r="H220" s="41">
        <v>243848199</v>
      </c>
      <c r="I220" s="41">
        <v>249827334</v>
      </c>
      <c r="J220" s="41">
        <v>256012349</v>
      </c>
      <c r="K220" s="41">
        <v>262405783</v>
      </c>
      <c r="L220" s="41">
        <v>269022493</v>
      </c>
      <c r="M220" s="41">
        <v>275886412</v>
      </c>
      <c r="N220" s="41">
        <v>283028136</v>
      </c>
      <c r="O220" s="41">
        <v>290472633</v>
      </c>
      <c r="P220" s="41">
        <v>298229780</v>
      </c>
      <c r="Q220" s="41">
        <v>306303621</v>
      </c>
      <c r="R220" s="41">
        <v>314704612</v>
      </c>
      <c r="S220" s="41">
        <v>323442396</v>
      </c>
      <c r="T220" s="41">
        <v>332524189</v>
      </c>
      <c r="U220" s="41">
        <v>341958433</v>
      </c>
      <c r="V220" s="41">
        <v>351746974</v>
      </c>
      <c r="W220" s="41">
        <v>361877306</v>
      </c>
      <c r="X220" s="41">
        <v>372341551</v>
      </c>
      <c r="Y220" s="41">
        <v>383124954</v>
      </c>
      <c r="Z220" s="41">
        <v>394217957</v>
      </c>
      <c r="AA220" s="41">
        <v>405624485</v>
      </c>
      <c r="AB220" s="41">
        <v>417361377</v>
      </c>
      <c r="AC220" s="41">
        <v>429457197</v>
      </c>
      <c r="AD220" s="41">
        <v>441922760</v>
      </c>
      <c r="AE220" s="41">
        <v>454770025</v>
      </c>
      <c r="AF220" s="41">
        <v>467984604</v>
      </c>
      <c r="AG220" s="41">
        <v>481525582</v>
      </c>
      <c r="AH220" s="41">
        <v>495338255</v>
      </c>
      <c r="AI220" s="41">
        <v>509382368</v>
      </c>
      <c r="AJ220" s="41">
        <v>523656521</v>
      </c>
      <c r="AK220" s="41">
        <v>538175676</v>
      </c>
      <c r="AL220" s="41">
        <v>552948132</v>
      </c>
      <c r="AM220" s="41">
        <v>567997865</v>
      </c>
      <c r="AN220" s="41">
        <v>583337983</v>
      </c>
      <c r="AO220" s="41">
        <v>598991357</v>
      </c>
      <c r="AP220" s="41">
        <v>614977022</v>
      </c>
      <c r="AQ220" s="41">
        <v>631321857</v>
      </c>
      <c r="AR220" s="41">
        <v>648067928</v>
      </c>
      <c r="AS220" s="41">
        <v>665246457</v>
      </c>
      <c r="AT220" s="41">
        <v>682874821</v>
      </c>
      <c r="AU220" s="41">
        <v>700982474</v>
      </c>
      <c r="AV220" s="41">
        <v>719633384</v>
      </c>
      <c r="AW220" s="41">
        <v>738900772</v>
      </c>
      <c r="AX220" s="41">
        <v>758841806</v>
      </c>
      <c r="AY220" s="41">
        <v>779482246</v>
      </c>
      <c r="AZ220" s="41">
        <v>800823534</v>
      </c>
      <c r="BA220" s="41">
        <v>822858534</v>
      </c>
      <c r="BB220" s="41">
        <v>845567911</v>
      </c>
      <c r="BC220" s="41">
        <v>868935345</v>
      </c>
      <c r="BD220" s="41">
        <v>892958422</v>
      </c>
      <c r="BE220" s="41">
        <v>917637577</v>
      </c>
      <c r="BF220" s="41">
        <v>942949525</v>
      </c>
      <c r="BG220" s="41">
        <v>968866993</v>
      </c>
      <c r="BH220" s="41">
        <v>995365079</v>
      </c>
      <c r="BI220" s="41">
        <v>1022435568</v>
      </c>
      <c r="BJ220" s="41">
        <v>1050066967</v>
      </c>
      <c r="BK220" s="41">
        <v>1078222750</v>
      </c>
      <c r="BL220" s="41">
        <v>1106860245</v>
      </c>
      <c r="BM220" s="41">
        <v>1135948313</v>
      </c>
    </row>
    <row r="221" spans="1:65" x14ac:dyDescent="0.35">
      <c r="A221" s="41" t="s">
        <v>533</v>
      </c>
      <c r="B221" s="41" t="s">
        <v>534</v>
      </c>
      <c r="C221" s="41" t="s">
        <v>666</v>
      </c>
      <c r="D221" s="41" t="s">
        <v>667</v>
      </c>
      <c r="E221" s="41">
        <v>2842718</v>
      </c>
      <c r="F221" s="41">
        <v>2895609</v>
      </c>
      <c r="G221" s="41">
        <v>2951041</v>
      </c>
      <c r="H221" s="41">
        <v>3009061</v>
      </c>
      <c r="I221" s="41">
        <v>3069735</v>
      </c>
      <c r="J221" s="41">
        <v>3133155</v>
      </c>
      <c r="K221" s="41">
        <v>3199348</v>
      </c>
      <c r="L221" s="41">
        <v>3268392</v>
      </c>
      <c r="M221" s="41">
        <v>3340426</v>
      </c>
      <c r="N221" s="41">
        <v>3415572</v>
      </c>
      <c r="O221" s="41">
        <v>3494011</v>
      </c>
      <c r="P221" s="41">
        <v>3575896</v>
      </c>
      <c r="Q221" s="41">
        <v>3661442</v>
      </c>
      <c r="R221" s="41">
        <v>3750780</v>
      </c>
      <c r="S221" s="41">
        <v>3844094</v>
      </c>
      <c r="T221" s="41">
        <v>3941613</v>
      </c>
      <c r="U221" s="41">
        <v>4041792</v>
      </c>
      <c r="V221" s="41">
        <v>4144552</v>
      </c>
      <c r="W221" s="41">
        <v>4253085</v>
      </c>
      <c r="X221" s="41">
        <v>4371711</v>
      </c>
      <c r="Y221" s="41">
        <v>4502603</v>
      </c>
      <c r="Z221" s="41">
        <v>4646478</v>
      </c>
      <c r="AA221" s="41">
        <v>4799435</v>
      </c>
      <c r="AB221" s="41">
        <v>4953154</v>
      </c>
      <c r="AC221" s="41">
        <v>5096478</v>
      </c>
      <c r="AD221" s="41">
        <v>5220748</v>
      </c>
      <c r="AE221" s="41">
        <v>5328167</v>
      </c>
      <c r="AF221" s="41">
        <v>5419808</v>
      </c>
      <c r="AG221" s="41">
        <v>5485288</v>
      </c>
      <c r="AH221" s="41">
        <v>5511582</v>
      </c>
      <c r="AI221" s="41">
        <v>5492620</v>
      </c>
      <c r="AJ221" s="41">
        <v>5420179</v>
      </c>
      <c r="AK221" s="41">
        <v>5305449</v>
      </c>
      <c r="AL221" s="41">
        <v>5185712</v>
      </c>
      <c r="AM221" s="41">
        <v>5111371</v>
      </c>
      <c r="AN221" s="41">
        <v>5118084</v>
      </c>
      <c r="AO221" s="41">
        <v>5221925</v>
      </c>
      <c r="AP221" s="41">
        <v>5411653</v>
      </c>
      <c r="AQ221" s="41">
        <v>5661934</v>
      </c>
      <c r="AR221" s="41">
        <v>5933884</v>
      </c>
      <c r="AS221" s="41">
        <v>6199396</v>
      </c>
      <c r="AT221" s="41">
        <v>6447791</v>
      </c>
      <c r="AU221" s="41">
        <v>6688225</v>
      </c>
      <c r="AV221" s="41">
        <v>6935665</v>
      </c>
      <c r="AW221" s="41">
        <v>7213354</v>
      </c>
      <c r="AX221" s="41">
        <v>7535931</v>
      </c>
      <c r="AY221" s="41">
        <v>7907407</v>
      </c>
      <c r="AZ221" s="41">
        <v>8315144</v>
      </c>
      <c r="BA221" s="41">
        <v>8736932</v>
      </c>
      <c r="BB221" s="41">
        <v>9142258</v>
      </c>
      <c r="BC221" s="41">
        <v>9508372</v>
      </c>
      <c r="BD221" s="41">
        <v>9830695</v>
      </c>
      <c r="BE221" s="41">
        <v>10113648</v>
      </c>
      <c r="BF221" s="41">
        <v>10355030</v>
      </c>
      <c r="BG221" s="41">
        <v>10554882</v>
      </c>
      <c r="BH221" s="41">
        <v>10715657</v>
      </c>
      <c r="BI221" s="41">
        <v>10832520</v>
      </c>
      <c r="BJ221" s="41">
        <v>10910774</v>
      </c>
      <c r="BK221" s="41">
        <v>10975924</v>
      </c>
      <c r="BL221" s="41">
        <v>11062114</v>
      </c>
      <c r="BM221" s="41">
        <v>11193729</v>
      </c>
    </row>
    <row r="222" spans="1:65" x14ac:dyDescent="0.35">
      <c r="A222" s="41" t="s">
        <v>535</v>
      </c>
      <c r="B222" s="41" t="s">
        <v>536</v>
      </c>
      <c r="C222" s="41" t="s">
        <v>666</v>
      </c>
      <c r="D222" s="41" t="s">
        <v>667</v>
      </c>
      <c r="E222" s="41">
        <v>227233184</v>
      </c>
      <c r="F222" s="41">
        <v>232567007</v>
      </c>
      <c r="G222" s="41">
        <v>238121604</v>
      </c>
      <c r="H222" s="41">
        <v>243893375</v>
      </c>
      <c r="I222" s="41">
        <v>249873656</v>
      </c>
      <c r="J222" s="41">
        <v>256059849</v>
      </c>
      <c r="K222" s="41">
        <v>262454482</v>
      </c>
      <c r="L222" s="41">
        <v>269072404</v>
      </c>
      <c r="M222" s="41">
        <v>275937546</v>
      </c>
      <c r="N222" s="41">
        <v>283080501</v>
      </c>
      <c r="O222" s="41">
        <v>290526233</v>
      </c>
      <c r="P222" s="41">
        <v>298284475</v>
      </c>
      <c r="Q222" s="41">
        <v>306359650</v>
      </c>
      <c r="R222" s="41">
        <v>314761504</v>
      </c>
      <c r="S222" s="41">
        <v>323500333</v>
      </c>
      <c r="T222" s="41">
        <v>332583481</v>
      </c>
      <c r="U222" s="41">
        <v>342018937</v>
      </c>
      <c r="V222" s="41">
        <v>351808760</v>
      </c>
      <c r="W222" s="41">
        <v>361939456</v>
      </c>
      <c r="X222" s="41">
        <v>372404237</v>
      </c>
      <c r="Y222" s="41">
        <v>383188215</v>
      </c>
      <c r="Z222" s="41">
        <v>394281992</v>
      </c>
      <c r="AA222" s="41">
        <v>405688898</v>
      </c>
      <c r="AB222" s="41">
        <v>417425712</v>
      </c>
      <c r="AC222" s="41">
        <v>429521914</v>
      </c>
      <c r="AD222" s="41">
        <v>441988004</v>
      </c>
      <c r="AE222" s="41">
        <v>454835677</v>
      </c>
      <c r="AF222" s="41">
        <v>468053103</v>
      </c>
      <c r="AG222" s="41">
        <v>481594337</v>
      </c>
      <c r="AH222" s="41">
        <v>495407422</v>
      </c>
      <c r="AI222" s="41">
        <v>509451875</v>
      </c>
      <c r="AJ222" s="41">
        <v>523726960</v>
      </c>
      <c r="AK222" s="41">
        <v>538246439</v>
      </c>
      <c r="AL222" s="41">
        <v>553020385</v>
      </c>
      <c r="AM222" s="41">
        <v>568072070</v>
      </c>
      <c r="AN222" s="41">
        <v>583413287</v>
      </c>
      <c r="AO222" s="41">
        <v>599067774</v>
      </c>
      <c r="AP222" s="41">
        <v>615054341</v>
      </c>
      <c r="AQ222" s="41">
        <v>631400703</v>
      </c>
      <c r="AR222" s="41">
        <v>648148338</v>
      </c>
      <c r="AS222" s="41">
        <v>665327588</v>
      </c>
      <c r="AT222" s="41">
        <v>682956023</v>
      </c>
      <c r="AU222" s="41">
        <v>701066197</v>
      </c>
      <c r="AV222" s="41">
        <v>719716165</v>
      </c>
      <c r="AW222" s="41">
        <v>738983247</v>
      </c>
      <c r="AX222" s="41">
        <v>758924664</v>
      </c>
      <c r="AY222" s="41">
        <v>779566846</v>
      </c>
      <c r="AZ222" s="41">
        <v>800908567</v>
      </c>
      <c r="BA222" s="41">
        <v>822945490</v>
      </c>
      <c r="BB222" s="41">
        <v>845655209</v>
      </c>
      <c r="BC222" s="41">
        <v>869025115</v>
      </c>
      <c r="BD222" s="41">
        <v>893045863</v>
      </c>
      <c r="BE222" s="41">
        <v>917725880</v>
      </c>
      <c r="BF222" s="41">
        <v>943039474</v>
      </c>
      <c r="BG222" s="41">
        <v>968958352</v>
      </c>
      <c r="BH222" s="41">
        <v>995458498</v>
      </c>
      <c r="BI222" s="41">
        <v>1022530245</v>
      </c>
      <c r="BJ222" s="41">
        <v>1050162810</v>
      </c>
      <c r="BK222" s="41">
        <v>1078319512</v>
      </c>
      <c r="BL222" s="41">
        <v>1106957870</v>
      </c>
      <c r="BM222" s="41">
        <v>1136046775</v>
      </c>
    </row>
    <row r="223" spans="1:65" x14ac:dyDescent="0.35">
      <c r="A223" s="41" t="s">
        <v>537</v>
      </c>
      <c r="B223" s="41" t="s">
        <v>538</v>
      </c>
      <c r="C223" s="41" t="s">
        <v>666</v>
      </c>
      <c r="D223" s="41" t="s">
        <v>667</v>
      </c>
      <c r="E223" s="41">
        <v>14211632</v>
      </c>
      <c r="F223" s="41">
        <v>14483280</v>
      </c>
      <c r="G223" s="41">
        <v>14762137</v>
      </c>
      <c r="H223" s="41">
        <v>15045754</v>
      </c>
      <c r="I223" s="41">
        <v>15333414</v>
      </c>
      <c r="J223" s="41">
        <v>15621038</v>
      </c>
      <c r="K223" s="41">
        <v>15906000</v>
      </c>
      <c r="L223" s="41">
        <v>16189729</v>
      </c>
      <c r="M223" s="41">
        <v>16478258</v>
      </c>
      <c r="N223" s="41">
        <v>16772135</v>
      </c>
      <c r="O223" s="41">
        <v>17073320</v>
      </c>
      <c r="P223" s="41">
        <v>17384835</v>
      </c>
      <c r="Q223" s="41">
        <v>17702798</v>
      </c>
      <c r="R223" s="41">
        <v>18024903</v>
      </c>
      <c r="S223" s="41">
        <v>18352225</v>
      </c>
      <c r="T223" s="41">
        <v>18688113</v>
      </c>
      <c r="U223" s="41">
        <v>19027575</v>
      </c>
      <c r="V223" s="41">
        <v>19373865</v>
      </c>
      <c r="W223" s="41">
        <v>19729124</v>
      </c>
      <c r="X223" s="41">
        <v>20104329</v>
      </c>
      <c r="Y223" s="41">
        <v>20501052</v>
      </c>
      <c r="Z223" s="41">
        <v>20918880</v>
      </c>
      <c r="AA223" s="41">
        <v>21359036</v>
      </c>
      <c r="AB223" s="41">
        <v>21809929</v>
      </c>
      <c r="AC223" s="41">
        <v>22269272</v>
      </c>
      <c r="AD223" s="41">
        <v>22740424</v>
      </c>
      <c r="AE223" s="41">
        <v>23219508</v>
      </c>
      <c r="AF223" s="41">
        <v>23705895</v>
      </c>
      <c r="AG223" s="41">
        <v>24190637</v>
      </c>
      <c r="AH223" s="41">
        <v>24669495</v>
      </c>
      <c r="AI223" s="41">
        <v>25134374</v>
      </c>
      <c r="AJ223" s="41">
        <v>25593378</v>
      </c>
      <c r="AK223" s="41">
        <v>26020298</v>
      </c>
      <c r="AL223" s="41">
        <v>26428489</v>
      </c>
      <c r="AM223" s="41">
        <v>26841261</v>
      </c>
      <c r="AN223" s="41">
        <v>27247916</v>
      </c>
      <c r="AO223" s="41">
        <v>27660218</v>
      </c>
      <c r="AP223" s="41">
        <v>28081580</v>
      </c>
      <c r="AQ223" s="41">
        <v>28504891</v>
      </c>
      <c r="AR223" s="41">
        <v>28948552</v>
      </c>
      <c r="AS223" s="41">
        <v>29393017</v>
      </c>
      <c r="AT223" s="41">
        <v>29820320</v>
      </c>
      <c r="AU223" s="41">
        <v>30250201</v>
      </c>
      <c r="AV223" s="41">
        <v>30697300</v>
      </c>
      <c r="AW223" s="41">
        <v>31189665</v>
      </c>
      <c r="AX223" s="41">
        <v>31746502</v>
      </c>
      <c r="AY223" s="41">
        <v>32375205</v>
      </c>
      <c r="AZ223" s="41">
        <v>33066727</v>
      </c>
      <c r="BA223" s="41">
        <v>33798831</v>
      </c>
      <c r="BB223" s="41">
        <v>34529570</v>
      </c>
      <c r="BC223" s="41">
        <v>35238631</v>
      </c>
      <c r="BD223" s="41">
        <v>35912140</v>
      </c>
      <c r="BE223" s="41">
        <v>36568506</v>
      </c>
      <c r="BF223" s="41">
        <v>37213359</v>
      </c>
      <c r="BG223" s="41">
        <v>37861447</v>
      </c>
      <c r="BH223" s="41">
        <v>38524668</v>
      </c>
      <c r="BI223" s="41">
        <v>39198032</v>
      </c>
      <c r="BJ223" s="41">
        <v>39883677</v>
      </c>
      <c r="BK223" s="41">
        <v>40574734</v>
      </c>
      <c r="BL223" s="41">
        <v>41254526</v>
      </c>
      <c r="BM223" s="41">
        <v>41913035</v>
      </c>
    </row>
    <row r="224" spans="1:65" x14ac:dyDescent="0.35">
      <c r="A224" s="41" t="s">
        <v>539</v>
      </c>
      <c r="B224" s="41" t="s">
        <v>540</v>
      </c>
      <c r="C224" s="41" t="s">
        <v>666</v>
      </c>
      <c r="D224" s="41" t="s">
        <v>667</v>
      </c>
      <c r="E224" s="41">
        <v>64294</v>
      </c>
      <c r="F224" s="41">
        <v>64597</v>
      </c>
      <c r="G224" s="41">
        <v>64478</v>
      </c>
      <c r="H224" s="41">
        <v>64237</v>
      </c>
      <c r="I224" s="41">
        <v>64278</v>
      </c>
      <c r="J224" s="41">
        <v>64884</v>
      </c>
      <c r="K224" s="41">
        <v>66172</v>
      </c>
      <c r="L224" s="41">
        <v>68039</v>
      </c>
      <c r="M224" s="41">
        <v>70258</v>
      </c>
      <c r="N224" s="41">
        <v>72501</v>
      </c>
      <c r="O224" s="41">
        <v>74570</v>
      </c>
      <c r="P224" s="41">
        <v>76344</v>
      </c>
      <c r="Q224" s="41">
        <v>77930</v>
      </c>
      <c r="R224" s="41">
        <v>79463</v>
      </c>
      <c r="S224" s="41">
        <v>81148</v>
      </c>
      <c r="T224" s="41">
        <v>83134</v>
      </c>
      <c r="U224" s="41">
        <v>85475</v>
      </c>
      <c r="V224" s="41">
        <v>88102</v>
      </c>
      <c r="W224" s="41">
        <v>90846</v>
      </c>
      <c r="X224" s="41">
        <v>93458</v>
      </c>
      <c r="Y224" s="41">
        <v>95788</v>
      </c>
      <c r="Z224" s="41">
        <v>97767</v>
      </c>
      <c r="AA224" s="41">
        <v>99478</v>
      </c>
      <c r="AB224" s="41">
        <v>101064</v>
      </c>
      <c r="AC224" s="41">
        <v>102826</v>
      </c>
      <c r="AD224" s="41">
        <v>104926</v>
      </c>
      <c r="AE224" s="41">
        <v>107429</v>
      </c>
      <c r="AF224" s="41">
        <v>110259</v>
      </c>
      <c r="AG224" s="41">
        <v>113288</v>
      </c>
      <c r="AH224" s="41">
        <v>116313</v>
      </c>
      <c r="AI224" s="41">
        <v>119211</v>
      </c>
      <c r="AJ224" s="41">
        <v>121949</v>
      </c>
      <c r="AK224" s="41">
        <v>124574</v>
      </c>
      <c r="AL224" s="41">
        <v>127066</v>
      </c>
      <c r="AM224" s="41">
        <v>129426</v>
      </c>
      <c r="AN224" s="41">
        <v>131679</v>
      </c>
      <c r="AO224" s="41">
        <v>133799</v>
      </c>
      <c r="AP224" s="41">
        <v>135831</v>
      </c>
      <c r="AQ224" s="41">
        <v>137855</v>
      </c>
      <c r="AR224" s="41">
        <v>139964</v>
      </c>
      <c r="AS224" s="41">
        <v>142264</v>
      </c>
      <c r="AT224" s="41">
        <v>144760</v>
      </c>
      <c r="AU224" s="41">
        <v>147450</v>
      </c>
      <c r="AV224" s="41">
        <v>150405</v>
      </c>
      <c r="AW224" s="41">
        <v>153736</v>
      </c>
      <c r="AX224" s="41">
        <v>157472</v>
      </c>
      <c r="AY224" s="41">
        <v>161676</v>
      </c>
      <c r="AZ224" s="41">
        <v>166297</v>
      </c>
      <c r="BA224" s="41">
        <v>171122</v>
      </c>
      <c r="BB224" s="41">
        <v>175877</v>
      </c>
      <c r="BC224" s="41">
        <v>180372</v>
      </c>
      <c r="BD224" s="41">
        <v>184521</v>
      </c>
      <c r="BE224" s="41">
        <v>188394</v>
      </c>
      <c r="BF224" s="41">
        <v>192076</v>
      </c>
      <c r="BG224" s="41">
        <v>195727</v>
      </c>
      <c r="BH224" s="41">
        <v>199439</v>
      </c>
      <c r="BI224" s="41">
        <v>203221</v>
      </c>
      <c r="BJ224" s="41">
        <v>207086</v>
      </c>
      <c r="BK224" s="41">
        <v>211032</v>
      </c>
      <c r="BL224" s="41">
        <v>215048</v>
      </c>
      <c r="BM224" s="41">
        <v>219161</v>
      </c>
    </row>
    <row r="225" spans="1:65" x14ac:dyDescent="0.35">
      <c r="A225" s="41" t="s">
        <v>541</v>
      </c>
      <c r="B225" s="41" t="s">
        <v>542</v>
      </c>
      <c r="C225" s="41" t="s">
        <v>666</v>
      </c>
      <c r="D225" s="41" t="s">
        <v>667</v>
      </c>
      <c r="E225" s="41">
        <v>287870</v>
      </c>
      <c r="F225" s="41">
        <v>295913</v>
      </c>
      <c r="G225" s="41">
        <v>303894</v>
      </c>
      <c r="H225" s="41">
        <v>311945</v>
      </c>
      <c r="I225" s="41">
        <v>320267</v>
      </c>
      <c r="J225" s="41">
        <v>328939</v>
      </c>
      <c r="K225" s="41">
        <v>338155</v>
      </c>
      <c r="L225" s="41">
        <v>347673</v>
      </c>
      <c r="M225" s="41">
        <v>356551</v>
      </c>
      <c r="N225" s="41">
        <v>363574</v>
      </c>
      <c r="O225" s="41">
        <v>367926</v>
      </c>
      <c r="P225" s="41">
        <v>369230</v>
      </c>
      <c r="Q225" s="41">
        <v>367907</v>
      </c>
      <c r="R225" s="41">
        <v>364907</v>
      </c>
      <c r="S225" s="41">
        <v>361665</v>
      </c>
      <c r="T225" s="41">
        <v>359234</v>
      </c>
      <c r="U225" s="41">
        <v>357949</v>
      </c>
      <c r="V225" s="41">
        <v>357649</v>
      </c>
      <c r="W225" s="41">
        <v>358103</v>
      </c>
      <c r="X225" s="41">
        <v>358826</v>
      </c>
      <c r="Y225" s="41">
        <v>359531</v>
      </c>
      <c r="Z225" s="41">
        <v>360144</v>
      </c>
      <c r="AA225" s="41">
        <v>360927</v>
      </c>
      <c r="AB225" s="41">
        <v>362282</v>
      </c>
      <c r="AC225" s="41">
        <v>364722</v>
      </c>
      <c r="AD225" s="41">
        <v>368636</v>
      </c>
      <c r="AE225" s="41">
        <v>374133</v>
      </c>
      <c r="AF225" s="41">
        <v>381033</v>
      </c>
      <c r="AG225" s="41">
        <v>388877</v>
      </c>
      <c r="AH225" s="41">
        <v>397082</v>
      </c>
      <c r="AI225" s="41">
        <v>405169</v>
      </c>
      <c r="AJ225" s="41">
        <v>413009</v>
      </c>
      <c r="AK225" s="41">
        <v>420658</v>
      </c>
      <c r="AL225" s="41">
        <v>428028</v>
      </c>
      <c r="AM225" s="41">
        <v>435099</v>
      </c>
      <c r="AN225" s="41">
        <v>441851</v>
      </c>
      <c r="AO225" s="41">
        <v>448207</v>
      </c>
      <c r="AP225" s="41">
        <v>454165</v>
      </c>
      <c r="AQ225" s="41">
        <v>459838</v>
      </c>
      <c r="AR225" s="41">
        <v>465380</v>
      </c>
      <c r="AS225" s="41">
        <v>470944</v>
      </c>
      <c r="AT225" s="41">
        <v>476574</v>
      </c>
      <c r="AU225" s="41">
        <v>482228</v>
      </c>
      <c r="AV225" s="41">
        <v>487938</v>
      </c>
      <c r="AW225" s="41">
        <v>493680</v>
      </c>
      <c r="AX225" s="41">
        <v>499461</v>
      </c>
      <c r="AY225" s="41">
        <v>505292</v>
      </c>
      <c r="AZ225" s="41">
        <v>511181</v>
      </c>
      <c r="BA225" s="41">
        <v>517122</v>
      </c>
      <c r="BB225" s="41">
        <v>523113</v>
      </c>
      <c r="BC225" s="41">
        <v>529126</v>
      </c>
      <c r="BD225" s="41">
        <v>535177</v>
      </c>
      <c r="BE225" s="41">
        <v>541247</v>
      </c>
      <c r="BF225" s="41">
        <v>547295</v>
      </c>
      <c r="BG225" s="41">
        <v>553278</v>
      </c>
      <c r="BH225" s="41">
        <v>559136</v>
      </c>
      <c r="BI225" s="41">
        <v>564883</v>
      </c>
      <c r="BJ225" s="41">
        <v>570501</v>
      </c>
      <c r="BK225" s="41">
        <v>575987</v>
      </c>
      <c r="BL225" s="41">
        <v>581363</v>
      </c>
      <c r="BM225" s="41">
        <v>586634</v>
      </c>
    </row>
    <row r="226" spans="1:65" x14ac:dyDescent="0.35">
      <c r="A226" s="41" t="s">
        <v>543</v>
      </c>
      <c r="B226" s="41" t="s">
        <v>544</v>
      </c>
      <c r="C226" s="41" t="s">
        <v>666</v>
      </c>
      <c r="D226" s="41" t="s">
        <v>667</v>
      </c>
      <c r="E226" s="41">
        <v>4068095</v>
      </c>
      <c r="F226" s="41">
        <v>4191667</v>
      </c>
      <c r="G226" s="41">
        <v>4238188</v>
      </c>
      <c r="H226" s="41">
        <v>4282017</v>
      </c>
      <c r="I226" s="41">
        <v>4327341</v>
      </c>
      <c r="J226" s="41">
        <v>4370983</v>
      </c>
      <c r="K226" s="41">
        <v>4411666</v>
      </c>
      <c r="L226" s="41">
        <v>4449367</v>
      </c>
      <c r="M226" s="41">
        <v>4483915</v>
      </c>
      <c r="N226" s="41">
        <v>4518607</v>
      </c>
      <c r="O226" s="41">
        <v>4538223</v>
      </c>
      <c r="P226" s="41">
        <v>4557449</v>
      </c>
      <c r="Q226" s="41">
        <v>4596622</v>
      </c>
      <c r="R226" s="41">
        <v>4641445</v>
      </c>
      <c r="S226" s="41">
        <v>4689623</v>
      </c>
      <c r="T226" s="41">
        <v>4739105</v>
      </c>
      <c r="U226" s="41">
        <v>4789507</v>
      </c>
      <c r="V226" s="41">
        <v>4840501</v>
      </c>
      <c r="W226" s="41">
        <v>4890125</v>
      </c>
      <c r="X226" s="41">
        <v>4938973</v>
      </c>
      <c r="Y226" s="41">
        <v>4979815</v>
      </c>
      <c r="Z226" s="41">
        <v>5016105</v>
      </c>
      <c r="AA226" s="41">
        <v>5055099</v>
      </c>
      <c r="AB226" s="41">
        <v>5091971</v>
      </c>
      <c r="AC226" s="41">
        <v>5127097</v>
      </c>
      <c r="AD226" s="41">
        <v>5161768</v>
      </c>
      <c r="AE226" s="41">
        <v>5193838</v>
      </c>
      <c r="AF226" s="41">
        <v>5222840</v>
      </c>
      <c r="AG226" s="41">
        <v>5250596</v>
      </c>
      <c r="AH226" s="41">
        <v>5275942</v>
      </c>
      <c r="AI226" s="41">
        <v>5299187</v>
      </c>
      <c r="AJ226" s="41">
        <v>5303294</v>
      </c>
      <c r="AK226" s="41">
        <v>5305016</v>
      </c>
      <c r="AL226" s="41">
        <v>5325305</v>
      </c>
      <c r="AM226" s="41">
        <v>5346331</v>
      </c>
      <c r="AN226" s="41">
        <v>5361999</v>
      </c>
      <c r="AO226" s="41">
        <v>5373361</v>
      </c>
      <c r="AP226" s="41">
        <v>5383291</v>
      </c>
      <c r="AQ226" s="41">
        <v>5390516</v>
      </c>
      <c r="AR226" s="41">
        <v>5396020</v>
      </c>
      <c r="AS226" s="41">
        <v>5388720</v>
      </c>
      <c r="AT226" s="41">
        <v>5378867</v>
      </c>
      <c r="AU226" s="41">
        <v>5376912</v>
      </c>
      <c r="AV226" s="41">
        <v>5373374</v>
      </c>
      <c r="AW226" s="41">
        <v>5372280</v>
      </c>
      <c r="AX226" s="41">
        <v>5372807</v>
      </c>
      <c r="AY226" s="41">
        <v>5373054</v>
      </c>
      <c r="AZ226" s="41">
        <v>5374622</v>
      </c>
      <c r="BA226" s="41">
        <v>5379233</v>
      </c>
      <c r="BB226" s="41">
        <v>5386406</v>
      </c>
      <c r="BC226" s="41">
        <v>5391428</v>
      </c>
      <c r="BD226" s="41">
        <v>5398384</v>
      </c>
      <c r="BE226" s="41">
        <v>5407579</v>
      </c>
      <c r="BF226" s="41">
        <v>5413393</v>
      </c>
      <c r="BG226" s="41">
        <v>5418649</v>
      </c>
      <c r="BH226" s="41">
        <v>5423801</v>
      </c>
      <c r="BI226" s="41">
        <v>5430798</v>
      </c>
      <c r="BJ226" s="41">
        <v>5439232</v>
      </c>
      <c r="BK226" s="41">
        <v>5446771</v>
      </c>
      <c r="BL226" s="41">
        <v>5454147</v>
      </c>
      <c r="BM226" s="41">
        <v>5458827</v>
      </c>
    </row>
    <row r="227" spans="1:65" x14ac:dyDescent="0.35">
      <c r="A227" s="41" t="s">
        <v>545</v>
      </c>
      <c r="B227" s="41" t="s">
        <v>546</v>
      </c>
      <c r="C227" s="41" t="s">
        <v>666</v>
      </c>
      <c r="D227" s="41" t="s">
        <v>667</v>
      </c>
      <c r="E227" s="41">
        <v>1584720</v>
      </c>
      <c r="F227" s="41">
        <v>1594131</v>
      </c>
      <c r="G227" s="41">
        <v>1603649</v>
      </c>
      <c r="H227" s="41">
        <v>1616971</v>
      </c>
      <c r="I227" s="41">
        <v>1632114</v>
      </c>
      <c r="J227" s="41">
        <v>1649160</v>
      </c>
      <c r="K227" s="41">
        <v>1669905</v>
      </c>
      <c r="L227" s="41">
        <v>1689528</v>
      </c>
      <c r="M227" s="41">
        <v>1704546</v>
      </c>
      <c r="N227" s="41">
        <v>1713874</v>
      </c>
      <c r="O227" s="41">
        <v>1724891</v>
      </c>
      <c r="P227" s="41">
        <v>1738335</v>
      </c>
      <c r="Q227" s="41">
        <v>1752233</v>
      </c>
      <c r="R227" s="41">
        <v>1766697</v>
      </c>
      <c r="S227" s="41">
        <v>1776132</v>
      </c>
      <c r="T227" s="41">
        <v>1793581</v>
      </c>
      <c r="U227" s="41">
        <v>1820249</v>
      </c>
      <c r="V227" s="41">
        <v>1842377</v>
      </c>
      <c r="W227" s="41">
        <v>1862548</v>
      </c>
      <c r="X227" s="41">
        <v>1882599</v>
      </c>
      <c r="Y227" s="41">
        <v>1901315</v>
      </c>
      <c r="Z227" s="41">
        <v>1906531</v>
      </c>
      <c r="AA227" s="41">
        <v>1910334</v>
      </c>
      <c r="AB227" s="41">
        <v>1922321</v>
      </c>
      <c r="AC227" s="41">
        <v>1932154</v>
      </c>
      <c r="AD227" s="41">
        <v>1941641</v>
      </c>
      <c r="AE227" s="41">
        <v>1965964</v>
      </c>
      <c r="AF227" s="41">
        <v>1989776</v>
      </c>
      <c r="AG227" s="41">
        <v>1995196</v>
      </c>
      <c r="AH227" s="41">
        <v>1996351</v>
      </c>
      <c r="AI227" s="41">
        <v>1998161</v>
      </c>
      <c r="AJ227" s="41">
        <v>1999429</v>
      </c>
      <c r="AK227" s="41">
        <v>1996498</v>
      </c>
      <c r="AL227" s="41">
        <v>1991746</v>
      </c>
      <c r="AM227" s="41">
        <v>1989443</v>
      </c>
      <c r="AN227" s="41">
        <v>1989872</v>
      </c>
      <c r="AO227" s="41">
        <v>1988628</v>
      </c>
      <c r="AP227" s="41">
        <v>1985956</v>
      </c>
      <c r="AQ227" s="41">
        <v>1981629</v>
      </c>
      <c r="AR227" s="41">
        <v>1983045</v>
      </c>
      <c r="AS227" s="41">
        <v>1988925</v>
      </c>
      <c r="AT227" s="41">
        <v>1992060</v>
      </c>
      <c r="AU227" s="41">
        <v>1994530</v>
      </c>
      <c r="AV227" s="41">
        <v>1995733</v>
      </c>
      <c r="AW227" s="41">
        <v>1997012</v>
      </c>
      <c r="AX227" s="41">
        <v>2000474</v>
      </c>
      <c r="AY227" s="41">
        <v>2006868</v>
      </c>
      <c r="AZ227" s="41">
        <v>2018122</v>
      </c>
      <c r="BA227" s="41">
        <v>2021316</v>
      </c>
      <c r="BB227" s="41">
        <v>2039669</v>
      </c>
      <c r="BC227" s="41">
        <v>2048583</v>
      </c>
      <c r="BD227" s="41">
        <v>2052843</v>
      </c>
      <c r="BE227" s="41">
        <v>2057159</v>
      </c>
      <c r="BF227" s="41">
        <v>2059953</v>
      </c>
      <c r="BG227" s="41">
        <v>2061980</v>
      </c>
      <c r="BH227" s="41">
        <v>2063531</v>
      </c>
      <c r="BI227" s="41">
        <v>2065042</v>
      </c>
      <c r="BJ227" s="41">
        <v>2066388</v>
      </c>
      <c r="BK227" s="41">
        <v>2073894</v>
      </c>
      <c r="BL227" s="41">
        <v>2088385</v>
      </c>
      <c r="BM227" s="41">
        <v>2100126</v>
      </c>
    </row>
    <row r="228" spans="1:65" x14ac:dyDescent="0.35">
      <c r="A228" s="41" t="s">
        <v>547</v>
      </c>
      <c r="B228" s="41" t="s">
        <v>548</v>
      </c>
      <c r="C228" s="41" t="s">
        <v>666</v>
      </c>
      <c r="D228" s="41" t="s">
        <v>667</v>
      </c>
      <c r="E228" s="41">
        <v>7484656</v>
      </c>
      <c r="F228" s="41">
        <v>7519998</v>
      </c>
      <c r="G228" s="41">
        <v>7561588</v>
      </c>
      <c r="H228" s="41">
        <v>7604328</v>
      </c>
      <c r="I228" s="41">
        <v>7661354</v>
      </c>
      <c r="J228" s="41">
        <v>7733853</v>
      </c>
      <c r="K228" s="41">
        <v>7807797</v>
      </c>
      <c r="L228" s="41">
        <v>7867931</v>
      </c>
      <c r="M228" s="41">
        <v>7912273</v>
      </c>
      <c r="N228" s="41">
        <v>7968072</v>
      </c>
      <c r="O228" s="41">
        <v>8042801</v>
      </c>
      <c r="P228" s="41">
        <v>8098334</v>
      </c>
      <c r="Q228" s="41">
        <v>8122300</v>
      </c>
      <c r="R228" s="41">
        <v>8136312</v>
      </c>
      <c r="S228" s="41">
        <v>8159955</v>
      </c>
      <c r="T228" s="41">
        <v>8192437</v>
      </c>
      <c r="U228" s="41">
        <v>8222286</v>
      </c>
      <c r="V228" s="41">
        <v>8251540</v>
      </c>
      <c r="W228" s="41">
        <v>8275599</v>
      </c>
      <c r="X228" s="41">
        <v>8293678</v>
      </c>
      <c r="Y228" s="41">
        <v>8310531</v>
      </c>
      <c r="Z228" s="41">
        <v>8320503</v>
      </c>
      <c r="AA228" s="41">
        <v>8325263</v>
      </c>
      <c r="AB228" s="41">
        <v>8329033</v>
      </c>
      <c r="AC228" s="41">
        <v>8336605</v>
      </c>
      <c r="AD228" s="41">
        <v>8350386</v>
      </c>
      <c r="AE228" s="41">
        <v>8369829</v>
      </c>
      <c r="AF228" s="41">
        <v>8397804</v>
      </c>
      <c r="AG228" s="41">
        <v>8436489</v>
      </c>
      <c r="AH228" s="41">
        <v>8492964</v>
      </c>
      <c r="AI228" s="41">
        <v>8558835</v>
      </c>
      <c r="AJ228" s="41">
        <v>8617375</v>
      </c>
      <c r="AK228" s="41">
        <v>8668067</v>
      </c>
      <c r="AL228" s="41">
        <v>8718561</v>
      </c>
      <c r="AM228" s="41">
        <v>8780745</v>
      </c>
      <c r="AN228" s="41">
        <v>8826939</v>
      </c>
      <c r="AO228" s="41">
        <v>8840998</v>
      </c>
      <c r="AP228" s="41">
        <v>8846062</v>
      </c>
      <c r="AQ228" s="41">
        <v>8850974</v>
      </c>
      <c r="AR228" s="41">
        <v>8857874</v>
      </c>
      <c r="AS228" s="41">
        <v>8872109</v>
      </c>
      <c r="AT228" s="41">
        <v>8895960</v>
      </c>
      <c r="AU228" s="41">
        <v>8924958</v>
      </c>
      <c r="AV228" s="41">
        <v>8958229</v>
      </c>
      <c r="AW228" s="41">
        <v>8993531</v>
      </c>
      <c r="AX228" s="41">
        <v>9029572</v>
      </c>
      <c r="AY228" s="41">
        <v>9080505</v>
      </c>
      <c r="AZ228" s="41">
        <v>9148092</v>
      </c>
      <c r="BA228" s="41">
        <v>9219637</v>
      </c>
      <c r="BB228" s="41">
        <v>9298515</v>
      </c>
      <c r="BC228" s="41">
        <v>9378126</v>
      </c>
      <c r="BD228" s="41">
        <v>9449213</v>
      </c>
      <c r="BE228" s="41">
        <v>9519374</v>
      </c>
      <c r="BF228" s="41">
        <v>9600379</v>
      </c>
      <c r="BG228" s="41">
        <v>9696110</v>
      </c>
      <c r="BH228" s="41">
        <v>9799186</v>
      </c>
      <c r="BI228" s="41">
        <v>9923085</v>
      </c>
      <c r="BJ228" s="41">
        <v>10057698</v>
      </c>
      <c r="BK228" s="41">
        <v>10175214</v>
      </c>
      <c r="BL228" s="41">
        <v>10278887</v>
      </c>
      <c r="BM228" s="41">
        <v>10353442</v>
      </c>
    </row>
    <row r="229" spans="1:65" x14ac:dyDescent="0.35">
      <c r="A229" s="41" t="s">
        <v>17</v>
      </c>
      <c r="B229" s="41" t="s">
        <v>549</v>
      </c>
      <c r="C229" s="41" t="s">
        <v>666</v>
      </c>
      <c r="D229" s="41" t="s">
        <v>667</v>
      </c>
      <c r="E229" s="41">
        <v>336578</v>
      </c>
      <c r="F229" s="41">
        <v>343346</v>
      </c>
      <c r="G229" s="41">
        <v>350155</v>
      </c>
      <c r="H229" s="41">
        <v>357279</v>
      </c>
      <c r="I229" s="41">
        <v>365120</v>
      </c>
      <c r="J229" s="41">
        <v>373925</v>
      </c>
      <c r="K229" s="41">
        <v>383820</v>
      </c>
      <c r="L229" s="41">
        <v>394760</v>
      </c>
      <c r="M229" s="41">
        <v>406508</v>
      </c>
      <c r="N229" s="41">
        <v>418739</v>
      </c>
      <c r="O229" s="41">
        <v>431251</v>
      </c>
      <c r="P229" s="41">
        <v>443979</v>
      </c>
      <c r="Q229" s="41">
        <v>457039</v>
      </c>
      <c r="R229" s="41">
        <v>470561</v>
      </c>
      <c r="S229" s="41">
        <v>484747</v>
      </c>
      <c r="T229" s="41">
        <v>499759</v>
      </c>
      <c r="U229" s="41">
        <v>515602</v>
      </c>
      <c r="V229" s="41">
        <v>532253</v>
      </c>
      <c r="W229" s="41">
        <v>549787</v>
      </c>
      <c r="X229" s="41">
        <v>568316</v>
      </c>
      <c r="Y229" s="41">
        <v>587852</v>
      </c>
      <c r="Z229" s="41">
        <v>608374</v>
      </c>
      <c r="AA229" s="41">
        <v>629812</v>
      </c>
      <c r="AB229" s="41">
        <v>652112</v>
      </c>
      <c r="AC229" s="41">
        <v>675240</v>
      </c>
      <c r="AD229" s="41">
        <v>699077</v>
      </c>
      <c r="AE229" s="41">
        <v>723599</v>
      </c>
      <c r="AF229" s="41">
        <v>748634</v>
      </c>
      <c r="AG229" s="41">
        <v>773774</v>
      </c>
      <c r="AH229" s="41">
        <v>798498</v>
      </c>
      <c r="AI229" s="41">
        <v>822423</v>
      </c>
      <c r="AJ229" s="41">
        <v>845267</v>
      </c>
      <c r="AK229" s="41">
        <v>866995</v>
      </c>
      <c r="AL229" s="41">
        <v>887706</v>
      </c>
      <c r="AM229" s="41">
        <v>907622</v>
      </c>
      <c r="AN229" s="41">
        <v>926836</v>
      </c>
      <c r="AO229" s="41">
        <v>945506</v>
      </c>
      <c r="AP229" s="41">
        <v>963416</v>
      </c>
      <c r="AQ229" s="41">
        <v>979922</v>
      </c>
      <c r="AR229" s="41">
        <v>994105</v>
      </c>
      <c r="AS229" s="41">
        <v>1005432</v>
      </c>
      <c r="AT229" s="41">
        <v>1013608</v>
      </c>
      <c r="AU229" s="41">
        <v>1019054</v>
      </c>
      <c r="AV229" s="41">
        <v>1022796</v>
      </c>
      <c r="AW229" s="41">
        <v>1026287</v>
      </c>
      <c r="AX229" s="41">
        <v>1030575</v>
      </c>
      <c r="AY229" s="41">
        <v>1036095</v>
      </c>
      <c r="AZ229" s="41">
        <v>1042651</v>
      </c>
      <c r="BA229" s="41">
        <v>1049948</v>
      </c>
      <c r="BB229" s="41">
        <v>1057462</v>
      </c>
      <c r="BC229" s="41">
        <v>1064841</v>
      </c>
      <c r="BD229" s="41">
        <v>1072029</v>
      </c>
      <c r="BE229" s="41">
        <v>1079285</v>
      </c>
      <c r="BF229" s="41">
        <v>1086843</v>
      </c>
      <c r="BG229" s="41">
        <v>1095022</v>
      </c>
      <c r="BH229" s="41">
        <v>1104038</v>
      </c>
      <c r="BI229" s="41">
        <v>1113994</v>
      </c>
      <c r="BJ229" s="41">
        <v>1124808</v>
      </c>
      <c r="BK229" s="41">
        <v>1136274</v>
      </c>
      <c r="BL229" s="41">
        <v>1148133</v>
      </c>
      <c r="BM229" s="41">
        <v>1160164</v>
      </c>
    </row>
    <row r="230" spans="1:65" x14ac:dyDescent="0.35">
      <c r="A230" s="41" t="s">
        <v>550</v>
      </c>
      <c r="B230" s="41" t="s">
        <v>551</v>
      </c>
      <c r="C230" s="41" t="s">
        <v>666</v>
      </c>
      <c r="D230" s="41" t="s">
        <v>667</v>
      </c>
      <c r="E230" s="41">
        <v>2833</v>
      </c>
      <c r="F230" s="41">
        <v>3077</v>
      </c>
      <c r="G230" s="41">
        <v>3367</v>
      </c>
      <c r="H230" s="41">
        <v>3703</v>
      </c>
      <c r="I230" s="41">
        <v>4063</v>
      </c>
      <c r="J230" s="41">
        <v>4460</v>
      </c>
      <c r="K230" s="41">
        <v>4895</v>
      </c>
      <c r="L230" s="41">
        <v>5362</v>
      </c>
      <c r="M230" s="41">
        <v>5857</v>
      </c>
      <c r="N230" s="41">
        <v>6354</v>
      </c>
      <c r="O230" s="41">
        <v>6854</v>
      </c>
      <c r="P230" s="41">
        <v>7372</v>
      </c>
      <c r="Q230" s="41">
        <v>7892</v>
      </c>
      <c r="R230" s="41">
        <v>8429</v>
      </c>
      <c r="S230" s="41">
        <v>8977</v>
      </c>
      <c r="T230" s="41">
        <v>9556</v>
      </c>
      <c r="U230" s="41">
        <v>10147</v>
      </c>
      <c r="V230" s="41">
        <v>10791</v>
      </c>
      <c r="W230" s="41">
        <v>11481</v>
      </c>
      <c r="X230" s="41">
        <v>12244</v>
      </c>
      <c r="Y230" s="41">
        <v>13097</v>
      </c>
      <c r="Z230" s="41">
        <v>14030</v>
      </c>
      <c r="AA230" s="41">
        <v>15032</v>
      </c>
      <c r="AB230" s="41">
        <v>16175</v>
      </c>
      <c r="AC230" s="41">
        <v>17517</v>
      </c>
      <c r="AD230" s="41">
        <v>19127</v>
      </c>
      <c r="AE230" s="41">
        <v>21028</v>
      </c>
      <c r="AF230" s="41">
        <v>23157</v>
      </c>
      <c r="AG230" s="41">
        <v>25334</v>
      </c>
      <c r="AH230" s="41">
        <v>27280</v>
      </c>
      <c r="AI230" s="41">
        <v>28814</v>
      </c>
      <c r="AJ230" s="41">
        <v>29852</v>
      </c>
      <c r="AK230" s="41">
        <v>30458</v>
      </c>
      <c r="AL230" s="41">
        <v>30765</v>
      </c>
      <c r="AM230" s="41">
        <v>30950</v>
      </c>
      <c r="AN230" s="41">
        <v>31164</v>
      </c>
      <c r="AO230" s="41">
        <v>31434</v>
      </c>
      <c r="AP230" s="41">
        <v>31731</v>
      </c>
      <c r="AQ230" s="41">
        <v>31240</v>
      </c>
      <c r="AR230" s="41">
        <v>31084</v>
      </c>
      <c r="AS230" s="41">
        <v>30519</v>
      </c>
      <c r="AT230" s="41">
        <v>30600</v>
      </c>
      <c r="AU230" s="41">
        <v>30777</v>
      </c>
      <c r="AV230" s="41">
        <v>31472</v>
      </c>
      <c r="AW230" s="41">
        <v>32488</v>
      </c>
      <c r="AX230" s="41">
        <v>33011</v>
      </c>
      <c r="AY230" s="41">
        <v>33441</v>
      </c>
      <c r="AZ230" s="41">
        <v>33811</v>
      </c>
      <c r="BA230" s="41">
        <v>33964</v>
      </c>
      <c r="BB230" s="41">
        <v>34238</v>
      </c>
      <c r="BC230" s="41">
        <v>34056</v>
      </c>
      <c r="BD230" s="41">
        <v>33435</v>
      </c>
      <c r="BE230" s="41">
        <v>34640</v>
      </c>
      <c r="BF230" s="41">
        <v>36607</v>
      </c>
      <c r="BG230" s="41">
        <v>37685</v>
      </c>
      <c r="BH230" s="41">
        <v>38825</v>
      </c>
      <c r="BI230" s="41">
        <v>39969</v>
      </c>
      <c r="BJ230" s="41">
        <v>40574</v>
      </c>
      <c r="BK230" s="41">
        <v>40654</v>
      </c>
      <c r="BL230" s="41">
        <v>40733</v>
      </c>
      <c r="BM230" s="41">
        <v>40812</v>
      </c>
    </row>
    <row r="231" spans="1:65" x14ac:dyDescent="0.35">
      <c r="A231" s="41" t="s">
        <v>13</v>
      </c>
      <c r="B231" s="41" t="s">
        <v>552</v>
      </c>
      <c r="C231" s="41" t="s">
        <v>666</v>
      </c>
      <c r="D231" s="41" t="s">
        <v>667</v>
      </c>
      <c r="E231" s="41">
        <v>41700</v>
      </c>
      <c r="F231" s="41">
        <v>42889</v>
      </c>
      <c r="G231" s="41">
        <v>44042</v>
      </c>
      <c r="H231" s="41">
        <v>45176</v>
      </c>
      <c r="I231" s="41">
        <v>46322</v>
      </c>
      <c r="J231" s="41">
        <v>47500</v>
      </c>
      <c r="K231" s="41">
        <v>48699</v>
      </c>
      <c r="L231" s="41">
        <v>49911</v>
      </c>
      <c r="M231" s="41">
        <v>51134</v>
      </c>
      <c r="N231" s="41">
        <v>52365</v>
      </c>
      <c r="O231" s="41">
        <v>53600</v>
      </c>
      <c r="P231" s="41">
        <v>54695</v>
      </c>
      <c r="Q231" s="41">
        <v>56029</v>
      </c>
      <c r="R231" s="41">
        <v>56892</v>
      </c>
      <c r="S231" s="41">
        <v>57937</v>
      </c>
      <c r="T231" s="41">
        <v>59292</v>
      </c>
      <c r="U231" s="41">
        <v>60504</v>
      </c>
      <c r="V231" s="41">
        <v>61786</v>
      </c>
      <c r="W231" s="41">
        <v>62150</v>
      </c>
      <c r="X231" s="41">
        <v>62686</v>
      </c>
      <c r="Y231" s="41">
        <v>63261</v>
      </c>
      <c r="Z231" s="41">
        <v>64035</v>
      </c>
      <c r="AA231" s="41">
        <v>64413</v>
      </c>
      <c r="AB231" s="41">
        <v>64335</v>
      </c>
      <c r="AC231" s="41">
        <v>64717</v>
      </c>
      <c r="AD231" s="41">
        <v>65244</v>
      </c>
      <c r="AE231" s="41">
        <v>65652</v>
      </c>
      <c r="AF231" s="41">
        <v>68499</v>
      </c>
      <c r="AG231" s="41">
        <v>68755</v>
      </c>
      <c r="AH231" s="41">
        <v>69167</v>
      </c>
      <c r="AI231" s="41">
        <v>69507</v>
      </c>
      <c r="AJ231" s="41">
        <v>70439</v>
      </c>
      <c r="AK231" s="41">
        <v>70763</v>
      </c>
      <c r="AL231" s="41">
        <v>72253</v>
      </c>
      <c r="AM231" s="41">
        <v>74205</v>
      </c>
      <c r="AN231" s="41">
        <v>75304</v>
      </c>
      <c r="AO231" s="41">
        <v>76417</v>
      </c>
      <c r="AP231" s="41">
        <v>77319</v>
      </c>
      <c r="AQ231" s="41">
        <v>78846</v>
      </c>
      <c r="AR231" s="41">
        <v>80410</v>
      </c>
      <c r="AS231" s="41">
        <v>81131</v>
      </c>
      <c r="AT231" s="41">
        <v>81202</v>
      </c>
      <c r="AU231" s="41">
        <v>83723</v>
      </c>
      <c r="AV231" s="41">
        <v>82781</v>
      </c>
      <c r="AW231" s="41">
        <v>82475</v>
      </c>
      <c r="AX231" s="41">
        <v>82858</v>
      </c>
      <c r="AY231" s="41">
        <v>84600</v>
      </c>
      <c r="AZ231" s="41">
        <v>85033</v>
      </c>
      <c r="BA231" s="41">
        <v>86956</v>
      </c>
      <c r="BB231" s="41">
        <v>87298</v>
      </c>
      <c r="BC231" s="41">
        <v>89770</v>
      </c>
      <c r="BD231" s="41">
        <v>87441</v>
      </c>
      <c r="BE231" s="41">
        <v>88303</v>
      </c>
      <c r="BF231" s="41">
        <v>89949</v>
      </c>
      <c r="BG231" s="41">
        <v>91359</v>
      </c>
      <c r="BH231" s="41">
        <v>93419</v>
      </c>
      <c r="BI231" s="41">
        <v>94677</v>
      </c>
      <c r="BJ231" s="41">
        <v>95843</v>
      </c>
      <c r="BK231" s="41">
        <v>96762</v>
      </c>
      <c r="BL231" s="41">
        <v>97625</v>
      </c>
      <c r="BM231" s="41">
        <v>98462</v>
      </c>
    </row>
    <row r="232" spans="1:65" x14ac:dyDescent="0.35">
      <c r="A232" s="41" t="s">
        <v>553</v>
      </c>
      <c r="B232" s="41" t="s">
        <v>554</v>
      </c>
      <c r="C232" s="41" t="s">
        <v>666</v>
      </c>
      <c r="D232" s="41" t="s">
        <v>667</v>
      </c>
      <c r="E232" s="41">
        <v>4573514</v>
      </c>
      <c r="F232" s="41">
        <v>4721893</v>
      </c>
      <c r="G232" s="41">
        <v>4875429</v>
      </c>
      <c r="H232" s="41">
        <v>5034639</v>
      </c>
      <c r="I232" s="41">
        <v>5200341</v>
      </c>
      <c r="J232" s="41">
        <v>5373137</v>
      </c>
      <c r="K232" s="41">
        <v>5553247</v>
      </c>
      <c r="L232" s="41">
        <v>5740702</v>
      </c>
      <c r="M232" s="41">
        <v>5935850</v>
      </c>
      <c r="N232" s="41">
        <v>6139054</v>
      </c>
      <c r="O232" s="41">
        <v>6350544</v>
      </c>
      <c r="P232" s="41">
        <v>6570859</v>
      </c>
      <c r="Q232" s="41">
        <v>6800148</v>
      </c>
      <c r="R232" s="41">
        <v>7037860</v>
      </c>
      <c r="S232" s="41">
        <v>7283181</v>
      </c>
      <c r="T232" s="41">
        <v>7535715</v>
      </c>
      <c r="U232" s="41">
        <v>7794658</v>
      </c>
      <c r="V232" s="41">
        <v>8060652</v>
      </c>
      <c r="W232" s="41">
        <v>8336421</v>
      </c>
      <c r="X232" s="41">
        <v>8625693</v>
      </c>
      <c r="Y232" s="41">
        <v>8930776</v>
      </c>
      <c r="Z232" s="41">
        <v>9252854</v>
      </c>
      <c r="AA232" s="41">
        <v>9590226</v>
      </c>
      <c r="AB232" s="41">
        <v>9938852</v>
      </c>
      <c r="AC232" s="41">
        <v>10293048</v>
      </c>
      <c r="AD232" s="41">
        <v>10648633</v>
      </c>
      <c r="AE232" s="41">
        <v>11004273</v>
      </c>
      <c r="AF232" s="41">
        <v>11360848</v>
      </c>
      <c r="AG232" s="41">
        <v>11719064</v>
      </c>
      <c r="AH232" s="41">
        <v>12080439</v>
      </c>
      <c r="AI232" s="41">
        <v>12446168</v>
      </c>
      <c r="AJ232" s="41">
        <v>12815400</v>
      </c>
      <c r="AK232" s="41">
        <v>13187669</v>
      </c>
      <c r="AL232" s="41">
        <v>13565074</v>
      </c>
      <c r="AM232" s="41">
        <v>13950486</v>
      </c>
      <c r="AN232" s="41">
        <v>14345491</v>
      </c>
      <c r="AO232" s="41">
        <v>14754148</v>
      </c>
      <c r="AP232" s="41">
        <v>15175308</v>
      </c>
      <c r="AQ232" s="41">
        <v>15599588</v>
      </c>
      <c r="AR232" s="41">
        <v>16013992</v>
      </c>
      <c r="AS232" s="41">
        <v>16410847</v>
      </c>
      <c r="AT232" s="41">
        <v>16766555</v>
      </c>
      <c r="AU232" s="41">
        <v>17084628</v>
      </c>
      <c r="AV232" s="41">
        <v>17415214</v>
      </c>
      <c r="AW232" s="41">
        <v>17827827</v>
      </c>
      <c r="AX232" s="41">
        <v>18361178</v>
      </c>
      <c r="AY232" s="41">
        <v>19059257</v>
      </c>
      <c r="AZ232" s="41">
        <v>19878257</v>
      </c>
      <c r="BA232" s="41">
        <v>20664037</v>
      </c>
      <c r="BB232" s="41">
        <v>21205873</v>
      </c>
      <c r="BC232" s="41">
        <v>21362541</v>
      </c>
      <c r="BD232" s="41">
        <v>21081814</v>
      </c>
      <c r="BE232" s="41">
        <v>20438861</v>
      </c>
      <c r="BF232" s="41">
        <v>19578466</v>
      </c>
      <c r="BG232" s="41">
        <v>18710711</v>
      </c>
      <c r="BH232" s="41">
        <v>17997411</v>
      </c>
      <c r="BI232" s="41">
        <v>17465567</v>
      </c>
      <c r="BJ232" s="41">
        <v>17095669</v>
      </c>
      <c r="BK232" s="41">
        <v>16945062</v>
      </c>
      <c r="BL232" s="41">
        <v>17070132</v>
      </c>
      <c r="BM232" s="41">
        <v>17500657</v>
      </c>
    </row>
    <row r="233" spans="1:65" x14ac:dyDescent="0.35">
      <c r="A233" s="41" t="s">
        <v>555</v>
      </c>
      <c r="B233" s="41" t="s">
        <v>556</v>
      </c>
      <c r="C233" s="41" t="s">
        <v>666</v>
      </c>
      <c r="D233" s="41" t="s">
        <v>667</v>
      </c>
      <c r="E233" s="41">
        <v>5825</v>
      </c>
      <c r="F233" s="41">
        <v>5867</v>
      </c>
      <c r="G233" s="41">
        <v>5884</v>
      </c>
      <c r="H233" s="41">
        <v>5870</v>
      </c>
      <c r="I233" s="41">
        <v>5851</v>
      </c>
      <c r="J233" s="41">
        <v>5814</v>
      </c>
      <c r="K233" s="41">
        <v>5783</v>
      </c>
      <c r="L233" s="41">
        <v>5766</v>
      </c>
      <c r="M233" s="41">
        <v>5746</v>
      </c>
      <c r="N233" s="41">
        <v>5765</v>
      </c>
      <c r="O233" s="41">
        <v>5837</v>
      </c>
      <c r="P233" s="41">
        <v>5973</v>
      </c>
      <c r="Q233" s="41">
        <v>6156</v>
      </c>
      <c r="R233" s="41">
        <v>6380</v>
      </c>
      <c r="S233" s="41">
        <v>6610</v>
      </c>
      <c r="T233" s="41">
        <v>6832</v>
      </c>
      <c r="U233" s="41">
        <v>7020</v>
      </c>
      <c r="V233" s="41">
        <v>7193</v>
      </c>
      <c r="W233" s="41">
        <v>7380</v>
      </c>
      <c r="X233" s="41">
        <v>7607</v>
      </c>
      <c r="Y233" s="41">
        <v>7894</v>
      </c>
      <c r="Z233" s="41">
        <v>8243</v>
      </c>
      <c r="AA233" s="41">
        <v>8654</v>
      </c>
      <c r="AB233" s="41">
        <v>9096</v>
      </c>
      <c r="AC233" s="41">
        <v>9556</v>
      </c>
      <c r="AD233" s="41">
        <v>9974</v>
      </c>
      <c r="AE233" s="41">
        <v>10365</v>
      </c>
      <c r="AF233" s="41">
        <v>10717</v>
      </c>
      <c r="AG233" s="41">
        <v>11091</v>
      </c>
      <c r="AH233" s="41">
        <v>11550</v>
      </c>
      <c r="AI233" s="41">
        <v>12115</v>
      </c>
      <c r="AJ233" s="41">
        <v>12815</v>
      </c>
      <c r="AK233" s="41">
        <v>13639</v>
      </c>
      <c r="AL233" s="41">
        <v>14526</v>
      </c>
      <c r="AM233" s="41">
        <v>15399</v>
      </c>
      <c r="AN233" s="41">
        <v>16221</v>
      </c>
      <c r="AO233" s="41">
        <v>16930</v>
      </c>
      <c r="AP233" s="41">
        <v>17566</v>
      </c>
      <c r="AQ233" s="41">
        <v>18228</v>
      </c>
      <c r="AR233" s="41">
        <v>19069</v>
      </c>
      <c r="AS233" s="41">
        <v>20171</v>
      </c>
      <c r="AT233" s="41">
        <v>21578</v>
      </c>
      <c r="AU233" s="41">
        <v>23230</v>
      </c>
      <c r="AV233" s="41">
        <v>25008</v>
      </c>
      <c r="AW233" s="41">
        <v>26709</v>
      </c>
      <c r="AX233" s="41">
        <v>28181</v>
      </c>
      <c r="AY233" s="41">
        <v>29394</v>
      </c>
      <c r="AZ233" s="41">
        <v>30383</v>
      </c>
      <c r="BA233" s="41">
        <v>31200</v>
      </c>
      <c r="BB233" s="41">
        <v>31933</v>
      </c>
      <c r="BC233" s="41">
        <v>32658</v>
      </c>
      <c r="BD233" s="41">
        <v>33371</v>
      </c>
      <c r="BE233" s="41">
        <v>34067</v>
      </c>
      <c r="BF233" s="41">
        <v>34733</v>
      </c>
      <c r="BG233" s="41">
        <v>35371</v>
      </c>
      <c r="BH233" s="41">
        <v>35979</v>
      </c>
      <c r="BI233" s="41">
        <v>36558</v>
      </c>
      <c r="BJ233" s="41">
        <v>37116</v>
      </c>
      <c r="BK233" s="41">
        <v>37667</v>
      </c>
      <c r="BL233" s="41">
        <v>38194</v>
      </c>
      <c r="BM233" s="41">
        <v>38718</v>
      </c>
    </row>
    <row r="234" spans="1:65" x14ac:dyDescent="0.35">
      <c r="A234" s="41" t="s">
        <v>557</v>
      </c>
      <c r="B234" s="41" t="s">
        <v>558</v>
      </c>
      <c r="C234" s="41" t="s">
        <v>666</v>
      </c>
      <c r="D234" s="41" t="s">
        <v>667</v>
      </c>
      <c r="E234" s="41">
        <v>3001604</v>
      </c>
      <c r="F234" s="41">
        <v>3060365</v>
      </c>
      <c r="G234" s="41">
        <v>3121226</v>
      </c>
      <c r="H234" s="41">
        <v>3183576</v>
      </c>
      <c r="I234" s="41">
        <v>3246527</v>
      </c>
      <c r="J234" s="41">
        <v>3309583</v>
      </c>
      <c r="K234" s="41">
        <v>3372182</v>
      </c>
      <c r="L234" s="41">
        <v>3434817</v>
      </c>
      <c r="M234" s="41">
        <v>3499370</v>
      </c>
      <c r="N234" s="41">
        <v>3568402</v>
      </c>
      <c r="O234" s="41">
        <v>3643608</v>
      </c>
      <c r="P234" s="41">
        <v>3726189</v>
      </c>
      <c r="Q234" s="41">
        <v>3815253</v>
      </c>
      <c r="R234" s="41">
        <v>3907891</v>
      </c>
      <c r="S234" s="41">
        <v>3999918</v>
      </c>
      <c r="T234" s="41">
        <v>4088568</v>
      </c>
      <c r="U234" s="41">
        <v>4173131</v>
      </c>
      <c r="V234" s="41">
        <v>4255242</v>
      </c>
      <c r="W234" s="41">
        <v>4337292</v>
      </c>
      <c r="X234" s="41">
        <v>4422743</v>
      </c>
      <c r="Y234" s="41">
        <v>4514427</v>
      </c>
      <c r="Z234" s="41">
        <v>4612858</v>
      </c>
      <c r="AA234" s="41">
        <v>4718157</v>
      </c>
      <c r="AB234" s="41">
        <v>4832316</v>
      </c>
      <c r="AC234" s="41">
        <v>4957561</v>
      </c>
      <c r="AD234" s="41">
        <v>5095400</v>
      </c>
      <c r="AE234" s="41">
        <v>5247281</v>
      </c>
      <c r="AF234" s="41">
        <v>5412844</v>
      </c>
      <c r="AG234" s="41">
        <v>5589624</v>
      </c>
      <c r="AH234" s="41">
        <v>5773930</v>
      </c>
      <c r="AI234" s="41">
        <v>5963250</v>
      </c>
      <c r="AJ234" s="41">
        <v>6157085</v>
      </c>
      <c r="AK234" s="41">
        <v>6356741</v>
      </c>
      <c r="AL234" s="41">
        <v>6563925</v>
      </c>
      <c r="AM234" s="41">
        <v>6781057</v>
      </c>
      <c r="AN234" s="41">
        <v>7010159</v>
      </c>
      <c r="AO234" s="41">
        <v>7250974</v>
      </c>
      <c r="AP234" s="41">
        <v>7503494</v>
      </c>
      <c r="AQ234" s="41">
        <v>7770053</v>
      </c>
      <c r="AR234" s="41">
        <v>8053532</v>
      </c>
      <c r="AS234" s="41">
        <v>8355654</v>
      </c>
      <c r="AT234" s="41">
        <v>8678049</v>
      </c>
      <c r="AU234" s="41">
        <v>9019226</v>
      </c>
      <c r="AV234" s="41">
        <v>9373913</v>
      </c>
      <c r="AW234" s="41">
        <v>9734761</v>
      </c>
      <c r="AX234" s="41">
        <v>10096630</v>
      </c>
      <c r="AY234" s="41">
        <v>10457122</v>
      </c>
      <c r="AZ234" s="41">
        <v>10818031</v>
      </c>
      <c r="BA234" s="41">
        <v>11183589</v>
      </c>
      <c r="BB234" s="41">
        <v>11560142</v>
      </c>
      <c r="BC234" s="41">
        <v>11952134</v>
      </c>
      <c r="BD234" s="41">
        <v>12360986</v>
      </c>
      <c r="BE234" s="41">
        <v>12784748</v>
      </c>
      <c r="BF234" s="41">
        <v>13220433</v>
      </c>
      <c r="BG234" s="41">
        <v>13663562</v>
      </c>
      <c r="BH234" s="41">
        <v>14110971</v>
      </c>
      <c r="BI234" s="41">
        <v>14561658</v>
      </c>
      <c r="BJ234" s="41">
        <v>15016761</v>
      </c>
      <c r="BK234" s="41">
        <v>15477727</v>
      </c>
      <c r="BL234" s="41">
        <v>15946882</v>
      </c>
      <c r="BM234" s="41">
        <v>16425859</v>
      </c>
    </row>
    <row r="235" spans="1:65" x14ac:dyDescent="0.35">
      <c r="A235" s="41" t="s">
        <v>559</v>
      </c>
      <c r="B235" s="41" t="s">
        <v>560</v>
      </c>
      <c r="C235" s="41" t="s">
        <v>666</v>
      </c>
      <c r="D235" s="41" t="s">
        <v>667</v>
      </c>
      <c r="E235" s="41">
        <v>883445587</v>
      </c>
      <c r="F235" s="41">
        <v>882807979</v>
      </c>
      <c r="G235" s="41">
        <v>894536202</v>
      </c>
      <c r="H235" s="41">
        <v>917563058</v>
      </c>
      <c r="I235" s="41">
        <v>940205341</v>
      </c>
      <c r="J235" s="41">
        <v>963806224</v>
      </c>
      <c r="K235" s="41">
        <v>990927362</v>
      </c>
      <c r="L235" s="41">
        <v>1017110642</v>
      </c>
      <c r="M235" s="41">
        <v>1044230688</v>
      </c>
      <c r="N235" s="41">
        <v>1073035646</v>
      </c>
      <c r="O235" s="41">
        <v>1102743524</v>
      </c>
      <c r="P235" s="41">
        <v>1133088596</v>
      </c>
      <c r="Q235" s="41">
        <v>1161692236</v>
      </c>
      <c r="R235" s="41">
        <v>1189353305</v>
      </c>
      <c r="S235" s="41">
        <v>1215519592</v>
      </c>
      <c r="T235" s="41">
        <v>1239283626</v>
      </c>
      <c r="U235" s="41">
        <v>1261221802</v>
      </c>
      <c r="V235" s="41">
        <v>1281596019</v>
      </c>
      <c r="W235" s="41">
        <v>1301958170</v>
      </c>
      <c r="X235" s="41">
        <v>1322627340</v>
      </c>
      <c r="Y235" s="41">
        <v>1342952249</v>
      </c>
      <c r="Z235" s="41">
        <v>1363987476</v>
      </c>
      <c r="AA235" s="41">
        <v>1387365779</v>
      </c>
      <c r="AB235" s="41">
        <v>1410865643</v>
      </c>
      <c r="AC235" s="41">
        <v>1433295157</v>
      </c>
      <c r="AD235" s="41">
        <v>1456445331</v>
      </c>
      <c r="AE235" s="41">
        <v>1481135104</v>
      </c>
      <c r="AF235" s="41">
        <v>1507322673</v>
      </c>
      <c r="AG235" s="41">
        <v>1533819032</v>
      </c>
      <c r="AH235" s="41">
        <v>1559650590</v>
      </c>
      <c r="AI235" s="41">
        <v>1584871821</v>
      </c>
      <c r="AJ235" s="41">
        <v>1608998997</v>
      </c>
      <c r="AK235" s="41">
        <v>1631566861</v>
      </c>
      <c r="AL235" s="41">
        <v>1653289936</v>
      </c>
      <c r="AM235" s="41">
        <v>1674861271</v>
      </c>
      <c r="AN235" s="41">
        <v>1696013989</v>
      </c>
      <c r="AO235" s="41">
        <v>1716810410</v>
      </c>
      <c r="AP235" s="41">
        <v>1737388723</v>
      </c>
      <c r="AQ235" s="41">
        <v>1757224496</v>
      </c>
      <c r="AR235" s="41">
        <v>1775880197</v>
      </c>
      <c r="AS235" s="41">
        <v>1793498345</v>
      </c>
      <c r="AT235" s="41">
        <v>1810261111</v>
      </c>
      <c r="AU235" s="41">
        <v>1826238741</v>
      </c>
      <c r="AV235" s="41">
        <v>1841560611</v>
      </c>
      <c r="AW235" s="41">
        <v>1856486255</v>
      </c>
      <c r="AX235" s="41">
        <v>1871341383</v>
      </c>
      <c r="AY235" s="41">
        <v>1885806879</v>
      </c>
      <c r="AZ235" s="41">
        <v>1899800479</v>
      </c>
      <c r="BA235" s="41">
        <v>1913718217</v>
      </c>
      <c r="BB235" s="41">
        <v>1927560597</v>
      </c>
      <c r="BC235" s="41">
        <v>1941377365</v>
      </c>
      <c r="BD235" s="41">
        <v>1955333874</v>
      </c>
      <c r="BE235" s="41">
        <v>1969561377</v>
      </c>
      <c r="BF235" s="41">
        <v>1983961912</v>
      </c>
      <c r="BG235" s="41">
        <v>1998510237</v>
      </c>
      <c r="BH235" s="41">
        <v>2012978425</v>
      </c>
      <c r="BI235" s="41">
        <v>2027772092</v>
      </c>
      <c r="BJ235" s="41">
        <v>2042693823</v>
      </c>
      <c r="BK235" s="41">
        <v>2056073849</v>
      </c>
      <c r="BL235" s="41">
        <v>2067982370</v>
      </c>
      <c r="BM235" s="41">
        <v>2079198305</v>
      </c>
    </row>
    <row r="236" spans="1:65" x14ac:dyDescent="0.35">
      <c r="A236" s="41" t="s">
        <v>561</v>
      </c>
      <c r="B236" s="41" t="s">
        <v>562</v>
      </c>
      <c r="C236" s="41" t="s">
        <v>666</v>
      </c>
      <c r="D236" s="41" t="s">
        <v>667</v>
      </c>
      <c r="E236" s="41">
        <v>308424859</v>
      </c>
      <c r="F236" s="41">
        <v>313062858</v>
      </c>
      <c r="G236" s="41">
        <v>317744155</v>
      </c>
      <c r="H236" s="41">
        <v>322502356</v>
      </c>
      <c r="I236" s="41">
        <v>327271196</v>
      </c>
      <c r="J236" s="41">
        <v>331852935</v>
      </c>
      <c r="K236" s="41">
        <v>335704786</v>
      </c>
      <c r="L236" s="41">
        <v>339692825</v>
      </c>
      <c r="M236" s="41">
        <v>343594800</v>
      </c>
      <c r="N236" s="41">
        <v>347372826</v>
      </c>
      <c r="O236" s="41">
        <v>351017860</v>
      </c>
      <c r="P236" s="41">
        <v>354660485</v>
      </c>
      <c r="Q236" s="41">
        <v>358451364</v>
      </c>
      <c r="R236" s="41">
        <v>362249658</v>
      </c>
      <c r="S236" s="41">
        <v>366086343</v>
      </c>
      <c r="T236" s="41">
        <v>369959058</v>
      </c>
      <c r="U236" s="41">
        <v>373993098</v>
      </c>
      <c r="V236" s="41">
        <v>377959108</v>
      </c>
      <c r="W236" s="41">
        <v>381826792</v>
      </c>
      <c r="X236" s="41">
        <v>385669994</v>
      </c>
      <c r="Y236" s="41">
        <v>389610131</v>
      </c>
      <c r="Z236" s="41">
        <v>393632708</v>
      </c>
      <c r="AA236" s="41">
        <v>397542988</v>
      </c>
      <c r="AB236" s="41">
        <v>401434284</v>
      </c>
      <c r="AC236" s="41">
        <v>405559660</v>
      </c>
      <c r="AD236" s="41">
        <v>409642788</v>
      </c>
      <c r="AE236" s="41">
        <v>413657306</v>
      </c>
      <c r="AF236" s="41">
        <v>417635043</v>
      </c>
      <c r="AG236" s="41">
        <v>421417208</v>
      </c>
      <c r="AH236" s="41">
        <v>424805449</v>
      </c>
      <c r="AI236" s="41">
        <v>427265643</v>
      </c>
      <c r="AJ236" s="41">
        <v>429373010</v>
      </c>
      <c r="AK236" s="41">
        <v>431065065</v>
      </c>
      <c r="AL236" s="41">
        <v>432578780</v>
      </c>
      <c r="AM236" s="41">
        <v>433470960</v>
      </c>
      <c r="AN236" s="41">
        <v>433787234</v>
      </c>
      <c r="AO236" s="41">
        <v>434113825</v>
      </c>
      <c r="AP236" s="41">
        <v>434474220</v>
      </c>
      <c r="AQ236" s="41">
        <v>434722171</v>
      </c>
      <c r="AR236" s="41">
        <v>434668281</v>
      </c>
      <c r="AS236" s="41">
        <v>434313565</v>
      </c>
      <c r="AT236" s="41">
        <v>433863004</v>
      </c>
      <c r="AU236" s="41">
        <v>433541378</v>
      </c>
      <c r="AV236" s="41">
        <v>433680250</v>
      </c>
      <c r="AW236" s="41">
        <v>434022280</v>
      </c>
      <c r="AX236" s="41">
        <v>434427808</v>
      </c>
      <c r="AY236" s="41">
        <v>434964327</v>
      </c>
      <c r="AZ236" s="41">
        <v>435646350</v>
      </c>
      <c r="BA236" s="41">
        <v>436828065</v>
      </c>
      <c r="BB236" s="41">
        <v>438498963</v>
      </c>
      <c r="BC236" s="41">
        <v>440420863</v>
      </c>
      <c r="BD236" s="41">
        <v>442655860</v>
      </c>
      <c r="BE236" s="41">
        <v>444896570</v>
      </c>
      <c r="BF236" s="41">
        <v>447365261</v>
      </c>
      <c r="BG236" s="41">
        <v>449817266</v>
      </c>
      <c r="BH236" s="41">
        <v>452301310</v>
      </c>
      <c r="BI236" s="41">
        <v>454723324</v>
      </c>
      <c r="BJ236" s="41">
        <v>456992326</v>
      </c>
      <c r="BK236" s="41">
        <v>458994120</v>
      </c>
      <c r="BL236" s="41">
        <v>460791608</v>
      </c>
      <c r="BM236" s="41">
        <v>462247461</v>
      </c>
    </row>
    <row r="237" spans="1:65" x14ac:dyDescent="0.35">
      <c r="A237" s="41" t="s">
        <v>563</v>
      </c>
      <c r="B237" s="41" t="s">
        <v>564</v>
      </c>
      <c r="C237" s="41" t="s">
        <v>666</v>
      </c>
      <c r="D237" s="41" t="s">
        <v>667</v>
      </c>
      <c r="E237" s="41">
        <v>1580508</v>
      </c>
      <c r="F237" s="41">
        <v>1597523</v>
      </c>
      <c r="G237" s="41">
        <v>1612761</v>
      </c>
      <c r="H237" s="41">
        <v>1631758</v>
      </c>
      <c r="I237" s="41">
        <v>1662073</v>
      </c>
      <c r="J237" s="41">
        <v>1708631</v>
      </c>
      <c r="K237" s="41">
        <v>1774020</v>
      </c>
      <c r="L237" s="41">
        <v>1855450</v>
      </c>
      <c r="M237" s="41">
        <v>1945777</v>
      </c>
      <c r="N237" s="41">
        <v>2034902</v>
      </c>
      <c r="O237" s="41">
        <v>2115522</v>
      </c>
      <c r="P237" s="41">
        <v>2185667</v>
      </c>
      <c r="Q237" s="41">
        <v>2247578</v>
      </c>
      <c r="R237" s="41">
        <v>2303344</v>
      </c>
      <c r="S237" s="41">
        <v>2356620</v>
      </c>
      <c r="T237" s="41">
        <v>2410451</v>
      </c>
      <c r="U237" s="41">
        <v>2464424</v>
      </c>
      <c r="V237" s="41">
        <v>2518454</v>
      </c>
      <c r="W237" s="41">
        <v>2576293</v>
      </c>
      <c r="X237" s="41">
        <v>2642693</v>
      </c>
      <c r="Y237" s="41">
        <v>2720835</v>
      </c>
      <c r="Z237" s="41">
        <v>2812312</v>
      </c>
      <c r="AA237" s="41">
        <v>2915618</v>
      </c>
      <c r="AB237" s="41">
        <v>3026980</v>
      </c>
      <c r="AC237" s="41">
        <v>3140840</v>
      </c>
      <c r="AD237" s="41">
        <v>3252997</v>
      </c>
      <c r="AE237" s="41">
        <v>3363040</v>
      </c>
      <c r="AF237" s="41">
        <v>3471738</v>
      </c>
      <c r="AG237" s="41">
        <v>3577469</v>
      </c>
      <c r="AH237" s="41">
        <v>3678567</v>
      </c>
      <c r="AI237" s="41">
        <v>3774310</v>
      </c>
      <c r="AJ237" s="41">
        <v>3862998</v>
      </c>
      <c r="AK237" s="41">
        <v>3945902</v>
      </c>
      <c r="AL237" s="41">
        <v>4029044</v>
      </c>
      <c r="AM237" s="41">
        <v>4120615</v>
      </c>
      <c r="AN237" s="41">
        <v>4226293</v>
      </c>
      <c r="AO237" s="41">
        <v>4348808</v>
      </c>
      <c r="AP237" s="41">
        <v>4485945</v>
      </c>
      <c r="AQ237" s="41">
        <v>4632451</v>
      </c>
      <c r="AR237" s="41">
        <v>4780455</v>
      </c>
      <c r="AS237" s="41">
        <v>4924406</v>
      </c>
      <c r="AT237" s="41">
        <v>5062571</v>
      </c>
      <c r="AU237" s="41">
        <v>5197040</v>
      </c>
      <c r="AV237" s="41">
        <v>5330629</v>
      </c>
      <c r="AW237" s="41">
        <v>5467770</v>
      </c>
      <c r="AX237" s="41">
        <v>5611643</v>
      </c>
      <c r="AY237" s="41">
        <v>5762881</v>
      </c>
      <c r="AZ237" s="41">
        <v>5920360</v>
      </c>
      <c r="BA237" s="41">
        <v>6083417</v>
      </c>
      <c r="BB237" s="41">
        <v>6250840</v>
      </c>
      <c r="BC237" s="41">
        <v>6421674</v>
      </c>
      <c r="BD237" s="41">
        <v>6595939</v>
      </c>
      <c r="BE237" s="41">
        <v>6773807</v>
      </c>
      <c r="BF237" s="41">
        <v>6954721</v>
      </c>
      <c r="BG237" s="41">
        <v>7137997</v>
      </c>
      <c r="BH237" s="41">
        <v>7323162</v>
      </c>
      <c r="BI237" s="41">
        <v>7509952</v>
      </c>
      <c r="BJ237" s="41">
        <v>7698476</v>
      </c>
      <c r="BK237" s="41">
        <v>7889095</v>
      </c>
      <c r="BL237" s="41">
        <v>8082359</v>
      </c>
      <c r="BM237" s="41">
        <v>8278737</v>
      </c>
    </row>
    <row r="238" spans="1:65" x14ac:dyDescent="0.35">
      <c r="A238" s="41" t="s">
        <v>565</v>
      </c>
      <c r="B238" s="41" t="s">
        <v>566</v>
      </c>
      <c r="C238" s="41" t="s">
        <v>666</v>
      </c>
      <c r="D238" s="41" t="s">
        <v>667</v>
      </c>
      <c r="E238" s="41">
        <v>27397208</v>
      </c>
      <c r="F238" s="41">
        <v>28224186</v>
      </c>
      <c r="G238" s="41">
        <v>29080945</v>
      </c>
      <c r="H238" s="41">
        <v>29966873</v>
      </c>
      <c r="I238" s="41">
        <v>30881136</v>
      </c>
      <c r="J238" s="41">
        <v>31822656</v>
      </c>
      <c r="K238" s="41">
        <v>32789129</v>
      </c>
      <c r="L238" s="41">
        <v>33778804</v>
      </c>
      <c r="M238" s="41">
        <v>34791418</v>
      </c>
      <c r="N238" s="41">
        <v>35827089</v>
      </c>
      <c r="O238" s="41">
        <v>36884525</v>
      </c>
      <c r="P238" s="41">
        <v>37963280</v>
      </c>
      <c r="Q238" s="41">
        <v>39058594</v>
      </c>
      <c r="R238" s="41">
        <v>40159581</v>
      </c>
      <c r="S238" s="41">
        <v>41252320</v>
      </c>
      <c r="T238" s="41">
        <v>42326307</v>
      </c>
      <c r="U238" s="41">
        <v>43377270</v>
      </c>
      <c r="V238" s="41">
        <v>44405903</v>
      </c>
      <c r="W238" s="41">
        <v>45413082</v>
      </c>
      <c r="X238" s="41">
        <v>46401750</v>
      </c>
      <c r="Y238" s="41">
        <v>47374463</v>
      </c>
      <c r="Z238" s="41">
        <v>48326269</v>
      </c>
      <c r="AA238" s="41">
        <v>49255889</v>
      </c>
      <c r="AB238" s="41">
        <v>50173922</v>
      </c>
      <c r="AC238" s="41">
        <v>51094870</v>
      </c>
      <c r="AD238" s="41">
        <v>52026901</v>
      </c>
      <c r="AE238" s="41">
        <v>52980105</v>
      </c>
      <c r="AF238" s="41">
        <v>53945872</v>
      </c>
      <c r="AG238" s="41">
        <v>54891520</v>
      </c>
      <c r="AH238" s="41">
        <v>55772169</v>
      </c>
      <c r="AI238" s="41">
        <v>56558196</v>
      </c>
      <c r="AJ238" s="41">
        <v>57232471</v>
      </c>
      <c r="AK238" s="41">
        <v>57811025</v>
      </c>
      <c r="AL238" s="41">
        <v>58337773</v>
      </c>
      <c r="AM238" s="41">
        <v>58875275</v>
      </c>
      <c r="AN238" s="41">
        <v>59467272</v>
      </c>
      <c r="AO238" s="41">
        <v>60130190</v>
      </c>
      <c r="AP238" s="41">
        <v>60846588</v>
      </c>
      <c r="AQ238" s="41">
        <v>61585103</v>
      </c>
      <c r="AR238" s="41">
        <v>62298569</v>
      </c>
      <c r="AS238" s="41">
        <v>62952639</v>
      </c>
      <c r="AT238" s="41">
        <v>63539190</v>
      </c>
      <c r="AU238" s="41">
        <v>64069093</v>
      </c>
      <c r="AV238" s="41">
        <v>64549867</v>
      </c>
      <c r="AW238" s="41">
        <v>64995303</v>
      </c>
      <c r="AX238" s="41">
        <v>65416189</v>
      </c>
      <c r="AY238" s="41">
        <v>65812540</v>
      </c>
      <c r="AZ238" s="41">
        <v>66182064</v>
      </c>
      <c r="BA238" s="41">
        <v>66530980</v>
      </c>
      <c r="BB238" s="41">
        <v>66866834</v>
      </c>
      <c r="BC238" s="41">
        <v>67195032</v>
      </c>
      <c r="BD238" s="41">
        <v>67518379</v>
      </c>
      <c r="BE238" s="41">
        <v>67835969</v>
      </c>
      <c r="BF238" s="41">
        <v>68144519</v>
      </c>
      <c r="BG238" s="41">
        <v>68438748</v>
      </c>
      <c r="BH238" s="41">
        <v>68714519</v>
      </c>
      <c r="BI238" s="41">
        <v>68971313</v>
      </c>
      <c r="BJ238" s="41">
        <v>69209817</v>
      </c>
      <c r="BK238" s="41">
        <v>69428454</v>
      </c>
      <c r="BL238" s="41">
        <v>69625581</v>
      </c>
      <c r="BM238" s="41">
        <v>69799978</v>
      </c>
    </row>
    <row r="239" spans="1:65" x14ac:dyDescent="0.35">
      <c r="A239" s="41" t="s">
        <v>567</v>
      </c>
      <c r="B239" s="41" t="s">
        <v>568</v>
      </c>
      <c r="C239" s="41" t="s">
        <v>666</v>
      </c>
      <c r="D239" s="41" t="s">
        <v>667</v>
      </c>
      <c r="E239" s="41">
        <v>2087053</v>
      </c>
      <c r="F239" s="41">
        <v>2159134</v>
      </c>
      <c r="G239" s="41">
        <v>2236564</v>
      </c>
      <c r="H239" s="41">
        <v>2318252</v>
      </c>
      <c r="I239" s="41">
        <v>2402473</v>
      </c>
      <c r="J239" s="41">
        <v>2487975</v>
      </c>
      <c r="K239" s="41">
        <v>2574506</v>
      </c>
      <c r="L239" s="41">
        <v>2662257</v>
      </c>
      <c r="M239" s="41">
        <v>2750932</v>
      </c>
      <c r="N239" s="41">
        <v>2840265</v>
      </c>
      <c r="O239" s="41">
        <v>2930108</v>
      </c>
      <c r="P239" s="41">
        <v>3020419</v>
      </c>
      <c r="Q239" s="41">
        <v>3111284</v>
      </c>
      <c r="R239" s="41">
        <v>3203035</v>
      </c>
      <c r="S239" s="41">
        <v>3296092</v>
      </c>
      <c r="T239" s="41">
        <v>3390941</v>
      </c>
      <c r="U239" s="41">
        <v>3487658</v>
      </c>
      <c r="V239" s="41">
        <v>3586516</v>
      </c>
      <c r="W239" s="41">
        <v>3688411</v>
      </c>
      <c r="X239" s="41">
        <v>3794457</v>
      </c>
      <c r="Y239" s="41">
        <v>3905443</v>
      </c>
      <c r="Z239" s="41">
        <v>4020818</v>
      </c>
      <c r="AA239" s="41">
        <v>4140297</v>
      </c>
      <c r="AB239" s="41">
        <v>4265278</v>
      </c>
      <c r="AC239" s="41">
        <v>4397563</v>
      </c>
      <c r="AD239" s="41">
        <v>4537820</v>
      </c>
      <c r="AE239" s="41">
        <v>4687328</v>
      </c>
      <c r="AF239" s="41">
        <v>4843997</v>
      </c>
      <c r="AG239" s="41">
        <v>5001172</v>
      </c>
      <c r="AH239" s="41">
        <v>5149872</v>
      </c>
      <c r="AI239" s="41">
        <v>5283811</v>
      </c>
      <c r="AJ239" s="41">
        <v>5400636</v>
      </c>
      <c r="AK239" s="41">
        <v>5502490</v>
      </c>
      <c r="AL239" s="41">
        <v>5593317</v>
      </c>
      <c r="AM239" s="41">
        <v>5679169</v>
      </c>
      <c r="AN239" s="41">
        <v>5764806</v>
      </c>
      <c r="AO239" s="41">
        <v>5851354</v>
      </c>
      <c r="AP239" s="41">
        <v>5938404</v>
      </c>
      <c r="AQ239" s="41">
        <v>6027395</v>
      </c>
      <c r="AR239" s="41">
        <v>6119664</v>
      </c>
      <c r="AS239" s="41">
        <v>6216329</v>
      </c>
      <c r="AT239" s="41">
        <v>6318510</v>
      </c>
      <c r="AU239" s="41">
        <v>6426861</v>
      </c>
      <c r="AV239" s="41">
        <v>6541550</v>
      </c>
      <c r="AW239" s="41">
        <v>6662391</v>
      </c>
      <c r="AX239" s="41">
        <v>6789318</v>
      </c>
      <c r="AY239" s="41">
        <v>6922590</v>
      </c>
      <c r="AZ239" s="41">
        <v>7062667</v>
      </c>
      <c r="BA239" s="41">
        <v>7209924</v>
      </c>
      <c r="BB239" s="41">
        <v>7364752</v>
      </c>
      <c r="BC239" s="41">
        <v>7527397</v>
      </c>
      <c r="BD239" s="41">
        <v>7697507</v>
      </c>
      <c r="BE239" s="41">
        <v>7874838</v>
      </c>
      <c r="BF239" s="41">
        <v>8059782</v>
      </c>
      <c r="BG239" s="41">
        <v>8252828</v>
      </c>
      <c r="BH239" s="41">
        <v>8454019</v>
      </c>
      <c r="BI239" s="41">
        <v>8663575</v>
      </c>
      <c r="BJ239" s="41">
        <v>8880270</v>
      </c>
      <c r="BK239" s="41">
        <v>9100847</v>
      </c>
      <c r="BL239" s="41">
        <v>9321023</v>
      </c>
      <c r="BM239" s="41">
        <v>9537642</v>
      </c>
    </row>
    <row r="240" spans="1:65" x14ac:dyDescent="0.35">
      <c r="A240" s="41" t="s">
        <v>569</v>
      </c>
      <c r="B240" s="41" t="s">
        <v>570</v>
      </c>
      <c r="C240" s="41" t="s">
        <v>666</v>
      </c>
      <c r="D240" s="41" t="s">
        <v>667</v>
      </c>
      <c r="E240" s="41">
        <v>1603254</v>
      </c>
      <c r="F240" s="41">
        <v>1658364</v>
      </c>
      <c r="G240" s="41">
        <v>1715408</v>
      </c>
      <c r="H240" s="41">
        <v>1773854</v>
      </c>
      <c r="I240" s="41">
        <v>1833065</v>
      </c>
      <c r="J240" s="41">
        <v>1892596</v>
      </c>
      <c r="K240" s="41">
        <v>1952144</v>
      </c>
      <c r="L240" s="41">
        <v>2011762</v>
      </c>
      <c r="M240" s="41">
        <v>2071793</v>
      </c>
      <c r="N240" s="41">
        <v>2132800</v>
      </c>
      <c r="O240" s="41">
        <v>2195165</v>
      </c>
      <c r="P240" s="41">
        <v>2258965</v>
      </c>
      <c r="Q240" s="41">
        <v>2324019</v>
      </c>
      <c r="R240" s="41">
        <v>2390212</v>
      </c>
      <c r="S240" s="41">
        <v>2457379</v>
      </c>
      <c r="T240" s="41">
        <v>2525374</v>
      </c>
      <c r="U240" s="41">
        <v>2594315</v>
      </c>
      <c r="V240" s="41">
        <v>2664262</v>
      </c>
      <c r="W240" s="41">
        <v>2734899</v>
      </c>
      <c r="X240" s="41">
        <v>2805817</v>
      </c>
      <c r="Y240" s="41">
        <v>2876809</v>
      </c>
      <c r="Z240" s="41">
        <v>2947783</v>
      </c>
      <c r="AA240" s="41">
        <v>3019064</v>
      </c>
      <c r="AB240" s="41">
        <v>3091510</v>
      </c>
      <c r="AC240" s="41">
        <v>3166215</v>
      </c>
      <c r="AD240" s="41">
        <v>3244024</v>
      </c>
      <c r="AE240" s="41">
        <v>3324462</v>
      </c>
      <c r="AF240" s="41">
        <v>3407310</v>
      </c>
      <c r="AG240" s="41">
        <v>3493892</v>
      </c>
      <c r="AH240" s="41">
        <v>3585867</v>
      </c>
      <c r="AI240" s="41">
        <v>3683978</v>
      </c>
      <c r="AJ240" s="41">
        <v>3789188</v>
      </c>
      <c r="AK240" s="41">
        <v>3899843</v>
      </c>
      <c r="AL240" s="41">
        <v>4010789</v>
      </c>
      <c r="AM240" s="41">
        <v>4115105</v>
      </c>
      <c r="AN240" s="41">
        <v>4207841</v>
      </c>
      <c r="AO240" s="41">
        <v>4287337</v>
      </c>
      <c r="AP240" s="41">
        <v>4355125</v>
      </c>
      <c r="AQ240" s="41">
        <v>4413477</v>
      </c>
      <c r="AR240" s="41">
        <v>4466133</v>
      </c>
      <c r="AS240" s="41">
        <v>4516128</v>
      </c>
      <c r="AT240" s="41">
        <v>4564087</v>
      </c>
      <c r="AU240" s="41">
        <v>4610018</v>
      </c>
      <c r="AV240" s="41">
        <v>4655752</v>
      </c>
      <c r="AW240" s="41">
        <v>4703396</v>
      </c>
      <c r="AX240" s="41">
        <v>4754652</v>
      </c>
      <c r="AY240" s="41">
        <v>4810114</v>
      </c>
      <c r="AZ240" s="41">
        <v>4870142</v>
      </c>
      <c r="BA240" s="41">
        <v>4935765</v>
      </c>
      <c r="BB240" s="41">
        <v>5007953</v>
      </c>
      <c r="BC240" s="41">
        <v>5087211</v>
      </c>
      <c r="BD240" s="41">
        <v>5174076</v>
      </c>
      <c r="BE240" s="41">
        <v>5267906</v>
      </c>
      <c r="BF240" s="41">
        <v>5366376</v>
      </c>
      <c r="BG240" s="41">
        <v>5466324</v>
      </c>
      <c r="BH240" s="41">
        <v>5565283</v>
      </c>
      <c r="BI240" s="41">
        <v>5662371</v>
      </c>
      <c r="BJ240" s="41">
        <v>5757667</v>
      </c>
      <c r="BK240" s="41">
        <v>5850902</v>
      </c>
      <c r="BL240" s="41">
        <v>5942094</v>
      </c>
      <c r="BM240" s="41">
        <v>6031187</v>
      </c>
    </row>
    <row r="241" spans="1:65" x14ac:dyDescent="0.35">
      <c r="A241" s="41" t="s">
        <v>571</v>
      </c>
      <c r="B241" s="41" t="s">
        <v>572</v>
      </c>
      <c r="C241" s="41" t="s">
        <v>666</v>
      </c>
      <c r="D241" s="41" t="s">
        <v>667</v>
      </c>
      <c r="E241" s="41">
        <v>209749023</v>
      </c>
      <c r="F241" s="41">
        <v>215629972</v>
      </c>
      <c r="G241" s="41">
        <v>221676249</v>
      </c>
      <c r="H241" s="41">
        <v>227866079</v>
      </c>
      <c r="I241" s="41">
        <v>234169957</v>
      </c>
      <c r="J241" s="41">
        <v>240564863</v>
      </c>
      <c r="K241" s="41">
        <v>247044234</v>
      </c>
      <c r="L241" s="41">
        <v>253607485</v>
      </c>
      <c r="M241" s="41">
        <v>260246118</v>
      </c>
      <c r="N241" s="41">
        <v>266952916</v>
      </c>
      <c r="O241" s="41">
        <v>273723962</v>
      </c>
      <c r="P241" s="41">
        <v>280552945</v>
      </c>
      <c r="Q241" s="41">
        <v>287442489</v>
      </c>
      <c r="R241" s="41">
        <v>294409011</v>
      </c>
      <c r="S241" s="41">
        <v>301475452</v>
      </c>
      <c r="T241" s="41">
        <v>308657753</v>
      </c>
      <c r="U241" s="41">
        <v>315955197</v>
      </c>
      <c r="V241" s="41">
        <v>323363576</v>
      </c>
      <c r="W241" s="41">
        <v>330890816</v>
      </c>
      <c r="X241" s="41">
        <v>338545320</v>
      </c>
      <c r="Y241" s="41">
        <v>346328178</v>
      </c>
      <c r="Z241" s="41">
        <v>354241995</v>
      </c>
      <c r="AA241" s="41">
        <v>362272025</v>
      </c>
      <c r="AB241" s="41">
        <v>370377355</v>
      </c>
      <c r="AC241" s="41">
        <v>378506071</v>
      </c>
      <c r="AD241" s="41">
        <v>386619091</v>
      </c>
      <c r="AE241" s="41">
        <v>394697236</v>
      </c>
      <c r="AF241" s="41">
        <v>402742139</v>
      </c>
      <c r="AG241" s="41">
        <v>410761042</v>
      </c>
      <c r="AH241" s="41">
        <v>418769937</v>
      </c>
      <c r="AI241" s="41">
        <v>426777889</v>
      </c>
      <c r="AJ241" s="41">
        <v>434776652</v>
      </c>
      <c r="AK241" s="41">
        <v>442751009</v>
      </c>
      <c r="AL241" s="41">
        <v>450695871</v>
      </c>
      <c r="AM241" s="41">
        <v>458608078</v>
      </c>
      <c r="AN241" s="41">
        <v>466483148</v>
      </c>
      <c r="AO241" s="41">
        <v>474321040</v>
      </c>
      <c r="AP241" s="41">
        <v>482112390</v>
      </c>
      <c r="AQ241" s="41">
        <v>489832061</v>
      </c>
      <c r="AR241" s="41">
        <v>497441659</v>
      </c>
      <c r="AS241" s="41">
        <v>504921279</v>
      </c>
      <c r="AT241" s="41">
        <v>512247446</v>
      </c>
      <c r="AU241" s="41">
        <v>519420841</v>
      </c>
      <c r="AV241" s="41">
        <v>526462542</v>
      </c>
      <c r="AW241" s="41">
        <v>533415243</v>
      </c>
      <c r="AX241" s="41">
        <v>540306150</v>
      </c>
      <c r="AY241" s="41">
        <v>547139431</v>
      </c>
      <c r="AZ241" s="41">
        <v>553909998</v>
      </c>
      <c r="BA241" s="41">
        <v>560624662</v>
      </c>
      <c r="BB241" s="41">
        <v>567289597</v>
      </c>
      <c r="BC241" s="41">
        <v>573800616</v>
      </c>
      <c r="BD241" s="41">
        <v>580428448</v>
      </c>
      <c r="BE241" s="41">
        <v>586999600</v>
      </c>
      <c r="BF241" s="41">
        <v>593506947</v>
      </c>
      <c r="BG241" s="41">
        <v>599935349</v>
      </c>
      <c r="BH241" s="41">
        <v>606271936</v>
      </c>
      <c r="BI241" s="41">
        <v>612511541</v>
      </c>
      <c r="BJ241" s="41">
        <v>618653508</v>
      </c>
      <c r="BK241" s="41">
        <v>624698076</v>
      </c>
      <c r="BL241" s="41">
        <v>630644771</v>
      </c>
      <c r="BM241" s="41">
        <v>636492840</v>
      </c>
    </row>
    <row r="242" spans="1:65" x14ac:dyDescent="0.35">
      <c r="A242" s="41" t="s">
        <v>573</v>
      </c>
      <c r="B242" s="41" t="s">
        <v>574</v>
      </c>
      <c r="C242" s="41" t="s">
        <v>666</v>
      </c>
      <c r="D242" s="41" t="s">
        <v>667</v>
      </c>
      <c r="E242" s="41">
        <v>474535</v>
      </c>
      <c r="F242" s="41">
        <v>482852</v>
      </c>
      <c r="G242" s="41">
        <v>491575</v>
      </c>
      <c r="H242" s="41">
        <v>500652</v>
      </c>
      <c r="I242" s="41">
        <v>510035</v>
      </c>
      <c r="J242" s="41">
        <v>519676</v>
      </c>
      <c r="K242" s="41">
        <v>529328</v>
      </c>
      <c r="L242" s="41">
        <v>538906</v>
      </c>
      <c r="M242" s="41">
        <v>548817</v>
      </c>
      <c r="N242" s="41">
        <v>559620</v>
      </c>
      <c r="O242" s="41">
        <v>571565</v>
      </c>
      <c r="P242" s="41">
        <v>585250</v>
      </c>
      <c r="Q242" s="41">
        <v>600185</v>
      </c>
      <c r="R242" s="41">
        <v>614264</v>
      </c>
      <c r="S242" s="41">
        <v>624561</v>
      </c>
      <c r="T242" s="41">
        <v>629227</v>
      </c>
      <c r="U242" s="41">
        <v>627255</v>
      </c>
      <c r="V242" s="41">
        <v>619817</v>
      </c>
      <c r="W242" s="41">
        <v>610048</v>
      </c>
      <c r="X242" s="41">
        <v>602363</v>
      </c>
      <c r="Y242" s="41">
        <v>599907</v>
      </c>
      <c r="Z242" s="41">
        <v>603837</v>
      </c>
      <c r="AA242" s="41">
        <v>613233</v>
      </c>
      <c r="AB242" s="41">
        <v>626677</v>
      </c>
      <c r="AC242" s="41">
        <v>641845</v>
      </c>
      <c r="AD242" s="41">
        <v>657061</v>
      </c>
      <c r="AE242" s="41">
        <v>671747</v>
      </c>
      <c r="AF242" s="41">
        <v>686475</v>
      </c>
      <c r="AG242" s="41">
        <v>701812</v>
      </c>
      <c r="AH242" s="41">
        <v>718736</v>
      </c>
      <c r="AI242" s="41">
        <v>737814</v>
      </c>
      <c r="AJ242" s="41">
        <v>759526</v>
      </c>
      <c r="AK242" s="41">
        <v>783204</v>
      </c>
      <c r="AL242" s="41">
        <v>806867</v>
      </c>
      <c r="AM242" s="41">
        <v>827828</v>
      </c>
      <c r="AN242" s="41">
        <v>844333</v>
      </c>
      <c r="AO242" s="41">
        <v>855358</v>
      </c>
      <c r="AP242" s="41">
        <v>861870</v>
      </c>
      <c r="AQ242" s="41">
        <v>866523</v>
      </c>
      <c r="AR242" s="41">
        <v>873138</v>
      </c>
      <c r="AS242" s="41">
        <v>884366</v>
      </c>
      <c r="AT242" s="41">
        <v>901214</v>
      </c>
      <c r="AU242" s="41">
        <v>922699</v>
      </c>
      <c r="AV242" s="41">
        <v>947110</v>
      </c>
      <c r="AW242" s="41">
        <v>971889</v>
      </c>
      <c r="AX242" s="41">
        <v>995130</v>
      </c>
      <c r="AY242" s="41">
        <v>1016437</v>
      </c>
      <c r="AZ242" s="41">
        <v>1036388</v>
      </c>
      <c r="BA242" s="41">
        <v>1055428</v>
      </c>
      <c r="BB242" s="41">
        <v>1074286</v>
      </c>
      <c r="BC242" s="41">
        <v>1093517</v>
      </c>
      <c r="BD242" s="41">
        <v>1113154</v>
      </c>
      <c r="BE242" s="41">
        <v>1133002</v>
      </c>
      <c r="BF242" s="41">
        <v>1153288</v>
      </c>
      <c r="BG242" s="41">
        <v>1174333</v>
      </c>
      <c r="BH242" s="41">
        <v>1196294</v>
      </c>
      <c r="BI242" s="41">
        <v>1219289</v>
      </c>
      <c r="BJ242" s="41">
        <v>1243260</v>
      </c>
      <c r="BK242" s="41">
        <v>1267975</v>
      </c>
      <c r="BL242" s="41">
        <v>1293120</v>
      </c>
      <c r="BM242" s="41">
        <v>1318442</v>
      </c>
    </row>
    <row r="243" spans="1:65" x14ac:dyDescent="0.35">
      <c r="A243" s="41" t="s">
        <v>575</v>
      </c>
      <c r="B243" s="41" t="s">
        <v>576</v>
      </c>
      <c r="C243" s="41" t="s">
        <v>666</v>
      </c>
      <c r="D243" s="41" t="s">
        <v>667</v>
      </c>
      <c r="E243" s="41">
        <v>97553136</v>
      </c>
      <c r="F243" s="41">
        <v>100147125</v>
      </c>
      <c r="G243" s="41">
        <v>102808039</v>
      </c>
      <c r="H243" s="41">
        <v>105546241</v>
      </c>
      <c r="I243" s="41">
        <v>108376349</v>
      </c>
      <c r="J243" s="41">
        <v>111307810</v>
      </c>
      <c r="K243" s="41">
        <v>114351844</v>
      </c>
      <c r="L243" s="41">
        <v>117503838</v>
      </c>
      <c r="M243" s="41">
        <v>120739199</v>
      </c>
      <c r="N243" s="41">
        <v>124023275</v>
      </c>
      <c r="O243" s="41">
        <v>127335093</v>
      </c>
      <c r="P243" s="41">
        <v>130670746</v>
      </c>
      <c r="Q243" s="41">
        <v>134051048</v>
      </c>
      <c r="R243" s="41">
        <v>137511232</v>
      </c>
      <c r="S243" s="41">
        <v>141099598</v>
      </c>
      <c r="T243" s="41">
        <v>144855662</v>
      </c>
      <c r="U243" s="41">
        <v>148781943</v>
      </c>
      <c r="V243" s="41">
        <v>152881163</v>
      </c>
      <c r="W243" s="41">
        <v>157192250</v>
      </c>
      <c r="X243" s="41">
        <v>161761403</v>
      </c>
      <c r="Y243" s="41">
        <v>166616386</v>
      </c>
      <c r="Z243" s="41">
        <v>171766018</v>
      </c>
      <c r="AA243" s="41">
        <v>177185651</v>
      </c>
      <c r="AB243" s="41">
        <v>182825252</v>
      </c>
      <c r="AC243" s="41">
        <v>188614684</v>
      </c>
      <c r="AD243" s="41">
        <v>194494177</v>
      </c>
      <c r="AE243" s="41">
        <v>200443463</v>
      </c>
      <c r="AF243" s="41">
        <v>206447529</v>
      </c>
      <c r="AG243" s="41">
        <v>212456877</v>
      </c>
      <c r="AH243" s="41">
        <v>218415839</v>
      </c>
      <c r="AI243" s="41">
        <v>224280776</v>
      </c>
      <c r="AJ243" s="41">
        <v>230032568</v>
      </c>
      <c r="AK243" s="41">
        <v>235665095</v>
      </c>
      <c r="AL243" s="41">
        <v>241166641</v>
      </c>
      <c r="AM243" s="41">
        <v>246530980</v>
      </c>
      <c r="AN243" s="41">
        <v>251758674</v>
      </c>
      <c r="AO243" s="41">
        <v>256843601</v>
      </c>
      <c r="AP243" s="41">
        <v>261797640</v>
      </c>
      <c r="AQ243" s="41">
        <v>266664106</v>
      </c>
      <c r="AR243" s="41">
        <v>271501583</v>
      </c>
      <c r="AS243" s="41">
        <v>276357461</v>
      </c>
      <c r="AT243" s="41">
        <v>281251221</v>
      </c>
      <c r="AU243" s="41">
        <v>286188978</v>
      </c>
      <c r="AV243" s="41">
        <v>291188690</v>
      </c>
      <c r="AW243" s="41">
        <v>296266120</v>
      </c>
      <c r="AX243" s="41">
        <v>301435118</v>
      </c>
      <c r="AY243" s="41">
        <v>306703097</v>
      </c>
      <c r="AZ243" s="41">
        <v>312078867</v>
      </c>
      <c r="BA243" s="41">
        <v>317576769</v>
      </c>
      <c r="BB243" s="41">
        <v>323211867</v>
      </c>
      <c r="BC243" s="41">
        <v>328991681</v>
      </c>
      <c r="BD243" s="41">
        <v>334930074</v>
      </c>
      <c r="BE243" s="41">
        <v>341018430</v>
      </c>
      <c r="BF243" s="41">
        <v>347213697</v>
      </c>
      <c r="BG243" s="41">
        <v>353456440</v>
      </c>
      <c r="BH243" s="41">
        <v>359705464</v>
      </c>
      <c r="BI243" s="41">
        <v>365926929</v>
      </c>
      <c r="BJ243" s="41">
        <v>372133652</v>
      </c>
      <c r="BK243" s="41">
        <v>378386080</v>
      </c>
      <c r="BL243" s="41">
        <v>384771769</v>
      </c>
      <c r="BM243" s="41">
        <v>391344574</v>
      </c>
    </row>
    <row r="244" spans="1:65" x14ac:dyDescent="0.35">
      <c r="A244" s="41" t="s">
        <v>577</v>
      </c>
      <c r="B244" s="41" t="s">
        <v>578</v>
      </c>
      <c r="C244" s="41" t="s">
        <v>666</v>
      </c>
      <c r="D244" s="41" t="s">
        <v>667</v>
      </c>
      <c r="E244" s="41">
        <v>61574</v>
      </c>
      <c r="F244" s="41">
        <v>63721</v>
      </c>
      <c r="G244" s="41">
        <v>66233</v>
      </c>
      <c r="H244" s="41">
        <v>68975</v>
      </c>
      <c r="I244" s="41">
        <v>71744</v>
      </c>
      <c r="J244" s="41">
        <v>74348</v>
      </c>
      <c r="K244" s="41">
        <v>76774</v>
      </c>
      <c r="L244" s="41">
        <v>79034</v>
      </c>
      <c r="M244" s="41">
        <v>81076</v>
      </c>
      <c r="N244" s="41">
        <v>82861</v>
      </c>
      <c r="O244" s="41">
        <v>84344</v>
      </c>
      <c r="P244" s="41">
        <v>85492</v>
      </c>
      <c r="Q244" s="41">
        <v>86327</v>
      </c>
      <c r="R244" s="41">
        <v>86958</v>
      </c>
      <c r="S244" s="41">
        <v>87584</v>
      </c>
      <c r="T244" s="41">
        <v>88321</v>
      </c>
      <c r="U244" s="41">
        <v>89228</v>
      </c>
      <c r="V244" s="41">
        <v>90259</v>
      </c>
      <c r="W244" s="41">
        <v>91336</v>
      </c>
      <c r="X244" s="41">
        <v>92271</v>
      </c>
      <c r="Y244" s="41">
        <v>92966</v>
      </c>
      <c r="Z244" s="41">
        <v>93415</v>
      </c>
      <c r="AA244" s="41">
        <v>93636</v>
      </c>
      <c r="AB244" s="41">
        <v>93736</v>
      </c>
      <c r="AC244" s="41">
        <v>93793</v>
      </c>
      <c r="AD244" s="41">
        <v>93896</v>
      </c>
      <c r="AE244" s="41">
        <v>94081</v>
      </c>
      <c r="AF244" s="41">
        <v>94318</v>
      </c>
      <c r="AG244" s="41">
        <v>94592</v>
      </c>
      <c r="AH244" s="41">
        <v>94848</v>
      </c>
      <c r="AI244" s="41">
        <v>95069</v>
      </c>
      <c r="AJ244" s="41">
        <v>95243</v>
      </c>
      <c r="AK244" s="41">
        <v>95398</v>
      </c>
      <c r="AL244" s="41">
        <v>95556</v>
      </c>
      <c r="AM244" s="41">
        <v>95739</v>
      </c>
      <c r="AN244" s="41">
        <v>95972</v>
      </c>
      <c r="AO244" s="41">
        <v>96267</v>
      </c>
      <c r="AP244" s="41">
        <v>96621</v>
      </c>
      <c r="AQ244" s="41">
        <v>97036</v>
      </c>
      <c r="AR244" s="41">
        <v>97475</v>
      </c>
      <c r="AS244" s="41">
        <v>97962</v>
      </c>
      <c r="AT244" s="41">
        <v>98482</v>
      </c>
      <c r="AU244" s="41">
        <v>99023</v>
      </c>
      <c r="AV244" s="41">
        <v>99591</v>
      </c>
      <c r="AW244" s="41">
        <v>100214</v>
      </c>
      <c r="AX244" s="41">
        <v>100908</v>
      </c>
      <c r="AY244" s="41">
        <v>101714</v>
      </c>
      <c r="AZ244" s="41">
        <v>102577</v>
      </c>
      <c r="BA244" s="41">
        <v>103384</v>
      </c>
      <c r="BB244" s="41">
        <v>103897</v>
      </c>
      <c r="BC244" s="41">
        <v>103981</v>
      </c>
      <c r="BD244" s="41">
        <v>103558</v>
      </c>
      <c r="BE244" s="41">
        <v>102736</v>
      </c>
      <c r="BF244" s="41">
        <v>101768</v>
      </c>
      <c r="BG244" s="41">
        <v>101023</v>
      </c>
      <c r="BH244" s="41">
        <v>100780</v>
      </c>
      <c r="BI244" s="41">
        <v>101143</v>
      </c>
      <c r="BJ244" s="41">
        <v>102002</v>
      </c>
      <c r="BK244" s="41">
        <v>103199</v>
      </c>
      <c r="BL244" s="41">
        <v>104497</v>
      </c>
      <c r="BM244" s="41">
        <v>105697</v>
      </c>
    </row>
    <row r="245" spans="1:65" x14ac:dyDescent="0.35">
      <c r="A245" s="41" t="s">
        <v>579</v>
      </c>
      <c r="B245" s="41" t="s">
        <v>580</v>
      </c>
      <c r="C245" s="41" t="s">
        <v>666</v>
      </c>
      <c r="D245" s="41" t="s">
        <v>667</v>
      </c>
      <c r="E245" s="41">
        <v>572839530</v>
      </c>
      <c r="F245" s="41">
        <v>584939711</v>
      </c>
      <c r="G245" s="41">
        <v>597494450</v>
      </c>
      <c r="H245" s="41">
        <v>610498308</v>
      </c>
      <c r="I245" s="41">
        <v>623943328</v>
      </c>
      <c r="J245" s="41">
        <v>637823175</v>
      </c>
      <c r="K245" s="41">
        <v>652144171</v>
      </c>
      <c r="L245" s="41">
        <v>666908586</v>
      </c>
      <c r="M245" s="41">
        <v>682102192</v>
      </c>
      <c r="N245" s="41">
        <v>697706091</v>
      </c>
      <c r="O245" s="41">
        <v>713711358</v>
      </c>
      <c r="P245" s="41">
        <v>730107660</v>
      </c>
      <c r="Q245" s="41">
        <v>746911710</v>
      </c>
      <c r="R245" s="41">
        <v>764174968</v>
      </c>
      <c r="S245" s="41">
        <v>781966557</v>
      </c>
      <c r="T245" s="41">
        <v>800335570</v>
      </c>
      <c r="U245" s="41">
        <v>819292532</v>
      </c>
      <c r="V245" s="41">
        <v>838819900</v>
      </c>
      <c r="W245" s="41">
        <v>858901743</v>
      </c>
      <c r="X245" s="41">
        <v>879510842</v>
      </c>
      <c r="Y245" s="41">
        <v>900620583</v>
      </c>
      <c r="Z245" s="41">
        <v>922226632</v>
      </c>
      <c r="AA245" s="41">
        <v>944315173</v>
      </c>
      <c r="AB245" s="41">
        <v>966836458</v>
      </c>
      <c r="AC245" s="41">
        <v>989728262</v>
      </c>
      <c r="AD245" s="41">
        <v>1012942302</v>
      </c>
      <c r="AE245" s="41">
        <v>1036437878</v>
      </c>
      <c r="AF245" s="41">
        <v>1060208544</v>
      </c>
      <c r="AG245" s="41">
        <v>1084281159</v>
      </c>
      <c r="AH245" s="41">
        <v>1108702366</v>
      </c>
      <c r="AI245" s="41">
        <v>1133495194</v>
      </c>
      <c r="AJ245" s="41">
        <v>1158655616</v>
      </c>
      <c r="AK245" s="41">
        <v>1184133340</v>
      </c>
      <c r="AL245" s="41">
        <v>1209847774</v>
      </c>
      <c r="AM245" s="41">
        <v>1235693864</v>
      </c>
      <c r="AN245" s="41">
        <v>1261587780</v>
      </c>
      <c r="AO245" s="41">
        <v>1287476203</v>
      </c>
      <c r="AP245" s="41">
        <v>1313346375</v>
      </c>
      <c r="AQ245" s="41">
        <v>1339202700</v>
      </c>
      <c r="AR245" s="41">
        <v>1365067953</v>
      </c>
      <c r="AS245" s="41">
        <v>1390946065</v>
      </c>
      <c r="AT245" s="41">
        <v>1416822995</v>
      </c>
      <c r="AU245" s="41">
        <v>1442644044</v>
      </c>
      <c r="AV245" s="41">
        <v>1468324423</v>
      </c>
      <c r="AW245" s="41">
        <v>1493757846</v>
      </c>
      <c r="AX245" s="41">
        <v>1518861546</v>
      </c>
      <c r="AY245" s="41">
        <v>1543610686</v>
      </c>
      <c r="AZ245" s="41">
        <v>1568003175</v>
      </c>
      <c r="BA245" s="41">
        <v>1592010815</v>
      </c>
      <c r="BB245" s="41">
        <v>1615610187</v>
      </c>
      <c r="BC245" s="41">
        <v>1638792927</v>
      </c>
      <c r="BD245" s="41">
        <v>1661532158</v>
      </c>
      <c r="BE245" s="41">
        <v>1683740452</v>
      </c>
      <c r="BF245" s="41">
        <v>1705761545</v>
      </c>
      <c r="BG245" s="41">
        <v>1727632022</v>
      </c>
      <c r="BH245" s="41">
        <v>1749417067</v>
      </c>
      <c r="BI245" s="41">
        <v>1771187426</v>
      </c>
      <c r="BJ245" s="41">
        <v>1792883164</v>
      </c>
      <c r="BK245" s="41">
        <v>1814455018</v>
      </c>
      <c r="BL245" s="41">
        <v>1835776769</v>
      </c>
      <c r="BM245" s="41">
        <v>1856882402</v>
      </c>
    </row>
    <row r="246" spans="1:65" x14ac:dyDescent="0.35">
      <c r="A246" s="41" t="s">
        <v>581</v>
      </c>
      <c r="B246" s="41" t="s">
        <v>582</v>
      </c>
      <c r="C246" s="41" t="s">
        <v>666</v>
      </c>
      <c r="D246" s="41" t="s">
        <v>667</v>
      </c>
      <c r="E246" s="41">
        <v>227233184</v>
      </c>
      <c r="F246" s="41">
        <v>232567007</v>
      </c>
      <c r="G246" s="41">
        <v>238121604</v>
      </c>
      <c r="H246" s="41">
        <v>243893375</v>
      </c>
      <c r="I246" s="41">
        <v>249873656</v>
      </c>
      <c r="J246" s="41">
        <v>256059849</v>
      </c>
      <c r="K246" s="41">
        <v>262454482</v>
      </c>
      <c r="L246" s="41">
        <v>269072404</v>
      </c>
      <c r="M246" s="41">
        <v>275937546</v>
      </c>
      <c r="N246" s="41">
        <v>283080501</v>
      </c>
      <c r="O246" s="41">
        <v>290526233</v>
      </c>
      <c r="P246" s="41">
        <v>298284475</v>
      </c>
      <c r="Q246" s="41">
        <v>306359650</v>
      </c>
      <c r="R246" s="41">
        <v>314761504</v>
      </c>
      <c r="S246" s="41">
        <v>323500333</v>
      </c>
      <c r="T246" s="41">
        <v>332583481</v>
      </c>
      <c r="U246" s="41">
        <v>342018937</v>
      </c>
      <c r="V246" s="41">
        <v>351808760</v>
      </c>
      <c r="W246" s="41">
        <v>361939456</v>
      </c>
      <c r="X246" s="41">
        <v>372404237</v>
      </c>
      <c r="Y246" s="41">
        <v>383188215</v>
      </c>
      <c r="Z246" s="41">
        <v>394281992</v>
      </c>
      <c r="AA246" s="41">
        <v>405688898</v>
      </c>
      <c r="AB246" s="41">
        <v>417425712</v>
      </c>
      <c r="AC246" s="41">
        <v>429521914</v>
      </c>
      <c r="AD246" s="41">
        <v>441988004</v>
      </c>
      <c r="AE246" s="41">
        <v>454835677</v>
      </c>
      <c r="AF246" s="41">
        <v>468053103</v>
      </c>
      <c r="AG246" s="41">
        <v>481594337</v>
      </c>
      <c r="AH246" s="41">
        <v>495407422</v>
      </c>
      <c r="AI246" s="41">
        <v>509451875</v>
      </c>
      <c r="AJ246" s="41">
        <v>523726960</v>
      </c>
      <c r="AK246" s="41">
        <v>538246439</v>
      </c>
      <c r="AL246" s="41">
        <v>553020385</v>
      </c>
      <c r="AM246" s="41">
        <v>568072070</v>
      </c>
      <c r="AN246" s="41">
        <v>583413287</v>
      </c>
      <c r="AO246" s="41">
        <v>599067774</v>
      </c>
      <c r="AP246" s="41">
        <v>615054341</v>
      </c>
      <c r="AQ246" s="41">
        <v>631400703</v>
      </c>
      <c r="AR246" s="41">
        <v>648148338</v>
      </c>
      <c r="AS246" s="41">
        <v>665327588</v>
      </c>
      <c r="AT246" s="41">
        <v>682956023</v>
      </c>
      <c r="AU246" s="41">
        <v>701066197</v>
      </c>
      <c r="AV246" s="41">
        <v>719716165</v>
      </c>
      <c r="AW246" s="41">
        <v>738983247</v>
      </c>
      <c r="AX246" s="41">
        <v>758924664</v>
      </c>
      <c r="AY246" s="41">
        <v>779566846</v>
      </c>
      <c r="AZ246" s="41">
        <v>800908567</v>
      </c>
      <c r="BA246" s="41">
        <v>822945490</v>
      </c>
      <c r="BB246" s="41">
        <v>845655209</v>
      </c>
      <c r="BC246" s="41">
        <v>869025115</v>
      </c>
      <c r="BD246" s="41">
        <v>893045863</v>
      </c>
      <c r="BE246" s="41">
        <v>917725880</v>
      </c>
      <c r="BF246" s="41">
        <v>943039474</v>
      </c>
      <c r="BG246" s="41">
        <v>968958352</v>
      </c>
      <c r="BH246" s="41">
        <v>995458498</v>
      </c>
      <c r="BI246" s="41">
        <v>1022530245</v>
      </c>
      <c r="BJ246" s="41">
        <v>1050162810</v>
      </c>
      <c r="BK246" s="41">
        <v>1078319512</v>
      </c>
      <c r="BL246" s="41">
        <v>1106957870</v>
      </c>
      <c r="BM246" s="41">
        <v>1136046775</v>
      </c>
    </row>
    <row r="247" spans="1:65" x14ac:dyDescent="0.35">
      <c r="A247" s="41" t="s">
        <v>583</v>
      </c>
      <c r="B247" s="41" t="s">
        <v>584</v>
      </c>
      <c r="C247" s="41" t="s">
        <v>666</v>
      </c>
      <c r="D247" s="41" t="s">
        <v>667</v>
      </c>
      <c r="E247" s="41">
        <v>847973</v>
      </c>
      <c r="F247" s="41">
        <v>864814</v>
      </c>
      <c r="G247" s="41">
        <v>879436</v>
      </c>
      <c r="H247" s="41">
        <v>891948</v>
      </c>
      <c r="I247" s="41">
        <v>902620</v>
      </c>
      <c r="J247" s="41">
        <v>911742</v>
      </c>
      <c r="K247" s="41">
        <v>919218</v>
      </c>
      <c r="L247" s="41">
        <v>925233</v>
      </c>
      <c r="M247" s="41">
        <v>930792</v>
      </c>
      <c r="N247" s="41">
        <v>937184</v>
      </c>
      <c r="O247" s="41">
        <v>945357</v>
      </c>
      <c r="P247" s="41">
        <v>955753</v>
      </c>
      <c r="Q247" s="41">
        <v>968136</v>
      </c>
      <c r="R247" s="41">
        <v>982006</v>
      </c>
      <c r="S247" s="41">
        <v>996479</v>
      </c>
      <c r="T247" s="41">
        <v>1010934</v>
      </c>
      <c r="U247" s="41">
        <v>1025104</v>
      </c>
      <c r="V247" s="41">
        <v>1039210</v>
      </c>
      <c r="W247" s="41">
        <v>1053560</v>
      </c>
      <c r="X247" s="41">
        <v>1068644</v>
      </c>
      <c r="Y247" s="41">
        <v>1084743</v>
      </c>
      <c r="Z247" s="41">
        <v>1101983</v>
      </c>
      <c r="AA247" s="41">
        <v>1120019</v>
      </c>
      <c r="AB247" s="41">
        <v>1138071</v>
      </c>
      <c r="AC247" s="41">
        <v>1155083</v>
      </c>
      <c r="AD247" s="41">
        <v>1170296</v>
      </c>
      <c r="AE247" s="41">
        <v>1183382</v>
      </c>
      <c r="AF247" s="41">
        <v>1194532</v>
      </c>
      <c r="AG247" s="41">
        <v>1204150</v>
      </c>
      <c r="AH247" s="41">
        <v>1212858</v>
      </c>
      <c r="AI247" s="41">
        <v>1221121</v>
      </c>
      <c r="AJ247" s="41">
        <v>1229108</v>
      </c>
      <c r="AK247" s="41">
        <v>1236685</v>
      </c>
      <c r="AL247" s="41">
        <v>1243605</v>
      </c>
      <c r="AM247" s="41">
        <v>1249527</v>
      </c>
      <c r="AN247" s="41">
        <v>1254200</v>
      </c>
      <c r="AO247" s="41">
        <v>1257547</v>
      </c>
      <c r="AP247" s="41">
        <v>1259838</v>
      </c>
      <c r="AQ247" s="41">
        <v>1261699</v>
      </c>
      <c r="AR247" s="41">
        <v>1263927</v>
      </c>
      <c r="AS247" s="41">
        <v>1267159</v>
      </c>
      <c r="AT247" s="41">
        <v>1271627</v>
      </c>
      <c r="AU247" s="41">
        <v>1277210</v>
      </c>
      <c r="AV247" s="41">
        <v>1283564</v>
      </c>
      <c r="AW247" s="41">
        <v>1290115</v>
      </c>
      <c r="AX247" s="41">
        <v>1296497</v>
      </c>
      <c r="AY247" s="41">
        <v>1302552</v>
      </c>
      <c r="AZ247" s="41">
        <v>1308450</v>
      </c>
      <c r="BA247" s="41">
        <v>1314449</v>
      </c>
      <c r="BB247" s="41">
        <v>1320921</v>
      </c>
      <c r="BC247" s="41">
        <v>1328144</v>
      </c>
      <c r="BD247" s="41">
        <v>1336180</v>
      </c>
      <c r="BE247" s="41">
        <v>1344814</v>
      </c>
      <c r="BF247" s="41">
        <v>1353708</v>
      </c>
      <c r="BG247" s="41">
        <v>1362337</v>
      </c>
      <c r="BH247" s="41">
        <v>1370332</v>
      </c>
      <c r="BI247" s="41">
        <v>1377563</v>
      </c>
      <c r="BJ247" s="41">
        <v>1384060</v>
      </c>
      <c r="BK247" s="41">
        <v>1389841</v>
      </c>
      <c r="BL247" s="41">
        <v>1394969</v>
      </c>
      <c r="BM247" s="41">
        <v>1399491</v>
      </c>
    </row>
    <row r="248" spans="1:65" x14ac:dyDescent="0.35">
      <c r="A248" s="41" t="s">
        <v>585</v>
      </c>
      <c r="B248" s="41" t="s">
        <v>586</v>
      </c>
      <c r="C248" s="41" t="s">
        <v>666</v>
      </c>
      <c r="D248" s="41" t="s">
        <v>667</v>
      </c>
      <c r="E248" s="41">
        <v>4178235</v>
      </c>
      <c r="F248" s="41">
        <v>4238141</v>
      </c>
      <c r="G248" s="41">
        <v>4305477</v>
      </c>
      <c r="H248" s="41">
        <v>4380074</v>
      </c>
      <c r="I248" s="41">
        <v>4461111</v>
      </c>
      <c r="J248" s="41">
        <v>4547941</v>
      </c>
      <c r="K248" s="41">
        <v>4640995</v>
      </c>
      <c r="L248" s="41">
        <v>4740526</v>
      </c>
      <c r="M248" s="41">
        <v>4845220</v>
      </c>
      <c r="N248" s="41">
        <v>4953379</v>
      </c>
      <c r="O248" s="41">
        <v>5063805</v>
      </c>
      <c r="P248" s="41">
        <v>5176290</v>
      </c>
      <c r="Q248" s="41">
        <v>5291335</v>
      </c>
      <c r="R248" s="41">
        <v>5409338</v>
      </c>
      <c r="S248" s="41">
        <v>5530978</v>
      </c>
      <c r="T248" s="41">
        <v>5656912</v>
      </c>
      <c r="U248" s="41">
        <v>5786482</v>
      </c>
      <c r="V248" s="41">
        <v>5919958</v>
      </c>
      <c r="W248" s="41">
        <v>6060158</v>
      </c>
      <c r="X248" s="41">
        <v>6210756</v>
      </c>
      <c r="Y248" s="41">
        <v>6374040</v>
      </c>
      <c r="Z248" s="41">
        <v>6551232</v>
      </c>
      <c r="AA248" s="41">
        <v>6740520</v>
      </c>
      <c r="AB248" s="41">
        <v>6937332</v>
      </c>
      <c r="AC248" s="41">
        <v>7135265</v>
      </c>
      <c r="AD248" s="41">
        <v>7329590</v>
      </c>
      <c r="AE248" s="41">
        <v>7517854</v>
      </c>
      <c r="AF248" s="41">
        <v>7700733</v>
      </c>
      <c r="AG248" s="41">
        <v>7880333</v>
      </c>
      <c r="AH248" s="41">
        <v>8060211</v>
      </c>
      <c r="AI248" s="41">
        <v>8242509</v>
      </c>
      <c r="AJ248" s="41">
        <v>8427851</v>
      </c>
      <c r="AK248" s="41">
        <v>8613855</v>
      </c>
      <c r="AL248" s="41">
        <v>8795934</v>
      </c>
      <c r="AM248" s="41">
        <v>8967916</v>
      </c>
      <c r="AN248" s="41">
        <v>9125400</v>
      </c>
      <c r="AO248" s="41">
        <v>9267335</v>
      </c>
      <c r="AP248" s="41">
        <v>9395119</v>
      </c>
      <c r="AQ248" s="41">
        <v>9509862</v>
      </c>
      <c r="AR248" s="41">
        <v>9613587</v>
      </c>
      <c r="AS248" s="41">
        <v>9708347</v>
      </c>
      <c r="AT248" s="41">
        <v>9793915</v>
      </c>
      <c r="AU248" s="41">
        <v>9871261</v>
      </c>
      <c r="AV248" s="41">
        <v>9945282</v>
      </c>
      <c r="AW248" s="41">
        <v>10022278</v>
      </c>
      <c r="AX248" s="41">
        <v>10106778</v>
      </c>
      <c r="AY248" s="41">
        <v>10201211</v>
      </c>
      <c r="AZ248" s="41">
        <v>10304729</v>
      </c>
      <c r="BA248" s="41">
        <v>10414425</v>
      </c>
      <c r="BB248" s="41">
        <v>10525691</v>
      </c>
      <c r="BC248" s="41">
        <v>10635245</v>
      </c>
      <c r="BD248" s="41">
        <v>10741872</v>
      </c>
      <c r="BE248" s="41">
        <v>10846993</v>
      </c>
      <c r="BF248" s="41">
        <v>10952949</v>
      </c>
      <c r="BG248" s="41">
        <v>11063195</v>
      </c>
      <c r="BH248" s="41">
        <v>11179951</v>
      </c>
      <c r="BI248" s="41">
        <v>11303942</v>
      </c>
      <c r="BJ248" s="41">
        <v>11433438</v>
      </c>
      <c r="BK248" s="41">
        <v>11565203</v>
      </c>
      <c r="BL248" s="41">
        <v>11694721</v>
      </c>
      <c r="BM248" s="41">
        <v>11818618</v>
      </c>
    </row>
    <row r="249" spans="1:65" x14ac:dyDescent="0.35">
      <c r="A249" s="41" t="s">
        <v>587</v>
      </c>
      <c r="B249" s="41" t="s">
        <v>588</v>
      </c>
      <c r="C249" s="41" t="s">
        <v>666</v>
      </c>
      <c r="D249" s="41" t="s">
        <v>667</v>
      </c>
      <c r="E249" s="41">
        <v>27472339</v>
      </c>
      <c r="F249" s="41">
        <v>28146909</v>
      </c>
      <c r="G249" s="41">
        <v>28832831</v>
      </c>
      <c r="H249" s="41">
        <v>29531362</v>
      </c>
      <c r="I249" s="41">
        <v>30244258</v>
      </c>
      <c r="J249" s="41">
        <v>30972996</v>
      </c>
      <c r="K249" s="41">
        <v>31717504</v>
      </c>
      <c r="L249" s="41">
        <v>32477994</v>
      </c>
      <c r="M249" s="41">
        <v>33256465</v>
      </c>
      <c r="N249" s="41">
        <v>34055391</v>
      </c>
      <c r="O249" s="41">
        <v>34876296</v>
      </c>
      <c r="P249" s="41">
        <v>35720603</v>
      </c>
      <c r="Q249" s="41">
        <v>36587267</v>
      </c>
      <c r="R249" s="41">
        <v>37472329</v>
      </c>
      <c r="S249" s="41">
        <v>38370278</v>
      </c>
      <c r="T249" s="41">
        <v>39277249</v>
      </c>
      <c r="U249" s="41">
        <v>40189561</v>
      </c>
      <c r="V249" s="41">
        <v>41108290</v>
      </c>
      <c r="W249" s="41">
        <v>42039983</v>
      </c>
      <c r="X249" s="41">
        <v>42994043</v>
      </c>
      <c r="Y249" s="41">
        <v>43975972</v>
      </c>
      <c r="Z249" s="41">
        <v>44988411</v>
      </c>
      <c r="AA249" s="41">
        <v>46025411</v>
      </c>
      <c r="AB249" s="41">
        <v>47073470</v>
      </c>
      <c r="AC249" s="41">
        <v>48114158</v>
      </c>
      <c r="AD249" s="41">
        <v>49133928</v>
      </c>
      <c r="AE249" s="41">
        <v>50128548</v>
      </c>
      <c r="AF249" s="41">
        <v>51100930</v>
      </c>
      <c r="AG249" s="41">
        <v>52053764</v>
      </c>
      <c r="AH249" s="41">
        <v>52992479</v>
      </c>
      <c r="AI249" s="41">
        <v>53921758</v>
      </c>
      <c r="AJ249" s="41">
        <v>54840595</v>
      </c>
      <c r="AK249" s="41">
        <v>55748946</v>
      </c>
      <c r="AL249" s="41">
        <v>56653808</v>
      </c>
      <c r="AM249" s="41">
        <v>57564209</v>
      </c>
      <c r="AN249" s="41">
        <v>58486453</v>
      </c>
      <c r="AO249" s="41">
        <v>59423278</v>
      </c>
      <c r="AP249" s="41">
        <v>60372571</v>
      </c>
      <c r="AQ249" s="41">
        <v>61329665</v>
      </c>
      <c r="AR249" s="41">
        <v>62287391</v>
      </c>
      <c r="AS249" s="41">
        <v>63240196</v>
      </c>
      <c r="AT249" s="41">
        <v>64192243</v>
      </c>
      <c r="AU249" s="41">
        <v>65145357</v>
      </c>
      <c r="AV249" s="41">
        <v>66089402</v>
      </c>
      <c r="AW249" s="41">
        <v>67010930</v>
      </c>
      <c r="AX249" s="41">
        <v>67903461</v>
      </c>
      <c r="AY249" s="41">
        <v>68756809</v>
      </c>
      <c r="AZ249" s="41">
        <v>69581854</v>
      </c>
      <c r="BA249" s="41">
        <v>70418612</v>
      </c>
      <c r="BB249" s="41">
        <v>71321406</v>
      </c>
      <c r="BC249" s="41">
        <v>72326992</v>
      </c>
      <c r="BD249" s="41">
        <v>73443254</v>
      </c>
      <c r="BE249" s="41">
        <v>74651046</v>
      </c>
      <c r="BF249" s="41">
        <v>75925454</v>
      </c>
      <c r="BG249" s="41">
        <v>77229262</v>
      </c>
      <c r="BH249" s="41">
        <v>78529413</v>
      </c>
      <c r="BI249" s="41">
        <v>79827868</v>
      </c>
      <c r="BJ249" s="41">
        <v>81116451</v>
      </c>
      <c r="BK249" s="41">
        <v>82340090</v>
      </c>
      <c r="BL249" s="41">
        <v>83429607</v>
      </c>
      <c r="BM249" s="41">
        <v>84339067</v>
      </c>
    </row>
    <row r="250" spans="1:65" x14ac:dyDescent="0.35">
      <c r="A250" s="41" t="s">
        <v>589</v>
      </c>
      <c r="B250" s="41" t="s">
        <v>590</v>
      </c>
      <c r="C250" s="41" t="s">
        <v>666</v>
      </c>
      <c r="D250" s="41" t="s">
        <v>667</v>
      </c>
      <c r="E250" s="41">
        <v>5321</v>
      </c>
      <c r="F250" s="41">
        <v>5330</v>
      </c>
      <c r="G250" s="41">
        <v>5340</v>
      </c>
      <c r="H250" s="41">
        <v>5341</v>
      </c>
      <c r="I250" s="41">
        <v>5354</v>
      </c>
      <c r="J250" s="41">
        <v>5388</v>
      </c>
      <c r="K250" s="41">
        <v>5435</v>
      </c>
      <c r="L250" s="41">
        <v>5510</v>
      </c>
      <c r="M250" s="41">
        <v>5598</v>
      </c>
      <c r="N250" s="41">
        <v>5671</v>
      </c>
      <c r="O250" s="41">
        <v>5740</v>
      </c>
      <c r="P250" s="41">
        <v>5770</v>
      </c>
      <c r="Q250" s="41">
        <v>5786</v>
      </c>
      <c r="R250" s="41">
        <v>5819</v>
      </c>
      <c r="S250" s="41">
        <v>5903</v>
      </c>
      <c r="T250" s="41">
        <v>6064</v>
      </c>
      <c r="U250" s="41">
        <v>6319</v>
      </c>
      <c r="V250" s="41">
        <v>6650</v>
      </c>
      <c r="W250" s="41">
        <v>7018</v>
      </c>
      <c r="X250" s="41">
        <v>7357</v>
      </c>
      <c r="Y250" s="41">
        <v>7631</v>
      </c>
      <c r="Z250" s="41">
        <v>7825</v>
      </c>
      <c r="AA250" s="41">
        <v>7951</v>
      </c>
      <c r="AB250" s="41">
        <v>8041</v>
      </c>
      <c r="AC250" s="41">
        <v>8110</v>
      </c>
      <c r="AD250" s="41">
        <v>8211</v>
      </c>
      <c r="AE250" s="41">
        <v>8341</v>
      </c>
      <c r="AF250" s="41">
        <v>8481</v>
      </c>
      <c r="AG250" s="41">
        <v>8637</v>
      </c>
      <c r="AH250" s="41">
        <v>8787</v>
      </c>
      <c r="AI250" s="41">
        <v>8910</v>
      </c>
      <c r="AJ250" s="41">
        <v>9014</v>
      </c>
      <c r="AK250" s="41">
        <v>9110</v>
      </c>
      <c r="AL250" s="41">
        <v>9194</v>
      </c>
      <c r="AM250" s="41">
        <v>9259</v>
      </c>
      <c r="AN250" s="41">
        <v>9298</v>
      </c>
      <c r="AO250" s="41">
        <v>9317</v>
      </c>
      <c r="AP250" s="41">
        <v>9328</v>
      </c>
      <c r="AQ250" s="41">
        <v>9332</v>
      </c>
      <c r="AR250" s="41">
        <v>9344</v>
      </c>
      <c r="AS250" s="41">
        <v>9392</v>
      </c>
      <c r="AT250" s="41">
        <v>9478</v>
      </c>
      <c r="AU250" s="41">
        <v>9593</v>
      </c>
      <c r="AV250" s="41">
        <v>9724</v>
      </c>
      <c r="AW250" s="41">
        <v>9871</v>
      </c>
      <c r="AX250" s="41">
        <v>9997</v>
      </c>
      <c r="AY250" s="41">
        <v>10118</v>
      </c>
      <c r="AZ250" s="41">
        <v>10219</v>
      </c>
      <c r="BA250" s="41">
        <v>10315</v>
      </c>
      <c r="BB250" s="41">
        <v>10413</v>
      </c>
      <c r="BC250" s="41">
        <v>10521</v>
      </c>
      <c r="BD250" s="41">
        <v>10626</v>
      </c>
      <c r="BE250" s="41">
        <v>10744</v>
      </c>
      <c r="BF250" s="41">
        <v>10849</v>
      </c>
      <c r="BG250" s="41">
        <v>10973</v>
      </c>
      <c r="BH250" s="41">
        <v>11099</v>
      </c>
      <c r="BI250" s="41">
        <v>11232</v>
      </c>
      <c r="BJ250" s="41">
        <v>11365</v>
      </c>
      <c r="BK250" s="41">
        <v>11505</v>
      </c>
      <c r="BL250" s="41">
        <v>11655</v>
      </c>
      <c r="BM250" s="41">
        <v>11792</v>
      </c>
    </row>
    <row r="251" spans="1:65" x14ac:dyDescent="0.35">
      <c r="A251" s="41" t="s">
        <v>591</v>
      </c>
      <c r="B251" s="41" t="s">
        <v>592</v>
      </c>
      <c r="C251" s="41" t="s">
        <v>666</v>
      </c>
      <c r="D251" s="41" t="s">
        <v>667</v>
      </c>
      <c r="E251" s="41">
        <v>10052151</v>
      </c>
      <c r="F251" s="41">
        <v>10346695</v>
      </c>
      <c r="G251" s="41">
        <v>10651954</v>
      </c>
      <c r="H251" s="41">
        <v>10968196</v>
      </c>
      <c r="I251" s="41">
        <v>11295675</v>
      </c>
      <c r="J251" s="41">
        <v>11634837</v>
      </c>
      <c r="K251" s="41">
        <v>11985442</v>
      </c>
      <c r="L251" s="41">
        <v>12348188</v>
      </c>
      <c r="M251" s="41">
        <v>12725519</v>
      </c>
      <c r="N251" s="41">
        <v>13120587</v>
      </c>
      <c r="O251" s="41">
        <v>13535487</v>
      </c>
      <c r="P251" s="41">
        <v>13971698</v>
      </c>
      <c r="Q251" s="41">
        <v>14428340</v>
      </c>
      <c r="R251" s="41">
        <v>14902271</v>
      </c>
      <c r="S251" s="41">
        <v>15388933</v>
      </c>
      <c r="T251" s="41">
        <v>15885228</v>
      </c>
      <c r="U251" s="41">
        <v>16390161</v>
      </c>
      <c r="V251" s="41">
        <v>16905222</v>
      </c>
      <c r="W251" s="41">
        <v>17432756</v>
      </c>
      <c r="X251" s="41">
        <v>17976219</v>
      </c>
      <c r="Y251" s="41">
        <v>18538263</v>
      </c>
      <c r="Z251" s="41">
        <v>19120683</v>
      </c>
      <c r="AA251" s="41">
        <v>19723317</v>
      </c>
      <c r="AB251" s="41">
        <v>20344550</v>
      </c>
      <c r="AC251" s="41">
        <v>20981775</v>
      </c>
      <c r="AD251" s="41">
        <v>21633799</v>
      </c>
      <c r="AE251" s="41">
        <v>22296282</v>
      </c>
      <c r="AF251" s="41">
        <v>22971208</v>
      </c>
      <c r="AG251" s="41">
        <v>23670807</v>
      </c>
      <c r="AH251" s="41">
        <v>24411744</v>
      </c>
      <c r="AI251" s="41">
        <v>25203848</v>
      </c>
      <c r="AJ251" s="41">
        <v>26056605</v>
      </c>
      <c r="AK251" s="41">
        <v>26961204</v>
      </c>
      <c r="AL251" s="41">
        <v>27887204</v>
      </c>
      <c r="AM251" s="41">
        <v>28792649</v>
      </c>
      <c r="AN251" s="41">
        <v>29649128</v>
      </c>
      <c r="AO251" s="41">
        <v>30444523</v>
      </c>
      <c r="AP251" s="41">
        <v>31192853</v>
      </c>
      <c r="AQ251" s="41">
        <v>31924201</v>
      </c>
      <c r="AR251" s="41">
        <v>32682240</v>
      </c>
      <c r="AS251" s="41">
        <v>33499177</v>
      </c>
      <c r="AT251" s="41">
        <v>34385849</v>
      </c>
      <c r="AU251" s="41">
        <v>35334790</v>
      </c>
      <c r="AV251" s="41">
        <v>36337778</v>
      </c>
      <c r="AW251" s="41">
        <v>37379766</v>
      </c>
      <c r="AX251" s="41">
        <v>38450323</v>
      </c>
      <c r="AY251" s="41">
        <v>39548666</v>
      </c>
      <c r="AZ251" s="41">
        <v>40681416</v>
      </c>
      <c r="BA251" s="41">
        <v>41853944</v>
      </c>
      <c r="BB251" s="41">
        <v>43073830</v>
      </c>
      <c r="BC251" s="41">
        <v>44346532</v>
      </c>
      <c r="BD251" s="41">
        <v>45673520</v>
      </c>
      <c r="BE251" s="41">
        <v>47053033</v>
      </c>
      <c r="BF251" s="41">
        <v>48483132</v>
      </c>
      <c r="BG251" s="41">
        <v>49960563</v>
      </c>
      <c r="BH251" s="41">
        <v>51482638</v>
      </c>
      <c r="BI251" s="41">
        <v>53049231</v>
      </c>
      <c r="BJ251" s="41">
        <v>54660345</v>
      </c>
      <c r="BK251" s="41">
        <v>56313444</v>
      </c>
      <c r="BL251" s="41">
        <v>58005461</v>
      </c>
      <c r="BM251" s="41">
        <v>59734213</v>
      </c>
    </row>
    <row r="252" spans="1:65" x14ac:dyDescent="0.35">
      <c r="A252" s="41" t="s">
        <v>593</v>
      </c>
      <c r="B252" s="41" t="s">
        <v>594</v>
      </c>
      <c r="C252" s="41" t="s">
        <v>666</v>
      </c>
      <c r="D252" s="41" t="s">
        <v>667</v>
      </c>
      <c r="E252" s="41">
        <v>6767092</v>
      </c>
      <c r="F252" s="41">
        <v>6983824</v>
      </c>
      <c r="G252" s="41">
        <v>7215799</v>
      </c>
      <c r="H252" s="41">
        <v>7461636</v>
      </c>
      <c r="I252" s="41">
        <v>7719108</v>
      </c>
      <c r="J252" s="41">
        <v>7986062</v>
      </c>
      <c r="K252" s="41">
        <v>8263434</v>
      </c>
      <c r="L252" s="41">
        <v>8550444</v>
      </c>
      <c r="M252" s="41">
        <v>8841156</v>
      </c>
      <c r="N252" s="41">
        <v>9127855</v>
      </c>
      <c r="O252" s="41">
        <v>9405606</v>
      </c>
      <c r="P252" s="41">
        <v>9671856</v>
      </c>
      <c r="Q252" s="41">
        <v>9929644</v>
      </c>
      <c r="R252" s="41">
        <v>10186452</v>
      </c>
      <c r="S252" s="41">
        <v>10453029</v>
      </c>
      <c r="T252" s="41">
        <v>10737403</v>
      </c>
      <c r="U252" s="41">
        <v>11042975</v>
      </c>
      <c r="V252" s="41">
        <v>11368618</v>
      </c>
      <c r="W252" s="41">
        <v>11712540</v>
      </c>
      <c r="X252" s="41">
        <v>12071140</v>
      </c>
      <c r="Y252" s="41">
        <v>12442333</v>
      </c>
      <c r="Z252" s="41">
        <v>12825084</v>
      </c>
      <c r="AA252" s="41">
        <v>13221991</v>
      </c>
      <c r="AB252" s="41">
        <v>13638729</v>
      </c>
      <c r="AC252" s="41">
        <v>14082870</v>
      </c>
      <c r="AD252" s="41">
        <v>14559357</v>
      </c>
      <c r="AE252" s="41">
        <v>15070319</v>
      </c>
      <c r="AF252" s="41">
        <v>15612754</v>
      </c>
      <c r="AG252" s="41">
        <v>16180129</v>
      </c>
      <c r="AH252" s="41">
        <v>16763041</v>
      </c>
      <c r="AI252" s="41">
        <v>17354395</v>
      </c>
      <c r="AJ252" s="41">
        <v>17953534</v>
      </c>
      <c r="AK252" s="41">
        <v>18561668</v>
      </c>
      <c r="AL252" s="41">
        <v>19175986</v>
      </c>
      <c r="AM252" s="41">
        <v>19793541</v>
      </c>
      <c r="AN252" s="41">
        <v>20413157</v>
      </c>
      <c r="AO252" s="41">
        <v>21032817</v>
      </c>
      <c r="AP252" s="41">
        <v>21655392</v>
      </c>
      <c r="AQ252" s="41">
        <v>22290787</v>
      </c>
      <c r="AR252" s="41">
        <v>22952406</v>
      </c>
      <c r="AS252" s="41">
        <v>23650159</v>
      </c>
      <c r="AT252" s="41">
        <v>24388974</v>
      </c>
      <c r="AU252" s="41">
        <v>25167261</v>
      </c>
      <c r="AV252" s="41">
        <v>25980547</v>
      </c>
      <c r="AW252" s="41">
        <v>26821300</v>
      </c>
      <c r="AX252" s="41">
        <v>27684590</v>
      </c>
      <c r="AY252" s="41">
        <v>28571475</v>
      </c>
      <c r="AZ252" s="41">
        <v>29486335</v>
      </c>
      <c r="BA252" s="41">
        <v>30431734</v>
      </c>
      <c r="BB252" s="41">
        <v>31411096</v>
      </c>
      <c r="BC252" s="41">
        <v>32428164</v>
      </c>
      <c r="BD252" s="41">
        <v>33476772</v>
      </c>
      <c r="BE252" s="41">
        <v>34558700</v>
      </c>
      <c r="BF252" s="41">
        <v>35694519</v>
      </c>
      <c r="BG252" s="41">
        <v>36911530</v>
      </c>
      <c r="BH252" s="41">
        <v>38225447</v>
      </c>
      <c r="BI252" s="41">
        <v>39649173</v>
      </c>
      <c r="BJ252" s="41">
        <v>41166588</v>
      </c>
      <c r="BK252" s="41">
        <v>42729032</v>
      </c>
      <c r="BL252" s="41">
        <v>44269587</v>
      </c>
      <c r="BM252" s="41">
        <v>45741000</v>
      </c>
    </row>
    <row r="253" spans="1:65" x14ac:dyDescent="0.35">
      <c r="A253" s="41" t="s">
        <v>595</v>
      </c>
      <c r="B253" s="41" t="s">
        <v>596</v>
      </c>
      <c r="C253" s="41" t="s">
        <v>666</v>
      </c>
      <c r="D253" s="41" t="s">
        <v>667</v>
      </c>
      <c r="E253" s="41">
        <v>42664646</v>
      </c>
      <c r="F253" s="41">
        <v>43206353</v>
      </c>
      <c r="G253" s="41">
        <v>43752227</v>
      </c>
      <c r="H253" s="41">
        <v>44288607</v>
      </c>
      <c r="I253" s="41">
        <v>44796959</v>
      </c>
      <c r="J253" s="41">
        <v>45264552</v>
      </c>
      <c r="K253" s="41">
        <v>45684983</v>
      </c>
      <c r="L253" s="41">
        <v>46063219</v>
      </c>
      <c r="M253" s="41">
        <v>46411816</v>
      </c>
      <c r="N253" s="41">
        <v>46749289</v>
      </c>
      <c r="O253" s="41">
        <v>47088862</v>
      </c>
      <c r="P253" s="41">
        <v>47435008</v>
      </c>
      <c r="Q253" s="41">
        <v>47783006</v>
      </c>
      <c r="R253" s="41">
        <v>48125829</v>
      </c>
      <c r="S253" s="41">
        <v>48452623</v>
      </c>
      <c r="T253" s="41">
        <v>48755662</v>
      </c>
      <c r="U253" s="41">
        <v>49032729</v>
      </c>
      <c r="V253" s="41">
        <v>49287118</v>
      </c>
      <c r="W253" s="41">
        <v>49523304</v>
      </c>
      <c r="X253" s="41">
        <v>49747998</v>
      </c>
      <c r="Y253" s="41">
        <v>49965872</v>
      </c>
      <c r="Z253" s="41">
        <v>50221000</v>
      </c>
      <c r="AA253" s="41">
        <v>50384000</v>
      </c>
      <c r="AB253" s="41">
        <v>50564000</v>
      </c>
      <c r="AC253" s="41">
        <v>50754000</v>
      </c>
      <c r="AD253" s="41">
        <v>50917000</v>
      </c>
      <c r="AE253" s="41">
        <v>51097000</v>
      </c>
      <c r="AF253" s="41">
        <v>51293000</v>
      </c>
      <c r="AG253" s="41">
        <v>51521000</v>
      </c>
      <c r="AH253" s="41">
        <v>51773000</v>
      </c>
      <c r="AI253" s="41">
        <v>51891400</v>
      </c>
      <c r="AJ253" s="41">
        <v>52000500</v>
      </c>
      <c r="AK253" s="41">
        <v>52150400</v>
      </c>
      <c r="AL253" s="41">
        <v>52179200</v>
      </c>
      <c r="AM253" s="41">
        <v>51921400</v>
      </c>
      <c r="AN253" s="41">
        <v>51512800</v>
      </c>
      <c r="AO253" s="41">
        <v>51057800</v>
      </c>
      <c r="AP253" s="41">
        <v>50594600</v>
      </c>
      <c r="AQ253" s="41">
        <v>50144500</v>
      </c>
      <c r="AR253" s="41">
        <v>49674000</v>
      </c>
      <c r="AS253" s="41">
        <v>49176500</v>
      </c>
      <c r="AT253" s="41">
        <v>48662400</v>
      </c>
      <c r="AU253" s="41">
        <v>48202470</v>
      </c>
      <c r="AV253" s="41">
        <v>47812949</v>
      </c>
      <c r="AW253" s="41">
        <v>47451626</v>
      </c>
      <c r="AX253" s="41">
        <v>47105171</v>
      </c>
      <c r="AY253" s="41">
        <v>46787786</v>
      </c>
      <c r="AZ253" s="41">
        <v>46509355</v>
      </c>
      <c r="BA253" s="41">
        <v>46258189</v>
      </c>
      <c r="BB253" s="41">
        <v>46053331</v>
      </c>
      <c r="BC253" s="41">
        <v>45870741</v>
      </c>
      <c r="BD253" s="41">
        <v>45706086</v>
      </c>
      <c r="BE253" s="41">
        <v>45593342</v>
      </c>
      <c r="BF253" s="41">
        <v>45489648</v>
      </c>
      <c r="BG253" s="41">
        <v>45272155</v>
      </c>
      <c r="BH253" s="41">
        <v>45154036</v>
      </c>
      <c r="BI253" s="41">
        <v>45004673</v>
      </c>
      <c r="BJ253" s="41">
        <v>44831135</v>
      </c>
      <c r="BK253" s="41">
        <v>44622518</v>
      </c>
      <c r="BL253" s="41">
        <v>44386203</v>
      </c>
      <c r="BM253" s="41">
        <v>44134693</v>
      </c>
    </row>
    <row r="254" spans="1:65" x14ac:dyDescent="0.35">
      <c r="A254" s="41" t="s">
        <v>597</v>
      </c>
      <c r="B254" s="41" t="s">
        <v>598</v>
      </c>
      <c r="C254" s="41" t="s">
        <v>666</v>
      </c>
      <c r="D254" s="41" t="s">
        <v>667</v>
      </c>
      <c r="E254" s="41">
        <v>1136464260</v>
      </c>
      <c r="F254" s="41">
        <v>1140113724</v>
      </c>
      <c r="G254" s="41">
        <v>1156186962</v>
      </c>
      <c r="H254" s="41">
        <v>1183604156</v>
      </c>
      <c r="I254" s="41">
        <v>1210649304</v>
      </c>
      <c r="J254" s="41">
        <v>1238612642</v>
      </c>
      <c r="K254" s="41">
        <v>1269459169</v>
      </c>
      <c r="L254" s="41">
        <v>1299468908</v>
      </c>
      <c r="M254" s="41">
        <v>1330348999</v>
      </c>
      <c r="N254" s="41">
        <v>1362854382</v>
      </c>
      <c r="O254" s="41">
        <v>1396278485</v>
      </c>
      <c r="P254" s="41">
        <v>1430319852</v>
      </c>
      <c r="Q254" s="41">
        <v>1462600916</v>
      </c>
      <c r="R254" s="41">
        <v>1493945323</v>
      </c>
      <c r="S254" s="41">
        <v>1523888167</v>
      </c>
      <c r="T254" s="41">
        <v>1551563310</v>
      </c>
      <c r="U254" s="41">
        <v>1577700939</v>
      </c>
      <c r="V254" s="41">
        <v>1602325098</v>
      </c>
      <c r="W254" s="41">
        <v>1626942179</v>
      </c>
      <c r="X254" s="41">
        <v>1651804638</v>
      </c>
      <c r="Y254" s="41">
        <v>1676276374</v>
      </c>
      <c r="Z254" s="41">
        <v>1701367506</v>
      </c>
      <c r="AA254" s="41">
        <v>1728647847</v>
      </c>
      <c r="AB254" s="41">
        <v>1755902412</v>
      </c>
      <c r="AC254" s="41">
        <v>1782261503</v>
      </c>
      <c r="AD254" s="41">
        <v>1809328983</v>
      </c>
      <c r="AE254" s="41">
        <v>1837853676</v>
      </c>
      <c r="AF254" s="41">
        <v>1867834479</v>
      </c>
      <c r="AG254" s="41">
        <v>1897982987</v>
      </c>
      <c r="AH254" s="41">
        <v>1927151797</v>
      </c>
      <c r="AI254" s="41">
        <v>1954941707</v>
      </c>
      <c r="AJ254" s="41">
        <v>1981740967</v>
      </c>
      <c r="AK254" s="41">
        <v>2006684527</v>
      </c>
      <c r="AL254" s="41">
        <v>2030763714</v>
      </c>
      <c r="AM254" s="41">
        <v>2054445439</v>
      </c>
      <c r="AN254" s="41">
        <v>2077356482</v>
      </c>
      <c r="AO254" s="41">
        <v>2099939308</v>
      </c>
      <c r="AP254" s="41">
        <v>2122286538</v>
      </c>
      <c r="AQ254" s="41">
        <v>2143782967</v>
      </c>
      <c r="AR254" s="41">
        <v>2163950269</v>
      </c>
      <c r="AS254" s="41">
        <v>2183135807</v>
      </c>
      <c r="AT254" s="41">
        <v>2201118779</v>
      </c>
      <c r="AU254" s="41">
        <v>2218183948</v>
      </c>
      <c r="AV254" s="41">
        <v>2234927005</v>
      </c>
      <c r="AW254" s="41">
        <v>2251348403</v>
      </c>
      <c r="AX254" s="41">
        <v>2267638257</v>
      </c>
      <c r="AY254" s="41">
        <v>2283522019</v>
      </c>
      <c r="AZ254" s="41">
        <v>2298891545</v>
      </c>
      <c r="BA254" s="41">
        <v>2314543121</v>
      </c>
      <c r="BB254" s="41">
        <v>2330554141</v>
      </c>
      <c r="BC254" s="41">
        <v>2346583878</v>
      </c>
      <c r="BD254" s="41">
        <v>2363223603</v>
      </c>
      <c r="BE254" s="41">
        <v>2380514071</v>
      </c>
      <c r="BF254" s="41">
        <v>2398238099</v>
      </c>
      <c r="BG254" s="41">
        <v>2416209716</v>
      </c>
      <c r="BH254" s="41">
        <v>2434023245</v>
      </c>
      <c r="BI254" s="41">
        <v>2452128845</v>
      </c>
      <c r="BJ254" s="41">
        <v>2470251443</v>
      </c>
      <c r="BK254" s="41">
        <v>2486467779</v>
      </c>
      <c r="BL254" s="41">
        <v>2500746096</v>
      </c>
      <c r="BM254" s="41">
        <v>2513672792</v>
      </c>
    </row>
    <row r="255" spans="1:65" x14ac:dyDescent="0.35">
      <c r="A255" s="41" t="s">
        <v>599</v>
      </c>
      <c r="B255" s="41" t="s">
        <v>600</v>
      </c>
      <c r="C255" s="41" t="s">
        <v>666</v>
      </c>
      <c r="D255" s="41" t="s">
        <v>667</v>
      </c>
      <c r="E255" s="41">
        <v>2538648</v>
      </c>
      <c r="F255" s="41">
        <v>2571682</v>
      </c>
      <c r="G255" s="41">
        <v>2603883</v>
      </c>
      <c r="H255" s="41">
        <v>2635125</v>
      </c>
      <c r="I255" s="41">
        <v>2665383</v>
      </c>
      <c r="J255" s="41">
        <v>2694537</v>
      </c>
      <c r="K255" s="41">
        <v>2722871</v>
      </c>
      <c r="L255" s="41">
        <v>2750091</v>
      </c>
      <c r="M255" s="41">
        <v>2774761</v>
      </c>
      <c r="N255" s="41">
        <v>2795037</v>
      </c>
      <c r="O255" s="41">
        <v>2809799</v>
      </c>
      <c r="P255" s="41">
        <v>2818283</v>
      </c>
      <c r="Q255" s="41">
        <v>2821458</v>
      </c>
      <c r="R255" s="41">
        <v>2822112</v>
      </c>
      <c r="S255" s="41">
        <v>2824095</v>
      </c>
      <c r="T255" s="41">
        <v>2830172</v>
      </c>
      <c r="U255" s="41">
        <v>2841371</v>
      </c>
      <c r="V255" s="41">
        <v>2856958</v>
      </c>
      <c r="W255" s="41">
        <v>2875724</v>
      </c>
      <c r="X255" s="41">
        <v>2895683</v>
      </c>
      <c r="Y255" s="41">
        <v>2915389</v>
      </c>
      <c r="Z255" s="41">
        <v>2934624</v>
      </c>
      <c r="AA255" s="41">
        <v>2953852</v>
      </c>
      <c r="AB255" s="41">
        <v>2973048</v>
      </c>
      <c r="AC255" s="41">
        <v>2992250</v>
      </c>
      <c r="AD255" s="41">
        <v>3011519</v>
      </c>
      <c r="AE255" s="41">
        <v>3030651</v>
      </c>
      <c r="AF255" s="41">
        <v>3049581</v>
      </c>
      <c r="AG255" s="41">
        <v>3068714</v>
      </c>
      <c r="AH255" s="41">
        <v>3088603</v>
      </c>
      <c r="AI255" s="41">
        <v>3109598</v>
      </c>
      <c r="AJ255" s="41">
        <v>3131657</v>
      </c>
      <c r="AK255" s="41">
        <v>3154459</v>
      </c>
      <c r="AL255" s="41">
        <v>3177734</v>
      </c>
      <c r="AM255" s="41">
        <v>3201149</v>
      </c>
      <c r="AN255" s="41">
        <v>3224275</v>
      </c>
      <c r="AO255" s="41">
        <v>3247383</v>
      </c>
      <c r="AP255" s="41">
        <v>3270158</v>
      </c>
      <c r="AQ255" s="41">
        <v>3291053</v>
      </c>
      <c r="AR255" s="41">
        <v>3308005</v>
      </c>
      <c r="AS255" s="41">
        <v>3319734</v>
      </c>
      <c r="AT255" s="41">
        <v>3325471</v>
      </c>
      <c r="AU255" s="41">
        <v>3326046</v>
      </c>
      <c r="AV255" s="41">
        <v>3323661</v>
      </c>
      <c r="AW255" s="41">
        <v>3321486</v>
      </c>
      <c r="AX255" s="41">
        <v>3321799</v>
      </c>
      <c r="AY255" s="41">
        <v>3325403</v>
      </c>
      <c r="AZ255" s="41">
        <v>3331753</v>
      </c>
      <c r="BA255" s="41">
        <v>3340221</v>
      </c>
      <c r="BB255" s="41">
        <v>3349676</v>
      </c>
      <c r="BC255" s="41">
        <v>3359273</v>
      </c>
      <c r="BD255" s="41">
        <v>3368926</v>
      </c>
      <c r="BE255" s="41">
        <v>3378975</v>
      </c>
      <c r="BF255" s="41">
        <v>3389436</v>
      </c>
      <c r="BG255" s="41">
        <v>3400439</v>
      </c>
      <c r="BH255" s="41">
        <v>3412013</v>
      </c>
      <c r="BI255" s="41">
        <v>3424139</v>
      </c>
      <c r="BJ255" s="41">
        <v>3436645</v>
      </c>
      <c r="BK255" s="41">
        <v>3449290</v>
      </c>
      <c r="BL255" s="41">
        <v>3461731</v>
      </c>
      <c r="BM255" s="41">
        <v>3473727</v>
      </c>
    </row>
    <row r="256" spans="1:65" x14ac:dyDescent="0.35">
      <c r="A256" s="41" t="s">
        <v>601</v>
      </c>
      <c r="B256" s="41" t="s">
        <v>602</v>
      </c>
      <c r="C256" s="41" t="s">
        <v>666</v>
      </c>
      <c r="D256" s="41" t="s">
        <v>667</v>
      </c>
      <c r="E256" s="41">
        <v>180671000</v>
      </c>
      <c r="F256" s="41">
        <v>183691000</v>
      </c>
      <c r="G256" s="41">
        <v>186538000</v>
      </c>
      <c r="H256" s="41">
        <v>189242000</v>
      </c>
      <c r="I256" s="41">
        <v>191889000</v>
      </c>
      <c r="J256" s="41">
        <v>194303000</v>
      </c>
      <c r="K256" s="41">
        <v>196560000</v>
      </c>
      <c r="L256" s="41">
        <v>198712000</v>
      </c>
      <c r="M256" s="41">
        <v>200706000</v>
      </c>
      <c r="N256" s="41">
        <v>202677000</v>
      </c>
      <c r="O256" s="41">
        <v>205052000</v>
      </c>
      <c r="P256" s="41">
        <v>207661000</v>
      </c>
      <c r="Q256" s="41">
        <v>209896000</v>
      </c>
      <c r="R256" s="41">
        <v>211909000</v>
      </c>
      <c r="S256" s="41">
        <v>213854000</v>
      </c>
      <c r="T256" s="41">
        <v>215973000</v>
      </c>
      <c r="U256" s="41">
        <v>218035000</v>
      </c>
      <c r="V256" s="41">
        <v>220239000</v>
      </c>
      <c r="W256" s="41">
        <v>222585000</v>
      </c>
      <c r="X256" s="41">
        <v>225055000</v>
      </c>
      <c r="Y256" s="41">
        <v>227225000</v>
      </c>
      <c r="Z256" s="41">
        <v>229466000</v>
      </c>
      <c r="AA256" s="41">
        <v>231664000</v>
      </c>
      <c r="AB256" s="41">
        <v>233792000</v>
      </c>
      <c r="AC256" s="41">
        <v>235825000</v>
      </c>
      <c r="AD256" s="41">
        <v>237924000</v>
      </c>
      <c r="AE256" s="41">
        <v>240133000</v>
      </c>
      <c r="AF256" s="41">
        <v>242289000</v>
      </c>
      <c r="AG256" s="41">
        <v>244499000</v>
      </c>
      <c r="AH256" s="41">
        <v>246819000</v>
      </c>
      <c r="AI256" s="41">
        <v>249623000</v>
      </c>
      <c r="AJ256" s="41">
        <v>252981000</v>
      </c>
      <c r="AK256" s="41">
        <v>256514000</v>
      </c>
      <c r="AL256" s="41">
        <v>259919000</v>
      </c>
      <c r="AM256" s="41">
        <v>263126000</v>
      </c>
      <c r="AN256" s="41">
        <v>266278000</v>
      </c>
      <c r="AO256" s="41">
        <v>269394000</v>
      </c>
      <c r="AP256" s="41">
        <v>272657000</v>
      </c>
      <c r="AQ256" s="41">
        <v>275854000</v>
      </c>
      <c r="AR256" s="41">
        <v>279040000</v>
      </c>
      <c r="AS256" s="41">
        <v>282162411</v>
      </c>
      <c r="AT256" s="41">
        <v>284968955</v>
      </c>
      <c r="AU256" s="41">
        <v>287625193</v>
      </c>
      <c r="AV256" s="41">
        <v>290107933</v>
      </c>
      <c r="AW256" s="41">
        <v>292805298</v>
      </c>
      <c r="AX256" s="41">
        <v>295516599</v>
      </c>
      <c r="AY256" s="41">
        <v>298379912</v>
      </c>
      <c r="AZ256" s="41">
        <v>301231207</v>
      </c>
      <c r="BA256" s="41">
        <v>304093966</v>
      </c>
      <c r="BB256" s="41">
        <v>306771529</v>
      </c>
      <c r="BC256" s="41">
        <v>309327143</v>
      </c>
      <c r="BD256" s="41">
        <v>311583481</v>
      </c>
      <c r="BE256" s="41">
        <v>313877662</v>
      </c>
      <c r="BF256" s="41">
        <v>316059947</v>
      </c>
      <c r="BG256" s="41">
        <v>318386329</v>
      </c>
      <c r="BH256" s="41">
        <v>320738994</v>
      </c>
      <c r="BI256" s="41">
        <v>323071755</v>
      </c>
      <c r="BJ256" s="41">
        <v>325122128</v>
      </c>
      <c r="BK256" s="41">
        <v>326838199</v>
      </c>
      <c r="BL256" s="41">
        <v>328329953</v>
      </c>
      <c r="BM256" s="41">
        <v>329484123</v>
      </c>
    </row>
    <row r="257" spans="1:65" x14ac:dyDescent="0.35">
      <c r="A257" s="41" t="s">
        <v>603</v>
      </c>
      <c r="B257" s="41" t="s">
        <v>604</v>
      </c>
      <c r="C257" s="41" t="s">
        <v>666</v>
      </c>
      <c r="D257" s="41" t="s">
        <v>667</v>
      </c>
      <c r="E257" s="41">
        <v>8526299</v>
      </c>
      <c r="F257" s="41">
        <v>8813619</v>
      </c>
      <c r="G257" s="41">
        <v>9113629</v>
      </c>
      <c r="H257" s="41">
        <v>9428906</v>
      </c>
      <c r="I257" s="41">
        <v>9762819</v>
      </c>
      <c r="J257" s="41">
        <v>10116870</v>
      </c>
      <c r="K257" s="41">
        <v>10493441</v>
      </c>
      <c r="L257" s="41">
        <v>10889499</v>
      </c>
      <c r="M257" s="41">
        <v>11294666</v>
      </c>
      <c r="N257" s="41">
        <v>11694843</v>
      </c>
      <c r="O257" s="41">
        <v>12080311</v>
      </c>
      <c r="P257" s="41">
        <v>12446444</v>
      </c>
      <c r="Q257" s="41">
        <v>12796982</v>
      </c>
      <c r="R257" s="41">
        <v>13140797</v>
      </c>
      <c r="S257" s="41">
        <v>13491114</v>
      </c>
      <c r="T257" s="41">
        <v>13857469</v>
      </c>
      <c r="U257" s="41">
        <v>14242766</v>
      </c>
      <c r="V257" s="41">
        <v>14643881</v>
      </c>
      <c r="W257" s="41">
        <v>15057226</v>
      </c>
      <c r="X257" s="41">
        <v>15476928</v>
      </c>
      <c r="Y257" s="41">
        <v>15898760</v>
      </c>
      <c r="Z257" s="41">
        <v>16321692</v>
      </c>
      <c r="AA257" s="41">
        <v>16747428</v>
      </c>
      <c r="AB257" s="41">
        <v>17177663</v>
      </c>
      <c r="AC257" s="41">
        <v>17615037</v>
      </c>
      <c r="AD257" s="41">
        <v>18061283</v>
      </c>
      <c r="AE257" s="41">
        <v>18515579</v>
      </c>
      <c r="AF257" s="41">
        <v>18976411</v>
      </c>
      <c r="AG257" s="41">
        <v>19443890</v>
      </c>
      <c r="AH257" s="41">
        <v>19918119</v>
      </c>
      <c r="AI257" s="41">
        <v>20510000</v>
      </c>
      <c r="AJ257" s="41">
        <v>20952000</v>
      </c>
      <c r="AK257" s="41">
        <v>21449000</v>
      </c>
      <c r="AL257" s="41">
        <v>21942000</v>
      </c>
      <c r="AM257" s="41">
        <v>22377000</v>
      </c>
      <c r="AN257" s="41">
        <v>22785000</v>
      </c>
      <c r="AO257" s="41">
        <v>23225000</v>
      </c>
      <c r="AP257" s="41">
        <v>23667000</v>
      </c>
      <c r="AQ257" s="41">
        <v>24051000</v>
      </c>
      <c r="AR257" s="41">
        <v>24311650</v>
      </c>
      <c r="AS257" s="41">
        <v>24650400</v>
      </c>
      <c r="AT257" s="41">
        <v>24964450</v>
      </c>
      <c r="AU257" s="41">
        <v>25271850</v>
      </c>
      <c r="AV257" s="41">
        <v>25567650</v>
      </c>
      <c r="AW257" s="41">
        <v>25864350</v>
      </c>
      <c r="AX257" s="41">
        <v>26167000</v>
      </c>
      <c r="AY257" s="41">
        <v>26488250</v>
      </c>
      <c r="AZ257" s="41">
        <v>26868000</v>
      </c>
      <c r="BA257" s="41">
        <v>27302800</v>
      </c>
      <c r="BB257" s="41">
        <v>27767400</v>
      </c>
      <c r="BC257" s="41">
        <v>28562400</v>
      </c>
      <c r="BD257" s="41">
        <v>29339400</v>
      </c>
      <c r="BE257" s="41">
        <v>29774500</v>
      </c>
      <c r="BF257" s="41">
        <v>30243200</v>
      </c>
      <c r="BG257" s="41">
        <v>30757700</v>
      </c>
      <c r="BH257" s="41">
        <v>31298900</v>
      </c>
      <c r="BI257" s="41">
        <v>31847900</v>
      </c>
      <c r="BJ257" s="41">
        <v>32388600</v>
      </c>
      <c r="BK257" s="41">
        <v>32956100</v>
      </c>
      <c r="BL257" s="41">
        <v>33580350</v>
      </c>
      <c r="BM257" s="41">
        <v>34232050</v>
      </c>
    </row>
    <row r="258" spans="1:65" x14ac:dyDescent="0.35">
      <c r="A258" s="41" t="s">
        <v>605</v>
      </c>
      <c r="B258" s="41" t="s">
        <v>606</v>
      </c>
      <c r="C258" s="41" t="s">
        <v>666</v>
      </c>
      <c r="D258" s="41" t="s">
        <v>667</v>
      </c>
      <c r="E258" s="41">
        <v>80970</v>
      </c>
      <c r="F258" s="41">
        <v>82168</v>
      </c>
      <c r="G258" s="41">
        <v>83239</v>
      </c>
      <c r="H258" s="41">
        <v>84200</v>
      </c>
      <c r="I258" s="41">
        <v>85117</v>
      </c>
      <c r="J258" s="41">
        <v>86009</v>
      </c>
      <c r="K258" s="41">
        <v>86907</v>
      </c>
      <c r="L258" s="41">
        <v>87779</v>
      </c>
      <c r="M258" s="41">
        <v>88663</v>
      </c>
      <c r="N258" s="41">
        <v>89565</v>
      </c>
      <c r="O258" s="41">
        <v>90501</v>
      </c>
      <c r="P258" s="41">
        <v>91490</v>
      </c>
      <c r="Q258" s="41">
        <v>92511</v>
      </c>
      <c r="R258" s="41">
        <v>93559</v>
      </c>
      <c r="S258" s="41">
        <v>94618</v>
      </c>
      <c r="T258" s="41">
        <v>95665</v>
      </c>
      <c r="U258" s="41">
        <v>96694</v>
      </c>
      <c r="V258" s="41">
        <v>97708</v>
      </c>
      <c r="W258" s="41">
        <v>98688</v>
      </c>
      <c r="X258" s="41">
        <v>99649</v>
      </c>
      <c r="Y258" s="41">
        <v>100566</v>
      </c>
      <c r="Z258" s="41">
        <v>101439</v>
      </c>
      <c r="AA258" s="41">
        <v>102255</v>
      </c>
      <c r="AB258" s="41">
        <v>103035</v>
      </c>
      <c r="AC258" s="41">
        <v>103776</v>
      </c>
      <c r="AD258" s="41">
        <v>104503</v>
      </c>
      <c r="AE258" s="41">
        <v>105217</v>
      </c>
      <c r="AF258" s="41">
        <v>105905</v>
      </c>
      <c r="AG258" s="41">
        <v>106533</v>
      </c>
      <c r="AH258" s="41">
        <v>107071</v>
      </c>
      <c r="AI258" s="41">
        <v>107489</v>
      </c>
      <c r="AJ258" s="41">
        <v>107772</v>
      </c>
      <c r="AK258" s="41">
        <v>107941</v>
      </c>
      <c r="AL258" s="41">
        <v>108036</v>
      </c>
      <c r="AM258" s="41">
        <v>108059</v>
      </c>
      <c r="AN258" s="41">
        <v>108043</v>
      </c>
      <c r="AO258" s="41">
        <v>107983</v>
      </c>
      <c r="AP258" s="41">
        <v>107895</v>
      </c>
      <c r="AQ258" s="41">
        <v>107807</v>
      </c>
      <c r="AR258" s="41">
        <v>107763</v>
      </c>
      <c r="AS258" s="41">
        <v>107787</v>
      </c>
      <c r="AT258" s="41">
        <v>107893</v>
      </c>
      <c r="AU258" s="41">
        <v>108095</v>
      </c>
      <c r="AV258" s="41">
        <v>108322</v>
      </c>
      <c r="AW258" s="41">
        <v>108520</v>
      </c>
      <c r="AX258" s="41">
        <v>108617</v>
      </c>
      <c r="AY258" s="41">
        <v>108602</v>
      </c>
      <c r="AZ258" s="41">
        <v>108516</v>
      </c>
      <c r="BA258" s="41">
        <v>108401</v>
      </c>
      <c r="BB258" s="41">
        <v>108293</v>
      </c>
      <c r="BC258" s="41">
        <v>108260</v>
      </c>
      <c r="BD258" s="41">
        <v>108315</v>
      </c>
      <c r="BE258" s="41">
        <v>108435</v>
      </c>
      <c r="BF258" s="41">
        <v>108624</v>
      </c>
      <c r="BG258" s="41">
        <v>108868</v>
      </c>
      <c r="BH258" s="41">
        <v>109135</v>
      </c>
      <c r="BI258" s="41">
        <v>109467</v>
      </c>
      <c r="BJ258" s="41">
        <v>109826</v>
      </c>
      <c r="BK258" s="41">
        <v>110210</v>
      </c>
      <c r="BL258" s="41">
        <v>110593</v>
      </c>
      <c r="BM258" s="41">
        <v>110947</v>
      </c>
    </row>
    <row r="259" spans="1:65" x14ac:dyDescent="0.35">
      <c r="A259" s="41" t="s">
        <v>607</v>
      </c>
      <c r="B259" s="41" t="s">
        <v>608</v>
      </c>
      <c r="C259" s="41" t="s">
        <v>666</v>
      </c>
      <c r="D259" s="41" t="s">
        <v>667</v>
      </c>
      <c r="E259" s="41">
        <v>8141839</v>
      </c>
      <c r="F259" s="41">
        <v>8439261</v>
      </c>
      <c r="G259" s="41">
        <v>8742780</v>
      </c>
      <c r="H259" s="41">
        <v>9052632</v>
      </c>
      <c r="I259" s="41">
        <v>9369101</v>
      </c>
      <c r="J259" s="41">
        <v>9692281</v>
      </c>
      <c r="K259" s="41">
        <v>10022592</v>
      </c>
      <c r="L259" s="41">
        <v>10359741</v>
      </c>
      <c r="M259" s="41">
        <v>10702281</v>
      </c>
      <c r="N259" s="41">
        <v>11048256</v>
      </c>
      <c r="O259" s="41">
        <v>11396396</v>
      </c>
      <c r="P259" s="41">
        <v>11745952</v>
      </c>
      <c r="Q259" s="41">
        <v>12097696</v>
      </c>
      <c r="R259" s="41">
        <v>12453709</v>
      </c>
      <c r="S259" s="41">
        <v>12816954</v>
      </c>
      <c r="T259" s="41">
        <v>13189511</v>
      </c>
      <c r="U259" s="41">
        <v>13572210</v>
      </c>
      <c r="V259" s="41">
        <v>13964377</v>
      </c>
      <c r="W259" s="41">
        <v>14364726</v>
      </c>
      <c r="X259" s="41">
        <v>14771270</v>
      </c>
      <c r="Y259" s="41">
        <v>15182616</v>
      </c>
      <c r="Z259" s="41">
        <v>15597878</v>
      </c>
      <c r="AA259" s="41">
        <v>16017570</v>
      </c>
      <c r="AB259" s="41">
        <v>16443128</v>
      </c>
      <c r="AC259" s="41">
        <v>16876703</v>
      </c>
      <c r="AD259" s="41">
        <v>17319513</v>
      </c>
      <c r="AE259" s="41">
        <v>17772000</v>
      </c>
      <c r="AF259" s="41">
        <v>18232733</v>
      </c>
      <c r="AG259" s="41">
        <v>18698850</v>
      </c>
      <c r="AH259" s="41">
        <v>19166474</v>
      </c>
      <c r="AI259" s="41">
        <v>19632665</v>
      </c>
      <c r="AJ259" s="41">
        <v>20096314</v>
      </c>
      <c r="AK259" s="41">
        <v>20557694</v>
      </c>
      <c r="AL259" s="41">
        <v>21016900</v>
      </c>
      <c r="AM259" s="41">
        <v>21474553</v>
      </c>
      <c r="AN259" s="41">
        <v>21931087</v>
      </c>
      <c r="AO259" s="41">
        <v>22385650</v>
      </c>
      <c r="AP259" s="41">
        <v>22837743</v>
      </c>
      <c r="AQ259" s="41">
        <v>23288567</v>
      </c>
      <c r="AR259" s="41">
        <v>23739835</v>
      </c>
      <c r="AS259" s="41">
        <v>24192449</v>
      </c>
      <c r="AT259" s="41">
        <v>24646471</v>
      </c>
      <c r="AU259" s="41">
        <v>25100407</v>
      </c>
      <c r="AV259" s="41">
        <v>25551624</v>
      </c>
      <c r="AW259" s="41">
        <v>25996594</v>
      </c>
      <c r="AX259" s="41">
        <v>26432445</v>
      </c>
      <c r="AY259" s="41">
        <v>26850190</v>
      </c>
      <c r="AZ259" s="41">
        <v>27247601</v>
      </c>
      <c r="BA259" s="41">
        <v>27635827</v>
      </c>
      <c r="BB259" s="41">
        <v>28031010</v>
      </c>
      <c r="BC259" s="41">
        <v>28439942</v>
      </c>
      <c r="BD259" s="41">
        <v>28887873</v>
      </c>
      <c r="BE259" s="41">
        <v>29360827</v>
      </c>
      <c r="BF259" s="41">
        <v>29781046</v>
      </c>
      <c r="BG259" s="41">
        <v>30042973</v>
      </c>
      <c r="BH259" s="41">
        <v>30081827</v>
      </c>
      <c r="BI259" s="41">
        <v>29851249</v>
      </c>
      <c r="BJ259" s="41">
        <v>29402480</v>
      </c>
      <c r="BK259" s="41">
        <v>28887117</v>
      </c>
      <c r="BL259" s="41">
        <v>28515829</v>
      </c>
      <c r="BM259" s="41">
        <v>28435943</v>
      </c>
    </row>
    <row r="260" spans="1:65" x14ac:dyDescent="0.35">
      <c r="A260" s="41" t="s">
        <v>609</v>
      </c>
      <c r="B260" s="41" t="s">
        <v>610</v>
      </c>
      <c r="C260" s="41" t="s">
        <v>666</v>
      </c>
      <c r="D260" s="41" t="s">
        <v>667</v>
      </c>
      <c r="E260" s="41">
        <v>8053</v>
      </c>
      <c r="F260" s="41">
        <v>8164</v>
      </c>
      <c r="G260" s="41">
        <v>8319</v>
      </c>
      <c r="H260" s="41">
        <v>8469</v>
      </c>
      <c r="I260" s="41">
        <v>8644</v>
      </c>
      <c r="J260" s="41">
        <v>8836</v>
      </c>
      <c r="K260" s="41">
        <v>9022</v>
      </c>
      <c r="L260" s="41">
        <v>9213</v>
      </c>
      <c r="M260" s="41">
        <v>9427</v>
      </c>
      <c r="N260" s="41">
        <v>9621</v>
      </c>
      <c r="O260" s="41">
        <v>9830</v>
      </c>
      <c r="P260" s="41">
        <v>10012</v>
      </c>
      <c r="Q260" s="41">
        <v>10210</v>
      </c>
      <c r="R260" s="41">
        <v>10391</v>
      </c>
      <c r="S260" s="41">
        <v>10551</v>
      </c>
      <c r="T260" s="41">
        <v>10697</v>
      </c>
      <c r="U260" s="41">
        <v>10821</v>
      </c>
      <c r="V260" s="41">
        <v>10923</v>
      </c>
      <c r="W260" s="41">
        <v>11041</v>
      </c>
      <c r="X260" s="41">
        <v>11226</v>
      </c>
      <c r="Y260" s="41">
        <v>11471</v>
      </c>
      <c r="Z260" s="41">
        <v>11821</v>
      </c>
      <c r="AA260" s="41">
        <v>12250</v>
      </c>
      <c r="AB260" s="41">
        <v>12755</v>
      </c>
      <c r="AC260" s="41">
        <v>13317</v>
      </c>
      <c r="AD260" s="41">
        <v>13951</v>
      </c>
      <c r="AE260" s="41">
        <v>14646</v>
      </c>
      <c r="AF260" s="41">
        <v>15390</v>
      </c>
      <c r="AG260" s="41">
        <v>16155</v>
      </c>
      <c r="AH260" s="41">
        <v>16867</v>
      </c>
      <c r="AI260" s="41">
        <v>17489</v>
      </c>
      <c r="AJ260" s="41">
        <v>18007</v>
      </c>
      <c r="AK260" s="41">
        <v>18443</v>
      </c>
      <c r="AL260" s="41">
        <v>18783</v>
      </c>
      <c r="AM260" s="41">
        <v>19068</v>
      </c>
      <c r="AN260" s="41">
        <v>19307</v>
      </c>
      <c r="AO260" s="41">
        <v>19508</v>
      </c>
      <c r="AP260" s="41">
        <v>19660</v>
      </c>
      <c r="AQ260" s="41">
        <v>19820</v>
      </c>
      <c r="AR260" s="41">
        <v>20026</v>
      </c>
      <c r="AS260" s="41">
        <v>20313</v>
      </c>
      <c r="AT260" s="41">
        <v>20675</v>
      </c>
      <c r="AU260" s="41">
        <v>21128</v>
      </c>
      <c r="AV260" s="41">
        <v>21674</v>
      </c>
      <c r="AW260" s="41">
        <v>22329</v>
      </c>
      <c r="AX260" s="41">
        <v>23106</v>
      </c>
      <c r="AY260" s="41">
        <v>24022</v>
      </c>
      <c r="AZ260" s="41">
        <v>25050</v>
      </c>
      <c r="BA260" s="41">
        <v>26096</v>
      </c>
      <c r="BB260" s="41">
        <v>27035</v>
      </c>
      <c r="BC260" s="41">
        <v>27796</v>
      </c>
      <c r="BD260" s="41">
        <v>28326</v>
      </c>
      <c r="BE260" s="41">
        <v>28654</v>
      </c>
      <c r="BF260" s="41">
        <v>28850</v>
      </c>
      <c r="BG260" s="41">
        <v>28985</v>
      </c>
      <c r="BH260" s="41">
        <v>29148</v>
      </c>
      <c r="BI260" s="41">
        <v>29355</v>
      </c>
      <c r="BJ260" s="41">
        <v>29567</v>
      </c>
      <c r="BK260" s="41">
        <v>29795</v>
      </c>
      <c r="BL260" s="41">
        <v>30033</v>
      </c>
      <c r="BM260" s="41">
        <v>30237</v>
      </c>
    </row>
    <row r="261" spans="1:65" x14ac:dyDescent="0.35">
      <c r="A261" s="41" t="s">
        <v>611</v>
      </c>
      <c r="B261" s="41" t="s">
        <v>612</v>
      </c>
      <c r="C261" s="41" t="s">
        <v>666</v>
      </c>
      <c r="D261" s="41" t="s">
        <v>667</v>
      </c>
      <c r="E261" s="41">
        <v>32500</v>
      </c>
      <c r="F261" s="41">
        <v>34300</v>
      </c>
      <c r="G261" s="41">
        <v>35000</v>
      </c>
      <c r="H261" s="41">
        <v>39800</v>
      </c>
      <c r="I261" s="41">
        <v>40800</v>
      </c>
      <c r="J261" s="41">
        <v>43500</v>
      </c>
      <c r="K261" s="41">
        <v>46200</v>
      </c>
      <c r="L261" s="41">
        <v>49100</v>
      </c>
      <c r="M261" s="41">
        <v>55700</v>
      </c>
      <c r="N261" s="41">
        <v>60300</v>
      </c>
      <c r="O261" s="41">
        <v>63476</v>
      </c>
      <c r="P261" s="41">
        <v>70937</v>
      </c>
      <c r="Q261" s="41">
        <v>76319</v>
      </c>
      <c r="R261" s="41">
        <v>84121</v>
      </c>
      <c r="S261" s="41">
        <v>89941</v>
      </c>
      <c r="T261" s="41">
        <v>94484</v>
      </c>
      <c r="U261" s="41">
        <v>96166</v>
      </c>
      <c r="V261" s="41">
        <v>93203</v>
      </c>
      <c r="W261" s="41">
        <v>95929</v>
      </c>
      <c r="X261" s="41">
        <v>96183</v>
      </c>
      <c r="Y261" s="41">
        <v>99636</v>
      </c>
      <c r="Z261" s="41">
        <v>99853</v>
      </c>
      <c r="AA261" s="41">
        <v>100068</v>
      </c>
      <c r="AB261" s="41">
        <v>100348</v>
      </c>
      <c r="AC261" s="41">
        <v>100600</v>
      </c>
      <c r="AD261" s="41">
        <v>100760</v>
      </c>
      <c r="AE261" s="41">
        <v>100842</v>
      </c>
      <c r="AF261" s="41">
        <v>100901</v>
      </c>
      <c r="AG261" s="41">
        <v>100952</v>
      </c>
      <c r="AH261" s="41">
        <v>101041</v>
      </c>
      <c r="AI261" s="41">
        <v>103963</v>
      </c>
      <c r="AJ261" s="41">
        <v>104807</v>
      </c>
      <c r="AK261" s="41">
        <v>105712</v>
      </c>
      <c r="AL261" s="41">
        <v>106578</v>
      </c>
      <c r="AM261" s="41">
        <v>107318</v>
      </c>
      <c r="AN261" s="41">
        <v>107818</v>
      </c>
      <c r="AO261" s="41">
        <v>108095</v>
      </c>
      <c r="AP261" s="41">
        <v>108357</v>
      </c>
      <c r="AQ261" s="41">
        <v>108537</v>
      </c>
      <c r="AR261" s="41">
        <v>108599</v>
      </c>
      <c r="AS261" s="41">
        <v>108642</v>
      </c>
      <c r="AT261" s="41">
        <v>108549</v>
      </c>
      <c r="AU261" s="41">
        <v>108509</v>
      </c>
      <c r="AV261" s="41">
        <v>108505</v>
      </c>
      <c r="AW261" s="41">
        <v>108466</v>
      </c>
      <c r="AX261" s="41">
        <v>108453</v>
      </c>
      <c r="AY261" s="41">
        <v>108369</v>
      </c>
      <c r="AZ261" s="41">
        <v>108337</v>
      </c>
      <c r="BA261" s="41">
        <v>108397</v>
      </c>
      <c r="BB261" s="41">
        <v>108404</v>
      </c>
      <c r="BC261" s="41">
        <v>108357</v>
      </c>
      <c r="BD261" s="41">
        <v>108290</v>
      </c>
      <c r="BE261" s="41">
        <v>108188</v>
      </c>
      <c r="BF261" s="41">
        <v>108041</v>
      </c>
      <c r="BG261" s="41">
        <v>107882</v>
      </c>
      <c r="BH261" s="41">
        <v>107712</v>
      </c>
      <c r="BI261" s="41">
        <v>107516</v>
      </c>
      <c r="BJ261" s="41">
        <v>107281</v>
      </c>
      <c r="BK261" s="41">
        <v>107001</v>
      </c>
      <c r="BL261" s="41">
        <v>106669</v>
      </c>
      <c r="BM261" s="41">
        <v>106290</v>
      </c>
    </row>
    <row r="262" spans="1:65" x14ac:dyDescent="0.35">
      <c r="A262" s="41" t="s">
        <v>613</v>
      </c>
      <c r="B262" s="41" t="s">
        <v>614</v>
      </c>
      <c r="C262" s="41" t="s">
        <v>666</v>
      </c>
      <c r="D262" s="41" t="s">
        <v>667</v>
      </c>
      <c r="E262" s="41">
        <v>32670048</v>
      </c>
      <c r="F262" s="41">
        <v>33666111</v>
      </c>
      <c r="G262" s="41">
        <v>34683410</v>
      </c>
      <c r="H262" s="41">
        <v>35721213</v>
      </c>
      <c r="I262" s="41">
        <v>36780001</v>
      </c>
      <c r="J262" s="41">
        <v>37858947</v>
      </c>
      <c r="K262" s="41">
        <v>38958046</v>
      </c>
      <c r="L262" s="41">
        <v>40072951</v>
      </c>
      <c r="M262" s="41">
        <v>41193588</v>
      </c>
      <c r="N262" s="41">
        <v>42307149</v>
      </c>
      <c r="O262" s="41">
        <v>43404802</v>
      </c>
      <c r="P262" s="41">
        <v>44484032</v>
      </c>
      <c r="Q262" s="41">
        <v>45548476</v>
      </c>
      <c r="R262" s="41">
        <v>46603522</v>
      </c>
      <c r="S262" s="41">
        <v>47657554</v>
      </c>
      <c r="T262" s="41">
        <v>48718190</v>
      </c>
      <c r="U262" s="41">
        <v>49785278</v>
      </c>
      <c r="V262" s="41">
        <v>50861166</v>
      </c>
      <c r="W262" s="41">
        <v>51959021</v>
      </c>
      <c r="X262" s="41">
        <v>53095406</v>
      </c>
      <c r="Y262" s="41">
        <v>54281841</v>
      </c>
      <c r="Z262" s="41">
        <v>55522804</v>
      </c>
      <c r="AA262" s="41">
        <v>56814309</v>
      </c>
      <c r="AB262" s="41">
        <v>58148384</v>
      </c>
      <c r="AC262" s="41">
        <v>59512619</v>
      </c>
      <c r="AD262" s="41">
        <v>60896732</v>
      </c>
      <c r="AE262" s="41">
        <v>62293859</v>
      </c>
      <c r="AF262" s="41">
        <v>63701974</v>
      </c>
      <c r="AG262" s="41">
        <v>65120432</v>
      </c>
      <c r="AH262" s="41">
        <v>66550231</v>
      </c>
      <c r="AI262" s="41">
        <v>67988855</v>
      </c>
      <c r="AJ262" s="41">
        <v>69436956</v>
      </c>
      <c r="AK262" s="41">
        <v>70883488</v>
      </c>
      <c r="AL262" s="41">
        <v>72300308</v>
      </c>
      <c r="AM262" s="41">
        <v>73651220</v>
      </c>
      <c r="AN262" s="41">
        <v>74910462</v>
      </c>
      <c r="AO262" s="41">
        <v>76068739</v>
      </c>
      <c r="AP262" s="41">
        <v>77133212</v>
      </c>
      <c r="AQ262" s="41">
        <v>78115712</v>
      </c>
      <c r="AR262" s="41">
        <v>79035871</v>
      </c>
      <c r="AS262" s="41">
        <v>79910411</v>
      </c>
      <c r="AT262" s="41">
        <v>80742500</v>
      </c>
      <c r="AU262" s="41">
        <v>81534406</v>
      </c>
      <c r="AV262" s="41">
        <v>82301650</v>
      </c>
      <c r="AW262" s="41">
        <v>83062819</v>
      </c>
      <c r="AX262" s="41">
        <v>83832662</v>
      </c>
      <c r="AY262" s="41">
        <v>84617545</v>
      </c>
      <c r="AZ262" s="41">
        <v>85419588</v>
      </c>
      <c r="BA262" s="41">
        <v>86243424</v>
      </c>
      <c r="BB262" s="41">
        <v>87092250</v>
      </c>
      <c r="BC262" s="41">
        <v>87967655</v>
      </c>
      <c r="BD262" s="41">
        <v>88871384</v>
      </c>
      <c r="BE262" s="41">
        <v>89801926</v>
      </c>
      <c r="BF262" s="41">
        <v>90752593</v>
      </c>
      <c r="BG262" s="41">
        <v>91713850</v>
      </c>
      <c r="BH262" s="41">
        <v>92677082</v>
      </c>
      <c r="BI262" s="41">
        <v>93640435</v>
      </c>
      <c r="BJ262" s="41">
        <v>94600643</v>
      </c>
      <c r="BK262" s="41">
        <v>95545959</v>
      </c>
      <c r="BL262" s="41">
        <v>96462108</v>
      </c>
      <c r="BM262" s="41">
        <v>97338583</v>
      </c>
    </row>
    <row r="263" spans="1:65" x14ac:dyDescent="0.35">
      <c r="A263" s="41" t="s">
        <v>615</v>
      </c>
      <c r="B263" s="41" t="s">
        <v>616</v>
      </c>
      <c r="C263" s="41" t="s">
        <v>666</v>
      </c>
      <c r="D263" s="41" t="s">
        <v>667</v>
      </c>
      <c r="E263" s="41">
        <v>63689</v>
      </c>
      <c r="F263" s="41">
        <v>65700</v>
      </c>
      <c r="G263" s="41">
        <v>67793</v>
      </c>
      <c r="H263" s="41">
        <v>69944</v>
      </c>
      <c r="I263" s="41">
        <v>72116</v>
      </c>
      <c r="J263" s="41">
        <v>74268</v>
      </c>
      <c r="K263" s="41">
        <v>76392</v>
      </c>
      <c r="L263" s="41">
        <v>78505</v>
      </c>
      <c r="M263" s="41">
        <v>80653</v>
      </c>
      <c r="N263" s="41">
        <v>82920</v>
      </c>
      <c r="O263" s="41">
        <v>85374</v>
      </c>
      <c r="P263" s="41">
        <v>88012</v>
      </c>
      <c r="Q263" s="41">
        <v>90802</v>
      </c>
      <c r="R263" s="41">
        <v>93749</v>
      </c>
      <c r="S263" s="41">
        <v>96773</v>
      </c>
      <c r="T263" s="41">
        <v>99863</v>
      </c>
      <c r="U263" s="41">
        <v>103002</v>
      </c>
      <c r="V263" s="41">
        <v>106206</v>
      </c>
      <c r="W263" s="41">
        <v>109397</v>
      </c>
      <c r="X263" s="41">
        <v>112543</v>
      </c>
      <c r="Y263" s="41">
        <v>115598</v>
      </c>
      <c r="Z263" s="41">
        <v>118546</v>
      </c>
      <c r="AA263" s="41">
        <v>121398</v>
      </c>
      <c r="AB263" s="41">
        <v>124213</v>
      </c>
      <c r="AC263" s="41">
        <v>127058</v>
      </c>
      <c r="AD263" s="41">
        <v>129989</v>
      </c>
      <c r="AE263" s="41">
        <v>132988</v>
      </c>
      <c r="AF263" s="41">
        <v>136075</v>
      </c>
      <c r="AG263" s="41">
        <v>139319</v>
      </c>
      <c r="AH263" s="41">
        <v>142801</v>
      </c>
      <c r="AI263" s="41">
        <v>146575</v>
      </c>
      <c r="AJ263" s="41">
        <v>150718</v>
      </c>
      <c r="AK263" s="41">
        <v>155176</v>
      </c>
      <c r="AL263" s="41">
        <v>159743</v>
      </c>
      <c r="AM263" s="41">
        <v>164128</v>
      </c>
      <c r="AN263" s="41">
        <v>168161</v>
      </c>
      <c r="AO263" s="41">
        <v>171721</v>
      </c>
      <c r="AP263" s="41">
        <v>174917</v>
      </c>
      <c r="AQ263" s="41">
        <v>177987</v>
      </c>
      <c r="AR263" s="41">
        <v>181259</v>
      </c>
      <c r="AS263" s="41">
        <v>184964</v>
      </c>
      <c r="AT263" s="41">
        <v>189209</v>
      </c>
      <c r="AU263" s="41">
        <v>193927</v>
      </c>
      <c r="AV263" s="41">
        <v>198960</v>
      </c>
      <c r="AW263" s="41">
        <v>204123</v>
      </c>
      <c r="AX263" s="41">
        <v>209282</v>
      </c>
      <c r="AY263" s="41">
        <v>214379</v>
      </c>
      <c r="AZ263" s="41">
        <v>219464</v>
      </c>
      <c r="BA263" s="41">
        <v>224700</v>
      </c>
      <c r="BB263" s="41">
        <v>230244</v>
      </c>
      <c r="BC263" s="41">
        <v>236216</v>
      </c>
      <c r="BD263" s="41">
        <v>242658</v>
      </c>
      <c r="BE263" s="41">
        <v>249505</v>
      </c>
      <c r="BF263" s="41">
        <v>256637</v>
      </c>
      <c r="BG263" s="41">
        <v>263888</v>
      </c>
      <c r="BH263" s="41">
        <v>271128</v>
      </c>
      <c r="BI263" s="41">
        <v>278326</v>
      </c>
      <c r="BJ263" s="41">
        <v>285499</v>
      </c>
      <c r="BK263" s="41">
        <v>292675</v>
      </c>
      <c r="BL263" s="41">
        <v>299882</v>
      </c>
      <c r="BM263" s="41">
        <v>307150</v>
      </c>
    </row>
    <row r="264" spans="1:65" x14ac:dyDescent="0.35">
      <c r="A264" s="41" t="s">
        <v>617</v>
      </c>
      <c r="B264" s="41" t="s">
        <v>618</v>
      </c>
      <c r="C264" s="41" t="s">
        <v>666</v>
      </c>
      <c r="D264" s="41" t="s">
        <v>667</v>
      </c>
      <c r="E264" s="41">
        <v>3032156070</v>
      </c>
      <c r="F264" s="41">
        <v>3071596055</v>
      </c>
      <c r="G264" s="41">
        <v>3124561005</v>
      </c>
      <c r="H264" s="41">
        <v>3189655687</v>
      </c>
      <c r="I264" s="41">
        <v>3255145692</v>
      </c>
      <c r="J264" s="41">
        <v>3322046795</v>
      </c>
      <c r="K264" s="41">
        <v>3392097729</v>
      </c>
      <c r="L264" s="41">
        <v>3461619724</v>
      </c>
      <c r="M264" s="41">
        <v>3532782993</v>
      </c>
      <c r="N264" s="41">
        <v>3606553753</v>
      </c>
      <c r="O264" s="41">
        <v>3681975908</v>
      </c>
      <c r="P264" s="41">
        <v>3760516757</v>
      </c>
      <c r="Q264" s="41">
        <v>3836900801</v>
      </c>
      <c r="R264" s="41">
        <v>3912984371</v>
      </c>
      <c r="S264" s="41">
        <v>3988487336</v>
      </c>
      <c r="T264" s="41">
        <v>4062507027</v>
      </c>
      <c r="U264" s="41">
        <v>4135432265</v>
      </c>
      <c r="V264" s="41">
        <v>4207786422</v>
      </c>
      <c r="W264" s="41">
        <v>4281339378</v>
      </c>
      <c r="X264" s="41">
        <v>4356778367</v>
      </c>
      <c r="Y264" s="41">
        <v>4432963653</v>
      </c>
      <c r="Z264" s="41">
        <v>4511164132</v>
      </c>
      <c r="AA264" s="41">
        <v>4592387213</v>
      </c>
      <c r="AB264" s="41">
        <v>4674330282</v>
      </c>
      <c r="AC264" s="41">
        <v>4755996689</v>
      </c>
      <c r="AD264" s="41">
        <v>4839176734</v>
      </c>
      <c r="AE264" s="41">
        <v>4924747934</v>
      </c>
      <c r="AF264" s="41">
        <v>5012556248</v>
      </c>
      <c r="AG264" s="41">
        <v>5101287675</v>
      </c>
      <c r="AH264" s="41">
        <v>5189977062</v>
      </c>
      <c r="AI264" s="41">
        <v>5280046096</v>
      </c>
      <c r="AJ264" s="41">
        <v>5368139468</v>
      </c>
      <c r="AK264" s="41">
        <v>5452576447</v>
      </c>
      <c r="AL264" s="41">
        <v>5537885552</v>
      </c>
      <c r="AM264" s="41">
        <v>5622085788</v>
      </c>
      <c r="AN264" s="41">
        <v>5706753900</v>
      </c>
      <c r="AO264" s="41">
        <v>5789655609</v>
      </c>
      <c r="AP264" s="41">
        <v>5872286683</v>
      </c>
      <c r="AQ264" s="41">
        <v>5954005906</v>
      </c>
      <c r="AR264" s="41">
        <v>6034491620</v>
      </c>
      <c r="AS264" s="41">
        <v>6114332517</v>
      </c>
      <c r="AT264" s="41">
        <v>6193671694</v>
      </c>
      <c r="AU264" s="41">
        <v>6272753009</v>
      </c>
      <c r="AV264" s="41">
        <v>6351882385</v>
      </c>
      <c r="AW264" s="41">
        <v>6431551721</v>
      </c>
      <c r="AX264" s="41">
        <v>6511748273</v>
      </c>
      <c r="AY264" s="41">
        <v>6592734559</v>
      </c>
      <c r="AZ264" s="41">
        <v>6674203697</v>
      </c>
      <c r="BA264" s="41">
        <v>6757020825</v>
      </c>
      <c r="BB264" s="41">
        <v>6839574233</v>
      </c>
      <c r="BC264" s="41">
        <v>6921877071</v>
      </c>
      <c r="BD264" s="41">
        <v>7002880914</v>
      </c>
      <c r="BE264" s="41">
        <v>7085790438</v>
      </c>
      <c r="BF264" s="41">
        <v>7169675197</v>
      </c>
      <c r="BG264" s="41">
        <v>7254292848</v>
      </c>
      <c r="BH264" s="41">
        <v>7339076654</v>
      </c>
      <c r="BI264" s="41">
        <v>7424484741</v>
      </c>
      <c r="BJ264" s="41">
        <v>7509410228</v>
      </c>
      <c r="BK264" s="41">
        <v>7592475615</v>
      </c>
      <c r="BL264" s="41">
        <v>7673345391</v>
      </c>
      <c r="BM264" s="41">
        <v>7752840547</v>
      </c>
    </row>
    <row r="265" spans="1:65" x14ac:dyDescent="0.35">
      <c r="A265" s="41" t="s">
        <v>619</v>
      </c>
      <c r="B265" s="41" t="s">
        <v>620</v>
      </c>
      <c r="C265" s="41" t="s">
        <v>666</v>
      </c>
      <c r="D265" s="41" t="s">
        <v>667</v>
      </c>
      <c r="E265" s="41">
        <v>108627</v>
      </c>
      <c r="F265" s="41">
        <v>112112</v>
      </c>
      <c r="G265" s="41">
        <v>115768</v>
      </c>
      <c r="H265" s="41">
        <v>119552</v>
      </c>
      <c r="I265" s="41">
        <v>123346</v>
      </c>
      <c r="J265" s="41">
        <v>127055</v>
      </c>
      <c r="K265" s="41">
        <v>130672</v>
      </c>
      <c r="L265" s="41">
        <v>134181</v>
      </c>
      <c r="M265" s="41">
        <v>137484</v>
      </c>
      <c r="N265" s="41">
        <v>140495</v>
      </c>
      <c r="O265" s="41">
        <v>143146</v>
      </c>
      <c r="P265" s="41">
        <v>145407</v>
      </c>
      <c r="Q265" s="41">
        <v>147295</v>
      </c>
      <c r="R265" s="41">
        <v>148858</v>
      </c>
      <c r="S265" s="41">
        <v>150191</v>
      </c>
      <c r="T265" s="41">
        <v>151353</v>
      </c>
      <c r="U265" s="41">
        <v>152362</v>
      </c>
      <c r="V265" s="41">
        <v>153218</v>
      </c>
      <c r="W265" s="41">
        <v>153986</v>
      </c>
      <c r="X265" s="41">
        <v>154740</v>
      </c>
      <c r="Y265" s="41">
        <v>155522</v>
      </c>
      <c r="Z265" s="41">
        <v>156410</v>
      </c>
      <c r="AA265" s="41">
        <v>157365</v>
      </c>
      <c r="AB265" s="41">
        <v>158345</v>
      </c>
      <c r="AC265" s="41">
        <v>159243</v>
      </c>
      <c r="AD265" s="41">
        <v>159995</v>
      </c>
      <c r="AE265" s="41">
        <v>160552</v>
      </c>
      <c r="AF265" s="41">
        <v>160962</v>
      </c>
      <c r="AG265" s="41">
        <v>161369</v>
      </c>
      <c r="AH265" s="41">
        <v>161935</v>
      </c>
      <c r="AI265" s="41">
        <v>162797</v>
      </c>
      <c r="AJ265" s="41">
        <v>164000</v>
      </c>
      <c r="AK265" s="41">
        <v>165490</v>
      </c>
      <c r="AL265" s="41">
        <v>167117</v>
      </c>
      <c r="AM265" s="41">
        <v>168689</v>
      </c>
      <c r="AN265" s="41">
        <v>170050</v>
      </c>
      <c r="AO265" s="41">
        <v>171165</v>
      </c>
      <c r="AP265" s="41">
        <v>172065</v>
      </c>
      <c r="AQ265" s="41">
        <v>172839</v>
      </c>
      <c r="AR265" s="41">
        <v>173606</v>
      </c>
      <c r="AS265" s="41">
        <v>174454</v>
      </c>
      <c r="AT265" s="41">
        <v>175394</v>
      </c>
      <c r="AU265" s="41">
        <v>176410</v>
      </c>
      <c r="AV265" s="41">
        <v>177481</v>
      </c>
      <c r="AW265" s="41">
        <v>178597</v>
      </c>
      <c r="AX265" s="41">
        <v>179722</v>
      </c>
      <c r="AY265" s="41">
        <v>180874</v>
      </c>
      <c r="AZ265" s="41">
        <v>182045</v>
      </c>
      <c r="BA265" s="41">
        <v>183270</v>
      </c>
      <c r="BB265" s="41">
        <v>184553</v>
      </c>
      <c r="BC265" s="41">
        <v>185944</v>
      </c>
      <c r="BD265" s="41">
        <v>187469</v>
      </c>
      <c r="BE265" s="41">
        <v>189089</v>
      </c>
      <c r="BF265" s="41">
        <v>190712</v>
      </c>
      <c r="BG265" s="41">
        <v>192220</v>
      </c>
      <c r="BH265" s="41">
        <v>193510</v>
      </c>
      <c r="BI265" s="41">
        <v>194540</v>
      </c>
      <c r="BJ265" s="41">
        <v>195358</v>
      </c>
      <c r="BK265" s="41">
        <v>196128</v>
      </c>
      <c r="BL265" s="41">
        <v>197093</v>
      </c>
      <c r="BM265" s="41">
        <v>198410</v>
      </c>
    </row>
    <row r="266" spans="1:65" x14ac:dyDescent="0.35">
      <c r="A266" s="41" t="s">
        <v>621</v>
      </c>
      <c r="B266" s="41" t="s">
        <v>622</v>
      </c>
      <c r="C266" s="41" t="s">
        <v>666</v>
      </c>
      <c r="D266" s="41" t="s">
        <v>667</v>
      </c>
      <c r="E266" s="41">
        <v>947000</v>
      </c>
      <c r="F266" s="41">
        <v>966000</v>
      </c>
      <c r="G266" s="41">
        <v>994000</v>
      </c>
      <c r="H266" s="41">
        <v>1022000</v>
      </c>
      <c r="I266" s="41">
        <v>1050000</v>
      </c>
      <c r="J266" s="41">
        <v>1078000</v>
      </c>
      <c r="K266" s="41">
        <v>1106000</v>
      </c>
      <c r="L266" s="41">
        <v>1135000</v>
      </c>
      <c r="M266" s="41">
        <v>1163000</v>
      </c>
      <c r="N266" s="41">
        <v>1191000</v>
      </c>
      <c r="O266" s="41">
        <v>1219000</v>
      </c>
      <c r="P266" s="41">
        <v>1247000</v>
      </c>
      <c r="Q266" s="41">
        <v>1278000</v>
      </c>
      <c r="R266" s="41">
        <v>1308000</v>
      </c>
      <c r="S266" s="41">
        <v>1339000</v>
      </c>
      <c r="T266" s="41">
        <v>1369000</v>
      </c>
      <c r="U266" s="41">
        <v>1400000</v>
      </c>
      <c r="V266" s="41">
        <v>1430000</v>
      </c>
      <c r="W266" s="41">
        <v>1460000</v>
      </c>
      <c r="X266" s="41">
        <v>1491000</v>
      </c>
      <c r="Y266" s="41">
        <v>1521000</v>
      </c>
      <c r="Z266" s="41">
        <v>1552000</v>
      </c>
      <c r="AA266" s="41">
        <v>1582000</v>
      </c>
      <c r="AB266" s="41">
        <v>1614000</v>
      </c>
      <c r="AC266" s="41">
        <v>1647000</v>
      </c>
      <c r="AD266" s="41">
        <v>1682000</v>
      </c>
      <c r="AE266" s="41">
        <v>1717000</v>
      </c>
      <c r="AF266" s="41">
        <v>1753000</v>
      </c>
      <c r="AG266" s="41">
        <v>1791000</v>
      </c>
      <c r="AH266" s="41">
        <v>1827000</v>
      </c>
      <c r="AI266" s="41">
        <v>1862000</v>
      </c>
      <c r="AJ266" s="41">
        <v>1898000</v>
      </c>
      <c r="AK266" s="41">
        <v>1932000</v>
      </c>
      <c r="AL266" s="41">
        <v>1965000</v>
      </c>
      <c r="AM266" s="41">
        <v>1997000</v>
      </c>
      <c r="AN266" s="41">
        <v>2029000</v>
      </c>
      <c r="AO266" s="41">
        <v>2059000</v>
      </c>
      <c r="AP266" s="41">
        <v>2086000</v>
      </c>
      <c r="AQ266" s="41">
        <v>1966000</v>
      </c>
      <c r="AR266" s="41">
        <v>1762000</v>
      </c>
      <c r="AS266" s="41">
        <v>1700000</v>
      </c>
      <c r="AT266" s="41">
        <v>1701154</v>
      </c>
      <c r="AU266" s="41">
        <v>1702310</v>
      </c>
      <c r="AV266" s="41">
        <v>1703466</v>
      </c>
      <c r="AW266" s="41">
        <v>1704622</v>
      </c>
      <c r="AX266" s="41">
        <v>1705780</v>
      </c>
      <c r="AY266" s="41">
        <v>1719536</v>
      </c>
      <c r="AZ266" s="41">
        <v>1733404</v>
      </c>
      <c r="BA266" s="41">
        <v>1747383</v>
      </c>
      <c r="BB266" s="41">
        <v>1761474</v>
      </c>
      <c r="BC266" s="41">
        <v>1775680</v>
      </c>
      <c r="BD266" s="41">
        <v>1791000</v>
      </c>
      <c r="BE266" s="41">
        <v>1807106</v>
      </c>
      <c r="BF266" s="41">
        <v>1818117</v>
      </c>
      <c r="BG266" s="41">
        <v>1812771</v>
      </c>
      <c r="BH266" s="41">
        <v>1788196</v>
      </c>
      <c r="BI266" s="41">
        <v>1777557</v>
      </c>
      <c r="BJ266" s="41">
        <v>1791003</v>
      </c>
      <c r="BK266" s="41">
        <v>1797085</v>
      </c>
      <c r="BL266" s="41">
        <v>1788878</v>
      </c>
      <c r="BM266" s="41">
        <v>1775378</v>
      </c>
    </row>
    <row r="267" spans="1:65" x14ac:dyDescent="0.35">
      <c r="A267" s="41" t="s">
        <v>623</v>
      </c>
      <c r="B267" s="41" t="s">
        <v>624</v>
      </c>
      <c r="C267" s="41" t="s">
        <v>666</v>
      </c>
      <c r="D267" s="41" t="s">
        <v>667</v>
      </c>
      <c r="E267" s="41">
        <v>5315351</v>
      </c>
      <c r="F267" s="41">
        <v>5393034</v>
      </c>
      <c r="G267" s="41">
        <v>5473671</v>
      </c>
      <c r="H267" s="41">
        <v>5556767</v>
      </c>
      <c r="I267" s="41">
        <v>5641598</v>
      </c>
      <c r="J267" s="41">
        <v>5727745</v>
      </c>
      <c r="K267" s="41">
        <v>5816241</v>
      </c>
      <c r="L267" s="41">
        <v>5907873</v>
      </c>
      <c r="M267" s="41">
        <v>6001858</v>
      </c>
      <c r="N267" s="41">
        <v>6097042</v>
      </c>
      <c r="O267" s="41">
        <v>6193379</v>
      </c>
      <c r="P267" s="41">
        <v>6290367</v>
      </c>
      <c r="Q267" s="41">
        <v>6390573</v>
      </c>
      <c r="R267" s="41">
        <v>6500809</v>
      </c>
      <c r="S267" s="41">
        <v>6630003</v>
      </c>
      <c r="T267" s="41">
        <v>6784699</v>
      </c>
      <c r="U267" s="41">
        <v>6967944</v>
      </c>
      <c r="V267" s="41">
        <v>7178672</v>
      </c>
      <c r="W267" s="41">
        <v>7414167</v>
      </c>
      <c r="X267" s="41">
        <v>7669699</v>
      </c>
      <c r="Y267" s="41">
        <v>7941903</v>
      </c>
      <c r="Z267" s="41">
        <v>8231905</v>
      </c>
      <c r="AA267" s="41">
        <v>8541605</v>
      </c>
      <c r="AB267" s="41">
        <v>8869363</v>
      </c>
      <c r="AC267" s="41">
        <v>9213078</v>
      </c>
      <c r="AD267" s="41">
        <v>9572170</v>
      </c>
      <c r="AE267" s="41">
        <v>9941102</v>
      </c>
      <c r="AF267" s="41">
        <v>10322044</v>
      </c>
      <c r="AG267" s="41">
        <v>10730864</v>
      </c>
      <c r="AH267" s="41">
        <v>11189185</v>
      </c>
      <c r="AI267" s="41">
        <v>11709987</v>
      </c>
      <c r="AJ267" s="41">
        <v>12302127</v>
      </c>
      <c r="AK267" s="41">
        <v>12954157</v>
      </c>
      <c r="AL267" s="41">
        <v>13634082</v>
      </c>
      <c r="AM267" s="41">
        <v>14297617</v>
      </c>
      <c r="AN267" s="41">
        <v>14913313</v>
      </c>
      <c r="AO267" s="41">
        <v>15469274</v>
      </c>
      <c r="AP267" s="41">
        <v>15975676</v>
      </c>
      <c r="AQ267" s="41">
        <v>16450306</v>
      </c>
      <c r="AR267" s="41">
        <v>16921157</v>
      </c>
      <c r="AS267" s="41">
        <v>17409071</v>
      </c>
      <c r="AT267" s="41">
        <v>17918369</v>
      </c>
      <c r="AU267" s="41">
        <v>18443684</v>
      </c>
      <c r="AV267" s="41">
        <v>18985001</v>
      </c>
      <c r="AW267" s="41">
        <v>19540096</v>
      </c>
      <c r="AX267" s="41">
        <v>20107416</v>
      </c>
      <c r="AY267" s="41">
        <v>20687648</v>
      </c>
      <c r="AZ267" s="41">
        <v>21282514</v>
      </c>
      <c r="BA267" s="41">
        <v>21892149</v>
      </c>
      <c r="BB267" s="41">
        <v>22516464</v>
      </c>
      <c r="BC267" s="41">
        <v>23154854</v>
      </c>
      <c r="BD267" s="41">
        <v>23807586</v>
      </c>
      <c r="BE267" s="41">
        <v>24473176</v>
      </c>
      <c r="BF267" s="41">
        <v>25147112</v>
      </c>
      <c r="BG267" s="41">
        <v>25823488</v>
      </c>
      <c r="BH267" s="41">
        <v>26497881</v>
      </c>
      <c r="BI267" s="41">
        <v>27168210</v>
      </c>
      <c r="BJ267" s="41">
        <v>27834811</v>
      </c>
      <c r="BK267" s="41">
        <v>28498683</v>
      </c>
      <c r="BL267" s="41">
        <v>29161922</v>
      </c>
      <c r="BM267" s="41">
        <v>29825968</v>
      </c>
    </row>
    <row r="268" spans="1:65" x14ac:dyDescent="0.35">
      <c r="A268" s="41" t="s">
        <v>7</v>
      </c>
      <c r="B268" s="41" t="s">
        <v>625</v>
      </c>
      <c r="C268" s="41" t="s">
        <v>666</v>
      </c>
      <c r="D268" s="41" t="s">
        <v>667</v>
      </c>
      <c r="E268" s="41">
        <v>17099836</v>
      </c>
      <c r="F268" s="41">
        <v>17524533</v>
      </c>
      <c r="G268" s="41">
        <v>17965733</v>
      </c>
      <c r="H268" s="41">
        <v>18423157</v>
      </c>
      <c r="I268" s="41">
        <v>18896303</v>
      </c>
      <c r="J268" s="41">
        <v>19384838</v>
      </c>
      <c r="K268" s="41">
        <v>19888259</v>
      </c>
      <c r="L268" s="41">
        <v>20406863</v>
      </c>
      <c r="M268" s="41">
        <v>20942147</v>
      </c>
      <c r="N268" s="41">
        <v>21496075</v>
      </c>
      <c r="O268" s="41">
        <v>22069783</v>
      </c>
      <c r="P268" s="41">
        <v>22665265</v>
      </c>
      <c r="Q268" s="41">
        <v>23281517</v>
      </c>
      <c r="R268" s="41">
        <v>23913090</v>
      </c>
      <c r="S268" s="41">
        <v>24552540</v>
      </c>
      <c r="T268" s="41">
        <v>25195184</v>
      </c>
      <c r="U268" s="41">
        <v>25836890</v>
      </c>
      <c r="V268" s="41">
        <v>26480915</v>
      </c>
      <c r="W268" s="41">
        <v>27138966</v>
      </c>
      <c r="X268" s="41">
        <v>27827325</v>
      </c>
      <c r="Y268" s="41">
        <v>28556771</v>
      </c>
      <c r="Z268" s="41">
        <v>29333095</v>
      </c>
      <c r="AA268" s="41">
        <v>30150448</v>
      </c>
      <c r="AB268" s="41">
        <v>30993762</v>
      </c>
      <c r="AC268" s="41">
        <v>31841588</v>
      </c>
      <c r="AD268" s="41">
        <v>32678876</v>
      </c>
      <c r="AE268" s="41">
        <v>33495956</v>
      </c>
      <c r="AF268" s="41">
        <v>34297727</v>
      </c>
      <c r="AG268" s="41">
        <v>35100905</v>
      </c>
      <c r="AH268" s="41">
        <v>35930056</v>
      </c>
      <c r="AI268" s="41">
        <v>36800507</v>
      </c>
      <c r="AJ268" s="41">
        <v>37718952</v>
      </c>
      <c r="AK268" s="41">
        <v>38672611</v>
      </c>
      <c r="AL268" s="41">
        <v>39633754</v>
      </c>
      <c r="AM268" s="41">
        <v>40564061</v>
      </c>
      <c r="AN268" s="41">
        <v>41435761</v>
      </c>
      <c r="AO268" s="41">
        <v>42241007</v>
      </c>
      <c r="AP268" s="41">
        <v>42987456</v>
      </c>
      <c r="AQ268" s="41">
        <v>43682259</v>
      </c>
      <c r="AR268" s="41">
        <v>44338551</v>
      </c>
      <c r="AS268" s="41">
        <v>44967713</v>
      </c>
      <c r="AT268" s="41">
        <v>45571272</v>
      </c>
      <c r="AU268" s="41">
        <v>46150913</v>
      </c>
      <c r="AV268" s="41">
        <v>46719203</v>
      </c>
      <c r="AW268" s="41">
        <v>47291610</v>
      </c>
      <c r="AX268" s="41">
        <v>47880595</v>
      </c>
      <c r="AY268" s="41">
        <v>48489464</v>
      </c>
      <c r="AZ268" s="41">
        <v>49119766</v>
      </c>
      <c r="BA268" s="41">
        <v>49779472</v>
      </c>
      <c r="BB268" s="41">
        <v>50477013</v>
      </c>
      <c r="BC268" s="41">
        <v>51216967</v>
      </c>
      <c r="BD268" s="41">
        <v>52003759</v>
      </c>
      <c r="BE268" s="41">
        <v>52832659</v>
      </c>
      <c r="BF268" s="41">
        <v>53687125</v>
      </c>
      <c r="BG268" s="41">
        <v>54544184</v>
      </c>
      <c r="BH268" s="41">
        <v>55386369</v>
      </c>
      <c r="BI268" s="41">
        <v>56207649</v>
      </c>
      <c r="BJ268" s="41">
        <v>57009751</v>
      </c>
      <c r="BK268" s="41">
        <v>57792520</v>
      </c>
      <c r="BL268" s="41">
        <v>58558267</v>
      </c>
      <c r="BM268" s="41">
        <v>59308690</v>
      </c>
    </row>
    <row r="269" spans="1:65" x14ac:dyDescent="0.35">
      <c r="A269" s="41" t="s">
        <v>62</v>
      </c>
      <c r="B269" s="41" t="s">
        <v>626</v>
      </c>
      <c r="C269" s="41" t="s">
        <v>666</v>
      </c>
      <c r="D269" s="41" t="s">
        <v>667</v>
      </c>
      <c r="E269" s="41">
        <v>3070780</v>
      </c>
      <c r="F269" s="41">
        <v>3164330</v>
      </c>
      <c r="G269" s="41">
        <v>3260645</v>
      </c>
      <c r="H269" s="41">
        <v>3360099</v>
      </c>
      <c r="I269" s="41">
        <v>3463211</v>
      </c>
      <c r="J269" s="41">
        <v>3570466</v>
      </c>
      <c r="K269" s="41">
        <v>3681953</v>
      </c>
      <c r="L269" s="41">
        <v>3797877</v>
      </c>
      <c r="M269" s="41">
        <v>3918872</v>
      </c>
      <c r="N269" s="41">
        <v>4045740</v>
      </c>
      <c r="O269" s="41">
        <v>4179062</v>
      </c>
      <c r="P269" s="41">
        <v>4319226</v>
      </c>
      <c r="Q269" s="41">
        <v>4466170</v>
      </c>
      <c r="R269" s="41">
        <v>4619549</v>
      </c>
      <c r="S269" s="41">
        <v>4778716</v>
      </c>
      <c r="T269" s="41">
        <v>4943279</v>
      </c>
      <c r="U269" s="41">
        <v>5112823</v>
      </c>
      <c r="V269" s="41">
        <v>5287544</v>
      </c>
      <c r="W269" s="41">
        <v>5468259</v>
      </c>
      <c r="X269" s="41">
        <v>5656145</v>
      </c>
      <c r="Y269" s="41">
        <v>5851818</v>
      </c>
      <c r="Z269" s="41">
        <v>6055361</v>
      </c>
      <c r="AA269" s="41">
        <v>6265869</v>
      </c>
      <c r="AB269" s="41">
        <v>6481907</v>
      </c>
      <c r="AC269" s="41">
        <v>6701547</v>
      </c>
      <c r="AD269" s="41">
        <v>6923148</v>
      </c>
      <c r="AE269" s="41">
        <v>7146965</v>
      </c>
      <c r="AF269" s="41">
        <v>7372835</v>
      </c>
      <c r="AG269" s="41">
        <v>7598270</v>
      </c>
      <c r="AH269" s="41">
        <v>7820199</v>
      </c>
      <c r="AI269" s="41">
        <v>8036849</v>
      </c>
      <c r="AJ269" s="41">
        <v>8246662</v>
      </c>
      <c r="AK269" s="41">
        <v>8451346</v>
      </c>
      <c r="AL269" s="41">
        <v>8656484</v>
      </c>
      <c r="AM269" s="41">
        <v>8869745</v>
      </c>
      <c r="AN269" s="41">
        <v>9096608</v>
      </c>
      <c r="AO269" s="41">
        <v>9339740</v>
      </c>
      <c r="AP269" s="41">
        <v>9597610</v>
      </c>
      <c r="AQ269" s="41">
        <v>9866474</v>
      </c>
      <c r="AR269" s="41">
        <v>10140564</v>
      </c>
      <c r="AS269" s="41">
        <v>10415942</v>
      </c>
      <c r="AT269" s="41">
        <v>10692197</v>
      </c>
      <c r="AU269" s="41">
        <v>10971704</v>
      </c>
      <c r="AV269" s="41">
        <v>11256740</v>
      </c>
      <c r="AW269" s="41">
        <v>11550641</v>
      </c>
      <c r="AX269" s="41">
        <v>11856244</v>
      </c>
      <c r="AY269" s="41">
        <v>12173518</v>
      </c>
      <c r="AZ269" s="41">
        <v>12502958</v>
      </c>
      <c r="BA269" s="41">
        <v>12848531</v>
      </c>
      <c r="BB269" s="41">
        <v>13215142</v>
      </c>
      <c r="BC269" s="41">
        <v>13605986</v>
      </c>
      <c r="BD269" s="41">
        <v>14023199</v>
      </c>
      <c r="BE269" s="41">
        <v>14465148</v>
      </c>
      <c r="BF269" s="41">
        <v>14926551</v>
      </c>
      <c r="BG269" s="41">
        <v>15399793</v>
      </c>
      <c r="BH269" s="41">
        <v>15879370</v>
      </c>
      <c r="BI269" s="41">
        <v>16363449</v>
      </c>
      <c r="BJ269" s="41">
        <v>16853608</v>
      </c>
      <c r="BK269" s="41">
        <v>17351714</v>
      </c>
      <c r="BL269" s="41">
        <v>17861034</v>
      </c>
      <c r="BM269" s="41">
        <v>18383956</v>
      </c>
    </row>
    <row r="270" spans="1:65" x14ac:dyDescent="0.35">
      <c r="A270" s="41" t="s">
        <v>627</v>
      </c>
      <c r="B270" s="41" t="s">
        <v>628</v>
      </c>
      <c r="C270" s="41" t="s">
        <v>666</v>
      </c>
      <c r="D270" s="41" t="s">
        <v>667</v>
      </c>
      <c r="E270" s="41">
        <v>3776679</v>
      </c>
      <c r="F270" s="41">
        <v>3905038</v>
      </c>
      <c r="G270" s="41">
        <v>4039209</v>
      </c>
      <c r="H270" s="41">
        <v>4178726</v>
      </c>
      <c r="I270" s="41">
        <v>4322854</v>
      </c>
      <c r="J270" s="41">
        <v>4471178</v>
      </c>
      <c r="K270" s="41">
        <v>4623340</v>
      </c>
      <c r="L270" s="41">
        <v>4779825</v>
      </c>
      <c r="M270" s="41">
        <v>4941901</v>
      </c>
      <c r="N270" s="41">
        <v>5111326</v>
      </c>
      <c r="O270" s="41">
        <v>5289312</v>
      </c>
      <c r="P270" s="41">
        <v>5476978</v>
      </c>
      <c r="Q270" s="41">
        <v>5673914</v>
      </c>
      <c r="R270" s="41">
        <v>5877725</v>
      </c>
      <c r="S270" s="41">
        <v>6085078</v>
      </c>
      <c r="T270" s="41">
        <v>6293875</v>
      </c>
      <c r="U270" s="41">
        <v>6502566</v>
      </c>
      <c r="V270" s="41">
        <v>6712825</v>
      </c>
      <c r="W270" s="41">
        <v>6929663</v>
      </c>
      <c r="X270" s="41">
        <v>7160021</v>
      </c>
      <c r="Y270" s="41">
        <v>7408630</v>
      </c>
      <c r="Z270" s="41">
        <v>7675582</v>
      </c>
      <c r="AA270" s="41">
        <v>7958239</v>
      </c>
      <c r="AB270" s="41">
        <v>8254746</v>
      </c>
      <c r="AC270" s="41">
        <v>8562259</v>
      </c>
      <c r="AD270" s="41">
        <v>8877489</v>
      </c>
      <c r="AE270" s="41">
        <v>9200150</v>
      </c>
      <c r="AF270" s="41">
        <v>9527202</v>
      </c>
      <c r="AG270" s="41">
        <v>9849129</v>
      </c>
      <c r="AH270" s="41">
        <v>10153852</v>
      </c>
      <c r="AI270" s="41">
        <v>10432409</v>
      </c>
      <c r="AJ270" s="41">
        <v>10681008</v>
      </c>
      <c r="AK270" s="41">
        <v>10900511</v>
      </c>
      <c r="AL270" s="41">
        <v>11092775</v>
      </c>
      <c r="AM270" s="41">
        <v>11261752</v>
      </c>
      <c r="AN270" s="41">
        <v>11410721</v>
      </c>
      <c r="AO270" s="41">
        <v>11541215</v>
      </c>
      <c r="AP270" s="41">
        <v>11653254</v>
      </c>
      <c r="AQ270" s="41">
        <v>11747079</v>
      </c>
      <c r="AR270" s="41">
        <v>11822722</v>
      </c>
      <c r="AS270" s="41">
        <v>11881482</v>
      </c>
      <c r="AT270" s="41">
        <v>11923906</v>
      </c>
      <c r="AU270" s="41">
        <v>11954293</v>
      </c>
      <c r="AV270" s="41">
        <v>11982219</v>
      </c>
      <c r="AW270" s="41">
        <v>12019911</v>
      </c>
      <c r="AX270" s="41">
        <v>12076697</v>
      </c>
      <c r="AY270" s="41">
        <v>12155496</v>
      </c>
      <c r="AZ270" s="41">
        <v>12255920</v>
      </c>
      <c r="BA270" s="41">
        <v>12379553</v>
      </c>
      <c r="BB270" s="41">
        <v>12526964</v>
      </c>
      <c r="BC270" s="41">
        <v>12697728</v>
      </c>
      <c r="BD270" s="41">
        <v>12894323</v>
      </c>
      <c r="BE270" s="41">
        <v>13115149</v>
      </c>
      <c r="BF270" s="41">
        <v>13350378</v>
      </c>
      <c r="BG270" s="41">
        <v>13586710</v>
      </c>
      <c r="BH270" s="41">
        <v>13814642</v>
      </c>
      <c r="BI270" s="41">
        <v>14030338</v>
      </c>
      <c r="BJ270" s="41">
        <v>14236599</v>
      </c>
      <c r="BK270" s="41">
        <v>14438812</v>
      </c>
      <c r="BL270" s="41">
        <v>14645473</v>
      </c>
      <c r="BM270" s="41">
        <v>14862927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53C8-9844-3545-9D61-267186996972}">
  <dimension ref="A1:BM270"/>
  <sheetViews>
    <sheetView topLeftCell="AT1" workbookViewId="0">
      <selection activeCell="AW17" sqref="AW17"/>
    </sheetView>
  </sheetViews>
  <sheetFormatPr defaultColWidth="10.6640625" defaultRowHeight="14.5" x14ac:dyDescent="0.35"/>
  <cols>
    <col min="1" max="1" width="44" style="41" bestFit="1" customWidth="1"/>
    <col min="2" max="2" width="25.6640625" style="41" bestFit="1" customWidth="1"/>
    <col min="3" max="3" width="24.1640625" style="41" bestFit="1" customWidth="1"/>
    <col min="4" max="4" width="14.6640625" style="41" bestFit="1" customWidth="1"/>
    <col min="5" max="65" width="11.5" style="41" bestFit="1" customWidth="1"/>
    <col min="66" max="256" width="8.83203125" style="41" customWidth="1"/>
    <col min="257" max="257" width="44" style="41" bestFit="1" customWidth="1"/>
    <col min="258" max="258" width="25.6640625" style="41" bestFit="1" customWidth="1"/>
    <col min="259" max="259" width="24.1640625" style="41" bestFit="1" customWidth="1"/>
    <col min="260" max="260" width="14.6640625" style="41" bestFit="1" customWidth="1"/>
    <col min="261" max="321" width="11.5" style="41" bestFit="1" customWidth="1"/>
    <col min="322" max="512" width="8.83203125" style="41" customWidth="1"/>
    <col min="513" max="513" width="44" style="41" bestFit="1" customWidth="1"/>
    <col min="514" max="514" width="25.6640625" style="41" bestFit="1" customWidth="1"/>
    <col min="515" max="515" width="24.1640625" style="41" bestFit="1" customWidth="1"/>
    <col min="516" max="516" width="14.6640625" style="41" bestFit="1" customWidth="1"/>
    <col min="517" max="577" width="11.5" style="41" bestFit="1" customWidth="1"/>
    <col min="578" max="768" width="8.83203125" style="41" customWidth="1"/>
    <col min="769" max="769" width="44" style="41" bestFit="1" customWidth="1"/>
    <col min="770" max="770" width="25.6640625" style="41" bestFit="1" customWidth="1"/>
    <col min="771" max="771" width="24.1640625" style="41" bestFit="1" customWidth="1"/>
    <col min="772" max="772" width="14.6640625" style="41" bestFit="1" customWidth="1"/>
    <col min="773" max="833" width="11.5" style="41" bestFit="1" customWidth="1"/>
    <col min="834" max="1024" width="8.83203125" style="41" customWidth="1"/>
    <col min="1025" max="1025" width="44" style="41" bestFit="1" customWidth="1"/>
    <col min="1026" max="1026" width="25.6640625" style="41" bestFit="1" customWidth="1"/>
    <col min="1027" max="1027" width="24.1640625" style="41" bestFit="1" customWidth="1"/>
    <col min="1028" max="1028" width="14.6640625" style="41" bestFit="1" customWidth="1"/>
    <col min="1029" max="1089" width="11.5" style="41" bestFit="1" customWidth="1"/>
    <col min="1090" max="1280" width="8.83203125" style="41" customWidth="1"/>
    <col min="1281" max="1281" width="44" style="41" bestFit="1" customWidth="1"/>
    <col min="1282" max="1282" width="25.6640625" style="41" bestFit="1" customWidth="1"/>
    <col min="1283" max="1283" width="24.1640625" style="41" bestFit="1" customWidth="1"/>
    <col min="1284" max="1284" width="14.6640625" style="41" bestFit="1" customWidth="1"/>
    <col min="1285" max="1345" width="11.5" style="41" bestFit="1" customWidth="1"/>
    <col min="1346" max="1536" width="8.83203125" style="41" customWidth="1"/>
    <col min="1537" max="1537" width="44" style="41" bestFit="1" customWidth="1"/>
    <col min="1538" max="1538" width="25.6640625" style="41" bestFit="1" customWidth="1"/>
    <col min="1539" max="1539" width="24.1640625" style="41" bestFit="1" customWidth="1"/>
    <col min="1540" max="1540" width="14.6640625" style="41" bestFit="1" customWidth="1"/>
    <col min="1541" max="1601" width="11.5" style="41" bestFit="1" customWidth="1"/>
    <col min="1602" max="1792" width="8.83203125" style="41" customWidth="1"/>
    <col min="1793" max="1793" width="44" style="41" bestFit="1" customWidth="1"/>
    <col min="1794" max="1794" width="25.6640625" style="41" bestFit="1" customWidth="1"/>
    <col min="1795" max="1795" width="24.1640625" style="41" bestFit="1" customWidth="1"/>
    <col min="1796" max="1796" width="14.6640625" style="41" bestFit="1" customWidth="1"/>
    <col min="1797" max="1857" width="11.5" style="41" bestFit="1" customWidth="1"/>
    <col min="1858" max="2048" width="8.83203125" style="41" customWidth="1"/>
    <col min="2049" max="2049" width="44" style="41" bestFit="1" customWidth="1"/>
    <col min="2050" max="2050" width="25.6640625" style="41" bestFit="1" customWidth="1"/>
    <col min="2051" max="2051" width="24.1640625" style="41" bestFit="1" customWidth="1"/>
    <col min="2052" max="2052" width="14.6640625" style="41" bestFit="1" customWidth="1"/>
    <col min="2053" max="2113" width="11.5" style="41" bestFit="1" customWidth="1"/>
    <col min="2114" max="2304" width="8.83203125" style="41" customWidth="1"/>
    <col min="2305" max="2305" width="44" style="41" bestFit="1" customWidth="1"/>
    <col min="2306" max="2306" width="25.6640625" style="41" bestFit="1" customWidth="1"/>
    <col min="2307" max="2307" width="24.1640625" style="41" bestFit="1" customWidth="1"/>
    <col min="2308" max="2308" width="14.6640625" style="41" bestFit="1" customWidth="1"/>
    <col min="2309" max="2369" width="11.5" style="41" bestFit="1" customWidth="1"/>
    <col min="2370" max="2560" width="8.83203125" style="41" customWidth="1"/>
    <col min="2561" max="2561" width="44" style="41" bestFit="1" customWidth="1"/>
    <col min="2562" max="2562" width="25.6640625" style="41" bestFit="1" customWidth="1"/>
    <col min="2563" max="2563" width="24.1640625" style="41" bestFit="1" customWidth="1"/>
    <col min="2564" max="2564" width="14.6640625" style="41" bestFit="1" customWidth="1"/>
    <col min="2565" max="2625" width="11.5" style="41" bestFit="1" customWidth="1"/>
    <col min="2626" max="2816" width="8.83203125" style="41" customWidth="1"/>
    <col min="2817" max="2817" width="44" style="41" bestFit="1" customWidth="1"/>
    <col min="2818" max="2818" width="25.6640625" style="41" bestFit="1" customWidth="1"/>
    <col min="2819" max="2819" width="24.1640625" style="41" bestFit="1" customWidth="1"/>
    <col min="2820" max="2820" width="14.6640625" style="41" bestFit="1" customWidth="1"/>
    <col min="2821" max="2881" width="11.5" style="41" bestFit="1" customWidth="1"/>
    <col min="2882" max="3072" width="8.83203125" style="41" customWidth="1"/>
    <col min="3073" max="3073" width="44" style="41" bestFit="1" customWidth="1"/>
    <col min="3074" max="3074" width="25.6640625" style="41" bestFit="1" customWidth="1"/>
    <col min="3075" max="3075" width="24.1640625" style="41" bestFit="1" customWidth="1"/>
    <col min="3076" max="3076" width="14.6640625" style="41" bestFit="1" customWidth="1"/>
    <col min="3077" max="3137" width="11.5" style="41" bestFit="1" customWidth="1"/>
    <col min="3138" max="3328" width="8.83203125" style="41" customWidth="1"/>
    <col min="3329" max="3329" width="44" style="41" bestFit="1" customWidth="1"/>
    <col min="3330" max="3330" width="25.6640625" style="41" bestFit="1" customWidth="1"/>
    <col min="3331" max="3331" width="24.1640625" style="41" bestFit="1" customWidth="1"/>
    <col min="3332" max="3332" width="14.6640625" style="41" bestFit="1" customWidth="1"/>
    <col min="3333" max="3393" width="11.5" style="41" bestFit="1" customWidth="1"/>
    <col min="3394" max="3584" width="8.83203125" style="41" customWidth="1"/>
    <col min="3585" max="3585" width="44" style="41" bestFit="1" customWidth="1"/>
    <col min="3586" max="3586" width="25.6640625" style="41" bestFit="1" customWidth="1"/>
    <col min="3587" max="3587" width="24.1640625" style="41" bestFit="1" customWidth="1"/>
    <col min="3588" max="3588" width="14.6640625" style="41" bestFit="1" customWidth="1"/>
    <col min="3589" max="3649" width="11.5" style="41" bestFit="1" customWidth="1"/>
    <col min="3650" max="3840" width="8.83203125" style="41" customWidth="1"/>
    <col min="3841" max="3841" width="44" style="41" bestFit="1" customWidth="1"/>
    <col min="3842" max="3842" width="25.6640625" style="41" bestFit="1" customWidth="1"/>
    <col min="3843" max="3843" width="24.1640625" style="41" bestFit="1" customWidth="1"/>
    <col min="3844" max="3844" width="14.6640625" style="41" bestFit="1" customWidth="1"/>
    <col min="3845" max="3905" width="11.5" style="41" bestFit="1" customWidth="1"/>
    <col min="3906" max="4096" width="8.83203125" style="41" customWidth="1"/>
    <col min="4097" max="4097" width="44" style="41" bestFit="1" customWidth="1"/>
    <col min="4098" max="4098" width="25.6640625" style="41" bestFit="1" customWidth="1"/>
    <col min="4099" max="4099" width="24.1640625" style="41" bestFit="1" customWidth="1"/>
    <col min="4100" max="4100" width="14.6640625" style="41" bestFit="1" customWidth="1"/>
    <col min="4101" max="4161" width="11.5" style="41" bestFit="1" customWidth="1"/>
    <col min="4162" max="4352" width="8.83203125" style="41" customWidth="1"/>
    <col min="4353" max="4353" width="44" style="41" bestFit="1" customWidth="1"/>
    <col min="4354" max="4354" width="25.6640625" style="41" bestFit="1" customWidth="1"/>
    <col min="4355" max="4355" width="24.1640625" style="41" bestFit="1" customWidth="1"/>
    <col min="4356" max="4356" width="14.6640625" style="41" bestFit="1" customWidth="1"/>
    <col min="4357" max="4417" width="11.5" style="41" bestFit="1" customWidth="1"/>
    <col min="4418" max="4608" width="8.83203125" style="41" customWidth="1"/>
    <col min="4609" max="4609" width="44" style="41" bestFit="1" customWidth="1"/>
    <col min="4610" max="4610" width="25.6640625" style="41" bestFit="1" customWidth="1"/>
    <col min="4611" max="4611" width="24.1640625" style="41" bestFit="1" customWidth="1"/>
    <col min="4612" max="4612" width="14.6640625" style="41" bestFit="1" customWidth="1"/>
    <col min="4613" max="4673" width="11.5" style="41" bestFit="1" customWidth="1"/>
    <col min="4674" max="4864" width="8.83203125" style="41" customWidth="1"/>
    <col min="4865" max="4865" width="44" style="41" bestFit="1" customWidth="1"/>
    <col min="4866" max="4866" width="25.6640625" style="41" bestFit="1" customWidth="1"/>
    <col min="4867" max="4867" width="24.1640625" style="41" bestFit="1" customWidth="1"/>
    <col min="4868" max="4868" width="14.6640625" style="41" bestFit="1" customWidth="1"/>
    <col min="4869" max="4929" width="11.5" style="41" bestFit="1" customWidth="1"/>
    <col min="4930" max="5120" width="8.83203125" style="41" customWidth="1"/>
    <col min="5121" max="5121" width="44" style="41" bestFit="1" customWidth="1"/>
    <col min="5122" max="5122" width="25.6640625" style="41" bestFit="1" customWidth="1"/>
    <col min="5123" max="5123" width="24.1640625" style="41" bestFit="1" customWidth="1"/>
    <col min="5124" max="5124" width="14.6640625" style="41" bestFit="1" customWidth="1"/>
    <col min="5125" max="5185" width="11.5" style="41" bestFit="1" customWidth="1"/>
    <col min="5186" max="5376" width="8.83203125" style="41" customWidth="1"/>
    <col min="5377" max="5377" width="44" style="41" bestFit="1" customWidth="1"/>
    <col min="5378" max="5378" width="25.6640625" style="41" bestFit="1" customWidth="1"/>
    <col min="5379" max="5379" width="24.1640625" style="41" bestFit="1" customWidth="1"/>
    <col min="5380" max="5380" width="14.6640625" style="41" bestFit="1" customWidth="1"/>
    <col min="5381" max="5441" width="11.5" style="41" bestFit="1" customWidth="1"/>
    <col min="5442" max="5632" width="8.83203125" style="41" customWidth="1"/>
    <col min="5633" max="5633" width="44" style="41" bestFit="1" customWidth="1"/>
    <col min="5634" max="5634" width="25.6640625" style="41" bestFit="1" customWidth="1"/>
    <col min="5635" max="5635" width="24.1640625" style="41" bestFit="1" customWidth="1"/>
    <col min="5636" max="5636" width="14.6640625" style="41" bestFit="1" customWidth="1"/>
    <col min="5637" max="5697" width="11.5" style="41" bestFit="1" customWidth="1"/>
    <col min="5698" max="5888" width="8.83203125" style="41" customWidth="1"/>
    <col min="5889" max="5889" width="44" style="41" bestFit="1" customWidth="1"/>
    <col min="5890" max="5890" width="25.6640625" style="41" bestFit="1" customWidth="1"/>
    <col min="5891" max="5891" width="24.1640625" style="41" bestFit="1" customWidth="1"/>
    <col min="5892" max="5892" width="14.6640625" style="41" bestFit="1" customWidth="1"/>
    <col min="5893" max="5953" width="11.5" style="41" bestFit="1" customWidth="1"/>
    <col min="5954" max="6144" width="8.83203125" style="41" customWidth="1"/>
    <col min="6145" max="6145" width="44" style="41" bestFit="1" customWidth="1"/>
    <col min="6146" max="6146" width="25.6640625" style="41" bestFit="1" customWidth="1"/>
    <col min="6147" max="6147" width="24.1640625" style="41" bestFit="1" customWidth="1"/>
    <col min="6148" max="6148" width="14.6640625" style="41" bestFit="1" customWidth="1"/>
    <col min="6149" max="6209" width="11.5" style="41" bestFit="1" customWidth="1"/>
    <col min="6210" max="6400" width="8.83203125" style="41" customWidth="1"/>
    <col min="6401" max="6401" width="44" style="41" bestFit="1" customWidth="1"/>
    <col min="6402" max="6402" width="25.6640625" style="41" bestFit="1" customWidth="1"/>
    <col min="6403" max="6403" width="24.1640625" style="41" bestFit="1" customWidth="1"/>
    <col min="6404" max="6404" width="14.6640625" style="41" bestFit="1" customWidth="1"/>
    <col min="6405" max="6465" width="11.5" style="41" bestFit="1" customWidth="1"/>
    <col min="6466" max="6656" width="8.83203125" style="41" customWidth="1"/>
    <col min="6657" max="6657" width="44" style="41" bestFit="1" customWidth="1"/>
    <col min="6658" max="6658" width="25.6640625" style="41" bestFit="1" customWidth="1"/>
    <col min="6659" max="6659" width="24.1640625" style="41" bestFit="1" customWidth="1"/>
    <col min="6660" max="6660" width="14.6640625" style="41" bestFit="1" customWidth="1"/>
    <col min="6661" max="6721" width="11.5" style="41" bestFit="1" customWidth="1"/>
    <col min="6722" max="6912" width="8.83203125" style="41" customWidth="1"/>
    <col min="6913" max="6913" width="44" style="41" bestFit="1" customWidth="1"/>
    <col min="6914" max="6914" width="25.6640625" style="41" bestFit="1" customWidth="1"/>
    <col min="6915" max="6915" width="24.1640625" style="41" bestFit="1" customWidth="1"/>
    <col min="6916" max="6916" width="14.6640625" style="41" bestFit="1" customWidth="1"/>
    <col min="6917" max="6977" width="11.5" style="41" bestFit="1" customWidth="1"/>
    <col min="6978" max="7168" width="8.83203125" style="41" customWidth="1"/>
    <col min="7169" max="7169" width="44" style="41" bestFit="1" customWidth="1"/>
    <col min="7170" max="7170" width="25.6640625" style="41" bestFit="1" customWidth="1"/>
    <col min="7171" max="7171" width="24.1640625" style="41" bestFit="1" customWidth="1"/>
    <col min="7172" max="7172" width="14.6640625" style="41" bestFit="1" customWidth="1"/>
    <col min="7173" max="7233" width="11.5" style="41" bestFit="1" customWidth="1"/>
    <col min="7234" max="7424" width="8.83203125" style="41" customWidth="1"/>
    <col min="7425" max="7425" width="44" style="41" bestFit="1" customWidth="1"/>
    <col min="7426" max="7426" width="25.6640625" style="41" bestFit="1" customWidth="1"/>
    <col min="7427" max="7427" width="24.1640625" style="41" bestFit="1" customWidth="1"/>
    <col min="7428" max="7428" width="14.6640625" style="41" bestFit="1" customWidth="1"/>
    <col min="7429" max="7489" width="11.5" style="41" bestFit="1" customWidth="1"/>
    <col min="7490" max="7680" width="8.83203125" style="41" customWidth="1"/>
    <col min="7681" max="7681" width="44" style="41" bestFit="1" customWidth="1"/>
    <col min="7682" max="7682" width="25.6640625" style="41" bestFit="1" customWidth="1"/>
    <col min="7683" max="7683" width="24.1640625" style="41" bestFit="1" customWidth="1"/>
    <col min="7684" max="7684" width="14.6640625" style="41" bestFit="1" customWidth="1"/>
    <col min="7685" max="7745" width="11.5" style="41" bestFit="1" customWidth="1"/>
    <col min="7746" max="7936" width="8.83203125" style="41" customWidth="1"/>
    <col min="7937" max="7937" width="44" style="41" bestFit="1" customWidth="1"/>
    <col min="7938" max="7938" width="25.6640625" style="41" bestFit="1" customWidth="1"/>
    <col min="7939" max="7939" width="24.1640625" style="41" bestFit="1" customWidth="1"/>
    <col min="7940" max="7940" width="14.6640625" style="41" bestFit="1" customWidth="1"/>
    <col min="7941" max="8001" width="11.5" style="41" bestFit="1" customWidth="1"/>
    <col min="8002" max="8192" width="8.83203125" style="41" customWidth="1"/>
    <col min="8193" max="8193" width="44" style="41" bestFit="1" customWidth="1"/>
    <col min="8194" max="8194" width="25.6640625" style="41" bestFit="1" customWidth="1"/>
    <col min="8195" max="8195" width="24.1640625" style="41" bestFit="1" customWidth="1"/>
    <col min="8196" max="8196" width="14.6640625" style="41" bestFit="1" customWidth="1"/>
    <col min="8197" max="8257" width="11.5" style="41" bestFit="1" customWidth="1"/>
    <col min="8258" max="8448" width="8.83203125" style="41" customWidth="1"/>
    <col min="8449" max="8449" width="44" style="41" bestFit="1" customWidth="1"/>
    <col min="8450" max="8450" width="25.6640625" style="41" bestFit="1" customWidth="1"/>
    <col min="8451" max="8451" width="24.1640625" style="41" bestFit="1" customWidth="1"/>
    <col min="8452" max="8452" width="14.6640625" style="41" bestFit="1" customWidth="1"/>
    <col min="8453" max="8513" width="11.5" style="41" bestFit="1" customWidth="1"/>
    <col min="8514" max="8704" width="8.83203125" style="41" customWidth="1"/>
    <col min="8705" max="8705" width="44" style="41" bestFit="1" customWidth="1"/>
    <col min="8706" max="8706" width="25.6640625" style="41" bestFit="1" customWidth="1"/>
    <col min="8707" max="8707" width="24.1640625" style="41" bestFit="1" customWidth="1"/>
    <col min="8708" max="8708" width="14.6640625" style="41" bestFit="1" customWidth="1"/>
    <col min="8709" max="8769" width="11.5" style="41" bestFit="1" customWidth="1"/>
    <col min="8770" max="8960" width="8.83203125" style="41" customWidth="1"/>
    <col min="8961" max="8961" width="44" style="41" bestFit="1" customWidth="1"/>
    <col min="8962" max="8962" width="25.6640625" style="41" bestFit="1" customWidth="1"/>
    <col min="8963" max="8963" width="24.1640625" style="41" bestFit="1" customWidth="1"/>
    <col min="8964" max="8964" width="14.6640625" style="41" bestFit="1" customWidth="1"/>
    <col min="8965" max="9025" width="11.5" style="41" bestFit="1" customWidth="1"/>
    <col min="9026" max="9216" width="8.83203125" style="41" customWidth="1"/>
    <col min="9217" max="9217" width="44" style="41" bestFit="1" customWidth="1"/>
    <col min="9218" max="9218" width="25.6640625" style="41" bestFit="1" customWidth="1"/>
    <col min="9219" max="9219" width="24.1640625" style="41" bestFit="1" customWidth="1"/>
    <col min="9220" max="9220" width="14.6640625" style="41" bestFit="1" customWidth="1"/>
    <col min="9221" max="9281" width="11.5" style="41" bestFit="1" customWidth="1"/>
    <col min="9282" max="9472" width="8.83203125" style="41" customWidth="1"/>
    <col min="9473" max="9473" width="44" style="41" bestFit="1" customWidth="1"/>
    <col min="9474" max="9474" width="25.6640625" style="41" bestFit="1" customWidth="1"/>
    <col min="9475" max="9475" width="24.1640625" style="41" bestFit="1" customWidth="1"/>
    <col min="9476" max="9476" width="14.6640625" style="41" bestFit="1" customWidth="1"/>
    <col min="9477" max="9537" width="11.5" style="41" bestFit="1" customWidth="1"/>
    <col min="9538" max="9728" width="8.83203125" style="41" customWidth="1"/>
    <col min="9729" max="9729" width="44" style="41" bestFit="1" customWidth="1"/>
    <col min="9730" max="9730" width="25.6640625" style="41" bestFit="1" customWidth="1"/>
    <col min="9731" max="9731" width="24.1640625" style="41" bestFit="1" customWidth="1"/>
    <col min="9732" max="9732" width="14.6640625" style="41" bestFit="1" customWidth="1"/>
    <col min="9733" max="9793" width="11.5" style="41" bestFit="1" customWidth="1"/>
    <col min="9794" max="9984" width="8.83203125" style="41" customWidth="1"/>
    <col min="9985" max="9985" width="44" style="41" bestFit="1" customWidth="1"/>
    <col min="9986" max="9986" width="25.6640625" style="41" bestFit="1" customWidth="1"/>
    <col min="9987" max="9987" width="24.1640625" style="41" bestFit="1" customWidth="1"/>
    <col min="9988" max="9988" width="14.6640625" style="41" bestFit="1" customWidth="1"/>
    <col min="9989" max="10049" width="11.5" style="41" bestFit="1" customWidth="1"/>
    <col min="10050" max="10240" width="8.83203125" style="41" customWidth="1"/>
    <col min="10241" max="10241" width="44" style="41" bestFit="1" customWidth="1"/>
    <col min="10242" max="10242" width="25.6640625" style="41" bestFit="1" customWidth="1"/>
    <col min="10243" max="10243" width="24.1640625" style="41" bestFit="1" customWidth="1"/>
    <col min="10244" max="10244" width="14.6640625" style="41" bestFit="1" customWidth="1"/>
    <col min="10245" max="10305" width="11.5" style="41" bestFit="1" customWidth="1"/>
    <col min="10306" max="10496" width="8.83203125" style="41" customWidth="1"/>
    <col min="10497" max="10497" width="44" style="41" bestFit="1" customWidth="1"/>
    <col min="10498" max="10498" width="25.6640625" style="41" bestFit="1" customWidth="1"/>
    <col min="10499" max="10499" width="24.1640625" style="41" bestFit="1" customWidth="1"/>
    <col min="10500" max="10500" width="14.6640625" style="41" bestFit="1" customWidth="1"/>
    <col min="10501" max="10561" width="11.5" style="41" bestFit="1" customWidth="1"/>
    <col min="10562" max="10752" width="8.83203125" style="41" customWidth="1"/>
    <col min="10753" max="10753" width="44" style="41" bestFit="1" customWidth="1"/>
    <col min="10754" max="10754" width="25.6640625" style="41" bestFit="1" customWidth="1"/>
    <col min="10755" max="10755" width="24.1640625" style="41" bestFit="1" customWidth="1"/>
    <col min="10756" max="10756" width="14.6640625" style="41" bestFit="1" customWidth="1"/>
    <col min="10757" max="10817" width="11.5" style="41" bestFit="1" customWidth="1"/>
    <col min="10818" max="11008" width="8.83203125" style="41" customWidth="1"/>
    <col min="11009" max="11009" width="44" style="41" bestFit="1" customWidth="1"/>
    <col min="11010" max="11010" width="25.6640625" style="41" bestFit="1" customWidth="1"/>
    <col min="11011" max="11011" width="24.1640625" style="41" bestFit="1" customWidth="1"/>
    <col min="11012" max="11012" width="14.6640625" style="41" bestFit="1" customWidth="1"/>
    <col min="11013" max="11073" width="11.5" style="41" bestFit="1" customWidth="1"/>
    <col min="11074" max="11264" width="8.83203125" style="41" customWidth="1"/>
    <col min="11265" max="11265" width="44" style="41" bestFit="1" customWidth="1"/>
    <col min="11266" max="11266" width="25.6640625" style="41" bestFit="1" customWidth="1"/>
    <col min="11267" max="11267" width="24.1640625" style="41" bestFit="1" customWidth="1"/>
    <col min="11268" max="11268" width="14.6640625" style="41" bestFit="1" customWidth="1"/>
    <col min="11269" max="11329" width="11.5" style="41" bestFit="1" customWidth="1"/>
    <col min="11330" max="11520" width="8.83203125" style="41" customWidth="1"/>
    <col min="11521" max="11521" width="44" style="41" bestFit="1" customWidth="1"/>
    <col min="11522" max="11522" width="25.6640625" style="41" bestFit="1" customWidth="1"/>
    <col min="11523" max="11523" width="24.1640625" style="41" bestFit="1" customWidth="1"/>
    <col min="11524" max="11524" width="14.6640625" style="41" bestFit="1" customWidth="1"/>
    <col min="11525" max="11585" width="11.5" style="41" bestFit="1" customWidth="1"/>
    <col min="11586" max="11776" width="8.83203125" style="41" customWidth="1"/>
    <col min="11777" max="11777" width="44" style="41" bestFit="1" customWidth="1"/>
    <col min="11778" max="11778" width="25.6640625" style="41" bestFit="1" customWidth="1"/>
    <col min="11779" max="11779" width="24.1640625" style="41" bestFit="1" customWidth="1"/>
    <col min="11780" max="11780" width="14.6640625" style="41" bestFit="1" customWidth="1"/>
    <col min="11781" max="11841" width="11.5" style="41" bestFit="1" customWidth="1"/>
    <col min="11842" max="12032" width="8.83203125" style="41" customWidth="1"/>
    <col min="12033" max="12033" width="44" style="41" bestFit="1" customWidth="1"/>
    <col min="12034" max="12034" width="25.6640625" style="41" bestFit="1" customWidth="1"/>
    <col min="12035" max="12035" width="24.1640625" style="41" bestFit="1" customWidth="1"/>
    <col min="12036" max="12036" width="14.6640625" style="41" bestFit="1" customWidth="1"/>
    <col min="12037" max="12097" width="11.5" style="41" bestFit="1" customWidth="1"/>
    <col min="12098" max="12288" width="8.83203125" style="41" customWidth="1"/>
    <col min="12289" max="12289" width="44" style="41" bestFit="1" customWidth="1"/>
    <col min="12290" max="12290" width="25.6640625" style="41" bestFit="1" customWidth="1"/>
    <col min="12291" max="12291" width="24.1640625" style="41" bestFit="1" customWidth="1"/>
    <col min="12292" max="12292" width="14.6640625" style="41" bestFit="1" customWidth="1"/>
    <col min="12293" max="12353" width="11.5" style="41" bestFit="1" customWidth="1"/>
    <col min="12354" max="12544" width="8.83203125" style="41" customWidth="1"/>
    <col min="12545" max="12545" width="44" style="41" bestFit="1" customWidth="1"/>
    <col min="12546" max="12546" width="25.6640625" style="41" bestFit="1" customWidth="1"/>
    <col min="12547" max="12547" width="24.1640625" style="41" bestFit="1" customWidth="1"/>
    <col min="12548" max="12548" width="14.6640625" style="41" bestFit="1" customWidth="1"/>
    <col min="12549" max="12609" width="11.5" style="41" bestFit="1" customWidth="1"/>
    <col min="12610" max="12800" width="8.83203125" style="41" customWidth="1"/>
    <col min="12801" max="12801" width="44" style="41" bestFit="1" customWidth="1"/>
    <col min="12802" max="12802" width="25.6640625" style="41" bestFit="1" customWidth="1"/>
    <col min="12803" max="12803" width="24.1640625" style="41" bestFit="1" customWidth="1"/>
    <col min="12804" max="12804" width="14.6640625" style="41" bestFit="1" customWidth="1"/>
    <col min="12805" max="12865" width="11.5" style="41" bestFit="1" customWidth="1"/>
    <col min="12866" max="13056" width="8.83203125" style="41" customWidth="1"/>
    <col min="13057" max="13057" width="44" style="41" bestFit="1" customWidth="1"/>
    <col min="13058" max="13058" width="25.6640625" style="41" bestFit="1" customWidth="1"/>
    <col min="13059" max="13059" width="24.1640625" style="41" bestFit="1" customWidth="1"/>
    <col min="13060" max="13060" width="14.6640625" style="41" bestFit="1" customWidth="1"/>
    <col min="13061" max="13121" width="11.5" style="41" bestFit="1" customWidth="1"/>
    <col min="13122" max="13312" width="8.83203125" style="41" customWidth="1"/>
    <col min="13313" max="13313" width="44" style="41" bestFit="1" customWidth="1"/>
    <col min="13314" max="13314" width="25.6640625" style="41" bestFit="1" customWidth="1"/>
    <col min="13315" max="13315" width="24.1640625" style="41" bestFit="1" customWidth="1"/>
    <col min="13316" max="13316" width="14.6640625" style="41" bestFit="1" customWidth="1"/>
    <col min="13317" max="13377" width="11.5" style="41" bestFit="1" customWidth="1"/>
    <col min="13378" max="13568" width="8.83203125" style="41" customWidth="1"/>
    <col min="13569" max="13569" width="44" style="41" bestFit="1" customWidth="1"/>
    <col min="13570" max="13570" width="25.6640625" style="41" bestFit="1" customWidth="1"/>
    <col min="13571" max="13571" width="24.1640625" style="41" bestFit="1" customWidth="1"/>
    <col min="13572" max="13572" width="14.6640625" style="41" bestFit="1" customWidth="1"/>
    <col min="13573" max="13633" width="11.5" style="41" bestFit="1" customWidth="1"/>
    <col min="13634" max="13824" width="8.83203125" style="41" customWidth="1"/>
    <col min="13825" max="13825" width="44" style="41" bestFit="1" customWidth="1"/>
    <col min="13826" max="13826" width="25.6640625" style="41" bestFit="1" customWidth="1"/>
    <col min="13827" max="13827" width="24.1640625" style="41" bestFit="1" customWidth="1"/>
    <col min="13828" max="13828" width="14.6640625" style="41" bestFit="1" customWidth="1"/>
    <col min="13829" max="13889" width="11.5" style="41" bestFit="1" customWidth="1"/>
    <col min="13890" max="14080" width="8.83203125" style="41" customWidth="1"/>
    <col min="14081" max="14081" width="44" style="41" bestFit="1" customWidth="1"/>
    <col min="14082" max="14082" width="25.6640625" style="41" bestFit="1" customWidth="1"/>
    <col min="14083" max="14083" width="24.1640625" style="41" bestFit="1" customWidth="1"/>
    <col min="14084" max="14084" width="14.6640625" style="41" bestFit="1" customWidth="1"/>
    <col min="14085" max="14145" width="11.5" style="41" bestFit="1" customWidth="1"/>
    <col min="14146" max="14336" width="8.83203125" style="41" customWidth="1"/>
    <col min="14337" max="14337" width="44" style="41" bestFit="1" customWidth="1"/>
    <col min="14338" max="14338" width="25.6640625" style="41" bestFit="1" customWidth="1"/>
    <col min="14339" max="14339" width="24.1640625" style="41" bestFit="1" customWidth="1"/>
    <col min="14340" max="14340" width="14.6640625" style="41" bestFit="1" customWidth="1"/>
    <col min="14341" max="14401" width="11.5" style="41" bestFit="1" customWidth="1"/>
    <col min="14402" max="14592" width="8.83203125" style="41" customWidth="1"/>
    <col min="14593" max="14593" width="44" style="41" bestFit="1" customWidth="1"/>
    <col min="14594" max="14594" width="25.6640625" style="41" bestFit="1" customWidth="1"/>
    <col min="14595" max="14595" width="24.1640625" style="41" bestFit="1" customWidth="1"/>
    <col min="14596" max="14596" width="14.6640625" style="41" bestFit="1" customWidth="1"/>
    <col min="14597" max="14657" width="11.5" style="41" bestFit="1" customWidth="1"/>
    <col min="14658" max="14848" width="8.83203125" style="41" customWidth="1"/>
    <col min="14849" max="14849" width="44" style="41" bestFit="1" customWidth="1"/>
    <col min="14850" max="14850" width="25.6640625" style="41" bestFit="1" customWidth="1"/>
    <col min="14851" max="14851" width="24.1640625" style="41" bestFit="1" customWidth="1"/>
    <col min="14852" max="14852" width="14.6640625" style="41" bestFit="1" customWidth="1"/>
    <col min="14853" max="14913" width="11.5" style="41" bestFit="1" customWidth="1"/>
    <col min="14914" max="15104" width="8.83203125" style="41" customWidth="1"/>
    <col min="15105" max="15105" width="44" style="41" bestFit="1" customWidth="1"/>
    <col min="15106" max="15106" width="25.6640625" style="41" bestFit="1" customWidth="1"/>
    <col min="15107" max="15107" width="24.1640625" style="41" bestFit="1" customWidth="1"/>
    <col min="15108" max="15108" width="14.6640625" style="41" bestFit="1" customWidth="1"/>
    <col min="15109" max="15169" width="11.5" style="41" bestFit="1" customWidth="1"/>
    <col min="15170" max="15360" width="8.83203125" style="41" customWidth="1"/>
    <col min="15361" max="15361" width="44" style="41" bestFit="1" customWidth="1"/>
    <col min="15362" max="15362" width="25.6640625" style="41" bestFit="1" customWidth="1"/>
    <col min="15363" max="15363" width="24.1640625" style="41" bestFit="1" customWidth="1"/>
    <col min="15364" max="15364" width="14.6640625" style="41" bestFit="1" customWidth="1"/>
    <col min="15365" max="15425" width="11.5" style="41" bestFit="1" customWidth="1"/>
    <col min="15426" max="15616" width="8.83203125" style="41" customWidth="1"/>
    <col min="15617" max="15617" width="44" style="41" bestFit="1" customWidth="1"/>
    <col min="15618" max="15618" width="25.6640625" style="41" bestFit="1" customWidth="1"/>
    <col min="15619" max="15619" width="24.1640625" style="41" bestFit="1" customWidth="1"/>
    <col min="15620" max="15620" width="14.6640625" style="41" bestFit="1" customWidth="1"/>
    <col min="15621" max="15681" width="11.5" style="41" bestFit="1" customWidth="1"/>
    <col min="15682" max="15872" width="8.83203125" style="41" customWidth="1"/>
    <col min="15873" max="15873" width="44" style="41" bestFit="1" customWidth="1"/>
    <col min="15874" max="15874" width="25.6640625" style="41" bestFit="1" customWidth="1"/>
    <col min="15875" max="15875" width="24.1640625" style="41" bestFit="1" customWidth="1"/>
    <col min="15876" max="15876" width="14.6640625" style="41" bestFit="1" customWidth="1"/>
    <col min="15877" max="15937" width="11.5" style="41" bestFit="1" customWidth="1"/>
    <col min="15938" max="16128" width="8.83203125" style="41" customWidth="1"/>
    <col min="16129" max="16129" width="44" style="41" bestFit="1" customWidth="1"/>
    <col min="16130" max="16130" width="25.6640625" style="41" bestFit="1" customWidth="1"/>
    <col min="16131" max="16131" width="24.1640625" style="41" bestFit="1" customWidth="1"/>
    <col min="16132" max="16132" width="14.6640625" style="41" bestFit="1" customWidth="1"/>
    <col min="16133" max="16193" width="11.5" style="41" bestFit="1" customWidth="1"/>
    <col min="16194" max="16384" width="8.83203125" style="41" customWidth="1"/>
  </cols>
  <sheetData>
    <row r="1" spans="1:65" x14ac:dyDescent="0.35">
      <c r="A1" s="41" t="s">
        <v>68</v>
      </c>
      <c r="B1" s="41" t="s">
        <v>73</v>
      </c>
    </row>
    <row r="2" spans="1:65" x14ac:dyDescent="0.35">
      <c r="A2" s="41" t="s">
        <v>74</v>
      </c>
      <c r="B2" s="42">
        <v>44407</v>
      </c>
    </row>
    <row r="4" spans="1:65" x14ac:dyDescent="0.35">
      <c r="A4" s="41" t="s">
        <v>75</v>
      </c>
      <c r="B4" s="41" t="s">
        <v>76</v>
      </c>
      <c r="C4" s="41" t="s">
        <v>77</v>
      </c>
      <c r="D4" s="41" t="s">
        <v>78</v>
      </c>
      <c r="E4" s="41" t="s">
        <v>629</v>
      </c>
      <c r="F4" s="41" t="s">
        <v>630</v>
      </c>
      <c r="G4" s="41" t="s">
        <v>631</v>
      </c>
      <c r="H4" s="41" t="s">
        <v>632</v>
      </c>
      <c r="I4" s="41" t="s">
        <v>633</v>
      </c>
      <c r="J4" s="41" t="s">
        <v>634</v>
      </c>
      <c r="K4" s="41" t="s">
        <v>635</v>
      </c>
      <c r="L4" s="41" t="s">
        <v>636</v>
      </c>
      <c r="M4" s="41" t="s">
        <v>637</v>
      </c>
      <c r="N4" s="41" t="s">
        <v>638</v>
      </c>
      <c r="O4" s="41" t="s">
        <v>639</v>
      </c>
      <c r="P4" s="41" t="s">
        <v>640</v>
      </c>
      <c r="Q4" s="41" t="s">
        <v>641</v>
      </c>
      <c r="R4" s="41" t="s">
        <v>642</v>
      </c>
      <c r="S4" s="41" t="s">
        <v>643</v>
      </c>
      <c r="T4" s="41" t="s">
        <v>644</v>
      </c>
      <c r="U4" s="41" t="s">
        <v>645</v>
      </c>
      <c r="V4" s="41" t="s">
        <v>646</v>
      </c>
      <c r="W4" s="41" t="s">
        <v>647</v>
      </c>
      <c r="X4" s="41" t="s">
        <v>648</v>
      </c>
      <c r="Y4" s="41" t="s">
        <v>649</v>
      </c>
      <c r="Z4" s="41" t="s">
        <v>650</v>
      </c>
      <c r="AA4" s="41" t="s">
        <v>651</v>
      </c>
      <c r="AB4" s="41" t="s">
        <v>652</v>
      </c>
      <c r="AC4" s="41" t="s">
        <v>653</v>
      </c>
      <c r="AD4" s="41" t="s">
        <v>654</v>
      </c>
      <c r="AE4" s="41" t="s">
        <v>655</v>
      </c>
      <c r="AF4" s="41" t="s">
        <v>656</v>
      </c>
      <c r="AG4" s="41" t="s">
        <v>657</v>
      </c>
      <c r="AH4" s="41" t="s">
        <v>658</v>
      </c>
      <c r="AI4" s="41" t="s">
        <v>79</v>
      </c>
      <c r="AJ4" s="41" t="s">
        <v>80</v>
      </c>
      <c r="AK4" s="41" t="s">
        <v>81</v>
      </c>
      <c r="AL4" s="41" t="s">
        <v>82</v>
      </c>
      <c r="AM4" s="41" t="s">
        <v>83</v>
      </c>
      <c r="AN4" s="41" t="s">
        <v>84</v>
      </c>
      <c r="AO4" s="41" t="s">
        <v>85</v>
      </c>
      <c r="AP4" s="41" t="s">
        <v>86</v>
      </c>
      <c r="AQ4" s="41" t="s">
        <v>87</v>
      </c>
      <c r="AR4" s="41" t="s">
        <v>88</v>
      </c>
      <c r="AS4" s="41" t="s">
        <v>89</v>
      </c>
      <c r="AT4" s="41" t="s">
        <v>90</v>
      </c>
      <c r="AU4" s="41" t="s">
        <v>91</v>
      </c>
      <c r="AV4" s="41" t="s">
        <v>92</v>
      </c>
      <c r="AW4" s="41" t="s">
        <v>93</v>
      </c>
      <c r="AX4" s="41" t="s">
        <v>94</v>
      </c>
      <c r="AY4" s="41" t="s">
        <v>95</v>
      </c>
      <c r="AZ4" s="41" t="s">
        <v>96</v>
      </c>
      <c r="BA4" s="41" t="s">
        <v>97</v>
      </c>
      <c r="BB4" s="41" t="s">
        <v>98</v>
      </c>
      <c r="BC4" s="41" t="s">
        <v>99</v>
      </c>
      <c r="BD4" s="41" t="s">
        <v>100</v>
      </c>
      <c r="BE4" s="41" t="s">
        <v>101</v>
      </c>
      <c r="BF4" s="41" t="s">
        <v>102</v>
      </c>
      <c r="BG4" s="41" t="s">
        <v>103</v>
      </c>
      <c r="BH4" s="41" t="s">
        <v>104</v>
      </c>
      <c r="BI4" s="41" t="s">
        <v>105</v>
      </c>
      <c r="BJ4" s="41" t="s">
        <v>106</v>
      </c>
      <c r="BK4" s="41" t="s">
        <v>107</v>
      </c>
      <c r="BL4" s="41" t="s">
        <v>108</v>
      </c>
      <c r="BM4" s="41" t="s">
        <v>109</v>
      </c>
    </row>
    <row r="5" spans="1:65" x14ac:dyDescent="0.35">
      <c r="A5" s="41" t="s">
        <v>110</v>
      </c>
      <c r="B5" s="41" t="s">
        <v>111</v>
      </c>
      <c r="C5" s="41" t="s">
        <v>659</v>
      </c>
      <c r="D5" s="41" t="s">
        <v>660</v>
      </c>
      <c r="AE5" s="41">
        <v>6472.3987088747663</v>
      </c>
      <c r="AF5" s="41">
        <v>7885.1589273006275</v>
      </c>
      <c r="AG5" s="41">
        <v>9765.9092074062592</v>
      </c>
      <c r="AH5" s="41">
        <v>11392.269149986081</v>
      </c>
      <c r="AI5" s="41">
        <v>12306.71767914928</v>
      </c>
      <c r="AJ5" s="41">
        <v>13495.794300540038</v>
      </c>
      <c r="AK5" s="41">
        <v>14045.474565614624</v>
      </c>
      <c r="AL5" s="41">
        <v>14938.681573493221</v>
      </c>
      <c r="AM5" s="41">
        <v>16239.987851592785</v>
      </c>
      <c r="AN5" s="41">
        <v>16439.356360928185</v>
      </c>
      <c r="AO5" s="41">
        <v>16583.875856013608</v>
      </c>
      <c r="AP5" s="41">
        <v>17927.959439183291</v>
      </c>
      <c r="AQ5" s="41">
        <v>19077.687427351259</v>
      </c>
      <c r="AR5" s="41">
        <v>19355.333535727445</v>
      </c>
      <c r="AS5" s="41">
        <v>20617.750467352809</v>
      </c>
      <c r="AT5" s="41">
        <v>20670.36700516272</v>
      </c>
      <c r="AU5" s="41">
        <v>20436.887128630886</v>
      </c>
      <c r="AV5" s="41">
        <v>20833.976357294978</v>
      </c>
      <c r="AW5" s="41">
        <v>22568.374991004333</v>
      </c>
      <c r="AX5" s="41">
        <v>23300.738363090735</v>
      </c>
      <c r="AY5" s="41">
        <v>24046.226376937342</v>
      </c>
      <c r="AZ5" s="41">
        <v>25834.111778423343</v>
      </c>
      <c r="BA5" s="41">
        <v>27083.634859691447</v>
      </c>
      <c r="BB5" s="41">
        <v>24631.182052243876</v>
      </c>
      <c r="BC5" s="41">
        <v>23513.527696809022</v>
      </c>
      <c r="BD5" s="41">
        <v>24985.013918579727</v>
      </c>
      <c r="BE5" s="41">
        <v>24712.493262890654</v>
      </c>
      <c r="BF5" s="41">
        <v>26441.61993573781</v>
      </c>
      <c r="BG5" s="41">
        <v>26893.011505658083</v>
      </c>
      <c r="BH5" s="41">
        <v>28396.908422861645</v>
      </c>
      <c r="BI5" s="41">
        <v>28452.170614679635</v>
      </c>
      <c r="BJ5" s="41">
        <v>29350.805018913692</v>
      </c>
      <c r="BK5" s="41">
        <v>30253.27935801951</v>
      </c>
    </row>
    <row r="6" spans="1:65" x14ac:dyDescent="0.35">
      <c r="A6" s="41" t="s">
        <v>661</v>
      </c>
      <c r="B6" s="41" t="s">
        <v>662</v>
      </c>
      <c r="C6" s="41" t="s">
        <v>659</v>
      </c>
      <c r="D6" s="41" t="s">
        <v>660</v>
      </c>
      <c r="E6" s="41">
        <v>147.45036931889095</v>
      </c>
      <c r="F6" s="41">
        <v>146.85370091286481</v>
      </c>
      <c r="G6" s="41">
        <v>156.01792896800296</v>
      </c>
      <c r="H6" s="41">
        <v>182.04408505959034</v>
      </c>
      <c r="I6" s="41">
        <v>162.16957665952668</v>
      </c>
      <c r="J6" s="41">
        <v>180.01730069280623</v>
      </c>
      <c r="K6" s="41">
        <v>190.63621989855406</v>
      </c>
      <c r="L6" s="41">
        <v>192.12626725573054</v>
      </c>
      <c r="M6" s="41">
        <v>203.78340388325606</v>
      </c>
      <c r="N6" s="41">
        <v>227.65871142287992</v>
      </c>
      <c r="O6" s="41">
        <v>236.53377868427845</v>
      </c>
      <c r="P6" s="41">
        <v>253.7284483085229</v>
      </c>
      <c r="Q6" s="41">
        <v>267.83731850438147</v>
      </c>
      <c r="R6" s="41">
        <v>339.387246515973</v>
      </c>
      <c r="S6" s="41">
        <v>409.6685417480989</v>
      </c>
      <c r="T6" s="41">
        <v>424.33738028906055</v>
      </c>
      <c r="U6" s="41">
        <v>411.06239114466939</v>
      </c>
      <c r="V6" s="41">
        <v>455.75389865726049</v>
      </c>
      <c r="W6" s="41">
        <v>495.5466233517152</v>
      </c>
      <c r="X6" s="41">
        <v>563.38451723231151</v>
      </c>
      <c r="Y6" s="41">
        <v>687.80039255577105</v>
      </c>
      <c r="Z6" s="41">
        <v>684.45394464706942</v>
      </c>
      <c r="AA6" s="41">
        <v>641.08014823215024</v>
      </c>
      <c r="AB6" s="41">
        <v>643.09782393792625</v>
      </c>
      <c r="AC6" s="41">
        <v>570.82052470717713</v>
      </c>
      <c r="AD6" s="41">
        <v>495.12112857229954</v>
      </c>
      <c r="AE6" s="41">
        <v>541.8333465941771</v>
      </c>
      <c r="AF6" s="41">
        <v>643.09568640825898</v>
      </c>
      <c r="AG6" s="41">
        <v>656.62646238148864</v>
      </c>
      <c r="AH6" s="41">
        <v>656.46574609777042</v>
      </c>
      <c r="AI6" s="41">
        <v>696.22389208484924</v>
      </c>
      <c r="AJ6" s="41">
        <v>703.65467832874253</v>
      </c>
      <c r="AK6" s="41">
        <v>682.58685064768565</v>
      </c>
      <c r="AL6" s="41">
        <v>665.24292610338068</v>
      </c>
      <c r="AM6" s="41">
        <v>659.58990235976955</v>
      </c>
      <c r="AN6" s="41">
        <v>722.16971594471374</v>
      </c>
      <c r="AO6" s="41">
        <v>701.73419736578944</v>
      </c>
      <c r="AP6" s="41">
        <v>718.85427763500263</v>
      </c>
      <c r="AQ6" s="41">
        <v>660.4719664352142</v>
      </c>
      <c r="AR6" s="41">
        <v>635.14336774755009</v>
      </c>
      <c r="AS6" s="41">
        <v>672.20547363102912</v>
      </c>
      <c r="AT6" s="41">
        <v>591.08844423777543</v>
      </c>
      <c r="AU6" s="41">
        <v>589.20682354833184</v>
      </c>
      <c r="AV6" s="41">
        <v>757.44975868710662</v>
      </c>
      <c r="AW6" s="41">
        <v>916.60336666494186</v>
      </c>
      <c r="AX6" s="41">
        <v>1037.727057053989</v>
      </c>
      <c r="AY6" s="41">
        <v>1142.955902430248</v>
      </c>
      <c r="AZ6" s="41">
        <v>1278.9713407522677</v>
      </c>
      <c r="BA6" s="41">
        <v>1356.5299480955207</v>
      </c>
      <c r="BB6" s="41">
        <v>1326.2515490293113</v>
      </c>
      <c r="BC6" s="41">
        <v>1550.1212252248777</v>
      </c>
      <c r="BD6" s="41">
        <v>1682.2872629127078</v>
      </c>
      <c r="BE6" s="41">
        <v>1667.9926183287703</v>
      </c>
      <c r="BF6" s="41">
        <v>1648.8675140408889</v>
      </c>
      <c r="BG6" s="41">
        <v>1654.3148649304919</v>
      </c>
      <c r="BH6" s="41">
        <v>1503.8593340239847</v>
      </c>
      <c r="BI6" s="41">
        <v>1401.2810525210648</v>
      </c>
      <c r="BJ6" s="41">
        <v>1536.2067826407138</v>
      </c>
      <c r="BK6" s="41">
        <v>1530.1619173744109</v>
      </c>
      <c r="BL6" s="41">
        <v>1481.4252919358519</v>
      </c>
      <c r="BM6" s="41">
        <v>1326.6636576205569</v>
      </c>
    </row>
    <row r="7" spans="1:65" x14ac:dyDescent="0.35">
      <c r="A7" s="41" t="s">
        <v>114</v>
      </c>
      <c r="B7" s="41" t="s">
        <v>115</v>
      </c>
      <c r="C7" s="41" t="s">
        <v>659</v>
      </c>
      <c r="D7" s="41" t="s">
        <v>660</v>
      </c>
      <c r="E7" s="41">
        <v>59.773233703214778</v>
      </c>
      <c r="F7" s="41">
        <v>59.860899992382883</v>
      </c>
      <c r="G7" s="41">
        <v>58.458008698313883</v>
      </c>
      <c r="H7" s="41">
        <v>78.706428777675313</v>
      </c>
      <c r="I7" s="41">
        <v>82.095306534051744</v>
      </c>
      <c r="J7" s="41">
        <v>101.10832516375811</v>
      </c>
      <c r="K7" s="41">
        <v>137.59429796111453</v>
      </c>
      <c r="L7" s="41">
        <v>160.89843416130424</v>
      </c>
      <c r="M7" s="41">
        <v>129.10831096500564</v>
      </c>
      <c r="N7" s="41">
        <v>129.32976036419913</v>
      </c>
      <c r="O7" s="41">
        <v>156.51877134870611</v>
      </c>
      <c r="P7" s="41">
        <v>159.5675089962582</v>
      </c>
      <c r="Q7" s="41">
        <v>135.31722798159134</v>
      </c>
      <c r="R7" s="41">
        <v>143.14464950008059</v>
      </c>
      <c r="S7" s="41">
        <v>173.6536247420259</v>
      </c>
      <c r="T7" s="41">
        <v>186.51083834644703</v>
      </c>
      <c r="U7" s="41">
        <v>197.44550755114457</v>
      </c>
      <c r="V7" s="41">
        <v>224.22500156611625</v>
      </c>
      <c r="W7" s="41">
        <v>247.35408780641745</v>
      </c>
      <c r="X7" s="41">
        <v>275.73811537723219</v>
      </c>
      <c r="Y7" s="41">
        <v>272.65551020068619</v>
      </c>
      <c r="Z7" s="41">
        <v>264.1111971443359</v>
      </c>
      <c r="AU7" s="41">
        <v>179.426579211394</v>
      </c>
      <c r="AV7" s="41">
        <v>190.68381429508841</v>
      </c>
      <c r="AW7" s="41">
        <v>211.38207419893897</v>
      </c>
      <c r="AX7" s="41">
        <v>242.03131317502161</v>
      </c>
      <c r="AY7" s="41">
        <v>263.73360186627389</v>
      </c>
      <c r="AZ7" s="41">
        <v>359.69315786610872</v>
      </c>
      <c r="BA7" s="41">
        <v>364.66067902816405</v>
      </c>
      <c r="BB7" s="41">
        <v>438.07614240317935</v>
      </c>
      <c r="BC7" s="41">
        <v>543.30296740190875</v>
      </c>
      <c r="BD7" s="41">
        <v>591.16279829313532</v>
      </c>
      <c r="BE7" s="41">
        <v>641.87143796093414</v>
      </c>
      <c r="BF7" s="41">
        <v>637.1654639517983</v>
      </c>
      <c r="BG7" s="41">
        <v>613.85650521739842</v>
      </c>
      <c r="BH7" s="41">
        <v>578.46635294170835</v>
      </c>
      <c r="BI7" s="41">
        <v>509.22010048535589</v>
      </c>
      <c r="BJ7" s="41">
        <v>519.88891257307262</v>
      </c>
      <c r="BK7" s="41">
        <v>493.75658136602596</v>
      </c>
      <c r="BL7" s="41">
        <v>507.10339187576284</v>
      </c>
      <c r="BM7" s="41">
        <v>508.8084094852228</v>
      </c>
    </row>
    <row r="8" spans="1:65" x14ac:dyDescent="0.35">
      <c r="A8" s="41" t="s">
        <v>663</v>
      </c>
      <c r="B8" s="41" t="s">
        <v>664</v>
      </c>
      <c r="C8" s="41" t="s">
        <v>659</v>
      </c>
      <c r="D8" s="41" t="s">
        <v>660</v>
      </c>
      <c r="E8" s="41">
        <v>107.9637786166508</v>
      </c>
      <c r="F8" s="41">
        <v>113.11469695378395</v>
      </c>
      <c r="G8" s="41">
        <v>118.86583744014177</v>
      </c>
      <c r="H8" s="41">
        <v>123.47896656854516</v>
      </c>
      <c r="I8" s="41">
        <v>131.89293895831446</v>
      </c>
      <c r="J8" s="41">
        <v>138.56681944051419</v>
      </c>
      <c r="K8" s="41">
        <v>144.36839463490733</v>
      </c>
      <c r="L8" s="41">
        <v>128.62005096197061</v>
      </c>
      <c r="M8" s="41">
        <v>129.67899635468737</v>
      </c>
      <c r="N8" s="41">
        <v>143.75763530055639</v>
      </c>
      <c r="O8" s="41">
        <v>195.49068420136402</v>
      </c>
      <c r="P8" s="41">
        <v>169.16852886390527</v>
      </c>
      <c r="Q8" s="41">
        <v>200.22691029776189</v>
      </c>
      <c r="R8" s="41">
        <v>241.78207526099368</v>
      </c>
      <c r="S8" s="41">
        <v>333.289875473385</v>
      </c>
      <c r="T8" s="41">
        <v>377.89846295778705</v>
      </c>
      <c r="U8" s="41">
        <v>444.50429833828679</v>
      </c>
      <c r="V8" s="41">
        <v>454.92308782707624</v>
      </c>
      <c r="W8" s="41">
        <v>482.61849975854869</v>
      </c>
      <c r="X8" s="41">
        <v>584.54478535376052</v>
      </c>
      <c r="Y8" s="41">
        <v>718.90192195014606</v>
      </c>
      <c r="Z8" s="41">
        <v>1317.3165489820205</v>
      </c>
      <c r="AA8" s="41">
        <v>1136.7946834473546</v>
      </c>
      <c r="AB8" s="41">
        <v>816.13928594485162</v>
      </c>
      <c r="AC8" s="41">
        <v>656.90477554710196</v>
      </c>
      <c r="AD8" s="41">
        <v>651.70045748504504</v>
      </c>
      <c r="AE8" s="41">
        <v>585.07829234261953</v>
      </c>
      <c r="AF8" s="41">
        <v>584.29005426268691</v>
      </c>
      <c r="AG8" s="41">
        <v>561.52559768810534</v>
      </c>
      <c r="AH8" s="41">
        <v>510.56834625193937</v>
      </c>
      <c r="AI8" s="41">
        <v>594.89959957629151</v>
      </c>
      <c r="AJ8" s="41">
        <v>558.59904021930004</v>
      </c>
      <c r="AK8" s="41">
        <v>547.82307070176364</v>
      </c>
      <c r="AL8" s="41">
        <v>438.26231068766975</v>
      </c>
      <c r="AM8" s="41">
        <v>376.35492081184674</v>
      </c>
      <c r="AN8" s="41">
        <v>459.3649032409586</v>
      </c>
      <c r="AO8" s="41">
        <v>495.77903637988351</v>
      </c>
      <c r="AP8" s="41">
        <v>486.52301634998008</v>
      </c>
      <c r="AQ8" s="41">
        <v>484.09074163173699</v>
      </c>
      <c r="AR8" s="41">
        <v>500.43617965853298</v>
      </c>
      <c r="AS8" s="41">
        <v>502.03166199390091</v>
      </c>
      <c r="AT8" s="41">
        <v>516.92793375464726</v>
      </c>
      <c r="AU8" s="41">
        <v>605.06100714295553</v>
      </c>
      <c r="AV8" s="41">
        <v>681.88235923350624</v>
      </c>
      <c r="AW8" s="41">
        <v>826.8165382011656</v>
      </c>
      <c r="AX8" s="41">
        <v>988.83939361254352</v>
      </c>
      <c r="AY8" s="41">
        <v>1224.0576120919659</v>
      </c>
      <c r="AZ8" s="41">
        <v>1400.0860073919735</v>
      </c>
      <c r="BA8" s="41">
        <v>1666.8998471633554</v>
      </c>
      <c r="BB8" s="41">
        <v>1444.2018989428816</v>
      </c>
      <c r="BC8" s="41">
        <v>1655.1301381372778</v>
      </c>
      <c r="BD8" s="41">
        <v>1827.5183468263458</v>
      </c>
      <c r="BE8" s="41">
        <v>1936.3909616992744</v>
      </c>
      <c r="BF8" s="41">
        <v>2123.3924332794145</v>
      </c>
      <c r="BG8" s="41">
        <v>2166.7433094176054</v>
      </c>
      <c r="BH8" s="41">
        <v>1886.2481579340335</v>
      </c>
      <c r="BI8" s="41">
        <v>1666.4224064789244</v>
      </c>
      <c r="BJ8" s="41">
        <v>1606.9783316168289</v>
      </c>
      <c r="BK8" s="41">
        <v>1695.9592150833503</v>
      </c>
      <c r="BL8" s="41">
        <v>1772.3391548403533</v>
      </c>
      <c r="BM8" s="41">
        <v>1714.4267999041531</v>
      </c>
    </row>
    <row r="9" spans="1:65" x14ac:dyDescent="0.35">
      <c r="A9" s="41" t="s">
        <v>116</v>
      </c>
      <c r="B9" s="41" t="s">
        <v>117</v>
      </c>
      <c r="C9" s="41" t="s">
        <v>659</v>
      </c>
      <c r="D9" s="41" t="s">
        <v>660</v>
      </c>
      <c r="Y9" s="41">
        <v>711.40957856020998</v>
      </c>
      <c r="Z9" s="41">
        <v>642.76819683155747</v>
      </c>
      <c r="AA9" s="41">
        <v>620.33312336460631</v>
      </c>
      <c r="AB9" s="41">
        <v>623.81536235158092</v>
      </c>
      <c r="AC9" s="41">
        <v>638.09900680171211</v>
      </c>
      <c r="AD9" s="41">
        <v>758.74506315215785</v>
      </c>
      <c r="AE9" s="41">
        <v>685.72812772666566</v>
      </c>
      <c r="AF9" s="41">
        <v>756.76792618997456</v>
      </c>
      <c r="AG9" s="41">
        <v>792.83301722834699</v>
      </c>
      <c r="AH9" s="41">
        <v>891.14928026438099</v>
      </c>
      <c r="AI9" s="41">
        <v>948.33817796567087</v>
      </c>
      <c r="AM9" s="41">
        <v>251.07834836730203</v>
      </c>
      <c r="AN9" s="41">
        <v>398.79099821208956</v>
      </c>
      <c r="AO9" s="41">
        <v>522.6796242552258</v>
      </c>
      <c r="AP9" s="41">
        <v>514.38517442575949</v>
      </c>
      <c r="AQ9" s="41">
        <v>423.61904897281516</v>
      </c>
      <c r="AR9" s="41">
        <v>387.78512406255464</v>
      </c>
      <c r="AS9" s="41">
        <v>556.83863167492666</v>
      </c>
      <c r="AT9" s="41">
        <v>527.33352853669066</v>
      </c>
      <c r="AU9" s="41">
        <v>872.49444179127261</v>
      </c>
      <c r="AV9" s="41">
        <v>982.96100777685001</v>
      </c>
      <c r="AW9" s="41">
        <v>1255.5645132554646</v>
      </c>
      <c r="AX9" s="41">
        <v>1902.4221497593699</v>
      </c>
      <c r="AY9" s="41">
        <v>2599.5659479306732</v>
      </c>
      <c r="AZ9" s="41">
        <v>3121.9960852808067</v>
      </c>
      <c r="BA9" s="41">
        <v>4080.9410337241698</v>
      </c>
      <c r="BB9" s="41">
        <v>3122.7815987073982</v>
      </c>
      <c r="BC9" s="41">
        <v>3587.8836446283685</v>
      </c>
      <c r="BD9" s="41">
        <v>4615.4682186381915</v>
      </c>
      <c r="BE9" s="41">
        <v>5100.09702685927</v>
      </c>
      <c r="BF9" s="41">
        <v>5254.8811260668299</v>
      </c>
      <c r="BG9" s="41">
        <v>5408.4117000208216</v>
      </c>
      <c r="BH9" s="41">
        <v>4166.9798333027802</v>
      </c>
      <c r="BI9" s="41">
        <v>3506.0731281883218</v>
      </c>
      <c r="BJ9" s="41">
        <v>4095.8100568706991</v>
      </c>
      <c r="BK9" s="41">
        <v>3289.6439947667841</v>
      </c>
      <c r="BL9" s="41">
        <v>2809.6260883912914</v>
      </c>
      <c r="BM9" s="41">
        <v>1895.770868913128</v>
      </c>
    </row>
    <row r="10" spans="1:65" x14ac:dyDescent="0.35">
      <c r="A10" s="41" t="s">
        <v>118</v>
      </c>
      <c r="B10" s="41" t="s">
        <v>119</v>
      </c>
      <c r="C10" s="41" t="s">
        <v>659</v>
      </c>
      <c r="D10" s="41" t="s">
        <v>660</v>
      </c>
      <c r="AC10" s="41">
        <v>639.48473584821056</v>
      </c>
      <c r="AD10" s="41">
        <v>639.86590944573436</v>
      </c>
      <c r="AE10" s="41">
        <v>693.87347463388733</v>
      </c>
      <c r="AF10" s="41">
        <v>674.7933830694916</v>
      </c>
      <c r="AG10" s="41">
        <v>652.77432139656617</v>
      </c>
      <c r="AH10" s="41">
        <v>697.99559657651946</v>
      </c>
      <c r="AI10" s="41">
        <v>617.23043551550541</v>
      </c>
      <c r="AJ10" s="41">
        <v>336.58699450462922</v>
      </c>
      <c r="AK10" s="41">
        <v>200.852219772323</v>
      </c>
      <c r="AL10" s="41">
        <v>367.27922507758115</v>
      </c>
      <c r="AM10" s="41">
        <v>586.41633964426148</v>
      </c>
      <c r="AN10" s="41">
        <v>750.6044491788258</v>
      </c>
      <c r="AO10" s="41">
        <v>1009.9776675210585</v>
      </c>
      <c r="AP10" s="41">
        <v>717.38056739173419</v>
      </c>
      <c r="AQ10" s="41">
        <v>813.79026355559904</v>
      </c>
      <c r="AR10" s="41">
        <v>1033.2416930931995</v>
      </c>
      <c r="AS10" s="41">
        <v>1126.683317627406</v>
      </c>
      <c r="AT10" s="41">
        <v>1281.6593934307411</v>
      </c>
      <c r="AU10" s="41">
        <v>1425.1248488836832</v>
      </c>
      <c r="AV10" s="41">
        <v>1846.1188133191222</v>
      </c>
      <c r="AW10" s="41">
        <v>2373.5798437199414</v>
      </c>
      <c r="AX10" s="41">
        <v>2673.787282531126</v>
      </c>
      <c r="AY10" s="41">
        <v>2972.743264621764</v>
      </c>
      <c r="AZ10" s="41">
        <v>3595.0371632151382</v>
      </c>
      <c r="BA10" s="41">
        <v>4370.5401269901404</v>
      </c>
      <c r="BB10" s="41">
        <v>4114.1401140492244</v>
      </c>
      <c r="BC10" s="41">
        <v>4094.3503344202027</v>
      </c>
      <c r="BD10" s="41">
        <v>4437.142885150769</v>
      </c>
      <c r="BE10" s="41">
        <v>4247.6299837425213</v>
      </c>
      <c r="BF10" s="41">
        <v>4413.0608612067617</v>
      </c>
      <c r="BG10" s="41">
        <v>4578.6319939824989</v>
      </c>
      <c r="BH10" s="41">
        <v>3952.801215244654</v>
      </c>
      <c r="BI10" s="41">
        <v>4124.0557259535217</v>
      </c>
      <c r="BJ10" s="41">
        <v>4531.0208055598578</v>
      </c>
      <c r="BK10" s="41">
        <v>5284.3801843815581</v>
      </c>
      <c r="BL10" s="41">
        <v>5355.847794590306</v>
      </c>
      <c r="BM10" s="41">
        <v>5215.2767523700286</v>
      </c>
    </row>
    <row r="11" spans="1:65" x14ac:dyDescent="0.35">
      <c r="A11" s="41" t="s">
        <v>120</v>
      </c>
      <c r="B11" s="41" t="s">
        <v>121</v>
      </c>
      <c r="C11" s="41" t="s">
        <v>659</v>
      </c>
      <c r="D11" s="41" t="s">
        <v>660</v>
      </c>
      <c r="O11" s="41">
        <v>3238.6902609720401</v>
      </c>
      <c r="P11" s="41">
        <v>3496.5320229666982</v>
      </c>
      <c r="Q11" s="41">
        <v>4218.2715991848581</v>
      </c>
      <c r="R11" s="41">
        <v>5342.1685604420836</v>
      </c>
      <c r="S11" s="41">
        <v>6320.8096316857163</v>
      </c>
      <c r="T11" s="41">
        <v>7169.1010055955585</v>
      </c>
      <c r="U11" s="41">
        <v>7151.2499094059876</v>
      </c>
      <c r="V11" s="41">
        <v>7751.8433074135701</v>
      </c>
      <c r="W11" s="41">
        <v>9127.8122797962442</v>
      </c>
      <c r="X11" s="41">
        <v>11818.473342703319</v>
      </c>
      <c r="Y11" s="41">
        <v>12378.784511133777</v>
      </c>
      <c r="Z11" s="41">
        <v>10372.786050001001</v>
      </c>
      <c r="AA11" s="41">
        <v>9610.0206157091161</v>
      </c>
      <c r="AB11" s="41">
        <v>8025.2076405403568</v>
      </c>
      <c r="AC11" s="41">
        <v>7728.9066945694276</v>
      </c>
      <c r="AD11" s="41">
        <v>7775.6142169163559</v>
      </c>
      <c r="AE11" s="41">
        <v>10361.147765173684</v>
      </c>
      <c r="AF11" s="41">
        <v>12615.126176914258</v>
      </c>
      <c r="AG11" s="41">
        <v>14304.640595474189</v>
      </c>
      <c r="AH11" s="41">
        <v>15165.28125517322</v>
      </c>
      <c r="AI11" s="41">
        <v>18878.852313064308</v>
      </c>
      <c r="AJ11" s="41">
        <v>19534.26363015376</v>
      </c>
      <c r="AK11" s="41">
        <v>20549.805575169547</v>
      </c>
      <c r="AL11" s="41">
        <v>16515.658395392358</v>
      </c>
      <c r="AM11" s="41">
        <v>16235.068037723866</v>
      </c>
      <c r="AN11" s="41">
        <v>18458.1739929996</v>
      </c>
      <c r="AO11" s="41">
        <v>19016.288187729322</v>
      </c>
      <c r="AP11" s="41">
        <v>18355.627860432116</v>
      </c>
      <c r="AQ11" s="41">
        <v>18895.110661320999</v>
      </c>
      <c r="AR11" s="41">
        <v>19262.308991040703</v>
      </c>
      <c r="AS11" s="41">
        <v>21854.246803061382</v>
      </c>
      <c r="AT11" s="41">
        <v>22970.512213361912</v>
      </c>
      <c r="AU11" s="41">
        <v>25067.240063913152</v>
      </c>
      <c r="AV11" s="41">
        <v>32272.845890987737</v>
      </c>
      <c r="AW11" s="41">
        <v>37966.187252439471</v>
      </c>
      <c r="AX11" s="41">
        <v>40064.224929219716</v>
      </c>
      <c r="AY11" s="41">
        <v>42674.758968109199</v>
      </c>
      <c r="AZ11" s="41">
        <v>47804.849934021069</v>
      </c>
      <c r="BA11" s="41">
        <v>48719.658769903639</v>
      </c>
      <c r="BB11" s="41">
        <v>43504.215652320177</v>
      </c>
      <c r="BC11" s="41">
        <v>40850.248143229692</v>
      </c>
      <c r="BD11" s="41">
        <v>43334.811412708797</v>
      </c>
      <c r="BE11" s="41">
        <v>38686.46126350751</v>
      </c>
      <c r="BF11" s="41">
        <v>39540.724813746063</v>
      </c>
      <c r="BG11" s="41">
        <v>41303.929371446415</v>
      </c>
      <c r="BH11" s="41">
        <v>35770.776704408534</v>
      </c>
      <c r="BI11" s="41">
        <v>37475.63505875261</v>
      </c>
      <c r="BJ11" s="41">
        <v>38964.90447826498</v>
      </c>
      <c r="BK11" s="41">
        <v>41791.969837241115</v>
      </c>
      <c r="BL11" s="41">
        <v>40897.330872866914</v>
      </c>
    </row>
    <row r="12" spans="1:65" x14ac:dyDescent="0.35">
      <c r="A12" s="41" t="s">
        <v>122</v>
      </c>
      <c r="B12" s="41" t="s">
        <v>123</v>
      </c>
      <c r="C12" s="41" t="s">
        <v>659</v>
      </c>
      <c r="D12" s="41" t="s">
        <v>660</v>
      </c>
      <c r="M12" s="41">
        <v>307.58697842785807</v>
      </c>
      <c r="N12" s="41">
        <v>328.31930638819949</v>
      </c>
      <c r="O12" s="41">
        <v>359.54698520610856</v>
      </c>
      <c r="P12" s="41">
        <v>404.8275044419475</v>
      </c>
      <c r="Q12" s="41">
        <v>469.974023430096</v>
      </c>
      <c r="R12" s="41">
        <v>578.69526380067362</v>
      </c>
      <c r="S12" s="41">
        <v>1063.5455093510882</v>
      </c>
      <c r="T12" s="41">
        <v>1143.7612348506436</v>
      </c>
      <c r="U12" s="41">
        <v>1377.5606683133933</v>
      </c>
      <c r="V12" s="41">
        <v>1536.2292119525735</v>
      </c>
      <c r="W12" s="41">
        <v>1632.798268773452</v>
      </c>
      <c r="X12" s="41">
        <v>2138.8244942860156</v>
      </c>
      <c r="Y12" s="41">
        <v>2802.4944941684071</v>
      </c>
      <c r="Z12" s="41">
        <v>2801.1605493660586</v>
      </c>
      <c r="AA12" s="41">
        <v>2549.4075968720476</v>
      </c>
      <c r="AB12" s="41">
        <v>2324.8460789333703</v>
      </c>
      <c r="AC12" s="41">
        <v>2288.0868074847476</v>
      </c>
      <c r="AD12" s="41">
        <v>2198.4670599160918</v>
      </c>
      <c r="AE12" s="41">
        <v>2038.4896788361698</v>
      </c>
      <c r="AF12" s="41">
        <v>2112.0715396057681</v>
      </c>
      <c r="AG12" s="41">
        <v>2019.8271993047681</v>
      </c>
      <c r="AH12" s="41">
        <v>2060.1615138342763</v>
      </c>
      <c r="AI12" s="41">
        <v>2750.960303805035</v>
      </c>
      <c r="AJ12" s="41">
        <v>1857.8212473075043</v>
      </c>
      <c r="AK12" s="41">
        <v>1952.8882468053575</v>
      </c>
      <c r="AL12" s="41">
        <v>1925.1132145924191</v>
      </c>
      <c r="AM12" s="41">
        <v>1930.0025350390849</v>
      </c>
      <c r="AN12" s="41">
        <v>2044.9259661276596</v>
      </c>
      <c r="AO12" s="41">
        <v>2191.2016819286514</v>
      </c>
      <c r="AP12" s="41">
        <v>2309.3705332606251</v>
      </c>
      <c r="AQ12" s="41">
        <v>2182.00789574685</v>
      </c>
      <c r="AR12" s="41">
        <v>2377.0230178913757</v>
      </c>
      <c r="AS12" s="41">
        <v>2678.314514353769</v>
      </c>
      <c r="AT12" s="41">
        <v>2536.7862562563682</v>
      </c>
      <c r="AU12" s="41">
        <v>2484.845185329325</v>
      </c>
      <c r="AV12" s="41">
        <v>2696.046922554453</v>
      </c>
      <c r="AW12" s="41">
        <v>3134.8724792364242</v>
      </c>
      <c r="AX12" s="41">
        <v>3765.9272944097593</v>
      </c>
      <c r="AY12" s="41">
        <v>4360.0642498731222</v>
      </c>
      <c r="AZ12" s="41">
        <v>4963.69998277986</v>
      </c>
      <c r="BA12" s="41">
        <v>6149.7117914480041</v>
      </c>
      <c r="BB12" s="41">
        <v>5180.5554699423828</v>
      </c>
      <c r="BC12" s="41">
        <v>5948.6743487115982</v>
      </c>
      <c r="BD12" s="41">
        <v>6870.0986164939495</v>
      </c>
      <c r="BE12" s="41">
        <v>7455.0418810325154</v>
      </c>
      <c r="BF12" s="41">
        <v>7505.1741915273715</v>
      </c>
      <c r="BG12" s="41">
        <v>7436.5800778952871</v>
      </c>
      <c r="BH12" s="41">
        <v>6346.0323468179167</v>
      </c>
      <c r="BI12" s="41">
        <v>6093.3310086020583</v>
      </c>
      <c r="BJ12" s="41">
        <v>6095.6634296619741</v>
      </c>
      <c r="BK12" s="41">
        <v>6568.9840516790246</v>
      </c>
      <c r="BL12" s="41">
        <v>6570.1741973340022</v>
      </c>
      <c r="BM12" s="41">
        <v>5802.1041286351947</v>
      </c>
    </row>
    <row r="13" spans="1:65" x14ac:dyDescent="0.35">
      <c r="A13" s="41" t="s">
        <v>124</v>
      </c>
      <c r="B13" s="41" t="s">
        <v>125</v>
      </c>
      <c r="C13" s="41" t="s">
        <v>659</v>
      </c>
      <c r="D13" s="41" t="s">
        <v>660</v>
      </c>
      <c r="T13" s="41">
        <v>26848.088176073812</v>
      </c>
      <c r="U13" s="41">
        <v>30117.948933030781</v>
      </c>
      <c r="V13" s="41">
        <v>33823.18166063683</v>
      </c>
      <c r="W13" s="41">
        <v>28457.078034209928</v>
      </c>
      <c r="X13" s="41">
        <v>33512.633423655876</v>
      </c>
      <c r="Y13" s="41">
        <v>42764.540556413885</v>
      </c>
      <c r="Z13" s="41">
        <v>44987.537990185185</v>
      </c>
      <c r="AA13" s="41">
        <v>40025.822623731707</v>
      </c>
      <c r="AB13" s="41">
        <v>34843.159626374851</v>
      </c>
      <c r="AC13" s="41">
        <v>32309.832713202795</v>
      </c>
      <c r="AD13" s="41">
        <v>29720.897718463391</v>
      </c>
      <c r="AE13" s="41">
        <v>23467.879317690476</v>
      </c>
      <c r="AF13" s="41">
        <v>23726.307049382525</v>
      </c>
      <c r="AG13" s="41">
        <v>22295.118706295241</v>
      </c>
      <c r="AH13" s="41">
        <v>24028.262497664633</v>
      </c>
      <c r="AI13" s="41">
        <v>27729.390593330518</v>
      </c>
      <c r="AJ13" s="41">
        <v>26612.253110067995</v>
      </c>
      <c r="AK13" s="41">
        <v>26420.859883407898</v>
      </c>
      <c r="AL13" s="41">
        <v>25596.739389562528</v>
      </c>
      <c r="AM13" s="41">
        <v>25848.016250094039</v>
      </c>
      <c r="AN13" s="41">
        <v>27221.934411742495</v>
      </c>
      <c r="AO13" s="41">
        <v>28975.079957271169</v>
      </c>
      <c r="AP13" s="41">
        <v>29512.674791825411</v>
      </c>
      <c r="AQ13" s="41">
        <v>26899.601766231022</v>
      </c>
      <c r="AR13" s="41">
        <v>28470.885858149006</v>
      </c>
      <c r="AS13" s="41">
        <v>33291.36625418382</v>
      </c>
      <c r="AT13" s="41">
        <v>31280.755864955503</v>
      </c>
      <c r="AU13" s="41">
        <v>31567.546306643941</v>
      </c>
      <c r="AV13" s="41">
        <v>33499.102776078558</v>
      </c>
      <c r="AW13" s="41">
        <v>36333.187333051719</v>
      </c>
      <c r="AX13" s="41">
        <v>39365.459640924477</v>
      </c>
      <c r="AY13" s="41">
        <v>41907.42146957013</v>
      </c>
      <c r="AZ13" s="41">
        <v>41809.462162631069</v>
      </c>
      <c r="BA13" s="41">
        <v>44498.940506913721</v>
      </c>
      <c r="BB13" s="41">
        <v>32024.19778232454</v>
      </c>
      <c r="BC13" s="41">
        <v>33893.26387273908</v>
      </c>
      <c r="BD13" s="41">
        <v>39194.672239974985</v>
      </c>
      <c r="BE13" s="41">
        <v>40976.490746401527</v>
      </c>
      <c r="BF13" s="41">
        <v>42412.639500270445</v>
      </c>
      <c r="BG13" s="41">
        <v>43751.805647866902</v>
      </c>
      <c r="BH13" s="41">
        <v>38663.400502660457</v>
      </c>
      <c r="BI13" s="41">
        <v>38141.867131345127</v>
      </c>
      <c r="BJ13" s="41">
        <v>40644.791190177173</v>
      </c>
      <c r="BK13" s="41">
        <v>43839.324486690311</v>
      </c>
      <c r="BL13" s="41">
        <v>43103.336292986925</v>
      </c>
    </row>
    <row r="14" spans="1:65" x14ac:dyDescent="0.35">
      <c r="A14" s="41" t="s">
        <v>126</v>
      </c>
      <c r="B14" s="41" t="s">
        <v>127</v>
      </c>
      <c r="C14" s="41" t="s">
        <v>659</v>
      </c>
      <c r="D14" s="41" t="s">
        <v>660</v>
      </c>
      <c r="G14" s="41">
        <v>1155.890716692574</v>
      </c>
      <c r="H14" s="41">
        <v>850.30457862423214</v>
      </c>
      <c r="I14" s="41">
        <v>1173.2381052551671</v>
      </c>
      <c r="J14" s="41">
        <v>1279.1137784812297</v>
      </c>
      <c r="K14" s="41">
        <v>1272.8032040100886</v>
      </c>
      <c r="L14" s="41">
        <v>1062.5434122744618</v>
      </c>
      <c r="M14" s="41">
        <v>1141.0804315410278</v>
      </c>
      <c r="N14" s="41">
        <v>1329.058546188998</v>
      </c>
      <c r="O14" s="41">
        <v>1322.5906375387387</v>
      </c>
      <c r="P14" s="41">
        <v>1372.3741735625636</v>
      </c>
      <c r="Q14" s="41">
        <v>1408.8653799310778</v>
      </c>
      <c r="R14" s="41">
        <v>2097.022830102947</v>
      </c>
      <c r="S14" s="41">
        <v>2844.8633123535128</v>
      </c>
      <c r="T14" s="41">
        <v>2027.3372022265949</v>
      </c>
      <c r="U14" s="41">
        <v>1948.2246858727208</v>
      </c>
      <c r="V14" s="41">
        <v>2129.7083607788754</v>
      </c>
      <c r="W14" s="41">
        <v>2146.3649589926504</v>
      </c>
      <c r="X14" s="41">
        <v>2520.9207160651567</v>
      </c>
      <c r="Y14" s="41">
        <v>2758.8348165265797</v>
      </c>
      <c r="Z14" s="41">
        <v>2776.3220882513924</v>
      </c>
      <c r="AA14" s="41">
        <v>2927.8973568513493</v>
      </c>
      <c r="AB14" s="41">
        <v>3553.3775087968384</v>
      </c>
      <c r="AC14" s="41">
        <v>2659.7082424700716</v>
      </c>
      <c r="AD14" s="41">
        <v>2926.1264853169769</v>
      </c>
      <c r="AE14" s="41">
        <v>3613.6217092763641</v>
      </c>
      <c r="AF14" s="41">
        <v>3562.8760587524789</v>
      </c>
      <c r="AG14" s="41">
        <v>3985.1924687496212</v>
      </c>
      <c r="AH14" s="41">
        <v>2383.8674706553347</v>
      </c>
      <c r="AI14" s="41">
        <v>4333.4833716802523</v>
      </c>
      <c r="AJ14" s="41">
        <v>5735.3599805847989</v>
      </c>
      <c r="AK14" s="41">
        <v>6823.53883710424</v>
      </c>
      <c r="AL14" s="41">
        <v>6969.1197290457148</v>
      </c>
      <c r="AM14" s="41">
        <v>7483.1403342572057</v>
      </c>
      <c r="AN14" s="41">
        <v>7408.708663631116</v>
      </c>
      <c r="AO14" s="41">
        <v>7721.3541046035489</v>
      </c>
      <c r="AP14" s="41">
        <v>8213.1251269370496</v>
      </c>
      <c r="AQ14" s="41">
        <v>8289.5075682024999</v>
      </c>
      <c r="AR14" s="41">
        <v>7774.7362028000052</v>
      </c>
      <c r="AS14" s="41">
        <v>7708.0991145404078</v>
      </c>
      <c r="AT14" s="41">
        <v>7208.3731135537191</v>
      </c>
      <c r="AU14" s="41">
        <v>2593.4045633680003</v>
      </c>
      <c r="AV14" s="41">
        <v>3349.8063003103571</v>
      </c>
      <c r="AW14" s="41">
        <v>4277.7215729095351</v>
      </c>
      <c r="AX14" s="41">
        <v>5109.8522449040256</v>
      </c>
      <c r="AY14" s="41">
        <v>5919.0123383771361</v>
      </c>
      <c r="AZ14" s="41">
        <v>7245.4468566719688</v>
      </c>
      <c r="BA14" s="41">
        <v>9020.8733231427359</v>
      </c>
      <c r="BB14" s="41">
        <v>8225.1375826164458</v>
      </c>
      <c r="BC14" s="41">
        <v>10385.964431955526</v>
      </c>
      <c r="BD14" s="41">
        <v>12848.86419697053</v>
      </c>
      <c r="BE14" s="41">
        <v>13082.664325571988</v>
      </c>
      <c r="BF14" s="41">
        <v>13080.254732336658</v>
      </c>
      <c r="BG14" s="41">
        <v>12334.798245389289</v>
      </c>
      <c r="BH14" s="41">
        <v>13789.060424772022</v>
      </c>
      <c r="BI14" s="41">
        <v>12790.242473244707</v>
      </c>
      <c r="BJ14" s="41">
        <v>14613.041824657957</v>
      </c>
      <c r="BK14" s="41">
        <v>11633.498008650256</v>
      </c>
      <c r="BL14" s="41">
        <v>9912.2818085986328</v>
      </c>
      <c r="BM14" s="41">
        <v>8441.919439109397</v>
      </c>
    </row>
    <row r="15" spans="1:65" x14ac:dyDescent="0.35">
      <c r="A15" s="41" t="s">
        <v>128</v>
      </c>
      <c r="B15" s="41" t="s">
        <v>129</v>
      </c>
      <c r="C15" s="41" t="s">
        <v>659</v>
      </c>
      <c r="D15" s="41" t="s">
        <v>660</v>
      </c>
      <c r="AI15" s="41">
        <v>637.85592120941021</v>
      </c>
      <c r="AJ15" s="41">
        <v>590.50587557977474</v>
      </c>
      <c r="AK15" s="41">
        <v>369.7072322765477</v>
      </c>
      <c r="AL15" s="41">
        <v>357.20284857539298</v>
      </c>
      <c r="AM15" s="41">
        <v>400.515593762192</v>
      </c>
      <c r="AN15" s="41">
        <v>456.37493327627317</v>
      </c>
      <c r="AO15" s="41">
        <v>504.05984264223349</v>
      </c>
      <c r="AP15" s="41">
        <v>523.28441070036695</v>
      </c>
      <c r="AQ15" s="41">
        <v>609.17165368465965</v>
      </c>
      <c r="AR15" s="41">
        <v>597.43289879227848</v>
      </c>
      <c r="AS15" s="41">
        <v>622.74092294528066</v>
      </c>
      <c r="AT15" s="41">
        <v>694.42345537322888</v>
      </c>
      <c r="AU15" s="41">
        <v>783.24121496009059</v>
      </c>
      <c r="AV15" s="41">
        <v>930.12547265412491</v>
      </c>
      <c r="AW15" s="41">
        <v>1191.9210056323773</v>
      </c>
      <c r="AX15" s="41">
        <v>1643.7568888914611</v>
      </c>
      <c r="AY15" s="41">
        <v>2158.1480742298018</v>
      </c>
      <c r="AZ15" s="41">
        <v>3139.2807103544769</v>
      </c>
      <c r="BA15" s="41">
        <v>4010.8613808483274</v>
      </c>
      <c r="BB15" s="41">
        <v>2994.3404709081628</v>
      </c>
      <c r="BC15" s="41">
        <v>3218.378299274189</v>
      </c>
      <c r="BD15" s="41">
        <v>3525.807198135572</v>
      </c>
      <c r="BE15" s="41">
        <v>3681.8446906049526</v>
      </c>
      <c r="BF15" s="41">
        <v>3838.1738799778586</v>
      </c>
      <c r="BG15" s="41">
        <v>3986.2316237671262</v>
      </c>
      <c r="BH15" s="41">
        <v>3607.2892985536109</v>
      </c>
      <c r="BI15" s="41">
        <v>3591.8280522163859</v>
      </c>
      <c r="BJ15" s="41">
        <v>3914.5278543669579</v>
      </c>
      <c r="BK15" s="41">
        <v>4220.5403207914524</v>
      </c>
      <c r="BL15" s="41">
        <v>4622.7381820885466</v>
      </c>
      <c r="BM15" s="41">
        <v>4267.4521193815672</v>
      </c>
    </row>
    <row r="16" spans="1:65" x14ac:dyDescent="0.35">
      <c r="A16" s="41" t="s">
        <v>130</v>
      </c>
      <c r="B16" s="41" t="s">
        <v>131</v>
      </c>
      <c r="C16" s="41" t="s">
        <v>659</v>
      </c>
      <c r="D16" s="41" t="s">
        <v>660</v>
      </c>
      <c r="AU16" s="41">
        <v>8666.6553819591372</v>
      </c>
      <c r="AV16" s="41">
        <v>8807.4628120010093</v>
      </c>
      <c r="AW16" s="41">
        <v>8528.2487768916289</v>
      </c>
      <c r="AX16" s="41">
        <v>8395.318770253707</v>
      </c>
      <c r="AY16" s="41">
        <v>8340.5234397469085</v>
      </c>
      <c r="AZ16" s="41">
        <v>8874.8779275960733</v>
      </c>
      <c r="BA16" s="41">
        <v>9740.8244912158643</v>
      </c>
      <c r="BB16" s="41">
        <v>11910.013233348038</v>
      </c>
      <c r="BC16" s="41">
        <v>10216.817630696813</v>
      </c>
      <c r="BD16" s="41">
        <v>10223.298358891579</v>
      </c>
      <c r="BE16" s="41">
        <v>11496.524097792308</v>
      </c>
      <c r="BF16" s="41">
        <v>11450.724195487912</v>
      </c>
      <c r="BG16" s="41">
        <v>11525.156387230916</v>
      </c>
      <c r="BH16" s="41">
        <v>12059.635164677633</v>
      </c>
      <c r="BI16" s="41">
        <v>12038.249699492277</v>
      </c>
      <c r="BJ16" s="41">
        <v>11003.829764280705</v>
      </c>
      <c r="BK16" s="41">
        <v>11557.671156308037</v>
      </c>
      <c r="BL16" s="41">
        <v>11534.567544113394</v>
      </c>
    </row>
    <row r="17" spans="1:65" x14ac:dyDescent="0.35">
      <c r="A17" s="41" t="s">
        <v>132</v>
      </c>
      <c r="B17" s="41" t="s">
        <v>133</v>
      </c>
      <c r="C17" s="41" t="s">
        <v>659</v>
      </c>
      <c r="D17" s="41" t="s">
        <v>660</v>
      </c>
      <c r="V17" s="41">
        <v>1246.6901596426064</v>
      </c>
      <c r="W17" s="41">
        <v>1416.5405313111557</v>
      </c>
      <c r="X17" s="41">
        <v>1760.8313244800297</v>
      </c>
      <c r="Y17" s="41">
        <v>2124.6185264814126</v>
      </c>
      <c r="Z17" s="41">
        <v>2392.6869579446898</v>
      </c>
      <c r="AA17" s="41">
        <v>2660.5580914355596</v>
      </c>
      <c r="AB17" s="41">
        <v>2948.3172754975471</v>
      </c>
      <c r="AC17" s="41">
        <v>3372.6020700552936</v>
      </c>
      <c r="AD17" s="41">
        <v>3899.3918396830104</v>
      </c>
      <c r="AE17" s="41">
        <v>4703.1794011843886</v>
      </c>
      <c r="AF17" s="41">
        <v>5463.5953826884424</v>
      </c>
      <c r="AG17" s="41">
        <v>6454.8354509177389</v>
      </c>
      <c r="AH17" s="41">
        <v>7076.5363349060353</v>
      </c>
      <c r="AI17" s="41">
        <v>7347.6463686432817</v>
      </c>
      <c r="AJ17" s="41">
        <v>7602.3453341446493</v>
      </c>
      <c r="AK17" s="41">
        <v>7745.7217996165227</v>
      </c>
      <c r="AL17" s="41">
        <v>8136.1885472744889</v>
      </c>
      <c r="AM17" s="41">
        <v>8771.1437274687814</v>
      </c>
      <c r="AN17" s="41">
        <v>8406.3589451520475</v>
      </c>
      <c r="AO17" s="41">
        <v>9030.5749776224002</v>
      </c>
      <c r="AP17" s="41">
        <v>9491.6607655949683</v>
      </c>
      <c r="AQ17" s="41">
        <v>9940.8522276903423</v>
      </c>
      <c r="AR17" s="41">
        <v>10260.599405415538</v>
      </c>
      <c r="AS17" s="41">
        <v>10872.292951575122</v>
      </c>
      <c r="AT17" s="41">
        <v>10367.319606816058</v>
      </c>
      <c r="AU17" s="41">
        <v>10401.050875903362</v>
      </c>
      <c r="AV17" s="41">
        <v>10797.951057183698</v>
      </c>
      <c r="AW17" s="41">
        <v>11446.969141718168</v>
      </c>
      <c r="AX17" s="41">
        <v>12557.54785007688</v>
      </c>
      <c r="AY17" s="41">
        <v>13995.804424384487</v>
      </c>
      <c r="AZ17" s="41">
        <v>15622.692871023804</v>
      </c>
      <c r="BA17" s="41">
        <v>16044.105796313212</v>
      </c>
      <c r="BB17" s="41">
        <v>14160.562000733542</v>
      </c>
      <c r="BC17" s="41">
        <v>13048.960581619902</v>
      </c>
      <c r="BD17" s="41">
        <v>12746.633468202093</v>
      </c>
      <c r="BE17" s="41">
        <v>13272.734944729369</v>
      </c>
      <c r="BF17" s="41">
        <v>12910.59062559445</v>
      </c>
      <c r="BG17" s="41">
        <v>13501.58092233674</v>
      </c>
      <c r="BH17" s="41">
        <v>14285.329777309129</v>
      </c>
      <c r="BI17" s="41">
        <v>15198.742966411184</v>
      </c>
      <c r="BJ17" s="41">
        <v>15383.576397985618</v>
      </c>
      <c r="BK17" s="41">
        <v>16673.436902555532</v>
      </c>
      <c r="BL17" s="41">
        <v>17113.349770508808</v>
      </c>
      <c r="BM17" s="41">
        <v>14449.996520497296</v>
      </c>
    </row>
    <row r="18" spans="1:65" x14ac:dyDescent="0.35">
      <c r="A18" s="41" t="s">
        <v>134</v>
      </c>
      <c r="B18" s="41" t="s">
        <v>135</v>
      </c>
      <c r="C18" s="41" t="s">
        <v>659</v>
      </c>
      <c r="D18" s="41" t="s">
        <v>660</v>
      </c>
      <c r="E18" s="41">
        <v>1807.7857102120645</v>
      </c>
      <c r="F18" s="41">
        <v>1874.7321057712572</v>
      </c>
      <c r="G18" s="41">
        <v>1851.8418507458839</v>
      </c>
      <c r="H18" s="41">
        <v>1964.1504696359048</v>
      </c>
      <c r="I18" s="41">
        <v>2128.0683550920189</v>
      </c>
      <c r="J18" s="41">
        <v>2277.5583976043613</v>
      </c>
      <c r="K18" s="41">
        <v>2340.438684606172</v>
      </c>
      <c r="L18" s="41">
        <v>2576.2845085275044</v>
      </c>
      <c r="M18" s="41">
        <v>2720.0826094879881</v>
      </c>
      <c r="N18" s="41">
        <v>2986.9495074478618</v>
      </c>
      <c r="O18" s="41">
        <v>3299.8432066305832</v>
      </c>
      <c r="P18" s="41">
        <v>3489.9522936835801</v>
      </c>
      <c r="Q18" s="41">
        <v>3943.7876390397032</v>
      </c>
      <c r="R18" s="41">
        <v>4763.6283896815976</v>
      </c>
      <c r="S18" s="41">
        <v>6473.165152973259</v>
      </c>
      <c r="T18" s="41">
        <v>6994.3082181553818</v>
      </c>
      <c r="U18" s="41">
        <v>7476.7487477451914</v>
      </c>
      <c r="V18" s="41">
        <v>7765.0705443492743</v>
      </c>
      <c r="W18" s="41">
        <v>8241.9972758729618</v>
      </c>
      <c r="X18" s="41">
        <v>9281.5233560545821</v>
      </c>
      <c r="Y18" s="41">
        <v>10194.394539085564</v>
      </c>
      <c r="Z18" s="41">
        <v>11833.743211505795</v>
      </c>
      <c r="AA18" s="41">
        <v>12766.522252171724</v>
      </c>
      <c r="AB18" s="41">
        <v>11518.668519206798</v>
      </c>
      <c r="AC18" s="41">
        <v>12431.945848830783</v>
      </c>
      <c r="AD18" s="41">
        <v>11437.713137678196</v>
      </c>
      <c r="AE18" s="41">
        <v>11364.239462614636</v>
      </c>
      <c r="AF18" s="41">
        <v>11624.620960702781</v>
      </c>
      <c r="AG18" s="41">
        <v>14254.513564448447</v>
      </c>
      <c r="AH18" s="41">
        <v>17798.55637134274</v>
      </c>
      <c r="AI18" s="41">
        <v>18211.5000581403</v>
      </c>
      <c r="AJ18" s="41">
        <v>18821.795259736642</v>
      </c>
      <c r="AK18" s="41">
        <v>18570.120461791557</v>
      </c>
      <c r="AL18" s="41">
        <v>17634.534752009036</v>
      </c>
      <c r="AM18" s="41">
        <v>18046.136480687608</v>
      </c>
      <c r="AN18" s="41">
        <v>20319.630628395571</v>
      </c>
      <c r="AO18" s="41">
        <v>21861.325509869977</v>
      </c>
      <c r="AP18" s="41">
        <v>23468.596830637402</v>
      </c>
      <c r="AQ18" s="41">
        <v>21318.964169431812</v>
      </c>
      <c r="AR18" s="41">
        <v>20533.035061906994</v>
      </c>
      <c r="AS18" s="41">
        <v>21679.24784241465</v>
      </c>
      <c r="AT18" s="41">
        <v>19490.861109730293</v>
      </c>
      <c r="AU18" s="41">
        <v>20082.483267274929</v>
      </c>
      <c r="AV18" s="41">
        <v>23447.031000671661</v>
      </c>
      <c r="AW18" s="41">
        <v>30430.676437444316</v>
      </c>
      <c r="AX18" s="41">
        <v>33999.242857583544</v>
      </c>
      <c r="AY18" s="41">
        <v>36044.922810848482</v>
      </c>
      <c r="AZ18" s="41">
        <v>40960.054494819851</v>
      </c>
      <c r="BA18" s="41">
        <v>49601.656708217793</v>
      </c>
      <c r="BB18" s="41">
        <v>42772.359166449794</v>
      </c>
      <c r="BC18" s="41">
        <v>52022.125596187558</v>
      </c>
      <c r="BD18" s="41">
        <v>62517.833747150289</v>
      </c>
      <c r="BE18" s="41">
        <v>68012.147900593409</v>
      </c>
      <c r="BF18" s="41">
        <v>68150.107041321491</v>
      </c>
      <c r="BG18" s="41">
        <v>62510.791170564138</v>
      </c>
      <c r="BH18" s="41">
        <v>56755.7217124249</v>
      </c>
      <c r="BI18" s="41">
        <v>49971.131456129013</v>
      </c>
      <c r="BJ18" s="41">
        <v>54027.966818456778</v>
      </c>
      <c r="BK18" s="41">
        <v>57354.964045589106</v>
      </c>
      <c r="BL18" s="41">
        <v>55057.204696066612</v>
      </c>
      <c r="BM18" s="41">
        <v>51812.154037398781</v>
      </c>
    </row>
    <row r="19" spans="1:65" x14ac:dyDescent="0.35">
      <c r="A19" s="41" t="s">
        <v>136</v>
      </c>
      <c r="B19" s="41" t="s">
        <v>137</v>
      </c>
      <c r="C19" s="41" t="s">
        <v>659</v>
      </c>
      <c r="D19" s="41" t="s">
        <v>660</v>
      </c>
      <c r="E19" s="41">
        <v>935.46042685041539</v>
      </c>
      <c r="F19" s="41">
        <v>1031.8150043290987</v>
      </c>
      <c r="G19" s="41">
        <v>1087.8342434189017</v>
      </c>
      <c r="H19" s="41">
        <v>1167.0005324458452</v>
      </c>
      <c r="I19" s="41">
        <v>1269.4125828925592</v>
      </c>
      <c r="J19" s="41">
        <v>1374.5321398607475</v>
      </c>
      <c r="K19" s="41">
        <v>1486.9686060056572</v>
      </c>
      <c r="L19" s="41">
        <v>1569.6671828996664</v>
      </c>
      <c r="M19" s="41">
        <v>1677.6735280427151</v>
      </c>
      <c r="N19" s="41">
        <v>1825.3861255212357</v>
      </c>
      <c r="O19" s="41">
        <v>2058.7690508754913</v>
      </c>
      <c r="P19" s="41">
        <v>2380.9784580174228</v>
      </c>
      <c r="Q19" s="41">
        <v>2924.0488789910492</v>
      </c>
      <c r="R19" s="41">
        <v>3890.722419419687</v>
      </c>
      <c r="S19" s="41">
        <v>4630.7571973795593</v>
      </c>
      <c r="T19" s="41">
        <v>5285.620724141213</v>
      </c>
      <c r="U19" s="41">
        <v>5678.3866581001785</v>
      </c>
      <c r="V19" s="41">
        <v>6810.6276846963356</v>
      </c>
      <c r="W19" s="41">
        <v>8205.4689771503963</v>
      </c>
      <c r="X19" s="41">
        <v>9793.7653481501675</v>
      </c>
      <c r="Y19" s="41">
        <v>10869.546494052551</v>
      </c>
      <c r="Z19" s="41">
        <v>9385.2490639834323</v>
      </c>
      <c r="AA19" s="41">
        <v>9410.3472565298889</v>
      </c>
      <c r="AB19" s="41">
        <v>9537.4074204337758</v>
      </c>
      <c r="AC19" s="41">
        <v>8991.0650396302608</v>
      </c>
      <c r="AD19" s="41">
        <v>9172.0967600183285</v>
      </c>
      <c r="AE19" s="41">
        <v>13083.072662104383</v>
      </c>
      <c r="AF19" s="41">
        <v>16392.769523474904</v>
      </c>
      <c r="AG19" s="41">
        <v>17578.618939739667</v>
      </c>
      <c r="AH19" s="41">
        <v>17468.946137256946</v>
      </c>
      <c r="AI19" s="41">
        <v>21680.989623313002</v>
      </c>
      <c r="AJ19" s="41">
        <v>22410.911766665427</v>
      </c>
      <c r="AK19" s="41">
        <v>24880.164118036148</v>
      </c>
      <c r="AL19" s="41">
        <v>24081.527792800422</v>
      </c>
      <c r="AM19" s="41">
        <v>25646.700659168418</v>
      </c>
      <c r="AN19" s="41">
        <v>30325.849581839615</v>
      </c>
      <c r="AO19" s="41">
        <v>29809.076773082146</v>
      </c>
      <c r="AP19" s="41">
        <v>26705.478599389131</v>
      </c>
      <c r="AQ19" s="41">
        <v>27361.875110643698</v>
      </c>
      <c r="AR19" s="41">
        <v>27174.29715597754</v>
      </c>
      <c r="AS19" s="41">
        <v>24564.458294840359</v>
      </c>
      <c r="AT19" s="41">
        <v>24537.51426298829</v>
      </c>
      <c r="AU19" s="41">
        <v>26401.74545643567</v>
      </c>
      <c r="AV19" s="41">
        <v>32222.897241165541</v>
      </c>
      <c r="AW19" s="41">
        <v>36821.521468009327</v>
      </c>
      <c r="AX19" s="41">
        <v>38403.133877071479</v>
      </c>
      <c r="AY19" s="41">
        <v>40635.281815972434</v>
      </c>
      <c r="AZ19" s="41">
        <v>46855.771745209517</v>
      </c>
      <c r="BA19" s="41">
        <v>51708.765754175831</v>
      </c>
      <c r="BB19" s="41">
        <v>47963.179402321686</v>
      </c>
      <c r="BC19" s="41">
        <v>46858.043273371695</v>
      </c>
      <c r="BD19" s="41">
        <v>51374.958406693382</v>
      </c>
      <c r="BE19" s="41">
        <v>48567.695286420021</v>
      </c>
      <c r="BF19" s="41">
        <v>50716.708706286357</v>
      </c>
      <c r="BG19" s="41">
        <v>51717.495940551496</v>
      </c>
      <c r="BH19" s="41">
        <v>44178.047377743205</v>
      </c>
      <c r="BI19" s="41">
        <v>45276.83143516929</v>
      </c>
      <c r="BJ19" s="41">
        <v>47309.366273528154</v>
      </c>
      <c r="BK19" s="41">
        <v>51453.147023801575</v>
      </c>
      <c r="BL19" s="41">
        <v>50121.554213118601</v>
      </c>
      <c r="BM19" s="41">
        <v>48105.364624841124</v>
      </c>
    </row>
    <row r="20" spans="1:65" x14ac:dyDescent="0.35">
      <c r="A20" s="41" t="s">
        <v>138</v>
      </c>
      <c r="B20" s="41" t="s">
        <v>139</v>
      </c>
      <c r="C20" s="41" t="s">
        <v>659</v>
      </c>
      <c r="D20" s="41" t="s">
        <v>660</v>
      </c>
      <c r="AK20" s="41">
        <v>60.458623077154634</v>
      </c>
      <c r="AL20" s="41">
        <v>209.472981987992</v>
      </c>
      <c r="AM20" s="41">
        <v>157.07675423335897</v>
      </c>
      <c r="AN20" s="41">
        <v>314.55508653692289</v>
      </c>
      <c r="AO20" s="41">
        <v>409.16318910647857</v>
      </c>
      <c r="AP20" s="41">
        <v>505.5003493331044</v>
      </c>
      <c r="AQ20" s="41">
        <v>561.9068078718692</v>
      </c>
      <c r="AR20" s="41">
        <v>573.91651233408936</v>
      </c>
      <c r="AS20" s="41">
        <v>655.11994517081644</v>
      </c>
      <c r="AT20" s="41">
        <v>703.68384343272237</v>
      </c>
      <c r="AU20" s="41">
        <v>763.08063798535818</v>
      </c>
      <c r="AV20" s="41">
        <v>883.73397149845232</v>
      </c>
      <c r="AW20" s="41">
        <v>1045.0093791680526</v>
      </c>
      <c r="AX20" s="41">
        <v>1578.4023902960269</v>
      </c>
      <c r="AY20" s="41">
        <v>2473.0818186353627</v>
      </c>
      <c r="AZ20" s="41">
        <v>3851.4378687117223</v>
      </c>
      <c r="BA20" s="41">
        <v>5574.6038021861259</v>
      </c>
      <c r="BB20" s="41">
        <v>4950.2947914237511</v>
      </c>
      <c r="BC20" s="41">
        <v>5843.5337683582002</v>
      </c>
      <c r="BD20" s="41">
        <v>7189.6912292076549</v>
      </c>
      <c r="BE20" s="41">
        <v>7496.2946476826328</v>
      </c>
      <c r="BF20" s="41">
        <v>7875.756952542878</v>
      </c>
      <c r="BG20" s="41">
        <v>7891.313147499859</v>
      </c>
      <c r="BH20" s="41">
        <v>5500.3103824440796</v>
      </c>
      <c r="BI20" s="41">
        <v>3880.7387308955604</v>
      </c>
      <c r="BJ20" s="41">
        <v>4147.0897156917072</v>
      </c>
      <c r="BK20" s="41">
        <v>4739.8417102839276</v>
      </c>
      <c r="BL20" s="41">
        <v>4805.7537176591732</v>
      </c>
      <c r="BM20" s="41">
        <v>4214.3113363474995</v>
      </c>
    </row>
    <row r="21" spans="1:65" x14ac:dyDescent="0.35">
      <c r="A21" s="41" t="s">
        <v>140</v>
      </c>
      <c r="B21" s="41" t="s">
        <v>141</v>
      </c>
      <c r="C21" s="41" t="s">
        <v>659</v>
      </c>
      <c r="D21" s="41" t="s">
        <v>660</v>
      </c>
      <c r="E21" s="41">
        <v>70.05190989751334</v>
      </c>
      <c r="F21" s="41">
        <v>71.167188208823475</v>
      </c>
      <c r="G21" s="41">
        <v>73.435330820136755</v>
      </c>
      <c r="H21" s="41">
        <v>78.514620754981763</v>
      </c>
      <c r="I21" s="41">
        <v>86.161549513397915</v>
      </c>
      <c r="J21" s="41">
        <v>51.38188125786926</v>
      </c>
      <c r="K21" s="41">
        <v>52.182551698084914</v>
      </c>
      <c r="L21" s="41">
        <v>54.80644312077218</v>
      </c>
      <c r="M21" s="41">
        <v>54.900762077718142</v>
      </c>
      <c r="N21" s="41">
        <v>55.714933902958251</v>
      </c>
      <c r="O21" s="41">
        <v>69.769384182718781</v>
      </c>
      <c r="P21" s="41">
        <v>71.626709834075271</v>
      </c>
      <c r="Q21" s="41">
        <v>69.13961473267625</v>
      </c>
      <c r="R21" s="41">
        <v>84.418782052232814</v>
      </c>
      <c r="S21" s="41">
        <v>94.685399537161317</v>
      </c>
      <c r="T21" s="41">
        <v>113.75315611957771</v>
      </c>
      <c r="U21" s="41">
        <v>118.91493305873402</v>
      </c>
      <c r="V21" s="41">
        <v>142.05298389328988</v>
      </c>
      <c r="W21" s="41">
        <v>154.51627329941871</v>
      </c>
      <c r="X21" s="41">
        <v>193.14996391638869</v>
      </c>
      <c r="Y21" s="41">
        <v>221.23194178780309</v>
      </c>
      <c r="Z21" s="41">
        <v>227.12812002912599</v>
      </c>
      <c r="AA21" s="41">
        <v>231.34369384717866</v>
      </c>
      <c r="AB21" s="41">
        <v>240.7817031839524</v>
      </c>
      <c r="AC21" s="41">
        <v>213.61684136555201</v>
      </c>
      <c r="AD21" s="41">
        <v>242.05850381016825</v>
      </c>
      <c r="AE21" s="41">
        <v>245.9153274962739</v>
      </c>
      <c r="AF21" s="41">
        <v>225.07147578873463</v>
      </c>
      <c r="AG21" s="41">
        <v>209.41486084378872</v>
      </c>
      <c r="AH21" s="41">
        <v>209.89441260543074</v>
      </c>
      <c r="AI21" s="41">
        <v>208.14667889906409</v>
      </c>
      <c r="AJ21" s="41">
        <v>209.77801100678369</v>
      </c>
      <c r="AK21" s="41">
        <v>190.48887993529584</v>
      </c>
      <c r="AL21" s="41">
        <v>161.88752502587232</v>
      </c>
      <c r="AM21" s="41">
        <v>156.81238097972508</v>
      </c>
      <c r="AN21" s="41">
        <v>167.09888784603569</v>
      </c>
      <c r="AO21" s="41">
        <v>143.40232377252116</v>
      </c>
      <c r="AP21" s="41">
        <v>158.91466988048685</v>
      </c>
      <c r="AQ21" s="41">
        <v>144.49301730248712</v>
      </c>
      <c r="AR21" s="41">
        <v>128.93891868972065</v>
      </c>
      <c r="AS21" s="41">
        <v>136.46397080034015</v>
      </c>
      <c r="AT21" s="41">
        <v>134.36342691762275</v>
      </c>
      <c r="AU21" s="41">
        <v>123.1175361410868</v>
      </c>
      <c r="AV21" s="41">
        <v>113.56725130887475</v>
      </c>
      <c r="AW21" s="41">
        <v>128.33670281090531</v>
      </c>
      <c r="AX21" s="41">
        <v>151.68156634300161</v>
      </c>
      <c r="AY21" s="41">
        <v>167.37646250499455</v>
      </c>
      <c r="AZ21" s="41">
        <v>172.49559664894116</v>
      </c>
      <c r="BA21" s="41">
        <v>198.35285173636689</v>
      </c>
      <c r="BB21" s="41">
        <v>212.13705721999719</v>
      </c>
      <c r="BC21" s="41">
        <v>234.23553253365358</v>
      </c>
      <c r="BD21" s="41">
        <v>249.57797276983553</v>
      </c>
      <c r="BE21" s="41">
        <v>252.35886630921084</v>
      </c>
      <c r="BF21" s="41">
        <v>256.97564712263488</v>
      </c>
      <c r="BG21" s="41">
        <v>274.85784215536592</v>
      </c>
      <c r="BH21" s="41">
        <v>305.54964602324463</v>
      </c>
      <c r="BI21" s="41">
        <v>282.19302846461244</v>
      </c>
      <c r="BJ21" s="41">
        <v>292.99800954864673</v>
      </c>
      <c r="BK21" s="41">
        <v>271.752496382505</v>
      </c>
      <c r="BL21" s="41">
        <v>261.24529116164001</v>
      </c>
      <c r="BM21" s="41">
        <v>274.00952322909535</v>
      </c>
    </row>
    <row r="22" spans="1:65" x14ac:dyDescent="0.35">
      <c r="A22" s="41" t="s">
        <v>142</v>
      </c>
      <c r="B22" s="41" t="s">
        <v>143</v>
      </c>
      <c r="C22" s="41" t="s">
        <v>659</v>
      </c>
      <c r="D22" s="41" t="s">
        <v>660</v>
      </c>
      <c r="E22" s="41">
        <v>1273.6916591028862</v>
      </c>
      <c r="F22" s="41">
        <v>1350.1976733312283</v>
      </c>
      <c r="G22" s="41">
        <v>1438.523233068398</v>
      </c>
      <c r="H22" s="41">
        <v>1535.0237290104324</v>
      </c>
      <c r="I22" s="41">
        <v>1701.8462755431949</v>
      </c>
      <c r="J22" s="41">
        <v>1835.5947655319421</v>
      </c>
      <c r="K22" s="41">
        <v>1957.6260804276205</v>
      </c>
      <c r="L22" s="41">
        <v>2086.636005446544</v>
      </c>
      <c r="M22" s="41">
        <v>2222.3615105191348</v>
      </c>
      <c r="N22" s="41">
        <v>2458.081820037733</v>
      </c>
      <c r="O22" s="41">
        <v>2765.8909966479441</v>
      </c>
      <c r="P22" s="41">
        <v>3082.9279887912571</v>
      </c>
      <c r="Q22" s="41">
        <v>3831.6318999943292</v>
      </c>
      <c r="R22" s="41">
        <v>4900.9622007586613</v>
      </c>
      <c r="S22" s="41">
        <v>5733.7981393387799</v>
      </c>
      <c r="T22" s="41">
        <v>6701.3773605243277</v>
      </c>
      <c r="U22" s="41">
        <v>7243.0473411958292</v>
      </c>
      <c r="V22" s="41">
        <v>8426.9469594737202</v>
      </c>
      <c r="W22" s="41">
        <v>10289.768417329609</v>
      </c>
      <c r="X22" s="41">
        <v>11810.61587547254</v>
      </c>
      <c r="Y22" s="41">
        <v>12864.002566139616</v>
      </c>
      <c r="Z22" s="41">
        <v>10622.802483078915</v>
      </c>
      <c r="AA22" s="41">
        <v>9343.861099596179</v>
      </c>
      <c r="AB22" s="41">
        <v>8846.2342984697352</v>
      </c>
      <c r="AC22" s="41">
        <v>8457.268803163739</v>
      </c>
      <c r="AD22" s="41">
        <v>8750.8185125053551</v>
      </c>
      <c r="AE22" s="41">
        <v>12170.040696270156</v>
      </c>
      <c r="AF22" s="41">
        <v>15135.852311696835</v>
      </c>
      <c r="AG22" s="41">
        <v>16391.093827791021</v>
      </c>
      <c r="AH22" s="41">
        <v>16525.061743284838</v>
      </c>
      <c r="AI22" s="41">
        <v>20600.375278982698</v>
      </c>
      <c r="AJ22" s="41">
        <v>21041.660651964783</v>
      </c>
      <c r="AK22" s="41">
        <v>23372.619171015031</v>
      </c>
      <c r="AL22" s="41">
        <v>22283.936021355126</v>
      </c>
      <c r="AM22" s="41">
        <v>24208.554793144656</v>
      </c>
      <c r="AN22" s="41">
        <v>28413.826438736807</v>
      </c>
      <c r="AO22" s="41">
        <v>27489.555177048835</v>
      </c>
      <c r="AP22" s="41">
        <v>24820.93805038961</v>
      </c>
      <c r="AQ22" s="41">
        <v>25338.443293490422</v>
      </c>
      <c r="AR22" s="41">
        <v>25244.275047481318</v>
      </c>
      <c r="AS22" s="41">
        <v>23041.534729042807</v>
      </c>
      <c r="AT22" s="41">
        <v>22995.157524728835</v>
      </c>
      <c r="AU22" s="41">
        <v>24887.561334183294</v>
      </c>
      <c r="AV22" s="41">
        <v>30587.668409379563</v>
      </c>
      <c r="AW22" s="41">
        <v>35364.375331436844</v>
      </c>
      <c r="AX22" s="41">
        <v>36795.976881963943</v>
      </c>
      <c r="AY22" s="41">
        <v>38672.705942976747</v>
      </c>
      <c r="AZ22" s="41">
        <v>44262.896000995432</v>
      </c>
      <c r="BA22" s="41">
        <v>48106.892915787968</v>
      </c>
      <c r="BB22" s="41">
        <v>44583.544807081358</v>
      </c>
      <c r="BC22" s="41">
        <v>44141.878141573383</v>
      </c>
      <c r="BD22" s="41">
        <v>47348.525020201632</v>
      </c>
      <c r="BE22" s="41">
        <v>44673.115875590134</v>
      </c>
      <c r="BF22" s="41">
        <v>46744.662544151564</v>
      </c>
      <c r="BG22" s="41">
        <v>47700.54036011784</v>
      </c>
      <c r="BH22" s="41">
        <v>40991.808138143228</v>
      </c>
      <c r="BI22" s="41">
        <v>41984.103033560918</v>
      </c>
      <c r="BJ22" s="41">
        <v>44089.310087511847</v>
      </c>
      <c r="BK22" s="41">
        <v>47554.746307893678</v>
      </c>
      <c r="BL22" s="41">
        <v>46414.435233435383</v>
      </c>
      <c r="BM22" s="41">
        <v>44594.378107562792</v>
      </c>
    </row>
    <row r="23" spans="1:65" x14ac:dyDescent="0.35">
      <c r="A23" s="41" t="s">
        <v>144</v>
      </c>
      <c r="B23" s="41" t="s">
        <v>145</v>
      </c>
      <c r="C23" s="41" t="s">
        <v>659</v>
      </c>
      <c r="D23" s="41" t="s">
        <v>660</v>
      </c>
      <c r="E23" s="41">
        <v>93.022700267768329</v>
      </c>
      <c r="F23" s="41">
        <v>95.572232230873766</v>
      </c>
      <c r="G23" s="41">
        <v>94.464497242303565</v>
      </c>
      <c r="H23" s="41">
        <v>99.858917533894598</v>
      </c>
      <c r="I23" s="41">
        <v>104.33992943407216</v>
      </c>
      <c r="J23" s="41">
        <v>110.13258464497174</v>
      </c>
      <c r="K23" s="41">
        <v>112.94083638351198</v>
      </c>
      <c r="L23" s="41">
        <v>111.95156099690256</v>
      </c>
      <c r="M23" s="41">
        <v>116.89514976993881</v>
      </c>
      <c r="N23" s="41">
        <v>116.02525714589184</v>
      </c>
      <c r="O23" s="41">
        <v>114.55667513683719</v>
      </c>
      <c r="P23" s="41">
        <v>112.56997563164569</v>
      </c>
      <c r="Q23" s="41">
        <v>134.81958512129725</v>
      </c>
      <c r="R23" s="41">
        <v>161.98706152505693</v>
      </c>
      <c r="S23" s="41">
        <v>174.01409449139697</v>
      </c>
      <c r="T23" s="41">
        <v>207.30031276854405</v>
      </c>
      <c r="U23" s="41">
        <v>208.65640318291173</v>
      </c>
      <c r="V23" s="41">
        <v>218.45398401670556</v>
      </c>
      <c r="W23" s="41">
        <v>263.58143153799045</v>
      </c>
      <c r="X23" s="41">
        <v>327.82231216256309</v>
      </c>
      <c r="Y23" s="41">
        <v>378.0443051131831</v>
      </c>
      <c r="Z23" s="41">
        <v>337.9783716852848</v>
      </c>
      <c r="AA23" s="41">
        <v>322.77745291496171</v>
      </c>
      <c r="AB23" s="41">
        <v>271.12984423497744</v>
      </c>
      <c r="AC23" s="41">
        <v>252.8697850447877</v>
      </c>
      <c r="AD23" s="41">
        <v>244.41094173310134</v>
      </c>
      <c r="AE23" s="41">
        <v>303.34903560315774</v>
      </c>
      <c r="AF23" s="41">
        <v>344.50314675279697</v>
      </c>
      <c r="AG23" s="41">
        <v>346.73663130027666</v>
      </c>
      <c r="AH23" s="41">
        <v>311.67804520770068</v>
      </c>
      <c r="AI23" s="41">
        <v>393.68676796567996</v>
      </c>
      <c r="AJ23" s="41">
        <v>385.75384074547532</v>
      </c>
      <c r="AK23" s="41">
        <v>317.96273601586682</v>
      </c>
      <c r="AL23" s="41">
        <v>411.92617972324609</v>
      </c>
      <c r="AM23" s="41">
        <v>279.66675122632847</v>
      </c>
      <c r="AN23" s="41">
        <v>367.38769523148903</v>
      </c>
      <c r="AO23" s="41">
        <v>387.4320752561303</v>
      </c>
      <c r="AP23" s="41">
        <v>361.0999994736502</v>
      </c>
      <c r="AQ23" s="41">
        <v>379.44178387283449</v>
      </c>
      <c r="AR23" s="41">
        <v>551.82138521254171</v>
      </c>
      <c r="AS23" s="41">
        <v>512.67391854283505</v>
      </c>
      <c r="AT23" s="41">
        <v>518.06747890214854</v>
      </c>
      <c r="AU23" s="41">
        <v>574.92977619632632</v>
      </c>
      <c r="AV23" s="41">
        <v>711.28492266943579</v>
      </c>
      <c r="AW23" s="41">
        <v>798.74425559261681</v>
      </c>
      <c r="AX23" s="41">
        <v>822.78520140989485</v>
      </c>
      <c r="AY23" s="41">
        <v>856.05487576620328</v>
      </c>
      <c r="AZ23" s="41">
        <v>966.20358101239992</v>
      </c>
      <c r="BA23" s="41">
        <v>1125.42602943016</v>
      </c>
      <c r="BB23" s="41">
        <v>1088.7578516978281</v>
      </c>
      <c r="BC23" s="41">
        <v>1036.5345941625235</v>
      </c>
      <c r="BD23" s="41">
        <v>1130.2731895942713</v>
      </c>
      <c r="BE23" s="41">
        <v>1145.1400185446203</v>
      </c>
      <c r="BF23" s="41">
        <v>1251.2097070283387</v>
      </c>
      <c r="BG23" s="41">
        <v>1291.4101066676717</v>
      </c>
      <c r="BH23" s="41">
        <v>1076.7967015302199</v>
      </c>
      <c r="BI23" s="41">
        <v>1087.2873038485295</v>
      </c>
      <c r="BJ23" s="41">
        <v>1136.5939704625421</v>
      </c>
      <c r="BK23" s="41">
        <v>1240.8309618606559</v>
      </c>
      <c r="BL23" s="41">
        <v>1219.5154785353541</v>
      </c>
      <c r="BM23" s="41">
        <v>1291.0409620364474</v>
      </c>
    </row>
    <row r="24" spans="1:65" x14ac:dyDescent="0.35">
      <c r="A24" s="41" t="s">
        <v>146</v>
      </c>
      <c r="B24" s="41" t="s">
        <v>147</v>
      </c>
      <c r="C24" s="41" t="s">
        <v>659</v>
      </c>
      <c r="D24" s="41" t="s">
        <v>660</v>
      </c>
      <c r="E24" s="41">
        <v>68.424734400624729</v>
      </c>
      <c r="F24" s="41">
        <v>71.558180092437041</v>
      </c>
      <c r="G24" s="41">
        <v>76.52054931454299</v>
      </c>
      <c r="H24" s="41">
        <v>78.372195833032862</v>
      </c>
      <c r="I24" s="41">
        <v>80.472718120738492</v>
      </c>
      <c r="J24" s="41">
        <v>81.725052324792458</v>
      </c>
      <c r="K24" s="41">
        <v>82.545684006556982</v>
      </c>
      <c r="L24" s="41">
        <v>84.363070203947714</v>
      </c>
      <c r="M24" s="41">
        <v>84.732937155307098</v>
      </c>
      <c r="N24" s="41">
        <v>86.520209131826334</v>
      </c>
      <c r="O24" s="41">
        <v>81.500014601076174</v>
      </c>
      <c r="P24" s="41">
        <v>84.287828584320678</v>
      </c>
      <c r="Q24" s="41">
        <v>99.326746973690959</v>
      </c>
      <c r="R24" s="41">
        <v>113.78034143398176</v>
      </c>
      <c r="S24" s="41">
        <v>124.35889643063659</v>
      </c>
      <c r="T24" s="41">
        <v>152.72799677491182</v>
      </c>
      <c r="U24" s="41">
        <v>155.64905686389071</v>
      </c>
      <c r="V24" s="41">
        <v>176.78335096343935</v>
      </c>
      <c r="W24" s="41">
        <v>225.94151781440129</v>
      </c>
      <c r="X24" s="41">
        <v>262.07600964215874</v>
      </c>
      <c r="Y24" s="41">
        <v>282.68585009620915</v>
      </c>
      <c r="Z24" s="41">
        <v>254.23046874077176</v>
      </c>
      <c r="AA24" s="41">
        <v>245.09449089523039</v>
      </c>
      <c r="AB24" s="41">
        <v>217.99460236345263</v>
      </c>
      <c r="AC24" s="41">
        <v>193.84327313825258</v>
      </c>
      <c r="AD24" s="41">
        <v>200.89435179940017</v>
      </c>
      <c r="AE24" s="41">
        <v>256.76248068754398</v>
      </c>
      <c r="AF24" s="41">
        <v>291.13161665354727</v>
      </c>
      <c r="AG24" s="41">
        <v>313.06159138278196</v>
      </c>
      <c r="AH24" s="41">
        <v>304.85352087583982</v>
      </c>
      <c r="AI24" s="41">
        <v>351.97923352178071</v>
      </c>
      <c r="AJ24" s="41">
        <v>346.41059588832655</v>
      </c>
      <c r="AK24" s="41">
        <v>361.04687562739093</v>
      </c>
      <c r="AL24" s="41">
        <v>334.94323699718205</v>
      </c>
      <c r="AM24" s="41">
        <v>193.07028019526217</v>
      </c>
      <c r="AN24" s="41">
        <v>235.83215055348558</v>
      </c>
      <c r="AO24" s="41">
        <v>249.36055885540304</v>
      </c>
      <c r="AP24" s="41">
        <v>229.49294931301367</v>
      </c>
      <c r="AQ24" s="41">
        <v>255.7182366628827</v>
      </c>
      <c r="AR24" s="41">
        <v>300.42172389610892</v>
      </c>
      <c r="AS24" s="41">
        <v>255.71868725731943</v>
      </c>
      <c r="AT24" s="41">
        <v>267.09759962902348</v>
      </c>
      <c r="AU24" s="41">
        <v>294.66538854659274</v>
      </c>
      <c r="AV24" s="41">
        <v>374.62735797047281</v>
      </c>
      <c r="AW24" s="41">
        <v>418.37666028191973</v>
      </c>
      <c r="AX24" s="41">
        <v>457.93343076338306</v>
      </c>
      <c r="AY24" s="41">
        <v>473.4498681663336</v>
      </c>
      <c r="AZ24" s="41">
        <v>535.06227945153546</v>
      </c>
      <c r="BA24" s="41">
        <v>643.40458102303558</v>
      </c>
      <c r="BB24" s="41">
        <v>624.17516454458234</v>
      </c>
      <c r="BC24" s="41">
        <v>647.83609553787858</v>
      </c>
      <c r="BD24" s="41">
        <v>751.17277041100522</v>
      </c>
      <c r="BE24" s="41">
        <v>758.00042697240303</v>
      </c>
      <c r="BF24" s="41">
        <v>787.46943830908481</v>
      </c>
      <c r="BG24" s="41">
        <v>792.84623742526992</v>
      </c>
      <c r="BH24" s="41">
        <v>653.32726813946965</v>
      </c>
      <c r="BI24" s="41">
        <v>688.25069625819663</v>
      </c>
      <c r="BJ24" s="41">
        <v>734.99626796052837</v>
      </c>
      <c r="BK24" s="41">
        <v>813.09968944198386</v>
      </c>
      <c r="BL24" s="41">
        <v>786.89543767745181</v>
      </c>
      <c r="BM24" s="41">
        <v>830.92514462193947</v>
      </c>
    </row>
    <row r="25" spans="1:65" x14ac:dyDescent="0.35">
      <c r="A25" s="41" t="s">
        <v>148</v>
      </c>
      <c r="B25" s="41" t="s">
        <v>149</v>
      </c>
      <c r="C25" s="41" t="s">
        <v>659</v>
      </c>
      <c r="D25" s="41" t="s">
        <v>660</v>
      </c>
      <c r="E25" s="41">
        <v>89.035239428893206</v>
      </c>
      <c r="F25" s="41">
        <v>97.595291704717638</v>
      </c>
      <c r="G25" s="41">
        <v>100.12212960015191</v>
      </c>
      <c r="H25" s="41">
        <v>101.90141251199289</v>
      </c>
      <c r="I25" s="41">
        <v>100.22110418365412</v>
      </c>
      <c r="J25" s="41">
        <v>106.64664438536533</v>
      </c>
      <c r="K25" s="41">
        <v>112.66536475271255</v>
      </c>
      <c r="L25" s="41">
        <v>122.87062847959439</v>
      </c>
      <c r="M25" s="41">
        <v>122.84759753108544</v>
      </c>
      <c r="N25" s="41">
        <v>135.14738131124116</v>
      </c>
      <c r="O25" s="41">
        <v>140.00270531944417</v>
      </c>
      <c r="P25" s="41">
        <v>133.55141894134914</v>
      </c>
      <c r="Q25" s="41">
        <v>94.381677046193957</v>
      </c>
      <c r="R25" s="41">
        <v>119.55972393113319</v>
      </c>
      <c r="S25" s="41">
        <v>182.02001849327422</v>
      </c>
      <c r="T25" s="41">
        <v>277.57060523747452</v>
      </c>
      <c r="U25" s="41">
        <v>141.19715892410525</v>
      </c>
      <c r="V25" s="41">
        <v>131.37322730559333</v>
      </c>
      <c r="W25" s="41">
        <v>176.03394743190032</v>
      </c>
      <c r="X25" s="41">
        <v>200.76967703901414</v>
      </c>
      <c r="Y25" s="41">
        <v>227.75192650771399</v>
      </c>
      <c r="Z25" s="41">
        <v>247.64961677994449</v>
      </c>
      <c r="AA25" s="41">
        <v>220.71879696320363</v>
      </c>
      <c r="AB25" s="41">
        <v>204.41769005689085</v>
      </c>
      <c r="AC25" s="41">
        <v>213.99663856969551</v>
      </c>
      <c r="AD25" s="41">
        <v>245.45391229142461</v>
      </c>
      <c r="AE25" s="41">
        <v>233.65807219994761</v>
      </c>
      <c r="AF25" s="41">
        <v>253.97447372895857</v>
      </c>
      <c r="AG25" s="41">
        <v>270.69960091548984</v>
      </c>
      <c r="AH25" s="41">
        <v>285.82921686786472</v>
      </c>
      <c r="AI25" s="41">
        <v>306.26870084047158</v>
      </c>
      <c r="AJ25" s="41">
        <v>293.16042106958588</v>
      </c>
      <c r="AK25" s="41">
        <v>293.6449875768709</v>
      </c>
      <c r="AL25" s="41">
        <v>300.5557477277311</v>
      </c>
      <c r="AM25" s="41">
        <v>299.53303708805134</v>
      </c>
      <c r="AN25" s="41">
        <v>329.42407606208053</v>
      </c>
      <c r="AO25" s="41">
        <v>394.71749189933166</v>
      </c>
      <c r="AP25" s="41">
        <v>401.49866742468674</v>
      </c>
      <c r="AQ25" s="41">
        <v>407.4291761978082</v>
      </c>
      <c r="AR25" s="41">
        <v>409.54318376807936</v>
      </c>
      <c r="AS25" s="41">
        <v>418.06894211203792</v>
      </c>
      <c r="AT25" s="41">
        <v>415.03440428737849</v>
      </c>
      <c r="AU25" s="41">
        <v>413.08028263808649</v>
      </c>
      <c r="AV25" s="41">
        <v>446.31067574594385</v>
      </c>
      <c r="AW25" s="41">
        <v>475.29193019581868</v>
      </c>
      <c r="AX25" s="41">
        <v>499.46194023915615</v>
      </c>
      <c r="AY25" s="41">
        <v>509.64018988760427</v>
      </c>
      <c r="AZ25" s="41">
        <v>558.05184070795372</v>
      </c>
      <c r="BA25" s="41">
        <v>634.98706966850739</v>
      </c>
      <c r="BB25" s="41">
        <v>702.26441964431399</v>
      </c>
      <c r="BC25" s="41">
        <v>781.15357767729824</v>
      </c>
      <c r="BD25" s="41">
        <v>861.76216218107675</v>
      </c>
      <c r="BE25" s="41">
        <v>883.11712961571823</v>
      </c>
      <c r="BF25" s="41">
        <v>981.86085135445705</v>
      </c>
      <c r="BG25" s="41">
        <v>1118.8738078336823</v>
      </c>
      <c r="BH25" s="41">
        <v>1248.4533098961294</v>
      </c>
      <c r="BI25" s="41">
        <v>1401.5646351317941</v>
      </c>
      <c r="BJ25" s="41">
        <v>1563.7678186182645</v>
      </c>
      <c r="BK25" s="41">
        <v>1698.1320807871175</v>
      </c>
      <c r="BL25" s="41">
        <v>1855.6915096678015</v>
      </c>
      <c r="BM25" s="41">
        <v>1968.7922248458062</v>
      </c>
    </row>
    <row r="26" spans="1:65" x14ac:dyDescent="0.35">
      <c r="A26" s="41" t="s">
        <v>150</v>
      </c>
      <c r="B26" s="41" t="s">
        <v>151</v>
      </c>
      <c r="C26" s="41" t="s">
        <v>659</v>
      </c>
      <c r="D26" s="41" t="s">
        <v>660</v>
      </c>
      <c r="Y26" s="41">
        <v>2238.8029578657388</v>
      </c>
      <c r="Z26" s="41">
        <v>2234.8148157312517</v>
      </c>
      <c r="AA26" s="41">
        <v>2169.0040108968287</v>
      </c>
      <c r="AB26" s="41">
        <v>1852.8134344280188</v>
      </c>
      <c r="AC26" s="41">
        <v>1963.5726761827364</v>
      </c>
      <c r="AD26" s="41">
        <v>1914.5506465879346</v>
      </c>
      <c r="AE26" s="41">
        <v>2260.427281154497</v>
      </c>
      <c r="AF26" s="41">
        <v>3132.3013603624599</v>
      </c>
      <c r="AG26" s="41">
        <v>2511.393062594886</v>
      </c>
      <c r="AH26" s="41">
        <v>2477.0208179595979</v>
      </c>
      <c r="AI26" s="41">
        <v>2366.5298212861385</v>
      </c>
      <c r="AJ26" s="41">
        <v>1267.7343754148515</v>
      </c>
      <c r="AK26" s="41">
        <v>1211.9808781093111</v>
      </c>
      <c r="AL26" s="41">
        <v>1278.2471734610767</v>
      </c>
      <c r="AM26" s="41">
        <v>1148.4943993817017</v>
      </c>
      <c r="AN26" s="41">
        <v>2258.2860178759665</v>
      </c>
      <c r="AO26" s="41">
        <v>1470.1037033100406</v>
      </c>
      <c r="AP26" s="41">
        <v>1361.3923860059047</v>
      </c>
      <c r="AQ26" s="41">
        <v>1820.405094248963</v>
      </c>
      <c r="AR26" s="41">
        <v>1659.7183459552475</v>
      </c>
      <c r="AS26" s="41">
        <v>1621.2429608024684</v>
      </c>
      <c r="AT26" s="41">
        <v>1770.9135339474644</v>
      </c>
      <c r="AU26" s="41">
        <v>2092.9576938761129</v>
      </c>
      <c r="AV26" s="41">
        <v>2719.4976560705868</v>
      </c>
      <c r="AW26" s="41">
        <v>3389.7070488310151</v>
      </c>
      <c r="AX26" s="41">
        <v>3899.9076377401716</v>
      </c>
      <c r="AY26" s="41">
        <v>4523.0508329805989</v>
      </c>
      <c r="AZ26" s="41">
        <v>5885.1043478183656</v>
      </c>
      <c r="BA26" s="41">
        <v>7265.7354968299733</v>
      </c>
      <c r="BB26" s="41">
        <v>6988.2333246809421</v>
      </c>
      <c r="BC26" s="41">
        <v>6812.4063384540241</v>
      </c>
      <c r="BD26" s="41">
        <v>7809.425062454713</v>
      </c>
      <c r="BE26" s="41">
        <v>7395.8498034072127</v>
      </c>
      <c r="BF26" s="41">
        <v>7655.129707593188</v>
      </c>
      <c r="BG26" s="41">
        <v>7876.8664653999404</v>
      </c>
      <c r="BH26" s="41">
        <v>7055.9356729124493</v>
      </c>
      <c r="BI26" s="41">
        <v>7548.8550073753368</v>
      </c>
      <c r="BJ26" s="41">
        <v>8334.0817277533224</v>
      </c>
      <c r="BK26" s="41">
        <v>9427.7304303988076</v>
      </c>
      <c r="BL26" s="41">
        <v>9828.1485147813855</v>
      </c>
      <c r="BM26" s="41">
        <v>9975.780000709241</v>
      </c>
    </row>
    <row r="27" spans="1:65" x14ac:dyDescent="0.35">
      <c r="A27" s="41" t="s">
        <v>152</v>
      </c>
      <c r="B27" s="41" t="s">
        <v>153</v>
      </c>
      <c r="C27" s="41" t="s">
        <v>659</v>
      </c>
      <c r="D27" s="41" t="s">
        <v>660</v>
      </c>
      <c r="Y27" s="41">
        <v>8537.7158700102809</v>
      </c>
      <c r="Z27" s="41">
        <v>9269.2696165299112</v>
      </c>
      <c r="AA27" s="41">
        <v>9446.0845772699358</v>
      </c>
      <c r="AB27" s="41">
        <v>9421.3569469587001</v>
      </c>
      <c r="AC27" s="41">
        <v>9590.541793968021</v>
      </c>
      <c r="AD27" s="41">
        <v>8706.766601485022</v>
      </c>
      <c r="AE27" s="41">
        <v>7041.6344474720208</v>
      </c>
      <c r="AF27" s="41">
        <v>7554.9321923161515</v>
      </c>
      <c r="AG27" s="41">
        <v>7958.7479245853947</v>
      </c>
      <c r="AH27" s="41">
        <v>8031.0048199518042</v>
      </c>
      <c r="AI27" s="41">
        <v>8529.052126709279</v>
      </c>
      <c r="AJ27" s="41">
        <v>9055.6444071062961</v>
      </c>
      <c r="AK27" s="41">
        <v>9082.827988321591</v>
      </c>
      <c r="AL27" s="41">
        <v>9698.1528899890509</v>
      </c>
      <c r="AM27" s="41">
        <v>10130.37620307285</v>
      </c>
      <c r="AN27" s="41">
        <v>10376.953296177982</v>
      </c>
      <c r="AO27" s="41">
        <v>10544.794683191391</v>
      </c>
      <c r="AP27" s="41">
        <v>10672.237759619284</v>
      </c>
      <c r="AQ27" s="41">
        <v>10076.269878693689</v>
      </c>
      <c r="AR27" s="41">
        <v>10401.562152167067</v>
      </c>
      <c r="AS27" s="41">
        <v>13636.416749928849</v>
      </c>
      <c r="AT27" s="41">
        <v>12868.17691708213</v>
      </c>
      <c r="AU27" s="41">
        <v>13049.909729164339</v>
      </c>
      <c r="AV27" s="41">
        <v>14222.036796574883</v>
      </c>
      <c r="AW27" s="41">
        <v>15846.505947450592</v>
      </c>
      <c r="AX27" s="41">
        <v>17959.396826719374</v>
      </c>
      <c r="AY27" s="41">
        <v>19307.508937387636</v>
      </c>
      <c r="AZ27" s="41">
        <v>20976.442287272039</v>
      </c>
      <c r="BA27" s="41">
        <v>23066.450982437593</v>
      </c>
      <c r="BB27" s="41">
        <v>19355.921005089454</v>
      </c>
      <c r="BC27" s="41">
        <v>20722.070490074453</v>
      </c>
      <c r="BD27" s="41">
        <v>22514.202716482963</v>
      </c>
      <c r="BE27" s="41">
        <v>23654.36958774953</v>
      </c>
      <c r="BF27" s="41">
        <v>24744.296958551015</v>
      </c>
      <c r="BG27" s="41">
        <v>24989.437527708029</v>
      </c>
      <c r="BH27" s="41">
        <v>22634.085647567445</v>
      </c>
      <c r="BI27" s="41">
        <v>22608.452562367271</v>
      </c>
      <c r="BJ27" s="41">
        <v>23742.937342415873</v>
      </c>
      <c r="BK27" s="41">
        <v>23991.041390559691</v>
      </c>
      <c r="BL27" s="41">
        <v>23443.434828326568</v>
      </c>
    </row>
    <row r="28" spans="1:65" x14ac:dyDescent="0.35">
      <c r="A28" s="41" t="s">
        <v>154</v>
      </c>
      <c r="B28" s="41" t="s">
        <v>155</v>
      </c>
      <c r="C28" s="41" t="s">
        <v>659</v>
      </c>
      <c r="D28" s="41" t="s">
        <v>660</v>
      </c>
      <c r="E28" s="41">
        <v>1550.2676986508732</v>
      </c>
      <c r="F28" s="41">
        <v>1651.3176731528788</v>
      </c>
      <c r="G28" s="41">
        <v>1752.8400056220421</v>
      </c>
      <c r="H28" s="41">
        <v>1867.0103505514032</v>
      </c>
      <c r="I28" s="41">
        <v>1994.4404971142937</v>
      </c>
      <c r="J28" s="41">
        <v>2144.7390894098608</v>
      </c>
      <c r="K28" s="41">
        <v>2322.7058156454732</v>
      </c>
      <c r="L28" s="41">
        <v>2556.6342667874837</v>
      </c>
      <c r="M28" s="41">
        <v>2804.3338761554746</v>
      </c>
      <c r="N28" s="41">
        <v>3215.1538970685219</v>
      </c>
      <c r="O28" s="41">
        <v>3178.8633200253566</v>
      </c>
      <c r="P28" s="41">
        <v>3297.4110665117832</v>
      </c>
      <c r="Q28" s="41">
        <v>3322.2199108302457</v>
      </c>
      <c r="R28" s="41">
        <v>3696.0318203604029</v>
      </c>
      <c r="S28" s="41">
        <v>3416.4393182247914</v>
      </c>
      <c r="T28" s="41">
        <v>3156.2508271791207</v>
      </c>
      <c r="U28" s="41">
        <v>3328.6159365069493</v>
      </c>
      <c r="V28" s="41">
        <v>3617.4530695078638</v>
      </c>
      <c r="W28" s="41">
        <v>4131.3864265790489</v>
      </c>
      <c r="X28" s="41">
        <v>5533.2519381914744</v>
      </c>
      <c r="Y28" s="41">
        <v>6340.7870306616205</v>
      </c>
      <c r="Z28" s="41">
        <v>6624.9924531281204</v>
      </c>
      <c r="AA28" s="41">
        <v>7168.1608850859748</v>
      </c>
      <c r="AB28" s="41">
        <v>7698.0830316088759</v>
      </c>
      <c r="AC28" s="41">
        <v>8877.7059148460503</v>
      </c>
      <c r="AD28" s="41">
        <v>9893.0420029073357</v>
      </c>
      <c r="AE28" s="41">
        <v>10344.322650824199</v>
      </c>
      <c r="AF28" s="41">
        <v>11156.557252379092</v>
      </c>
      <c r="AG28" s="41">
        <v>11387.709081798013</v>
      </c>
      <c r="AH28" s="41">
        <v>12163.439766741612</v>
      </c>
      <c r="AI28" s="41">
        <v>12356.230998294481</v>
      </c>
      <c r="AJ28" s="41">
        <v>11919.833567682093</v>
      </c>
      <c r="AK28" s="41">
        <v>11686.739741681327</v>
      </c>
      <c r="AL28" s="41">
        <v>11406.858133657979</v>
      </c>
      <c r="AM28" s="41">
        <v>11814.434708844332</v>
      </c>
      <c r="AN28" s="41">
        <v>12238.604606340947</v>
      </c>
      <c r="AO28" s="41">
        <v>12708.641453623495</v>
      </c>
      <c r="AP28" s="41">
        <v>22036.100681020172</v>
      </c>
      <c r="AQ28" s="41">
        <v>23514.177563661389</v>
      </c>
      <c r="AR28" s="41">
        <v>26130.012956407299</v>
      </c>
      <c r="AS28" s="41">
        <v>27098.156318676709</v>
      </c>
      <c r="AT28" s="41">
        <v>27486.236773754372</v>
      </c>
      <c r="AU28" s="41">
        <v>28867.082497716612</v>
      </c>
      <c r="AV28" s="41">
        <v>28327.813670666161</v>
      </c>
      <c r="AW28" s="41">
        <v>28396.013709927782</v>
      </c>
      <c r="AX28" s="41">
        <v>30279.392208048073</v>
      </c>
      <c r="AY28" s="41">
        <v>30713.798061818798</v>
      </c>
      <c r="AZ28" s="41">
        <v>31472.28553560155</v>
      </c>
      <c r="BA28" s="41">
        <v>30627.327746741154</v>
      </c>
      <c r="BB28" s="41">
        <v>28552.517162471395</v>
      </c>
      <c r="BC28" s="41">
        <v>28443.888475668853</v>
      </c>
      <c r="BD28" s="41">
        <v>28005.912404090293</v>
      </c>
      <c r="BE28" s="41">
        <v>29485.864222827924</v>
      </c>
      <c r="BF28" s="41">
        <v>28784.024490551856</v>
      </c>
      <c r="BG28" s="41">
        <v>29980.70826306914</v>
      </c>
      <c r="BH28" s="41">
        <v>31295.563869588455</v>
      </c>
      <c r="BI28" s="41">
        <v>31563.307869592481</v>
      </c>
      <c r="BJ28" s="41">
        <v>32719.666587207827</v>
      </c>
      <c r="BK28" s="41">
        <v>33767.941187910845</v>
      </c>
      <c r="BL28" s="41">
        <v>34863.384049747619</v>
      </c>
      <c r="BM28" s="41">
        <v>28607.901375213605</v>
      </c>
    </row>
    <row r="29" spans="1:65" x14ac:dyDescent="0.35">
      <c r="A29" s="41" t="s">
        <v>156</v>
      </c>
      <c r="B29" s="41" t="s">
        <v>157</v>
      </c>
      <c r="C29" s="41" t="s">
        <v>659</v>
      </c>
      <c r="D29" s="41" t="s">
        <v>660</v>
      </c>
      <c r="AM29" s="41">
        <v>319.01279202093679</v>
      </c>
      <c r="AN29" s="41">
        <v>487.47690450988085</v>
      </c>
      <c r="AO29" s="41">
        <v>740.09968646886193</v>
      </c>
      <c r="AP29" s="41">
        <v>982.80184906559839</v>
      </c>
      <c r="AQ29" s="41">
        <v>1102.3906880962845</v>
      </c>
      <c r="AR29" s="41">
        <v>1251.7475951288616</v>
      </c>
      <c r="AS29" s="41">
        <v>1467.776477160477</v>
      </c>
      <c r="AT29" s="41">
        <v>1530.8140008052706</v>
      </c>
      <c r="AU29" s="41">
        <v>1769.1988867057239</v>
      </c>
      <c r="AV29" s="41">
        <v>2224.7423163147068</v>
      </c>
      <c r="AW29" s="41">
        <v>2814.999894874099</v>
      </c>
      <c r="AX29" s="41">
        <v>2980.6013173407264</v>
      </c>
      <c r="AY29" s="41">
        <v>3416.5124104341835</v>
      </c>
      <c r="AZ29" s="41">
        <v>4193.3680796246963</v>
      </c>
      <c r="BA29" s="41">
        <v>5090.94590505821</v>
      </c>
      <c r="BB29" s="41">
        <v>4714.6936611642022</v>
      </c>
      <c r="BC29" s="41">
        <v>4635.5102733748272</v>
      </c>
      <c r="BD29" s="41">
        <v>5092.554725212638</v>
      </c>
      <c r="BE29" s="41">
        <v>4778.6360884550641</v>
      </c>
      <c r="BF29" s="41">
        <v>5131.4046458133416</v>
      </c>
      <c r="BG29" s="41">
        <v>5329.6319837315432</v>
      </c>
      <c r="BH29" s="41">
        <v>4727.2763331033102</v>
      </c>
      <c r="BI29" s="41">
        <v>4994.6890403861935</v>
      </c>
      <c r="BJ29" s="41">
        <v>5394.5799530559398</v>
      </c>
      <c r="BK29" s="41">
        <v>6072.1846228530394</v>
      </c>
      <c r="BL29" s="41">
        <v>6120.1126257935684</v>
      </c>
      <c r="BM29" s="41">
        <v>6031.5568686765819</v>
      </c>
    </row>
    <row r="30" spans="1:65" x14ac:dyDescent="0.35">
      <c r="A30" s="41" t="s">
        <v>158</v>
      </c>
      <c r="B30" s="41" t="s">
        <v>159</v>
      </c>
      <c r="C30" s="41" t="s">
        <v>659</v>
      </c>
      <c r="D30" s="41" t="s">
        <v>660</v>
      </c>
      <c r="AI30" s="41">
        <v>2124.8405142801062</v>
      </c>
      <c r="AM30" s="41">
        <v>1739.8063948371957</v>
      </c>
      <c r="AN30" s="41">
        <v>1323.2511499138927</v>
      </c>
      <c r="AO30" s="41">
        <v>1452.445487583283</v>
      </c>
      <c r="AP30" s="41">
        <v>1394.5681678211085</v>
      </c>
      <c r="AQ30" s="41">
        <v>1515.9767171732437</v>
      </c>
      <c r="AR30" s="41">
        <v>1212.0459784507702</v>
      </c>
      <c r="AS30" s="41">
        <v>1276.4939846237692</v>
      </c>
      <c r="AT30" s="41">
        <v>1244.3731852343069</v>
      </c>
      <c r="AU30" s="41">
        <v>1479.3145827167673</v>
      </c>
      <c r="AV30" s="41">
        <v>1819.7660592617692</v>
      </c>
      <c r="AW30" s="41">
        <v>2378.6232860074097</v>
      </c>
      <c r="AX30" s="41">
        <v>3125.8105350285305</v>
      </c>
      <c r="AY30" s="41">
        <v>3847.434123821527</v>
      </c>
      <c r="AZ30" s="41">
        <v>4735.6576079399938</v>
      </c>
      <c r="BA30" s="41">
        <v>6377.369732012321</v>
      </c>
      <c r="BB30" s="41">
        <v>5351.3553824327773</v>
      </c>
      <c r="BC30" s="41">
        <v>6029.3967998292983</v>
      </c>
      <c r="BD30" s="41">
        <v>6519.2301949889243</v>
      </c>
      <c r="BE30" s="41">
        <v>6940.1592535973505</v>
      </c>
      <c r="BF30" s="41">
        <v>7978.8726147107627</v>
      </c>
      <c r="BG30" s="41">
        <v>8318.512689926747</v>
      </c>
      <c r="BH30" s="41">
        <v>5949.1063069974798</v>
      </c>
      <c r="BI30" s="41">
        <v>5022.6266433049095</v>
      </c>
      <c r="BJ30" s="41">
        <v>5761.7471202300667</v>
      </c>
      <c r="BK30" s="41">
        <v>6330.075246418698</v>
      </c>
      <c r="BL30" s="41">
        <v>6839.1038329245221</v>
      </c>
      <c r="BM30" s="41">
        <v>6411.2278131980975</v>
      </c>
    </row>
    <row r="31" spans="1:65" x14ac:dyDescent="0.35">
      <c r="A31" s="41" t="s">
        <v>160</v>
      </c>
      <c r="B31" s="41" t="s">
        <v>161</v>
      </c>
      <c r="C31" s="41" t="s">
        <v>659</v>
      </c>
      <c r="D31" s="41" t="s">
        <v>660</v>
      </c>
      <c r="E31" s="41">
        <v>304.90385978004036</v>
      </c>
      <c r="F31" s="41">
        <v>316.41362948876184</v>
      </c>
      <c r="G31" s="41">
        <v>327.09999652479434</v>
      </c>
      <c r="H31" s="41">
        <v>336.93810225028466</v>
      </c>
      <c r="I31" s="41">
        <v>351.16112626956237</v>
      </c>
      <c r="J31" s="41">
        <v>377.59074698388685</v>
      </c>
      <c r="K31" s="41">
        <v>406.09425326109675</v>
      </c>
      <c r="L31" s="41">
        <v>420.37593356958826</v>
      </c>
      <c r="M31" s="41">
        <v>386.93990126841481</v>
      </c>
      <c r="N31" s="41">
        <v>396.62770058906244</v>
      </c>
      <c r="O31" s="41">
        <v>435.68333770486925</v>
      </c>
      <c r="P31" s="41">
        <v>474.4366126300792</v>
      </c>
      <c r="Q31" s="41">
        <v>519.55533534667165</v>
      </c>
      <c r="R31" s="41">
        <v>605.9334407026513</v>
      </c>
      <c r="S31" s="41">
        <v>786.08106522223716</v>
      </c>
      <c r="T31" s="41">
        <v>885.95793569562238</v>
      </c>
      <c r="U31" s="41">
        <v>717.06140603962137</v>
      </c>
      <c r="V31" s="41">
        <v>858.82181181108115</v>
      </c>
      <c r="W31" s="41">
        <v>980.75193380104338</v>
      </c>
      <c r="X31" s="41">
        <v>1074.2947728977651</v>
      </c>
      <c r="Y31" s="41">
        <v>1373.2168447037157</v>
      </c>
      <c r="Z31" s="41">
        <v>1328.7741214888124</v>
      </c>
      <c r="AA31" s="41">
        <v>1202.7931755126481</v>
      </c>
      <c r="AB31" s="41">
        <v>1232.853202126309</v>
      </c>
      <c r="AC31" s="41">
        <v>1337.0376199436234</v>
      </c>
      <c r="AD31" s="41">
        <v>1289.3907436708273</v>
      </c>
      <c r="AE31" s="41">
        <v>1366.0416735108804</v>
      </c>
      <c r="AF31" s="41">
        <v>1612.3313347782691</v>
      </c>
      <c r="AG31" s="41">
        <v>1788.0013197882397</v>
      </c>
      <c r="AH31" s="41">
        <v>2011.9467965223114</v>
      </c>
      <c r="AI31" s="41">
        <v>2197.1615934193696</v>
      </c>
      <c r="AJ31" s="41">
        <v>2326.7241649924663</v>
      </c>
      <c r="AK31" s="41">
        <v>2668.5314254257582</v>
      </c>
      <c r="AL31" s="41">
        <v>2834.6883354805059</v>
      </c>
      <c r="AM31" s="41">
        <v>2882.1520156815782</v>
      </c>
      <c r="AN31" s="41">
        <v>2997.7604591690501</v>
      </c>
      <c r="AO31" s="41">
        <v>3003.1826515053358</v>
      </c>
      <c r="AP31" s="41">
        <v>2954.2272365747267</v>
      </c>
      <c r="AQ31" s="41">
        <v>2993.0336514774067</v>
      </c>
      <c r="AR31" s="41">
        <v>3066.0951513578598</v>
      </c>
      <c r="AS31" s="41">
        <v>3364.4917902744533</v>
      </c>
      <c r="AT31" s="41">
        <v>3404.4204975426355</v>
      </c>
      <c r="AU31" s="41">
        <v>3526.0815951562195</v>
      </c>
      <c r="AV31" s="41">
        <v>3650.6065265873071</v>
      </c>
      <c r="AW31" s="41">
        <v>3802.2630751345673</v>
      </c>
      <c r="AX31" s="41">
        <v>3885.034003187126</v>
      </c>
      <c r="AY31" s="41">
        <v>4155.3238043387064</v>
      </c>
      <c r="AZ31" s="41">
        <v>4252.3953859188177</v>
      </c>
      <c r="BA31" s="41">
        <v>4404.3081936255221</v>
      </c>
      <c r="BB31" s="41">
        <v>4186.5199841160002</v>
      </c>
      <c r="BC31" s="41">
        <v>4270.780030820104</v>
      </c>
      <c r="BD31" s="41">
        <v>4423.4968423614027</v>
      </c>
      <c r="BE31" s="41">
        <v>4505.6005931298723</v>
      </c>
      <c r="BF31" s="41">
        <v>4568.6412279911456</v>
      </c>
      <c r="BG31" s="41">
        <v>4718.4365812235474</v>
      </c>
      <c r="BH31" s="41">
        <v>4770.2326556388844</v>
      </c>
      <c r="BI31" s="41">
        <v>4856.973248531117</v>
      </c>
      <c r="BJ31" s="41">
        <v>4945.8576986722637</v>
      </c>
      <c r="BK31" s="41">
        <v>5001.4221566343313</v>
      </c>
      <c r="BL31" s="41">
        <v>5078.809944417716</v>
      </c>
      <c r="BM31" s="41">
        <v>4435.6211541943203</v>
      </c>
    </row>
    <row r="32" spans="1:65" x14ac:dyDescent="0.35">
      <c r="A32" s="41" t="s">
        <v>162</v>
      </c>
      <c r="B32" s="41" t="s">
        <v>163</v>
      </c>
      <c r="C32" s="41" t="s">
        <v>659</v>
      </c>
      <c r="D32" s="41" t="s">
        <v>660</v>
      </c>
      <c r="E32" s="41">
        <v>1902.4021188493666</v>
      </c>
      <c r="F32" s="41">
        <v>1961.5381691711973</v>
      </c>
      <c r="G32" s="41">
        <v>2020.3859649558924</v>
      </c>
      <c r="H32" s="41">
        <v>2020.2652474469003</v>
      </c>
      <c r="I32" s="41">
        <v>2199.7270068273497</v>
      </c>
      <c r="J32" s="41">
        <v>2282.2165462108896</v>
      </c>
      <c r="K32" s="41">
        <v>2630.8504663853623</v>
      </c>
      <c r="L32" s="41">
        <v>2982.7497043718045</v>
      </c>
      <c r="M32" s="41">
        <v>2830.1886792452829</v>
      </c>
      <c r="N32" s="41">
        <v>3053.7037037037039</v>
      </c>
      <c r="O32" s="41">
        <v>3387.2727272727275</v>
      </c>
      <c r="P32" s="41">
        <v>3866.3003663003665</v>
      </c>
      <c r="Q32" s="41">
        <v>4343.1734317343171</v>
      </c>
      <c r="R32" s="41">
        <v>5009.2936802973982</v>
      </c>
      <c r="S32" s="41">
        <v>5853.9325842696626</v>
      </c>
      <c r="T32" s="41">
        <v>6509.433962264151</v>
      </c>
      <c r="U32" s="41">
        <v>7261.2781954887214</v>
      </c>
      <c r="V32" s="41">
        <v>8370.786516853932</v>
      </c>
      <c r="W32" s="41">
        <v>8876.8656716417918</v>
      </c>
      <c r="X32" s="41">
        <v>9613.3828996282537</v>
      </c>
      <c r="Y32" s="41">
        <v>11218.217815986831</v>
      </c>
      <c r="Z32" s="41">
        <v>13425.976966394188</v>
      </c>
      <c r="AA32" s="41">
        <v>14166.171292539089</v>
      </c>
      <c r="AB32" s="41">
        <v>15902.020382621133</v>
      </c>
      <c r="AC32" s="41">
        <v>17469.825567587686</v>
      </c>
      <c r="AD32" s="41">
        <v>18269.53551970192</v>
      </c>
      <c r="AE32" s="41">
        <v>20450.664528946359</v>
      </c>
      <c r="AF32" s="41">
        <v>22411.795674946843</v>
      </c>
      <c r="AG32" s="41">
        <v>24253.175518878434</v>
      </c>
      <c r="AH32" s="41">
        <v>25517.921721248789</v>
      </c>
      <c r="AI32" s="41">
        <v>26841.519738394632</v>
      </c>
      <c r="AJ32" s="41">
        <v>27700.310059131494</v>
      </c>
      <c r="AK32" s="41">
        <v>28669.681713456779</v>
      </c>
      <c r="AL32" s="41">
        <v>30900.694279409268</v>
      </c>
      <c r="AM32" s="41">
        <v>31476.063722184761</v>
      </c>
      <c r="AN32" s="41">
        <v>33989.72316138319</v>
      </c>
      <c r="AO32" s="41">
        <v>44826.789070165811</v>
      </c>
      <c r="AP32" s="41">
        <v>48478.883250409111</v>
      </c>
      <c r="AQ32" s="41">
        <v>51371.740806983573</v>
      </c>
      <c r="AR32" s="41">
        <v>54245.459737292978</v>
      </c>
      <c r="AS32" s="41">
        <v>56284.16864780942</v>
      </c>
      <c r="AT32" s="41">
        <v>58883.959426596695</v>
      </c>
      <c r="AU32" s="41">
        <v>62583.100203458802</v>
      </c>
      <c r="AV32" s="41">
        <v>66111.725227003539</v>
      </c>
      <c r="AW32" s="41">
        <v>70359.319108879819</v>
      </c>
      <c r="AX32" s="41">
        <v>75882.033856033915</v>
      </c>
      <c r="AY32" s="41">
        <v>95221.858872030134</v>
      </c>
      <c r="AZ32" s="41">
        <v>104287.38749845888</v>
      </c>
      <c r="BA32" s="41">
        <v>106935.48634197908</v>
      </c>
      <c r="BB32" s="41">
        <v>101407.76403193369</v>
      </c>
      <c r="BC32" s="41">
        <v>101875.28407345986</v>
      </c>
      <c r="BD32" s="41">
        <v>97774.162071742772</v>
      </c>
      <c r="BE32" s="41">
        <v>98431.865181024099</v>
      </c>
      <c r="BF32" s="41">
        <v>99471.638897863115</v>
      </c>
      <c r="BG32" s="41">
        <v>98467.683993982006</v>
      </c>
      <c r="BH32" s="41">
        <v>102005.62564189034</v>
      </c>
      <c r="BI32" s="41">
        <v>106885.87848932676</v>
      </c>
      <c r="BJ32" s="41">
        <v>111820.58146634728</v>
      </c>
      <c r="BK32" s="41">
        <v>113023.18559426775</v>
      </c>
      <c r="BL32" s="41">
        <v>117098.44632547369</v>
      </c>
    </row>
    <row r="33" spans="1:65" x14ac:dyDescent="0.35">
      <c r="A33" s="41" t="s">
        <v>164</v>
      </c>
      <c r="B33" s="41" t="s">
        <v>165</v>
      </c>
      <c r="C33" s="41" t="s">
        <v>659</v>
      </c>
      <c r="D33" s="41" t="s">
        <v>660</v>
      </c>
      <c r="E33" s="41">
        <v>102.23772241360669</v>
      </c>
      <c r="F33" s="41">
        <v>109.06130397942536</v>
      </c>
      <c r="G33" s="41">
        <v>116.92496820851291</v>
      </c>
      <c r="H33" s="41">
        <v>123.42934134547819</v>
      </c>
      <c r="I33" s="41">
        <v>136.31236195032483</v>
      </c>
      <c r="J33" s="41">
        <v>149.64033320675597</v>
      </c>
      <c r="K33" s="41">
        <v>162.3260544933882</v>
      </c>
      <c r="L33" s="41">
        <v>179.58303840134332</v>
      </c>
      <c r="M33" s="41">
        <v>199.62956743734131</v>
      </c>
      <c r="N33" s="41">
        <v>211.79701616988368</v>
      </c>
      <c r="O33" s="41">
        <v>226.80697140398783</v>
      </c>
      <c r="P33" s="41">
        <v>239.12749874347099</v>
      </c>
      <c r="Q33" s="41">
        <v>268.5840153877154</v>
      </c>
      <c r="R33" s="41">
        <v>263.89274607872949</v>
      </c>
      <c r="S33" s="41">
        <v>429.297559603423</v>
      </c>
      <c r="T33" s="41">
        <v>480.8036551219451</v>
      </c>
      <c r="U33" s="41">
        <v>534.27328590476395</v>
      </c>
      <c r="V33" s="41">
        <v>617.30682923322001</v>
      </c>
      <c r="W33" s="41">
        <v>703.13542729060737</v>
      </c>
      <c r="X33" s="41">
        <v>809.41217849718657</v>
      </c>
      <c r="Y33" s="41">
        <v>811.28529928502962</v>
      </c>
      <c r="Z33" s="41">
        <v>1030.8330544982416</v>
      </c>
      <c r="AA33" s="41">
        <v>960.98377818937138</v>
      </c>
      <c r="AB33" s="41">
        <v>913.97485069118295</v>
      </c>
      <c r="AC33" s="41">
        <v>1019.0572574763421</v>
      </c>
      <c r="AD33" s="41">
        <v>870.18564837645613</v>
      </c>
      <c r="AE33" s="41">
        <v>627.39862875261804</v>
      </c>
      <c r="AF33" s="41">
        <v>671.0758546504145</v>
      </c>
      <c r="AG33" s="41">
        <v>698.69200282812176</v>
      </c>
      <c r="AH33" s="41">
        <v>701.66593859564307</v>
      </c>
      <c r="AI33" s="41">
        <v>709.05998235458731</v>
      </c>
      <c r="AJ33" s="41">
        <v>762.07770705084567</v>
      </c>
      <c r="AK33" s="41">
        <v>788.15232001806385</v>
      </c>
      <c r="AL33" s="41">
        <v>784.19098868263313</v>
      </c>
      <c r="AM33" s="41">
        <v>801.04613693765691</v>
      </c>
      <c r="AN33" s="41">
        <v>880.99268636767192</v>
      </c>
      <c r="AO33" s="41">
        <v>950.85638616262338</v>
      </c>
      <c r="AP33" s="41">
        <v>998.51595321744662</v>
      </c>
      <c r="AQ33" s="41">
        <v>1049.4993736487368</v>
      </c>
      <c r="AR33" s="41">
        <v>1003.3922306389547</v>
      </c>
      <c r="AS33" s="41">
        <v>997.58174887438747</v>
      </c>
      <c r="AT33" s="41">
        <v>948.87021133789199</v>
      </c>
      <c r="AU33" s="41">
        <v>904.2257998822945</v>
      </c>
      <c r="AV33" s="41">
        <v>907.53741580152825</v>
      </c>
      <c r="AW33" s="41">
        <v>967.40645859820404</v>
      </c>
      <c r="AX33" s="41">
        <v>1034.3118003958609</v>
      </c>
      <c r="AY33" s="41">
        <v>1218.8740702771279</v>
      </c>
      <c r="AZ33" s="41">
        <v>1372.6283684337229</v>
      </c>
      <c r="BA33" s="41">
        <v>1715.2083925524046</v>
      </c>
      <c r="BB33" s="41">
        <v>1754.2094637561511</v>
      </c>
      <c r="BC33" s="41">
        <v>1955.4601809749965</v>
      </c>
      <c r="BD33" s="41">
        <v>2346.3378439235003</v>
      </c>
      <c r="BE33" s="41">
        <v>2609.88056208632</v>
      </c>
      <c r="BF33" s="41">
        <v>2908.2003709480014</v>
      </c>
      <c r="BG33" s="41">
        <v>3081.8788236516257</v>
      </c>
      <c r="BH33" s="41">
        <v>3035.9716549510713</v>
      </c>
      <c r="BI33" s="41">
        <v>3076.6564393372059</v>
      </c>
      <c r="BJ33" s="41">
        <v>3351.1243443264202</v>
      </c>
      <c r="BK33" s="41">
        <v>3548.5907802189927</v>
      </c>
      <c r="BL33" s="41">
        <v>3552.0681438365323</v>
      </c>
      <c r="BM33" s="41">
        <v>3143.0454942418905</v>
      </c>
    </row>
    <row r="34" spans="1:65" x14ac:dyDescent="0.35">
      <c r="A34" s="41" t="s">
        <v>166</v>
      </c>
      <c r="B34" s="41" t="s">
        <v>167</v>
      </c>
      <c r="C34" s="41" t="s">
        <v>659</v>
      </c>
      <c r="D34" s="41" t="s">
        <v>660</v>
      </c>
      <c r="E34" s="41">
        <v>210.10987318610304</v>
      </c>
      <c r="F34" s="41">
        <v>205.0407820603227</v>
      </c>
      <c r="G34" s="41">
        <v>260.42564967166248</v>
      </c>
      <c r="H34" s="41">
        <v>292.25217342524076</v>
      </c>
      <c r="I34" s="41">
        <v>261.66661633630065</v>
      </c>
      <c r="J34" s="41">
        <v>261.35434511561419</v>
      </c>
      <c r="K34" s="41">
        <v>315.79721396225796</v>
      </c>
      <c r="L34" s="41">
        <v>347.49305216252384</v>
      </c>
      <c r="M34" s="41">
        <v>374.78677540146168</v>
      </c>
      <c r="N34" s="41">
        <v>403.88429782515868</v>
      </c>
      <c r="O34" s="41">
        <v>445.02310059739028</v>
      </c>
      <c r="P34" s="41">
        <v>504.74947470239732</v>
      </c>
      <c r="Q34" s="41">
        <v>586.21437562153267</v>
      </c>
      <c r="R34" s="41">
        <v>775.27330034518945</v>
      </c>
      <c r="S34" s="41">
        <v>1004.1049580396798</v>
      </c>
      <c r="T34" s="41">
        <v>1153.8309153226103</v>
      </c>
      <c r="U34" s="41">
        <v>1390.6249120460582</v>
      </c>
      <c r="V34" s="41">
        <v>1567.0061823023145</v>
      </c>
      <c r="W34" s="41">
        <v>1744.2570536874189</v>
      </c>
      <c r="X34" s="41">
        <v>1908.4876103962185</v>
      </c>
      <c r="Y34" s="41">
        <v>1947.2763817252289</v>
      </c>
      <c r="Z34" s="41">
        <v>2132.8833173447001</v>
      </c>
      <c r="AA34" s="41">
        <v>2226.7671199704969</v>
      </c>
      <c r="AB34" s="41">
        <v>1570.5397959092586</v>
      </c>
      <c r="AC34" s="41">
        <v>1578.9264051102807</v>
      </c>
      <c r="AD34" s="41">
        <v>1648.0820678363002</v>
      </c>
      <c r="AE34" s="41">
        <v>1941.4910668853067</v>
      </c>
      <c r="AF34" s="41">
        <v>2087.3075461476415</v>
      </c>
      <c r="AG34" s="41">
        <v>2300.3768115201151</v>
      </c>
      <c r="AH34" s="41">
        <v>2908.4961381873454</v>
      </c>
      <c r="AI34" s="41">
        <v>3100.2804268162654</v>
      </c>
      <c r="AJ34" s="41">
        <v>3975.3901942146854</v>
      </c>
      <c r="AK34" s="41">
        <v>2596.9198424508145</v>
      </c>
      <c r="AL34" s="41">
        <v>2791.2089818601276</v>
      </c>
      <c r="AM34" s="41">
        <v>3500.6114679539878</v>
      </c>
      <c r="AN34" s="41">
        <v>4748.2157340747744</v>
      </c>
      <c r="AO34" s="41">
        <v>5166.1639330065473</v>
      </c>
      <c r="AP34" s="41">
        <v>5282.0086380055973</v>
      </c>
      <c r="AQ34" s="41">
        <v>5087.1521311271763</v>
      </c>
      <c r="AR34" s="41">
        <v>3478.3727501621361</v>
      </c>
      <c r="AS34" s="41">
        <v>3749.7532714145386</v>
      </c>
      <c r="AT34" s="41">
        <v>3156.7987713335992</v>
      </c>
      <c r="AU34" s="41">
        <v>2829.2831448945853</v>
      </c>
      <c r="AV34" s="41">
        <v>3070.9105243954441</v>
      </c>
      <c r="AW34" s="41">
        <v>3637.4624287935758</v>
      </c>
      <c r="AX34" s="41">
        <v>4790.4369590864108</v>
      </c>
      <c r="AY34" s="41">
        <v>5886.4636822266693</v>
      </c>
      <c r="AZ34" s="41">
        <v>7348.030716260856</v>
      </c>
      <c r="BA34" s="41">
        <v>8831.0231169756589</v>
      </c>
      <c r="BB34" s="41">
        <v>8597.9154845515186</v>
      </c>
      <c r="BC34" s="41">
        <v>11286.242900911495</v>
      </c>
      <c r="BD34" s="41">
        <v>13245.612030114566</v>
      </c>
      <c r="BE34" s="41">
        <v>12370.024449000151</v>
      </c>
      <c r="BF34" s="41">
        <v>12300.324821091033</v>
      </c>
      <c r="BG34" s="41">
        <v>12112.58766833271</v>
      </c>
      <c r="BH34" s="41">
        <v>8814.0014178746351</v>
      </c>
      <c r="BI34" s="41">
        <v>8710.0967740383767</v>
      </c>
      <c r="BJ34" s="41">
        <v>9928.6430632111042</v>
      </c>
      <c r="BK34" s="41">
        <v>9151.4452525436482</v>
      </c>
      <c r="BL34" s="41">
        <v>8897.4877704429164</v>
      </c>
      <c r="BM34" s="41">
        <v>6796.8445422787727</v>
      </c>
    </row>
    <row r="35" spans="1:65" x14ac:dyDescent="0.35">
      <c r="A35" s="41" t="s">
        <v>168</v>
      </c>
      <c r="B35" s="41" t="s">
        <v>169</v>
      </c>
      <c r="C35" s="41" t="s">
        <v>659</v>
      </c>
      <c r="D35" s="41" t="s">
        <v>660</v>
      </c>
      <c r="S35" s="41">
        <v>1274.5483724216701</v>
      </c>
      <c r="T35" s="41">
        <v>1633.8230121286067</v>
      </c>
      <c r="U35" s="41">
        <v>1760.6600935023248</v>
      </c>
      <c r="V35" s="41">
        <v>1988.8951875380776</v>
      </c>
      <c r="W35" s="41">
        <v>2209.7670146088667</v>
      </c>
      <c r="X35" s="41">
        <v>2667.079583784086</v>
      </c>
      <c r="Y35" s="41">
        <v>4010.8111896283394</v>
      </c>
      <c r="Z35" s="41">
        <v>4398.8248657733038</v>
      </c>
      <c r="AA35" s="41">
        <v>4580.9705301461545</v>
      </c>
      <c r="AB35" s="41">
        <v>4851.0995550743019</v>
      </c>
      <c r="AC35" s="41">
        <v>5271.7298364272001</v>
      </c>
      <c r="AD35" s="41">
        <v>5500.4141142465469</v>
      </c>
      <c r="AE35" s="41">
        <v>6019.6532443005963</v>
      </c>
      <c r="AF35" s="41">
        <v>6605.779218645449</v>
      </c>
      <c r="AG35" s="41">
        <v>6999.876116015871</v>
      </c>
      <c r="AH35" s="41">
        <v>7717.1774489540257</v>
      </c>
      <c r="AI35" s="41">
        <v>7711.2954561762781</v>
      </c>
      <c r="AJ35" s="41">
        <v>7714.7427459728069</v>
      </c>
      <c r="AK35" s="41">
        <v>7444.178173380501</v>
      </c>
      <c r="AL35" s="41">
        <v>7819.5700026859213</v>
      </c>
      <c r="AM35" s="41">
        <v>8121.5619186147314</v>
      </c>
      <c r="AN35" s="41">
        <v>8335.8992925705152</v>
      </c>
      <c r="AO35" s="41">
        <v>8851.046458003244</v>
      </c>
      <c r="AP35" s="41">
        <v>9315.967565682311</v>
      </c>
      <c r="AQ35" s="41">
        <v>10459.442470491425</v>
      </c>
      <c r="AR35" s="41">
        <v>10914.282244899614</v>
      </c>
      <c r="AS35" s="41">
        <v>11268.42006401214</v>
      </c>
      <c r="AT35" s="41">
        <v>11209.421124868804</v>
      </c>
      <c r="AU35" s="41">
        <v>11361.516770717899</v>
      </c>
      <c r="AV35" s="41">
        <v>11699.370468521603</v>
      </c>
      <c r="AW35" s="41">
        <v>12512.577965221246</v>
      </c>
      <c r="AX35" s="41">
        <v>13822.741748697163</v>
      </c>
      <c r="AY35" s="41">
        <v>15199.567528606181</v>
      </c>
      <c r="AZ35" s="41">
        <v>16770.661030997377</v>
      </c>
      <c r="BA35" s="41">
        <v>17092.582140841449</v>
      </c>
      <c r="BB35" s="41">
        <v>15885.410181888035</v>
      </c>
      <c r="BC35" s="41">
        <v>16056.370976603068</v>
      </c>
      <c r="BD35" s="41">
        <v>16458.353210571509</v>
      </c>
      <c r="BE35" s="41">
        <v>16249.673949058506</v>
      </c>
      <c r="BF35" s="41">
        <v>16451.279309447262</v>
      </c>
      <c r="BG35" s="41">
        <v>16489.072237338718</v>
      </c>
      <c r="BH35" s="41">
        <v>16524.899501273976</v>
      </c>
      <c r="BI35" s="41">
        <v>16900.048285852245</v>
      </c>
      <c r="BJ35" s="41">
        <v>17391.668908461408</v>
      </c>
      <c r="BK35" s="41">
        <v>17745.255372592801</v>
      </c>
      <c r="BL35" s="41">
        <v>18148.497845105412</v>
      </c>
      <c r="BM35" s="41">
        <v>15191.164035341075</v>
      </c>
    </row>
    <row r="36" spans="1:65" x14ac:dyDescent="0.35">
      <c r="A36" s="41" t="s">
        <v>170</v>
      </c>
      <c r="B36" s="41" t="s">
        <v>171</v>
      </c>
      <c r="C36" s="41" t="s">
        <v>659</v>
      </c>
      <c r="D36" s="41" t="s">
        <v>660</v>
      </c>
      <c r="J36" s="41">
        <v>1113.783041852706</v>
      </c>
      <c r="K36" s="41">
        <v>1237.5635792502987</v>
      </c>
      <c r="L36" s="41">
        <v>1236.4196643446451</v>
      </c>
      <c r="M36" s="41">
        <v>1364.0659775421973</v>
      </c>
      <c r="N36" s="41">
        <v>1304.3406719498814</v>
      </c>
      <c r="O36" s="41">
        <v>1382.5376307223125</v>
      </c>
      <c r="P36" s="41">
        <v>1455.8875762271007</v>
      </c>
      <c r="Q36" s="41">
        <v>1906.971487684548</v>
      </c>
      <c r="R36" s="41">
        <v>2916.1302726929944</v>
      </c>
      <c r="S36" s="41">
        <v>6923.221827970734</v>
      </c>
      <c r="T36" s="41">
        <v>7228.0403727851381</v>
      </c>
      <c r="U36" s="41">
        <v>8461.8895818331166</v>
      </c>
      <c r="V36" s="41">
        <v>9917.3014700413532</v>
      </c>
      <c r="W36" s="41">
        <v>10715.176536586336</v>
      </c>
      <c r="X36" s="41">
        <v>14945.841092124865</v>
      </c>
      <c r="Y36" s="41">
        <v>25422.039189021532</v>
      </c>
      <c r="Z36" s="41">
        <v>21828.12245135093</v>
      </c>
      <c r="AA36" s="41">
        <v>20693.824910943193</v>
      </c>
      <c r="AB36" s="41">
        <v>18129.243903992923</v>
      </c>
      <c r="AC36" s="41">
        <v>17337.026476160532</v>
      </c>
      <c r="AD36" s="41">
        <v>15699.574777514326</v>
      </c>
      <c r="AE36" s="41">
        <v>10214.028491281879</v>
      </c>
      <c r="AF36" s="41">
        <v>11594.567540659489</v>
      </c>
      <c r="AG36" s="41">
        <v>11009.257385007131</v>
      </c>
      <c r="AH36" s="41">
        <v>11872.725165775477</v>
      </c>
      <c r="AI36" s="41">
        <v>13607.890273189432</v>
      </c>
      <c r="AJ36" s="41">
        <v>13905.168336633244</v>
      </c>
      <c r="AK36" s="41">
        <v>15274.667707504714</v>
      </c>
      <c r="AL36" s="41">
        <v>14575.574586243645</v>
      </c>
      <c r="AM36" s="41">
        <v>14120.95255839279</v>
      </c>
      <c r="AN36" s="41">
        <v>15933.452828182273</v>
      </c>
      <c r="AO36" s="41">
        <v>16793.391231302714</v>
      </c>
      <c r="AP36" s="41">
        <v>16660.147627396709</v>
      </c>
      <c r="AQ36" s="41">
        <v>12694.148957442652</v>
      </c>
      <c r="AR36" s="41">
        <v>14101.172849724415</v>
      </c>
      <c r="AS36" s="41">
        <v>18012.502194895344</v>
      </c>
      <c r="AT36" s="41">
        <v>16472.003294821508</v>
      </c>
      <c r="AU36" s="41">
        <v>16850.394079081689</v>
      </c>
      <c r="AV36" s="41">
        <v>18560.503501622359</v>
      </c>
      <c r="AW36" s="41">
        <v>21902.02711764647</v>
      </c>
      <c r="AX36" s="41">
        <v>26105.422029057128</v>
      </c>
      <c r="AY36" s="41">
        <v>30979.962842735436</v>
      </c>
      <c r="AZ36" s="41">
        <v>32663.392371141403</v>
      </c>
      <c r="BA36" s="41">
        <v>37934.676448101942</v>
      </c>
      <c r="BB36" s="41">
        <v>27956.005142625632</v>
      </c>
      <c r="BC36" s="41">
        <v>35270.642139065822</v>
      </c>
      <c r="BD36" s="41">
        <v>47055.960643203041</v>
      </c>
      <c r="BE36" s="41">
        <v>47739.557693156305</v>
      </c>
      <c r="BF36" s="41">
        <v>44740.85942443549</v>
      </c>
      <c r="BG36" s="41">
        <v>41725.867522015498</v>
      </c>
      <c r="BH36" s="41">
        <v>31164.036252846759</v>
      </c>
      <c r="BI36" s="41">
        <v>27158.405653572412</v>
      </c>
      <c r="BJ36" s="41">
        <v>28571.608291419005</v>
      </c>
      <c r="BK36" s="41">
        <v>31628.476256600865</v>
      </c>
      <c r="BL36" s="41">
        <v>31085.961886082212</v>
      </c>
      <c r="BM36" s="41">
        <v>27466.339641419945</v>
      </c>
    </row>
    <row r="37" spans="1:65" x14ac:dyDescent="0.35">
      <c r="A37" s="41" t="s">
        <v>172</v>
      </c>
      <c r="B37" s="41" t="s">
        <v>173</v>
      </c>
      <c r="C37" s="41" t="s">
        <v>659</v>
      </c>
      <c r="D37" s="41" t="s">
        <v>660</v>
      </c>
      <c r="Y37" s="41">
        <v>316.34993576163168</v>
      </c>
      <c r="Z37" s="41">
        <v>332.81059946317151</v>
      </c>
      <c r="AA37" s="41">
        <v>329.57335203616401</v>
      </c>
      <c r="AB37" s="41">
        <v>356.25056457857272</v>
      </c>
      <c r="AC37" s="41">
        <v>355.41589722193254</v>
      </c>
      <c r="AD37" s="41">
        <v>351.67989513250285</v>
      </c>
      <c r="AE37" s="41">
        <v>399.49350009715482</v>
      </c>
      <c r="AF37" s="41">
        <v>491.12781088165303</v>
      </c>
      <c r="AG37" s="41">
        <v>534.29618793610416</v>
      </c>
      <c r="AH37" s="41">
        <v>506.9683935225932</v>
      </c>
      <c r="AI37" s="41">
        <v>541.93225710574995</v>
      </c>
      <c r="AJ37" s="41">
        <v>449.50124215582281</v>
      </c>
      <c r="AK37" s="41">
        <v>449.40042820988515</v>
      </c>
      <c r="AL37" s="41">
        <v>424.33784182473431</v>
      </c>
      <c r="AM37" s="41">
        <v>486.90198006187853</v>
      </c>
      <c r="AN37" s="41">
        <v>543.30161871144901</v>
      </c>
      <c r="AO37" s="41">
        <v>560.39107897313875</v>
      </c>
      <c r="AP37" s="41">
        <v>638.48586657471481</v>
      </c>
      <c r="AQ37" s="41">
        <v>643.98822633607665</v>
      </c>
      <c r="AR37" s="41">
        <v>690.91274346858279</v>
      </c>
      <c r="AS37" s="41">
        <v>718.19633696941412</v>
      </c>
      <c r="AT37" s="41">
        <v>764.43280824618205</v>
      </c>
      <c r="AU37" s="41">
        <v>845.5006721035777</v>
      </c>
      <c r="AV37" s="41">
        <v>962.09537130774538</v>
      </c>
      <c r="AW37" s="41">
        <v>1068.4318114127534</v>
      </c>
      <c r="AX37" s="41">
        <v>1228.4323557233761</v>
      </c>
      <c r="AY37" s="41">
        <v>1330.9774440087392</v>
      </c>
      <c r="AZ37" s="41">
        <v>1757.1904959789458</v>
      </c>
      <c r="BA37" s="41">
        <v>1828.1546768490969</v>
      </c>
      <c r="BB37" s="41">
        <v>1819.1973095996427</v>
      </c>
      <c r="BC37" s="41">
        <v>2258.1864353595265</v>
      </c>
      <c r="BD37" s="41">
        <v>2563.2612238009951</v>
      </c>
      <c r="BE37" s="41">
        <v>2538.9495191996439</v>
      </c>
      <c r="BF37" s="41">
        <v>2472.7247532059514</v>
      </c>
      <c r="BG37" s="41">
        <v>2652.2256543802264</v>
      </c>
      <c r="BH37" s="41">
        <v>2752.6301723367751</v>
      </c>
      <c r="BI37" s="41">
        <v>2930.5749227006022</v>
      </c>
      <c r="BJ37" s="41">
        <v>3286.5967437668182</v>
      </c>
      <c r="BK37" s="41">
        <v>3243.477437487184</v>
      </c>
      <c r="BL37" s="41">
        <v>3316.1670221057707</v>
      </c>
      <c r="BM37" s="41">
        <v>3122.3760623472353</v>
      </c>
    </row>
    <row r="38" spans="1:65" x14ac:dyDescent="0.35">
      <c r="A38" s="41" t="s">
        <v>15</v>
      </c>
      <c r="B38" s="41" t="s">
        <v>174</v>
      </c>
      <c r="C38" s="41" t="s">
        <v>659</v>
      </c>
      <c r="D38" s="41" t="s">
        <v>660</v>
      </c>
      <c r="E38" s="41">
        <v>60.493957998383294</v>
      </c>
      <c r="F38" s="41">
        <v>64.176139571720128</v>
      </c>
      <c r="G38" s="41">
        <v>68.050348958668678</v>
      </c>
      <c r="H38" s="41">
        <v>71.106439084765128</v>
      </c>
      <c r="I38" s="41">
        <v>75.95591846716637</v>
      </c>
      <c r="J38" s="41">
        <v>81.769994334446267</v>
      </c>
      <c r="K38" s="41">
        <v>89.979552914718269</v>
      </c>
      <c r="L38" s="41">
        <v>100.40514351126755</v>
      </c>
      <c r="M38" s="41">
        <v>110.97864233084009</v>
      </c>
      <c r="N38" s="41">
        <v>126.54554836490136</v>
      </c>
      <c r="O38" s="41">
        <v>153.32637867117009</v>
      </c>
      <c r="P38" s="41">
        <v>197.19422158384572</v>
      </c>
      <c r="Q38" s="41">
        <v>246.54153780865744</v>
      </c>
      <c r="R38" s="41">
        <v>353.858479311184</v>
      </c>
      <c r="S38" s="41">
        <v>428.1984332160643</v>
      </c>
      <c r="T38" s="41">
        <v>479.09129312507707</v>
      </c>
      <c r="U38" s="41">
        <v>483.14131966100007</v>
      </c>
      <c r="V38" s="41">
        <v>564.12901097729628</v>
      </c>
      <c r="W38" s="41">
        <v>709.18933795440432</v>
      </c>
      <c r="X38" s="41">
        <v>947.755045659149</v>
      </c>
      <c r="Y38" s="41">
        <v>1181.6138697906256</v>
      </c>
      <c r="Z38" s="41">
        <v>1154.1785780272357</v>
      </c>
      <c r="AA38" s="41">
        <v>1054.055946447151</v>
      </c>
      <c r="AB38" s="41">
        <v>1176.8195346660602</v>
      </c>
      <c r="AC38" s="41">
        <v>1202.9760022227426</v>
      </c>
      <c r="AD38" s="41">
        <v>1042.2397538747393</v>
      </c>
      <c r="AE38" s="41">
        <v>1253.5553166892621</v>
      </c>
      <c r="AF38" s="41">
        <v>1701.678132869444</v>
      </c>
      <c r="AG38" s="41">
        <v>2203.6466149246221</v>
      </c>
      <c r="AH38" s="41">
        <v>2477.9753575759223</v>
      </c>
      <c r="AI38" s="41">
        <v>2945.8320395380147</v>
      </c>
      <c r="AJ38" s="41">
        <v>2972.728952762227</v>
      </c>
      <c r="AK38" s="41">
        <v>3040.9893962339152</v>
      </c>
      <c r="AL38" s="41">
        <v>2973.3804012170563</v>
      </c>
      <c r="AM38" s="41">
        <v>2970.1184252493531</v>
      </c>
      <c r="AN38" s="41">
        <v>3219.9142422455225</v>
      </c>
      <c r="AO38" s="41">
        <v>3221.6890557931174</v>
      </c>
      <c r="AP38" s="41">
        <v>3258.9824278592218</v>
      </c>
      <c r="AQ38" s="41">
        <v>3039.9649435951919</v>
      </c>
      <c r="AR38" s="41">
        <v>3405.8210582008155</v>
      </c>
      <c r="AS38" s="41">
        <v>3522.3108214570952</v>
      </c>
      <c r="AT38" s="41">
        <v>3278.0160793470563</v>
      </c>
      <c r="AU38" s="41">
        <v>3190.624811461536</v>
      </c>
      <c r="AV38" s="41">
        <v>4330.9723685528315</v>
      </c>
      <c r="AW38" s="41">
        <v>5073.5204080214889</v>
      </c>
      <c r="AX38" s="41">
        <v>5513.3310625932163</v>
      </c>
      <c r="AY38" s="41">
        <v>5521.9906081044473</v>
      </c>
      <c r="AZ38" s="41">
        <v>5832.7370516847595</v>
      </c>
      <c r="BA38" s="41">
        <v>5713.5439310642796</v>
      </c>
      <c r="BB38" s="41">
        <v>5255.7765326931294</v>
      </c>
      <c r="BC38" s="41">
        <v>6434.8124852682195</v>
      </c>
      <c r="BD38" s="41">
        <v>7617.3100413255052</v>
      </c>
      <c r="BE38" s="41">
        <v>7050.5734718668118</v>
      </c>
      <c r="BF38" s="41">
        <v>7224.9127372856374</v>
      </c>
      <c r="BG38" s="41">
        <v>7780.634757539744</v>
      </c>
      <c r="BH38" s="41">
        <v>6799.8701778341292</v>
      </c>
      <c r="BI38" s="41">
        <v>7243.9339743083865</v>
      </c>
      <c r="BJ38" s="41">
        <v>7893.4186714803263</v>
      </c>
      <c r="BK38" s="41">
        <v>8279.818456602934</v>
      </c>
      <c r="BL38" s="41">
        <v>7970.7969680064125</v>
      </c>
      <c r="BM38" s="41">
        <v>6710.9904112659979</v>
      </c>
    </row>
    <row r="39" spans="1:65" x14ac:dyDescent="0.35">
      <c r="A39" s="41" t="s">
        <v>175</v>
      </c>
      <c r="B39" s="41" t="s">
        <v>176</v>
      </c>
      <c r="C39" s="41" t="s">
        <v>659</v>
      </c>
      <c r="D39" s="41" t="s">
        <v>660</v>
      </c>
      <c r="E39" s="41">
        <v>74.687346969883606</v>
      </c>
      <c r="F39" s="41">
        <v>80.688063727418637</v>
      </c>
      <c r="G39" s="41">
        <v>80.212711667133235</v>
      </c>
      <c r="H39" s="41">
        <v>81.917909229256907</v>
      </c>
      <c r="I39" s="41">
        <v>88.290115777441315</v>
      </c>
      <c r="J39" s="41">
        <v>91.83037465299536</v>
      </c>
      <c r="K39" s="41">
        <v>94.398235690021011</v>
      </c>
      <c r="L39" s="41">
        <v>95.896483924980203</v>
      </c>
      <c r="M39" s="41">
        <v>109.94591035930807</v>
      </c>
      <c r="N39" s="41">
        <v>105.70710131915671</v>
      </c>
      <c r="O39" s="41">
        <v>104.41201647415275</v>
      </c>
      <c r="P39" s="41">
        <v>109.4533592287127</v>
      </c>
      <c r="Q39" s="41">
        <v>123.31065124090415</v>
      </c>
      <c r="R39" s="41">
        <v>143.11584629898684</v>
      </c>
      <c r="S39" s="41">
        <v>146.22776727777764</v>
      </c>
      <c r="T39" s="41">
        <v>193.35498211823239</v>
      </c>
      <c r="U39" s="41">
        <v>225.91317449196026</v>
      </c>
      <c r="V39" s="41">
        <v>248.6860331774524</v>
      </c>
      <c r="W39" s="41">
        <v>292.47000891963262</v>
      </c>
      <c r="X39" s="41">
        <v>327.34122487470961</v>
      </c>
      <c r="Y39" s="41">
        <v>362.40014875845486</v>
      </c>
      <c r="Z39" s="41">
        <v>306.83223926892174</v>
      </c>
      <c r="AA39" s="41">
        <v>320.4298321257674</v>
      </c>
      <c r="AB39" s="41">
        <v>273.50138183680122</v>
      </c>
      <c r="AC39" s="41">
        <v>257.35363663478614</v>
      </c>
      <c r="AD39" s="41">
        <v>340.20138899430975</v>
      </c>
      <c r="AE39" s="41">
        <v>432.0117587167216</v>
      </c>
      <c r="AF39" s="41">
        <v>453.74621848651628</v>
      </c>
      <c r="AG39" s="41">
        <v>469.52916702301303</v>
      </c>
      <c r="AH39" s="41">
        <v>449.39889575986672</v>
      </c>
      <c r="AI39" s="41">
        <v>513.3041876592365</v>
      </c>
      <c r="AJ39" s="41">
        <v>478.503276361394</v>
      </c>
      <c r="AK39" s="41">
        <v>477.1223242953771</v>
      </c>
      <c r="AL39" s="41">
        <v>419.80270384822944</v>
      </c>
      <c r="AM39" s="41">
        <v>271.50549762550224</v>
      </c>
      <c r="AN39" s="41">
        <v>346.10819620276243</v>
      </c>
      <c r="AO39" s="41">
        <v>304.63107554362426</v>
      </c>
      <c r="AP39" s="41">
        <v>276.42159607905944</v>
      </c>
      <c r="AQ39" s="41">
        <v>278.33190149240005</v>
      </c>
      <c r="AR39" s="41">
        <v>280.90842423456212</v>
      </c>
      <c r="AS39" s="41">
        <v>251.20729143608239</v>
      </c>
      <c r="AT39" s="41">
        <v>250.35714589965673</v>
      </c>
      <c r="AU39" s="41">
        <v>260.74545869554413</v>
      </c>
      <c r="AV39" s="41">
        <v>293.66154902769193</v>
      </c>
      <c r="AW39" s="41">
        <v>320.7368123383136</v>
      </c>
      <c r="AX39" s="41">
        <v>331.16308820671799</v>
      </c>
      <c r="AY39" s="41">
        <v>354.67086331470381</v>
      </c>
      <c r="AZ39" s="41">
        <v>404.37454291449808</v>
      </c>
      <c r="BA39" s="41">
        <v>464.56120469500507</v>
      </c>
      <c r="BB39" s="41">
        <v>474.70562754305502</v>
      </c>
      <c r="BC39" s="41">
        <v>488.42177309143943</v>
      </c>
      <c r="BD39" s="41">
        <v>551.74969183388475</v>
      </c>
      <c r="BE39" s="41">
        <v>565.80116449868353</v>
      </c>
      <c r="BF39" s="41">
        <v>380.29789277781748</v>
      </c>
      <c r="BG39" s="41">
        <v>424.4491059777489</v>
      </c>
      <c r="BH39" s="41">
        <v>377.42291896808075</v>
      </c>
      <c r="BI39" s="41">
        <v>402.19163490749247</v>
      </c>
      <c r="BJ39" s="41">
        <v>450.90069700533923</v>
      </c>
      <c r="BK39" s="41">
        <v>475.95384951277674</v>
      </c>
      <c r="BL39" s="41">
        <v>467.90802175194159</v>
      </c>
      <c r="BM39" s="41">
        <v>476.85111271985653</v>
      </c>
    </row>
    <row r="40" spans="1:65" x14ac:dyDescent="0.35">
      <c r="A40" s="41" t="s">
        <v>177</v>
      </c>
      <c r="B40" s="41" t="s">
        <v>178</v>
      </c>
      <c r="C40" s="41" t="s">
        <v>659</v>
      </c>
      <c r="D40" s="41" t="s">
        <v>660</v>
      </c>
      <c r="E40" s="41">
        <v>2259.2942854988105</v>
      </c>
      <c r="F40" s="41">
        <v>2240.4330394585322</v>
      </c>
      <c r="G40" s="41">
        <v>2268.585346079075</v>
      </c>
      <c r="H40" s="41">
        <v>2374.4984476488321</v>
      </c>
      <c r="I40" s="41">
        <v>2555.1111460130937</v>
      </c>
      <c r="J40" s="41">
        <v>2770.3618040814526</v>
      </c>
      <c r="K40" s="41">
        <v>3047.1061470795817</v>
      </c>
      <c r="L40" s="41">
        <v>3217.1592936079483</v>
      </c>
      <c r="M40" s="41">
        <v>3462.6788719579413</v>
      </c>
      <c r="N40" s="41">
        <v>3763.9533793841656</v>
      </c>
      <c r="O40" s="41">
        <v>4121.9328137369312</v>
      </c>
      <c r="P40" s="41">
        <v>4520.162878125705</v>
      </c>
      <c r="Q40" s="41">
        <v>5089.5879020487546</v>
      </c>
      <c r="R40" s="41">
        <v>5838.6608943401225</v>
      </c>
      <c r="S40" s="41">
        <v>7033.0110209073555</v>
      </c>
      <c r="T40" s="41">
        <v>7511.2113427915147</v>
      </c>
      <c r="U40" s="41">
        <v>8809.2646604493348</v>
      </c>
      <c r="V40" s="41">
        <v>8919.0574610427502</v>
      </c>
      <c r="W40" s="41">
        <v>9123.6913336450471</v>
      </c>
      <c r="X40" s="41">
        <v>10043.660958666887</v>
      </c>
      <c r="Y40" s="41">
        <v>11170.563972339281</v>
      </c>
      <c r="Z40" s="41">
        <v>12337.46624938037</v>
      </c>
      <c r="AA40" s="41">
        <v>12481.874787429784</v>
      </c>
      <c r="AB40" s="41">
        <v>13425.1224888294</v>
      </c>
      <c r="AC40" s="41">
        <v>13877.917076346948</v>
      </c>
      <c r="AD40" s="41">
        <v>14114.807759966354</v>
      </c>
      <c r="AE40" s="41">
        <v>14461.06923887871</v>
      </c>
      <c r="AF40" s="41">
        <v>16308.966966357904</v>
      </c>
      <c r="AG40" s="41">
        <v>18936.9641024997</v>
      </c>
      <c r="AH40" s="41">
        <v>20715.631483174035</v>
      </c>
      <c r="AI40" s="41">
        <v>21448.36196000567</v>
      </c>
      <c r="AJ40" s="41">
        <v>21768.343294182832</v>
      </c>
      <c r="AK40" s="41">
        <v>20879.848330089073</v>
      </c>
      <c r="AL40" s="41">
        <v>20121.161253285456</v>
      </c>
      <c r="AM40" s="41">
        <v>19935.381457920801</v>
      </c>
      <c r="AN40" s="41">
        <v>20613.787882921635</v>
      </c>
      <c r="AO40" s="41">
        <v>21227.347531589621</v>
      </c>
      <c r="AP40" s="41">
        <v>21901.562854839241</v>
      </c>
      <c r="AQ40" s="41">
        <v>21024.585068704466</v>
      </c>
      <c r="AR40" s="41">
        <v>22315.246673154485</v>
      </c>
      <c r="AS40" s="41">
        <v>24271.002056382138</v>
      </c>
      <c r="AT40" s="41">
        <v>23822.060117896377</v>
      </c>
      <c r="AU40" s="41">
        <v>24255.338581832191</v>
      </c>
      <c r="AV40" s="41">
        <v>28300.463096379102</v>
      </c>
      <c r="AW40" s="41">
        <v>32143.681407856151</v>
      </c>
      <c r="AX40" s="41">
        <v>36382.507916453651</v>
      </c>
      <c r="AY40" s="41">
        <v>40504.060725320283</v>
      </c>
      <c r="AZ40" s="41">
        <v>44659.895140803361</v>
      </c>
      <c r="BA40" s="41">
        <v>46710.505575901334</v>
      </c>
      <c r="BB40" s="41">
        <v>40876.310154029488</v>
      </c>
      <c r="BC40" s="41">
        <v>47562.083425305653</v>
      </c>
      <c r="BD40" s="41">
        <v>52223.696112356032</v>
      </c>
      <c r="BE40" s="41">
        <v>52669.089963231643</v>
      </c>
      <c r="BF40" s="41">
        <v>52635.174958043252</v>
      </c>
      <c r="BG40" s="41">
        <v>50955.998323240412</v>
      </c>
      <c r="BH40" s="41">
        <v>43596.135536554619</v>
      </c>
      <c r="BI40" s="41">
        <v>42315.603705680587</v>
      </c>
      <c r="BJ40" s="41">
        <v>45129.35643956616</v>
      </c>
      <c r="BK40" s="41">
        <v>46454.743394720273</v>
      </c>
      <c r="BL40" s="41">
        <v>46326.67263755716</v>
      </c>
      <c r="BM40" s="41">
        <v>43241.617828282702</v>
      </c>
    </row>
    <row r="41" spans="1:65" x14ac:dyDescent="0.35">
      <c r="A41" s="41" t="s">
        <v>179</v>
      </c>
      <c r="B41" s="41" t="s">
        <v>180</v>
      </c>
      <c r="C41" s="41" t="s">
        <v>659</v>
      </c>
      <c r="D41" s="41" t="s">
        <v>660</v>
      </c>
      <c r="AI41" s="41">
        <v>2313.5644313304633</v>
      </c>
      <c r="AJ41" s="41">
        <v>2196.1786740401158</v>
      </c>
      <c r="AK41" s="41">
        <v>2359.7995287644353</v>
      </c>
      <c r="AL41" s="41">
        <v>2489.8023013081379</v>
      </c>
      <c r="AM41" s="41">
        <v>2824.8629351462532</v>
      </c>
      <c r="AN41" s="41">
        <v>3578.6153664721005</v>
      </c>
      <c r="AO41" s="41">
        <v>3793.6350179594974</v>
      </c>
      <c r="AP41" s="41">
        <v>3745.6100995124521</v>
      </c>
      <c r="AQ41" s="41">
        <v>4106.1995469403773</v>
      </c>
      <c r="AR41" s="41">
        <v>3986.1960096351281</v>
      </c>
      <c r="AS41" s="41">
        <v>3946.8432944336555</v>
      </c>
      <c r="AT41" s="41">
        <v>4352.3403381478374</v>
      </c>
      <c r="AU41" s="41">
        <v>4936.0393380702026</v>
      </c>
      <c r="AV41" s="41">
        <v>5943.4390685334702</v>
      </c>
      <c r="AW41" s="41">
        <v>7171.1741693852191</v>
      </c>
      <c r="AX41" s="41">
        <v>8356.2676708828039</v>
      </c>
      <c r="AY41" s="41">
        <v>9474.9760539652962</v>
      </c>
      <c r="AZ41" s="41">
        <v>12012.39221675027</v>
      </c>
      <c r="BA41" s="41">
        <v>14585.414724874603</v>
      </c>
      <c r="BB41" s="41">
        <v>12304.555659983926</v>
      </c>
      <c r="BC41" s="41">
        <v>12608.382874838882</v>
      </c>
      <c r="BD41" s="41">
        <v>13907.671817551103</v>
      </c>
      <c r="BE41" s="41">
        <v>13014.505813185182</v>
      </c>
      <c r="BF41" s="41">
        <v>13712.808703077166</v>
      </c>
      <c r="BG41" s="41">
        <v>14153.747624032101</v>
      </c>
      <c r="BH41" s="41">
        <v>12513.201836330585</v>
      </c>
      <c r="BI41" s="41">
        <v>12822.376223060946</v>
      </c>
      <c r="BJ41" s="41">
        <v>14238.196766139612</v>
      </c>
      <c r="BK41" s="41">
        <v>16034.714970211126</v>
      </c>
      <c r="BL41" s="41">
        <v>16294.377000594259</v>
      </c>
      <c r="BM41" s="41">
        <v>16082.457710300458</v>
      </c>
    </row>
    <row r="42" spans="1:65" x14ac:dyDescent="0.35">
      <c r="A42" s="41" t="s">
        <v>181</v>
      </c>
      <c r="B42" s="41" t="s">
        <v>182</v>
      </c>
      <c r="C42" s="41" t="s">
        <v>659</v>
      </c>
      <c r="D42" s="41" t="s">
        <v>660</v>
      </c>
      <c r="E42" s="41">
        <v>1787.3603477020074</v>
      </c>
      <c r="F42" s="41">
        <v>1971.3163227922828</v>
      </c>
      <c r="G42" s="41">
        <v>2131.3916515998317</v>
      </c>
      <c r="H42" s="41">
        <v>2294.1828473173787</v>
      </c>
      <c r="I42" s="41">
        <v>2501.2931899637747</v>
      </c>
      <c r="J42" s="41">
        <v>2620.4755473530031</v>
      </c>
      <c r="K42" s="41">
        <v>2784.7335477164634</v>
      </c>
      <c r="L42" s="41">
        <v>2960.7225858838383</v>
      </c>
      <c r="M42" s="41">
        <v>3121.8890308772043</v>
      </c>
      <c r="N42" s="41">
        <v>3344.7836025463948</v>
      </c>
      <c r="Y42" s="41">
        <v>19410.189354774338</v>
      </c>
      <c r="Z42" s="41">
        <v>17679.868867147201</v>
      </c>
      <c r="AA42" s="41">
        <v>18015.105958874581</v>
      </c>
      <c r="AB42" s="41">
        <v>17874.250650005237</v>
      </c>
      <c r="AC42" s="41">
        <v>17005.534240885132</v>
      </c>
      <c r="AD42" s="41">
        <v>17166.518499415924</v>
      </c>
      <c r="AE42" s="41">
        <v>24480.422564234563</v>
      </c>
      <c r="AF42" s="41">
        <v>30466.109021917837</v>
      </c>
      <c r="AG42" s="41">
        <v>32717.920447929591</v>
      </c>
      <c r="AH42" s="41">
        <v>31334.979079401077</v>
      </c>
      <c r="AI42" s="41">
        <v>39607.819085642899</v>
      </c>
      <c r="AJ42" s="41">
        <v>39577.748748750666</v>
      </c>
      <c r="AK42" s="41">
        <v>40747.925462279134</v>
      </c>
      <c r="AL42" s="41">
        <v>39270.114134604089</v>
      </c>
      <c r="AM42" s="41">
        <v>43128.014108909047</v>
      </c>
      <c r="AN42" s="41">
        <v>50155.974127321781</v>
      </c>
      <c r="AO42" s="41">
        <v>48144.579128429636</v>
      </c>
      <c r="AP42" s="41">
        <v>41631.438858784364</v>
      </c>
      <c r="AQ42" s="41">
        <v>42740.128182514934</v>
      </c>
      <c r="AR42" s="41">
        <v>41786.234141170069</v>
      </c>
      <c r="AS42" s="41">
        <v>38952.03420055718</v>
      </c>
      <c r="AT42" s="41">
        <v>39727.846671388295</v>
      </c>
      <c r="AU42" s="41">
        <v>42578.763135569643</v>
      </c>
      <c r="AV42" s="41">
        <v>49470.397125967393</v>
      </c>
      <c r="AW42" s="41">
        <v>54878.471000978687</v>
      </c>
      <c r="AX42" s="41">
        <v>56546.785655398664</v>
      </c>
      <c r="AY42" s="41">
        <v>59300.617216501516</v>
      </c>
      <c r="AZ42" s="41">
        <v>65359.519221826929</v>
      </c>
      <c r="BA42" s="41">
        <v>74572.232372807048</v>
      </c>
      <c r="BB42" s="41">
        <v>72083.167695454045</v>
      </c>
      <c r="BC42" s="41">
        <v>77117.126014203954</v>
      </c>
      <c r="BD42" s="41">
        <v>91254.034760968731</v>
      </c>
      <c r="BE42" s="41">
        <v>86547.670890726542</v>
      </c>
      <c r="BF42" s="41">
        <v>88109.486752403711</v>
      </c>
      <c r="BG42" s="41">
        <v>89684.707579593596</v>
      </c>
      <c r="BH42" s="41">
        <v>84776.142165974787</v>
      </c>
      <c r="BI42" s="41">
        <v>83073.2800824812</v>
      </c>
      <c r="BJ42" s="41">
        <v>83352.088653341154</v>
      </c>
      <c r="BK42" s="41">
        <v>86429.500816359214</v>
      </c>
      <c r="BL42" s="41">
        <v>85300.347970028874</v>
      </c>
      <c r="BM42" s="41">
        <v>86601.556412628852</v>
      </c>
    </row>
    <row r="43" spans="1:65" x14ac:dyDescent="0.35">
      <c r="A43" s="41" t="s">
        <v>183</v>
      </c>
      <c r="B43" s="41" t="s">
        <v>184</v>
      </c>
      <c r="C43" s="41" t="s">
        <v>659</v>
      </c>
      <c r="D43" s="41" t="s">
        <v>660</v>
      </c>
      <c r="AQ43" s="41">
        <v>40584.828509315856</v>
      </c>
      <c r="AR43" s="41">
        <v>42444.007623373582</v>
      </c>
      <c r="AS43" s="41">
        <v>43382.826849481899</v>
      </c>
      <c r="AT43" s="41">
        <v>41804.37091614923</v>
      </c>
      <c r="AU43" s="41">
        <v>44545.9223131619</v>
      </c>
      <c r="AV43" s="41">
        <v>48858.831864857617</v>
      </c>
      <c r="AW43" s="41">
        <v>56751.126936231958</v>
      </c>
      <c r="AX43" s="41">
        <v>58198.984184980458</v>
      </c>
      <c r="AY43" s="41">
        <v>63243.373833043857</v>
      </c>
      <c r="AZ43" s="41">
        <v>74458.794666051937</v>
      </c>
    </row>
    <row r="44" spans="1:65" x14ac:dyDescent="0.35">
      <c r="A44" s="41" t="s">
        <v>185</v>
      </c>
      <c r="B44" s="41" t="s">
        <v>186</v>
      </c>
      <c r="C44" s="41" t="s">
        <v>659</v>
      </c>
      <c r="D44" s="41" t="s">
        <v>660</v>
      </c>
      <c r="E44" s="41">
        <v>505.34932548775424</v>
      </c>
      <c r="F44" s="41">
        <v>555.13440258552248</v>
      </c>
      <c r="G44" s="41">
        <v>638.94535997823812</v>
      </c>
      <c r="H44" s="41">
        <v>655.25224874254229</v>
      </c>
      <c r="I44" s="41">
        <v>678.12810640017972</v>
      </c>
      <c r="J44" s="41">
        <v>670.39568581807862</v>
      </c>
      <c r="K44" s="41">
        <v>772.72571615316076</v>
      </c>
      <c r="L44" s="41">
        <v>753.12795788092831</v>
      </c>
      <c r="M44" s="41">
        <v>756.91200088814776</v>
      </c>
      <c r="N44" s="41">
        <v>870.31983854804105</v>
      </c>
      <c r="O44" s="41">
        <v>932.86156915700792</v>
      </c>
      <c r="P44" s="41">
        <v>1094.6822532292344</v>
      </c>
      <c r="Q44" s="41">
        <v>1173.2183891200289</v>
      </c>
      <c r="R44" s="41">
        <v>1640.0296998171077</v>
      </c>
      <c r="S44" s="41">
        <v>1554.3878030427618</v>
      </c>
      <c r="T44" s="41">
        <v>719.59915753430164</v>
      </c>
      <c r="U44" s="41">
        <v>961.42460404323197</v>
      </c>
      <c r="V44" s="41">
        <v>1278.3281597290982</v>
      </c>
      <c r="W44" s="41">
        <v>1441.9420856438771</v>
      </c>
      <c r="X44" s="41">
        <v>1937.2665721033554</v>
      </c>
      <c r="Y44" s="41">
        <v>2542.7638063282825</v>
      </c>
      <c r="Z44" s="41">
        <v>2979.6078787283864</v>
      </c>
      <c r="AA44" s="41">
        <v>2156.513066105761</v>
      </c>
      <c r="AB44" s="41">
        <v>1709.4420693740312</v>
      </c>
      <c r="AC44" s="41">
        <v>1624.6319676363421</v>
      </c>
      <c r="AD44" s="41">
        <v>1444.2801382750245</v>
      </c>
      <c r="AE44" s="41">
        <v>1517.8613451379711</v>
      </c>
      <c r="AF44" s="41">
        <v>1760.3063980171569</v>
      </c>
      <c r="AG44" s="41">
        <v>2026.8379142581707</v>
      </c>
      <c r="AH44" s="41">
        <v>2288.5549408994839</v>
      </c>
      <c r="AI44" s="41">
        <v>2494.5267963643028</v>
      </c>
      <c r="AJ44" s="41">
        <v>2803.5627137325869</v>
      </c>
      <c r="AK44" s="41">
        <v>3350.2140887644109</v>
      </c>
      <c r="AL44" s="41">
        <v>3535.174360102279</v>
      </c>
      <c r="AM44" s="41">
        <v>4024.2152278241406</v>
      </c>
      <c r="AN44" s="41">
        <v>5107.2775126239549</v>
      </c>
      <c r="AO44" s="41">
        <v>5349.8052267830344</v>
      </c>
      <c r="AP44" s="41">
        <v>5745.3710755602406</v>
      </c>
      <c r="AQ44" s="41">
        <v>5446.5795218588019</v>
      </c>
      <c r="AR44" s="41">
        <v>4957.7775568664474</v>
      </c>
      <c r="AS44" s="41">
        <v>5074.9026160820931</v>
      </c>
      <c r="AT44" s="41">
        <v>4574.5947155043868</v>
      </c>
      <c r="AU44" s="41">
        <v>4446.2493709584924</v>
      </c>
      <c r="AV44" s="41">
        <v>4772.5637229948006</v>
      </c>
      <c r="AW44" s="41">
        <v>6194.852720167828</v>
      </c>
      <c r="AX44" s="41">
        <v>7598.5288774553865</v>
      </c>
      <c r="AY44" s="41">
        <v>9464.5485067699265</v>
      </c>
      <c r="AZ44" s="41">
        <v>10502.350708213116</v>
      </c>
      <c r="BA44" s="41">
        <v>10751.481604666311</v>
      </c>
      <c r="BB44" s="41">
        <v>10208.907971429217</v>
      </c>
      <c r="BC44" s="41">
        <v>12808.038339685392</v>
      </c>
      <c r="BD44" s="41">
        <v>14637.233440788736</v>
      </c>
      <c r="BE44" s="41">
        <v>15351.540738711323</v>
      </c>
      <c r="BF44" s="41">
        <v>15842.936483627333</v>
      </c>
      <c r="BG44" s="41">
        <v>14670.988914269963</v>
      </c>
      <c r="BH44" s="41">
        <v>13574.169237749689</v>
      </c>
      <c r="BI44" s="41">
        <v>13753.592148511967</v>
      </c>
      <c r="BJ44" s="41">
        <v>14998.817056321161</v>
      </c>
      <c r="BK44" s="41">
        <v>15888.144355397988</v>
      </c>
      <c r="BL44" s="41">
        <v>14741.714403995438</v>
      </c>
      <c r="BM44" s="41">
        <v>13231.704206938271</v>
      </c>
    </row>
    <row r="45" spans="1:65" x14ac:dyDescent="0.35">
      <c r="A45" s="41" t="s">
        <v>187</v>
      </c>
      <c r="B45" s="41" t="s">
        <v>188</v>
      </c>
      <c r="C45" s="41" t="s">
        <v>659</v>
      </c>
      <c r="D45" s="41" t="s">
        <v>660</v>
      </c>
      <c r="E45" s="41">
        <v>89.520541510358441</v>
      </c>
      <c r="F45" s="41">
        <v>75.805837925996457</v>
      </c>
      <c r="G45" s="41">
        <v>70.909411667100727</v>
      </c>
      <c r="H45" s="41">
        <v>74.313643448614471</v>
      </c>
      <c r="I45" s="41">
        <v>85.498555159631337</v>
      </c>
      <c r="J45" s="41">
        <v>98.486777752220632</v>
      </c>
      <c r="K45" s="41">
        <v>104.3245661811473</v>
      </c>
      <c r="L45" s="41">
        <v>96.589531941781914</v>
      </c>
      <c r="M45" s="41">
        <v>91.472718306607177</v>
      </c>
      <c r="N45" s="41">
        <v>100.12990326618034</v>
      </c>
      <c r="O45" s="41">
        <v>113.16299155468569</v>
      </c>
      <c r="P45" s="41">
        <v>118.65457778534622</v>
      </c>
      <c r="Q45" s="41">
        <v>131.88356124386769</v>
      </c>
      <c r="R45" s="41">
        <v>157.09037429865688</v>
      </c>
      <c r="S45" s="41">
        <v>160.14009372768567</v>
      </c>
      <c r="T45" s="41">
        <v>178.34181960809613</v>
      </c>
      <c r="U45" s="41">
        <v>165.40554037242046</v>
      </c>
      <c r="V45" s="41">
        <v>185.42283291367269</v>
      </c>
      <c r="W45" s="41">
        <v>156.39638852004444</v>
      </c>
      <c r="X45" s="41">
        <v>183.98315221597773</v>
      </c>
      <c r="Y45" s="41">
        <v>194.80472218683599</v>
      </c>
      <c r="Z45" s="41">
        <v>197.07147449910167</v>
      </c>
      <c r="AA45" s="41">
        <v>203.33491950346371</v>
      </c>
      <c r="AB45" s="41">
        <v>225.43192889081189</v>
      </c>
      <c r="AC45" s="41">
        <v>250.71396904698756</v>
      </c>
      <c r="AD45" s="41">
        <v>294.45884850495992</v>
      </c>
      <c r="AE45" s="41">
        <v>281.92812091156304</v>
      </c>
      <c r="AF45" s="41">
        <v>251.81195696132875</v>
      </c>
      <c r="AG45" s="41">
        <v>283.53769524052439</v>
      </c>
      <c r="AH45" s="41">
        <v>310.88191240489954</v>
      </c>
      <c r="AI45" s="41">
        <v>317.88467304092774</v>
      </c>
      <c r="AJ45" s="41">
        <v>333.14214540018395</v>
      </c>
      <c r="AK45" s="41">
        <v>366.46069230611567</v>
      </c>
      <c r="AL45" s="41">
        <v>377.38983947890046</v>
      </c>
      <c r="AM45" s="41">
        <v>473.49227871998886</v>
      </c>
      <c r="AN45" s="41">
        <v>609.65667920546537</v>
      </c>
      <c r="AO45" s="41">
        <v>709.41375508800206</v>
      </c>
      <c r="AP45" s="41">
        <v>781.74416434301395</v>
      </c>
      <c r="AQ45" s="41">
        <v>828.58047929957172</v>
      </c>
      <c r="AR45" s="41">
        <v>873.28706173061187</v>
      </c>
      <c r="AS45" s="41">
        <v>959.37248363586446</v>
      </c>
      <c r="AT45" s="41">
        <v>1053.1082430026236</v>
      </c>
      <c r="AU45" s="41">
        <v>1148.5082904388682</v>
      </c>
      <c r="AV45" s="41">
        <v>1288.6432518347469</v>
      </c>
      <c r="AW45" s="41">
        <v>1508.6680978845261</v>
      </c>
      <c r="AX45" s="41">
        <v>1753.4178292610411</v>
      </c>
      <c r="AY45" s="41">
        <v>2099.2294346073427</v>
      </c>
      <c r="AZ45" s="41">
        <v>2693.9700634042656</v>
      </c>
      <c r="BA45" s="41">
        <v>3468.3046020797728</v>
      </c>
      <c r="BB45" s="41">
        <v>3832.2364324692176</v>
      </c>
      <c r="BC45" s="41">
        <v>4550.4531077559932</v>
      </c>
      <c r="BD45" s="41">
        <v>5618.1322671149128</v>
      </c>
      <c r="BE45" s="41">
        <v>6316.9183176021588</v>
      </c>
      <c r="BF45" s="41">
        <v>7050.6462712428656</v>
      </c>
      <c r="BG45" s="41">
        <v>7678.5994858772201</v>
      </c>
      <c r="BH45" s="41">
        <v>8066.9426349320602</v>
      </c>
      <c r="BI45" s="41">
        <v>8147.9377054938477</v>
      </c>
      <c r="BJ45" s="41">
        <v>8879.4386671145257</v>
      </c>
      <c r="BK45" s="41">
        <v>9976.6771372629955</v>
      </c>
      <c r="BL45" s="41">
        <v>10216.630334103127</v>
      </c>
      <c r="BM45" s="41">
        <v>10500.395615963704</v>
      </c>
    </row>
    <row r="46" spans="1:65" x14ac:dyDescent="0.35">
      <c r="A46" s="41" t="s">
        <v>189</v>
      </c>
      <c r="B46" s="41" t="s">
        <v>190</v>
      </c>
      <c r="C46" s="41" t="s">
        <v>659</v>
      </c>
      <c r="D46" s="41" t="s">
        <v>660</v>
      </c>
      <c r="E46" s="41">
        <v>155.89963279396437</v>
      </c>
      <c r="F46" s="41">
        <v>170.24305047446217</v>
      </c>
      <c r="G46" s="41">
        <v>171.12863963728174</v>
      </c>
      <c r="H46" s="41">
        <v>194.21252984599249</v>
      </c>
      <c r="I46" s="41">
        <v>226.2270417910452</v>
      </c>
      <c r="J46" s="41">
        <v>217.60244145006016</v>
      </c>
      <c r="K46" s="41">
        <v>233.61490547919769</v>
      </c>
      <c r="L46" s="41">
        <v>238.31048767387577</v>
      </c>
      <c r="M46" s="41">
        <v>271.85334549586833</v>
      </c>
      <c r="N46" s="41">
        <v>277.97212790889711</v>
      </c>
      <c r="O46" s="41">
        <v>285.27303432556323</v>
      </c>
      <c r="P46" s="41">
        <v>297.28036055261299</v>
      </c>
      <c r="Q46" s="41">
        <v>331.67001010676427</v>
      </c>
      <c r="R46" s="41">
        <v>429.41293374776438</v>
      </c>
      <c r="S46" s="41">
        <v>501.55267816104839</v>
      </c>
      <c r="T46" s="41">
        <v>607.23500173929347</v>
      </c>
      <c r="U46" s="41">
        <v>694.38324714356577</v>
      </c>
      <c r="V46" s="41">
        <v>891.63460225847143</v>
      </c>
      <c r="W46" s="41">
        <v>1074.8620081611166</v>
      </c>
      <c r="X46" s="41">
        <v>1189.5683966225108</v>
      </c>
      <c r="Y46" s="41">
        <v>1266.62387688845</v>
      </c>
      <c r="Z46" s="41">
        <v>1004.6343727832455</v>
      </c>
      <c r="AA46" s="41">
        <v>863.33343258553168</v>
      </c>
      <c r="AB46" s="41">
        <v>747.75618194722131</v>
      </c>
      <c r="AC46" s="41">
        <v>717.89766748013108</v>
      </c>
      <c r="AD46" s="41">
        <v>703.51951515977885</v>
      </c>
      <c r="AE46" s="41">
        <v>888.52858054747094</v>
      </c>
      <c r="AF46" s="41">
        <v>942.93100750600809</v>
      </c>
      <c r="AG46" s="41">
        <v>924.32724516176063</v>
      </c>
      <c r="AH46" s="41">
        <v>848.28954433295223</v>
      </c>
      <c r="AI46" s="41">
        <v>905.32201952630442</v>
      </c>
      <c r="AJ46" s="41">
        <v>848.75311593866968</v>
      </c>
      <c r="AK46" s="41">
        <v>870.48070171196389</v>
      </c>
      <c r="AL46" s="41">
        <v>832.28305872577039</v>
      </c>
      <c r="AM46" s="41">
        <v>605.26336693829001</v>
      </c>
      <c r="AN46" s="41">
        <v>774.67137572525223</v>
      </c>
      <c r="AO46" s="41">
        <v>827.76211854902897</v>
      </c>
      <c r="AP46" s="41">
        <v>774.72706808221619</v>
      </c>
      <c r="AQ46" s="41">
        <v>809.01305154565341</v>
      </c>
      <c r="AR46" s="41">
        <v>771.96840600236101</v>
      </c>
      <c r="AS46" s="41">
        <v>652.92786780206313</v>
      </c>
      <c r="AT46" s="41">
        <v>664.70869504162545</v>
      </c>
      <c r="AU46" s="41">
        <v>719.91298429484937</v>
      </c>
      <c r="AV46" s="41">
        <v>871.66650079865678</v>
      </c>
      <c r="AW46" s="41">
        <v>922.85527371009869</v>
      </c>
      <c r="AX46" s="41">
        <v>931.20007630564942</v>
      </c>
      <c r="AY46" s="41">
        <v>949.97582789471608</v>
      </c>
      <c r="AZ46" s="41">
        <v>1062.5569184225042</v>
      </c>
      <c r="BA46" s="41">
        <v>1240.6148927312693</v>
      </c>
      <c r="BB46" s="41">
        <v>1215.1667854036964</v>
      </c>
      <c r="BC46" s="41">
        <v>1213.1129995521148</v>
      </c>
      <c r="BD46" s="41">
        <v>1208.5831989172877</v>
      </c>
      <c r="BE46" s="41">
        <v>1243.2734867584011</v>
      </c>
      <c r="BF46" s="41">
        <v>1415.8716936035028</v>
      </c>
      <c r="BG46" s="41">
        <v>1561.4644130190136</v>
      </c>
      <c r="BH46" s="41">
        <v>1972.545683058358</v>
      </c>
      <c r="BI46" s="41">
        <v>2013.3814476165073</v>
      </c>
      <c r="BJ46" s="41">
        <v>2111.0265572664453</v>
      </c>
      <c r="BK46" s="41">
        <v>2314.0509583688104</v>
      </c>
      <c r="BL46" s="41">
        <v>2276.3323939017969</v>
      </c>
      <c r="BM46" s="41">
        <v>2325.7237050224721</v>
      </c>
    </row>
    <row r="47" spans="1:65" x14ac:dyDescent="0.35">
      <c r="A47" s="41" t="s">
        <v>191</v>
      </c>
      <c r="B47" s="41" t="s">
        <v>192</v>
      </c>
      <c r="C47" s="41" t="s">
        <v>659</v>
      </c>
      <c r="D47" s="41" t="s">
        <v>660</v>
      </c>
      <c r="E47" s="41">
        <v>118.64314515237527</v>
      </c>
      <c r="F47" s="41">
        <v>123.51480812138431</v>
      </c>
      <c r="G47" s="41">
        <v>128.59463717155779</v>
      </c>
      <c r="H47" s="41">
        <v>130.17527422277371</v>
      </c>
      <c r="I47" s="41">
        <v>137.62976406685686</v>
      </c>
      <c r="J47" s="41">
        <v>141.00251500174954</v>
      </c>
      <c r="K47" s="41">
        <v>144.01536525703744</v>
      </c>
      <c r="L47" s="41">
        <v>154.67789071490731</v>
      </c>
      <c r="M47" s="41">
        <v>168.70214877646114</v>
      </c>
      <c r="N47" s="41">
        <v>173.12171761368052</v>
      </c>
      <c r="O47" s="41">
        <v>176.57370922057621</v>
      </c>
      <c r="P47" s="41">
        <v>184.90347579035347</v>
      </c>
      <c r="Q47" s="41">
        <v>218.17605362504244</v>
      </c>
      <c r="R47" s="41">
        <v>269.59229599075286</v>
      </c>
      <c r="S47" s="41">
        <v>297.68603600117115</v>
      </c>
      <c r="T47" s="41">
        <v>383.44054689943425</v>
      </c>
      <c r="U47" s="41">
        <v>378.12362159242394</v>
      </c>
      <c r="V47" s="41">
        <v>430.38139934693902</v>
      </c>
      <c r="W47" s="41">
        <v>574.16638949795663</v>
      </c>
      <c r="X47" s="41">
        <v>707.54428955229014</v>
      </c>
      <c r="Y47" s="41">
        <v>774.18524339591113</v>
      </c>
      <c r="Z47" s="41">
        <v>743.76016035988027</v>
      </c>
      <c r="AA47" s="41">
        <v>721.21630693668044</v>
      </c>
      <c r="AB47" s="41">
        <v>726.50595515939222</v>
      </c>
      <c r="AC47" s="41">
        <v>749.33906616289607</v>
      </c>
      <c r="AD47" s="41">
        <v>848.47327952331216</v>
      </c>
      <c r="AE47" s="41">
        <v>1140.5971821824537</v>
      </c>
      <c r="AF47" s="41">
        <v>1216.0644673742061</v>
      </c>
      <c r="AG47" s="41">
        <v>1104.7937530729662</v>
      </c>
      <c r="AH47" s="41">
        <v>963.83267812105419</v>
      </c>
      <c r="AI47" s="41">
        <v>1045.3643619484403</v>
      </c>
      <c r="AJ47" s="41">
        <v>975.47194889241212</v>
      </c>
      <c r="AK47" s="41">
        <v>965.78073894403701</v>
      </c>
      <c r="AL47" s="41">
        <v>1129.0493587432647</v>
      </c>
      <c r="AM47" s="41">
        <v>626.75119645668053</v>
      </c>
      <c r="AN47" s="41">
        <v>736.79256246021453</v>
      </c>
      <c r="AO47" s="41">
        <v>738.20039556281461</v>
      </c>
      <c r="AP47" s="41">
        <v>700.16227208652731</v>
      </c>
      <c r="AQ47" s="41">
        <v>735.62820091969184</v>
      </c>
      <c r="AR47" s="41">
        <v>708.44507696746052</v>
      </c>
      <c r="AS47" s="41">
        <v>651.61025917973143</v>
      </c>
      <c r="AT47" s="41">
        <v>651.67057813126883</v>
      </c>
      <c r="AU47" s="41">
        <v>711.22935373221344</v>
      </c>
      <c r="AV47" s="41">
        <v>867.90354552751421</v>
      </c>
      <c r="AW47" s="41">
        <v>1011.7564055524464</v>
      </c>
      <c r="AX47" s="41">
        <v>1012.2826295684483</v>
      </c>
      <c r="AY47" s="41">
        <v>1063.081627874986</v>
      </c>
      <c r="AZ47" s="41">
        <v>1195.6492107081051</v>
      </c>
      <c r="BA47" s="41">
        <v>1377.2986346909411</v>
      </c>
      <c r="BB47" s="41">
        <v>1319.9974204435659</v>
      </c>
      <c r="BC47" s="41">
        <v>1286.515887851054</v>
      </c>
      <c r="BD47" s="41">
        <v>1405.094123483698</v>
      </c>
      <c r="BE47" s="41">
        <v>1354.5455497017447</v>
      </c>
      <c r="BF47" s="41">
        <v>1465.6387103943173</v>
      </c>
      <c r="BG47" s="41">
        <v>1542.62060627136</v>
      </c>
      <c r="BH47" s="41">
        <v>1327.5025612881268</v>
      </c>
      <c r="BI47" s="41">
        <v>1364.3295402039705</v>
      </c>
      <c r="BJ47" s="41">
        <v>1425.1063677727061</v>
      </c>
      <c r="BK47" s="41">
        <v>1534.4922414545204</v>
      </c>
      <c r="BL47" s="41">
        <v>1507.4497981221189</v>
      </c>
      <c r="BM47" s="41">
        <v>1499.372842722973</v>
      </c>
    </row>
    <row r="48" spans="1:65" x14ac:dyDescent="0.35">
      <c r="A48" s="41" t="s">
        <v>193</v>
      </c>
      <c r="B48" s="41" t="s">
        <v>194</v>
      </c>
      <c r="C48" s="41" t="s">
        <v>659</v>
      </c>
      <c r="D48" s="41" t="s">
        <v>660</v>
      </c>
      <c r="E48" s="41">
        <v>220.31398985215483</v>
      </c>
      <c r="F48" s="41">
        <v>197.39135916041727</v>
      </c>
      <c r="G48" s="41">
        <v>235.63352441259048</v>
      </c>
      <c r="H48" s="41">
        <v>377.42987853926417</v>
      </c>
      <c r="I48" s="41">
        <v>170.4670049762257</v>
      </c>
      <c r="J48" s="41">
        <v>232.81112780051231</v>
      </c>
      <c r="K48" s="41">
        <v>253.75920873022775</v>
      </c>
      <c r="L48" s="41">
        <v>184.13043916017173</v>
      </c>
      <c r="M48" s="41">
        <v>206.71495109474429</v>
      </c>
      <c r="N48" s="41">
        <v>258.60647669263301</v>
      </c>
      <c r="O48" s="41">
        <v>243.74978094232526</v>
      </c>
      <c r="P48" s="41">
        <v>272.06542945072999</v>
      </c>
      <c r="Q48" s="41">
        <v>292.2971254867706</v>
      </c>
      <c r="R48" s="41">
        <v>362.84356418446703</v>
      </c>
      <c r="S48" s="41">
        <v>430.7021578164742</v>
      </c>
      <c r="T48" s="41">
        <v>446.9755402790268</v>
      </c>
      <c r="U48" s="41">
        <v>409.5242253228447</v>
      </c>
      <c r="V48" s="41">
        <v>509.06677026239663</v>
      </c>
      <c r="W48" s="41">
        <v>615.97890761961366</v>
      </c>
      <c r="X48" s="41">
        <v>587.15158476088482</v>
      </c>
      <c r="Y48" s="41">
        <v>546.11249954672621</v>
      </c>
      <c r="Z48" s="41">
        <v>463.67117198242011</v>
      </c>
      <c r="AA48" s="41">
        <v>492.53249122010749</v>
      </c>
      <c r="AB48" s="41">
        <v>387.50766358739514</v>
      </c>
      <c r="AC48" s="41">
        <v>269.84272425142507</v>
      </c>
      <c r="AD48" s="41">
        <v>240.78809815766905</v>
      </c>
      <c r="AE48" s="41">
        <v>263.83130033462487</v>
      </c>
      <c r="AF48" s="41">
        <v>243.00478568946639</v>
      </c>
      <c r="AG48" s="41">
        <v>273.12781939189261</v>
      </c>
      <c r="AH48" s="41">
        <v>269.59287585237877</v>
      </c>
      <c r="AI48" s="41">
        <v>270.13054337707956</v>
      </c>
      <c r="AJ48" s="41">
        <v>268.29249687579824</v>
      </c>
      <c r="AK48" s="41">
        <v>220.36800725844361</v>
      </c>
      <c r="AL48" s="41">
        <v>275.82161689765178</v>
      </c>
      <c r="AM48" s="41">
        <v>145.09560354125162</v>
      </c>
      <c r="AN48" s="41">
        <v>135.82359356829241</v>
      </c>
      <c r="AO48" s="41">
        <v>134.9951648212369</v>
      </c>
      <c r="AP48" s="41">
        <v>138.9790482192895</v>
      </c>
      <c r="AQ48" s="41">
        <v>138.5891002708112</v>
      </c>
      <c r="AR48" s="41">
        <v>102.59797315967757</v>
      </c>
      <c r="AS48" s="41">
        <v>405.21621858264888</v>
      </c>
      <c r="AT48" s="41">
        <v>153.59104408019729</v>
      </c>
      <c r="AU48" s="41">
        <v>175.00995104315408</v>
      </c>
      <c r="AV48" s="41">
        <v>173.79612516745883</v>
      </c>
      <c r="AW48" s="41">
        <v>194.04000264680622</v>
      </c>
      <c r="AX48" s="41">
        <v>218.38622671577153</v>
      </c>
      <c r="AY48" s="41">
        <v>255.43304319720582</v>
      </c>
      <c r="AZ48" s="41">
        <v>286.33047247096653</v>
      </c>
      <c r="BA48" s="41">
        <v>327.56372182166319</v>
      </c>
      <c r="BB48" s="41">
        <v>298.61969161479141</v>
      </c>
      <c r="BC48" s="41">
        <v>334.02157774665966</v>
      </c>
      <c r="BD48" s="41">
        <v>387.0824769585692</v>
      </c>
      <c r="BE48" s="41">
        <v>424.60037381496034</v>
      </c>
      <c r="BF48" s="41">
        <v>457.96374750963219</v>
      </c>
      <c r="BG48" s="41">
        <v>486.78709511943617</v>
      </c>
      <c r="BH48" s="41">
        <v>497.3170390773646</v>
      </c>
      <c r="BI48" s="41">
        <v>471.31882246348567</v>
      </c>
      <c r="BJ48" s="41">
        <v>467.07423172679006</v>
      </c>
      <c r="BK48" s="41">
        <v>557.06441169792822</v>
      </c>
      <c r="BL48" s="41">
        <v>580.71686051673112</v>
      </c>
      <c r="BM48" s="41">
        <v>556.81318529917462</v>
      </c>
    </row>
    <row r="49" spans="1:65" x14ac:dyDescent="0.35">
      <c r="A49" s="41" t="s">
        <v>195</v>
      </c>
      <c r="B49" s="41" t="s">
        <v>196</v>
      </c>
      <c r="C49" s="41" t="s">
        <v>659</v>
      </c>
      <c r="D49" s="41" t="s">
        <v>660</v>
      </c>
      <c r="E49" s="41">
        <v>129.37033644746333</v>
      </c>
      <c r="F49" s="41">
        <v>145.40597876234881</v>
      </c>
      <c r="G49" s="41">
        <v>155.73852719447387</v>
      </c>
      <c r="H49" s="41">
        <v>157.05586608478268</v>
      </c>
      <c r="I49" s="41">
        <v>165.00916586724111</v>
      </c>
      <c r="J49" s="41">
        <v>171.64614156863271</v>
      </c>
      <c r="K49" s="41">
        <v>185.89225516553677</v>
      </c>
      <c r="L49" s="41">
        <v>194.66033562987801</v>
      </c>
      <c r="M49" s="41">
        <v>200.39501787991441</v>
      </c>
      <c r="N49" s="41">
        <v>205.53402940100324</v>
      </c>
      <c r="O49" s="41">
        <v>207.2213001630837</v>
      </c>
      <c r="P49" s="41">
        <v>235.83728081054696</v>
      </c>
      <c r="Q49" s="41">
        <v>291.97749244442571</v>
      </c>
      <c r="R49" s="41">
        <v>374.12770288179684</v>
      </c>
      <c r="S49" s="41">
        <v>392.3210842460926</v>
      </c>
      <c r="T49" s="41">
        <v>499.20195581495028</v>
      </c>
      <c r="U49" s="41">
        <v>476.85047884019667</v>
      </c>
      <c r="V49" s="41">
        <v>469.68793042826502</v>
      </c>
      <c r="W49" s="41">
        <v>523.91232908264851</v>
      </c>
      <c r="X49" s="41">
        <v>694.17682676441552</v>
      </c>
      <c r="Y49" s="41">
        <v>959.42749753454711</v>
      </c>
      <c r="Z49" s="41">
        <v>1088.9766992236327</v>
      </c>
      <c r="AA49" s="41">
        <v>1146.3056484651922</v>
      </c>
      <c r="AB49" s="41">
        <v>1080.8162881548701</v>
      </c>
      <c r="AC49" s="41">
        <v>1098.4416409900364</v>
      </c>
      <c r="AD49" s="41">
        <v>1051.8736924642756</v>
      </c>
      <c r="AE49" s="41">
        <v>875.45167023304577</v>
      </c>
      <c r="AF49" s="41">
        <v>1058.2294215081356</v>
      </c>
      <c r="AG49" s="41">
        <v>991.51870537556056</v>
      </c>
      <c r="AH49" s="41">
        <v>1042.0520067926668</v>
      </c>
      <c r="AI49" s="41">
        <v>1187.5497723899471</v>
      </c>
      <c r="AJ49" s="41">
        <v>1124.8978631711434</v>
      </c>
      <c r="AK49" s="41">
        <v>1178.0271106851987</v>
      </c>
      <c r="AL49" s="41">
        <v>1048.6129912605313</v>
      </c>
      <c r="AM49" s="41">
        <v>672.16319480939251</v>
      </c>
      <c r="AN49" s="41">
        <v>781.52501169895231</v>
      </c>
      <c r="AO49" s="41">
        <v>912.01235116365626</v>
      </c>
      <c r="AP49" s="41">
        <v>810.07664442769533</v>
      </c>
      <c r="AQ49" s="41">
        <v>660.47147735542615</v>
      </c>
      <c r="AR49" s="41">
        <v>774.71194482588965</v>
      </c>
      <c r="AS49" s="41">
        <v>1032.1375424609309</v>
      </c>
      <c r="AT49" s="41">
        <v>869.10050166044721</v>
      </c>
      <c r="AU49" s="41">
        <v>916.58803775561887</v>
      </c>
      <c r="AV49" s="41">
        <v>1028.4152216407128</v>
      </c>
      <c r="AW49" s="41">
        <v>1326.5966881687652</v>
      </c>
      <c r="AX49" s="41">
        <v>1834.8800138263794</v>
      </c>
      <c r="AY49" s="41">
        <v>2153.4917433777409</v>
      </c>
      <c r="AZ49" s="41">
        <v>2262.8544101954112</v>
      </c>
      <c r="BA49" s="41">
        <v>2892.416962344791</v>
      </c>
      <c r="BB49" s="41">
        <v>2336.1609574998233</v>
      </c>
      <c r="BC49" s="41">
        <v>3073.5577836655657</v>
      </c>
      <c r="BD49" s="41">
        <v>3557.5561698837992</v>
      </c>
      <c r="BE49" s="41">
        <v>3923.0935086094646</v>
      </c>
      <c r="BF49" s="41">
        <v>3883.7468478860851</v>
      </c>
      <c r="BG49" s="41">
        <v>3776.4855678541167</v>
      </c>
      <c r="BH49" s="41">
        <v>2447.5393082572778</v>
      </c>
      <c r="BI49" s="41">
        <v>2039.4532228715686</v>
      </c>
      <c r="BJ49" s="41">
        <v>2173.6802525226758</v>
      </c>
      <c r="BK49" s="41">
        <v>2601.4104828623717</v>
      </c>
      <c r="BL49" s="41">
        <v>2359.1773090003439</v>
      </c>
      <c r="BM49" s="41">
        <v>1972.5452461909283</v>
      </c>
    </row>
    <row r="50" spans="1:65" x14ac:dyDescent="0.35">
      <c r="A50" s="41" t="s">
        <v>197</v>
      </c>
      <c r="B50" s="41" t="s">
        <v>198</v>
      </c>
      <c r="C50" s="41" t="s">
        <v>659</v>
      </c>
      <c r="D50" s="41" t="s">
        <v>660</v>
      </c>
      <c r="E50" s="41">
        <v>251.04152288669707</v>
      </c>
      <c r="F50" s="41">
        <v>274.05226416938513</v>
      </c>
      <c r="G50" s="41">
        <v>289.91794575102642</v>
      </c>
      <c r="H50" s="41">
        <v>274.31495754938931</v>
      </c>
      <c r="I50" s="41">
        <v>328.65503208669418</v>
      </c>
      <c r="J50" s="41">
        <v>307.64686003854609</v>
      </c>
      <c r="K50" s="41">
        <v>281.56604850038485</v>
      </c>
      <c r="L50" s="41">
        <v>293.64426411256107</v>
      </c>
      <c r="M50" s="41">
        <v>292.25749619243663</v>
      </c>
      <c r="N50" s="41">
        <v>307.99521019573149</v>
      </c>
      <c r="O50" s="41">
        <v>335.11820356768351</v>
      </c>
      <c r="P50" s="41">
        <v>355.40751738159133</v>
      </c>
      <c r="Q50" s="41">
        <v>385.11252084799321</v>
      </c>
      <c r="R50" s="41">
        <v>448.03381719184273</v>
      </c>
      <c r="S50" s="41">
        <v>525.52572982442291</v>
      </c>
      <c r="T50" s="41">
        <v>544.29090662090789</v>
      </c>
      <c r="U50" s="41">
        <v>623.4289690635145</v>
      </c>
      <c r="V50" s="41">
        <v>773.74581550652044</v>
      </c>
      <c r="W50" s="41">
        <v>904.01069346352836</v>
      </c>
      <c r="X50" s="41">
        <v>1061.8483448358834</v>
      </c>
      <c r="Y50" s="41">
        <v>1241.6395870311487</v>
      </c>
      <c r="Z50" s="41">
        <v>1323.3765731769872</v>
      </c>
      <c r="AA50" s="41">
        <v>1386.6729690481313</v>
      </c>
      <c r="AB50" s="41">
        <v>1348.8046231926476</v>
      </c>
      <c r="AC50" s="41">
        <v>1304.177176953272</v>
      </c>
      <c r="AD50" s="41">
        <v>1165.0424137342575</v>
      </c>
      <c r="AE50" s="41">
        <v>1142.9393633395327</v>
      </c>
      <c r="AF50" s="41">
        <v>1165.9823968722312</v>
      </c>
      <c r="AG50" s="41">
        <v>1232.2261538319153</v>
      </c>
      <c r="AH50" s="41">
        <v>1218.2110099368972</v>
      </c>
      <c r="AI50" s="41">
        <v>1445.3286302338299</v>
      </c>
      <c r="AJ50" s="41">
        <v>1456.6943573468889</v>
      </c>
      <c r="AK50" s="41">
        <v>1697.1129360051566</v>
      </c>
      <c r="AL50" s="41">
        <v>1893.5422119373359</v>
      </c>
      <c r="AM50" s="41">
        <v>2284.8388129559066</v>
      </c>
      <c r="AN50" s="41">
        <v>2539.9128772191457</v>
      </c>
      <c r="AO50" s="41">
        <v>2620.53876171399</v>
      </c>
      <c r="AP50" s="41">
        <v>2827.3795266944576</v>
      </c>
      <c r="AQ50" s="41">
        <v>2566.0241938207405</v>
      </c>
      <c r="AR50" s="41">
        <v>2209.9316504719627</v>
      </c>
      <c r="AS50" s="41">
        <v>2520.481088760162</v>
      </c>
      <c r="AT50" s="41">
        <v>2439.6824558220451</v>
      </c>
      <c r="AU50" s="41">
        <v>2396.6271273183579</v>
      </c>
      <c r="AV50" s="41">
        <v>2281.4017624300604</v>
      </c>
      <c r="AW50" s="41">
        <v>2782.6231850215554</v>
      </c>
      <c r="AX50" s="41">
        <v>3414.4651583471427</v>
      </c>
      <c r="AY50" s="41">
        <v>3741.09283661273</v>
      </c>
      <c r="AZ50" s="41">
        <v>4714.0730553050271</v>
      </c>
      <c r="BA50" s="41">
        <v>5472.5365299242521</v>
      </c>
      <c r="BB50" s="41">
        <v>5193.2414579507849</v>
      </c>
      <c r="BC50" s="41">
        <v>6336.7094739846571</v>
      </c>
      <c r="BD50" s="41">
        <v>7335.1669344760494</v>
      </c>
      <c r="BE50" s="41">
        <v>8050.2553716704842</v>
      </c>
      <c r="BF50" s="41">
        <v>8218.347844314756</v>
      </c>
      <c r="BG50" s="41">
        <v>8114.3439208515865</v>
      </c>
      <c r="BH50" s="41">
        <v>6175.8760297025883</v>
      </c>
      <c r="BI50" s="41">
        <v>5870.7779572416403</v>
      </c>
      <c r="BJ50" s="41">
        <v>6376.7067155260083</v>
      </c>
      <c r="BK50" s="41">
        <v>6729.5833319816784</v>
      </c>
      <c r="BL50" s="41">
        <v>6424.9794924083044</v>
      </c>
      <c r="BM50" s="41">
        <v>5332.773524126851</v>
      </c>
    </row>
    <row r="51" spans="1:65" x14ac:dyDescent="0.35">
      <c r="A51" s="41" t="s">
        <v>199</v>
      </c>
      <c r="B51" s="41" t="s">
        <v>200</v>
      </c>
      <c r="C51" s="41" t="s">
        <v>659</v>
      </c>
      <c r="D51" s="41" t="s">
        <v>660</v>
      </c>
      <c r="Y51" s="41">
        <v>689.39848952784916</v>
      </c>
      <c r="Z51" s="41">
        <v>618.1972868895765</v>
      </c>
      <c r="AA51" s="41">
        <v>562.81502533671232</v>
      </c>
      <c r="AB51" s="41">
        <v>570.15412146629717</v>
      </c>
      <c r="AC51" s="41">
        <v>534.64911492788906</v>
      </c>
      <c r="AD51" s="41">
        <v>553.63240265430352</v>
      </c>
      <c r="AE51" s="41">
        <v>763.3253504699444</v>
      </c>
      <c r="AF51" s="41">
        <v>896.13317142302594</v>
      </c>
      <c r="AG51" s="41">
        <v>918.89976052332918</v>
      </c>
      <c r="AH51" s="41">
        <v>854.46520111768029</v>
      </c>
      <c r="AI51" s="41">
        <v>1043.790659195249</v>
      </c>
      <c r="AJ51" s="41">
        <v>1000.5562905940596</v>
      </c>
      <c r="AK51" s="41">
        <v>1047.9651439192758</v>
      </c>
      <c r="AL51" s="41">
        <v>1008.0384692593815</v>
      </c>
      <c r="AM51" s="41">
        <v>690.46725005001952</v>
      </c>
      <c r="AN51" s="41">
        <v>838.17168403195262</v>
      </c>
      <c r="AO51" s="41">
        <v>810.54755207637993</v>
      </c>
      <c r="AP51" s="41">
        <v>726.05231485365164</v>
      </c>
      <c r="AQ51" s="41">
        <v>718.12126935618392</v>
      </c>
      <c r="AR51" s="41">
        <v>723.17825547989889</v>
      </c>
      <c r="AS51" s="41">
        <v>647.42581181050389</v>
      </c>
      <c r="AT51" s="41">
        <v>680.90557282413317</v>
      </c>
      <c r="AU51" s="41">
        <v>747.98886250380042</v>
      </c>
      <c r="AV51" s="41">
        <v>937.71089634520183</v>
      </c>
      <c r="AW51" s="41">
        <v>1061.0755475281876</v>
      </c>
      <c r="AX51" s="41">
        <v>1069.0294263185356</v>
      </c>
      <c r="AY51" s="41">
        <v>1114.9452813192247</v>
      </c>
      <c r="AZ51" s="41">
        <v>1240.0925284675166</v>
      </c>
      <c r="BA51" s="41">
        <v>1393.2160316376414</v>
      </c>
      <c r="BB51" s="41">
        <v>1344.7304060003105</v>
      </c>
      <c r="BC51" s="41">
        <v>1316.4912246875767</v>
      </c>
      <c r="BD51" s="41">
        <v>1447.945269589799</v>
      </c>
      <c r="BE51" s="41">
        <v>1403.3604211370159</v>
      </c>
      <c r="BF51" s="41">
        <v>1505.3372197730812</v>
      </c>
      <c r="BG51" s="41">
        <v>1513.8303898458209</v>
      </c>
      <c r="BH51" s="41">
        <v>1242.5856821486402</v>
      </c>
      <c r="BI51" s="41">
        <v>1273.0509196436763</v>
      </c>
      <c r="BJ51" s="41">
        <v>1323.8149579454357</v>
      </c>
      <c r="BK51" s="41">
        <v>1415.9551637653085</v>
      </c>
      <c r="BL51" s="41">
        <v>1370.1401234737377</v>
      </c>
      <c r="BM51" s="41">
        <v>1402.5954892827897</v>
      </c>
    </row>
    <row r="52" spans="1:65" x14ac:dyDescent="0.35">
      <c r="A52" s="41" t="s">
        <v>201</v>
      </c>
      <c r="B52" s="41" t="s">
        <v>202</v>
      </c>
      <c r="C52" s="41" t="s">
        <v>659</v>
      </c>
      <c r="D52" s="41" t="s">
        <v>660</v>
      </c>
      <c r="Y52" s="41">
        <v>501.13749449253021</v>
      </c>
      <c r="Z52" s="41">
        <v>483.12692550087235</v>
      </c>
      <c r="AA52" s="41">
        <v>477.93925651805495</v>
      </c>
      <c r="AB52" s="41">
        <v>461.23999709149882</v>
      </c>
      <c r="AC52" s="41">
        <v>431.23755482269092</v>
      </c>
      <c r="AD52" s="41">
        <v>441.90662888927039</v>
      </c>
      <c r="AE52" s="41">
        <v>602.1584963330971</v>
      </c>
      <c r="AF52" s="41">
        <v>732.56327312350049</v>
      </c>
      <c r="AG52" s="41">
        <v>811.39833822004198</v>
      </c>
      <c r="AH52" s="41">
        <v>807.56239237927275</v>
      </c>
      <c r="AI52" s="41">
        <v>908.08812841442011</v>
      </c>
      <c r="AJ52" s="41">
        <v>923.74428078778715</v>
      </c>
      <c r="AK52" s="41">
        <v>1003.9295410917192</v>
      </c>
      <c r="AL52" s="41">
        <v>1339.7295767669223</v>
      </c>
      <c r="AM52" s="41">
        <v>1080.1565646159811</v>
      </c>
      <c r="AN52" s="41">
        <v>1261.1030980333551</v>
      </c>
      <c r="AO52" s="41">
        <v>1269.1205772329572</v>
      </c>
      <c r="AP52" s="41">
        <v>1213.6328637988961</v>
      </c>
      <c r="AQ52" s="41">
        <v>1265.1978495826024</v>
      </c>
      <c r="AR52" s="41">
        <v>1408.9862032147907</v>
      </c>
      <c r="AS52" s="41">
        <v>1259.353067244022</v>
      </c>
      <c r="AT52" s="41">
        <v>1292.2265115219525</v>
      </c>
      <c r="AU52" s="41">
        <v>1401.8910729764932</v>
      </c>
      <c r="AV52" s="41">
        <v>1809.1100298476783</v>
      </c>
      <c r="AW52" s="41">
        <v>2024.2663812933758</v>
      </c>
      <c r="AX52" s="41">
        <v>2099.1484170858162</v>
      </c>
      <c r="AY52" s="41">
        <v>2361.3801011542278</v>
      </c>
      <c r="AZ52" s="41">
        <v>3186.7799346702332</v>
      </c>
      <c r="BA52" s="41">
        <v>3721.2199928457394</v>
      </c>
      <c r="BB52" s="41">
        <v>3517.4301555882889</v>
      </c>
      <c r="BC52" s="41">
        <v>3378.3234334576036</v>
      </c>
      <c r="BD52" s="41">
        <v>3740.3741026994758</v>
      </c>
      <c r="BE52" s="41">
        <v>3447.4831000738709</v>
      </c>
      <c r="BF52" s="41">
        <v>3616.0355696893239</v>
      </c>
      <c r="BG52" s="41">
        <v>3588.6255841840662</v>
      </c>
      <c r="BH52" s="41">
        <v>3043.0313815681075</v>
      </c>
      <c r="BI52" s="41">
        <v>3130.9987534063594</v>
      </c>
      <c r="BJ52" s="41">
        <v>3292.6335033579726</v>
      </c>
      <c r="BK52" s="41">
        <v>3617.3474454467928</v>
      </c>
      <c r="BL52" s="41">
        <v>3603.775240584625</v>
      </c>
      <c r="BM52" s="41">
        <v>3064.272388428195</v>
      </c>
    </row>
    <row r="53" spans="1:65" x14ac:dyDescent="0.35">
      <c r="A53" s="41" t="s">
        <v>203</v>
      </c>
      <c r="B53" s="41" t="s">
        <v>204</v>
      </c>
      <c r="C53" s="41" t="s">
        <v>659</v>
      </c>
      <c r="D53" s="41" t="s">
        <v>660</v>
      </c>
      <c r="E53" s="41">
        <v>381.36368178743459</v>
      </c>
      <c r="F53" s="41">
        <v>355.00274880539331</v>
      </c>
      <c r="G53" s="41">
        <v>334.30924867303918</v>
      </c>
      <c r="H53" s="41">
        <v>344.35465678025554</v>
      </c>
      <c r="I53" s="41">
        <v>352.33688492332686</v>
      </c>
      <c r="J53" s="41">
        <v>372.28057805405393</v>
      </c>
      <c r="K53" s="41">
        <v>393.48068428977092</v>
      </c>
      <c r="L53" s="41">
        <v>412.23510637912221</v>
      </c>
      <c r="M53" s="41">
        <v>442.77960870613362</v>
      </c>
      <c r="N53" s="41">
        <v>474.79530392753787</v>
      </c>
      <c r="O53" s="41">
        <v>533.09156492365241</v>
      </c>
      <c r="P53" s="41">
        <v>568.09644681117084</v>
      </c>
      <c r="Q53" s="41">
        <v>636.90505231223653</v>
      </c>
      <c r="R53" s="41">
        <v>767.3271287503934</v>
      </c>
      <c r="S53" s="41">
        <v>816.03686247680776</v>
      </c>
      <c r="T53" s="41">
        <v>936.33682279300717</v>
      </c>
      <c r="U53" s="41">
        <v>1122.8076321726294</v>
      </c>
      <c r="V53" s="41">
        <v>1393.0005163339583</v>
      </c>
      <c r="W53" s="41">
        <v>1555.540411101756</v>
      </c>
      <c r="X53" s="41">
        <v>1734.6179703156456</v>
      </c>
      <c r="Y53" s="41">
        <v>2021.5487794911744</v>
      </c>
      <c r="Z53" s="41">
        <v>1068.502424585344</v>
      </c>
      <c r="AA53" s="41">
        <v>1032.9970043948629</v>
      </c>
      <c r="AB53" s="41">
        <v>1213.556459877891</v>
      </c>
      <c r="AC53" s="41">
        <v>1373.9392613492112</v>
      </c>
      <c r="AD53" s="41">
        <v>1432.0812477992952</v>
      </c>
      <c r="AE53" s="41">
        <v>1572.4550247283571</v>
      </c>
      <c r="AF53" s="41">
        <v>1571.2923096183256</v>
      </c>
      <c r="AG53" s="41">
        <v>1558.5058685587792</v>
      </c>
      <c r="AH53" s="41">
        <v>1727.8709606488505</v>
      </c>
      <c r="AI53" s="41">
        <v>1831.000150911859</v>
      </c>
      <c r="AJ53" s="41">
        <v>2247.3733792849835</v>
      </c>
      <c r="AK53" s="41">
        <v>2605.8052250535379</v>
      </c>
      <c r="AL53" s="41">
        <v>2841.6427798246368</v>
      </c>
      <c r="AM53" s="41">
        <v>3031.8887706791779</v>
      </c>
      <c r="AN53" s="41">
        <v>3265.6933812512639</v>
      </c>
      <c r="AO53" s="41">
        <v>3215.1056880249744</v>
      </c>
      <c r="AP53" s="41">
        <v>3391.9777363355138</v>
      </c>
      <c r="AQ53" s="41">
        <v>3597.4345099782349</v>
      </c>
      <c r="AR53" s="41">
        <v>3668.802069721683</v>
      </c>
      <c r="AS53" s="41">
        <v>3789.0538880002428</v>
      </c>
      <c r="AT53" s="41">
        <v>3960.3077030743748</v>
      </c>
      <c r="AU53" s="41">
        <v>4042.7056860111188</v>
      </c>
      <c r="AV53" s="41">
        <v>4147.8243689377332</v>
      </c>
      <c r="AW53" s="41">
        <v>4404.7118842968866</v>
      </c>
      <c r="AX53" s="41">
        <v>4676.3793656432636</v>
      </c>
      <c r="AY53" s="41">
        <v>5227.4659519303596</v>
      </c>
      <c r="AZ53" s="41">
        <v>6103.7419170286348</v>
      </c>
      <c r="BA53" s="41">
        <v>6901.3883061255692</v>
      </c>
      <c r="BB53" s="41">
        <v>6801.0367345982031</v>
      </c>
      <c r="BC53" s="41">
        <v>8227.127493768252</v>
      </c>
      <c r="BD53" s="41">
        <v>9229.8345167027364</v>
      </c>
      <c r="BE53" s="41">
        <v>10075.004616001397</v>
      </c>
      <c r="BF53" s="41">
        <v>10744.091018940055</v>
      </c>
      <c r="BG53" s="41">
        <v>10847.169667304148</v>
      </c>
      <c r="BH53" s="41">
        <v>11642.778051712305</v>
      </c>
      <c r="BI53" s="41">
        <v>12011.222754417384</v>
      </c>
      <c r="BJ53" s="41">
        <v>12225.574493138462</v>
      </c>
      <c r="BK53" s="41">
        <v>12468.575292187126</v>
      </c>
      <c r="BL53" s="41">
        <v>12669.70608225634</v>
      </c>
      <c r="BM53" s="41">
        <v>12076.814513849446</v>
      </c>
    </row>
    <row r="54" spans="1:65" x14ac:dyDescent="0.35">
      <c r="A54" s="41" t="s">
        <v>205</v>
      </c>
      <c r="B54" s="41" t="s">
        <v>206</v>
      </c>
      <c r="C54" s="41" t="s">
        <v>659</v>
      </c>
      <c r="D54" s="41" t="s">
        <v>660</v>
      </c>
      <c r="E54" s="41">
        <v>448.25641744737248</v>
      </c>
      <c r="F54" s="41">
        <v>476.90148388872603</v>
      </c>
      <c r="G54" s="41">
        <v>494.73637187033148</v>
      </c>
      <c r="H54" s="41">
        <v>516.73952401849556</v>
      </c>
      <c r="I54" s="41">
        <v>547.95052729119357</v>
      </c>
      <c r="J54" s="41">
        <v>580.94413596388063</v>
      </c>
      <c r="K54" s="41">
        <v>621.43472709233629</v>
      </c>
      <c r="L54" s="41">
        <v>658.35089836345139</v>
      </c>
      <c r="M54" s="41">
        <v>645.92830726659258</v>
      </c>
      <c r="N54" s="41">
        <v>695.03898174207029</v>
      </c>
      <c r="O54" s="41">
        <v>755.14455935799435</v>
      </c>
      <c r="P54" s="41">
        <v>811.13174702384606</v>
      </c>
      <c r="Q54" s="41">
        <v>925.52753448040289</v>
      </c>
      <c r="R54" s="41">
        <v>1000.8623626892497</v>
      </c>
      <c r="S54" s="41">
        <v>1285.4933030582922</v>
      </c>
      <c r="T54" s="41">
        <v>1485.1613291795441</v>
      </c>
      <c r="U54" s="41">
        <v>1511.8749381020459</v>
      </c>
      <c r="V54" s="41">
        <v>1736.7491543316007</v>
      </c>
      <c r="W54" s="41">
        <v>1759.8250200568586</v>
      </c>
      <c r="X54" s="41">
        <v>1999.1884867315125</v>
      </c>
      <c r="Y54" s="41">
        <v>2461.655883537413</v>
      </c>
      <c r="Z54" s="41">
        <v>2683.6552241115751</v>
      </c>
      <c r="AA54" s="41">
        <v>2940.21279062542</v>
      </c>
      <c r="AB54" s="41">
        <v>2942.7191694844882</v>
      </c>
      <c r="AC54" s="41">
        <v>2778.8933470921097</v>
      </c>
      <c r="AD54" s="41">
        <v>2722.8282748124707</v>
      </c>
      <c r="AE54" s="41">
        <v>2466.2990989814707</v>
      </c>
      <c r="AF54" s="41">
        <v>2633.1164445761879</v>
      </c>
      <c r="AG54" s="41">
        <v>2775.6222220327809</v>
      </c>
      <c r="AH54" s="41">
        <v>2827.6886233308355</v>
      </c>
      <c r="AI54" s="41">
        <v>2997.3195630245805</v>
      </c>
      <c r="AJ54" s="41">
        <v>2951.0596376612239</v>
      </c>
      <c r="AK54" s="41">
        <v>2875.1897212525023</v>
      </c>
      <c r="AL54" s="41">
        <v>3084.66082821993</v>
      </c>
      <c r="AM54" s="41">
        <v>3214.0518079265403</v>
      </c>
      <c r="AN54" s="41">
        <v>3514.1007434016251</v>
      </c>
      <c r="AO54" s="41">
        <v>3803.6232886453067</v>
      </c>
      <c r="AP54" s="41">
        <v>4421.507074111536</v>
      </c>
      <c r="AQ54" s="41">
        <v>4690.2039519048221</v>
      </c>
      <c r="AR54" s="41">
        <v>4938.5238800506477</v>
      </c>
      <c r="AS54" s="41">
        <v>5253.44208546355</v>
      </c>
      <c r="AT54" s="41">
        <v>5374.0832448320925</v>
      </c>
      <c r="AU54" s="41">
        <v>5600.4425736227558</v>
      </c>
      <c r="AV54" s="41">
        <v>5945.8778892160844</v>
      </c>
      <c r="AW54" s="41">
        <v>6459.5653766611313</v>
      </c>
      <c r="AX54" s="41">
        <v>7255.1440884144049</v>
      </c>
      <c r="AY54" s="41">
        <v>8201.29050639659</v>
      </c>
      <c r="AZ54" s="41">
        <v>9054.8514279313149</v>
      </c>
      <c r="BA54" s="41">
        <v>10225.38042927147</v>
      </c>
      <c r="BB54" s="41">
        <v>8578.7167466064056</v>
      </c>
      <c r="BC54" s="41">
        <v>9253.2140270586442</v>
      </c>
      <c r="BD54" s="41">
        <v>9920.9101658611635</v>
      </c>
      <c r="BE54" s="41">
        <v>10187.301509490626</v>
      </c>
      <c r="BF54" s="41">
        <v>10306.888156355786</v>
      </c>
      <c r="BG54" s="41">
        <v>10377.11289044174</v>
      </c>
      <c r="BH54" s="41">
        <v>10116.519945520775</v>
      </c>
      <c r="BI54" s="41">
        <v>9560.1946792765975</v>
      </c>
      <c r="BJ54" s="41">
        <v>9810.470067594486</v>
      </c>
      <c r="BK54" s="41">
        <v>10250.434070083</v>
      </c>
      <c r="BL54" s="41">
        <v>10355.407683765307</v>
      </c>
      <c r="BM54" s="41">
        <v>9192.7678007043523</v>
      </c>
    </row>
    <row r="55" spans="1:65" x14ac:dyDescent="0.35">
      <c r="A55" s="41" t="s">
        <v>207</v>
      </c>
      <c r="B55" s="41" t="s">
        <v>208</v>
      </c>
      <c r="C55" s="41" t="s">
        <v>659</v>
      </c>
      <c r="D55" s="41" t="s">
        <v>660</v>
      </c>
      <c r="O55" s="41">
        <v>653.42695323462112</v>
      </c>
      <c r="P55" s="41">
        <v>779.72378935840391</v>
      </c>
      <c r="Q55" s="41">
        <v>901.36710443601248</v>
      </c>
      <c r="R55" s="41">
        <v>1088.1269727021165</v>
      </c>
      <c r="S55" s="41">
        <v>1223.6913493702484</v>
      </c>
      <c r="T55" s="41">
        <v>1379.0818408649818</v>
      </c>
      <c r="U55" s="41">
        <v>1443.3024333583057</v>
      </c>
      <c r="V55" s="41">
        <v>1472.7295819094095</v>
      </c>
      <c r="W55" s="41">
        <v>1835.1115363808847</v>
      </c>
      <c r="X55" s="41">
        <v>2000.2801889183506</v>
      </c>
      <c r="Y55" s="41">
        <v>2021.7246352881291</v>
      </c>
      <c r="Z55" s="41">
        <v>2035.6072307883317</v>
      </c>
      <c r="AA55" s="41">
        <v>2107.9324290252921</v>
      </c>
      <c r="AB55" s="41">
        <v>2224.6534858448354</v>
      </c>
      <c r="AC55" s="41">
        <v>2396.3536618671692</v>
      </c>
      <c r="AD55" s="41">
        <v>2269.8252186939649</v>
      </c>
      <c r="AE55" s="41">
        <v>2378.9107225614562</v>
      </c>
      <c r="AF55" s="41">
        <v>2451.1329993483687</v>
      </c>
      <c r="AG55" s="41">
        <v>2640.918422202019</v>
      </c>
      <c r="AH55" s="41">
        <v>2572.6916950422378</v>
      </c>
      <c r="AI55" s="41">
        <v>2703.168294187511</v>
      </c>
      <c r="AJ55" s="41">
        <v>2278.2103870806541</v>
      </c>
      <c r="AK55" s="41">
        <v>2057.103595496962</v>
      </c>
      <c r="AL55" s="41">
        <v>2073.0937120795897</v>
      </c>
      <c r="AM55" s="41">
        <v>2624.7570348554796</v>
      </c>
      <c r="AN55" s="41">
        <v>2794.7388083644692</v>
      </c>
      <c r="AO55" s="41">
        <v>2286.9290543211919</v>
      </c>
      <c r="AP55" s="41">
        <v>2308.1466150669762</v>
      </c>
      <c r="AQ55" s="41">
        <v>2331.4626913698035</v>
      </c>
      <c r="AR55" s="41">
        <v>2558.9041011854838</v>
      </c>
      <c r="AS55" s="41">
        <v>2747.1003034847768</v>
      </c>
      <c r="AT55" s="41">
        <v>2837.7357300829867</v>
      </c>
      <c r="AU55" s="41">
        <v>2999.2417629671745</v>
      </c>
      <c r="AV55" s="41">
        <v>3197.1331846434091</v>
      </c>
      <c r="AW55" s="41">
        <v>3395.7108429065747</v>
      </c>
      <c r="AX55" s="41">
        <v>3786.663450423413</v>
      </c>
      <c r="AY55" s="41">
        <v>4683.5690666774644</v>
      </c>
      <c r="AZ55" s="41">
        <v>5208.7183876943063</v>
      </c>
      <c r="BA55" s="41">
        <v>5411.2694920118629</v>
      </c>
      <c r="BB55" s="41">
        <v>5529.6693751179664</v>
      </c>
      <c r="BC55" s="41">
        <v>5730.3542641334498</v>
      </c>
      <c r="BD55" s="41">
        <v>6139.7187832588497</v>
      </c>
      <c r="BE55" s="41">
        <v>6497.3147642130589</v>
      </c>
      <c r="BF55" s="41">
        <v>6837.711679858814</v>
      </c>
      <c r="BG55" s="41">
        <v>7133.3376787590669</v>
      </c>
      <c r="BH55" s="41">
        <v>7694.0146371094106</v>
      </c>
      <c r="BI55" s="41">
        <v>8060.7965976151263</v>
      </c>
      <c r="BJ55" s="41">
        <v>8541.2136864370714</v>
      </c>
      <c r="BK55" s="41">
        <v>8824.1940084384169</v>
      </c>
      <c r="BL55" s="41">
        <v>9099.6731455217123</v>
      </c>
    </row>
    <row r="56" spans="1:65" x14ac:dyDescent="0.35">
      <c r="A56" s="41" t="s">
        <v>209</v>
      </c>
      <c r="B56" s="41" t="s">
        <v>210</v>
      </c>
      <c r="C56" s="41" t="s">
        <v>659</v>
      </c>
      <c r="D56" s="41" t="s">
        <v>660</v>
      </c>
      <c r="BD56" s="41">
        <v>20146.386412200063</v>
      </c>
      <c r="BE56" s="41">
        <v>20587.397358012957</v>
      </c>
      <c r="BF56" s="41">
        <v>20462.717953981344</v>
      </c>
      <c r="BG56" s="41">
        <v>20258.009694883254</v>
      </c>
      <c r="BH56" s="41">
        <v>19951.327903044086</v>
      </c>
      <c r="BI56" s="41">
        <v>19555.365849289094</v>
      </c>
      <c r="BJ56" s="41">
        <v>19457.531523220499</v>
      </c>
      <c r="BK56" s="41">
        <v>19630.893487301913</v>
      </c>
      <c r="BL56" s="41">
        <v>19701.270377456996</v>
      </c>
    </row>
    <row r="57" spans="1:65" x14ac:dyDescent="0.35">
      <c r="A57" s="41" t="s">
        <v>211</v>
      </c>
      <c r="B57" s="41" t="s">
        <v>212</v>
      </c>
      <c r="C57" s="41" t="s">
        <v>659</v>
      </c>
      <c r="D57" s="41" t="s">
        <v>660</v>
      </c>
      <c r="AY57" s="41">
        <v>82801.54265958925</v>
      </c>
      <c r="AZ57" s="41">
        <v>85433.030940212368</v>
      </c>
      <c r="BA57" s="41">
        <v>85188.337040308019</v>
      </c>
      <c r="BB57" s="41">
        <v>77400.421444814623</v>
      </c>
      <c r="BC57" s="41">
        <v>73351.756769310858</v>
      </c>
      <c r="BD57" s="41">
        <v>72329.661332694464</v>
      </c>
      <c r="BE57" s="41">
        <v>72777.148489056766</v>
      </c>
      <c r="BF57" s="41">
        <v>73514.668683121607</v>
      </c>
      <c r="BG57" s="41">
        <v>74990.433222377527</v>
      </c>
      <c r="BH57" s="41">
        <v>76284.193928635927</v>
      </c>
      <c r="BI57" s="41">
        <v>78471.628731526085</v>
      </c>
      <c r="BJ57" s="41">
        <v>81513.163022497669</v>
      </c>
      <c r="BK57" s="41">
        <v>86059.739216845352</v>
      </c>
      <c r="BL57" s="41">
        <v>91392.642587516646</v>
      </c>
    </row>
    <row r="58" spans="1:65" x14ac:dyDescent="0.35">
      <c r="A58" s="41" t="s">
        <v>213</v>
      </c>
      <c r="B58" s="41" t="s">
        <v>214</v>
      </c>
      <c r="C58" s="41" t="s">
        <v>659</v>
      </c>
      <c r="D58" s="41" t="s">
        <v>660</v>
      </c>
      <c r="T58" s="41">
        <v>976.33424476933999</v>
      </c>
      <c r="U58" s="41">
        <v>1157.41164807939</v>
      </c>
      <c r="V58" s="41">
        <v>1476.2715427396699</v>
      </c>
      <c r="W58" s="41">
        <v>1929.4036069205199</v>
      </c>
      <c r="X58" s="41">
        <v>2559.2596754658698</v>
      </c>
      <c r="Y58" s="41">
        <v>4232.0229387065901</v>
      </c>
      <c r="Z58" s="41">
        <v>4033.2404777290199</v>
      </c>
      <c r="AA58" s="41">
        <v>4122.7844989430096</v>
      </c>
      <c r="AB58" s="41">
        <v>4091.0484976266598</v>
      </c>
      <c r="AC58" s="41">
        <v>4258.7435894791397</v>
      </c>
      <c r="AD58" s="41">
        <v>4488.2870025945303</v>
      </c>
      <c r="AE58" s="41">
        <v>5642.63147635102</v>
      </c>
      <c r="AF58" s="41">
        <v>6690.57797489323</v>
      </c>
      <c r="AG58" s="41">
        <v>7645.6297671171096</v>
      </c>
      <c r="AH58" s="41">
        <v>8038.9142422416699</v>
      </c>
      <c r="AI58" s="41">
        <v>9641.5752730129298</v>
      </c>
      <c r="AJ58" s="41">
        <v>9696.0995933236209</v>
      </c>
      <c r="AK58" s="41">
        <v>11310.0719239521</v>
      </c>
      <c r="AL58" s="41">
        <v>10526.141769674699</v>
      </c>
      <c r="AM58" s="41">
        <v>11617.6927784249</v>
      </c>
      <c r="AN58" s="41">
        <v>15261.410562372699</v>
      </c>
      <c r="AO58" s="41">
        <v>15139.22613332</v>
      </c>
      <c r="AP58" s="41">
        <v>14234.2443841858</v>
      </c>
      <c r="AQ58" s="41">
        <v>15092.826254543301</v>
      </c>
      <c r="AR58" s="41">
        <v>15287.919127343999</v>
      </c>
      <c r="AS58" s="41">
        <v>14388.348060991701</v>
      </c>
      <c r="AT58" s="41">
        <v>14821.4468167502</v>
      </c>
      <c r="AU58" s="41">
        <v>16093.214611298001</v>
      </c>
      <c r="AV58" s="41">
        <v>20252.2389846021</v>
      </c>
      <c r="AW58" s="41">
        <v>23792.621363224302</v>
      </c>
      <c r="AX58" s="41">
        <v>24959.2591697881</v>
      </c>
      <c r="AY58" s="41">
        <v>26729.323404580198</v>
      </c>
      <c r="AZ58" s="41">
        <v>31244.926223972201</v>
      </c>
      <c r="BA58" s="41">
        <v>35397.363683790099</v>
      </c>
      <c r="BB58" s="41">
        <v>32109.242514857899</v>
      </c>
      <c r="BC58" s="41">
        <v>31023.638330979102</v>
      </c>
      <c r="BD58" s="41">
        <v>32396.385743712101</v>
      </c>
      <c r="BE58" s="41">
        <v>28912.156939040298</v>
      </c>
      <c r="BF58" s="41">
        <v>27729.192699073501</v>
      </c>
      <c r="BG58" s="41">
        <v>27163.332965760601</v>
      </c>
      <c r="BH58" s="41">
        <v>23408.3366816249</v>
      </c>
      <c r="BI58" s="41">
        <v>24605.920832876702</v>
      </c>
      <c r="BJ58" s="41">
        <v>26444.0743777801</v>
      </c>
      <c r="BK58" s="41">
        <v>29089.471327385701</v>
      </c>
      <c r="BL58" s="41">
        <v>28288.461575719801</v>
      </c>
      <c r="BM58" s="41">
        <v>26623.8008913181</v>
      </c>
    </row>
    <row r="59" spans="1:65" x14ac:dyDescent="0.35">
      <c r="A59" s="41" t="s">
        <v>215</v>
      </c>
      <c r="B59" s="41" t="s">
        <v>216</v>
      </c>
      <c r="C59" s="41" t="s">
        <v>659</v>
      </c>
      <c r="D59" s="41" t="s">
        <v>660</v>
      </c>
      <c r="AI59" s="41">
        <v>3941.5030940694105</v>
      </c>
      <c r="AJ59" s="41">
        <v>2896.6091306550356</v>
      </c>
      <c r="AK59" s="41">
        <v>3372.8654295110141</v>
      </c>
      <c r="AL59" s="41">
        <v>3956.1783495612995</v>
      </c>
      <c r="AM59" s="41">
        <v>4630.5512167435272</v>
      </c>
      <c r="AN59" s="41">
        <v>5824.1212911957427</v>
      </c>
      <c r="AO59" s="41">
        <v>6532.8370547019849</v>
      </c>
      <c r="AP59" s="41">
        <v>6034.4884373193499</v>
      </c>
      <c r="AQ59" s="41">
        <v>6489.7036188032998</v>
      </c>
      <c r="AR59" s="41">
        <v>6337.4191203712589</v>
      </c>
      <c r="AS59" s="41">
        <v>6029.0381927535791</v>
      </c>
      <c r="AT59" s="41">
        <v>6637.0416571398137</v>
      </c>
      <c r="AU59" s="41">
        <v>8060.868702924241</v>
      </c>
      <c r="AV59" s="41">
        <v>9818.5684930748848</v>
      </c>
      <c r="AW59" s="41">
        <v>11749.852664357717</v>
      </c>
      <c r="AX59" s="41">
        <v>13430.669895561346</v>
      </c>
      <c r="AY59" s="41">
        <v>15261.797591113764</v>
      </c>
      <c r="AZ59" s="41">
        <v>18466.547929921559</v>
      </c>
      <c r="BA59" s="41">
        <v>22804.577677450729</v>
      </c>
      <c r="BB59" s="41">
        <v>19861.697429525586</v>
      </c>
      <c r="BC59" s="41">
        <v>19960.068487215722</v>
      </c>
      <c r="BD59" s="41">
        <v>21871.266075412812</v>
      </c>
      <c r="BE59" s="41">
        <v>19870.801212340346</v>
      </c>
      <c r="BF59" s="41">
        <v>20133.169143135263</v>
      </c>
      <c r="BG59" s="41">
        <v>19890.919905664778</v>
      </c>
      <c r="BH59" s="41">
        <v>17829.698322366781</v>
      </c>
      <c r="BI59" s="41">
        <v>18575.232027191487</v>
      </c>
      <c r="BJ59" s="41">
        <v>20636.199952434956</v>
      </c>
      <c r="BK59" s="41">
        <v>23419.735613650162</v>
      </c>
      <c r="BL59" s="41">
        <v>23490.398463349356</v>
      </c>
      <c r="BM59" s="41">
        <v>22762.197136677732</v>
      </c>
    </row>
    <row r="60" spans="1:65" x14ac:dyDescent="0.35">
      <c r="A60" s="41" t="s">
        <v>217</v>
      </c>
      <c r="B60" s="41" t="s">
        <v>218</v>
      </c>
      <c r="C60" s="41" t="s">
        <v>659</v>
      </c>
      <c r="D60" s="41" t="s">
        <v>660</v>
      </c>
      <c r="O60" s="41">
        <v>2761.1668328933929</v>
      </c>
      <c r="P60" s="41">
        <v>3192.1336156374291</v>
      </c>
      <c r="Q60" s="41">
        <v>3809.9814448945558</v>
      </c>
      <c r="R60" s="41">
        <v>5046.7551030581499</v>
      </c>
      <c r="S60" s="41">
        <v>5639.077621296794</v>
      </c>
      <c r="T60" s="41">
        <v>6236.3588812986009</v>
      </c>
      <c r="U60" s="41">
        <v>6634.8568990930917</v>
      </c>
      <c r="V60" s="41">
        <v>7682.9537749288247</v>
      </c>
      <c r="W60" s="41">
        <v>9482.0428496471577</v>
      </c>
      <c r="X60" s="41">
        <v>11281.023324508136</v>
      </c>
      <c r="Y60" s="41">
        <v>12138.308103426707</v>
      </c>
      <c r="Z60" s="41">
        <v>10209.073115384628</v>
      </c>
      <c r="AA60" s="41">
        <v>9913.7376415939507</v>
      </c>
      <c r="AB60" s="41">
        <v>9864.3449403866034</v>
      </c>
      <c r="AC60" s="41">
        <v>9313.1694124311816</v>
      </c>
      <c r="AD60" s="41">
        <v>9429.569216882137</v>
      </c>
      <c r="AE60" s="41">
        <v>13461.831003414711</v>
      </c>
      <c r="AF60" s="41">
        <v>16677.510788159987</v>
      </c>
      <c r="AG60" s="41">
        <v>17931.282322887593</v>
      </c>
      <c r="AH60" s="41">
        <v>17764.376445832982</v>
      </c>
      <c r="AI60" s="41">
        <v>22303.961326662753</v>
      </c>
      <c r="AJ60" s="41">
        <v>23357.757725073017</v>
      </c>
      <c r="AK60" s="41">
        <v>26438.230388841715</v>
      </c>
      <c r="AL60" s="41">
        <v>25522.629573361766</v>
      </c>
      <c r="AM60" s="41">
        <v>27076.606750140018</v>
      </c>
      <c r="AN60" s="41">
        <v>31658.349378913532</v>
      </c>
      <c r="AO60" s="41">
        <v>30485.866548227867</v>
      </c>
      <c r="AP60" s="41">
        <v>26964.049467267312</v>
      </c>
      <c r="AQ60" s="41">
        <v>27289.059360319126</v>
      </c>
      <c r="AR60" s="41">
        <v>26725.915218257298</v>
      </c>
      <c r="AS60" s="41">
        <v>23635.929220397713</v>
      </c>
      <c r="AT60" s="41">
        <v>23607.882855392225</v>
      </c>
      <c r="AU60" s="41">
        <v>25077.729075960167</v>
      </c>
      <c r="AV60" s="41">
        <v>30243.576529697923</v>
      </c>
      <c r="AW60" s="41">
        <v>34044.053634124837</v>
      </c>
      <c r="AX60" s="41">
        <v>34507.368814233232</v>
      </c>
      <c r="AY60" s="41">
        <v>36323.447742182201</v>
      </c>
      <c r="AZ60" s="41">
        <v>41587.212898426355</v>
      </c>
      <c r="BA60" s="41">
        <v>45427.151677488953</v>
      </c>
      <c r="BB60" s="41">
        <v>41485.901649513944</v>
      </c>
      <c r="BC60" s="41">
        <v>41531.934197868861</v>
      </c>
      <c r="BD60" s="41">
        <v>46644.776027967957</v>
      </c>
      <c r="BE60" s="41">
        <v>43858.363055107635</v>
      </c>
      <c r="BF60" s="41">
        <v>46285.764068840683</v>
      </c>
      <c r="BG60" s="41">
        <v>47959.993273759865</v>
      </c>
      <c r="BH60" s="41">
        <v>41086.729673725269</v>
      </c>
      <c r="BI60" s="41">
        <v>42107.517270307399</v>
      </c>
      <c r="BJ60" s="41">
        <v>44442.771839757741</v>
      </c>
      <c r="BK60" s="41">
        <v>47787.160507444729</v>
      </c>
      <c r="BL60" s="41">
        <v>46467.516202385581</v>
      </c>
      <c r="BM60" s="41">
        <v>45723.644103932835</v>
      </c>
    </row>
    <row r="61" spans="1:65" x14ac:dyDescent="0.35">
      <c r="A61" s="41" t="s">
        <v>219</v>
      </c>
      <c r="B61" s="41" t="s">
        <v>220</v>
      </c>
      <c r="C61" s="41" t="s">
        <v>659</v>
      </c>
      <c r="D61" s="41" t="s">
        <v>660</v>
      </c>
      <c r="AD61" s="41">
        <v>801.18213935827043</v>
      </c>
      <c r="AF61" s="41">
        <v>761.45944174397448</v>
      </c>
      <c r="AG61" s="41">
        <v>748.20373545732218</v>
      </c>
      <c r="AH61" s="41">
        <v>725.75411604546991</v>
      </c>
      <c r="AI61" s="41">
        <v>766.14744294542106</v>
      </c>
      <c r="AJ61" s="41">
        <v>762.01257743070153</v>
      </c>
      <c r="AK61" s="41">
        <v>777.26738455591931</v>
      </c>
      <c r="AL61" s="41">
        <v>753.50922424084615</v>
      </c>
      <c r="AM61" s="41">
        <v>790.03480398107115</v>
      </c>
      <c r="AN61" s="41">
        <v>789.55552652730216</v>
      </c>
      <c r="AO61" s="41">
        <v>767.50627707705621</v>
      </c>
      <c r="AP61" s="41">
        <v>760.64077608385855</v>
      </c>
      <c r="AQ61" s="41">
        <v>755.75947227375093</v>
      </c>
      <c r="AR61" s="41">
        <v>765.85832324575176</v>
      </c>
      <c r="AS61" s="41">
        <v>768.18357034367796</v>
      </c>
      <c r="AT61" s="41">
        <v>780.90396131636692</v>
      </c>
      <c r="AU61" s="41">
        <v>791.38418067332441</v>
      </c>
      <c r="AV61" s="41">
        <v>818.86878571933357</v>
      </c>
      <c r="AW61" s="41">
        <v>863.23608736857511</v>
      </c>
      <c r="AX61" s="41">
        <v>904.73667947644401</v>
      </c>
      <c r="AY61" s="41">
        <v>967.6795838078192</v>
      </c>
      <c r="AZ61" s="41">
        <v>1052.7191170069921</v>
      </c>
      <c r="BA61" s="41">
        <v>1223.8523634369215</v>
      </c>
      <c r="BB61" s="41">
        <v>1267.3173935456186</v>
      </c>
      <c r="BC61" s="41">
        <v>1343.2751249851856</v>
      </c>
      <c r="BD61" s="41">
        <v>1451.5480809061739</v>
      </c>
      <c r="BE61" s="41">
        <v>1559.2406506822642</v>
      </c>
      <c r="BF61" s="41">
        <v>2312.7209484208997</v>
      </c>
      <c r="BG61" s="41">
        <v>2464.2976782970745</v>
      </c>
      <c r="BH61" s="41">
        <v>2658.9642067343516</v>
      </c>
      <c r="BI61" s="41">
        <v>2802.1819712637302</v>
      </c>
      <c r="BJ61" s="41">
        <v>2914.3745954804235</v>
      </c>
      <c r="BK61" s="41">
        <v>3141.8793893077241</v>
      </c>
      <c r="BL61" s="41">
        <v>3414.9353927230181</v>
      </c>
      <c r="BM61" s="41">
        <v>3425.5034504707719</v>
      </c>
    </row>
    <row r="62" spans="1:65" x14ac:dyDescent="0.35">
      <c r="A62" s="41" t="s">
        <v>221</v>
      </c>
      <c r="B62" s="41" t="s">
        <v>222</v>
      </c>
      <c r="C62" s="41" t="s">
        <v>659</v>
      </c>
      <c r="D62" s="41" t="s">
        <v>660</v>
      </c>
      <c r="V62" s="41">
        <v>624.60612185514481</v>
      </c>
      <c r="W62" s="41">
        <v>769.11975707533054</v>
      </c>
      <c r="X62" s="41">
        <v>733.96156468635127</v>
      </c>
      <c r="Y62" s="41">
        <v>966.63019906706666</v>
      </c>
      <c r="Z62" s="41">
        <v>1090.2009070174352</v>
      </c>
      <c r="AA62" s="41">
        <v>1193.5100606125241</v>
      </c>
      <c r="AB62" s="41">
        <v>1324.649474806421</v>
      </c>
      <c r="AC62" s="41">
        <v>1478.1717458053345</v>
      </c>
      <c r="AD62" s="41">
        <v>1632.2473665491409</v>
      </c>
      <c r="AE62" s="41">
        <v>1863.5060666269389</v>
      </c>
      <c r="AF62" s="41">
        <v>2113.9271518672149</v>
      </c>
      <c r="AG62" s="41">
        <v>2402.7717810772633</v>
      </c>
      <c r="AH62" s="41">
        <v>2617.8168457193369</v>
      </c>
      <c r="AI62" s="41">
        <v>2860.3224791915823</v>
      </c>
      <c r="AJ62" s="41">
        <v>3122.6531816213105</v>
      </c>
      <c r="AK62" s="41">
        <v>3317.8246712678147</v>
      </c>
      <c r="AL62" s="41">
        <v>3466.9988692977195</v>
      </c>
      <c r="AM62" s="41">
        <v>3721.2723674634599</v>
      </c>
      <c r="AN62" s="41">
        <v>3860.8005375461953</v>
      </c>
      <c r="AO62" s="41">
        <v>4120.5811848531039</v>
      </c>
      <c r="AP62" s="41">
        <v>4292.1136798629996</v>
      </c>
      <c r="AQ62" s="41">
        <v>4593.8633445579571</v>
      </c>
      <c r="AR62" s="41">
        <v>4751.0921014386668</v>
      </c>
      <c r="AS62" s="41">
        <v>4787.8014410677724</v>
      </c>
      <c r="AT62" s="41">
        <v>4883.0030242669645</v>
      </c>
      <c r="AU62" s="41">
        <v>4770.851894276866</v>
      </c>
      <c r="AV62" s="41">
        <v>4897.3083665389158</v>
      </c>
      <c r="AW62" s="41">
        <v>5216.8724338301108</v>
      </c>
      <c r="AX62" s="41">
        <v>5160.8891407701267</v>
      </c>
      <c r="AY62" s="41">
        <v>5518.4231999187177</v>
      </c>
      <c r="AZ62" s="41">
        <v>5951.8634133377691</v>
      </c>
      <c r="BA62" s="41">
        <v>6468.9447668171069</v>
      </c>
      <c r="BB62" s="41">
        <v>6903.1458061494186</v>
      </c>
      <c r="BC62" s="41">
        <v>6967.3649551466051</v>
      </c>
      <c r="BD62" s="41">
        <v>7065.4603723759856</v>
      </c>
      <c r="BE62" s="41">
        <v>6849.4559333694542</v>
      </c>
      <c r="BF62" s="41">
        <v>7016.3800714780018</v>
      </c>
      <c r="BG62" s="41">
        <v>7317.4861432165444</v>
      </c>
      <c r="BH62" s="41">
        <v>7597.2888940925468</v>
      </c>
      <c r="BI62" s="41">
        <v>8080.9686234118617</v>
      </c>
      <c r="BJ62" s="41">
        <v>7274.5177307170025</v>
      </c>
      <c r="BK62" s="41">
        <v>7693.7714527416583</v>
      </c>
      <c r="BL62" s="41">
        <v>8001.9970951343503</v>
      </c>
      <c r="BM62" s="41">
        <v>6526.7932154070695</v>
      </c>
    </row>
    <row r="63" spans="1:65" x14ac:dyDescent="0.35">
      <c r="A63" s="41" t="s">
        <v>223</v>
      </c>
      <c r="B63" s="41" t="s">
        <v>224</v>
      </c>
      <c r="C63" s="41" t="s">
        <v>659</v>
      </c>
      <c r="D63" s="41" t="s">
        <v>660</v>
      </c>
      <c r="K63" s="41">
        <v>2487.1361809088389</v>
      </c>
      <c r="L63" s="41">
        <v>2700.7462896467719</v>
      </c>
      <c r="M63" s="41">
        <v>2776.1353904434427</v>
      </c>
      <c r="N63" s="41">
        <v>3151.1331613469451</v>
      </c>
      <c r="O63" s="41">
        <v>3464.4551557319623</v>
      </c>
      <c r="P63" s="41">
        <v>3845.5060887917516</v>
      </c>
      <c r="Q63" s="41">
        <v>4654.2989360392157</v>
      </c>
      <c r="R63" s="41">
        <v>6119.370222186677</v>
      </c>
      <c r="S63" s="41">
        <v>6770.750026828925</v>
      </c>
      <c r="T63" s="41">
        <v>7999.1126667648377</v>
      </c>
      <c r="U63" s="41">
        <v>8787.5897219329672</v>
      </c>
      <c r="V63" s="41">
        <v>9783.852021513223</v>
      </c>
      <c r="W63" s="41">
        <v>11826.01861305033</v>
      </c>
      <c r="X63" s="41">
        <v>13751.998948016029</v>
      </c>
      <c r="Y63" s="41">
        <v>13883.887143273194</v>
      </c>
      <c r="Z63" s="41">
        <v>12081.801049607682</v>
      </c>
      <c r="AA63" s="41">
        <v>11804.432888013429</v>
      </c>
      <c r="AB63" s="41">
        <v>11857.892135723148</v>
      </c>
      <c r="AC63" s="41">
        <v>11562.919077848665</v>
      </c>
      <c r="AD63" s="41">
        <v>12253.100214178539</v>
      </c>
      <c r="AE63" s="41">
        <v>17201.088812967369</v>
      </c>
      <c r="AF63" s="41">
        <v>21340.727862552438</v>
      </c>
      <c r="AG63" s="41">
        <v>22527.046726563101</v>
      </c>
      <c r="AH63" s="41">
        <v>21901.054745943984</v>
      </c>
      <c r="AI63" s="41">
        <v>26891.446448957078</v>
      </c>
      <c r="AJ63" s="41">
        <v>27011.37745900514</v>
      </c>
      <c r="AK63" s="41">
        <v>29569.660356711156</v>
      </c>
      <c r="AL63" s="41">
        <v>27597.975228635663</v>
      </c>
      <c r="AM63" s="41">
        <v>29995.579623547947</v>
      </c>
      <c r="AN63" s="41">
        <v>35351.365460681853</v>
      </c>
      <c r="AO63" s="41">
        <v>35650.714086099404</v>
      </c>
      <c r="AP63" s="41">
        <v>32835.939939883254</v>
      </c>
      <c r="AQ63" s="41">
        <v>33368.142415091963</v>
      </c>
      <c r="AR63" s="41">
        <v>33440.794805420432</v>
      </c>
      <c r="AS63" s="41">
        <v>30743.547681635428</v>
      </c>
      <c r="AT63" s="41">
        <v>30751.654348268032</v>
      </c>
      <c r="AU63" s="41">
        <v>33228.693544881928</v>
      </c>
      <c r="AV63" s="41">
        <v>40458.777398660881</v>
      </c>
      <c r="AW63" s="41">
        <v>46511.598332430505</v>
      </c>
      <c r="AX63" s="41">
        <v>48799.825601127486</v>
      </c>
      <c r="AY63" s="41">
        <v>52026.999514272291</v>
      </c>
      <c r="AZ63" s="41">
        <v>58487.054967769582</v>
      </c>
      <c r="BA63" s="41">
        <v>64322.063502084209</v>
      </c>
      <c r="BB63" s="41">
        <v>58163.276876281459</v>
      </c>
      <c r="BC63" s="41">
        <v>58041.398436338481</v>
      </c>
      <c r="BD63" s="41">
        <v>61753.647131976963</v>
      </c>
      <c r="BE63" s="41">
        <v>58507.508051785189</v>
      </c>
      <c r="BF63" s="41">
        <v>61191.193704202844</v>
      </c>
      <c r="BG63" s="41">
        <v>62548.984733290752</v>
      </c>
      <c r="BH63" s="41">
        <v>53254.856370091584</v>
      </c>
      <c r="BI63" s="41">
        <v>54663.998371919501</v>
      </c>
      <c r="BJ63" s="41">
        <v>57610.098180113484</v>
      </c>
      <c r="BK63" s="41">
        <v>61598.536704393635</v>
      </c>
      <c r="BL63" s="41">
        <v>60213.092145474628</v>
      </c>
      <c r="BM63" s="41">
        <v>60908.835134944202</v>
      </c>
    </row>
    <row r="64" spans="1:65" x14ac:dyDescent="0.35">
      <c r="A64" s="41" t="s">
        <v>225</v>
      </c>
      <c r="B64" s="41" t="s">
        <v>226</v>
      </c>
      <c r="C64" s="41" t="s">
        <v>659</v>
      </c>
      <c r="D64" s="41" t="s">
        <v>660</v>
      </c>
      <c r="E64" s="41">
        <v>204.11487143246569</v>
      </c>
      <c r="F64" s="41">
        <v>192.02761251123658</v>
      </c>
      <c r="G64" s="41">
        <v>234.05162938672851</v>
      </c>
      <c r="H64" s="41">
        <v>258.59578187575414</v>
      </c>
      <c r="I64" s="41">
        <v>272.97480013297405</v>
      </c>
      <c r="J64" s="41">
        <v>229.02350011656191</v>
      </c>
      <c r="K64" s="41">
        <v>245.9875453648136</v>
      </c>
      <c r="L64" s="41">
        <v>250.97620722272077</v>
      </c>
      <c r="M64" s="41">
        <v>254.05179775019016</v>
      </c>
      <c r="N64" s="41">
        <v>281.37760462936478</v>
      </c>
      <c r="O64" s="41">
        <v>330.13150590192015</v>
      </c>
      <c r="P64" s="41">
        <v>360.15285263102845</v>
      </c>
      <c r="Q64" s="41">
        <v>417.91926087548973</v>
      </c>
      <c r="R64" s="41">
        <v>480.05306625502101</v>
      </c>
      <c r="S64" s="41">
        <v>583.48442130299486</v>
      </c>
      <c r="T64" s="41">
        <v>699.60300367450964</v>
      </c>
      <c r="U64" s="41">
        <v>748.99062070026969</v>
      </c>
      <c r="V64" s="41">
        <v>848.28541713207005</v>
      </c>
      <c r="W64" s="41">
        <v>854.64716199520683</v>
      </c>
      <c r="X64" s="41">
        <v>969.49804832715392</v>
      </c>
      <c r="Y64" s="41">
        <v>1164.9522246050908</v>
      </c>
      <c r="Z64" s="41">
        <v>1273.8264406631181</v>
      </c>
      <c r="AA64" s="41">
        <v>1362.5106690778769</v>
      </c>
      <c r="AB64" s="41">
        <v>1487.2758283240507</v>
      </c>
      <c r="AC64" s="41">
        <v>1831.0864593730653</v>
      </c>
      <c r="AD64" s="41">
        <v>780.3858657861573</v>
      </c>
      <c r="AE64" s="41">
        <v>928.03224876354875</v>
      </c>
      <c r="AF64" s="41">
        <v>865.83175448466909</v>
      </c>
      <c r="AG64" s="41">
        <v>783.03540127052327</v>
      </c>
      <c r="AH64" s="41">
        <v>955.51737476050357</v>
      </c>
      <c r="AI64" s="41">
        <v>991.61484114979123</v>
      </c>
      <c r="AJ64" s="41">
        <v>1351.2985002409939</v>
      </c>
      <c r="AK64" s="41">
        <v>1566.5296234419079</v>
      </c>
      <c r="AL64" s="41">
        <v>1733.3995364983375</v>
      </c>
      <c r="AM64" s="41">
        <v>1905.9434963905105</v>
      </c>
      <c r="AN64" s="41">
        <v>2127.7480889330586</v>
      </c>
      <c r="AO64" s="41">
        <v>2293.7543814761348</v>
      </c>
      <c r="AP64" s="41">
        <v>2476.0604030492323</v>
      </c>
      <c r="AQ64" s="41">
        <v>2638.3132701342547</v>
      </c>
      <c r="AR64" s="41">
        <v>2653.225123846722</v>
      </c>
      <c r="AS64" s="41">
        <v>2869.178138610213</v>
      </c>
      <c r="AT64" s="41">
        <v>2977.434510030675</v>
      </c>
      <c r="AU64" s="41">
        <v>3110.3254470273673</v>
      </c>
      <c r="AV64" s="41">
        <v>2418.350421588782</v>
      </c>
      <c r="AW64" s="41">
        <v>2487.3290610568652</v>
      </c>
      <c r="AX64" s="41">
        <v>3932.784406508516</v>
      </c>
      <c r="AY64" s="41">
        <v>4109.0335914539082</v>
      </c>
      <c r="AZ64" s="41">
        <v>4707.7950524572479</v>
      </c>
      <c r="BA64" s="41">
        <v>5087.9832127843438</v>
      </c>
      <c r="BB64" s="41">
        <v>5039.4031221298501</v>
      </c>
      <c r="BC64" s="41">
        <v>5555.3920139381635</v>
      </c>
      <c r="BD64" s="41">
        <v>5913.4266488549274</v>
      </c>
      <c r="BE64" s="41">
        <v>6110.3665760338345</v>
      </c>
      <c r="BF64" s="41">
        <v>6238.1323665836162</v>
      </c>
      <c r="BG64" s="41">
        <v>6608.8255013006456</v>
      </c>
      <c r="BH64" s="41">
        <v>6921.5205943277633</v>
      </c>
      <c r="BI64" s="41">
        <v>7280.8836104122547</v>
      </c>
      <c r="BJ64" s="41">
        <v>7609.3532753402333</v>
      </c>
      <c r="BK64" s="41">
        <v>8050.6440762341617</v>
      </c>
      <c r="BL64" s="41">
        <v>8282.1171305092084</v>
      </c>
      <c r="BM64" s="41">
        <v>7268.1969096590956</v>
      </c>
    </row>
    <row r="65" spans="1:65" x14ac:dyDescent="0.35">
      <c r="A65" s="41" t="s">
        <v>227</v>
      </c>
      <c r="B65" s="41" t="s">
        <v>228</v>
      </c>
      <c r="C65" s="41" t="s">
        <v>659</v>
      </c>
      <c r="D65" s="41" t="s">
        <v>660</v>
      </c>
      <c r="E65" s="41">
        <v>246.30375131947173</v>
      </c>
      <c r="F65" s="41">
        <v>214.77198010088949</v>
      </c>
      <c r="G65" s="41">
        <v>172.24250895718129</v>
      </c>
      <c r="H65" s="41">
        <v>226.89545012827077</v>
      </c>
      <c r="I65" s="41">
        <v>238.04371039420039</v>
      </c>
      <c r="J65" s="41">
        <v>249.88358560700883</v>
      </c>
      <c r="K65" s="41">
        <v>235.59813008212925</v>
      </c>
      <c r="L65" s="41">
        <v>253.92376552105782</v>
      </c>
      <c r="M65" s="41">
        <v>281.92578629113245</v>
      </c>
      <c r="N65" s="41">
        <v>302.7522636736216</v>
      </c>
      <c r="O65" s="41">
        <v>336.22469287626518</v>
      </c>
      <c r="P65" s="41">
        <v>341.38891847622</v>
      </c>
      <c r="Q65" s="41">
        <v>442.67762346528264</v>
      </c>
      <c r="R65" s="41">
        <v>554.29290896192458</v>
      </c>
      <c r="S65" s="41">
        <v>818.00822887595325</v>
      </c>
      <c r="T65" s="41">
        <v>936.79008217609828</v>
      </c>
      <c r="U65" s="41">
        <v>1037.6071598989311</v>
      </c>
      <c r="V65" s="41">
        <v>1192.7442268348898</v>
      </c>
      <c r="W65" s="41">
        <v>1456.4193959721472</v>
      </c>
      <c r="X65" s="41">
        <v>1782.699319755242</v>
      </c>
      <c r="Y65" s="41">
        <v>2203.0554610697668</v>
      </c>
      <c r="Z65" s="41">
        <v>2237.0867762862681</v>
      </c>
      <c r="AA65" s="41">
        <v>2210.3020356695743</v>
      </c>
      <c r="AB65" s="41">
        <v>2312.6556194825116</v>
      </c>
      <c r="AC65" s="41">
        <v>2467.3460818789913</v>
      </c>
      <c r="AD65" s="41">
        <v>2582.8790134427313</v>
      </c>
      <c r="AE65" s="41">
        <v>2756.9549811889274</v>
      </c>
      <c r="AF65" s="41">
        <v>2807.5036032110311</v>
      </c>
      <c r="AG65" s="41">
        <v>2417.3761889225207</v>
      </c>
      <c r="AH65" s="41">
        <v>2215.9638731835726</v>
      </c>
      <c r="AI65" s="41">
        <v>2408.8229852320751</v>
      </c>
      <c r="AJ65" s="41">
        <v>1731.6213697312633</v>
      </c>
      <c r="AK65" s="41">
        <v>1776.0282780526982</v>
      </c>
      <c r="AL65" s="41">
        <v>1807.2974509064265</v>
      </c>
      <c r="AM65" s="41">
        <v>1507.8866626901749</v>
      </c>
      <c r="AN65" s="41">
        <v>1452.2784342953146</v>
      </c>
      <c r="AO65" s="41">
        <v>1603.9403022018976</v>
      </c>
      <c r="AP65" s="41">
        <v>1619.7977486502916</v>
      </c>
      <c r="AQ65" s="41">
        <v>1596.0039257404189</v>
      </c>
      <c r="AR65" s="41">
        <v>1588.3489076722078</v>
      </c>
      <c r="AS65" s="41">
        <v>1765.0267180764399</v>
      </c>
      <c r="AT65" s="41">
        <v>1740.6070660485902</v>
      </c>
      <c r="AU65" s="41">
        <v>1781.8277260792256</v>
      </c>
      <c r="AV65" s="41">
        <v>2103.3816915364032</v>
      </c>
      <c r="AW65" s="41">
        <v>2610.185422434879</v>
      </c>
      <c r="AX65" s="41">
        <v>3113.0957064914573</v>
      </c>
      <c r="AY65" s="41">
        <v>3478.7104115569086</v>
      </c>
      <c r="AZ65" s="41">
        <v>3950.5142602778528</v>
      </c>
      <c r="BA65" s="41">
        <v>4923.630277917161</v>
      </c>
      <c r="BB65" s="41">
        <v>3883.2712900086094</v>
      </c>
      <c r="BC65" s="41">
        <v>4480.7874386492695</v>
      </c>
      <c r="BD65" s="41">
        <v>5455.6790295270557</v>
      </c>
      <c r="BE65" s="41">
        <v>5592.220114657528</v>
      </c>
      <c r="BF65" s="41">
        <v>5499.5873310533379</v>
      </c>
      <c r="BG65" s="41">
        <v>5493.0566626535056</v>
      </c>
      <c r="BH65" s="41">
        <v>4177.8868916957363</v>
      </c>
      <c r="BI65" s="41">
        <v>3946.4524245930515</v>
      </c>
      <c r="BJ65" s="41">
        <v>4109.7034422082561</v>
      </c>
      <c r="BK65" s="41">
        <v>4153.9562344674132</v>
      </c>
      <c r="BL65" s="41">
        <v>3975.5089933334993</v>
      </c>
      <c r="BM65" s="41">
        <v>3310.3865335236824</v>
      </c>
    </row>
    <row r="66" spans="1:65" x14ac:dyDescent="0.35">
      <c r="A66" s="41" t="s">
        <v>229</v>
      </c>
      <c r="B66" s="41" t="s">
        <v>230</v>
      </c>
      <c r="C66" s="41" t="s">
        <v>659</v>
      </c>
      <c r="D66" s="41" t="s">
        <v>660</v>
      </c>
      <c r="E66" s="41">
        <v>89.652779682283665</v>
      </c>
      <c r="F66" s="41">
        <v>78.734460905071657</v>
      </c>
      <c r="G66" s="41">
        <v>71.198988922121259</v>
      </c>
      <c r="H66" s="41">
        <v>75.172820389217577</v>
      </c>
      <c r="I66" s="41">
        <v>85.063538001314896</v>
      </c>
      <c r="J66" s="41">
        <v>96.844203731195137</v>
      </c>
      <c r="K66" s="41">
        <v>103.11977135161438</v>
      </c>
      <c r="L66" s="41">
        <v>97.345879852953871</v>
      </c>
      <c r="M66" s="41">
        <v>95.699146592092376</v>
      </c>
      <c r="N66" s="41">
        <v>104.57293300148105</v>
      </c>
      <c r="O66" s="41">
        <v>113.4295792425451</v>
      </c>
      <c r="P66" s="41">
        <v>118.71556246649715</v>
      </c>
      <c r="Q66" s="41">
        <v>131.35906204934273</v>
      </c>
      <c r="R66" s="41">
        <v>161.53817857769522</v>
      </c>
      <c r="S66" s="41">
        <v>178.3200346511035</v>
      </c>
      <c r="T66" s="41">
        <v>196.62396523937082</v>
      </c>
      <c r="U66" s="41">
        <v>196.10436928014434</v>
      </c>
      <c r="V66" s="41">
        <v>223.01567098566875</v>
      </c>
      <c r="W66" s="41">
        <v>212.53378529752698</v>
      </c>
      <c r="X66" s="41">
        <v>242.3436126094474</v>
      </c>
      <c r="Y66" s="41">
        <v>275.41850470481677</v>
      </c>
      <c r="Z66" s="41">
        <v>289.36899792173739</v>
      </c>
      <c r="AA66" s="41">
        <v>298.57883394510822</v>
      </c>
      <c r="AB66" s="41">
        <v>308.0820874179006</v>
      </c>
      <c r="AC66" s="41">
        <v>329.15694149934023</v>
      </c>
      <c r="AD66" s="41">
        <v>355.00065232861846</v>
      </c>
      <c r="AE66" s="41">
        <v>348.1069167347502</v>
      </c>
      <c r="AF66" s="41">
        <v>337.83960610237892</v>
      </c>
      <c r="AG66" s="41">
        <v>368.22271050072823</v>
      </c>
      <c r="AH66" s="41">
        <v>391.37725909025784</v>
      </c>
      <c r="AI66" s="41">
        <v>412.85001750804264</v>
      </c>
      <c r="AJ66" s="41">
        <v>441.33653905612738</v>
      </c>
      <c r="AK66" s="41">
        <v>487.70778111934169</v>
      </c>
      <c r="AL66" s="41">
        <v>528.37944166058537</v>
      </c>
      <c r="AM66" s="41">
        <v>627.44490152710523</v>
      </c>
      <c r="AN66" s="41">
        <v>764.77641666683053</v>
      </c>
      <c r="AO66" s="41">
        <v>867.79211604063119</v>
      </c>
      <c r="AP66" s="41">
        <v>888.24164093494255</v>
      </c>
      <c r="AQ66" s="41">
        <v>804.94267963655454</v>
      </c>
      <c r="AR66" s="41">
        <v>876.17482153864341</v>
      </c>
      <c r="AS66" s="41">
        <v>954.30566366186076</v>
      </c>
      <c r="AT66" s="41">
        <v>1007.1640308872549</v>
      </c>
      <c r="AU66" s="41">
        <v>1106.7380701819748</v>
      </c>
      <c r="AV66" s="41">
        <v>1240.8351313155893</v>
      </c>
      <c r="AW66" s="41">
        <v>1427.1465835672627</v>
      </c>
      <c r="AX66" s="41">
        <v>1640.2275467308268</v>
      </c>
      <c r="AY66" s="41">
        <v>1961.1955498899595</v>
      </c>
      <c r="AZ66" s="41">
        <v>2463.8598675530088</v>
      </c>
      <c r="BA66" s="41">
        <v>3091.0903884546706</v>
      </c>
      <c r="BB66" s="41">
        <v>3330.6327039078183</v>
      </c>
      <c r="BC66" s="41">
        <v>4006.5615906112976</v>
      </c>
      <c r="BD66" s="41">
        <v>4855.6740232113143</v>
      </c>
      <c r="BE66" s="41">
        <v>5375.5305939566924</v>
      </c>
      <c r="BF66" s="41">
        <v>5890.4716039092373</v>
      </c>
      <c r="BG66" s="41">
        <v>6303.5155613928673</v>
      </c>
      <c r="BH66" s="41">
        <v>6519.0389011345787</v>
      </c>
      <c r="BI66" s="41">
        <v>6609.4843661755813</v>
      </c>
      <c r="BJ66" s="41">
        <v>7172.7019441599577</v>
      </c>
      <c r="BK66" s="41">
        <v>7968.0899747456597</v>
      </c>
      <c r="BL66" s="41">
        <v>8194.2651115760018</v>
      </c>
      <c r="BM66" s="41">
        <v>8291.7459760378097</v>
      </c>
    </row>
    <row r="67" spans="1:65" x14ac:dyDescent="0.35">
      <c r="A67" s="41" t="s">
        <v>231</v>
      </c>
      <c r="B67" s="41" t="s">
        <v>232</v>
      </c>
      <c r="C67" s="41" t="s">
        <v>659</v>
      </c>
      <c r="D67" s="41" t="s">
        <v>660</v>
      </c>
      <c r="E67" s="41">
        <v>158.9391626393016</v>
      </c>
      <c r="F67" s="41">
        <v>156.00310160879923</v>
      </c>
      <c r="G67" s="41">
        <v>157.44436851827871</v>
      </c>
      <c r="H67" s="41">
        <v>163.00688060699966</v>
      </c>
      <c r="I67" s="41">
        <v>182.67246186429091</v>
      </c>
      <c r="J67" s="41">
        <v>193.38594239767306</v>
      </c>
      <c r="K67" s="41">
        <v>186.11904969819042</v>
      </c>
      <c r="L67" s="41">
        <v>190.86498797004236</v>
      </c>
      <c r="M67" s="41">
        <v>201.63228853369176</v>
      </c>
      <c r="N67" s="41">
        <v>219.79689305162239</v>
      </c>
      <c r="O67" s="41">
        <v>226.9660132368584</v>
      </c>
      <c r="P67" s="41">
        <v>239.84623472675719</v>
      </c>
      <c r="Q67" s="41">
        <v>256.18634897712366</v>
      </c>
      <c r="R67" s="41">
        <v>319.52242712060547</v>
      </c>
      <c r="S67" s="41">
        <v>436.78517539755552</v>
      </c>
      <c r="T67" s="41">
        <v>458.48821785377493</v>
      </c>
      <c r="U67" s="41">
        <v>489.20707046589297</v>
      </c>
      <c r="V67" s="41">
        <v>533.60726151840197</v>
      </c>
      <c r="W67" s="41">
        <v>578.69511873017211</v>
      </c>
      <c r="X67" s="41">
        <v>686.2538522331572</v>
      </c>
      <c r="Y67" s="41">
        <v>833.30532608987653</v>
      </c>
      <c r="Z67" s="41">
        <v>906.98815065981705</v>
      </c>
      <c r="AA67" s="41">
        <v>840.89049114585089</v>
      </c>
      <c r="AB67" s="41">
        <v>825.38329650245009</v>
      </c>
      <c r="AC67" s="41">
        <v>799.1723455770134</v>
      </c>
      <c r="AD67" s="41">
        <v>800.76997585962772</v>
      </c>
      <c r="AE67" s="41">
        <v>783.75674552849705</v>
      </c>
      <c r="AF67" s="41">
        <v>764.7147886775964</v>
      </c>
      <c r="AG67" s="41">
        <v>792.4929838312006</v>
      </c>
      <c r="AH67" s="41">
        <v>787.68375043656079</v>
      </c>
      <c r="AI67" s="41">
        <v>902.90448247957602</v>
      </c>
      <c r="AJ67" s="41">
        <v>932.86089590539007</v>
      </c>
      <c r="AK67" s="41">
        <v>1002.6740575428643</v>
      </c>
      <c r="AL67" s="41">
        <v>1079.8551026798013</v>
      </c>
      <c r="AM67" s="41">
        <v>1106.5566918303571</v>
      </c>
      <c r="AN67" s="41">
        <v>1108.5166734409863</v>
      </c>
      <c r="AO67" s="41">
        <v>1183.8436105116648</v>
      </c>
      <c r="AP67" s="41">
        <v>1241.778121661428</v>
      </c>
      <c r="AQ67" s="41">
        <v>1204.3127026697582</v>
      </c>
      <c r="AR67" s="41">
        <v>1251.3348445082077</v>
      </c>
      <c r="AS67" s="41">
        <v>1337.3088672737747</v>
      </c>
      <c r="AT67" s="41">
        <v>1301.1634839979722</v>
      </c>
      <c r="AU67" s="41">
        <v>1242.9593138010309</v>
      </c>
      <c r="AV67" s="41">
        <v>1358.8447375451922</v>
      </c>
      <c r="AW67" s="41">
        <v>1554.22907558564</v>
      </c>
      <c r="AX67" s="41">
        <v>1782.6192250488089</v>
      </c>
      <c r="AY67" s="41">
        <v>2006.4117984864361</v>
      </c>
      <c r="AZ67" s="41">
        <v>2343.8584356620804</v>
      </c>
      <c r="BA67" s="41">
        <v>2599.7265159590788</v>
      </c>
      <c r="BB67" s="41">
        <v>2466.2468296403886</v>
      </c>
      <c r="BC67" s="41">
        <v>2949.396478719435</v>
      </c>
      <c r="BD67" s="41">
        <v>3255.8259067197268</v>
      </c>
      <c r="BE67" s="41">
        <v>3365.3192803269576</v>
      </c>
      <c r="BF67" s="41">
        <v>3378.6041045753336</v>
      </c>
      <c r="BG67" s="41">
        <v>3447.0974366756463</v>
      </c>
      <c r="BH67" s="41">
        <v>3301.1375785243799</v>
      </c>
      <c r="BI67" s="41">
        <v>3333.1470409142057</v>
      </c>
      <c r="BJ67" s="41">
        <v>3554.5318696785657</v>
      </c>
      <c r="BK67" s="41">
        <v>3526.9750439498739</v>
      </c>
      <c r="BL67" s="41">
        <v>3581.1327402915831</v>
      </c>
      <c r="BM67" s="41">
        <v>3254.9694109426705</v>
      </c>
    </row>
    <row r="68" spans="1:65" x14ac:dyDescent="0.35">
      <c r="A68" s="41" t="s">
        <v>233</v>
      </c>
      <c r="B68" s="41" t="s">
        <v>234</v>
      </c>
      <c r="C68" s="41" t="s">
        <v>659</v>
      </c>
      <c r="D68" s="41" t="s">
        <v>660</v>
      </c>
      <c r="E68" s="41">
        <v>147.23552871653183</v>
      </c>
      <c r="F68" s="41">
        <v>147.38511740642403</v>
      </c>
      <c r="G68" s="41">
        <v>148.7395200417175</v>
      </c>
      <c r="H68" s="41">
        <v>162.03276623168551</v>
      </c>
      <c r="I68" s="41">
        <v>181.89998506887761</v>
      </c>
      <c r="J68" s="41">
        <v>197.87762539318288</v>
      </c>
      <c r="K68" s="41">
        <v>215.55660826400819</v>
      </c>
      <c r="L68" s="41">
        <v>227.93876066313865</v>
      </c>
      <c r="M68" s="41">
        <v>244.98491731712181</v>
      </c>
      <c r="N68" s="41">
        <v>275.00924676154472</v>
      </c>
      <c r="O68" s="41">
        <v>316.37012575244466</v>
      </c>
      <c r="P68" s="41">
        <v>341.93631032340289</v>
      </c>
      <c r="Q68" s="41">
        <v>414.48825683777181</v>
      </c>
      <c r="R68" s="41">
        <v>534.1860382718105</v>
      </c>
      <c r="S68" s="41">
        <v>602.23039815138281</v>
      </c>
      <c r="T68" s="41">
        <v>647.16688851259789</v>
      </c>
      <c r="U68" s="41">
        <v>699.57258833430603</v>
      </c>
      <c r="V68" s="41">
        <v>821.14803011329514</v>
      </c>
      <c r="W68" s="41">
        <v>1020.8501686833005</v>
      </c>
      <c r="X68" s="41">
        <v>1091.7847173410623</v>
      </c>
      <c r="Y68" s="41">
        <v>1162.6828820414989</v>
      </c>
      <c r="Z68" s="41">
        <v>1262.6403272237608</v>
      </c>
      <c r="AA68" s="41">
        <v>1217.3899236231894</v>
      </c>
      <c r="AB68" s="41">
        <v>1275.3131786205804</v>
      </c>
      <c r="AC68" s="41">
        <v>1345.9269867511014</v>
      </c>
      <c r="AD68" s="41">
        <v>1399.2735432004763</v>
      </c>
      <c r="AE68" s="41">
        <v>1800.6073003878935</v>
      </c>
      <c r="AF68" s="41">
        <v>2080.5300201598361</v>
      </c>
      <c r="AG68" s="41">
        <v>2463.3617239872424</v>
      </c>
      <c r="AH68" s="41">
        <v>2525.8300883465149</v>
      </c>
      <c r="AI68" s="41">
        <v>2598.9779934955345</v>
      </c>
      <c r="AJ68" s="41">
        <v>2893.1441020165385</v>
      </c>
      <c r="AK68" s="41">
        <v>3119.8336587863714</v>
      </c>
      <c r="AL68" s="41">
        <v>3446.1614136969424</v>
      </c>
      <c r="AM68" s="41">
        <v>3807.2967607982605</v>
      </c>
      <c r="AN68" s="41">
        <v>4275.8366286617038</v>
      </c>
      <c r="AO68" s="41">
        <v>4072.7594739981946</v>
      </c>
      <c r="AP68" s="41">
        <v>3853.8236526543433</v>
      </c>
      <c r="AQ68" s="41">
        <v>3417.6781988092239</v>
      </c>
      <c r="AR68" s="41">
        <v>3779.4423469277194</v>
      </c>
      <c r="AS68" s="41">
        <v>4050.2740040966055</v>
      </c>
      <c r="AT68" s="41">
        <v>3735.1867556101552</v>
      </c>
      <c r="AU68" s="41">
        <v>3766.2193100336408</v>
      </c>
      <c r="AV68" s="41">
        <v>4108.0336928915958</v>
      </c>
      <c r="AW68" s="41">
        <v>4573.8565515070532</v>
      </c>
      <c r="AX68" s="41">
        <v>4847.6252905419478</v>
      </c>
      <c r="AY68" s="41">
        <v>5105.6329875646943</v>
      </c>
      <c r="AZ68" s="41">
        <v>5675.001381853459</v>
      </c>
      <c r="BA68" s="41">
        <v>6498.4973807273054</v>
      </c>
      <c r="BB68" s="41">
        <v>6650.3014357369611</v>
      </c>
      <c r="BC68" s="41">
        <v>7698.9815075557317</v>
      </c>
      <c r="BD68" s="41">
        <v>8858.8554723647921</v>
      </c>
      <c r="BE68" s="41">
        <v>9417.628081327377</v>
      </c>
      <c r="BF68" s="41">
        <v>9465.4038877855983</v>
      </c>
      <c r="BG68" s="41">
        <v>9700.7555460971525</v>
      </c>
      <c r="BH68" s="41">
        <v>9595.1592065122732</v>
      </c>
      <c r="BI68" s="41">
        <v>9855.7253294961538</v>
      </c>
      <c r="BJ68" s="41">
        <v>10467.85399947672</v>
      </c>
      <c r="BK68" s="41">
        <v>11318.840357478068</v>
      </c>
      <c r="BL68" s="41">
        <v>11499.634666135569</v>
      </c>
    </row>
    <row r="69" spans="1:65" x14ac:dyDescent="0.35">
      <c r="A69" s="41" t="s">
        <v>235</v>
      </c>
      <c r="B69" s="41" t="s">
        <v>236</v>
      </c>
      <c r="C69" s="41" t="s">
        <v>659</v>
      </c>
      <c r="D69" s="41" t="s">
        <v>660</v>
      </c>
      <c r="AG69" s="41">
        <v>2348.7023555552273</v>
      </c>
      <c r="AH69" s="41">
        <v>2260.9046073724912</v>
      </c>
      <c r="AI69" s="41">
        <v>2388.5066917409963</v>
      </c>
      <c r="AJ69" s="41">
        <v>2305.4520075902674</v>
      </c>
      <c r="AK69" s="41">
        <v>2120.9834331863312</v>
      </c>
      <c r="AL69" s="41">
        <v>2095.2839222894036</v>
      </c>
      <c r="AM69" s="41">
        <v>1813.308689875126</v>
      </c>
      <c r="AN69" s="41">
        <v>1944.3937601408704</v>
      </c>
      <c r="AO69" s="41">
        <v>1962.2473743682781</v>
      </c>
      <c r="AP69" s="41">
        <v>2038.829540982794</v>
      </c>
      <c r="AQ69" s="41">
        <v>1910.5981201596376</v>
      </c>
      <c r="AR69" s="41">
        <v>1605.2166650068643</v>
      </c>
      <c r="AS69" s="41">
        <v>1786.8326384667157</v>
      </c>
      <c r="AT69" s="41">
        <v>1777.3804333615005</v>
      </c>
      <c r="AU69" s="41">
        <v>2036.3405765027205</v>
      </c>
      <c r="AV69" s="41">
        <v>2567.1295824080103</v>
      </c>
      <c r="AW69" s="41">
        <v>3398.1885619129307</v>
      </c>
      <c r="AX69" s="41">
        <v>4301.2955405216344</v>
      </c>
      <c r="AY69" s="41">
        <v>5269.8137933212756</v>
      </c>
      <c r="AZ69" s="41">
        <v>6811.4561658131706</v>
      </c>
      <c r="BA69" s="41">
        <v>8410.1540006617488</v>
      </c>
      <c r="BB69" s="41">
        <v>6585.4077688248381</v>
      </c>
      <c r="BC69" s="41">
        <v>7815.6792818895674</v>
      </c>
      <c r="BD69" s="41">
        <v>9601.4253090503462</v>
      </c>
      <c r="BE69" s="41">
        <v>10121.834969287394</v>
      </c>
      <c r="BF69" s="41">
        <v>10689.039194711781</v>
      </c>
      <c r="BG69" s="41">
        <v>9916.7567044368061</v>
      </c>
      <c r="BH69" s="41">
        <v>7546.2329964273085</v>
      </c>
      <c r="BI69" s="41">
        <v>7177.7722373262586</v>
      </c>
      <c r="BJ69" s="41">
        <v>8018.7141378307724</v>
      </c>
      <c r="BK69" s="41">
        <v>8206.5966605571284</v>
      </c>
      <c r="BL69" s="41">
        <v>8337.8574220047994</v>
      </c>
      <c r="BM69" s="41">
        <v>7656.593919051511</v>
      </c>
    </row>
    <row r="70" spans="1:65" x14ac:dyDescent="0.35">
      <c r="A70" s="41" t="s">
        <v>237</v>
      </c>
      <c r="B70" s="41" t="s">
        <v>238</v>
      </c>
      <c r="C70" s="41" t="s">
        <v>659</v>
      </c>
      <c r="D70" s="41" t="s">
        <v>660</v>
      </c>
      <c r="K70" s="41">
        <v>1032.7918170631444</v>
      </c>
      <c r="L70" s="41">
        <v>1102.0854366930707</v>
      </c>
      <c r="M70" s="41">
        <v>1142.8125240641284</v>
      </c>
      <c r="N70" s="41">
        <v>1253.3552530393301</v>
      </c>
      <c r="O70" s="41">
        <v>1375.975053469861</v>
      </c>
      <c r="P70" s="41">
        <v>1540.0537244017205</v>
      </c>
      <c r="Q70" s="41">
        <v>1830.2010146974999</v>
      </c>
      <c r="R70" s="41">
        <v>2306.2424318716739</v>
      </c>
      <c r="S70" s="41">
        <v>2586.2073440312975</v>
      </c>
      <c r="T70" s="41">
        <v>2999.1627730045702</v>
      </c>
      <c r="U70" s="41">
        <v>3095.4002052190608</v>
      </c>
      <c r="V70" s="41">
        <v>3484.1227795093241</v>
      </c>
      <c r="W70" s="41">
        <v>4223.9321282714191</v>
      </c>
      <c r="X70" s="41">
        <v>5132.7109339704602</v>
      </c>
      <c r="Y70" s="41">
        <v>5774.1050534021015</v>
      </c>
      <c r="Z70" s="41">
        <v>5105.1928319068138</v>
      </c>
      <c r="AA70" s="41">
        <v>4890.4183600544757</v>
      </c>
      <c r="AB70" s="41">
        <v>4717.4515861344789</v>
      </c>
      <c r="AC70" s="41">
        <v>4507.5723099601864</v>
      </c>
      <c r="AD70" s="41">
        <v>4637.0966191118932</v>
      </c>
      <c r="AE70" s="41">
        <v>6291.0139166598628</v>
      </c>
      <c r="AF70" s="41">
        <v>7726.438186347933</v>
      </c>
      <c r="AG70" s="41">
        <v>8548.3445477324367</v>
      </c>
      <c r="AH70" s="41">
        <v>8611.8310326700794</v>
      </c>
      <c r="AI70" s="41">
        <v>10484.719218257202</v>
      </c>
      <c r="AJ70" s="41">
        <v>10783.002272505148</v>
      </c>
      <c r="AK70" s="41">
        <v>11542.143601309252</v>
      </c>
      <c r="AL70" s="41">
        <v>10567.686881091349</v>
      </c>
      <c r="AM70" s="41">
        <v>11024.373025926825</v>
      </c>
      <c r="AN70" s="41">
        <v>12701.701537921292</v>
      </c>
      <c r="AO70" s="41">
        <v>12942.475300486196</v>
      </c>
      <c r="AP70" s="41">
        <v>12257.124226792801</v>
      </c>
      <c r="AQ70" s="41">
        <v>12558.740320988893</v>
      </c>
      <c r="AR70" s="41">
        <v>12399.905783257427</v>
      </c>
      <c r="AS70" s="41">
        <v>11657.596991872806</v>
      </c>
      <c r="AT70" s="41">
        <v>11770.264174992337</v>
      </c>
      <c r="AU70" s="41">
        <v>12840.209242330946</v>
      </c>
      <c r="AV70" s="41">
        <v>15594.952781774467</v>
      </c>
      <c r="AW70" s="41">
        <v>18122.439243290504</v>
      </c>
      <c r="AX70" s="41">
        <v>19235.981571456283</v>
      </c>
      <c r="AY70" s="41">
        <v>20764.721224930156</v>
      </c>
      <c r="AZ70" s="41">
        <v>24174.228688203813</v>
      </c>
      <c r="BA70" s="41">
        <v>26436.530979632382</v>
      </c>
      <c r="BB70" s="41">
        <v>23165.179577216324</v>
      </c>
      <c r="BC70" s="41">
        <v>23640.663801118826</v>
      </c>
      <c r="BD70" s="41">
        <v>26138.774156140735</v>
      </c>
      <c r="BE70" s="41">
        <v>25097.80320519019</v>
      </c>
      <c r="BF70" s="41">
        <v>26102.050195473104</v>
      </c>
      <c r="BG70" s="41">
        <v>26334.39368319494</v>
      </c>
      <c r="BH70" s="41">
        <v>22582.952702121544</v>
      </c>
      <c r="BI70" s="41">
        <v>22404.899576160573</v>
      </c>
      <c r="BJ70" s="41">
        <v>23617.219289892822</v>
      </c>
      <c r="BK70" s="41">
        <v>25221.760863991061</v>
      </c>
      <c r="BL70" s="41">
        <v>24791.449097887646</v>
      </c>
      <c r="BM70" s="41">
        <v>23780.388470083933</v>
      </c>
    </row>
    <row r="71" spans="1:65" x14ac:dyDescent="0.35">
      <c r="A71" s="41" t="s">
        <v>239</v>
      </c>
      <c r="B71" s="41" t="s">
        <v>240</v>
      </c>
      <c r="C71" s="41" t="s">
        <v>659</v>
      </c>
      <c r="D71" s="41" t="s">
        <v>660</v>
      </c>
      <c r="E71" s="41">
        <v>455.46238876667564</v>
      </c>
      <c r="F71" s="41">
        <v>375.22130461246195</v>
      </c>
      <c r="G71" s="41">
        <v>315.68870401787069</v>
      </c>
      <c r="H71" s="41">
        <v>368.62958370134157</v>
      </c>
      <c r="I71" s="41">
        <v>440.56023420839176</v>
      </c>
      <c r="J71" s="41">
        <v>455.19781834631971</v>
      </c>
      <c r="K71" s="41">
        <v>449.92020699406942</v>
      </c>
      <c r="L71" s="41">
        <v>459.27879877665322</v>
      </c>
      <c r="M71" s="41">
        <v>450.99955150964257</v>
      </c>
      <c r="N71" s="41">
        <v>527.90035300602119</v>
      </c>
      <c r="O71" s="41">
        <v>471.6307972400669</v>
      </c>
      <c r="P71" s="41">
        <v>440.85715738146729</v>
      </c>
      <c r="Q71" s="41">
        <v>495.53591815208432</v>
      </c>
      <c r="R71" s="41">
        <v>588.3370651355707</v>
      </c>
      <c r="S71" s="41">
        <v>970.01272196801347</v>
      </c>
      <c r="T71" s="41">
        <v>1105.4205551338398</v>
      </c>
      <c r="U71" s="41">
        <v>1264.9116411564892</v>
      </c>
      <c r="V71" s="41">
        <v>1493.3335829143339</v>
      </c>
      <c r="W71" s="41">
        <v>1572.4005306846564</v>
      </c>
      <c r="X71" s="41">
        <v>1821.0471801241088</v>
      </c>
      <c r="Y71" s="41">
        <v>2238.2170835195288</v>
      </c>
      <c r="Z71" s="41">
        <v>2660.612801302213</v>
      </c>
      <c r="AA71" s="41">
        <v>2369.9506569329742</v>
      </c>
      <c r="AB71" s="41">
        <v>1988.7873231312258</v>
      </c>
      <c r="AC71" s="41">
        <v>1912.4312707904423</v>
      </c>
      <c r="AD71" s="41">
        <v>1891.5624789030182</v>
      </c>
      <c r="AE71" s="41">
        <v>1648.0145601655918</v>
      </c>
      <c r="AF71" s="41">
        <v>1464.4929359151715</v>
      </c>
      <c r="AG71" s="41">
        <v>1337.8898952084151</v>
      </c>
      <c r="AH71" s="41">
        <v>1390.2131140266335</v>
      </c>
      <c r="AI71" s="41">
        <v>1489.5299460381646</v>
      </c>
      <c r="AJ71" s="41">
        <v>1622.2080879090884</v>
      </c>
      <c r="AK71" s="41">
        <v>1688.5047522337613</v>
      </c>
      <c r="AL71" s="41">
        <v>1727.7550033188409</v>
      </c>
      <c r="AM71" s="41">
        <v>2026.1130766221813</v>
      </c>
      <c r="AN71" s="41">
        <v>2132.9067827438362</v>
      </c>
      <c r="AO71" s="41">
        <v>2155.5181503914278</v>
      </c>
      <c r="AP71" s="41">
        <v>2356.3698573749843</v>
      </c>
      <c r="AQ71" s="41">
        <v>2293.8897353650646</v>
      </c>
      <c r="AR71" s="41">
        <v>1578.9342977398894</v>
      </c>
      <c r="AS71" s="41">
        <v>1445.2793244290131</v>
      </c>
      <c r="AT71" s="41">
        <v>1894.6161958580403</v>
      </c>
      <c r="AU71" s="41">
        <v>2172.1018772446992</v>
      </c>
      <c r="AV71" s="41">
        <v>2425.8518417571463</v>
      </c>
      <c r="AW71" s="41">
        <v>2691.2776847383752</v>
      </c>
      <c r="AX71" s="41">
        <v>3002.1386043913863</v>
      </c>
      <c r="AY71" s="41">
        <v>3328.8841562632319</v>
      </c>
      <c r="AZ71" s="41">
        <v>3567.8371864996279</v>
      </c>
      <c r="BA71" s="41">
        <v>4249.0189697944516</v>
      </c>
      <c r="BB71" s="41">
        <v>4231.619234660574</v>
      </c>
      <c r="BC71" s="41">
        <v>4633.5912844309887</v>
      </c>
      <c r="BD71" s="41">
        <v>5200.5551078350436</v>
      </c>
      <c r="BE71" s="41">
        <v>5682.0461081449721</v>
      </c>
      <c r="BF71" s="41">
        <v>6056.3312125381335</v>
      </c>
      <c r="BG71" s="41">
        <v>6377.0939287725696</v>
      </c>
      <c r="BH71" s="41">
        <v>6124.4908870713352</v>
      </c>
      <c r="BI71" s="41">
        <v>6060.0929615679133</v>
      </c>
      <c r="BJ71" s="41">
        <v>6213.5031273688801</v>
      </c>
      <c r="BK71" s="41">
        <v>6295.9346616399243</v>
      </c>
      <c r="BL71" s="41">
        <v>6222.5246532724805</v>
      </c>
      <c r="BM71" s="41">
        <v>5600.3896149534148</v>
      </c>
    </row>
    <row r="72" spans="1:65" x14ac:dyDescent="0.35">
      <c r="A72" s="41" t="s">
        <v>241</v>
      </c>
      <c r="B72" s="41" t="s">
        <v>242</v>
      </c>
      <c r="C72" s="41" t="s">
        <v>659</v>
      </c>
      <c r="D72" s="41" t="s">
        <v>660</v>
      </c>
      <c r="J72" s="41">
        <v>162.60847230990453</v>
      </c>
      <c r="K72" s="41">
        <v>168.96324041553279</v>
      </c>
      <c r="L72" s="41">
        <v>174.86260976111217</v>
      </c>
      <c r="M72" s="41">
        <v>180.4108537029546</v>
      </c>
      <c r="N72" s="41">
        <v>193.58604932447776</v>
      </c>
      <c r="O72" s="41">
        <v>233.0137095436757</v>
      </c>
      <c r="P72" s="41">
        <v>243.80682226249709</v>
      </c>
      <c r="Q72" s="41">
        <v>257.58865080734512</v>
      </c>
      <c r="R72" s="41">
        <v>273.69860704435848</v>
      </c>
      <c r="S72" s="41">
        <v>244.74721494115548</v>
      </c>
      <c r="T72" s="41">
        <v>301.74942894090879</v>
      </c>
      <c r="U72" s="41">
        <v>337.77436888926059</v>
      </c>
      <c r="V72" s="41">
        <v>357.0779478061794</v>
      </c>
      <c r="W72" s="41">
        <v>358.84779701689399</v>
      </c>
      <c r="X72" s="41">
        <v>426.3465239054741</v>
      </c>
      <c r="Y72" s="41">
        <v>500.35504524922163</v>
      </c>
      <c r="Z72" s="41">
        <v>498.55911585362588</v>
      </c>
      <c r="AA72" s="41">
        <v>607.28152277704567</v>
      </c>
      <c r="AB72" s="41">
        <v>662.6872883613039</v>
      </c>
      <c r="AC72" s="41">
        <v>708.19574761818262</v>
      </c>
      <c r="AD72" s="41">
        <v>792.82404199964878</v>
      </c>
      <c r="AE72" s="41">
        <v>815.24869494933455</v>
      </c>
      <c r="AF72" s="41">
        <v>778.11688723472753</v>
      </c>
      <c r="AG72" s="41">
        <v>655.06780553083138</v>
      </c>
      <c r="AH72" s="41">
        <v>725.62980254277613</v>
      </c>
      <c r="AI72" s="41">
        <v>765.64200545964604</v>
      </c>
      <c r="AJ72" s="41">
        <v>651.07754764074468</v>
      </c>
      <c r="AK72" s="41">
        <v>713.45254825545078</v>
      </c>
      <c r="AL72" s="41">
        <v>777.85773510198408</v>
      </c>
      <c r="AM72" s="41">
        <v>849.45249910526286</v>
      </c>
      <c r="AN72" s="41">
        <v>965.11086939202369</v>
      </c>
      <c r="AO72" s="41">
        <v>1063.3330443648376</v>
      </c>
      <c r="AP72" s="41">
        <v>1208.719919642376</v>
      </c>
      <c r="AQ72" s="41">
        <v>1281.3969135087566</v>
      </c>
      <c r="AR72" s="41">
        <v>1343.5519627879974</v>
      </c>
      <c r="AS72" s="41">
        <v>1450.4762424329781</v>
      </c>
      <c r="AT72" s="41">
        <v>1378.2033833384453</v>
      </c>
      <c r="AU72" s="41">
        <v>1191.1032385421813</v>
      </c>
      <c r="AV72" s="41">
        <v>1102.4681993615632</v>
      </c>
      <c r="AW72" s="41">
        <v>1062.1580919339754</v>
      </c>
      <c r="AX72" s="41">
        <v>1186.3933132271745</v>
      </c>
      <c r="AY72" s="41">
        <v>1397.4366900464327</v>
      </c>
      <c r="AZ72" s="41">
        <v>1667.3179980551015</v>
      </c>
      <c r="BA72" s="41">
        <v>2044.5278041517615</v>
      </c>
      <c r="BB72" s="41">
        <v>2331.2688401105734</v>
      </c>
      <c r="BC72" s="41">
        <v>2645.9687587792419</v>
      </c>
      <c r="BD72" s="41">
        <v>2791.8107659279362</v>
      </c>
      <c r="BE72" s="41">
        <v>3229.6856303038048</v>
      </c>
      <c r="BF72" s="41">
        <v>3262.6575864710353</v>
      </c>
      <c r="BG72" s="41">
        <v>3379.5579862705767</v>
      </c>
      <c r="BH72" s="41">
        <v>3562.9326579842254</v>
      </c>
      <c r="BI72" s="41">
        <v>3519.8732398108036</v>
      </c>
      <c r="BJ72" s="41">
        <v>2444.2903871844783</v>
      </c>
      <c r="BK72" s="41">
        <v>2537.1251850471172</v>
      </c>
      <c r="BL72" s="41">
        <v>3019.0922834664611</v>
      </c>
      <c r="BM72" s="41">
        <v>3547.8708481380891</v>
      </c>
    </row>
    <row r="73" spans="1:65" x14ac:dyDescent="0.35">
      <c r="A73" s="41" t="s">
        <v>243</v>
      </c>
      <c r="B73" s="41" t="s">
        <v>244</v>
      </c>
      <c r="C73" s="41" t="s">
        <v>659</v>
      </c>
      <c r="D73" s="41" t="s">
        <v>660</v>
      </c>
      <c r="E73" s="41">
        <v>923.14698761662885</v>
      </c>
      <c r="F73" s="41">
        <v>1004.9783421634403</v>
      </c>
      <c r="G73" s="41">
        <v>1106.2377823577692</v>
      </c>
      <c r="H73" s="41">
        <v>1229.8566350138974</v>
      </c>
      <c r="I73" s="41">
        <v>1355.586566372107</v>
      </c>
      <c r="J73" s="41">
        <v>1468.4720731955349</v>
      </c>
      <c r="K73" s="41">
        <v>1588.9728736876955</v>
      </c>
      <c r="L73" s="41">
        <v>1714.3279140851719</v>
      </c>
      <c r="M73" s="41">
        <v>1828.2152612027469</v>
      </c>
      <c r="N73" s="41">
        <v>2027.1195597760961</v>
      </c>
      <c r="O73" s="41">
        <v>2236.6254106282972</v>
      </c>
      <c r="P73" s="41">
        <v>2521.0971857189884</v>
      </c>
      <c r="Q73" s="41">
        <v>3025.128989130526</v>
      </c>
      <c r="R73" s="41">
        <v>3902.3510950626883</v>
      </c>
      <c r="S73" s="41">
        <v>4400.4249138582563</v>
      </c>
      <c r="T73" s="41">
        <v>5076.000882525389</v>
      </c>
      <c r="U73" s="41">
        <v>5273.7010611133283</v>
      </c>
      <c r="V73" s="41">
        <v>5974.735447027897</v>
      </c>
      <c r="W73" s="41">
        <v>7286.7970458633908</v>
      </c>
      <c r="X73" s="41">
        <v>8790.7814686686615</v>
      </c>
      <c r="Y73" s="41">
        <v>9803.26635055314</v>
      </c>
      <c r="Z73" s="41">
        <v>8487.2630026907664</v>
      </c>
      <c r="AA73" s="41">
        <v>8194.8326265790147</v>
      </c>
      <c r="AB73" s="41">
        <v>7978.5756200001742</v>
      </c>
      <c r="AC73" s="41">
        <v>7640.2417990910963</v>
      </c>
      <c r="AD73" s="41">
        <v>7834.3260214132888</v>
      </c>
      <c r="AE73" s="41">
        <v>10967.700196951069</v>
      </c>
      <c r="AF73" s="41">
        <v>13528.068934055525</v>
      </c>
      <c r="AG73" s="41">
        <v>14828.552347714982</v>
      </c>
      <c r="AH73" s="41">
        <v>15082.233535647245</v>
      </c>
      <c r="AI73" s="41">
        <v>18894.456549128005</v>
      </c>
      <c r="AJ73" s="41">
        <v>19553.727891623665</v>
      </c>
      <c r="AK73" s="41">
        <v>21473.517948135166</v>
      </c>
      <c r="AL73" s="41">
        <v>19569.030936398663</v>
      </c>
      <c r="AM73" s="41">
        <v>20597.112448416443</v>
      </c>
      <c r="AN73" s="41">
        <v>23697.631347014176</v>
      </c>
      <c r="AO73" s="41">
        <v>23916.316326566106</v>
      </c>
      <c r="AP73" s="41">
        <v>21810.584540916872</v>
      </c>
      <c r="AQ73" s="41">
        <v>22380.941942250458</v>
      </c>
      <c r="AR73" s="41">
        <v>22213.303456826445</v>
      </c>
      <c r="AS73" s="41">
        <v>20165.889626187392</v>
      </c>
      <c r="AT73" s="41">
        <v>20432.602591013438</v>
      </c>
      <c r="AU73" s="41">
        <v>22109.174314196414</v>
      </c>
      <c r="AV73" s="41">
        <v>27134.801434813053</v>
      </c>
      <c r="AW73" s="41">
        <v>30949.128540109134</v>
      </c>
      <c r="AX73" s="41">
        <v>31936.315545298214</v>
      </c>
      <c r="AY73" s="41">
        <v>33767.000764961958</v>
      </c>
      <c r="AZ73" s="41">
        <v>38666.771404804444</v>
      </c>
      <c r="BA73" s="41">
        <v>42177.639697027975</v>
      </c>
      <c r="BB73" s="41">
        <v>38422.452314346978</v>
      </c>
      <c r="BC73" s="41">
        <v>37561.065090388503</v>
      </c>
      <c r="BD73" s="41">
        <v>40599.577654146677</v>
      </c>
      <c r="BE73" s="41">
        <v>37589.045174149447</v>
      </c>
      <c r="BF73" s="41">
        <v>39100.927939153116</v>
      </c>
      <c r="BG73" s="41">
        <v>39854.42161791549</v>
      </c>
      <c r="BH73" s="41">
        <v>34367.101203048951</v>
      </c>
      <c r="BI73" s="41">
        <v>35137.754359838211</v>
      </c>
      <c r="BJ73" s="41">
        <v>37045.478262364755</v>
      </c>
      <c r="BK73" s="41">
        <v>39997.554747509035</v>
      </c>
      <c r="BL73" s="41">
        <v>39042.504970280053</v>
      </c>
      <c r="BM73" s="41">
        <v>37712.120825814483</v>
      </c>
    </row>
    <row r="74" spans="1:65" x14ac:dyDescent="0.35">
      <c r="A74" s="41" t="s">
        <v>245</v>
      </c>
      <c r="B74" s="41" t="s">
        <v>246</v>
      </c>
      <c r="C74" s="41" t="s">
        <v>659</v>
      </c>
      <c r="D74" s="41" t="s">
        <v>660</v>
      </c>
      <c r="AK74" s="41">
        <v>211.33200344277094</v>
      </c>
      <c r="AL74" s="41">
        <v>208.99947993019092</v>
      </c>
      <c r="AM74" s="41">
        <v>239.66808674593798</v>
      </c>
      <c r="AN74" s="41">
        <v>262.23053478611774</v>
      </c>
      <c r="AO74" s="41">
        <v>315.75068243231846</v>
      </c>
      <c r="AP74" s="41">
        <v>312.72439501425879</v>
      </c>
      <c r="AQ74" s="41">
        <v>337.88659234759257</v>
      </c>
      <c r="AR74" s="41">
        <v>307.90990917722922</v>
      </c>
      <c r="AS74" s="41">
        <v>308.13418680857922</v>
      </c>
      <c r="AT74" s="41">
        <v>316.82395342973854</v>
      </c>
      <c r="AU74" s="41">
        <v>293.95567241724626</v>
      </c>
      <c r="AV74" s="41">
        <v>334.58557154123849</v>
      </c>
      <c r="AW74" s="41">
        <v>407.7690769608123</v>
      </c>
      <c r="AX74" s="41">
        <v>388.59594748317363</v>
      </c>
      <c r="AY74" s="41">
        <v>415.03603054983273</v>
      </c>
      <c r="AZ74" s="41">
        <v>439.83210337819969</v>
      </c>
      <c r="BA74" s="41">
        <v>450.63239891053297</v>
      </c>
      <c r="BB74" s="41">
        <v>595.10998718541248</v>
      </c>
      <c r="BC74" s="41">
        <v>501.35531699714318</v>
      </c>
      <c r="BD74" s="41">
        <v>642.50825879660329</v>
      </c>
    </row>
    <row r="75" spans="1:65" x14ac:dyDescent="0.35">
      <c r="A75" s="41" t="s">
        <v>247</v>
      </c>
      <c r="B75" s="41" t="s">
        <v>248</v>
      </c>
      <c r="C75" s="41" t="s">
        <v>659</v>
      </c>
      <c r="D75" s="41" t="s">
        <v>660</v>
      </c>
      <c r="E75" s="41">
        <v>396.39225333761419</v>
      </c>
      <c r="F75" s="41">
        <v>450.05328924696846</v>
      </c>
      <c r="G75" s="41">
        <v>520.2061313800051</v>
      </c>
      <c r="H75" s="41">
        <v>609.48738405651261</v>
      </c>
      <c r="I75" s="41">
        <v>675.24163914120777</v>
      </c>
      <c r="J75" s="41">
        <v>774.76160933009623</v>
      </c>
      <c r="K75" s="41">
        <v>889.65987201152882</v>
      </c>
      <c r="L75" s="41">
        <v>968.30678176598303</v>
      </c>
      <c r="M75" s="41">
        <v>950.54574059373374</v>
      </c>
      <c r="N75" s="41">
        <v>1077.6786999459102</v>
      </c>
      <c r="O75" s="41">
        <v>1212.289326394013</v>
      </c>
      <c r="P75" s="41">
        <v>1362.1655241402118</v>
      </c>
      <c r="Q75" s="41">
        <v>1708.8086287736585</v>
      </c>
      <c r="R75" s="41">
        <v>2247.5533769321878</v>
      </c>
      <c r="S75" s="41">
        <v>2749.9246634659612</v>
      </c>
      <c r="T75" s="41">
        <v>3209.8374450628139</v>
      </c>
      <c r="U75" s="41">
        <v>3279.3126706150747</v>
      </c>
      <c r="V75" s="41">
        <v>3627.5906632409569</v>
      </c>
      <c r="W75" s="41">
        <v>4356.4392203119614</v>
      </c>
      <c r="X75" s="41">
        <v>5770.2146138646285</v>
      </c>
      <c r="Y75" s="41">
        <v>6208.5780190813957</v>
      </c>
      <c r="Z75" s="41">
        <v>5371.1664364098415</v>
      </c>
      <c r="AA75" s="41">
        <v>5159.7086450014231</v>
      </c>
      <c r="AB75" s="41">
        <v>4478.5002856147139</v>
      </c>
      <c r="AC75" s="41">
        <v>4489.9889385481365</v>
      </c>
      <c r="AD75" s="41">
        <v>4699.6557636727357</v>
      </c>
      <c r="AE75" s="41">
        <v>6513.5032857892402</v>
      </c>
      <c r="AF75" s="41">
        <v>8239.6138016478999</v>
      </c>
      <c r="AG75" s="41">
        <v>9703.1238381095027</v>
      </c>
      <c r="AH75" s="41">
        <v>10681.971202925715</v>
      </c>
      <c r="AI75" s="41">
        <v>13804.876786993662</v>
      </c>
      <c r="AJ75" s="41">
        <v>14811.902819488056</v>
      </c>
      <c r="AK75" s="41">
        <v>16112.188915215569</v>
      </c>
      <c r="AL75" s="41">
        <v>13339.908563674959</v>
      </c>
      <c r="AM75" s="41">
        <v>13415.287001045564</v>
      </c>
      <c r="AN75" s="41">
        <v>15471.962716535027</v>
      </c>
      <c r="AO75" s="41">
        <v>16109.084398528403</v>
      </c>
      <c r="AP75" s="41">
        <v>14730.797175204621</v>
      </c>
      <c r="AQ75" s="41">
        <v>15394.351462824874</v>
      </c>
      <c r="AR75" s="41">
        <v>15715.332271327503</v>
      </c>
      <c r="AS75" s="41">
        <v>14713.065711151856</v>
      </c>
      <c r="AT75" s="41">
        <v>15355.703166343943</v>
      </c>
      <c r="AU75" s="41">
        <v>17025.531982869154</v>
      </c>
      <c r="AV75" s="41">
        <v>21463.442657744916</v>
      </c>
      <c r="AW75" s="41">
        <v>24861.28279644129</v>
      </c>
      <c r="AX75" s="41">
        <v>26419.296863822081</v>
      </c>
      <c r="AY75" s="41">
        <v>28365.313489634627</v>
      </c>
      <c r="AZ75" s="41">
        <v>32549.970978551264</v>
      </c>
      <c r="BA75" s="41">
        <v>35366.259601198326</v>
      </c>
      <c r="BB75" s="41">
        <v>32042.474078661719</v>
      </c>
      <c r="BC75" s="41">
        <v>30502.719708077631</v>
      </c>
      <c r="BD75" s="41">
        <v>31636.446314255838</v>
      </c>
      <c r="BE75" s="41">
        <v>28324.429336391786</v>
      </c>
      <c r="BF75" s="41">
        <v>29059.54795223214</v>
      </c>
      <c r="BG75" s="41">
        <v>29461.55033373892</v>
      </c>
      <c r="BH75" s="41">
        <v>25732.018364745443</v>
      </c>
      <c r="BI75" s="41">
        <v>26505.343215520417</v>
      </c>
      <c r="BJ75" s="41">
        <v>28100.58624194529</v>
      </c>
      <c r="BK75" s="41">
        <v>30374.521043908862</v>
      </c>
      <c r="BL75" s="41">
        <v>29564.744898172252</v>
      </c>
      <c r="BM75" s="41">
        <v>27057.163515123924</v>
      </c>
    </row>
    <row r="76" spans="1:65" x14ac:dyDescent="0.35">
      <c r="A76" s="41" t="s">
        <v>249</v>
      </c>
      <c r="B76" s="41" t="s">
        <v>250</v>
      </c>
      <c r="C76" s="41" t="s">
        <v>659</v>
      </c>
      <c r="D76" s="41" t="s">
        <v>660</v>
      </c>
      <c r="AN76" s="41">
        <v>3130.8069841158244</v>
      </c>
      <c r="AO76" s="41">
        <v>3376.7947400600042</v>
      </c>
      <c r="AP76" s="41">
        <v>3678.1579420831913</v>
      </c>
      <c r="AQ76" s="41">
        <v>4087.5033056688103</v>
      </c>
      <c r="AR76" s="41">
        <v>4144.6311237157752</v>
      </c>
      <c r="AS76" s="41">
        <v>4075.9706385107061</v>
      </c>
      <c r="AT76" s="41">
        <v>4509.178202036167</v>
      </c>
      <c r="AU76" s="41">
        <v>5344.8779350230952</v>
      </c>
      <c r="AV76" s="41">
        <v>7206.1665624875777</v>
      </c>
      <c r="AW76" s="41">
        <v>8912.9921951693159</v>
      </c>
      <c r="AX76" s="41">
        <v>10406.396692325969</v>
      </c>
      <c r="AY76" s="41">
        <v>12631.568051810193</v>
      </c>
      <c r="AZ76" s="41">
        <v>16741.939226659626</v>
      </c>
      <c r="BA76" s="41">
        <v>18227.119530447588</v>
      </c>
      <c r="BB76" s="41">
        <v>14794.971104954928</v>
      </c>
      <c r="BC76" s="41">
        <v>14784.384661631835</v>
      </c>
      <c r="BD76" s="41">
        <v>17624.044558825393</v>
      </c>
      <c r="BE76" s="41">
        <v>17534.421349913024</v>
      </c>
      <c r="BF76" s="41">
        <v>19174.100326150947</v>
      </c>
      <c r="BG76" s="41">
        <v>20367.103161315994</v>
      </c>
      <c r="BH76" s="41">
        <v>17522.230186252022</v>
      </c>
      <c r="BI76" s="41">
        <v>18437.252820717342</v>
      </c>
      <c r="BJ76" s="41">
        <v>20407.927380915691</v>
      </c>
      <c r="BK76" s="41">
        <v>23159.39249484615</v>
      </c>
      <c r="BL76" s="41">
        <v>23717.799451233695</v>
      </c>
      <c r="BM76" s="41">
        <v>23312.276327218075</v>
      </c>
    </row>
    <row r="77" spans="1:65" x14ac:dyDescent="0.35">
      <c r="A77" s="41" t="s">
        <v>11</v>
      </c>
      <c r="B77" s="41" t="s">
        <v>251</v>
      </c>
      <c r="C77" s="41" t="s">
        <v>659</v>
      </c>
      <c r="D77" s="41" t="s">
        <v>660</v>
      </c>
      <c r="Z77" s="41">
        <v>203.55700032343893</v>
      </c>
      <c r="AA77" s="41">
        <v>208.34239132573066</v>
      </c>
      <c r="AB77" s="41">
        <v>224.62740022157436</v>
      </c>
      <c r="AC77" s="41">
        <v>205.62379289169041</v>
      </c>
      <c r="AD77" s="41">
        <v>233.21869608290265</v>
      </c>
      <c r="AE77" s="41">
        <v>234.68217635578398</v>
      </c>
      <c r="AF77" s="41">
        <v>242.96154590447671</v>
      </c>
      <c r="AG77" s="41">
        <v>243.7358576969288</v>
      </c>
      <c r="AH77" s="41">
        <v>248.02274568251607</v>
      </c>
      <c r="AI77" s="41">
        <v>254.24326220282083</v>
      </c>
      <c r="AJ77" s="41">
        <v>271.39437353261218</v>
      </c>
      <c r="AK77" s="41">
        <v>204.05018151317506</v>
      </c>
      <c r="AL77" s="41">
        <v>165.69322804152398</v>
      </c>
      <c r="AM77" s="41">
        <v>125.54958125810762</v>
      </c>
      <c r="AN77" s="41">
        <v>134.34296024645033</v>
      </c>
      <c r="AO77" s="41">
        <v>145.16690126181027</v>
      </c>
      <c r="AP77" s="41">
        <v>141.50861990176625</v>
      </c>
      <c r="AQ77" s="41">
        <v>125.07614107899229</v>
      </c>
      <c r="AR77" s="41">
        <v>119.68407634915282</v>
      </c>
      <c r="AS77" s="41">
        <v>124.46079087492141</v>
      </c>
      <c r="AT77" s="41">
        <v>120.76578373089696</v>
      </c>
      <c r="AU77" s="41">
        <v>111.92722512500022</v>
      </c>
      <c r="AV77" s="41">
        <v>119.49039595567048</v>
      </c>
      <c r="AW77" s="41">
        <v>136.46625003821521</v>
      </c>
      <c r="AX77" s="41">
        <v>162.43272862793017</v>
      </c>
      <c r="AY77" s="41">
        <v>194.6874329355534</v>
      </c>
      <c r="AZ77" s="41">
        <v>244.28605229297793</v>
      </c>
      <c r="BA77" s="41">
        <v>326.4368227619841</v>
      </c>
      <c r="BB77" s="41">
        <v>380.56900321293443</v>
      </c>
      <c r="BC77" s="41">
        <v>341.55412269966286</v>
      </c>
      <c r="BD77" s="41">
        <v>354.47957190879964</v>
      </c>
      <c r="BE77" s="41">
        <v>467.0778718332802</v>
      </c>
      <c r="BF77" s="41">
        <v>499.53153016422777</v>
      </c>
      <c r="BG77" s="41">
        <v>566.92640288853033</v>
      </c>
      <c r="BH77" s="41">
        <v>640.54192307542189</v>
      </c>
      <c r="BI77" s="41">
        <v>717.124869806118</v>
      </c>
      <c r="BJ77" s="41">
        <v>768.52301542937198</v>
      </c>
      <c r="BK77" s="41">
        <v>771.52486634943079</v>
      </c>
      <c r="BL77" s="41">
        <v>855.7608851869029</v>
      </c>
      <c r="BM77" s="41">
        <v>936.34046106474909</v>
      </c>
    </row>
    <row r="78" spans="1:65" x14ac:dyDescent="0.35">
      <c r="A78" s="41" t="s">
        <v>252</v>
      </c>
      <c r="B78" s="41" t="s">
        <v>253</v>
      </c>
      <c r="C78" s="41" t="s">
        <v>659</v>
      </c>
      <c r="D78" s="41" t="s">
        <v>660</v>
      </c>
      <c r="K78" s="41">
        <v>1339.2534424404059</v>
      </c>
      <c r="L78" s="41">
        <v>1444.4528070732815</v>
      </c>
      <c r="M78" s="41">
        <v>1536.3205692229915</v>
      </c>
      <c r="N78" s="41">
        <v>1700.9018806669148</v>
      </c>
      <c r="O78" s="41">
        <v>1879.1700738907111</v>
      </c>
      <c r="P78" s="41">
        <v>2113.4532049955328</v>
      </c>
      <c r="Q78" s="41">
        <v>2533.2133902025034</v>
      </c>
      <c r="R78" s="41">
        <v>3257.9506371884986</v>
      </c>
      <c r="S78" s="41">
        <v>3666.7073551900198</v>
      </c>
      <c r="T78" s="41">
        <v>4245.2344017660971</v>
      </c>
      <c r="U78" s="41">
        <v>4420.1061686328057</v>
      </c>
      <c r="V78" s="41">
        <v>4982.2619562005366</v>
      </c>
      <c r="W78" s="41">
        <v>6042.4906162941597</v>
      </c>
      <c r="X78" s="41">
        <v>7272.3885019479794</v>
      </c>
      <c r="Y78" s="41">
        <v>8098.8379545264797</v>
      </c>
      <c r="Z78" s="41">
        <v>7032.3149869038079</v>
      </c>
      <c r="AA78" s="41">
        <v>6759.5678961403055</v>
      </c>
      <c r="AB78" s="41">
        <v>6559.0687581022912</v>
      </c>
      <c r="AC78" s="41">
        <v>6304.9077294043009</v>
      </c>
      <c r="AD78" s="41">
        <v>6469.2055868611296</v>
      </c>
      <c r="AE78" s="41">
        <v>9020.4955778985823</v>
      </c>
      <c r="AF78" s="41">
        <v>11125.199313268275</v>
      </c>
      <c r="AG78" s="41">
        <v>12173.998445029743</v>
      </c>
      <c r="AH78" s="41">
        <v>12393.798923122309</v>
      </c>
      <c r="AI78" s="41">
        <v>15455.694201426208</v>
      </c>
      <c r="AJ78" s="41">
        <v>15973.1277894631</v>
      </c>
      <c r="AK78" s="41">
        <v>17511.364079034796</v>
      </c>
      <c r="AL78" s="41">
        <v>15934.181545850573</v>
      </c>
      <c r="AM78" s="41">
        <v>16836.753274693772</v>
      </c>
      <c r="AN78" s="41">
        <v>19466.249482627969</v>
      </c>
      <c r="AO78" s="41">
        <v>19752.205449677247</v>
      </c>
      <c r="AP78" s="41">
        <v>18088.820594701945</v>
      </c>
      <c r="AQ78" s="41">
        <v>18615.599975294823</v>
      </c>
      <c r="AR78" s="41">
        <v>18477.317351486872</v>
      </c>
      <c r="AS78" s="41">
        <v>16909.916120075464</v>
      </c>
      <c r="AT78" s="41">
        <v>17185.04668803075</v>
      </c>
      <c r="AU78" s="41">
        <v>18682.11884353013</v>
      </c>
      <c r="AV78" s="41">
        <v>22922.694027868769</v>
      </c>
      <c r="AW78" s="41">
        <v>26263.882413545278</v>
      </c>
      <c r="AX78" s="41">
        <v>27333.203221882301</v>
      </c>
      <c r="AY78" s="41">
        <v>29070.010045801428</v>
      </c>
      <c r="AZ78" s="41">
        <v>33551.408930172489</v>
      </c>
      <c r="BA78" s="41">
        <v>36913.83511357884</v>
      </c>
      <c r="BB78" s="41">
        <v>33361.831932881367</v>
      </c>
      <c r="BC78" s="41">
        <v>32934.038748482111</v>
      </c>
      <c r="BD78" s="41">
        <v>35709.530744773292</v>
      </c>
      <c r="BE78" s="41">
        <v>33150.832218082294</v>
      </c>
      <c r="BF78" s="41">
        <v>34560.522730590979</v>
      </c>
      <c r="BG78" s="41">
        <v>35239.175100667948</v>
      </c>
      <c r="BH78" s="41">
        <v>30466.80950418314</v>
      </c>
      <c r="BI78" s="41">
        <v>31164.595037963336</v>
      </c>
      <c r="BJ78" s="41">
        <v>33008.504140014615</v>
      </c>
      <c r="BK78" s="41">
        <v>35703.689534726844</v>
      </c>
      <c r="BL78" s="41">
        <v>34960.015623714688</v>
      </c>
      <c r="BM78" s="41">
        <v>33927.718896915416</v>
      </c>
    </row>
    <row r="79" spans="1:65" x14ac:dyDescent="0.35">
      <c r="A79" s="41" t="s">
        <v>254</v>
      </c>
      <c r="B79" s="41" t="s">
        <v>255</v>
      </c>
      <c r="C79" s="41" t="s">
        <v>659</v>
      </c>
      <c r="D79" s="41" t="s">
        <v>660</v>
      </c>
      <c r="E79" s="41">
        <v>140.91131829134918</v>
      </c>
      <c r="F79" s="41">
        <v>143.00790202170157</v>
      </c>
      <c r="G79" s="41">
        <v>154.49336157217201</v>
      </c>
      <c r="H79" s="41">
        <v>173.48639199317213</v>
      </c>
      <c r="I79" s="41">
        <v>149.14258614081214</v>
      </c>
      <c r="J79" s="41">
        <v>159.97071691653488</v>
      </c>
      <c r="K79" s="41">
        <v>166.41349331517233</v>
      </c>
      <c r="L79" s="41">
        <v>157.46171040543339</v>
      </c>
      <c r="M79" s="41">
        <v>162.25499842338635</v>
      </c>
      <c r="N79" s="41">
        <v>177.76686427567844</v>
      </c>
      <c r="O79" s="41">
        <v>211.16072518616551</v>
      </c>
      <c r="P79" s="41">
        <v>209.56236698721028</v>
      </c>
      <c r="Q79" s="41">
        <v>234.20108552429676</v>
      </c>
      <c r="R79" s="41">
        <v>279.80312391336071</v>
      </c>
      <c r="S79" s="41">
        <v>404.97149137344576</v>
      </c>
      <c r="T79" s="41">
        <v>443.90591640179821</v>
      </c>
      <c r="U79" s="41">
        <v>508.59572134378584</v>
      </c>
      <c r="V79" s="41">
        <v>544.03676224201331</v>
      </c>
      <c r="W79" s="41">
        <v>584.58311796760495</v>
      </c>
      <c r="X79" s="41">
        <v>715.59908219953911</v>
      </c>
      <c r="Y79" s="41">
        <v>867.60890730289213</v>
      </c>
      <c r="Z79" s="41">
        <v>1181.7385090138023</v>
      </c>
      <c r="AA79" s="41">
        <v>1106.4575059383656</v>
      </c>
      <c r="AB79" s="41">
        <v>917.26069984868116</v>
      </c>
      <c r="AC79" s="41">
        <v>804.70781104790433</v>
      </c>
      <c r="AD79" s="41">
        <v>808.6028603483021</v>
      </c>
      <c r="AE79" s="41">
        <v>746.26379048009585</v>
      </c>
      <c r="AF79" s="41">
        <v>732.43923242070468</v>
      </c>
      <c r="AG79" s="41">
        <v>752.95960128465595</v>
      </c>
      <c r="AH79" s="41">
        <v>676.94714626289976</v>
      </c>
      <c r="AI79" s="41">
        <v>1023.2723007047135</v>
      </c>
      <c r="AJ79" s="41">
        <v>578.07542057991304</v>
      </c>
      <c r="AK79" s="41">
        <v>555.89572214338148</v>
      </c>
      <c r="AL79" s="41">
        <v>502.70158303334495</v>
      </c>
      <c r="AM79" s="41">
        <v>465.68783309967313</v>
      </c>
      <c r="AN79" s="41">
        <v>550.01355543114289</v>
      </c>
      <c r="AO79" s="41">
        <v>551.10288421926066</v>
      </c>
      <c r="AP79" s="41">
        <v>616.98329183200644</v>
      </c>
      <c r="AQ79" s="41">
        <v>608.24063370158183</v>
      </c>
      <c r="AR79" s="41">
        <v>667.8139788150861</v>
      </c>
      <c r="AS79" s="41">
        <v>767.28278982459938</v>
      </c>
      <c r="AT79" s="41">
        <v>724.68969164150428</v>
      </c>
      <c r="AU79" s="41">
        <v>682.39330480698982</v>
      </c>
      <c r="AV79" s="41">
        <v>684.60739157654143</v>
      </c>
      <c r="AW79" s="41">
        <v>844.25247811017516</v>
      </c>
      <c r="AX79" s="41">
        <v>1035.6640874635732</v>
      </c>
      <c r="AY79" s="41">
        <v>1264.9637466581094</v>
      </c>
      <c r="AZ79" s="41">
        <v>1524.6307811945367</v>
      </c>
      <c r="BA79" s="41">
        <v>1918.4638601513541</v>
      </c>
      <c r="BB79" s="41">
        <v>1777.5338205690616</v>
      </c>
      <c r="BC79" s="41">
        <v>2067.7122990778043</v>
      </c>
      <c r="BD79" s="41">
        <v>2047.2546978361388</v>
      </c>
      <c r="BE79" s="41">
        <v>2298.5025105463328</v>
      </c>
      <c r="BF79" s="41">
        <v>2362.4011966781645</v>
      </c>
      <c r="BG79" s="41">
        <v>2504.4445437226836</v>
      </c>
      <c r="BH79" s="41">
        <v>2167.4078433980903</v>
      </c>
      <c r="BI79" s="41">
        <v>1928.9785920488125</v>
      </c>
      <c r="BJ79" s="41">
        <v>1929.8772390020388</v>
      </c>
      <c r="BK79" s="41">
        <v>2021.7257912492735</v>
      </c>
      <c r="BL79" s="41">
        <v>2107.4238239333936</v>
      </c>
      <c r="BM79" s="41">
        <v>1864.5794101871759</v>
      </c>
    </row>
    <row r="80" spans="1:65" x14ac:dyDescent="0.35">
      <c r="A80" s="41" t="s">
        <v>256</v>
      </c>
      <c r="B80" s="41" t="s">
        <v>257</v>
      </c>
      <c r="C80" s="41" t="s">
        <v>659</v>
      </c>
      <c r="D80" s="41" t="s">
        <v>660</v>
      </c>
      <c r="E80" s="41">
        <v>1179.3530109999399</v>
      </c>
      <c r="F80" s="41">
        <v>1327.427224365998</v>
      </c>
      <c r="G80" s="41">
        <v>1411.7023981804352</v>
      </c>
      <c r="H80" s="41">
        <v>1522.3192420995049</v>
      </c>
      <c r="I80" s="41">
        <v>1707.5039382470122</v>
      </c>
      <c r="J80" s="41">
        <v>1882.0868576484877</v>
      </c>
      <c r="K80" s="41">
        <v>2010.2134561972505</v>
      </c>
      <c r="L80" s="41">
        <v>2034.189049654778</v>
      </c>
      <c r="M80" s="41">
        <v>1907.0772721766712</v>
      </c>
      <c r="N80" s="41">
        <v>2178.0352504498242</v>
      </c>
      <c r="O80" s="41">
        <v>2465.6448186242187</v>
      </c>
      <c r="P80" s="41">
        <v>2716.190092228615</v>
      </c>
      <c r="Q80" s="41">
        <v>3177.6457009373362</v>
      </c>
      <c r="R80" s="41">
        <v>4173.1730474942833</v>
      </c>
      <c r="S80" s="41">
        <v>5297.6078173946171</v>
      </c>
      <c r="T80" s="41">
        <v>6255.5446407642257</v>
      </c>
      <c r="U80" s="41">
        <v>6739.6907125325533</v>
      </c>
      <c r="V80" s="41">
        <v>7069.1057382561585</v>
      </c>
      <c r="W80" s="41">
        <v>7628.8157142490609</v>
      </c>
      <c r="X80" s="41">
        <v>9332.2452638376853</v>
      </c>
      <c r="Y80" s="41">
        <v>11223.93756352801</v>
      </c>
      <c r="Z80" s="41">
        <v>10926.817966565997</v>
      </c>
      <c r="AA80" s="41">
        <v>10938.122061410968</v>
      </c>
      <c r="AB80" s="41">
        <v>10497.479996566035</v>
      </c>
      <c r="AC80" s="41">
        <v>10833.866288693498</v>
      </c>
      <c r="AD80" s="41">
        <v>11398.105953150869</v>
      </c>
      <c r="AE80" s="41">
        <v>14951.046785288747</v>
      </c>
      <c r="AF80" s="41">
        <v>18571.059925357884</v>
      </c>
      <c r="AG80" s="41">
        <v>22047.793322259458</v>
      </c>
      <c r="AH80" s="41">
        <v>23973.239484004072</v>
      </c>
      <c r="AI80" s="41">
        <v>28364.645076592249</v>
      </c>
      <c r="AJ80" s="41">
        <v>25484.739293574614</v>
      </c>
      <c r="AK80" s="41">
        <v>22319.059460245957</v>
      </c>
      <c r="AL80" s="41">
        <v>17608.812390226405</v>
      </c>
      <c r="AM80" s="41">
        <v>20301.333085865972</v>
      </c>
      <c r="AN80" s="41">
        <v>26271.599814169102</v>
      </c>
      <c r="AO80" s="41">
        <v>25783.450487861108</v>
      </c>
      <c r="AP80" s="41">
        <v>24691.872813369799</v>
      </c>
      <c r="AQ80" s="41">
        <v>26009.269488618163</v>
      </c>
      <c r="AR80" s="41">
        <v>26177.347983644057</v>
      </c>
      <c r="AS80" s="41">
        <v>24285.466820516212</v>
      </c>
      <c r="AT80" s="41">
        <v>24946.18918914043</v>
      </c>
      <c r="AU80" s="41">
        <v>26869.674903629257</v>
      </c>
      <c r="AV80" s="41">
        <v>32855.132628780295</v>
      </c>
      <c r="AW80" s="41">
        <v>37702.845376264115</v>
      </c>
      <c r="AX80" s="41">
        <v>39040.288882505207</v>
      </c>
      <c r="AY80" s="41">
        <v>41188.093699730169</v>
      </c>
      <c r="AZ80" s="41">
        <v>48414.845092972217</v>
      </c>
      <c r="BA80" s="41">
        <v>53554.038922467298</v>
      </c>
      <c r="BB80" s="41">
        <v>47293.992833504235</v>
      </c>
      <c r="BC80" s="41">
        <v>46459.973254854252</v>
      </c>
      <c r="BD80" s="41">
        <v>51081.997670312718</v>
      </c>
      <c r="BE80" s="41">
        <v>47710.790216941481</v>
      </c>
      <c r="BF80" s="41">
        <v>49878.043244453642</v>
      </c>
      <c r="BG80" s="41">
        <v>50260.299858895785</v>
      </c>
      <c r="BH80" s="41">
        <v>42784.69836164319</v>
      </c>
      <c r="BI80" s="41">
        <v>43784.283962209796</v>
      </c>
      <c r="BJ80" s="41">
        <v>46297.496345999403</v>
      </c>
      <c r="BK80" s="41">
        <v>50013.294202762627</v>
      </c>
      <c r="BL80" s="41">
        <v>48711.564207949566</v>
      </c>
      <c r="BM80" s="41">
        <v>49041.342256565877</v>
      </c>
    </row>
    <row r="81" spans="1:65" x14ac:dyDescent="0.35">
      <c r="A81" s="41" t="s">
        <v>258</v>
      </c>
      <c r="B81" s="41" t="s">
        <v>259</v>
      </c>
      <c r="C81" s="41" t="s">
        <v>659</v>
      </c>
      <c r="D81" s="41" t="s">
        <v>660</v>
      </c>
      <c r="E81" s="41">
        <v>285.47428614690449</v>
      </c>
      <c r="F81" s="41">
        <v>287.26705590196252</v>
      </c>
      <c r="G81" s="41">
        <v>291.47333350205935</v>
      </c>
      <c r="H81" s="41">
        <v>296.7083165222312</v>
      </c>
      <c r="I81" s="41">
        <v>310.81227658561301</v>
      </c>
      <c r="J81" s="41">
        <v>317.02032509587508</v>
      </c>
      <c r="K81" s="41">
        <v>316.12981033934381</v>
      </c>
      <c r="L81" s="41">
        <v>333.26820513324259</v>
      </c>
      <c r="M81" s="41">
        <v>334.61257603058687</v>
      </c>
      <c r="N81" s="41">
        <v>357.42438357563185</v>
      </c>
      <c r="O81" s="41">
        <v>422.3875437721307</v>
      </c>
      <c r="P81" s="41">
        <v>466.02534831377824</v>
      </c>
      <c r="Q81" s="41">
        <v>583.31876613960753</v>
      </c>
      <c r="R81" s="41">
        <v>768.68851425593414</v>
      </c>
      <c r="S81" s="41">
        <v>987.92375004629184</v>
      </c>
      <c r="T81" s="41">
        <v>1186.6760791444558</v>
      </c>
      <c r="U81" s="41">
        <v>1182.0941344283181</v>
      </c>
      <c r="V81" s="41">
        <v>1202.6313551028202</v>
      </c>
      <c r="W81" s="41">
        <v>1360.7854007153451</v>
      </c>
      <c r="X81" s="41">
        <v>1640.5569114498114</v>
      </c>
      <c r="Y81" s="41">
        <v>1892.8768218028354</v>
      </c>
      <c r="Z81" s="41">
        <v>1898.0108636217738</v>
      </c>
      <c r="AA81" s="41">
        <v>1786.8571665552276</v>
      </c>
      <c r="AB81" s="41">
        <v>1638.3839408529166</v>
      </c>
      <c r="AC81" s="41">
        <v>1681.7050837197519</v>
      </c>
      <c r="AD81" s="41">
        <v>1603.2193540991177</v>
      </c>
      <c r="AE81" s="41">
        <v>1795.3704582032219</v>
      </c>
      <c r="AF81" s="41">
        <v>1631.9581033130041</v>
      </c>
      <c r="AG81" s="41">
        <v>1535.3991953749223</v>
      </c>
      <c r="AH81" s="41">
        <v>1632.1878455020196</v>
      </c>
      <c r="AI81" s="41">
        <v>1835.1230583358256</v>
      </c>
      <c r="AJ81" s="41">
        <v>1881.7617944632634</v>
      </c>
      <c r="AK81" s="41">
        <v>2058.3796028594638</v>
      </c>
      <c r="AL81" s="41">
        <v>2167.0954536284462</v>
      </c>
      <c r="AM81" s="41">
        <v>2384.7264556572372</v>
      </c>
      <c r="AN81" s="41">
        <v>2540.9808789080621</v>
      </c>
      <c r="AO81" s="41">
        <v>2713.8277610034552</v>
      </c>
      <c r="AP81" s="41">
        <v>2636.6721600505521</v>
      </c>
      <c r="AQ81" s="41">
        <v>2066.0688543708602</v>
      </c>
      <c r="AR81" s="41">
        <v>2401.6864219535469</v>
      </c>
      <c r="AS81" s="41">
        <v>2069.3174547145804</v>
      </c>
      <c r="AT81" s="41">
        <v>2030.2463513151652</v>
      </c>
      <c r="AU81" s="41">
        <v>2248.7141911905264</v>
      </c>
      <c r="AV81" s="41">
        <v>2818.9139204213507</v>
      </c>
      <c r="AW81" s="41">
        <v>3311.1598953250432</v>
      </c>
      <c r="AX81" s="41">
        <v>3627.6328558525402</v>
      </c>
      <c r="AY81" s="41">
        <v>3715.9326570569315</v>
      </c>
      <c r="AZ81" s="41">
        <v>4040.1521191650399</v>
      </c>
      <c r="BA81" s="41">
        <v>4167.6949351022067</v>
      </c>
      <c r="BB81" s="41">
        <v>3362.8204945437155</v>
      </c>
      <c r="BC81" s="41">
        <v>3652.5359332095427</v>
      </c>
      <c r="BD81" s="41">
        <v>4371.4473845755656</v>
      </c>
      <c r="BE81" s="41">
        <v>4591.5770150620665</v>
      </c>
      <c r="BF81" s="41">
        <v>4840.7272698724237</v>
      </c>
      <c r="BG81" s="41">
        <v>5605.6091484418457</v>
      </c>
      <c r="BH81" s="41">
        <v>5390.7142070308455</v>
      </c>
      <c r="BI81" s="41">
        <v>5651.272721327723</v>
      </c>
      <c r="BJ81" s="41">
        <v>6101.0238895008069</v>
      </c>
      <c r="BK81" s="41">
        <v>6317.437798535957</v>
      </c>
      <c r="BL81" s="41">
        <v>6175.8748412176656</v>
      </c>
      <c r="BM81" s="41">
        <v>4881.5260691980184</v>
      </c>
    </row>
    <row r="82" spans="1:65" x14ac:dyDescent="0.35">
      <c r="A82" s="41" t="s">
        <v>260</v>
      </c>
      <c r="B82" s="41" t="s">
        <v>261</v>
      </c>
      <c r="C82" s="41" t="s">
        <v>659</v>
      </c>
      <c r="D82" s="41" t="s">
        <v>660</v>
      </c>
      <c r="E82" s="41">
        <v>1334.6895119044648</v>
      </c>
      <c r="F82" s="41">
        <v>1428.0460006316437</v>
      </c>
      <c r="G82" s="41">
        <v>1578.2845377801452</v>
      </c>
      <c r="H82" s="41">
        <v>1744.6401228939235</v>
      </c>
      <c r="I82" s="41">
        <v>1909.5416202624401</v>
      </c>
      <c r="J82" s="41">
        <v>2038.1631021584144</v>
      </c>
      <c r="K82" s="41">
        <v>2186.4745917492005</v>
      </c>
      <c r="L82" s="41">
        <v>2343.1045026067663</v>
      </c>
      <c r="M82" s="41">
        <v>2536.0851140655177</v>
      </c>
      <c r="N82" s="41">
        <v>2752.0951142351628</v>
      </c>
      <c r="O82" s="41">
        <v>2857.2516815601593</v>
      </c>
      <c r="P82" s="41">
        <v>3169.0363230562507</v>
      </c>
      <c r="Q82" s="41">
        <v>3854.5558351778118</v>
      </c>
      <c r="R82" s="41">
        <v>4969.7629775885598</v>
      </c>
      <c r="S82" s="41">
        <v>5328.2415476562264</v>
      </c>
      <c r="T82" s="41">
        <v>6690.5782702439365</v>
      </c>
      <c r="U82" s="41">
        <v>6866.8168924586826</v>
      </c>
      <c r="V82" s="41">
        <v>7532.5269600326847</v>
      </c>
      <c r="W82" s="41">
        <v>9264.7752928599912</v>
      </c>
      <c r="X82" s="41">
        <v>11179.632901623369</v>
      </c>
      <c r="Y82" s="41">
        <v>12713.36516613524</v>
      </c>
      <c r="Z82" s="41">
        <v>11104.981338468144</v>
      </c>
      <c r="AA82" s="41">
        <v>10496.92855443075</v>
      </c>
      <c r="AB82" s="41">
        <v>9993.4211821984591</v>
      </c>
      <c r="AC82" s="41">
        <v>9419.6961434678542</v>
      </c>
      <c r="AD82" s="41">
        <v>9763.327404029651</v>
      </c>
      <c r="AE82" s="41">
        <v>13540.246369472501</v>
      </c>
      <c r="AF82" s="41">
        <v>16302.447375566222</v>
      </c>
      <c r="AG82" s="41">
        <v>17679.996689009025</v>
      </c>
      <c r="AH82" s="41">
        <v>17694.309324231537</v>
      </c>
      <c r="AI82" s="41">
        <v>21793.835537518335</v>
      </c>
      <c r="AJ82" s="41">
        <v>21675.06498882666</v>
      </c>
      <c r="AK82" s="41">
        <v>23813.712246357707</v>
      </c>
      <c r="AL82" s="41">
        <v>22380.10774832212</v>
      </c>
      <c r="AM82" s="41">
        <v>23496.520153868543</v>
      </c>
      <c r="AN82" s="41">
        <v>26890.217622361411</v>
      </c>
      <c r="AO82" s="41">
        <v>26871.83126747757</v>
      </c>
      <c r="AP82" s="41">
        <v>24228.94639142113</v>
      </c>
      <c r="AQ82" s="41">
        <v>24974.273858798788</v>
      </c>
      <c r="AR82" s="41">
        <v>24673.203047611063</v>
      </c>
      <c r="AS82" s="41">
        <v>22364.029394340596</v>
      </c>
      <c r="AT82" s="41">
        <v>22433.554982952799</v>
      </c>
      <c r="AU82" s="41">
        <v>24177.335558649836</v>
      </c>
      <c r="AV82" s="41">
        <v>29568.388799867291</v>
      </c>
      <c r="AW82" s="41">
        <v>33741.26191834062</v>
      </c>
      <c r="AX82" s="41">
        <v>34760.185015473136</v>
      </c>
      <c r="AY82" s="41">
        <v>36443.62630554325</v>
      </c>
      <c r="AZ82" s="41">
        <v>41508.432688231813</v>
      </c>
      <c r="BA82" s="41">
        <v>45334.117956922018</v>
      </c>
      <c r="BB82" s="41">
        <v>41575.4219609625</v>
      </c>
      <c r="BC82" s="41">
        <v>40638.335254141399</v>
      </c>
      <c r="BD82" s="41">
        <v>43790.726016678062</v>
      </c>
      <c r="BE82" s="41">
        <v>40874.700392733801</v>
      </c>
      <c r="BF82" s="41">
        <v>42592.935385054858</v>
      </c>
      <c r="BG82" s="41">
        <v>43011.263102841702</v>
      </c>
      <c r="BH82" s="41">
        <v>36638.184929157011</v>
      </c>
      <c r="BI82" s="41">
        <v>37037.374186121946</v>
      </c>
      <c r="BJ82" s="41">
        <v>38685.258494495349</v>
      </c>
      <c r="BK82" s="41">
        <v>41526.414658412541</v>
      </c>
      <c r="BL82" s="41">
        <v>40380.098772543177</v>
      </c>
      <c r="BM82" s="41">
        <v>38625.067384557799</v>
      </c>
    </row>
    <row r="83" spans="1:65" x14ac:dyDescent="0.35">
      <c r="A83" s="41" t="s">
        <v>262</v>
      </c>
      <c r="B83" s="41" t="s">
        <v>263</v>
      </c>
      <c r="C83" s="41" t="s">
        <v>659</v>
      </c>
      <c r="D83" s="41" t="s">
        <v>660</v>
      </c>
      <c r="AQ83" s="41">
        <v>24035.289644611032</v>
      </c>
      <c r="AR83" s="41">
        <v>24129.412894584857</v>
      </c>
      <c r="AS83" s="41">
        <v>22651.861984669802</v>
      </c>
      <c r="AT83" s="41">
        <v>24418.7032800532</v>
      </c>
      <c r="AU83" s="41">
        <v>26731.658568000385</v>
      </c>
      <c r="AV83" s="41">
        <v>31493.31914693076</v>
      </c>
      <c r="AW83" s="41">
        <v>35467.175469944283</v>
      </c>
      <c r="AX83" s="41">
        <v>36198.543774304482</v>
      </c>
      <c r="AY83" s="41">
        <v>41521.675057478336</v>
      </c>
      <c r="AZ83" s="41">
        <v>47885.698878682888</v>
      </c>
      <c r="BA83" s="41">
        <v>50863.953789405416</v>
      </c>
      <c r="BB83" s="41">
        <v>47441.915980887235</v>
      </c>
      <c r="BC83" s="41">
        <v>48541.401193848433</v>
      </c>
      <c r="BD83" s="41">
        <v>52092.603379138549</v>
      </c>
      <c r="BE83" s="41">
        <v>49459.717233837175</v>
      </c>
      <c r="BF83" s="41">
        <v>54843.319285220612</v>
      </c>
      <c r="BG83" s="41">
        <v>59433.834572675842</v>
      </c>
      <c r="BH83" s="41">
        <v>52400.29727638355</v>
      </c>
      <c r="BI83" s="41">
        <v>56854.102653705988</v>
      </c>
      <c r="BJ83" s="41">
        <v>59993.09062665586</v>
      </c>
      <c r="BK83" s="41">
        <v>62918.146193612054</v>
      </c>
      <c r="BL83" s="41">
        <v>64225.264904983669</v>
      </c>
    </row>
    <row r="84" spans="1:65" x14ac:dyDescent="0.35">
      <c r="A84" s="41" t="s">
        <v>264</v>
      </c>
      <c r="B84" s="41" t="s">
        <v>265</v>
      </c>
      <c r="C84" s="41" t="s">
        <v>659</v>
      </c>
      <c r="D84" s="41" t="s">
        <v>660</v>
      </c>
      <c r="AB84" s="41">
        <v>1320.848319484063</v>
      </c>
      <c r="AE84" s="41">
        <v>1276.5061885693483</v>
      </c>
      <c r="AF84" s="41">
        <v>1296.8828138023005</v>
      </c>
      <c r="AG84" s="41">
        <v>1355.6705514002435</v>
      </c>
      <c r="AH84" s="41">
        <v>1437.3498330888137</v>
      </c>
      <c r="AI84" s="41">
        <v>1528.4931051669712</v>
      </c>
      <c r="AJ84" s="41">
        <v>1682.5438605371587</v>
      </c>
      <c r="AK84" s="41">
        <v>1756.6527922987395</v>
      </c>
      <c r="AL84" s="41">
        <v>1909.5100143405741</v>
      </c>
      <c r="AM84" s="41">
        <v>1909.8368386305763</v>
      </c>
      <c r="AN84" s="41">
        <v>2060.4947226484401</v>
      </c>
      <c r="AO84" s="41">
        <v>2017.6593328470792</v>
      </c>
      <c r="AP84" s="41">
        <v>1904.8638831783023</v>
      </c>
      <c r="AQ84" s="41">
        <v>2022.7445797830064</v>
      </c>
      <c r="AR84" s="41">
        <v>2042.7070864534328</v>
      </c>
      <c r="AS84" s="41">
        <v>2171.8895768353427</v>
      </c>
      <c r="AT84" s="41">
        <v>2248.4921153307828</v>
      </c>
      <c r="AU84" s="41">
        <v>2265.9441075616432</v>
      </c>
      <c r="AV84" s="41">
        <v>2295.868178331556</v>
      </c>
      <c r="AW84" s="41">
        <v>2253.1137454981995</v>
      </c>
      <c r="AX84" s="41">
        <v>2358.146699957601</v>
      </c>
      <c r="AY84" s="41">
        <v>2406.1144115246643</v>
      </c>
      <c r="AZ84" s="41">
        <v>2458.6583941326285</v>
      </c>
      <c r="BA84" s="41">
        <v>2541.2616249311918</v>
      </c>
      <c r="BB84" s="41">
        <v>2721.9760903555371</v>
      </c>
      <c r="BC84" s="41">
        <v>2885.3054918574371</v>
      </c>
      <c r="BD84" s="41">
        <v>3009.2568246848659</v>
      </c>
      <c r="BE84" s="41">
        <v>3131.3867146383941</v>
      </c>
      <c r="BF84" s="41">
        <v>2994.7923944034287</v>
      </c>
      <c r="BG84" s="41">
        <v>2971.512601913555</v>
      </c>
      <c r="BH84" s="41">
        <v>2906.6170122880812</v>
      </c>
      <c r="BI84" s="41">
        <v>3014.7003583904188</v>
      </c>
      <c r="BJ84" s="41">
        <v>3289.64211697365</v>
      </c>
      <c r="BK84" s="41">
        <v>3568.291015625</v>
      </c>
      <c r="BL84" s="41">
        <v>3585.4232016237447</v>
      </c>
    </row>
    <row r="85" spans="1:65" x14ac:dyDescent="0.35">
      <c r="A85" s="41" t="s">
        <v>266</v>
      </c>
      <c r="B85" s="41" t="s">
        <v>267</v>
      </c>
      <c r="C85" s="41" t="s">
        <v>659</v>
      </c>
      <c r="D85" s="41" t="s">
        <v>660</v>
      </c>
      <c r="E85" s="41">
        <v>282.41717947467066</v>
      </c>
      <c r="F85" s="41">
        <v>331.43580178018141</v>
      </c>
      <c r="G85" s="41">
        <v>357.52376169830319</v>
      </c>
      <c r="H85" s="41">
        <v>298.47044619179906</v>
      </c>
      <c r="I85" s="41">
        <v>410.90408346219181</v>
      </c>
      <c r="J85" s="41">
        <v>424.62044294368616</v>
      </c>
      <c r="K85" s="41">
        <v>452.6628265922248</v>
      </c>
      <c r="L85" s="41">
        <v>490.10327563606529</v>
      </c>
      <c r="M85" s="41">
        <v>520.48042119104753</v>
      </c>
      <c r="N85" s="41">
        <v>550.72795882757021</v>
      </c>
      <c r="O85" s="41">
        <v>549.45381769239543</v>
      </c>
      <c r="P85" s="41">
        <v>635.50114726843879</v>
      </c>
      <c r="Q85" s="41">
        <v>703.78427137917788</v>
      </c>
      <c r="R85" s="41">
        <v>1160.3218118766608</v>
      </c>
      <c r="S85" s="41">
        <v>2432.8361798853512</v>
      </c>
      <c r="T85" s="41">
        <v>3331.9943178737199</v>
      </c>
      <c r="U85" s="41">
        <v>4550.0741927018653</v>
      </c>
      <c r="V85" s="41">
        <v>4154.2194678071119</v>
      </c>
      <c r="W85" s="41">
        <v>3452.6155566111338</v>
      </c>
      <c r="X85" s="41">
        <v>4275.2573637810738</v>
      </c>
      <c r="Y85" s="41">
        <v>5892.0992845606461</v>
      </c>
      <c r="Z85" s="41">
        <v>5186.3771435645549</v>
      </c>
      <c r="AA85" s="41">
        <v>4736.033893656876</v>
      </c>
      <c r="AB85" s="41">
        <v>4325.2978503048071</v>
      </c>
      <c r="AC85" s="41">
        <v>4423.5205097343078</v>
      </c>
      <c r="AD85" s="41">
        <v>4038.0685441820042</v>
      </c>
      <c r="AE85" s="41">
        <v>4004.0352749938274</v>
      </c>
      <c r="AF85" s="41">
        <v>3755.4708173925665</v>
      </c>
      <c r="AG85" s="41">
        <v>4267.8050939316654</v>
      </c>
      <c r="AH85" s="41">
        <v>4532.15113926707</v>
      </c>
      <c r="AI85" s="41">
        <v>6268.9180076574385</v>
      </c>
      <c r="AJ85" s="41">
        <v>5536.9983725291022</v>
      </c>
      <c r="AK85" s="41">
        <v>5578.0385553236274</v>
      </c>
      <c r="AL85" s="41">
        <v>4252.0653476825291</v>
      </c>
      <c r="AM85" s="41">
        <v>3963.8792965438533</v>
      </c>
      <c r="AN85" s="41">
        <v>4570.5713035406134</v>
      </c>
      <c r="AO85" s="41">
        <v>5116.1966251902249</v>
      </c>
      <c r="AP85" s="41">
        <v>4667.1931208411424</v>
      </c>
      <c r="AQ85" s="41">
        <v>3831.780667708163</v>
      </c>
      <c r="AR85" s="41">
        <v>3888.8794672211825</v>
      </c>
      <c r="AS85" s="41">
        <v>4135.992380077224</v>
      </c>
      <c r="AT85" s="41">
        <v>3993.0313362488105</v>
      </c>
      <c r="AU85" s="41">
        <v>4141.4343655977455</v>
      </c>
      <c r="AV85" s="41">
        <v>4933.4621699979343</v>
      </c>
      <c r="AW85" s="41">
        <v>5739.6132036378485</v>
      </c>
      <c r="AX85" s="41">
        <v>6891.3619203826529</v>
      </c>
      <c r="AY85" s="41">
        <v>7221.3698765098688</v>
      </c>
      <c r="AZ85" s="41">
        <v>8458.3091787107987</v>
      </c>
      <c r="BA85" s="41">
        <v>10254.171957359482</v>
      </c>
      <c r="BB85" s="41">
        <v>7721.0189529008121</v>
      </c>
      <c r="BC85" s="41">
        <v>8849.3226079916658</v>
      </c>
      <c r="BD85" s="41">
        <v>10809.684950390407</v>
      </c>
      <c r="BE85" s="41">
        <v>9813.5057465081809</v>
      </c>
      <c r="BF85" s="41">
        <v>9683.5816195125153</v>
      </c>
      <c r="BG85" s="41">
        <v>9663.4241100258514</v>
      </c>
      <c r="BH85" s="41">
        <v>7384.7007039307146</v>
      </c>
      <c r="BI85" s="41">
        <v>6984.4197120838699</v>
      </c>
      <c r="BJ85" s="41">
        <v>7230.4349116197909</v>
      </c>
      <c r="BK85" s="41">
        <v>7956.6278155868604</v>
      </c>
      <c r="BL85" s="41">
        <v>7767.0169794295371</v>
      </c>
      <c r="BM85" s="41">
        <v>7005.8790970475593</v>
      </c>
    </row>
    <row r="86" spans="1:65" x14ac:dyDescent="0.35">
      <c r="A86" s="41" t="s">
        <v>268</v>
      </c>
      <c r="B86" s="41" t="s">
        <v>269</v>
      </c>
      <c r="C86" s="41" t="s">
        <v>659</v>
      </c>
      <c r="D86" s="41" t="s">
        <v>660</v>
      </c>
      <c r="E86" s="41">
        <v>1397.5948032844049</v>
      </c>
      <c r="F86" s="41">
        <v>1472.3857140786822</v>
      </c>
      <c r="G86" s="41">
        <v>1525.775852710321</v>
      </c>
      <c r="H86" s="41">
        <v>1613.4568837339225</v>
      </c>
      <c r="I86" s="41">
        <v>1748.2881176141029</v>
      </c>
      <c r="J86" s="41">
        <v>1873.5677743542051</v>
      </c>
      <c r="K86" s="41">
        <v>1986.7471586968479</v>
      </c>
      <c r="L86" s="41">
        <v>2058.7818819805584</v>
      </c>
      <c r="M86" s="41">
        <v>1951.7585958753211</v>
      </c>
      <c r="N86" s="41">
        <v>2100.6678685867173</v>
      </c>
      <c r="O86" s="41">
        <v>2347.5443177374741</v>
      </c>
      <c r="P86" s="41">
        <v>2649.8015138722335</v>
      </c>
      <c r="Q86" s="41">
        <v>3030.4325141197723</v>
      </c>
      <c r="R86" s="41">
        <v>3426.2762205037789</v>
      </c>
      <c r="S86" s="41">
        <v>3665.8627976419029</v>
      </c>
      <c r="T86" s="41">
        <v>4299.7456179928358</v>
      </c>
      <c r="U86" s="41">
        <v>4138.1677876153472</v>
      </c>
      <c r="V86" s="41">
        <v>4681.4399317303796</v>
      </c>
      <c r="W86" s="41">
        <v>5976.9381689999063</v>
      </c>
      <c r="X86" s="41">
        <v>7804.7620805115466</v>
      </c>
      <c r="Y86" s="41">
        <v>10032.062080014974</v>
      </c>
      <c r="Z86" s="41">
        <v>9599.3062222196477</v>
      </c>
      <c r="AA86" s="41">
        <v>9146.0773570185174</v>
      </c>
      <c r="AB86" s="41">
        <v>8691.5188130651404</v>
      </c>
      <c r="AC86" s="41">
        <v>8179.1944406499106</v>
      </c>
      <c r="AD86" s="41">
        <v>8652.2165424759296</v>
      </c>
      <c r="AE86" s="41">
        <v>10611.112210095978</v>
      </c>
      <c r="AF86" s="41">
        <v>13118.586534629034</v>
      </c>
      <c r="AG86" s="41">
        <v>15987.168077568824</v>
      </c>
      <c r="AH86" s="41">
        <v>16239.282196094424</v>
      </c>
      <c r="AI86" s="41">
        <v>19095.466998460779</v>
      </c>
      <c r="AJ86" s="41">
        <v>19900.726650506862</v>
      </c>
      <c r="AK86" s="41">
        <v>20487.170785287846</v>
      </c>
      <c r="AL86" s="41">
        <v>18389.019567509866</v>
      </c>
      <c r="AM86" s="41">
        <v>19709.238098365302</v>
      </c>
      <c r="AN86" s="41">
        <v>23123.694562743134</v>
      </c>
      <c r="AO86" s="41">
        <v>24333.234175087811</v>
      </c>
      <c r="AP86" s="41">
        <v>26719.542957676607</v>
      </c>
      <c r="AQ86" s="41">
        <v>28238.995054635365</v>
      </c>
      <c r="AR86" s="41">
        <v>28665.707494910213</v>
      </c>
      <c r="AS86" s="41">
        <v>28156.267410720939</v>
      </c>
      <c r="AT86" s="41">
        <v>27717.625810167829</v>
      </c>
      <c r="AU86" s="41">
        <v>29982.618702684846</v>
      </c>
      <c r="AV86" s="41">
        <v>34383.94796277256</v>
      </c>
      <c r="AW86" s="41">
        <v>40208.856076028242</v>
      </c>
      <c r="AX86" s="41">
        <v>41932.877360699771</v>
      </c>
      <c r="AY86" s="41">
        <v>44472.574234959589</v>
      </c>
      <c r="AZ86" s="41">
        <v>50444.930154634814</v>
      </c>
      <c r="BA86" s="41">
        <v>47267.012177086392</v>
      </c>
      <c r="BB86" s="41">
        <v>38736.902199499375</v>
      </c>
      <c r="BC86" s="41">
        <v>39536.772680683491</v>
      </c>
      <c r="BD86" s="41">
        <v>42047.614252220563</v>
      </c>
      <c r="BE86" s="41">
        <v>42449.107665679221</v>
      </c>
      <c r="BF86" s="41">
        <v>43401.310529584196</v>
      </c>
      <c r="BG86" s="41">
        <v>47452.19913686256</v>
      </c>
      <c r="BH86" s="41">
        <v>45039.235952048592</v>
      </c>
      <c r="BI86" s="41">
        <v>41048.349657229235</v>
      </c>
      <c r="BJ86" s="41">
        <v>40304.723076367758</v>
      </c>
      <c r="BK86" s="41">
        <v>42992.803721608878</v>
      </c>
      <c r="BL86" s="41">
        <v>42354.414654576525</v>
      </c>
      <c r="BM86" s="41">
        <v>40284.638455327571</v>
      </c>
    </row>
    <row r="87" spans="1:65" x14ac:dyDescent="0.35">
      <c r="A87" s="41" t="s">
        <v>270</v>
      </c>
      <c r="B87" s="41" t="s">
        <v>271</v>
      </c>
      <c r="C87" s="41" t="s">
        <v>659</v>
      </c>
      <c r="D87" s="41" t="s">
        <v>660</v>
      </c>
      <c r="AI87" s="41">
        <v>1614.6482264940694</v>
      </c>
      <c r="AL87" s="41">
        <v>547.3348930876225</v>
      </c>
      <c r="AM87" s="41">
        <v>519.8575811882879</v>
      </c>
      <c r="AN87" s="41">
        <v>578.34460985258306</v>
      </c>
      <c r="AO87" s="41">
        <v>689.05944138471989</v>
      </c>
      <c r="AP87" s="41">
        <v>807.03228575235244</v>
      </c>
      <c r="AQ87" s="41">
        <v>851.52595816837004</v>
      </c>
      <c r="AR87" s="41">
        <v>673.54343867502962</v>
      </c>
      <c r="AS87" s="41">
        <v>749.90853499396133</v>
      </c>
      <c r="AT87" s="41">
        <v>801.99041388837327</v>
      </c>
      <c r="AU87" s="41">
        <v>853.51645371331836</v>
      </c>
      <c r="AV87" s="41">
        <v>1010.0079801312991</v>
      </c>
      <c r="AW87" s="41">
        <v>1305.0474855720777</v>
      </c>
      <c r="AX87" s="41">
        <v>1642.7609375639529</v>
      </c>
      <c r="AY87" s="41">
        <v>1996.0571292766367</v>
      </c>
      <c r="AZ87" s="41">
        <v>2635.3538820296317</v>
      </c>
      <c r="BA87" s="41">
        <v>3324.7358790541143</v>
      </c>
      <c r="BB87" s="41">
        <v>2822.6674302335173</v>
      </c>
      <c r="BC87" s="41">
        <v>3233.2959434742097</v>
      </c>
      <c r="BD87" s="41">
        <v>4021.743306172858</v>
      </c>
      <c r="BE87" s="41">
        <v>4421.8182422801301</v>
      </c>
      <c r="BF87" s="41">
        <v>4623.7457247341945</v>
      </c>
      <c r="BG87" s="41">
        <v>4739.1883384642069</v>
      </c>
      <c r="BH87" s="41">
        <v>4014.1859441932947</v>
      </c>
      <c r="BI87" s="41">
        <v>4062.1698875737929</v>
      </c>
      <c r="BJ87" s="41">
        <v>4357.0009355462771</v>
      </c>
      <c r="BK87" s="41">
        <v>4722.7877832176646</v>
      </c>
      <c r="BL87" s="41">
        <v>4697.9836523898448</v>
      </c>
      <c r="BM87" s="41">
        <v>4278.8607709166135</v>
      </c>
    </row>
    <row r="88" spans="1:65" x14ac:dyDescent="0.35">
      <c r="A88" s="41" t="s">
        <v>272</v>
      </c>
      <c r="B88" s="41" t="s">
        <v>273</v>
      </c>
      <c r="C88" s="41" t="s">
        <v>659</v>
      </c>
      <c r="D88" s="41" t="s">
        <v>660</v>
      </c>
      <c r="E88" s="41">
        <v>183.44958979830349</v>
      </c>
      <c r="F88" s="41">
        <v>190.2188829591426</v>
      </c>
      <c r="G88" s="41">
        <v>195.49239773910395</v>
      </c>
      <c r="H88" s="41">
        <v>211.06456777921758</v>
      </c>
      <c r="I88" s="41">
        <v>230.08877952482072</v>
      </c>
      <c r="J88" s="41">
        <v>265.32368878599789</v>
      </c>
      <c r="K88" s="41">
        <v>267.74822496142076</v>
      </c>
      <c r="L88" s="41">
        <v>214.83214817906781</v>
      </c>
      <c r="M88" s="41">
        <v>200.30709396771545</v>
      </c>
      <c r="N88" s="41">
        <v>230.28722700601608</v>
      </c>
      <c r="O88" s="41">
        <v>253.56662187016772</v>
      </c>
      <c r="P88" s="41">
        <v>269.36823518322473</v>
      </c>
      <c r="Q88" s="41">
        <v>228.85973284347133</v>
      </c>
      <c r="R88" s="41">
        <v>259.70184370891724</v>
      </c>
      <c r="S88" s="41">
        <v>296.89002386561282</v>
      </c>
      <c r="T88" s="41">
        <v>281.40612646801048</v>
      </c>
      <c r="U88" s="41">
        <v>271.12557826191789</v>
      </c>
      <c r="V88" s="41">
        <v>306.80996503265141</v>
      </c>
      <c r="W88" s="41">
        <v>345.83442293382404</v>
      </c>
      <c r="X88" s="41">
        <v>372.06012078755293</v>
      </c>
      <c r="Y88" s="41">
        <v>402.06070775763072</v>
      </c>
      <c r="Z88" s="41">
        <v>372.0774434920728</v>
      </c>
      <c r="AA88" s="41">
        <v>345.641333225008</v>
      </c>
      <c r="AB88" s="41">
        <v>337.16334816898592</v>
      </c>
      <c r="AC88" s="41">
        <v>355.66670367484932</v>
      </c>
      <c r="AD88" s="41">
        <v>352.35271437142632</v>
      </c>
      <c r="AE88" s="41">
        <v>435.06818767132074</v>
      </c>
      <c r="AF88" s="41">
        <v>374.47034150646527</v>
      </c>
      <c r="AG88" s="41">
        <v>372.68397956457483</v>
      </c>
      <c r="AH88" s="41">
        <v>365.88968267176256</v>
      </c>
      <c r="AI88" s="41">
        <v>398.63708108893138</v>
      </c>
      <c r="AJ88" s="41">
        <v>433.77326476470432</v>
      </c>
      <c r="AK88" s="41">
        <v>409.74638978637881</v>
      </c>
      <c r="AL88" s="41">
        <v>370.41945492439226</v>
      </c>
      <c r="AM88" s="41">
        <v>328.74452686500689</v>
      </c>
      <c r="AN88" s="41">
        <v>379.98798491687864</v>
      </c>
      <c r="AO88" s="41">
        <v>397.13575495702804</v>
      </c>
      <c r="AP88" s="41">
        <v>384.79632833019997</v>
      </c>
      <c r="AQ88" s="41">
        <v>407.52323701785707</v>
      </c>
      <c r="AR88" s="41">
        <v>410.33401155961155</v>
      </c>
      <c r="AS88" s="41">
        <v>258.47103992967857</v>
      </c>
      <c r="AT88" s="41">
        <v>269.01498476458147</v>
      </c>
      <c r="AU88" s="41">
        <v>304.56463597706573</v>
      </c>
      <c r="AV88" s="41">
        <v>367.82136211366236</v>
      </c>
      <c r="AW88" s="41">
        <v>417.50806672766186</v>
      </c>
      <c r="AX88" s="41">
        <v>492.54405617263984</v>
      </c>
      <c r="AY88" s="41">
        <v>913.39384930994163</v>
      </c>
      <c r="AZ88" s="41">
        <v>1081.1663182626914</v>
      </c>
      <c r="BA88" s="41">
        <v>1217.0644354914641</v>
      </c>
      <c r="BB88" s="41">
        <v>1077.6620583257086</v>
      </c>
      <c r="BC88" s="41">
        <v>1299.345211640617</v>
      </c>
      <c r="BD88" s="41">
        <v>1549.4627188334548</v>
      </c>
      <c r="BE88" s="41">
        <v>1587.5609318580864</v>
      </c>
      <c r="BF88" s="41">
        <v>2361.0903236111285</v>
      </c>
      <c r="BG88" s="41">
        <v>1899.6683361413411</v>
      </c>
      <c r="BH88" s="41">
        <v>1705.5750820451922</v>
      </c>
      <c r="BI88" s="41">
        <v>1913.4735358543464</v>
      </c>
      <c r="BJ88" s="41">
        <v>2020.6817898422096</v>
      </c>
      <c r="BK88" s="41">
        <v>2194.232477095446</v>
      </c>
      <c r="BL88" s="41">
        <v>2210.3559225886511</v>
      </c>
      <c r="BM88" s="41">
        <v>2328.5346421107888</v>
      </c>
    </row>
    <row r="89" spans="1:65" x14ac:dyDescent="0.35">
      <c r="A89" s="41" t="s">
        <v>274</v>
      </c>
      <c r="B89" s="41" t="s">
        <v>275</v>
      </c>
      <c r="C89" s="41" t="s">
        <v>659</v>
      </c>
      <c r="D89" s="41" t="s">
        <v>660</v>
      </c>
    </row>
    <row r="90" spans="1:65" x14ac:dyDescent="0.35">
      <c r="A90" s="41" t="s">
        <v>276</v>
      </c>
      <c r="B90" s="41" t="s">
        <v>277</v>
      </c>
      <c r="C90" s="41" t="s">
        <v>659</v>
      </c>
      <c r="D90" s="41" t="s">
        <v>660</v>
      </c>
      <c r="AE90" s="41">
        <v>354.42136503357943</v>
      </c>
      <c r="AF90" s="41">
        <v>351.90904550173587</v>
      </c>
      <c r="AG90" s="41">
        <v>398.54615279946086</v>
      </c>
      <c r="AH90" s="41">
        <v>394.33114235097531</v>
      </c>
      <c r="AI90" s="41">
        <v>419.80987082272139</v>
      </c>
      <c r="AJ90" s="41">
        <v>461.37531246298585</v>
      </c>
      <c r="AK90" s="41">
        <v>489.07160407064998</v>
      </c>
      <c r="AL90" s="41">
        <v>475.42631699483519</v>
      </c>
      <c r="AM90" s="41">
        <v>477.76245923654187</v>
      </c>
      <c r="AN90" s="41">
        <v>508.10151614461779</v>
      </c>
      <c r="AO90" s="41">
        <v>518.36566259819938</v>
      </c>
      <c r="AP90" s="41">
        <v>493.82216135084025</v>
      </c>
      <c r="AQ90" s="41">
        <v>456.49148413953276</v>
      </c>
      <c r="AR90" s="41">
        <v>429.7196923212058</v>
      </c>
      <c r="AS90" s="41">
        <v>363.48227926661485</v>
      </c>
      <c r="AT90" s="41">
        <v>336.15402065889691</v>
      </c>
      <c r="AU90" s="41">
        <v>343.60263120769889</v>
      </c>
      <c r="AV90" s="41">
        <v>393.73968985004757</v>
      </c>
      <c r="AW90" s="41">
        <v>407.30097593744665</v>
      </c>
      <c r="AX90" s="41">
        <v>322.41554003346539</v>
      </c>
      <c r="AY90" s="41">
        <v>453.40371331132792</v>
      </c>
      <c r="AZ90" s="41">
        <v>659.99293097461543</v>
      </c>
      <c r="BA90" s="41">
        <v>715.09652670040145</v>
      </c>
      <c r="BB90" s="41">
        <v>674.08548259543079</v>
      </c>
      <c r="BC90" s="41">
        <v>672.42493036021358</v>
      </c>
      <c r="BD90" s="41">
        <v>651.1361133674792</v>
      </c>
      <c r="BE90" s="41">
        <v>717.05053593818718</v>
      </c>
      <c r="BF90" s="41">
        <v>769.00316669802555</v>
      </c>
      <c r="BG90" s="41">
        <v>787.23856440737563</v>
      </c>
      <c r="BH90" s="41">
        <v>769.25547543316077</v>
      </c>
      <c r="BI90" s="41">
        <v>732.29151190121809</v>
      </c>
      <c r="BJ90" s="41">
        <v>855.5752705523671</v>
      </c>
      <c r="BK90" s="41">
        <v>955.11128113689028</v>
      </c>
      <c r="BL90" s="41">
        <v>1058.143368173183</v>
      </c>
      <c r="BM90" s="41">
        <v>1194.0378646946363</v>
      </c>
    </row>
    <row r="91" spans="1:65" x14ac:dyDescent="0.35">
      <c r="A91" s="41" t="s">
        <v>278</v>
      </c>
      <c r="B91" s="41" t="s">
        <v>279</v>
      </c>
      <c r="C91" s="41" t="s">
        <v>659</v>
      </c>
      <c r="D91" s="41" t="s">
        <v>660</v>
      </c>
      <c r="K91" s="41">
        <v>106.4132245241134</v>
      </c>
      <c r="L91" s="41">
        <v>109.45371583248712</v>
      </c>
      <c r="M91" s="41">
        <v>93.847690486643856</v>
      </c>
      <c r="N91" s="41">
        <v>100.10177271703706</v>
      </c>
      <c r="O91" s="41">
        <v>112.6106509620675</v>
      </c>
      <c r="P91" s="41">
        <v>116.56119976528836</v>
      </c>
      <c r="Q91" s="41">
        <v>120.14350436971544</v>
      </c>
      <c r="R91" s="41">
        <v>148.17465714310609</v>
      </c>
      <c r="S91" s="41">
        <v>183.08176485794672</v>
      </c>
      <c r="T91" s="41">
        <v>213.30689208754649</v>
      </c>
      <c r="U91" s="41">
        <v>201.12487851029195</v>
      </c>
      <c r="V91" s="41">
        <v>239.43310998487055</v>
      </c>
      <c r="W91" s="41">
        <v>288.0557773203717</v>
      </c>
      <c r="X91" s="41">
        <v>335.80489087677859</v>
      </c>
      <c r="Y91" s="41">
        <v>378.31298903758653</v>
      </c>
      <c r="Z91" s="41">
        <v>332.68060631974356</v>
      </c>
      <c r="AA91" s="41">
        <v>318.60786207540735</v>
      </c>
      <c r="AB91" s="41">
        <v>304.83743536979603</v>
      </c>
      <c r="AC91" s="41">
        <v>244.37334216736355</v>
      </c>
      <c r="AD91" s="41">
        <v>298.66041232444763</v>
      </c>
      <c r="AE91" s="41">
        <v>234.6562867886781</v>
      </c>
      <c r="AF91" s="41">
        <v>265.49165320893536</v>
      </c>
      <c r="AG91" s="41">
        <v>305.31361768387234</v>
      </c>
      <c r="AH91" s="41">
        <v>310.29933728142657</v>
      </c>
      <c r="AI91" s="41">
        <v>331.81774028177102</v>
      </c>
      <c r="AJ91" s="41">
        <v>695.41098850978676</v>
      </c>
      <c r="AK91" s="41">
        <v>695.15537151562603</v>
      </c>
      <c r="AL91" s="41">
        <v>711.72618095662278</v>
      </c>
      <c r="AM91" s="41">
        <v>682.21415693189113</v>
      </c>
      <c r="AN91" s="41">
        <v>696.44958429258088</v>
      </c>
      <c r="AO91" s="41">
        <v>728.66907188667358</v>
      </c>
      <c r="AP91" s="41">
        <v>669.40109596863692</v>
      </c>
      <c r="AQ91" s="41">
        <v>678.67617834041289</v>
      </c>
      <c r="AR91" s="41">
        <v>637.93906286163076</v>
      </c>
      <c r="AS91" s="41">
        <v>594.14938849964904</v>
      </c>
      <c r="AT91" s="41">
        <v>505.42163611470494</v>
      </c>
      <c r="AU91" s="41">
        <v>411.77189394314212</v>
      </c>
      <c r="AV91" s="41">
        <v>335.90621695050373</v>
      </c>
      <c r="AW91" s="41">
        <v>642.75621833846355</v>
      </c>
      <c r="AX91" s="41">
        <v>665.72021570054665</v>
      </c>
      <c r="AY91" s="41">
        <v>662.36287717913478</v>
      </c>
      <c r="AZ91" s="41">
        <v>780.38105092051808</v>
      </c>
      <c r="BA91" s="41">
        <v>924.50987459361443</v>
      </c>
      <c r="BB91" s="41">
        <v>833.28136036521005</v>
      </c>
      <c r="BC91" s="41">
        <v>860.63643385148646</v>
      </c>
      <c r="BD91" s="41">
        <v>762.76311772003407</v>
      </c>
      <c r="BE91" s="41">
        <v>742.77762863124258</v>
      </c>
      <c r="BF91" s="41">
        <v>700.51604215283317</v>
      </c>
      <c r="BG91" s="41">
        <v>607.42990465181254</v>
      </c>
      <c r="BH91" s="41">
        <v>660.72357124432176</v>
      </c>
      <c r="BI91" s="41">
        <v>690.78049315279247</v>
      </c>
      <c r="BJ91" s="41">
        <v>679.75507172296045</v>
      </c>
      <c r="BK91" s="41">
        <v>732.72072731885601</v>
      </c>
      <c r="BL91" s="41">
        <v>777.81524517025139</v>
      </c>
      <c r="BM91" s="41">
        <v>787.00645089482089</v>
      </c>
    </row>
    <row r="92" spans="1:65" x14ac:dyDescent="0.35">
      <c r="A92" s="41" t="s">
        <v>280</v>
      </c>
      <c r="B92" s="41" t="s">
        <v>281</v>
      </c>
      <c r="C92" s="41" t="s">
        <v>659</v>
      </c>
      <c r="D92" s="41" t="s">
        <v>660</v>
      </c>
      <c r="O92" s="41">
        <v>111.68883863548827</v>
      </c>
      <c r="P92" s="41">
        <v>109.33259990791115</v>
      </c>
      <c r="Q92" s="41">
        <v>119.72820875607371</v>
      </c>
      <c r="R92" s="41">
        <v>119.77602835802664</v>
      </c>
      <c r="S92" s="41">
        <v>130.3675606563408</v>
      </c>
      <c r="T92" s="41">
        <v>142.2818203430015</v>
      </c>
      <c r="U92" s="41">
        <v>145.87785674691759</v>
      </c>
      <c r="V92" s="41">
        <v>148.97815200793065</v>
      </c>
      <c r="W92" s="41">
        <v>158.86670213916102</v>
      </c>
      <c r="X92" s="41">
        <v>153.00619203827364</v>
      </c>
      <c r="Y92" s="41">
        <v>141.55935144996272</v>
      </c>
      <c r="Z92" s="41">
        <v>194.924653563058</v>
      </c>
      <c r="AA92" s="41">
        <v>204.2487981319365</v>
      </c>
      <c r="AB92" s="41">
        <v>197.0310454755099</v>
      </c>
      <c r="AC92" s="41">
        <v>162.67215407060564</v>
      </c>
      <c r="AD92" s="41">
        <v>164.94193531168801</v>
      </c>
      <c r="AE92" s="41">
        <v>145.90548076944302</v>
      </c>
      <c r="AF92" s="41">
        <v>190.45237989457991</v>
      </c>
      <c r="AG92" s="41">
        <v>176.25939162075159</v>
      </c>
      <c r="AH92" s="41">
        <v>223.47141846178303</v>
      </c>
      <c r="AI92" s="41">
        <v>250.14944195658086</v>
      </c>
      <c r="AJ92" s="41">
        <v>257.78917564696468</v>
      </c>
      <c r="AK92" s="41">
        <v>221.79916533698241</v>
      </c>
      <c r="AL92" s="41">
        <v>227.02324532129188</v>
      </c>
      <c r="AM92" s="41">
        <v>220.96042416003002</v>
      </c>
      <c r="AN92" s="41">
        <v>233.24325873921802</v>
      </c>
      <c r="AO92" s="41">
        <v>243.43829589282606</v>
      </c>
      <c r="AP92" s="41">
        <v>237.13007732345324</v>
      </c>
      <c r="AQ92" s="41">
        <v>178.84836473658666</v>
      </c>
      <c r="AR92" s="41">
        <v>190.67230618846639</v>
      </c>
      <c r="AS92" s="41">
        <v>308.91031840187185</v>
      </c>
      <c r="AT92" s="41">
        <v>319.95744935810393</v>
      </c>
      <c r="AU92" s="41">
        <v>333.05857933250621</v>
      </c>
      <c r="AV92" s="41">
        <v>372.05619487206582</v>
      </c>
      <c r="AW92" s="41">
        <v>405.07511837334209</v>
      </c>
      <c r="AX92" s="41">
        <v>436.47522024895829</v>
      </c>
      <c r="AY92" s="41">
        <v>430.00394027509094</v>
      </c>
      <c r="AZ92" s="41">
        <v>493.72199321924762</v>
      </c>
      <c r="BA92" s="41">
        <v>599.99523719098795</v>
      </c>
      <c r="BB92" s="41">
        <v>559.41457085732941</v>
      </c>
      <c r="BC92" s="41">
        <v>558.17466813475767</v>
      </c>
      <c r="BD92" s="41">
        <v>703.66056725746012</v>
      </c>
      <c r="BE92" s="41">
        <v>616.3756640341303</v>
      </c>
      <c r="BF92" s="41">
        <v>634.66203913896913</v>
      </c>
      <c r="BG92" s="41">
        <v>623.31309138768677</v>
      </c>
      <c r="BH92" s="41">
        <v>603.39938154773279</v>
      </c>
      <c r="BI92" s="41">
        <v>661.45783867960336</v>
      </c>
      <c r="BJ92" s="41">
        <v>738.54994489078229</v>
      </c>
      <c r="BK92" s="41">
        <v>802.76738511615554</v>
      </c>
      <c r="BL92" s="41">
        <v>749.45374702880599</v>
      </c>
      <c r="BM92" s="41">
        <v>727.52017171956163</v>
      </c>
    </row>
    <row r="93" spans="1:65" x14ac:dyDescent="0.35">
      <c r="A93" s="41" t="s">
        <v>282</v>
      </c>
      <c r="B93" s="41" t="s">
        <v>283</v>
      </c>
      <c r="C93" s="41" t="s">
        <v>659</v>
      </c>
      <c r="D93" s="41" t="s">
        <v>660</v>
      </c>
      <c r="G93" s="41">
        <v>34.790581358267147</v>
      </c>
      <c r="H93" s="41">
        <v>40.751471319580197</v>
      </c>
      <c r="I93" s="41">
        <v>46.976052399049188</v>
      </c>
      <c r="J93" s="41">
        <v>234.34408508749073</v>
      </c>
      <c r="K93" s="41">
        <v>243.76909130670961</v>
      </c>
      <c r="L93" s="41">
        <v>247.84412868581521</v>
      </c>
      <c r="M93" s="41">
        <v>225.48656622987988</v>
      </c>
      <c r="N93" s="41">
        <v>221.13721804511277</v>
      </c>
      <c r="O93" s="41">
        <v>218.2055376610389</v>
      </c>
      <c r="P93" s="41">
        <v>217.321465999217</v>
      </c>
      <c r="Q93" s="41">
        <v>226.00134793756291</v>
      </c>
      <c r="R93" s="41">
        <v>292.45983127983743</v>
      </c>
      <c r="S93" s="41">
        <v>354.30145283136449</v>
      </c>
      <c r="T93" s="41">
        <v>407.71063996605642</v>
      </c>
      <c r="U93" s="41">
        <v>418.00809753626419</v>
      </c>
      <c r="V93" s="41">
        <v>429.41658438977282</v>
      </c>
      <c r="Y93" s="41">
        <v>202.6274482707241</v>
      </c>
      <c r="Z93" s="41">
        <v>138.9394516991012</v>
      </c>
      <c r="AA93" s="41">
        <v>155.61747810720624</v>
      </c>
      <c r="AB93" s="41">
        <v>144.19631206081596</v>
      </c>
      <c r="AC93" s="41">
        <v>151.77290699725776</v>
      </c>
      <c r="AD93" s="41">
        <v>176.41505881454543</v>
      </c>
      <c r="AE93" s="41">
        <v>207.05264902905066</v>
      </c>
      <c r="AF93" s="41">
        <v>243.73747699478622</v>
      </c>
      <c r="AG93" s="41">
        <v>254.53553355527274</v>
      </c>
      <c r="AH93" s="41">
        <v>217.07238843234555</v>
      </c>
      <c r="AI93" s="41">
        <v>267.46807291318191</v>
      </c>
      <c r="AJ93" s="41">
        <v>256.22633575855292</v>
      </c>
      <c r="AK93" s="41">
        <v>301.17710897813407</v>
      </c>
      <c r="AL93" s="41">
        <v>294.07050485753979</v>
      </c>
      <c r="AM93" s="41">
        <v>210.40954335935905</v>
      </c>
      <c r="AN93" s="41">
        <v>285.55254818509849</v>
      </c>
      <c r="AO93" s="41">
        <v>450.6460023490805</v>
      </c>
      <c r="AP93" s="41">
        <v>824.55108307322109</v>
      </c>
      <c r="AQ93" s="41">
        <v>663.72475132736076</v>
      </c>
      <c r="AR93" s="41">
        <v>1067.6439553230302</v>
      </c>
      <c r="AS93" s="41">
        <v>1725.5575842797778</v>
      </c>
      <c r="AT93" s="41">
        <v>2313.1659368927349</v>
      </c>
      <c r="AU93" s="41">
        <v>2744.1914832486491</v>
      </c>
      <c r="AV93" s="41">
        <v>3618.5444756481115</v>
      </c>
      <c r="AW93" s="41">
        <v>6152.1312376017331</v>
      </c>
      <c r="AX93" s="41">
        <v>10963.406378492353</v>
      </c>
      <c r="AY93" s="41">
        <v>12857.368824822663</v>
      </c>
      <c r="AZ93" s="41">
        <v>15908.41119203358</v>
      </c>
      <c r="BA93" s="41">
        <v>22942.610100518636</v>
      </c>
      <c r="BB93" s="41">
        <v>16668.121697601353</v>
      </c>
      <c r="BC93" s="41">
        <v>17288.842597749986</v>
      </c>
      <c r="BD93" s="41">
        <v>21641.693898022713</v>
      </c>
      <c r="BE93" s="41">
        <v>21711.151594604307</v>
      </c>
      <c r="BF93" s="41">
        <v>20390.737273789011</v>
      </c>
      <c r="BG93" s="41">
        <v>19394.080662619108</v>
      </c>
      <c r="BH93" s="41">
        <v>11283.398054387149</v>
      </c>
      <c r="BI93" s="41">
        <v>9250.3164933395146</v>
      </c>
      <c r="BJ93" s="41">
        <v>9667.857800934602</v>
      </c>
      <c r="BK93" s="41">
        <v>10005.616791726818</v>
      </c>
      <c r="BL93" s="41">
        <v>8419.9333361253011</v>
      </c>
      <c r="BM93" s="41">
        <v>7143.2387049714616</v>
      </c>
    </row>
    <row r="94" spans="1:65" x14ac:dyDescent="0.35">
      <c r="A94" s="41" t="s">
        <v>284</v>
      </c>
      <c r="B94" s="41" t="s">
        <v>285</v>
      </c>
      <c r="C94" s="41" t="s">
        <v>659</v>
      </c>
      <c r="D94" s="41" t="s">
        <v>660</v>
      </c>
      <c r="E94" s="41">
        <v>520.32274431038252</v>
      </c>
      <c r="F94" s="41">
        <v>590.78005481239313</v>
      </c>
      <c r="G94" s="41">
        <v>617.05775769051877</v>
      </c>
      <c r="H94" s="41">
        <v>695.22862438987818</v>
      </c>
      <c r="I94" s="41">
        <v>783.70588099827853</v>
      </c>
      <c r="J94" s="41">
        <v>899.2812389129947</v>
      </c>
      <c r="K94" s="41">
        <v>997.43046747555593</v>
      </c>
      <c r="L94" s="41">
        <v>1068.1145562270262</v>
      </c>
      <c r="M94" s="41">
        <v>1154.4385305561284</v>
      </c>
      <c r="N94" s="41">
        <v>1324.0589888476102</v>
      </c>
      <c r="O94" s="41">
        <v>1494.3879844913715</v>
      </c>
      <c r="P94" s="41">
        <v>1652.3259558674656</v>
      </c>
      <c r="Q94" s="41">
        <v>1899.6757838933481</v>
      </c>
      <c r="R94" s="41">
        <v>2502.8147451223813</v>
      </c>
      <c r="S94" s="41">
        <v>2828.748558995037</v>
      </c>
      <c r="T94" s="41">
        <v>3153.2357756280871</v>
      </c>
      <c r="U94" s="41">
        <v>3390.5449759631178</v>
      </c>
      <c r="V94" s="41">
        <v>3886.3744514675891</v>
      </c>
      <c r="W94" s="41">
        <v>4694.6337817197991</v>
      </c>
      <c r="X94" s="41">
        <v>5705.9493705481145</v>
      </c>
      <c r="Y94" s="41">
        <v>5893.6618926912806</v>
      </c>
      <c r="Z94" s="41">
        <v>5380.2676196321081</v>
      </c>
      <c r="AA94" s="41">
        <v>5579.2346152375876</v>
      </c>
      <c r="AB94" s="41">
        <v>5019.8787705687728</v>
      </c>
      <c r="AC94" s="41">
        <v>4852.5656673771891</v>
      </c>
      <c r="AD94" s="41">
        <v>4813.7112047469418</v>
      </c>
      <c r="AE94" s="41">
        <v>5656.5053316452768</v>
      </c>
      <c r="AF94" s="41">
        <v>6564.8844271219314</v>
      </c>
      <c r="AG94" s="41">
        <v>7598.028005484678</v>
      </c>
      <c r="AH94" s="41">
        <v>7846.678122422778</v>
      </c>
      <c r="AI94" s="41">
        <v>9600.1852350660265</v>
      </c>
      <c r="AJ94" s="41">
        <v>10188.36978012384</v>
      </c>
      <c r="AK94" s="41">
        <v>11176.458419061359</v>
      </c>
      <c r="AL94" s="41">
        <v>10401.98301460955</v>
      </c>
      <c r="AM94" s="41">
        <v>11091.283847277869</v>
      </c>
      <c r="AN94" s="41">
        <v>12959.324290811457</v>
      </c>
      <c r="AO94" s="41">
        <v>13749.115112067906</v>
      </c>
      <c r="AP94" s="41">
        <v>13427.83250550021</v>
      </c>
      <c r="AQ94" s="41">
        <v>13472.137609262276</v>
      </c>
      <c r="AR94" s="41">
        <v>13245.189443611898</v>
      </c>
      <c r="AS94" s="41">
        <v>12042.953714047151</v>
      </c>
      <c r="AT94" s="41">
        <v>12538.178869027628</v>
      </c>
      <c r="AU94" s="41">
        <v>14110.313365211057</v>
      </c>
      <c r="AV94" s="41">
        <v>18477.578360286218</v>
      </c>
      <c r="AW94" s="41">
        <v>21955.104136494127</v>
      </c>
      <c r="AX94" s="41">
        <v>22551.735766736518</v>
      </c>
      <c r="AY94" s="41">
        <v>24801.157783735696</v>
      </c>
      <c r="AZ94" s="41">
        <v>28827.326392687795</v>
      </c>
      <c r="BA94" s="41">
        <v>31997.282024103875</v>
      </c>
      <c r="BB94" s="41">
        <v>29710.970232488031</v>
      </c>
      <c r="BC94" s="41">
        <v>26690.607415978244</v>
      </c>
      <c r="BD94" s="41">
        <v>25450.534119443786</v>
      </c>
      <c r="BE94" s="41">
        <v>21915.191323136431</v>
      </c>
      <c r="BF94" s="41">
        <v>21749.15248244449</v>
      </c>
      <c r="BG94" s="41">
        <v>21601.776398597449</v>
      </c>
      <c r="BH94" s="41">
        <v>18050.097610074568</v>
      </c>
      <c r="BI94" s="41">
        <v>17885.392808612567</v>
      </c>
      <c r="BJ94" s="41">
        <v>18562.229430957595</v>
      </c>
      <c r="BK94" s="41">
        <v>19765.996453608277</v>
      </c>
      <c r="BL94" s="41">
        <v>19150.786196498531</v>
      </c>
      <c r="BM94" s="41">
        <v>17676.192476933855</v>
      </c>
    </row>
    <row r="95" spans="1:65" x14ac:dyDescent="0.35">
      <c r="A95" s="41" t="s">
        <v>286</v>
      </c>
      <c r="B95" s="41" t="s">
        <v>287</v>
      </c>
      <c r="C95" s="41" t="s">
        <v>659</v>
      </c>
      <c r="D95" s="41" t="s">
        <v>660</v>
      </c>
      <c r="V95" s="41">
        <v>792.45497273506885</v>
      </c>
      <c r="W95" s="41">
        <v>991.2280738945085</v>
      </c>
      <c r="X95" s="41">
        <v>1153.9605004596031</v>
      </c>
      <c r="Y95" s="41">
        <v>1245.6246859223315</v>
      </c>
      <c r="Z95" s="41">
        <v>1276.3703662828482</v>
      </c>
      <c r="AA95" s="41">
        <v>1346.8581153631403</v>
      </c>
      <c r="AB95" s="41">
        <v>1372.6676965447011</v>
      </c>
      <c r="AC95" s="41">
        <v>1477.9156586719141</v>
      </c>
      <c r="AD95" s="41">
        <v>1678.073246277602</v>
      </c>
      <c r="AE95" s="41">
        <v>1872.4686083726037</v>
      </c>
      <c r="AF95" s="41">
        <v>2162.5302452062319</v>
      </c>
      <c r="AG95" s="41">
        <v>2408.7145476601891</v>
      </c>
      <c r="AH95" s="41">
        <v>2757.8884395475407</v>
      </c>
      <c r="AI95" s="41">
        <v>2886.9982036683305</v>
      </c>
      <c r="AJ95" s="41">
        <v>3117.8898311136913</v>
      </c>
      <c r="AK95" s="41">
        <v>3192.2319083216971</v>
      </c>
      <c r="AL95" s="41">
        <v>3153.8182827247715</v>
      </c>
      <c r="AM95" s="41">
        <v>3272.5533727395923</v>
      </c>
      <c r="AN95" s="41">
        <v>3411.9669596804988</v>
      </c>
      <c r="AO95" s="41">
        <v>3632.6786773110148</v>
      </c>
      <c r="AP95" s="41">
        <v>3861.3978220543345</v>
      </c>
      <c r="AQ95" s="41">
        <v>4370.6183173656191</v>
      </c>
      <c r="AR95" s="41">
        <v>4705.7900630716922</v>
      </c>
      <c r="AS95" s="41">
        <v>5056.9772588695732</v>
      </c>
      <c r="AT95" s="41">
        <v>5041.0122351870859</v>
      </c>
      <c r="AU95" s="41">
        <v>5213.7956494454229</v>
      </c>
      <c r="AV95" s="41">
        <v>5682.7053778007112</v>
      </c>
      <c r="AW95" s="41">
        <v>5741.6536579513595</v>
      </c>
      <c r="AX95" s="41">
        <v>6645.9855486972374</v>
      </c>
      <c r="AY95" s="41">
        <v>6658.2235859904577</v>
      </c>
      <c r="AZ95" s="41">
        <v>7212.9868190923689</v>
      </c>
      <c r="BA95" s="41">
        <v>7832.3490810191552</v>
      </c>
      <c r="BB95" s="41">
        <v>7290.8349377102613</v>
      </c>
      <c r="BC95" s="41">
        <v>7258.1665608485528</v>
      </c>
      <c r="BD95" s="41">
        <v>7291.7416695627317</v>
      </c>
      <c r="BE95" s="41">
        <v>7444.089074742762</v>
      </c>
      <c r="BF95" s="41">
        <v>7789.6323550559391</v>
      </c>
      <c r="BG95" s="41">
        <v>8370.0404720606748</v>
      </c>
      <c r="BH95" s="41">
        <v>9096.5386524632158</v>
      </c>
      <c r="BI95" s="41">
        <v>9628.1728433130083</v>
      </c>
      <c r="BJ95" s="41">
        <v>10152.832811887234</v>
      </c>
      <c r="BK95" s="41">
        <v>10486.377592408151</v>
      </c>
      <c r="BL95" s="41">
        <v>10815.911356080282</v>
      </c>
      <c r="BM95" s="41">
        <v>9680.1758254490669</v>
      </c>
    </row>
    <row r="96" spans="1:65" x14ac:dyDescent="0.35">
      <c r="A96" s="41" t="s">
        <v>288</v>
      </c>
      <c r="B96" s="41" t="s">
        <v>289</v>
      </c>
      <c r="C96" s="41" t="s">
        <v>659</v>
      </c>
      <c r="D96" s="41" t="s">
        <v>660</v>
      </c>
      <c r="O96" s="41">
        <v>1498.2764367816094</v>
      </c>
      <c r="P96" s="41">
        <v>1876.5032387468739</v>
      </c>
      <c r="Q96" s="41">
        <v>2196.7117113453401</v>
      </c>
      <c r="R96" s="41">
        <v>2860.2805764011528</v>
      </c>
      <c r="S96" s="41">
        <v>3432.706032912763</v>
      </c>
      <c r="T96" s="41">
        <v>4257.9497117540031</v>
      </c>
      <c r="U96" s="41">
        <v>4844.6763292742389</v>
      </c>
      <c r="V96" s="41">
        <v>5713.954919049921</v>
      </c>
      <c r="W96" s="41">
        <v>7235.5497409832114</v>
      </c>
      <c r="X96" s="41">
        <v>8480.6948268144788</v>
      </c>
      <c r="Y96" s="41">
        <v>9483.1730760734281</v>
      </c>
      <c r="Z96" s="41">
        <v>8544.0583286126312</v>
      </c>
      <c r="AA96" s="41">
        <v>7813.6906673353242</v>
      </c>
      <c r="AB96" s="41">
        <v>7988.1709586119987</v>
      </c>
      <c r="AC96" s="41">
        <v>7198.7022474938385</v>
      </c>
      <c r="AD96" s="41">
        <v>7760.8284044829525</v>
      </c>
      <c r="AE96" s="41">
        <v>11271.321429025213</v>
      </c>
      <c r="AF96" s="41">
        <v>14554.387538482588</v>
      </c>
      <c r="AG96" s="41">
        <v>16398.011093936289</v>
      </c>
      <c r="AH96" s="41">
        <v>16813.683949148217</v>
      </c>
      <c r="AI96" s="41">
        <v>18326.805123460937</v>
      </c>
      <c r="AJ96" s="41">
        <v>18315.196303158471</v>
      </c>
      <c r="AK96" s="41">
        <v>18768.930143719674</v>
      </c>
      <c r="AL96" s="41">
        <v>16797.45885628416</v>
      </c>
      <c r="AM96" s="41">
        <v>18123.963034820499</v>
      </c>
      <c r="AN96" s="41">
        <v>21665.701898367162</v>
      </c>
      <c r="AO96" s="41">
        <v>21422.35754340472</v>
      </c>
      <c r="AP96" s="41">
        <v>19145.496036252338</v>
      </c>
      <c r="AQ96" s="41">
        <v>20496.661371850987</v>
      </c>
      <c r="AR96" s="41">
        <v>20170.438416002744</v>
      </c>
      <c r="AS96" s="41">
        <v>19004.107291030436</v>
      </c>
      <c r="AT96" s="41">
        <v>19275.473337606632</v>
      </c>
      <c r="AU96" s="41">
        <v>20652.878328787829</v>
      </c>
      <c r="AV96" s="41">
        <v>27459.762783948441</v>
      </c>
      <c r="AW96" s="41">
        <v>32023.452207623697</v>
      </c>
      <c r="AX96" s="41">
        <v>32489.781908527802</v>
      </c>
      <c r="AY96" s="41">
        <v>35458.123121048244</v>
      </c>
      <c r="AZ96" s="41">
        <v>39780.951444575345</v>
      </c>
      <c r="BA96" s="41">
        <v>44367.055649787311</v>
      </c>
      <c r="BB96" s="41">
        <v>44918.564877075565</v>
      </c>
      <c r="BC96" s="41">
        <v>43988.332493194612</v>
      </c>
      <c r="BD96" s="41">
        <v>47186.981468004771</v>
      </c>
      <c r="BE96" s="41">
        <v>45936.765951698857</v>
      </c>
      <c r="BF96" s="41">
        <v>47535.589945368476</v>
      </c>
      <c r="BG96" s="41">
        <v>50484.927573902278</v>
      </c>
      <c r="BH96" s="41">
        <v>44536.401308099936</v>
      </c>
      <c r="BI96" s="41">
        <v>48181.874188063957</v>
      </c>
      <c r="BJ96" s="41">
        <v>50321.368754344228</v>
      </c>
      <c r="BK96" s="41">
        <v>54470.956386425481</v>
      </c>
    </row>
    <row r="97" spans="1:65" x14ac:dyDescent="0.35">
      <c r="A97" s="41" t="s">
        <v>290</v>
      </c>
      <c r="B97" s="41" t="s">
        <v>291</v>
      </c>
      <c r="C97" s="41" t="s">
        <v>659</v>
      </c>
      <c r="D97" s="41" t="s">
        <v>660</v>
      </c>
      <c r="E97" s="41">
        <v>252.75617116506169</v>
      </c>
      <c r="F97" s="41">
        <v>253.22729003499839</v>
      </c>
      <c r="G97" s="41">
        <v>261.17913380611719</v>
      </c>
      <c r="H97" s="41">
        <v>280.09663644485767</v>
      </c>
      <c r="I97" s="41">
        <v>279.93046450015567</v>
      </c>
      <c r="J97" s="41">
        <v>278.82813848172054</v>
      </c>
      <c r="K97" s="41">
        <v>283.19272459217353</v>
      </c>
      <c r="L97" s="41">
        <v>287.96804713681303</v>
      </c>
      <c r="M97" s="41">
        <v>310.66174520335755</v>
      </c>
      <c r="N97" s="41">
        <v>322.43752936974869</v>
      </c>
      <c r="O97" s="41">
        <v>349.02497563332724</v>
      </c>
      <c r="P97" s="41">
        <v>355.09037110772346</v>
      </c>
      <c r="Q97" s="41">
        <v>367.1188811408727</v>
      </c>
      <c r="R97" s="41">
        <v>438.54485116069634</v>
      </c>
      <c r="S97" s="41">
        <v>527.41769681197138</v>
      </c>
      <c r="T97" s="41">
        <v>594.65180355205734</v>
      </c>
      <c r="U97" s="41">
        <v>696.22201527500158</v>
      </c>
      <c r="V97" s="41">
        <v>854.63664338098329</v>
      </c>
      <c r="W97" s="41">
        <v>925.12574446591009</v>
      </c>
      <c r="X97" s="41">
        <v>1027.0836960251359</v>
      </c>
      <c r="Y97" s="41">
        <v>1143.4404019769108</v>
      </c>
      <c r="Z97" s="41">
        <v>1217.2640204910463</v>
      </c>
      <c r="AA97" s="41">
        <v>1200.2492338204552</v>
      </c>
      <c r="AB97" s="41">
        <v>1212.7165586723636</v>
      </c>
      <c r="AC97" s="41">
        <v>1234.7026407120961</v>
      </c>
      <c r="AD97" s="41">
        <v>1233.0809439630173</v>
      </c>
      <c r="AE97" s="41">
        <v>892.29290649245502</v>
      </c>
      <c r="AF97" s="41">
        <v>850.21851206716497</v>
      </c>
      <c r="AG97" s="41">
        <v>915.39806533596243</v>
      </c>
      <c r="AH97" s="41">
        <v>955.1134608633613</v>
      </c>
      <c r="AI97" s="41">
        <v>845.30696210518147</v>
      </c>
      <c r="AJ97" s="41">
        <v>1011.7549662810478</v>
      </c>
      <c r="AK97" s="41">
        <v>1093.9629083570144</v>
      </c>
      <c r="AL97" s="41">
        <v>1164.3740250810042</v>
      </c>
      <c r="AM97" s="41">
        <v>1293.4701979461902</v>
      </c>
      <c r="AN97" s="41">
        <v>1424.6825425625764</v>
      </c>
      <c r="AO97" s="41">
        <v>1487.6076583997421</v>
      </c>
      <c r="AP97" s="41">
        <v>1649.0016020609862</v>
      </c>
      <c r="AQ97" s="41">
        <v>1755.8495822319112</v>
      </c>
      <c r="AR97" s="41">
        <v>1619.510735525314</v>
      </c>
      <c r="AS97" s="41">
        <v>1664.2989582704549</v>
      </c>
      <c r="AT97" s="41">
        <v>1550.3603655544662</v>
      </c>
      <c r="AU97" s="41">
        <v>1682.9945006893565</v>
      </c>
      <c r="AV97" s="41">
        <v>1737.879286929734</v>
      </c>
      <c r="AW97" s="41">
        <v>1859.0983633510027</v>
      </c>
      <c r="AX97" s="41">
        <v>2068.5001285933326</v>
      </c>
      <c r="AY97" s="41">
        <v>2251.0879627549925</v>
      </c>
      <c r="AZ97" s="41">
        <v>2490.7491266520778</v>
      </c>
      <c r="BA97" s="41">
        <v>2802.4619619012465</v>
      </c>
      <c r="BB97" s="41">
        <v>2651.817122838137</v>
      </c>
      <c r="BC97" s="41">
        <v>2852.5473265011647</v>
      </c>
      <c r="BD97" s="41">
        <v>3228.0457411296034</v>
      </c>
      <c r="BE97" s="41">
        <v>3355.036918812722</v>
      </c>
      <c r="BF97" s="41">
        <v>3522.7737062147539</v>
      </c>
      <c r="BG97" s="41">
        <v>3779.6423361302482</v>
      </c>
      <c r="BH97" s="41">
        <v>3994.636912884745</v>
      </c>
      <c r="BI97" s="41">
        <v>4173.3016661947386</v>
      </c>
      <c r="BJ97" s="41">
        <v>4454.0481498354757</v>
      </c>
      <c r="BK97" s="41">
        <v>4478.424645509439</v>
      </c>
      <c r="BL97" s="41">
        <v>4638.6349431951057</v>
      </c>
      <c r="BM97" s="41">
        <v>4603.339616709748</v>
      </c>
    </row>
    <row r="98" spans="1:65" x14ac:dyDescent="0.35">
      <c r="A98" s="41" t="s">
        <v>292</v>
      </c>
      <c r="B98" s="41" t="s">
        <v>293</v>
      </c>
      <c r="C98" s="41" t="s">
        <v>659</v>
      </c>
      <c r="D98" s="41" t="s">
        <v>660</v>
      </c>
      <c r="AU98" s="41">
        <v>21594.039688750614</v>
      </c>
      <c r="AV98" s="41">
        <v>22628.278691123043</v>
      </c>
      <c r="AW98" s="41">
        <v>24472.782015762776</v>
      </c>
      <c r="AX98" s="41">
        <v>26596.21478984382</v>
      </c>
      <c r="AY98" s="41">
        <v>26713.058386753146</v>
      </c>
      <c r="AZ98" s="41">
        <v>27680.549959709911</v>
      </c>
      <c r="BA98" s="41">
        <v>29288.781855794565</v>
      </c>
      <c r="BB98" s="41">
        <v>30320.538585209004</v>
      </c>
      <c r="BC98" s="41">
        <v>31040.084295561312</v>
      </c>
      <c r="BD98" s="41">
        <v>31210.470286179472</v>
      </c>
      <c r="BE98" s="41">
        <v>32908.306769173076</v>
      </c>
      <c r="BF98" s="41">
        <v>33656.453573543622</v>
      </c>
      <c r="BG98" s="41">
        <v>34843.205574912892</v>
      </c>
      <c r="BH98" s="41">
        <v>35829.250359898921</v>
      </c>
      <c r="BI98" s="41">
        <v>36214.006922453787</v>
      </c>
      <c r="BJ98" s="41">
        <v>36601.919881179201</v>
      </c>
      <c r="BK98" s="41">
        <v>36502.382819569284</v>
      </c>
      <c r="BL98" s="41">
        <v>37723.781344331866</v>
      </c>
    </row>
    <row r="99" spans="1:65" x14ac:dyDescent="0.35">
      <c r="A99" s="41" t="s">
        <v>294</v>
      </c>
      <c r="B99" s="41" t="s">
        <v>295</v>
      </c>
      <c r="C99" s="41" t="s">
        <v>659</v>
      </c>
      <c r="D99" s="41" t="s">
        <v>660</v>
      </c>
      <c r="E99" s="41">
        <v>297.6764225476947</v>
      </c>
      <c r="F99" s="41">
        <v>315.38545950255087</v>
      </c>
      <c r="G99" s="41">
        <v>321.54523678627703</v>
      </c>
      <c r="H99" s="41">
        <v>282.30407127238414</v>
      </c>
      <c r="I99" s="41">
        <v>305.3663986587847</v>
      </c>
      <c r="J99" s="41">
        <v>327.11572813028317</v>
      </c>
      <c r="K99" s="41">
        <v>344.16807724236389</v>
      </c>
      <c r="L99" s="41">
        <v>370.15964908203802</v>
      </c>
      <c r="M99" s="41">
        <v>334.84224885738269</v>
      </c>
      <c r="N99" s="41">
        <v>358.32196658823733</v>
      </c>
      <c r="O99" s="41">
        <v>379.89587618628798</v>
      </c>
      <c r="P99" s="41">
        <v>395.20291893891414</v>
      </c>
      <c r="Q99" s="41">
        <v>395.29239929822239</v>
      </c>
      <c r="R99" s="41">
        <v>420.66561591598276</v>
      </c>
      <c r="S99" s="41">
        <v>588.13701701241916</v>
      </c>
      <c r="T99" s="41">
        <v>663.39566515205763</v>
      </c>
      <c r="U99" s="41">
        <v>602.62484733477345</v>
      </c>
      <c r="V99" s="41">
        <v>590.06537045003824</v>
      </c>
      <c r="W99" s="41">
        <v>658.43600024930925</v>
      </c>
      <c r="X99" s="41">
        <v>683.33039186764177</v>
      </c>
      <c r="Y99" s="41">
        <v>773.1816707748352</v>
      </c>
      <c r="Z99" s="41">
        <v>729.60509219613982</v>
      </c>
      <c r="AA99" s="41">
        <v>616.9607897098108</v>
      </c>
      <c r="AB99" s="41">
        <v>628.19365652784359</v>
      </c>
      <c r="AC99" s="41">
        <v>564.5278744701908</v>
      </c>
      <c r="AD99" s="41">
        <v>588.61035343878405</v>
      </c>
      <c r="AE99" s="41">
        <v>660.15190004654835</v>
      </c>
      <c r="AF99" s="41">
        <v>468.13833097952931</v>
      </c>
      <c r="AG99" s="41">
        <v>551.26217459477971</v>
      </c>
      <c r="AH99" s="41">
        <v>509.37374974131899</v>
      </c>
      <c r="AI99" s="41">
        <v>533.53835875284096</v>
      </c>
      <c r="AJ99" s="41">
        <v>468.15831088423766</v>
      </c>
      <c r="AK99" s="41">
        <v>499.03170934230286</v>
      </c>
      <c r="AL99" s="41">
        <v>602.14387294747178</v>
      </c>
      <c r="AM99" s="41">
        <v>712.71285420006461</v>
      </c>
      <c r="AN99" s="41">
        <v>816.53542491309975</v>
      </c>
      <c r="AO99" s="41">
        <v>927.18858338054417</v>
      </c>
      <c r="AP99" s="41">
        <v>988.34131675126434</v>
      </c>
      <c r="AQ99" s="41">
        <v>951.91247710806977</v>
      </c>
      <c r="AR99" s="41">
        <v>926.74033616961867</v>
      </c>
      <c r="AS99" s="41">
        <v>954.40031809533434</v>
      </c>
      <c r="AT99" s="41">
        <v>955.66538061190681</v>
      </c>
      <c r="AU99" s="41">
        <v>974.94919328204162</v>
      </c>
      <c r="AV99" s="41">
        <v>997.21137285855116</v>
      </c>
      <c r="AW99" s="41">
        <v>1056.4238856109368</v>
      </c>
      <c r="AX99" s="41">
        <v>1105.5068247711804</v>
      </c>
      <c r="AY99" s="41">
        <v>3188.6731601747556</v>
      </c>
      <c r="AZ99" s="41">
        <v>3658.4769711551871</v>
      </c>
      <c r="BA99" s="41">
        <v>4050.7882129599989</v>
      </c>
      <c r="BB99" s="41">
        <v>4233.7644200294399</v>
      </c>
      <c r="BC99" s="41">
        <v>4580.6991357138804</v>
      </c>
      <c r="BD99" s="41">
        <v>4908.5670144673368</v>
      </c>
      <c r="BE99" s="41">
        <v>5378.8119696906542</v>
      </c>
      <c r="BF99" s="41">
        <v>5489.1427584672892</v>
      </c>
      <c r="BG99" s="41">
        <v>5407.1537114023522</v>
      </c>
      <c r="BH99" s="41">
        <v>5576.8260703974702</v>
      </c>
      <c r="BI99" s="41">
        <v>5811.3979236257683</v>
      </c>
      <c r="BJ99" s="41">
        <v>6124.9536700517656</v>
      </c>
      <c r="BK99" s="41">
        <v>6145.8187429139389</v>
      </c>
      <c r="BL99" s="41">
        <v>6609.5104308480095</v>
      </c>
      <c r="BM99" s="41">
        <v>6955.9392171778854</v>
      </c>
    </row>
    <row r="100" spans="1:65" x14ac:dyDescent="0.35">
      <c r="A100" s="41" t="s">
        <v>296</v>
      </c>
      <c r="B100" s="41" t="s">
        <v>297</v>
      </c>
      <c r="C100" s="41" t="s">
        <v>659</v>
      </c>
      <c r="D100" s="41" t="s">
        <v>660</v>
      </c>
      <c r="E100" s="41">
        <v>1402.9637230390324</v>
      </c>
      <c r="F100" s="41">
        <v>1466.3034468393407</v>
      </c>
      <c r="G100" s="41">
        <v>1562.5939712977015</v>
      </c>
      <c r="H100" s="41">
        <v>1662.1709420775751</v>
      </c>
      <c r="I100" s="41">
        <v>1792.0562092941582</v>
      </c>
      <c r="J100" s="41">
        <v>1923.372086384129</v>
      </c>
      <c r="K100" s="41">
        <v>2087.1674277767065</v>
      </c>
      <c r="L100" s="41">
        <v>2216.8648510061116</v>
      </c>
      <c r="M100" s="41">
        <v>2380.4072968934197</v>
      </c>
      <c r="N100" s="41">
        <v>2592.929379585787</v>
      </c>
      <c r="O100" s="41">
        <v>2805.2333096242387</v>
      </c>
      <c r="P100" s="41">
        <v>3078.0971434905882</v>
      </c>
      <c r="Q100" s="41">
        <v>3534.6965346832362</v>
      </c>
      <c r="R100" s="41">
        <v>4235.603480797492</v>
      </c>
      <c r="S100" s="41">
        <v>4730.6688787080411</v>
      </c>
      <c r="T100" s="41">
        <v>5230.8718903068348</v>
      </c>
      <c r="U100" s="41">
        <v>5652.6226015576949</v>
      </c>
      <c r="V100" s="41">
        <v>6349.3540545294854</v>
      </c>
      <c r="W100" s="41">
        <v>7546.2818722442908</v>
      </c>
      <c r="X100" s="41">
        <v>8651.1730468308888</v>
      </c>
      <c r="Y100" s="41">
        <v>9583.204169438266</v>
      </c>
      <c r="Z100" s="41">
        <v>9649.2061342333836</v>
      </c>
      <c r="AA100" s="41">
        <v>9485.9568230995028</v>
      </c>
      <c r="AB100" s="41">
        <v>9724.7398004233346</v>
      </c>
      <c r="AC100" s="41">
        <v>10076.127427418998</v>
      </c>
      <c r="AD100" s="41">
        <v>10509.300612900843</v>
      </c>
      <c r="AE100" s="41">
        <v>12674.961586682275</v>
      </c>
      <c r="AF100" s="41">
        <v>14591.075413215089</v>
      </c>
      <c r="AG100" s="41">
        <v>16318.502751740209</v>
      </c>
      <c r="AH100" s="41">
        <v>16951.007668142964</v>
      </c>
      <c r="AI100" s="41">
        <v>18905.017684910286</v>
      </c>
      <c r="AJ100" s="41">
        <v>19836.012421400337</v>
      </c>
      <c r="AK100" s="41">
        <v>21208.593798030255</v>
      </c>
      <c r="AL100" s="41">
        <v>21203.524454044829</v>
      </c>
      <c r="AM100" s="41">
        <v>22567.753249583278</v>
      </c>
      <c r="AN100" s="41">
        <v>24852.286196457171</v>
      </c>
      <c r="AO100" s="41">
        <v>24902.239450737303</v>
      </c>
      <c r="AP100" s="41">
        <v>24328.494883667026</v>
      </c>
      <c r="AQ100" s="41">
        <v>24269.719536058543</v>
      </c>
      <c r="AR100" s="41">
        <v>25332.103005717388</v>
      </c>
      <c r="AS100" s="41">
        <v>25685.894575799684</v>
      </c>
      <c r="AT100" s="41">
        <v>25277.363712540136</v>
      </c>
      <c r="AU100" s="41">
        <v>26167.972966055182</v>
      </c>
      <c r="AV100" s="41">
        <v>29147.401360218613</v>
      </c>
      <c r="AW100" s="41">
        <v>32222.741781506065</v>
      </c>
      <c r="AX100" s="41">
        <v>33845.25161768515</v>
      </c>
      <c r="AY100" s="41">
        <v>35478.27687128316</v>
      </c>
      <c r="AZ100" s="41">
        <v>38494.400136947617</v>
      </c>
      <c r="BA100" s="41">
        <v>40574.138861233361</v>
      </c>
      <c r="BB100" s="41">
        <v>37776.776580515689</v>
      </c>
      <c r="BC100" s="41">
        <v>39341.132364213801</v>
      </c>
      <c r="BD100" s="41">
        <v>42258.047099635631</v>
      </c>
      <c r="BE100" s="41">
        <v>42057.994653943395</v>
      </c>
      <c r="BF100" s="41">
        <v>42321.548714464552</v>
      </c>
      <c r="BG100" s="41">
        <v>42995.265617894074</v>
      </c>
      <c r="BH100" s="41">
        <v>40398.44865513836</v>
      </c>
      <c r="BI100" s="41">
        <v>41013.341279697008</v>
      </c>
      <c r="BJ100" s="41">
        <v>42658.207231004228</v>
      </c>
      <c r="BK100" s="41">
        <v>45114.360393818708</v>
      </c>
      <c r="BL100" s="41">
        <v>45297.717865361068</v>
      </c>
      <c r="BM100" s="41">
        <v>43833.931558107906</v>
      </c>
    </row>
    <row r="101" spans="1:65" x14ac:dyDescent="0.35">
      <c r="A101" s="41" t="s">
        <v>298</v>
      </c>
      <c r="B101" s="41" t="s">
        <v>299</v>
      </c>
      <c r="C101" s="41" t="s">
        <v>659</v>
      </c>
      <c r="D101" s="41" t="s">
        <v>660</v>
      </c>
      <c r="E101" s="41">
        <v>429.44287439205266</v>
      </c>
      <c r="F101" s="41">
        <v>436.75441152039252</v>
      </c>
      <c r="G101" s="41">
        <v>487.8211340508127</v>
      </c>
      <c r="H101" s="41">
        <v>565.7278103580461</v>
      </c>
      <c r="I101" s="41">
        <v>629.59152578449414</v>
      </c>
      <c r="J101" s="41">
        <v>676.80550711009573</v>
      </c>
      <c r="K101" s="41">
        <v>685.92661413508426</v>
      </c>
      <c r="L101" s="41">
        <v>723.23922561666143</v>
      </c>
      <c r="M101" s="41">
        <v>714.48296958060951</v>
      </c>
      <c r="N101" s="41">
        <v>825.5234491420116</v>
      </c>
      <c r="O101" s="41">
        <v>960.03196151070404</v>
      </c>
      <c r="P101" s="41">
        <v>1106.4697169591536</v>
      </c>
      <c r="Q101" s="41">
        <v>1384.7384373227123</v>
      </c>
      <c r="R101" s="41">
        <v>1893.1812418946447</v>
      </c>
      <c r="S101" s="41">
        <v>2144.6077129514379</v>
      </c>
      <c r="T101" s="41">
        <v>2252.1118813685871</v>
      </c>
      <c r="U101" s="41">
        <v>2850.0146101832001</v>
      </c>
      <c r="V101" s="41">
        <v>3429.4202760725439</v>
      </c>
      <c r="W101" s="41">
        <v>3923.9437313275516</v>
      </c>
      <c r="X101" s="41">
        <v>4569.4537072422418</v>
      </c>
      <c r="Y101" s="41">
        <v>5700.412634358222</v>
      </c>
      <c r="Z101" s="41">
        <v>5991.3202614197162</v>
      </c>
      <c r="AA101" s="41">
        <v>6133.7840786051547</v>
      </c>
      <c r="AB101" s="41">
        <v>5595.2351386384571</v>
      </c>
      <c r="AC101" s="41">
        <v>6208.2261593719941</v>
      </c>
      <c r="AD101" s="41">
        <v>6542.9315367431254</v>
      </c>
      <c r="AE101" s="41">
        <v>7435.0306975942249</v>
      </c>
      <c r="AF101" s="41">
        <v>9071.3326021171797</v>
      </c>
      <c r="AG101" s="41">
        <v>10609.745639454548</v>
      </c>
      <c r="AH101" s="41">
        <v>12097.775158681765</v>
      </c>
      <c r="AI101" s="41">
        <v>13485.544892956465</v>
      </c>
      <c r="AJ101" s="41">
        <v>15465.858855334902</v>
      </c>
      <c r="AK101" s="41">
        <v>17976.429382765476</v>
      </c>
      <c r="AL101" s="41">
        <v>20395.517366677559</v>
      </c>
      <c r="AM101" s="41">
        <v>22502.579740969202</v>
      </c>
      <c r="AN101" s="41">
        <v>23497.492313819341</v>
      </c>
      <c r="AO101" s="41">
        <v>24818.154552351698</v>
      </c>
      <c r="AP101" s="41">
        <v>27330.033350280693</v>
      </c>
      <c r="AQ101" s="41">
        <v>25808.97095245299</v>
      </c>
      <c r="AR101" s="41">
        <v>25091.666599796648</v>
      </c>
      <c r="AS101" s="41">
        <v>25756.663778327784</v>
      </c>
      <c r="AT101" s="41">
        <v>25230.216332951622</v>
      </c>
      <c r="AU101" s="41">
        <v>24665.889998277908</v>
      </c>
      <c r="AV101" s="41">
        <v>23977.019451669821</v>
      </c>
      <c r="AW101" s="41">
        <v>24928.100372255118</v>
      </c>
      <c r="AX101" s="41">
        <v>26649.75080170697</v>
      </c>
      <c r="AY101" s="41">
        <v>28224.215060938866</v>
      </c>
      <c r="AZ101" s="41">
        <v>30594.017841023058</v>
      </c>
      <c r="BA101" s="41">
        <v>31515.662771301828</v>
      </c>
      <c r="BB101" s="41">
        <v>30697.340383517017</v>
      </c>
      <c r="BC101" s="41">
        <v>32549.998231120971</v>
      </c>
      <c r="BD101" s="41">
        <v>35142.487934454257</v>
      </c>
      <c r="BE101" s="41">
        <v>36730.876700112778</v>
      </c>
      <c r="BF101" s="41">
        <v>38403.777714547701</v>
      </c>
      <c r="BG101" s="41">
        <v>40315.285564055164</v>
      </c>
      <c r="BH101" s="41">
        <v>42431.88828172769</v>
      </c>
      <c r="BI101" s="41">
        <v>43731.106824529867</v>
      </c>
      <c r="BJ101" s="41">
        <v>46165.856511595332</v>
      </c>
      <c r="BK101" s="41">
        <v>48542.681869916094</v>
      </c>
      <c r="BL101" s="41">
        <v>48354.473367413033</v>
      </c>
      <c r="BM101" s="41">
        <v>46323.863442438356</v>
      </c>
    </row>
    <row r="102" spans="1:65" x14ac:dyDescent="0.35">
      <c r="A102" s="41" t="s">
        <v>300</v>
      </c>
      <c r="B102" s="41" t="s">
        <v>301</v>
      </c>
      <c r="C102" s="41" t="s">
        <v>659</v>
      </c>
      <c r="D102" s="41" t="s">
        <v>660</v>
      </c>
      <c r="E102" s="41">
        <v>164.64439949063981</v>
      </c>
      <c r="F102" s="41">
        <v>169.90975511911572</v>
      </c>
      <c r="G102" s="41">
        <v>179.87630633572829</v>
      </c>
      <c r="H102" s="41">
        <v>185.04884712132204</v>
      </c>
      <c r="I102" s="41">
        <v>200.43472845260882</v>
      </c>
      <c r="J102" s="41">
        <v>216.81539468159701</v>
      </c>
      <c r="K102" s="41">
        <v>227.74095630910156</v>
      </c>
      <c r="L102" s="41">
        <v>240.54684288804216</v>
      </c>
      <c r="M102" s="41">
        <v>252.58491449485166</v>
      </c>
      <c r="N102" s="41">
        <v>253.26872074661188</v>
      </c>
      <c r="O102" s="41">
        <v>266.13640613519874</v>
      </c>
      <c r="P102" s="41">
        <v>261.24637033727942</v>
      </c>
      <c r="Q102" s="41">
        <v>278.61607604449807</v>
      </c>
      <c r="R102" s="41">
        <v>307.34480012987632</v>
      </c>
      <c r="S102" s="41">
        <v>338.15532917435513</v>
      </c>
      <c r="T102" s="41">
        <v>356.45739699840038</v>
      </c>
      <c r="U102" s="41">
        <v>414.62314046282154</v>
      </c>
      <c r="V102" s="41">
        <v>497.93829084428802</v>
      </c>
      <c r="W102" s="41">
        <v>895.64798644586256</v>
      </c>
      <c r="X102" s="41">
        <v>993.72549740274724</v>
      </c>
      <c r="Y102" s="41">
        <v>1078.8103458271012</v>
      </c>
      <c r="Z102" s="41">
        <v>1066.1687423522155</v>
      </c>
      <c r="AA102" s="41">
        <v>1090.9982365070775</v>
      </c>
      <c r="AB102" s="41">
        <v>1110.4756627298725</v>
      </c>
      <c r="AC102" s="41">
        <v>1183.025929726766</v>
      </c>
      <c r="AD102" s="41">
        <v>1232.869615351585</v>
      </c>
      <c r="AE102" s="41">
        <v>1287.4107387770023</v>
      </c>
      <c r="AF102" s="41">
        <v>1362.8851018301964</v>
      </c>
      <c r="AG102" s="41">
        <v>1262.0671507382938</v>
      </c>
      <c r="AH102" s="41">
        <v>1128.2840914105909</v>
      </c>
      <c r="AI102" s="41">
        <v>993.48325319337016</v>
      </c>
      <c r="AJ102" s="41">
        <v>911.75498158267408</v>
      </c>
      <c r="AK102" s="41">
        <v>942.61294471970018</v>
      </c>
      <c r="AL102" s="41">
        <v>913.30163134446639</v>
      </c>
      <c r="AM102" s="41">
        <v>836.60238183751221</v>
      </c>
      <c r="AN102" s="41">
        <v>936.66765432426359</v>
      </c>
      <c r="AO102" s="41">
        <v>887.69261230848952</v>
      </c>
      <c r="AP102" s="41">
        <v>948.95477022859768</v>
      </c>
      <c r="AQ102" s="41">
        <v>1023.4607338073449</v>
      </c>
      <c r="AR102" s="41">
        <v>1002.7169218770771</v>
      </c>
      <c r="AS102" s="41">
        <v>1093.1081001381499</v>
      </c>
      <c r="AT102" s="41">
        <v>1133.186371716444</v>
      </c>
      <c r="AU102" s="41">
        <v>1134.0644448371525</v>
      </c>
      <c r="AV102" s="41">
        <v>1158.1780834090857</v>
      </c>
      <c r="AW102" s="41">
        <v>1217.8180211998217</v>
      </c>
      <c r="AX102" s="41">
        <v>1308.0919697564366</v>
      </c>
      <c r="AY102" s="41">
        <v>1430.0576135021174</v>
      </c>
      <c r="AZ102" s="41">
        <v>1583.0474508053621</v>
      </c>
      <c r="BA102" s="41">
        <v>1739.353377340758</v>
      </c>
      <c r="BB102" s="41">
        <v>1789.7055532330783</v>
      </c>
      <c r="BC102" s="41">
        <v>1904.3471518413196</v>
      </c>
      <c r="BD102" s="41">
        <v>2088.3155465310952</v>
      </c>
      <c r="BE102" s="41">
        <v>2144.3423630102725</v>
      </c>
      <c r="BF102" s="41">
        <v>2102.5924493515658</v>
      </c>
      <c r="BG102" s="41">
        <v>2206.0543974547104</v>
      </c>
      <c r="BH102" s="41">
        <v>2302.2044109331596</v>
      </c>
      <c r="BI102" s="41">
        <v>2342.5849038800397</v>
      </c>
      <c r="BJ102" s="41">
        <v>2453.7271152797798</v>
      </c>
      <c r="BK102" s="41">
        <v>2510.3229430419133</v>
      </c>
      <c r="BL102" s="41">
        <v>2574.3567510514258</v>
      </c>
      <c r="BM102" s="41">
        <v>2405.7328477514147</v>
      </c>
    </row>
    <row r="103" spans="1:65" x14ac:dyDescent="0.35">
      <c r="A103" s="41" t="s">
        <v>302</v>
      </c>
      <c r="B103" s="41" t="s">
        <v>303</v>
      </c>
      <c r="C103" s="41" t="s">
        <v>659</v>
      </c>
      <c r="D103" s="41" t="s">
        <v>660</v>
      </c>
      <c r="E103" s="41">
        <v>107.34985415422743</v>
      </c>
      <c r="F103" s="41">
        <v>107.57731107416754</v>
      </c>
      <c r="G103" s="41">
        <v>114.32221671923179</v>
      </c>
      <c r="H103" s="41">
        <v>134.63160013168533</v>
      </c>
      <c r="I103" s="41">
        <v>117.35185625242093</v>
      </c>
      <c r="J103" s="41">
        <v>133.67957966717898</v>
      </c>
      <c r="K103" s="41">
        <v>141.9340543063168</v>
      </c>
      <c r="L103" s="41">
        <v>135.51825620225807</v>
      </c>
      <c r="M103" s="41">
        <v>139.74136641895657</v>
      </c>
      <c r="N103" s="41">
        <v>151.28058078823898</v>
      </c>
      <c r="O103" s="41">
        <v>154.45661568365881</v>
      </c>
      <c r="P103" s="41">
        <v>161.97865144624447</v>
      </c>
      <c r="Q103" s="41">
        <v>171.80121296521673</v>
      </c>
      <c r="R103" s="41">
        <v>202.34385217653488</v>
      </c>
      <c r="S103" s="41">
        <v>240.1826329426838</v>
      </c>
      <c r="T103" s="41">
        <v>267.19607718630238</v>
      </c>
      <c r="U103" s="41">
        <v>276.2441275428688</v>
      </c>
      <c r="V103" s="41">
        <v>316.23930095911578</v>
      </c>
      <c r="W103" s="41">
        <v>355.75780385213613</v>
      </c>
      <c r="X103" s="41">
        <v>387.36944307352462</v>
      </c>
      <c r="Y103" s="41">
        <v>401.96308757075201</v>
      </c>
      <c r="Z103" s="41">
        <v>387.28142900038591</v>
      </c>
      <c r="AA103" s="41">
        <v>378.73564907509569</v>
      </c>
      <c r="AB103" s="41">
        <v>350.36743922623714</v>
      </c>
      <c r="AC103" s="41">
        <v>340.96588419741698</v>
      </c>
      <c r="AD103" s="41">
        <v>348.70752091594483</v>
      </c>
      <c r="AE103" s="41">
        <v>392.56854551599724</v>
      </c>
      <c r="AF103" s="41">
        <v>426.51974695366749</v>
      </c>
      <c r="AG103" s="41">
        <v>412.79329474146363</v>
      </c>
      <c r="AH103" s="41">
        <v>387.57605588954544</v>
      </c>
      <c r="AI103" s="41">
        <v>392.82119749243157</v>
      </c>
      <c r="AJ103" s="41">
        <v>385.7454433178944</v>
      </c>
      <c r="AK103" s="41">
        <v>349.36002321040644</v>
      </c>
      <c r="AL103" s="41">
        <v>347.2148898163727</v>
      </c>
      <c r="AM103" s="41">
        <v>288.22497309949426</v>
      </c>
      <c r="AN103" s="41">
        <v>326.40600495768973</v>
      </c>
      <c r="AO103" s="41">
        <v>329.87559727509108</v>
      </c>
      <c r="AP103" s="41">
        <v>334.06706162506583</v>
      </c>
      <c r="AQ103" s="41">
        <v>344.09746233437033</v>
      </c>
      <c r="AR103" s="41">
        <v>336.93663229087889</v>
      </c>
      <c r="AS103" s="41">
        <v>359.38225816832534</v>
      </c>
      <c r="AT103" s="41">
        <v>334.15384507050084</v>
      </c>
      <c r="AU103" s="41">
        <v>348.85078486992961</v>
      </c>
      <c r="AV103" s="41">
        <v>384.11446832419159</v>
      </c>
      <c r="AW103" s="41">
        <v>428.41451051084175</v>
      </c>
      <c r="AX103" s="41">
        <v>475.33976103795663</v>
      </c>
      <c r="AY103" s="41">
        <v>548.33660004778324</v>
      </c>
      <c r="AZ103" s="41">
        <v>636.99779898075008</v>
      </c>
      <c r="BA103" s="41">
        <v>748.46844320240052</v>
      </c>
      <c r="BB103" s="41">
        <v>738.83077725900705</v>
      </c>
      <c r="BC103" s="41">
        <v>797.21012010503762</v>
      </c>
      <c r="BD103" s="41">
        <v>852.37078750654041</v>
      </c>
      <c r="BE103" s="41">
        <v>872.43783199320342</v>
      </c>
      <c r="BF103" s="41">
        <v>945.00369489324498</v>
      </c>
      <c r="BG103" s="41">
        <v>970.91216825369816</v>
      </c>
      <c r="BH103" s="41">
        <v>927.12445754117903</v>
      </c>
      <c r="BI103" s="41">
        <v>909.51322535731197</v>
      </c>
      <c r="BJ103" s="41">
        <v>944.46371750146307</v>
      </c>
      <c r="BK103" s="41">
        <v>979.88998854541865</v>
      </c>
      <c r="BL103" s="41">
        <v>984.81894276260243</v>
      </c>
      <c r="BM103" s="41">
        <v>973.27185460842372</v>
      </c>
    </row>
    <row r="104" spans="1:65" x14ac:dyDescent="0.35">
      <c r="A104" s="41" t="s">
        <v>304</v>
      </c>
      <c r="B104" s="41" t="s">
        <v>305</v>
      </c>
      <c r="C104" s="41" t="s">
        <v>659</v>
      </c>
      <c r="D104" s="41" t="s">
        <v>660</v>
      </c>
      <c r="AN104" s="41">
        <v>4877.5684173193131</v>
      </c>
      <c r="AO104" s="41">
        <v>5232.8517604707868</v>
      </c>
      <c r="AP104" s="41">
        <v>5263.4470021181787</v>
      </c>
      <c r="AQ104" s="41">
        <v>5640.3289527233856</v>
      </c>
      <c r="AR104" s="41">
        <v>5198.0927392816957</v>
      </c>
      <c r="AS104" s="41">
        <v>4841.6063754844236</v>
      </c>
      <c r="AT104" s="41">
        <v>5362.0228966222485</v>
      </c>
      <c r="AU104" s="41">
        <v>6232.6555947107636</v>
      </c>
      <c r="AV104" s="41">
        <v>8059.4201729064443</v>
      </c>
      <c r="AW104" s="41">
        <v>9661.1695736641195</v>
      </c>
      <c r="AX104" s="41">
        <v>10527.892681523334</v>
      </c>
      <c r="AY104" s="41">
        <v>11695.94466408601</v>
      </c>
      <c r="AZ104" s="41">
        <v>13937.448387518973</v>
      </c>
      <c r="BA104" s="41">
        <v>16296.805923849846</v>
      </c>
      <c r="BB104" s="41">
        <v>14540.641603443328</v>
      </c>
      <c r="BC104" s="41">
        <v>13949.326497497721</v>
      </c>
      <c r="BD104" s="41">
        <v>14609.524352416634</v>
      </c>
      <c r="BE104" s="41">
        <v>13258.359845104131</v>
      </c>
      <c r="BF104" s="41">
        <v>13674.417804999915</v>
      </c>
      <c r="BG104" s="41">
        <v>13599.409777060826</v>
      </c>
      <c r="BH104" s="41">
        <v>11781.734793242877</v>
      </c>
      <c r="BI104" s="41">
        <v>12361.48383036706</v>
      </c>
      <c r="BJ104" s="41">
        <v>13451.624947915157</v>
      </c>
      <c r="BK104" s="41">
        <v>15014.085019171625</v>
      </c>
      <c r="BL104" s="41">
        <v>14944.356224893625</v>
      </c>
      <c r="BM104" s="41">
        <v>13828.469504884553</v>
      </c>
    </row>
    <row r="105" spans="1:65" x14ac:dyDescent="0.35">
      <c r="A105" s="41" t="s">
        <v>306</v>
      </c>
      <c r="B105" s="41" t="s">
        <v>307</v>
      </c>
      <c r="C105" s="41" t="s">
        <v>659</v>
      </c>
      <c r="D105" s="41" t="s">
        <v>660</v>
      </c>
      <c r="E105" s="41">
        <v>70.661084558794997</v>
      </c>
      <c r="F105" s="41">
        <v>68.764339327988438</v>
      </c>
      <c r="G105" s="41">
        <v>70.138045880605731</v>
      </c>
      <c r="H105" s="41">
        <v>71.96218417157688</v>
      </c>
      <c r="I105" s="41">
        <v>77.862597247100098</v>
      </c>
      <c r="J105" s="41">
        <v>82.94760837375614</v>
      </c>
      <c r="K105" s="41">
        <v>84.985252198349585</v>
      </c>
      <c r="L105" s="41">
        <v>83.41190395808843</v>
      </c>
      <c r="M105" s="41">
        <v>81.592953673668362</v>
      </c>
      <c r="N105" s="41">
        <v>85.295796429257152</v>
      </c>
      <c r="O105" s="41">
        <v>70.826179254815358</v>
      </c>
      <c r="P105" s="41">
        <v>76.263748968663123</v>
      </c>
      <c r="Q105" s="41">
        <v>76.90186371253256</v>
      </c>
      <c r="R105" s="41">
        <v>94.904571907799436</v>
      </c>
      <c r="S105" s="41">
        <v>112.9962020165845</v>
      </c>
      <c r="T105" s="41">
        <v>133.75024781286743</v>
      </c>
      <c r="U105" s="41">
        <v>169.31075882231366</v>
      </c>
      <c r="V105" s="41">
        <v>178.86063696673514</v>
      </c>
      <c r="W105" s="41">
        <v>180.2732040221909</v>
      </c>
      <c r="X105" s="41">
        <v>195.75423803577669</v>
      </c>
      <c r="Y105" s="41">
        <v>245.21656691490162</v>
      </c>
      <c r="Z105" s="41">
        <v>256.24561889102148</v>
      </c>
      <c r="AA105" s="41">
        <v>249.43221262547962</v>
      </c>
      <c r="AB105" s="41">
        <v>268.291929248001</v>
      </c>
      <c r="AC105" s="41">
        <v>293.18677330860675</v>
      </c>
      <c r="AD105" s="41">
        <v>317.0763459057718</v>
      </c>
      <c r="AE105" s="41">
        <v>357.79682974720993</v>
      </c>
      <c r="AF105" s="41">
        <v>309.30348999855261</v>
      </c>
      <c r="AG105" s="41">
        <v>386.777291423691</v>
      </c>
      <c r="AH105" s="41">
        <v>396.68613918586556</v>
      </c>
      <c r="AI105" s="41">
        <v>439.94418801591098</v>
      </c>
      <c r="AJ105" s="41">
        <v>483.87363541799459</v>
      </c>
      <c r="AK105" s="41">
        <v>308.3713974364498</v>
      </c>
      <c r="AL105" s="41">
        <v>251.75288767752266</v>
      </c>
      <c r="AM105" s="41">
        <v>285.11885384618222</v>
      </c>
      <c r="AN105" s="41">
        <v>363.26554450525134</v>
      </c>
      <c r="AO105" s="41">
        <v>368.63186379910275</v>
      </c>
      <c r="AP105" s="41">
        <v>415.77074213105334</v>
      </c>
      <c r="AQ105" s="41">
        <v>455.54189605804839</v>
      </c>
      <c r="AR105" s="41">
        <v>499.3029686542157</v>
      </c>
      <c r="AS105" s="41">
        <v>811.53435768521956</v>
      </c>
      <c r="AT105" s="41">
        <v>739.34819095326498</v>
      </c>
      <c r="AU105" s="41">
        <v>697.59706295989577</v>
      </c>
      <c r="AV105" s="41">
        <v>561.81769127607129</v>
      </c>
      <c r="AW105" s="41">
        <v>663.79432945476719</v>
      </c>
      <c r="AX105" s="41">
        <v>766.69197552562525</v>
      </c>
      <c r="AY105" s="41">
        <v>792.82601065259507</v>
      </c>
      <c r="AZ105" s="41">
        <v>981.1105145900807</v>
      </c>
      <c r="BA105" s="41">
        <v>1076.7024473827851</v>
      </c>
      <c r="BB105" s="41">
        <v>1150.2110889227292</v>
      </c>
      <c r="BC105" s="41">
        <v>1172.0990145483552</v>
      </c>
      <c r="BD105" s="41">
        <v>1287.954058057074</v>
      </c>
      <c r="BE105" s="41">
        <v>1337.3364746886571</v>
      </c>
      <c r="BF105" s="41">
        <v>1393.9560850137111</v>
      </c>
      <c r="BG105" s="41">
        <v>1402.100288636402</v>
      </c>
      <c r="BH105" s="41">
        <v>1389.1197792648484</v>
      </c>
      <c r="BI105" s="41">
        <v>1265.9869321521951</v>
      </c>
      <c r="BJ105" s="41">
        <v>1294.2396281961589</v>
      </c>
      <c r="BK105" s="41">
        <v>1435.3508522205198</v>
      </c>
      <c r="BL105" s="41">
        <v>1272.4906987154807</v>
      </c>
      <c r="BM105" s="41">
        <v>1176.7558195279885</v>
      </c>
    </row>
    <row r="106" spans="1:65" x14ac:dyDescent="0.35">
      <c r="A106" s="41" t="s">
        <v>308</v>
      </c>
      <c r="B106" s="41" t="s">
        <v>309</v>
      </c>
      <c r="C106" s="41" t="s">
        <v>659</v>
      </c>
      <c r="D106" s="41" t="s">
        <v>660</v>
      </c>
      <c r="AJ106" s="41">
        <v>3350.258323492294</v>
      </c>
      <c r="AK106" s="41">
        <v>3735.1058203427647</v>
      </c>
      <c r="AL106" s="41">
        <v>3873.9877227976676</v>
      </c>
      <c r="AM106" s="41">
        <v>4173.3730240544119</v>
      </c>
      <c r="AN106" s="41">
        <v>4494.7076240594788</v>
      </c>
      <c r="AO106" s="41">
        <v>4525.039103122409</v>
      </c>
      <c r="AP106" s="41">
        <v>4596.182622351952</v>
      </c>
      <c r="AQ106" s="41">
        <v>4744.2122642963877</v>
      </c>
      <c r="AR106" s="41">
        <v>4793.4785220376316</v>
      </c>
      <c r="AS106" s="41">
        <v>4624.2816567029531</v>
      </c>
      <c r="AT106" s="41">
        <v>5276.0331890549551</v>
      </c>
      <c r="AU106" s="41">
        <v>6655.3330086531887</v>
      </c>
      <c r="AV106" s="41">
        <v>8421.1033131615277</v>
      </c>
      <c r="AW106" s="41">
        <v>10285.793627009829</v>
      </c>
      <c r="AX106" s="41">
        <v>11200.576949626378</v>
      </c>
      <c r="AY106" s="41">
        <v>11475.822705709257</v>
      </c>
      <c r="AZ106" s="41">
        <v>13918.960191013704</v>
      </c>
      <c r="BA106" s="41">
        <v>15753.473284019525</v>
      </c>
      <c r="BB106" s="41">
        <v>13046.481008184797</v>
      </c>
      <c r="BC106" s="41">
        <v>13191.621264469581</v>
      </c>
      <c r="BD106" s="41">
        <v>14216.165611433444</v>
      </c>
      <c r="BE106" s="41">
        <v>12950.68651530854</v>
      </c>
      <c r="BF106" s="41">
        <v>13687.514059330424</v>
      </c>
      <c r="BG106" s="41">
        <v>14267.012154768316</v>
      </c>
      <c r="BH106" s="41">
        <v>12706.891214892377</v>
      </c>
      <c r="BI106" s="41">
        <v>13090.506728785296</v>
      </c>
      <c r="BJ106" s="41">
        <v>14605.854345328316</v>
      </c>
      <c r="BK106" s="41">
        <v>16411.441110573825</v>
      </c>
      <c r="BL106" s="41">
        <v>16733.322169138748</v>
      </c>
      <c r="BM106" s="41">
        <v>15899.148279715797</v>
      </c>
    </row>
    <row r="107" spans="1:65" x14ac:dyDescent="0.35">
      <c r="A107" s="41" t="s">
        <v>310</v>
      </c>
      <c r="B107" s="41" t="s">
        <v>311</v>
      </c>
      <c r="C107" s="41" t="s">
        <v>659</v>
      </c>
      <c r="D107" s="41" t="s">
        <v>660</v>
      </c>
      <c r="E107" s="41">
        <v>164.60016534281468</v>
      </c>
      <c r="F107" s="41">
        <v>155.22863364872725</v>
      </c>
      <c r="G107" s="41">
        <v>158.88483529186797</v>
      </c>
      <c r="H107" s="41">
        <v>165.84688187118633</v>
      </c>
      <c r="I107" s="41">
        <v>183.94381417534848</v>
      </c>
      <c r="J107" s="41">
        <v>196.78880494779793</v>
      </c>
      <c r="K107" s="41">
        <v>198.04865529959301</v>
      </c>
      <c r="L107" s="41">
        <v>199.15941466809059</v>
      </c>
      <c r="M107" s="41">
        <v>205.72544908431351</v>
      </c>
      <c r="N107" s="41">
        <v>224.58871423296912</v>
      </c>
      <c r="O107" s="41">
        <v>238.60430400227494</v>
      </c>
      <c r="P107" s="41">
        <v>254.63457462302995</v>
      </c>
      <c r="Q107" s="41">
        <v>280.21675086659133</v>
      </c>
      <c r="R107" s="41">
        <v>352.64567440748476</v>
      </c>
      <c r="S107" s="41">
        <v>435.59033780235353</v>
      </c>
      <c r="T107" s="41">
        <v>461.00797414123087</v>
      </c>
      <c r="U107" s="41">
        <v>492.84967045808628</v>
      </c>
      <c r="V107" s="41">
        <v>548.47475171012263</v>
      </c>
      <c r="W107" s="41">
        <v>580.76552470156128</v>
      </c>
      <c r="X107" s="41">
        <v>683.34855442635489</v>
      </c>
      <c r="Y107" s="41">
        <v>791.16871858607703</v>
      </c>
      <c r="Z107" s="41">
        <v>841.45214365900142</v>
      </c>
      <c r="AA107" s="41">
        <v>819.60452854033201</v>
      </c>
      <c r="AB107" s="41">
        <v>793.14502519101927</v>
      </c>
      <c r="AC107" s="41">
        <v>796.31130967701426</v>
      </c>
      <c r="AD107" s="41">
        <v>825.84880722075491</v>
      </c>
      <c r="AE107" s="41">
        <v>843.64500169080509</v>
      </c>
      <c r="AF107" s="41">
        <v>846.50132117317662</v>
      </c>
      <c r="AG107" s="41">
        <v>899.06430432043658</v>
      </c>
      <c r="AH107" s="41">
        <v>917.15581383346887</v>
      </c>
      <c r="AI107" s="41">
        <v>1032.0276024156881</v>
      </c>
      <c r="AJ107" s="41">
        <v>1042.2005013165374</v>
      </c>
      <c r="AK107" s="41">
        <v>1027.3326146763541</v>
      </c>
      <c r="AL107" s="41">
        <v>1088.4431103659279</v>
      </c>
      <c r="AM107" s="41">
        <v>1175.2637671503603</v>
      </c>
      <c r="AN107" s="41">
        <v>1305.2253006911976</v>
      </c>
      <c r="AO107" s="41">
        <v>1406.7995873809361</v>
      </c>
      <c r="AP107" s="41">
        <v>1472.319109351748</v>
      </c>
      <c r="AQ107" s="41">
        <v>1413.8160859141035</v>
      </c>
      <c r="AR107" s="41">
        <v>1359.7872153841449</v>
      </c>
      <c r="AS107" s="41">
        <v>1463.1420088029249</v>
      </c>
      <c r="AT107" s="41">
        <v>1464.545883645229</v>
      </c>
      <c r="AU107" s="41">
        <v>1470.1989965557473</v>
      </c>
      <c r="AV107" s="41">
        <v>1633.9290441820076</v>
      </c>
      <c r="AW107" s="41">
        <v>1926.8835434774919</v>
      </c>
      <c r="AX107" s="41">
        <v>2280.1098352795475</v>
      </c>
      <c r="AY107" s="41">
        <v>2676.3077566173588</v>
      </c>
      <c r="AZ107" s="41">
        <v>3293.457459813631</v>
      </c>
      <c r="BA107" s="41">
        <v>3915.6258373365022</v>
      </c>
      <c r="BB107" s="41">
        <v>3760.7682609046738</v>
      </c>
      <c r="BC107" s="41">
        <v>4521.982562860002</v>
      </c>
      <c r="BD107" s="41">
        <v>5288.4618650689663</v>
      </c>
      <c r="BE107" s="41">
        <v>5567.7463901720894</v>
      </c>
      <c r="BF107" s="41">
        <v>5824.7707448743213</v>
      </c>
      <c r="BG107" s="41">
        <v>5965.7107513192468</v>
      </c>
      <c r="BH107" s="41">
        <v>5579.990995811334</v>
      </c>
      <c r="BI107" s="41">
        <v>5572.7246440124136</v>
      </c>
      <c r="BJ107" s="41">
        <v>6094.7193597636287</v>
      </c>
      <c r="BK107" s="41">
        <v>6415.1546494378345</v>
      </c>
      <c r="BL107" s="41">
        <v>6510.7274554954602</v>
      </c>
      <c r="BM107" s="41">
        <v>6187.6856965755278</v>
      </c>
    </row>
    <row r="108" spans="1:65" x14ac:dyDescent="0.35">
      <c r="A108" s="41" t="s">
        <v>312</v>
      </c>
      <c r="B108" s="41" t="s">
        <v>313</v>
      </c>
      <c r="C108" s="41" t="s">
        <v>659</v>
      </c>
      <c r="D108" s="41" t="s">
        <v>660</v>
      </c>
      <c r="E108" s="41">
        <v>153.35323578505935</v>
      </c>
      <c r="F108" s="41">
        <v>146.41166093852038</v>
      </c>
      <c r="G108" s="41">
        <v>150.46884652009169</v>
      </c>
      <c r="H108" s="41">
        <v>158.15676967688003</v>
      </c>
      <c r="I108" s="41">
        <v>171.93073627883325</v>
      </c>
      <c r="J108" s="41">
        <v>184.63548186643334</v>
      </c>
      <c r="K108" s="41">
        <v>186.99987831924582</v>
      </c>
      <c r="L108" s="41">
        <v>187.48207471254142</v>
      </c>
      <c r="M108" s="41">
        <v>193.4119325920189</v>
      </c>
      <c r="N108" s="41">
        <v>211.31075426323986</v>
      </c>
      <c r="O108" s="41">
        <v>226.33626164857296</v>
      </c>
      <c r="P108" s="41">
        <v>238.81735770168544</v>
      </c>
      <c r="Q108" s="41">
        <v>260.31121912090293</v>
      </c>
      <c r="R108" s="41">
        <v>323.2220046614533</v>
      </c>
      <c r="S108" s="41">
        <v>401.97639843863095</v>
      </c>
      <c r="T108" s="41">
        <v>430.40396692486001</v>
      </c>
      <c r="U108" s="41">
        <v>456.92915847704046</v>
      </c>
      <c r="V108" s="41">
        <v>505.44111864076456</v>
      </c>
      <c r="W108" s="41">
        <v>537.75046888103259</v>
      </c>
      <c r="X108" s="41">
        <v>629.33261516898131</v>
      </c>
      <c r="Y108" s="41">
        <v>727.82085767016076</v>
      </c>
      <c r="Z108" s="41">
        <v>805.69034562431034</v>
      </c>
      <c r="AA108" s="41">
        <v>777.50004117801666</v>
      </c>
      <c r="AB108" s="41">
        <v>734.10397317482136</v>
      </c>
      <c r="AC108" s="41">
        <v>726.21468751309749</v>
      </c>
      <c r="AD108" s="41">
        <v>749.70335268649387</v>
      </c>
      <c r="AE108" s="41">
        <v>760.0117276726578</v>
      </c>
      <c r="AF108" s="41">
        <v>764.0290043726427</v>
      </c>
      <c r="AG108" s="41">
        <v>804.92871314248168</v>
      </c>
      <c r="AH108" s="41">
        <v>815.41770220644639</v>
      </c>
      <c r="AI108" s="41">
        <v>911.42982730953463</v>
      </c>
      <c r="AJ108" s="41">
        <v>916.87011026840503</v>
      </c>
      <c r="AK108" s="41">
        <v>899.95838945068408</v>
      </c>
      <c r="AL108" s="41">
        <v>942.34056895438982</v>
      </c>
      <c r="AM108" s="41">
        <v>1005.6581658282909</v>
      </c>
      <c r="AN108" s="41">
        <v>1115.9495281085663</v>
      </c>
      <c r="AO108" s="41">
        <v>1200.1759903988661</v>
      </c>
      <c r="AP108" s="41">
        <v>1251.0281966897942</v>
      </c>
      <c r="AQ108" s="41">
        <v>1201.8072717157927</v>
      </c>
      <c r="AR108" s="41">
        <v>1157.387832346612</v>
      </c>
      <c r="AS108" s="41">
        <v>1243.7830825468384</v>
      </c>
      <c r="AT108" s="41">
        <v>1239.9047219662064</v>
      </c>
      <c r="AU108" s="41">
        <v>1247.1679757134818</v>
      </c>
      <c r="AV108" s="41">
        <v>1381.5714377735856</v>
      </c>
      <c r="AW108" s="41">
        <v>1622.4291299052054</v>
      </c>
      <c r="AX108" s="41">
        <v>1910.3076837911642</v>
      </c>
      <c r="AY108" s="41">
        <v>2238.2494238056556</v>
      </c>
      <c r="AZ108" s="41">
        <v>2735.233638130871</v>
      </c>
      <c r="BA108" s="41">
        <v>3240.5114043742251</v>
      </c>
      <c r="BB108" s="41">
        <v>3106.858573560592</v>
      </c>
      <c r="BC108" s="41">
        <v>3710.5565732061318</v>
      </c>
      <c r="BD108" s="41">
        <v>4312.4735607947223</v>
      </c>
      <c r="BE108" s="41">
        <v>4529.4991183622442</v>
      </c>
      <c r="BF108" s="41">
        <v>4737.4123272843062</v>
      </c>
      <c r="BG108" s="41">
        <v>4848.1237403054638</v>
      </c>
      <c r="BH108" s="41">
        <v>4536.0577924939516</v>
      </c>
      <c r="BI108" s="41">
        <v>4505.6046018988945</v>
      </c>
      <c r="BJ108" s="41">
        <v>4889.8738639317417</v>
      </c>
      <c r="BK108" s="41">
        <v>5127.0615412044172</v>
      </c>
      <c r="BL108" s="41">
        <v>5192.1297766941116</v>
      </c>
      <c r="BM108" s="41">
        <v>4929.8611405514139</v>
      </c>
    </row>
    <row r="109" spans="1:65" x14ac:dyDescent="0.35">
      <c r="A109" s="41" t="s">
        <v>314</v>
      </c>
      <c r="B109" s="41" t="s">
        <v>315</v>
      </c>
      <c r="C109" s="41" t="s">
        <v>659</v>
      </c>
      <c r="D109" s="41" t="s">
        <v>660</v>
      </c>
      <c r="E109" s="41">
        <v>99.360664532003298</v>
      </c>
      <c r="F109" s="41">
        <v>102.43828199751496</v>
      </c>
      <c r="G109" s="41">
        <v>107.79333257145358</v>
      </c>
      <c r="H109" s="41">
        <v>118.27449856971316</v>
      </c>
      <c r="I109" s="41">
        <v>113.110248333066</v>
      </c>
      <c r="J109" s="41">
        <v>124.72768343270103</v>
      </c>
      <c r="K109" s="41">
        <v>131.8488322456746</v>
      </c>
      <c r="L109" s="41">
        <v>129.74092787613549</v>
      </c>
      <c r="M109" s="41">
        <v>132.83343737991709</v>
      </c>
      <c r="N109" s="41">
        <v>146.01980309859147</v>
      </c>
      <c r="O109" s="41">
        <v>164.9900687736183</v>
      </c>
      <c r="P109" s="41">
        <v>161.7567326525286</v>
      </c>
      <c r="Q109" s="41">
        <v>164.98707155765257</v>
      </c>
      <c r="R109" s="41">
        <v>184.91502869032476</v>
      </c>
      <c r="S109" s="41">
        <v>243.25945693510909</v>
      </c>
      <c r="T109" s="41">
        <v>284.23913189789039</v>
      </c>
      <c r="U109" s="41">
        <v>287.99881312785095</v>
      </c>
      <c r="V109" s="41">
        <v>305.83702501126163</v>
      </c>
      <c r="W109" s="41">
        <v>338.35646001056909</v>
      </c>
      <c r="X109" s="41">
        <v>382.33368222647829</v>
      </c>
      <c r="Y109" s="41">
        <v>440.54328152528228</v>
      </c>
      <c r="Z109" s="41">
        <v>631.31885936739025</v>
      </c>
      <c r="AA109" s="41">
        <v>579.37547855045375</v>
      </c>
      <c r="AB109" s="41">
        <v>470.84907565352881</v>
      </c>
      <c r="AC109" s="41">
        <v>421.17632994443636</v>
      </c>
      <c r="AD109" s="41">
        <v>422.26132132569177</v>
      </c>
      <c r="AE109" s="41">
        <v>405.3391724142752</v>
      </c>
      <c r="AF109" s="41">
        <v>416.14969171858189</v>
      </c>
      <c r="AG109" s="41">
        <v>412.49391543447035</v>
      </c>
      <c r="AH109" s="41">
        <v>392.24920420223191</v>
      </c>
      <c r="AI109" s="41">
        <v>412.0879984275677</v>
      </c>
      <c r="AJ109" s="41">
        <v>403.33786331684553</v>
      </c>
      <c r="AK109" s="41">
        <v>383.95986296087307</v>
      </c>
      <c r="AL109" s="41">
        <v>355.95368967629167</v>
      </c>
      <c r="AM109" s="41">
        <v>331.15987257993828</v>
      </c>
      <c r="AN109" s="41">
        <v>372.71562042989126</v>
      </c>
      <c r="AO109" s="41">
        <v>398.67622135653721</v>
      </c>
      <c r="AP109" s="41">
        <v>402.36530858295521</v>
      </c>
      <c r="AQ109" s="41">
        <v>399.17216443141598</v>
      </c>
      <c r="AR109" s="41">
        <v>401.31498552834466</v>
      </c>
      <c r="AS109" s="41">
        <v>434.82938217000407</v>
      </c>
      <c r="AT109" s="41">
        <v>421.76407035018906</v>
      </c>
      <c r="AU109" s="41">
        <v>446.11740483874246</v>
      </c>
      <c r="AV109" s="41">
        <v>486.80547338846355</v>
      </c>
      <c r="AW109" s="41">
        <v>556.71779125439605</v>
      </c>
      <c r="AX109" s="41">
        <v>632.28073231670271</v>
      </c>
      <c r="AY109" s="41">
        <v>744.45742911034472</v>
      </c>
      <c r="AZ109" s="41">
        <v>855.97075003102577</v>
      </c>
      <c r="BA109" s="41">
        <v>997.42227140310206</v>
      </c>
      <c r="BB109" s="41">
        <v>963.38779656906399</v>
      </c>
      <c r="BC109" s="41">
        <v>1083.1059906084806</v>
      </c>
      <c r="BD109" s="41">
        <v>1190.0857983419046</v>
      </c>
      <c r="BE109" s="41">
        <v>1249.630901058239</v>
      </c>
      <c r="BF109" s="41">
        <v>1347.1742597962598</v>
      </c>
      <c r="BG109" s="41">
        <v>1408.9801495952017</v>
      </c>
      <c r="BH109" s="41">
        <v>1366.1501715885556</v>
      </c>
      <c r="BI109" s="41">
        <v>1305.6814974836623</v>
      </c>
      <c r="BJ109" s="41">
        <v>1321.4321631599946</v>
      </c>
      <c r="BK109" s="41">
        <v>1364.1094638335001</v>
      </c>
      <c r="BL109" s="41">
        <v>1396.320349183374</v>
      </c>
      <c r="BM109" s="41">
        <v>1364.1578338901704</v>
      </c>
    </row>
    <row r="110" spans="1:65" x14ac:dyDescent="0.35">
      <c r="A110" s="41" t="s">
        <v>316</v>
      </c>
      <c r="B110" s="41" t="s">
        <v>317</v>
      </c>
      <c r="C110" s="41" t="s">
        <v>659</v>
      </c>
      <c r="D110" s="41" t="s">
        <v>660</v>
      </c>
      <c r="E110" s="41">
        <v>100.20359828115342</v>
      </c>
      <c r="F110" s="41">
        <v>104.73039149351521</v>
      </c>
      <c r="G110" s="41">
        <v>109.32083917856968</v>
      </c>
      <c r="H110" s="41">
        <v>112.88257819667039</v>
      </c>
      <c r="I110" s="41">
        <v>120.13832331276116</v>
      </c>
      <c r="J110" s="41">
        <v>127.18459545811638</v>
      </c>
      <c r="K110" s="41">
        <v>134.84104527085159</v>
      </c>
      <c r="L110" s="41">
        <v>132.05937334280844</v>
      </c>
      <c r="M110" s="41">
        <v>135.79168392186799</v>
      </c>
      <c r="N110" s="41">
        <v>151.30805825765404</v>
      </c>
      <c r="O110" s="41">
        <v>202.54878276011081</v>
      </c>
      <c r="P110" s="41">
        <v>183.18248244259013</v>
      </c>
      <c r="Q110" s="41">
        <v>200.26617524616677</v>
      </c>
      <c r="R110" s="41">
        <v>207.93683275886124</v>
      </c>
      <c r="S110" s="41">
        <v>291.53370202722738</v>
      </c>
      <c r="T110" s="41">
        <v>325.88051091394789</v>
      </c>
      <c r="U110" s="41">
        <v>381.83061145138697</v>
      </c>
      <c r="V110" s="41">
        <v>390.57421690541713</v>
      </c>
      <c r="W110" s="41">
        <v>411.78866754438269</v>
      </c>
      <c r="X110" s="41">
        <v>490.149682674205</v>
      </c>
      <c r="Y110" s="41">
        <v>609.74808161970407</v>
      </c>
      <c r="Z110" s="41">
        <v>1138.3696748902389</v>
      </c>
      <c r="AA110" s="41">
        <v>1009.3008423949865</v>
      </c>
      <c r="AB110" s="41">
        <v>743.096317703002</v>
      </c>
      <c r="AC110" s="41">
        <v>618.81188220806337</v>
      </c>
      <c r="AD110" s="41">
        <v>603.32730879728319</v>
      </c>
      <c r="AE110" s="41">
        <v>528.02908908048641</v>
      </c>
      <c r="AF110" s="41">
        <v>524.51882411133215</v>
      </c>
      <c r="AG110" s="41">
        <v>523.07996803027106</v>
      </c>
      <c r="AH110" s="41">
        <v>489.97647787709991</v>
      </c>
      <c r="AI110" s="41">
        <v>525.31980641087341</v>
      </c>
      <c r="AJ110" s="41">
        <v>513.45358285355155</v>
      </c>
      <c r="AK110" s="41">
        <v>502.29854857077112</v>
      </c>
      <c r="AL110" s="41">
        <v>434.3877902195419</v>
      </c>
      <c r="AM110" s="41">
        <v>428.63042123583972</v>
      </c>
      <c r="AN110" s="41">
        <v>489.29740931845066</v>
      </c>
      <c r="AO110" s="41">
        <v>526.73927597638442</v>
      </c>
      <c r="AP110" s="41">
        <v>524.3002408772395</v>
      </c>
      <c r="AQ110" s="41">
        <v>505.43341704853754</v>
      </c>
      <c r="AR110" s="41">
        <v>514.03403628686442</v>
      </c>
      <c r="AS110" s="41">
        <v>572.63409496482154</v>
      </c>
      <c r="AT110" s="41">
        <v>558.03254672477954</v>
      </c>
      <c r="AU110" s="41">
        <v>602.08754928804467</v>
      </c>
      <c r="AV110" s="41">
        <v>660.27066141213868</v>
      </c>
      <c r="AW110" s="41">
        <v>786.07450344801441</v>
      </c>
      <c r="AX110" s="41">
        <v>918.44004822055069</v>
      </c>
      <c r="AY110" s="41">
        <v>1123.4459996960086</v>
      </c>
      <c r="AZ110" s="41">
        <v>1265.745034470418</v>
      </c>
      <c r="BA110" s="41">
        <v>1464.1814492089093</v>
      </c>
      <c r="BB110" s="41">
        <v>1340.4138535613345</v>
      </c>
      <c r="BC110" s="41">
        <v>1534.9625146252745</v>
      </c>
      <c r="BD110" s="41">
        <v>1721.4455344224089</v>
      </c>
      <c r="BE110" s="41">
        <v>1859.7404209364825</v>
      </c>
      <c r="BF110" s="41">
        <v>1972.5968946323617</v>
      </c>
      <c r="BG110" s="41">
        <v>2068.8720679619814</v>
      </c>
      <c r="BH110" s="41">
        <v>1949.180579724333</v>
      </c>
      <c r="BI110" s="41">
        <v>1773.8442387058192</v>
      </c>
      <c r="BJ110" s="41">
        <v>1712.650913395403</v>
      </c>
      <c r="BK110" s="41">
        <v>1747.5065936114536</v>
      </c>
      <c r="BL110" s="41">
        <v>1758.0359273188178</v>
      </c>
      <c r="BM110" s="41">
        <v>1664.2601305258715</v>
      </c>
    </row>
    <row r="111" spans="1:65" x14ac:dyDescent="0.35">
      <c r="A111" s="41" t="s">
        <v>318</v>
      </c>
      <c r="B111" s="41" t="s">
        <v>319</v>
      </c>
      <c r="C111" s="41" t="s">
        <v>659</v>
      </c>
      <c r="D111" s="41" t="s">
        <v>660</v>
      </c>
      <c r="L111" s="41">
        <v>53.53729568175595</v>
      </c>
      <c r="M111" s="41">
        <v>65.053043843156047</v>
      </c>
      <c r="N111" s="41">
        <v>74.602096387702716</v>
      </c>
      <c r="O111" s="41">
        <v>79.71453540377037</v>
      </c>
      <c r="P111" s="41">
        <v>79.178187985946977</v>
      </c>
      <c r="Q111" s="41">
        <v>90.876171484796302</v>
      </c>
      <c r="R111" s="41">
        <v>131.02490528739224</v>
      </c>
      <c r="S111" s="41">
        <v>202.49540538104844</v>
      </c>
      <c r="T111" s="41">
        <v>233.11666090085927</v>
      </c>
      <c r="U111" s="41">
        <v>278.1966702121137</v>
      </c>
      <c r="V111" s="41">
        <v>333.69437668141387</v>
      </c>
      <c r="W111" s="41">
        <v>365.91584198263592</v>
      </c>
      <c r="X111" s="41">
        <v>356.92133920583109</v>
      </c>
      <c r="Y111" s="41">
        <v>491.57953293736711</v>
      </c>
      <c r="Z111" s="41">
        <v>566.57771847065624</v>
      </c>
      <c r="AA111" s="41">
        <v>583.6698354663838</v>
      </c>
      <c r="AB111" s="41">
        <v>512.95911113133172</v>
      </c>
      <c r="AC111" s="41">
        <v>525.33394347037029</v>
      </c>
      <c r="AD111" s="41">
        <v>516.96099019259168</v>
      </c>
      <c r="AE111" s="41">
        <v>474.85916047175414</v>
      </c>
      <c r="AF111" s="41">
        <v>442.2154853290732</v>
      </c>
      <c r="AG111" s="41">
        <v>481.78148500897589</v>
      </c>
      <c r="AH111" s="41">
        <v>530.00325453742198</v>
      </c>
      <c r="AI111" s="41">
        <v>585.07656285139217</v>
      </c>
      <c r="AJ111" s="41">
        <v>631.78285782031594</v>
      </c>
      <c r="AK111" s="41">
        <v>681.9383856119008</v>
      </c>
      <c r="AL111" s="41">
        <v>827.90526623892049</v>
      </c>
      <c r="AM111" s="41">
        <v>912.20329389582491</v>
      </c>
      <c r="AN111" s="41">
        <v>1026.3934360750416</v>
      </c>
      <c r="AO111" s="41">
        <v>1137.4101011662769</v>
      </c>
      <c r="AP111" s="41">
        <v>1063.7123757375296</v>
      </c>
      <c r="AQ111" s="41">
        <v>463.94815819089939</v>
      </c>
      <c r="AR111" s="41">
        <v>671.09860967619591</v>
      </c>
      <c r="AS111" s="41">
        <v>780.19020467518021</v>
      </c>
      <c r="AT111" s="41">
        <v>748.25760871984642</v>
      </c>
      <c r="AU111" s="41">
        <v>900.17758813789669</v>
      </c>
      <c r="AV111" s="41">
        <v>1065.648519906397</v>
      </c>
      <c r="AW111" s="41">
        <v>1150.26136651088</v>
      </c>
      <c r="AX111" s="41">
        <v>1263.28733171098</v>
      </c>
      <c r="AY111" s="41">
        <v>1589.8014886614214</v>
      </c>
      <c r="AZ111" s="41">
        <v>1860.0028111328663</v>
      </c>
      <c r="BA111" s="41">
        <v>2166.8542314160823</v>
      </c>
      <c r="BB111" s="41">
        <v>2261.2473090327394</v>
      </c>
      <c r="BC111" s="41">
        <v>3122.3626731936238</v>
      </c>
      <c r="BD111" s="41">
        <v>3643.0471761927429</v>
      </c>
      <c r="BE111" s="41">
        <v>3694.3593398021362</v>
      </c>
      <c r="BF111" s="41">
        <v>3623.92724054274</v>
      </c>
      <c r="BG111" s="41">
        <v>3491.637491254492</v>
      </c>
      <c r="BH111" s="41">
        <v>3331.6951146918896</v>
      </c>
      <c r="BI111" s="41">
        <v>3562.8163335218346</v>
      </c>
      <c r="BJ111" s="41">
        <v>3837.5780236263286</v>
      </c>
      <c r="BK111" s="41">
        <v>3893.8595781487702</v>
      </c>
      <c r="BL111" s="41">
        <v>4135.2015313269367</v>
      </c>
      <c r="BM111" s="41">
        <v>3869.5884270453721</v>
      </c>
    </row>
    <row r="112" spans="1:65" x14ac:dyDescent="0.35">
      <c r="A112" s="41" t="s">
        <v>320</v>
      </c>
      <c r="B112" s="41" t="s">
        <v>321</v>
      </c>
      <c r="C112" s="41" t="s">
        <v>659</v>
      </c>
      <c r="D112" s="41" t="s">
        <v>660</v>
      </c>
      <c r="E112" s="41">
        <v>102.91158651058529</v>
      </c>
      <c r="F112" s="41">
        <v>105.29151202415575</v>
      </c>
      <c r="G112" s="41">
        <v>111.29668805049518</v>
      </c>
      <c r="H112" s="41">
        <v>126.11284145984996</v>
      </c>
      <c r="I112" s="41">
        <v>113.72122847920147</v>
      </c>
      <c r="J112" s="41">
        <v>128.3937707544965</v>
      </c>
      <c r="K112" s="41">
        <v>135.50400235780359</v>
      </c>
      <c r="L112" s="41">
        <v>133.69364074170451</v>
      </c>
      <c r="M112" s="41">
        <v>136.55495053665823</v>
      </c>
      <c r="N112" s="41">
        <v>148.96910774750282</v>
      </c>
      <c r="O112" s="41">
        <v>150.63176175058004</v>
      </c>
      <c r="P112" s="41">
        <v>156.23459877912157</v>
      </c>
      <c r="Q112" s="41">
        <v>151.77863870242669</v>
      </c>
      <c r="R112" s="41">
        <v>179.29049798981114</v>
      </c>
      <c r="S112" s="41">
        <v>225.59399555251298</v>
      </c>
      <c r="T112" s="41">
        <v>271.83263232348838</v>
      </c>
      <c r="U112" s="41">
        <v>245.54694229171488</v>
      </c>
      <c r="V112" s="41">
        <v>268.97135673895696</v>
      </c>
      <c r="W112" s="41">
        <v>308.98856999228968</v>
      </c>
      <c r="X112" s="41">
        <v>334.22119807441032</v>
      </c>
      <c r="Y112" s="41">
        <v>358.1468760297422</v>
      </c>
      <c r="Z112" s="41">
        <v>356.12253775277003</v>
      </c>
      <c r="AA112" s="41">
        <v>345.74833234778509</v>
      </c>
      <c r="AB112" s="41">
        <v>324.44240851775186</v>
      </c>
      <c r="AC112" s="41">
        <v>316.10347831126563</v>
      </c>
      <c r="AD112" s="41">
        <v>326.19187875137419</v>
      </c>
      <c r="AE112" s="41">
        <v>342.05656202765147</v>
      </c>
      <c r="AF112" s="41">
        <v>360.88051664693398</v>
      </c>
      <c r="AG112" s="41">
        <v>355.71674122310719</v>
      </c>
      <c r="AH112" s="41">
        <v>342.21629760476463</v>
      </c>
      <c r="AI112" s="41">
        <v>353.62337805447851</v>
      </c>
      <c r="AJ112" s="41">
        <v>346.52696759626849</v>
      </c>
      <c r="AK112" s="41">
        <v>322.38004454821493</v>
      </c>
      <c r="AL112" s="41">
        <v>316.31300411606964</v>
      </c>
      <c r="AM112" s="41">
        <v>280.91062235713935</v>
      </c>
      <c r="AN112" s="41">
        <v>312.4308836594472</v>
      </c>
      <c r="AO112" s="41">
        <v>332.33527559842349</v>
      </c>
      <c r="AP112" s="41">
        <v>339.35648093502709</v>
      </c>
      <c r="AQ112" s="41">
        <v>344.65289810695964</v>
      </c>
      <c r="AR112" s="41">
        <v>343.24388930504063</v>
      </c>
      <c r="AS112" s="41">
        <v>363.60497976831789</v>
      </c>
      <c r="AT112" s="41">
        <v>351.36769952539208</v>
      </c>
      <c r="AU112" s="41">
        <v>365.54592417721545</v>
      </c>
      <c r="AV112" s="41">
        <v>397.31591585481169</v>
      </c>
      <c r="AW112" s="41">
        <v>438.53739602969108</v>
      </c>
      <c r="AX112" s="41">
        <v>484.92964038388095</v>
      </c>
      <c r="AY112" s="41">
        <v>549.33828775510926</v>
      </c>
      <c r="AZ112" s="41">
        <v>644.9020518922232</v>
      </c>
      <c r="BA112" s="41">
        <v>757.2005819353401</v>
      </c>
      <c r="BB112" s="41">
        <v>771.25346961808793</v>
      </c>
      <c r="BC112" s="41">
        <v>851.28099041435291</v>
      </c>
      <c r="BD112" s="41">
        <v>915.61799255356368</v>
      </c>
      <c r="BE112" s="41">
        <v>932.23707581393705</v>
      </c>
      <c r="BF112" s="41">
        <v>1022.1480774574547</v>
      </c>
      <c r="BG112" s="41">
        <v>1065.2821630131084</v>
      </c>
      <c r="BH112" s="41">
        <v>1063.6422578012241</v>
      </c>
      <c r="BI112" s="41">
        <v>1065.8456776200712</v>
      </c>
      <c r="BJ112" s="41">
        <v>1124.5575740923223</v>
      </c>
      <c r="BK112" s="41">
        <v>1172.228221403225</v>
      </c>
      <c r="BL112" s="41">
        <v>1217.4081470765923</v>
      </c>
      <c r="BM112" s="41">
        <v>1219.7756232860256</v>
      </c>
    </row>
    <row r="113" spans="1:65" x14ac:dyDescent="0.35">
      <c r="A113" s="41" t="s">
        <v>322</v>
      </c>
      <c r="B113" s="41" t="s">
        <v>323</v>
      </c>
      <c r="C113" s="41" t="s">
        <v>659</v>
      </c>
      <c r="D113" s="41" t="s">
        <v>660</v>
      </c>
      <c r="AN113" s="41">
        <v>12681.614152872517</v>
      </c>
      <c r="AO113" s="41">
        <v>14036.082854663224</v>
      </c>
      <c r="AP113" s="41">
        <v>15991.227815582706</v>
      </c>
      <c r="AQ113" s="41">
        <v>18450.482936379693</v>
      </c>
      <c r="AR113" s="41">
        <v>20624.802801416165</v>
      </c>
      <c r="AS113" s="41">
        <v>20322.682015229428</v>
      </c>
      <c r="AT113" s="41">
        <v>21351.116935905022</v>
      </c>
      <c r="AU113" s="41">
        <v>24864.436294940922</v>
      </c>
      <c r="AV113" s="41">
        <v>29522.27779416442</v>
      </c>
      <c r="AW113" s="41">
        <v>35494.667335343423</v>
      </c>
      <c r="AX113" s="41">
        <v>37766.679536198666</v>
      </c>
      <c r="AY113" s="41">
        <v>42107.837234681821</v>
      </c>
      <c r="AZ113" s="41">
        <v>54196.301727739134</v>
      </c>
      <c r="BA113" s="41">
        <v>70986.301333680807</v>
      </c>
      <c r="BB113" s="41">
        <v>65029.019754804365</v>
      </c>
      <c r="BC113" s="41">
        <v>69767.343364103028</v>
      </c>
      <c r="BD113" s="41">
        <v>77349.22524319528</v>
      </c>
      <c r="BE113" s="41">
        <v>79148.332250732405</v>
      </c>
      <c r="BF113" s="41">
        <v>83357.132684343698</v>
      </c>
      <c r="BG113" s="41">
        <v>92334.646313917096</v>
      </c>
      <c r="BH113" s="41">
        <v>85126.97046942926</v>
      </c>
      <c r="BI113" s="41">
        <v>82197.126770259987</v>
      </c>
      <c r="BJ113" s="41">
        <v>83477.834285153978</v>
      </c>
      <c r="BK113" s="41">
        <v>89112.667715857053</v>
      </c>
    </row>
    <row r="114" spans="1:65" x14ac:dyDescent="0.35">
      <c r="A114" s="41" t="s">
        <v>324</v>
      </c>
      <c r="B114" s="41" t="s">
        <v>325</v>
      </c>
      <c r="C114" s="41" t="s">
        <v>659</v>
      </c>
      <c r="D114" s="41" t="s">
        <v>660</v>
      </c>
      <c r="E114" s="41">
        <v>82.188602738782919</v>
      </c>
      <c r="F114" s="41">
        <v>85.354300989205996</v>
      </c>
      <c r="G114" s="41">
        <v>89.881756494745787</v>
      </c>
      <c r="H114" s="41">
        <v>101.12642944840125</v>
      </c>
      <c r="I114" s="41">
        <v>115.537496074678</v>
      </c>
      <c r="J114" s="41">
        <v>119.31891625549147</v>
      </c>
      <c r="K114" s="41">
        <v>89.997304373717597</v>
      </c>
      <c r="L114" s="41">
        <v>96.33913646380654</v>
      </c>
      <c r="M114" s="41">
        <v>99.875962722021399</v>
      </c>
      <c r="N114" s="41">
        <v>107.62231842333286</v>
      </c>
      <c r="O114" s="41">
        <v>112.43449247774511</v>
      </c>
      <c r="P114" s="41">
        <v>118.60324147554721</v>
      </c>
      <c r="Q114" s="41">
        <v>122.98186410990282</v>
      </c>
      <c r="R114" s="41">
        <v>143.77868761306141</v>
      </c>
      <c r="S114" s="41">
        <v>163.47811250012103</v>
      </c>
      <c r="T114" s="41">
        <v>158.03617100339923</v>
      </c>
      <c r="U114" s="41">
        <v>161.0920922369809</v>
      </c>
      <c r="V114" s="41">
        <v>186.21350417952294</v>
      </c>
      <c r="W114" s="41">
        <v>205.69338331282952</v>
      </c>
      <c r="X114" s="41">
        <v>224.00101880761918</v>
      </c>
      <c r="Y114" s="41">
        <v>266.57785078816977</v>
      </c>
      <c r="Z114" s="41">
        <v>270.4706009260907</v>
      </c>
      <c r="AA114" s="41">
        <v>274.11133366766063</v>
      </c>
      <c r="AB114" s="41">
        <v>291.23811013731711</v>
      </c>
      <c r="AC114" s="41">
        <v>276.66795828235001</v>
      </c>
      <c r="AD114" s="41">
        <v>296.4351500392919</v>
      </c>
      <c r="AE114" s="41">
        <v>310.46593276313666</v>
      </c>
      <c r="AF114" s="41">
        <v>340.41683451943487</v>
      </c>
      <c r="AG114" s="41">
        <v>354.14924823403942</v>
      </c>
      <c r="AH114" s="41">
        <v>346.11288848558092</v>
      </c>
      <c r="AI114" s="41">
        <v>367.55660889030963</v>
      </c>
      <c r="AJ114" s="41">
        <v>303.05560772287907</v>
      </c>
      <c r="AK114" s="41">
        <v>316.95392719817806</v>
      </c>
      <c r="AL114" s="41">
        <v>301.15900227217662</v>
      </c>
      <c r="AM114" s="41">
        <v>346.10295142064666</v>
      </c>
      <c r="AN114" s="41">
        <v>373.76648078334046</v>
      </c>
      <c r="AO114" s="41">
        <v>399.95007472828581</v>
      </c>
      <c r="AP114" s="41">
        <v>415.49379781201719</v>
      </c>
      <c r="AQ114" s="41">
        <v>413.29893221521957</v>
      </c>
      <c r="AR114" s="41">
        <v>441.99876044498279</v>
      </c>
      <c r="AS114" s="41">
        <v>443.3141938113165</v>
      </c>
      <c r="AT114" s="41">
        <v>451.57299729374557</v>
      </c>
      <c r="AU114" s="41">
        <v>470.98678681073397</v>
      </c>
      <c r="AV114" s="41">
        <v>546.72661349498514</v>
      </c>
      <c r="AW114" s="41">
        <v>627.7742417265431</v>
      </c>
      <c r="AX114" s="41">
        <v>714.86101536439969</v>
      </c>
      <c r="AY114" s="41">
        <v>806.75328062879919</v>
      </c>
      <c r="AZ114" s="41">
        <v>1028.3347719457713</v>
      </c>
      <c r="BA114" s="41">
        <v>998.52234151418122</v>
      </c>
      <c r="BB114" s="41">
        <v>1101.9608382125236</v>
      </c>
      <c r="BC114" s="41">
        <v>1357.5637268317962</v>
      </c>
      <c r="BD114" s="41">
        <v>1458.1040661962638</v>
      </c>
      <c r="BE114" s="41">
        <v>1443.882434761809</v>
      </c>
      <c r="BF114" s="41">
        <v>1449.6104506963195</v>
      </c>
      <c r="BG114" s="41">
        <v>1573.8856418301398</v>
      </c>
      <c r="BH114" s="41">
        <v>1605.6054445704508</v>
      </c>
      <c r="BI114" s="41">
        <v>1732.5542423169741</v>
      </c>
      <c r="BJ114" s="41">
        <v>1980.6670198281274</v>
      </c>
      <c r="BK114" s="41">
        <v>1996.9150873975527</v>
      </c>
      <c r="BL114" s="41">
        <v>2100.7514606078325</v>
      </c>
      <c r="BM114" s="41">
        <v>1900.7068097152799</v>
      </c>
    </row>
    <row r="115" spans="1:65" x14ac:dyDescent="0.35">
      <c r="A115" s="41" t="s">
        <v>326</v>
      </c>
      <c r="B115" s="41" t="s">
        <v>327</v>
      </c>
      <c r="C115" s="41" t="s">
        <v>659</v>
      </c>
      <c r="D115" s="41" t="s">
        <v>660</v>
      </c>
    </row>
    <row r="116" spans="1:65" x14ac:dyDescent="0.35">
      <c r="A116" s="41" t="s">
        <v>328</v>
      </c>
      <c r="B116" s="41" t="s">
        <v>329</v>
      </c>
      <c r="C116" s="41" t="s">
        <v>659</v>
      </c>
      <c r="D116" s="41" t="s">
        <v>660</v>
      </c>
      <c r="E116" s="41">
        <v>685.61471237976036</v>
      </c>
      <c r="F116" s="41">
        <v>739.27640644266637</v>
      </c>
      <c r="G116" s="41">
        <v>797.00628835395923</v>
      </c>
      <c r="H116" s="41">
        <v>852.13530171788807</v>
      </c>
      <c r="I116" s="41">
        <v>965.13542267674484</v>
      </c>
      <c r="J116" s="41">
        <v>1023.773726409361</v>
      </c>
      <c r="K116" s="41">
        <v>1074.5065055495788</v>
      </c>
      <c r="L116" s="41">
        <v>1152.0049521499373</v>
      </c>
      <c r="M116" s="41">
        <v>1124.5166360824637</v>
      </c>
      <c r="N116" s="41">
        <v>1291.3499202863707</v>
      </c>
      <c r="O116" s="41">
        <v>1486.747801736389</v>
      </c>
      <c r="P116" s="41">
        <v>1704.1992761589902</v>
      </c>
      <c r="Q116" s="41">
        <v>2080.7915858919773</v>
      </c>
      <c r="R116" s="41">
        <v>2424.6491782381522</v>
      </c>
      <c r="S116" s="41">
        <v>2517.3220577458164</v>
      </c>
      <c r="T116" s="41">
        <v>2973.8660391237349</v>
      </c>
      <c r="U116" s="41">
        <v>2920.0406906252479</v>
      </c>
      <c r="V116" s="41">
        <v>3427.6104552225142</v>
      </c>
      <c r="W116" s="41">
        <v>4400.6762947142806</v>
      </c>
      <c r="X116" s="41">
        <v>5430.8133800301903</v>
      </c>
      <c r="Y116" s="41">
        <v>6373.4369365196326</v>
      </c>
      <c r="Z116" s="41">
        <v>5987.0924102328136</v>
      </c>
      <c r="AA116" s="41">
        <v>6161.6041741039826</v>
      </c>
      <c r="AB116" s="41">
        <v>5916.1690657572026</v>
      </c>
      <c r="AC116" s="41">
        <v>5692.9196302453638</v>
      </c>
      <c r="AD116" s="41">
        <v>6012.6778333925249</v>
      </c>
      <c r="AE116" s="41">
        <v>8113.4429004508129</v>
      </c>
      <c r="AF116" s="41">
        <v>9583.4150902534348</v>
      </c>
      <c r="AG116" s="41">
        <v>10717.550306785355</v>
      </c>
      <c r="AH116" s="41">
        <v>11177.568305218343</v>
      </c>
      <c r="AI116" s="41">
        <v>14033.50186648184</v>
      </c>
      <c r="AJ116" s="41">
        <v>14089.41606600488</v>
      </c>
      <c r="AK116" s="41">
        <v>15716.847793349001</v>
      </c>
      <c r="AL116" s="41">
        <v>14659.358946484121</v>
      </c>
      <c r="AM116" s="41">
        <v>15905.422591330094</v>
      </c>
      <c r="AN116" s="41">
        <v>19161.459763996696</v>
      </c>
      <c r="AO116" s="41">
        <v>20834.719216158235</v>
      </c>
      <c r="AP116" s="41">
        <v>22541.428734150279</v>
      </c>
      <c r="AQ116" s="41">
        <v>24273.933855969404</v>
      </c>
      <c r="AR116" s="41">
        <v>26294.692682642366</v>
      </c>
      <c r="AS116" s="41">
        <v>26246.168815012898</v>
      </c>
      <c r="AT116" s="41">
        <v>28239.596613380611</v>
      </c>
      <c r="AU116" s="41">
        <v>32540.263243260139</v>
      </c>
      <c r="AV116" s="41">
        <v>41100.659544688649</v>
      </c>
      <c r="AW116" s="41">
        <v>47644.932093559888</v>
      </c>
      <c r="AX116" s="41">
        <v>50891.348087756312</v>
      </c>
      <c r="AY116" s="41">
        <v>54283.064724986914</v>
      </c>
      <c r="AZ116" s="41">
        <v>61337.17962015947</v>
      </c>
      <c r="BA116" s="41">
        <v>61213.306521991108</v>
      </c>
      <c r="BB116" s="41">
        <v>52008.728243460035</v>
      </c>
      <c r="BC116" s="41">
        <v>48698.165317673083</v>
      </c>
      <c r="BD116" s="41">
        <v>51886.508485279155</v>
      </c>
      <c r="BE116" s="41">
        <v>48914.617529716641</v>
      </c>
      <c r="BF116" s="41">
        <v>51577.279358774984</v>
      </c>
      <c r="BG116" s="41">
        <v>55586.962597676138</v>
      </c>
      <c r="BH116" s="41">
        <v>62000.118806923798</v>
      </c>
      <c r="BI116" s="41">
        <v>62993.745096745297</v>
      </c>
      <c r="BJ116" s="41">
        <v>70413.121833138284</v>
      </c>
      <c r="BK116" s="41">
        <v>79297.729203754046</v>
      </c>
      <c r="BL116" s="41">
        <v>80778.829614565795</v>
      </c>
      <c r="BM116" s="41">
        <v>83812.802966150804</v>
      </c>
    </row>
    <row r="117" spans="1:65" x14ac:dyDescent="0.35">
      <c r="A117" s="41" t="s">
        <v>330</v>
      </c>
      <c r="B117" s="41" t="s">
        <v>331</v>
      </c>
      <c r="C117" s="41" t="s">
        <v>659</v>
      </c>
      <c r="D117" s="41" t="s">
        <v>660</v>
      </c>
      <c r="E117" s="41">
        <v>191.68082498100009</v>
      </c>
      <c r="F117" s="41">
        <v>196.92509055301193</v>
      </c>
      <c r="G117" s="41">
        <v>203.43736961277136</v>
      </c>
      <c r="H117" s="41">
        <v>208.1324669679357</v>
      </c>
      <c r="I117" s="41">
        <v>221.32128267596568</v>
      </c>
      <c r="J117" s="41">
        <v>248.34115227793794</v>
      </c>
      <c r="K117" s="41">
        <v>264.97962767297957</v>
      </c>
      <c r="L117" s="41">
        <v>287.08290891145208</v>
      </c>
      <c r="M117" s="41">
        <v>318.99190664988913</v>
      </c>
      <c r="N117" s="41">
        <v>350.91355567339735</v>
      </c>
      <c r="O117" s="41">
        <v>384.94404245026374</v>
      </c>
      <c r="P117" s="41">
        <v>468.95694007017403</v>
      </c>
      <c r="Q117" s="41">
        <v>570.35062376308019</v>
      </c>
      <c r="R117" s="41">
        <v>876.26812684642709</v>
      </c>
      <c r="S117" s="41">
        <v>1453.7341227592406</v>
      </c>
      <c r="T117" s="41">
        <v>1581.9304317147978</v>
      </c>
      <c r="U117" s="41">
        <v>2017.4110842482633</v>
      </c>
      <c r="V117" s="41">
        <v>2315.8931054893505</v>
      </c>
      <c r="W117" s="41">
        <v>2168.8697905473095</v>
      </c>
      <c r="X117" s="41">
        <v>2427.4652991234557</v>
      </c>
      <c r="Y117" s="41">
        <v>2441.4406175552967</v>
      </c>
      <c r="Z117" s="41">
        <v>2499.9884390272036</v>
      </c>
      <c r="AA117" s="41">
        <v>3008.1459207952771</v>
      </c>
      <c r="AB117" s="41">
        <v>3583.3292187266347</v>
      </c>
      <c r="AC117" s="41">
        <v>3568.6554856697298</v>
      </c>
      <c r="AD117" s="41">
        <v>3805.5817665338091</v>
      </c>
      <c r="AE117" s="41">
        <v>4244.6903264296434</v>
      </c>
      <c r="AF117" s="41">
        <v>2617.7006403466908</v>
      </c>
      <c r="AG117" s="41">
        <v>2318.4644567891451</v>
      </c>
      <c r="AH117" s="41">
        <v>2197.956147650405</v>
      </c>
      <c r="AI117" s="41">
        <v>2214.3276884780726</v>
      </c>
      <c r="AL117" s="41">
        <v>1067.3075868750464</v>
      </c>
      <c r="AM117" s="41">
        <v>1185.6864214433431</v>
      </c>
      <c r="AN117" s="41">
        <v>1569.2554469839777</v>
      </c>
      <c r="AO117" s="41">
        <v>1932.8050155333019</v>
      </c>
      <c r="AP117" s="41">
        <v>1804.336763195246</v>
      </c>
      <c r="AQ117" s="41">
        <v>1723.8353665901943</v>
      </c>
      <c r="AR117" s="41">
        <v>1756.8968025254428</v>
      </c>
      <c r="AS117" s="41">
        <v>1670.009673565299</v>
      </c>
      <c r="AT117" s="41">
        <v>1909.412306448228</v>
      </c>
      <c r="AU117" s="41">
        <v>1911.678649442978</v>
      </c>
      <c r="AV117" s="41">
        <v>2253.9358345056635</v>
      </c>
      <c r="AW117" s="41">
        <v>2756.1988221399251</v>
      </c>
      <c r="AX117" s="41">
        <v>3246.0511224435209</v>
      </c>
      <c r="AY117" s="41">
        <v>3774.3580554816813</v>
      </c>
      <c r="AZ117" s="41">
        <v>4904.6661830976955</v>
      </c>
      <c r="BA117" s="41">
        <v>5717.3141475297798</v>
      </c>
      <c r="BB117" s="41">
        <v>5709.9482933250056</v>
      </c>
      <c r="BC117" s="41">
        <v>6599.6609379100364</v>
      </c>
      <c r="BD117" s="41">
        <v>7781.4058009657256</v>
      </c>
      <c r="BE117" s="41">
        <v>7927.844907683223</v>
      </c>
      <c r="BF117" s="41">
        <v>6018.3228995354839</v>
      </c>
      <c r="BG117" s="41">
        <v>5585.5256039324695</v>
      </c>
      <c r="BH117" s="41">
        <v>4904.3273148516864</v>
      </c>
      <c r="BI117" s="41">
        <v>5253.4265603335552</v>
      </c>
      <c r="BJ117" s="41">
        <v>5520.3147821399843</v>
      </c>
      <c r="BK117" s="41">
        <v>3598.4834539612925</v>
      </c>
      <c r="BL117" s="41">
        <v>3114.6227528406325</v>
      </c>
      <c r="BM117" s="41">
        <v>2282.5518646041537</v>
      </c>
    </row>
    <row r="118" spans="1:65" x14ac:dyDescent="0.35">
      <c r="A118" s="41" t="s">
        <v>332</v>
      </c>
      <c r="B118" s="41" t="s">
        <v>333</v>
      </c>
      <c r="C118" s="41" t="s">
        <v>659</v>
      </c>
      <c r="D118" s="41" t="s">
        <v>660</v>
      </c>
      <c r="G118" s="41">
        <v>254.70153322226122</v>
      </c>
      <c r="H118" s="41">
        <v>250.78720539632255</v>
      </c>
      <c r="I118" s="41">
        <v>288.16348165528876</v>
      </c>
      <c r="M118" s="41">
        <v>312.82210852348709</v>
      </c>
      <c r="N118" s="41">
        <v>313.81715091117985</v>
      </c>
      <c r="O118" s="41">
        <v>330.88536853546952</v>
      </c>
      <c r="P118" s="41">
        <v>376.89176460051306</v>
      </c>
      <c r="Q118" s="41">
        <v>388.11128038935624</v>
      </c>
      <c r="R118" s="41">
        <v>468.85401240014522</v>
      </c>
      <c r="S118" s="41">
        <v>1018.0957825629449</v>
      </c>
      <c r="T118" s="41">
        <v>1151.8187144452779</v>
      </c>
      <c r="U118" s="41">
        <v>1471.149533903568</v>
      </c>
      <c r="V118" s="41">
        <v>1591.8822655652327</v>
      </c>
      <c r="W118" s="41">
        <v>1847.6689682985177</v>
      </c>
      <c r="X118" s="41">
        <v>2852.1119740179538</v>
      </c>
      <c r="Y118" s="41">
        <v>3850.2644186612688</v>
      </c>
      <c r="Z118" s="41">
        <v>2693.1565285530628</v>
      </c>
      <c r="AA118" s="41">
        <v>2936.5967904122094</v>
      </c>
      <c r="AB118" s="41">
        <v>2747.9654947241575</v>
      </c>
      <c r="AC118" s="41">
        <v>3090.0041774272504</v>
      </c>
      <c r="AD118" s="41">
        <v>3112.9957635963583</v>
      </c>
      <c r="AE118" s="41">
        <v>2970.7867526527898</v>
      </c>
      <c r="AF118" s="41">
        <v>3492.276687240304</v>
      </c>
      <c r="AG118" s="41">
        <v>3773.3754167032462</v>
      </c>
      <c r="AH118" s="41">
        <v>3873.619308843241</v>
      </c>
      <c r="AI118" s="41">
        <v>10356.90304759657</v>
      </c>
      <c r="AJ118" s="41">
        <v>22.79534530666777</v>
      </c>
      <c r="AK118" s="41">
        <v>30.086387009323481</v>
      </c>
      <c r="AL118" s="41">
        <v>54.441579779185076</v>
      </c>
      <c r="AM118" s="41">
        <v>204.27238834976953</v>
      </c>
      <c r="AN118" s="41">
        <v>639.92312444307902</v>
      </c>
      <c r="AO118" s="41">
        <v>502.02867599717831</v>
      </c>
      <c r="AP118" s="41">
        <v>968.52914212445557</v>
      </c>
      <c r="AQ118" s="41">
        <v>932.30973057933306</v>
      </c>
      <c r="AR118" s="41">
        <v>1617.4678939688547</v>
      </c>
      <c r="AS118" s="41">
        <v>2058.2644008244874</v>
      </c>
      <c r="AT118" s="41">
        <v>1494.3888023628101</v>
      </c>
      <c r="AU118" s="41">
        <v>1320.7347059895578</v>
      </c>
      <c r="AV118" s="41">
        <v>854.82528083372335</v>
      </c>
      <c r="AW118" s="41">
        <v>1391.9634894029145</v>
      </c>
      <c r="AX118" s="41">
        <v>1855.522348359174</v>
      </c>
      <c r="AY118" s="41">
        <v>2373.2094476519223</v>
      </c>
      <c r="AZ118" s="41">
        <v>3182.8413509962024</v>
      </c>
      <c r="BA118" s="41">
        <v>4636.6393248470495</v>
      </c>
      <c r="BB118" s="41">
        <v>3853.8286201379278</v>
      </c>
      <c r="BC118" s="41">
        <v>4657.2802692158848</v>
      </c>
      <c r="BD118" s="41">
        <v>6045.4945669194967</v>
      </c>
      <c r="BE118" s="41">
        <v>6836.0739951333808</v>
      </c>
      <c r="BF118" s="41">
        <v>7076.5522652518848</v>
      </c>
      <c r="BG118" s="41">
        <v>6637.6843745455135</v>
      </c>
      <c r="BH118" s="41">
        <v>4688.3180174346599</v>
      </c>
      <c r="BI118" s="41">
        <v>4550.658637848288</v>
      </c>
      <c r="BJ118" s="41">
        <v>5076.6907945599287</v>
      </c>
      <c r="BK118" s="41">
        <v>5523.0783754853419</v>
      </c>
      <c r="BL118" s="41">
        <v>5658.4922665404683</v>
      </c>
      <c r="BM118" s="41">
        <v>4157.4844946948924</v>
      </c>
    </row>
    <row r="119" spans="1:65" x14ac:dyDescent="0.35">
      <c r="A119" s="41" t="s">
        <v>334</v>
      </c>
      <c r="B119" s="41" t="s">
        <v>335</v>
      </c>
      <c r="C119" s="41" t="s">
        <v>659</v>
      </c>
      <c r="D119" s="41" t="s">
        <v>660</v>
      </c>
      <c r="E119" s="41">
        <v>1414.9822694062102</v>
      </c>
      <c r="F119" s="41">
        <v>1418.1258697152584</v>
      </c>
      <c r="G119" s="41">
        <v>1562.2307304583746</v>
      </c>
      <c r="H119" s="41">
        <v>1831.7056558197173</v>
      </c>
      <c r="I119" s="41">
        <v>2297.9206432037981</v>
      </c>
      <c r="J119" s="41">
        <v>2723.520949890732</v>
      </c>
      <c r="K119" s="41">
        <v>3215.6941780432885</v>
      </c>
      <c r="L119" s="41">
        <v>3125.6494918501435</v>
      </c>
      <c r="M119" s="41">
        <v>2354.4800267130499</v>
      </c>
      <c r="N119" s="41">
        <v>2039.1962951726166</v>
      </c>
      <c r="O119" s="41">
        <v>2576.3534443427611</v>
      </c>
      <c r="P119" s="41">
        <v>3252.0991778844841</v>
      </c>
      <c r="Q119" s="41">
        <v>4014.8427301755769</v>
      </c>
      <c r="R119" s="41">
        <v>5437.3425254121685</v>
      </c>
      <c r="S119" s="41">
        <v>7040.5540441972626</v>
      </c>
      <c r="T119" s="41">
        <v>6454.1771515937817</v>
      </c>
      <c r="U119" s="41">
        <v>7583.2752980432651</v>
      </c>
      <c r="V119" s="41">
        <v>9957.2544343346344</v>
      </c>
      <c r="W119" s="41">
        <v>11236.735735063992</v>
      </c>
      <c r="X119" s="41">
        <v>12640.640812835505</v>
      </c>
      <c r="Y119" s="41">
        <v>14821.814177623897</v>
      </c>
      <c r="Z119" s="41">
        <v>15137.253840868261</v>
      </c>
      <c r="AA119" s="41">
        <v>13711.735925661826</v>
      </c>
      <c r="AB119" s="41">
        <v>11671.809059351071</v>
      </c>
      <c r="AC119" s="41">
        <v>11959.53987855696</v>
      </c>
      <c r="AD119" s="41">
        <v>12361.186936719609</v>
      </c>
      <c r="AE119" s="41">
        <v>16406.047845027151</v>
      </c>
      <c r="AF119" s="41">
        <v>22453.188018056866</v>
      </c>
      <c r="AG119" s="41">
        <v>24451.97313105383</v>
      </c>
      <c r="AH119" s="41">
        <v>22434.346560350208</v>
      </c>
      <c r="AI119" s="41">
        <v>25384.914753310379</v>
      </c>
      <c r="AJ119" s="41">
        <v>26802.98931841708</v>
      </c>
      <c r="AK119" s="41">
        <v>27124.2742716967</v>
      </c>
      <c r="AL119" s="41">
        <v>23579.795136883786</v>
      </c>
      <c r="AM119" s="41">
        <v>24018.631181742327</v>
      </c>
      <c r="AN119" s="41">
        <v>26633.591144980539</v>
      </c>
      <c r="AO119" s="41">
        <v>27614.873336638539</v>
      </c>
      <c r="AP119" s="41">
        <v>27919.163545090214</v>
      </c>
      <c r="AQ119" s="41">
        <v>31030.053598918115</v>
      </c>
      <c r="AR119" s="41">
        <v>32381.625235648808</v>
      </c>
      <c r="AS119" s="41">
        <v>32096.372261369539</v>
      </c>
      <c r="AT119" s="41">
        <v>28897.443939690838</v>
      </c>
      <c r="AU119" s="41">
        <v>32409.216149175325</v>
      </c>
      <c r="AV119" s="41">
        <v>39476.697848668387</v>
      </c>
      <c r="AW119" s="41">
        <v>47334.930653772331</v>
      </c>
      <c r="AX119" s="41">
        <v>56794.850158895293</v>
      </c>
      <c r="AY119" s="41">
        <v>57492.934249870297</v>
      </c>
      <c r="AZ119" s="41">
        <v>69495.726737682504</v>
      </c>
      <c r="BA119" s="41">
        <v>56943.370446856316</v>
      </c>
      <c r="BB119" s="41">
        <v>41301.273219718045</v>
      </c>
      <c r="BC119" s="41">
        <v>43237.07294889581</v>
      </c>
      <c r="BD119" s="41">
        <v>47714.592230848451</v>
      </c>
      <c r="BE119" s="41">
        <v>45995.547878946723</v>
      </c>
      <c r="BF119" s="41">
        <v>49804.982997837134</v>
      </c>
      <c r="BG119" s="41">
        <v>54576.744814656486</v>
      </c>
      <c r="BH119" s="41">
        <v>52951.681511089751</v>
      </c>
      <c r="BI119" s="41">
        <v>61987.926362028345</v>
      </c>
      <c r="BJ119" s="41">
        <v>72010.149031625842</v>
      </c>
      <c r="BK119" s="41">
        <v>74348.362284625458</v>
      </c>
      <c r="BL119" s="41">
        <v>68883.148774177578</v>
      </c>
      <c r="BM119" s="41">
        <v>59260.887138168189</v>
      </c>
    </row>
    <row r="120" spans="1:65" x14ac:dyDescent="0.35">
      <c r="A120" s="41" t="s">
        <v>336</v>
      </c>
      <c r="B120" s="41" t="s">
        <v>337</v>
      </c>
      <c r="C120" s="41" t="s">
        <v>659</v>
      </c>
      <c r="D120" s="41" t="s">
        <v>660</v>
      </c>
      <c r="E120" s="41">
        <v>1229.1747476372032</v>
      </c>
      <c r="F120" s="41">
        <v>1436.3844393592678</v>
      </c>
      <c r="G120" s="41">
        <v>1094.6358482337548</v>
      </c>
      <c r="H120" s="41">
        <v>1257.8114053523891</v>
      </c>
      <c r="I120" s="41">
        <v>1375.8922558922559</v>
      </c>
      <c r="J120" s="41">
        <v>1429.3146052802706</v>
      </c>
      <c r="K120" s="41">
        <v>1513.8836059338153</v>
      </c>
      <c r="L120" s="41">
        <v>1468.1238615664847</v>
      </c>
      <c r="M120" s="41">
        <v>1647.8772743489119</v>
      </c>
      <c r="N120" s="41">
        <v>1852.3925385239256</v>
      </c>
      <c r="AN120" s="41">
        <v>18166.799614448937</v>
      </c>
      <c r="AO120" s="41">
        <v>19400.678358226716</v>
      </c>
      <c r="AP120" s="41">
        <v>19701.315926525433</v>
      </c>
      <c r="AQ120" s="41">
        <v>19462.066488029865</v>
      </c>
      <c r="AR120" s="41">
        <v>19163.032912273538</v>
      </c>
      <c r="AS120" s="41">
        <v>21101.18010159659</v>
      </c>
      <c r="AT120" s="41">
        <v>20353.621985807848</v>
      </c>
      <c r="AU120" s="41">
        <v>18479.701385399192</v>
      </c>
      <c r="AV120" s="41">
        <v>19033.756158642595</v>
      </c>
      <c r="AW120" s="41">
        <v>19933.642469553477</v>
      </c>
      <c r="AX120" s="41">
        <v>20585.637483949355</v>
      </c>
      <c r="AY120" s="41">
        <v>21854.877885829272</v>
      </c>
      <c r="AZ120" s="41">
        <v>24939.461797692391</v>
      </c>
      <c r="BA120" s="41">
        <v>29599.783013821125</v>
      </c>
      <c r="BB120" s="41">
        <v>27719.794987413225</v>
      </c>
      <c r="BC120" s="41">
        <v>30694.167676692301</v>
      </c>
      <c r="BD120" s="41">
        <v>33610.694028976119</v>
      </c>
      <c r="BE120" s="41">
        <v>32510.345295959611</v>
      </c>
      <c r="BF120" s="41">
        <v>36316.478373586528</v>
      </c>
      <c r="BG120" s="41">
        <v>37738.41607027658</v>
      </c>
      <c r="BH120" s="41">
        <v>35813.713406914176</v>
      </c>
      <c r="BI120" s="41">
        <v>37282.530559085557</v>
      </c>
      <c r="BJ120" s="41">
        <v>40474.668129299818</v>
      </c>
      <c r="BK120" s="41">
        <v>41704.828565312506</v>
      </c>
      <c r="BL120" s="41">
        <v>43588.713153649005</v>
      </c>
      <c r="BM120" s="41">
        <v>43610.520330814848</v>
      </c>
    </row>
    <row r="121" spans="1:65" x14ac:dyDescent="0.35">
      <c r="A121" s="41" t="s">
        <v>338</v>
      </c>
      <c r="B121" s="41" t="s">
        <v>339</v>
      </c>
      <c r="C121" s="41" t="s">
        <v>659</v>
      </c>
      <c r="D121" s="41" t="s">
        <v>660</v>
      </c>
      <c r="E121" s="41">
        <v>804.49262334617833</v>
      </c>
      <c r="F121" s="41">
        <v>887.33674460447548</v>
      </c>
      <c r="G121" s="41">
        <v>990.26015216342</v>
      </c>
      <c r="H121" s="41">
        <v>1126.0193369982469</v>
      </c>
      <c r="I121" s="41">
        <v>1222.5445404628979</v>
      </c>
      <c r="J121" s="41">
        <v>1304.4538166196512</v>
      </c>
      <c r="K121" s="41">
        <v>1402.4423544103229</v>
      </c>
      <c r="L121" s="41">
        <v>1533.6928774854725</v>
      </c>
      <c r="M121" s="41">
        <v>1651.9393767975566</v>
      </c>
      <c r="N121" s="41">
        <v>1813.3881257570581</v>
      </c>
      <c r="O121" s="41">
        <v>2106.8639592494524</v>
      </c>
      <c r="P121" s="41">
        <v>2305.6097505960693</v>
      </c>
      <c r="Q121" s="41">
        <v>2671.1373144713034</v>
      </c>
      <c r="R121" s="41">
        <v>3205.2520403844387</v>
      </c>
      <c r="S121" s="41">
        <v>3621.1458224787602</v>
      </c>
      <c r="T121" s="41">
        <v>4106.9938677140344</v>
      </c>
      <c r="U121" s="41">
        <v>4033.0993544458452</v>
      </c>
      <c r="V121" s="41">
        <v>4603.5997012702719</v>
      </c>
      <c r="W121" s="41">
        <v>5610.4980992817145</v>
      </c>
      <c r="X121" s="41">
        <v>6990.2858067146053</v>
      </c>
      <c r="Y121" s="41">
        <v>8456.9189744382729</v>
      </c>
      <c r="Z121" s="41">
        <v>7622.8333284458349</v>
      </c>
      <c r="AA121" s="41">
        <v>7556.5234369320324</v>
      </c>
      <c r="AB121" s="41">
        <v>7832.5753867884987</v>
      </c>
      <c r="AC121" s="41">
        <v>7739.7152836179521</v>
      </c>
      <c r="AD121" s="41">
        <v>7990.686565511819</v>
      </c>
      <c r="AE121" s="41">
        <v>11315.015176792265</v>
      </c>
      <c r="AF121" s="41">
        <v>14234.728638047431</v>
      </c>
      <c r="AG121" s="41">
        <v>15744.661263542786</v>
      </c>
      <c r="AH121" s="41">
        <v>16386.662212086587</v>
      </c>
      <c r="AI121" s="41">
        <v>20825.784222830691</v>
      </c>
      <c r="AJ121" s="41">
        <v>21956.529770733247</v>
      </c>
      <c r="AK121" s="41">
        <v>23243.474527720562</v>
      </c>
      <c r="AL121" s="41">
        <v>18738.763896913206</v>
      </c>
      <c r="AM121" s="41">
        <v>19337.630899638298</v>
      </c>
      <c r="AN121" s="41">
        <v>20664.552270172368</v>
      </c>
      <c r="AO121" s="41">
        <v>23081.604675770181</v>
      </c>
      <c r="AP121" s="41">
        <v>21829.345822622159</v>
      </c>
      <c r="AQ121" s="41">
        <v>22318.137300710863</v>
      </c>
      <c r="AR121" s="41">
        <v>21997.624315531288</v>
      </c>
      <c r="AS121" s="41">
        <v>20087.591985879448</v>
      </c>
      <c r="AT121" s="41">
        <v>20483.215994997408</v>
      </c>
      <c r="AU121" s="41">
        <v>22270.144123428239</v>
      </c>
      <c r="AV121" s="41">
        <v>27465.675298722446</v>
      </c>
      <c r="AW121" s="41">
        <v>31259.716495430945</v>
      </c>
      <c r="AX121" s="41">
        <v>32043.140368411867</v>
      </c>
      <c r="AY121" s="41">
        <v>33501.658167304398</v>
      </c>
      <c r="AZ121" s="41">
        <v>37822.665237742724</v>
      </c>
      <c r="BA121" s="41">
        <v>40778.342736720944</v>
      </c>
      <c r="BB121" s="41">
        <v>37079.758670454583</v>
      </c>
      <c r="BC121" s="41">
        <v>36000.520117925444</v>
      </c>
      <c r="BD121" s="41">
        <v>38599.06220703217</v>
      </c>
      <c r="BE121" s="41">
        <v>35053.526244257242</v>
      </c>
      <c r="BF121" s="41">
        <v>35549.974697295402</v>
      </c>
      <c r="BG121" s="41">
        <v>35518.415291674879</v>
      </c>
      <c r="BH121" s="41">
        <v>30230.226302129598</v>
      </c>
      <c r="BI121" s="41">
        <v>30939.714246229771</v>
      </c>
      <c r="BJ121" s="41">
        <v>32326.674211399353</v>
      </c>
      <c r="BK121" s="41">
        <v>34608.675601705363</v>
      </c>
      <c r="BL121" s="41">
        <v>33566.787304160876</v>
      </c>
      <c r="BM121" s="41">
        <v>31676.202098734884</v>
      </c>
    </row>
    <row r="122" spans="1:65" x14ac:dyDescent="0.35">
      <c r="A122" s="41" t="s">
        <v>340</v>
      </c>
      <c r="B122" s="41" t="s">
        <v>341</v>
      </c>
      <c r="C122" s="41" t="s">
        <v>659</v>
      </c>
      <c r="D122" s="41" t="s">
        <v>660</v>
      </c>
      <c r="E122" s="41">
        <v>429.25414607731926</v>
      </c>
      <c r="F122" s="41">
        <v>453.05783437208271</v>
      </c>
      <c r="G122" s="41">
        <v>463.89051342146433</v>
      </c>
      <c r="H122" s="41">
        <v>485.24380814873632</v>
      </c>
      <c r="I122" s="41">
        <v>518.81387163054194</v>
      </c>
      <c r="J122" s="41">
        <v>553.45068578614848</v>
      </c>
      <c r="K122" s="41">
        <v>615.96434373666546</v>
      </c>
      <c r="L122" s="41">
        <v>636.6162749156764</v>
      </c>
      <c r="M122" s="41">
        <v>593.62472380839915</v>
      </c>
      <c r="N122" s="41">
        <v>644.05833484139237</v>
      </c>
      <c r="O122" s="41">
        <v>748.95945806296299</v>
      </c>
      <c r="P122" s="41">
        <v>808.63355456937006</v>
      </c>
      <c r="Q122" s="41">
        <v>968.97293092713232</v>
      </c>
      <c r="R122" s="41">
        <v>968.95722941054214</v>
      </c>
      <c r="S122" s="41">
        <v>1188.5506670063746</v>
      </c>
      <c r="T122" s="41">
        <v>1410.4459997106246</v>
      </c>
      <c r="U122" s="41">
        <v>1443.0534584256081</v>
      </c>
      <c r="V122" s="41">
        <v>1561.7358282228913</v>
      </c>
      <c r="W122" s="41">
        <v>1255.7317370710875</v>
      </c>
      <c r="X122" s="41">
        <v>1137.0274712238854</v>
      </c>
      <c r="Y122" s="41">
        <v>1238.8390690379752</v>
      </c>
      <c r="Z122" s="41">
        <v>1356.0166307173954</v>
      </c>
      <c r="AA122" s="41">
        <v>1474.2354009981971</v>
      </c>
      <c r="AB122" s="41">
        <v>1593.1849976742183</v>
      </c>
      <c r="AC122" s="41">
        <v>1029.136714795233</v>
      </c>
      <c r="AD122" s="41">
        <v>899.25675750219716</v>
      </c>
      <c r="AE122" s="41">
        <v>1168.0973028613878</v>
      </c>
      <c r="AF122" s="41">
        <v>1383.7617040144683</v>
      </c>
      <c r="AG122" s="41">
        <v>1602.1958240732374</v>
      </c>
      <c r="AH122" s="41">
        <v>1832.7589091568939</v>
      </c>
      <c r="AI122" s="41">
        <v>1897.6908837890219</v>
      </c>
      <c r="AJ122" s="41">
        <v>1683.331431016074</v>
      </c>
      <c r="AK122" s="41">
        <v>1436.567481160331</v>
      </c>
      <c r="AL122" s="41">
        <v>2189.5282923426767</v>
      </c>
      <c r="AM122" s="41">
        <v>2173.1658479344187</v>
      </c>
      <c r="AN122" s="41">
        <v>2596.0101214230895</v>
      </c>
      <c r="AO122" s="41">
        <v>2889.7811191921323</v>
      </c>
      <c r="AP122" s="41">
        <v>3250.8953061117845</v>
      </c>
      <c r="AQ122" s="41">
        <v>3368.1947163546497</v>
      </c>
      <c r="AR122" s="41">
        <v>3375.6749752787964</v>
      </c>
      <c r="AS122" s="41">
        <v>3392.123878094621</v>
      </c>
      <c r="AT122" s="41">
        <v>3437.6555165314817</v>
      </c>
      <c r="AU122" s="41">
        <v>3609.2033311742612</v>
      </c>
      <c r="AV122" s="41">
        <v>3480.5116649540969</v>
      </c>
      <c r="AW122" s="41">
        <v>3733.7986713284963</v>
      </c>
      <c r="AX122" s="41">
        <v>4103.6016371323985</v>
      </c>
      <c r="AY122" s="41">
        <v>4331.2920528212444</v>
      </c>
      <c r="AZ122" s="41">
        <v>4623.7478971971204</v>
      </c>
      <c r="BA122" s="41">
        <v>4928.126409015149</v>
      </c>
      <c r="BB122" s="41">
        <v>4335.1784107741314</v>
      </c>
      <c r="BC122" s="41">
        <v>4704.0477596242526</v>
      </c>
      <c r="BD122" s="41">
        <v>5111.4659871069698</v>
      </c>
      <c r="BE122" s="41">
        <v>5209.8592636256681</v>
      </c>
      <c r="BF122" s="41">
        <v>4989.7340889101197</v>
      </c>
      <c r="BG122" s="41">
        <v>4834.2840094980138</v>
      </c>
      <c r="BH122" s="41">
        <v>4907.9274151890031</v>
      </c>
      <c r="BI122" s="41">
        <v>4843.749899994008</v>
      </c>
      <c r="BJ122" s="41">
        <v>5070.0995030615968</v>
      </c>
      <c r="BK122" s="41">
        <v>5359.9937893963843</v>
      </c>
      <c r="BL122" s="41">
        <v>5369.4983713849042</v>
      </c>
      <c r="BM122" s="41">
        <v>4664.5291503597273</v>
      </c>
    </row>
    <row r="123" spans="1:65" x14ac:dyDescent="0.35">
      <c r="A123" s="41" t="s">
        <v>342</v>
      </c>
      <c r="B123" s="41" t="s">
        <v>343</v>
      </c>
      <c r="C123" s="41" t="s">
        <v>659</v>
      </c>
      <c r="D123" s="41" t="s">
        <v>660</v>
      </c>
      <c r="J123" s="41">
        <v>511.10297079811534</v>
      </c>
      <c r="K123" s="41">
        <v>519.37351929330839</v>
      </c>
      <c r="L123" s="41">
        <v>458.12770220144654</v>
      </c>
      <c r="M123" s="41">
        <v>374.08299769165706</v>
      </c>
      <c r="N123" s="41">
        <v>432.14554701082636</v>
      </c>
      <c r="O123" s="41">
        <v>371.5744948543371</v>
      </c>
      <c r="P123" s="41">
        <v>374.88614479863452</v>
      </c>
      <c r="Q123" s="41">
        <v>418.58113572342114</v>
      </c>
      <c r="R123" s="41">
        <v>484.33572230671058</v>
      </c>
      <c r="S123" s="41">
        <v>596.42044730409373</v>
      </c>
      <c r="T123" s="41">
        <v>659.77484061538109</v>
      </c>
      <c r="U123" s="41">
        <v>804.79984728522129</v>
      </c>
      <c r="V123" s="41">
        <v>962.01064375794135</v>
      </c>
      <c r="W123" s="41">
        <v>1163.0130133745902</v>
      </c>
      <c r="X123" s="41">
        <v>1420.5659948210475</v>
      </c>
      <c r="Y123" s="41">
        <v>1644.2564583313879</v>
      </c>
      <c r="Z123" s="41">
        <v>1778.8707842702506</v>
      </c>
      <c r="AA123" s="41">
        <v>1825.8325453765908</v>
      </c>
      <c r="AB123" s="41">
        <v>1841.8745440004175</v>
      </c>
      <c r="AC123" s="41">
        <v>1783.7265984010173</v>
      </c>
      <c r="AD123" s="41">
        <v>1721.977408745913</v>
      </c>
      <c r="AE123" s="41">
        <v>2122.9704300807816</v>
      </c>
      <c r="AF123" s="41">
        <v>2157.0978714276375</v>
      </c>
      <c r="AG123" s="41">
        <v>1927.5594049204176</v>
      </c>
      <c r="AH123" s="41">
        <v>1241.6980052325041</v>
      </c>
      <c r="AI123" s="41">
        <v>1166.6109304141282</v>
      </c>
      <c r="AJ123" s="41">
        <v>1155.2342357804621</v>
      </c>
      <c r="AK123" s="41">
        <v>1335.2875108380758</v>
      </c>
      <c r="AL123" s="41">
        <v>1334.2289220680036</v>
      </c>
      <c r="AM123" s="41">
        <v>1414.3389109417797</v>
      </c>
      <c r="AN123" s="41">
        <v>1466.0445124107764</v>
      </c>
      <c r="AO123" s="41">
        <v>1463.887967321979</v>
      </c>
      <c r="AP123" s="41">
        <v>1494.5106266011828</v>
      </c>
      <c r="AQ123" s="41">
        <v>1600.3979313168797</v>
      </c>
      <c r="AR123" s="41">
        <v>1619.5358646070761</v>
      </c>
      <c r="AS123" s="41">
        <v>1651.6217976911985</v>
      </c>
      <c r="AT123" s="41">
        <v>1720.3614273152664</v>
      </c>
      <c r="AU123" s="41">
        <v>1802.0550641596915</v>
      </c>
      <c r="AV123" s="41">
        <v>1876.2593383343158</v>
      </c>
      <c r="AW123" s="41">
        <v>2044.9637227185704</v>
      </c>
      <c r="AX123" s="41">
        <v>2183.3946425095305</v>
      </c>
      <c r="AY123" s="41">
        <v>2513.0287320162338</v>
      </c>
      <c r="AZ123" s="41">
        <v>2735.3787669490312</v>
      </c>
      <c r="BA123" s="41">
        <v>3455.7699532294632</v>
      </c>
      <c r="BB123" s="41">
        <v>3559.692101519779</v>
      </c>
      <c r="BC123" s="41">
        <v>3736.6454620792083</v>
      </c>
      <c r="BD123" s="41">
        <v>3852.8900254878245</v>
      </c>
      <c r="BE123" s="41">
        <v>3910.3468940637736</v>
      </c>
      <c r="BF123" s="41">
        <v>4044.4268689118467</v>
      </c>
      <c r="BG123" s="41">
        <v>4131.4473504602693</v>
      </c>
      <c r="BH123" s="41">
        <v>4164.1087689401402</v>
      </c>
      <c r="BI123" s="41">
        <v>4175.3566019230075</v>
      </c>
      <c r="BJ123" s="41">
        <v>4231.5182799913373</v>
      </c>
      <c r="BK123" s="41">
        <v>4308.151073899704</v>
      </c>
      <c r="BL123" s="41">
        <v>4405.4871092939093</v>
      </c>
      <c r="BM123" s="41">
        <v>4282.7658226108497</v>
      </c>
    </row>
    <row r="124" spans="1:65" x14ac:dyDescent="0.35">
      <c r="A124" s="41" t="s">
        <v>344</v>
      </c>
      <c r="B124" s="41" t="s">
        <v>345</v>
      </c>
      <c r="C124" s="41" t="s">
        <v>659</v>
      </c>
      <c r="D124" s="41" t="s">
        <v>660</v>
      </c>
      <c r="E124" s="41">
        <v>475.31907559217302</v>
      </c>
      <c r="F124" s="41">
        <v>568.90774269712165</v>
      </c>
      <c r="G124" s="41">
        <v>639.64078543534208</v>
      </c>
      <c r="H124" s="41">
        <v>724.69376222453934</v>
      </c>
      <c r="I124" s="41">
        <v>843.61687854360662</v>
      </c>
      <c r="J124" s="41">
        <v>928.51884859704523</v>
      </c>
      <c r="K124" s="41">
        <v>1068.5584399056268</v>
      </c>
      <c r="L124" s="41">
        <v>1239.3183774126694</v>
      </c>
      <c r="M124" s="41">
        <v>1451.337702681006</v>
      </c>
      <c r="N124" s="41">
        <v>1684.6594026637795</v>
      </c>
      <c r="O124" s="41">
        <v>2056.1220459700826</v>
      </c>
      <c r="P124" s="41">
        <v>2272.0778022104746</v>
      </c>
      <c r="Q124" s="41">
        <v>2967.0419962342025</v>
      </c>
      <c r="R124" s="41">
        <v>3974.7456047054798</v>
      </c>
      <c r="S124" s="41">
        <v>4353.8243551624473</v>
      </c>
      <c r="T124" s="41">
        <v>4674.4454811939358</v>
      </c>
      <c r="U124" s="41">
        <v>5197.6223365078367</v>
      </c>
      <c r="V124" s="41">
        <v>6335.2868706689469</v>
      </c>
      <c r="W124" s="41">
        <v>8820.6919453746887</v>
      </c>
      <c r="X124" s="41">
        <v>9103.5647555986743</v>
      </c>
      <c r="Y124" s="41">
        <v>9463.3538551959628</v>
      </c>
      <c r="Z124" s="41">
        <v>10360.178267478661</v>
      </c>
      <c r="AA124" s="41">
        <v>9575.6077134078332</v>
      </c>
      <c r="AB124" s="41">
        <v>10421.212435639429</v>
      </c>
      <c r="AC124" s="41">
        <v>10978.919805499176</v>
      </c>
      <c r="AD124" s="41">
        <v>11576.692112686458</v>
      </c>
      <c r="AE124" s="41">
        <v>17113.262324241867</v>
      </c>
      <c r="AF124" s="41">
        <v>20748.990924452817</v>
      </c>
      <c r="AG124" s="41">
        <v>25059.007433462059</v>
      </c>
      <c r="AH124" s="41">
        <v>24822.775567065473</v>
      </c>
      <c r="AI124" s="41">
        <v>25371.464170524639</v>
      </c>
      <c r="AJ124" s="41">
        <v>28915.008204808186</v>
      </c>
      <c r="AK124" s="41">
        <v>31414.984637041245</v>
      </c>
      <c r="AL124" s="41">
        <v>35681.963942250644</v>
      </c>
      <c r="AM124" s="41">
        <v>39200.493572909596</v>
      </c>
      <c r="AN124" s="41">
        <v>43428.942752017159</v>
      </c>
      <c r="AO124" s="41">
        <v>38436.926311911833</v>
      </c>
      <c r="AP124" s="41">
        <v>35021.719091715902</v>
      </c>
      <c r="AQ124" s="41">
        <v>31902.767095513733</v>
      </c>
      <c r="AR124" s="41">
        <v>36026.556075016808</v>
      </c>
      <c r="AS124" s="41">
        <v>38532.04087529354</v>
      </c>
      <c r="AT124" s="41">
        <v>33846.465641434232</v>
      </c>
      <c r="AU124" s="41">
        <v>32289.350536072558</v>
      </c>
      <c r="AV124" s="41">
        <v>34808.390917661287</v>
      </c>
      <c r="AW124" s="41">
        <v>37688.722335940642</v>
      </c>
      <c r="AX124" s="41">
        <v>37217.648727916981</v>
      </c>
      <c r="AY124" s="41">
        <v>35433.988963743017</v>
      </c>
      <c r="AZ124" s="41">
        <v>35275.228431266696</v>
      </c>
      <c r="BA124" s="41">
        <v>39339.297573182572</v>
      </c>
      <c r="BB124" s="41">
        <v>40855.175635459636</v>
      </c>
      <c r="BC124" s="41">
        <v>44507.676385917155</v>
      </c>
      <c r="BD124" s="41">
        <v>48167.997268496532</v>
      </c>
      <c r="BE124" s="41">
        <v>48603.476649774908</v>
      </c>
      <c r="BF124" s="41">
        <v>40454.447457890281</v>
      </c>
      <c r="BG124" s="41">
        <v>38109.412112557286</v>
      </c>
      <c r="BH124" s="41">
        <v>34524.469860933721</v>
      </c>
      <c r="BI124" s="41">
        <v>38761.818150192456</v>
      </c>
      <c r="BJ124" s="41">
        <v>38386.511145705685</v>
      </c>
      <c r="BK124" s="41">
        <v>39159.423563395205</v>
      </c>
      <c r="BL124" s="41">
        <v>40113.0609702277</v>
      </c>
    </row>
    <row r="125" spans="1:65" x14ac:dyDescent="0.35">
      <c r="A125" s="41" t="s">
        <v>346</v>
      </c>
      <c r="B125" s="41" t="s">
        <v>347</v>
      </c>
      <c r="C125" s="41" t="s">
        <v>659</v>
      </c>
      <c r="D125" s="41" t="s">
        <v>660</v>
      </c>
      <c r="AI125" s="41">
        <v>1647.4632433776087</v>
      </c>
      <c r="AJ125" s="41">
        <v>1514.9230935965822</v>
      </c>
      <c r="AK125" s="41">
        <v>1515.737659031767</v>
      </c>
      <c r="AL125" s="41">
        <v>1429.0781770090214</v>
      </c>
      <c r="AM125" s="41">
        <v>1316.1836289529665</v>
      </c>
      <c r="AN125" s="41">
        <v>1288.1885193836411</v>
      </c>
      <c r="AO125" s="41">
        <v>1350.3056702722424</v>
      </c>
      <c r="AP125" s="41">
        <v>1445.5032368693817</v>
      </c>
      <c r="AQ125" s="41">
        <v>1468.6692911987734</v>
      </c>
      <c r="AR125" s="41">
        <v>1130.1178440303304</v>
      </c>
      <c r="AS125" s="41">
        <v>1229.0012466723119</v>
      </c>
      <c r="AT125" s="41">
        <v>1490.9270898716604</v>
      </c>
      <c r="AU125" s="41">
        <v>1658.0307854463638</v>
      </c>
      <c r="AV125" s="41">
        <v>2068.1239793684217</v>
      </c>
      <c r="AW125" s="41">
        <v>2874.2884827299908</v>
      </c>
      <c r="AX125" s="41">
        <v>3771.2789573384489</v>
      </c>
      <c r="AY125" s="41">
        <v>5291.5753045145657</v>
      </c>
      <c r="AZ125" s="41">
        <v>6771.4147968188527</v>
      </c>
      <c r="BA125" s="41">
        <v>8458.0171543298184</v>
      </c>
      <c r="BB125" s="41">
        <v>7165.2231748370332</v>
      </c>
      <c r="BC125" s="41">
        <v>9070.4882528574744</v>
      </c>
      <c r="BD125" s="41">
        <v>11634.001202110347</v>
      </c>
      <c r="BE125" s="41">
        <v>12386.699265296294</v>
      </c>
      <c r="BF125" s="41">
        <v>13890.63095629264</v>
      </c>
      <c r="BG125" s="41">
        <v>12807.260686615242</v>
      </c>
      <c r="BH125" s="41">
        <v>10510.771888414851</v>
      </c>
      <c r="BI125" s="41">
        <v>7714.8418437602413</v>
      </c>
      <c r="BJ125" s="41">
        <v>9247.5813312962582</v>
      </c>
      <c r="BK125" s="41">
        <v>9812.6263707739563</v>
      </c>
      <c r="BL125" s="41">
        <v>9812.5958082731995</v>
      </c>
      <c r="BM125" s="41">
        <v>9055.7450090300154</v>
      </c>
    </row>
    <row r="126" spans="1:65" x14ac:dyDescent="0.35">
      <c r="A126" s="41" t="s">
        <v>8</v>
      </c>
      <c r="B126" s="41" t="s">
        <v>348</v>
      </c>
      <c r="C126" s="41" t="s">
        <v>659</v>
      </c>
      <c r="D126" s="41" t="s">
        <v>660</v>
      </c>
      <c r="E126" s="41">
        <v>97.44550102056553</v>
      </c>
      <c r="F126" s="41">
        <v>94.651292681532226</v>
      </c>
      <c r="G126" s="41">
        <v>100.39449511103071</v>
      </c>
      <c r="H126" s="41">
        <v>103.7787210377715</v>
      </c>
      <c r="I126" s="41">
        <v>108.29368839849862</v>
      </c>
      <c r="J126" s="41">
        <v>104.71167386959162</v>
      </c>
      <c r="K126" s="41">
        <v>118.20791036587505</v>
      </c>
      <c r="L126" s="41">
        <v>120.98759055335157</v>
      </c>
      <c r="M126" s="41">
        <v>128.39726201868561</v>
      </c>
      <c r="N126" s="41">
        <v>133.66534591783605</v>
      </c>
      <c r="O126" s="41">
        <v>141.88049343750984</v>
      </c>
      <c r="P126" s="41">
        <v>151.82995859413759</v>
      </c>
      <c r="Q126" s="41">
        <v>173.49473182546751</v>
      </c>
      <c r="R126" s="41">
        <v>199.11423532803764</v>
      </c>
      <c r="S126" s="41">
        <v>227.10596751640247</v>
      </c>
      <c r="T126" s="41">
        <v>240.08319271169839</v>
      </c>
      <c r="U126" s="41">
        <v>246.48686140904377</v>
      </c>
      <c r="V126" s="41">
        <v>307.01643200955681</v>
      </c>
      <c r="W126" s="41">
        <v>348.80644441165043</v>
      </c>
      <c r="X126" s="41">
        <v>394.63738113882721</v>
      </c>
      <c r="Y126" s="41">
        <v>442.54282118718561</v>
      </c>
      <c r="Z126" s="41">
        <v>401.69618345088645</v>
      </c>
      <c r="AA126" s="41">
        <v>362.62185061960201</v>
      </c>
      <c r="AB126" s="41">
        <v>324.3965016813504</v>
      </c>
      <c r="AC126" s="41">
        <v>323.37338091347175</v>
      </c>
      <c r="AD126" s="41">
        <v>308.64870270692239</v>
      </c>
      <c r="AE126" s="41">
        <v>351.02948988545512</v>
      </c>
      <c r="AF126" s="41">
        <v>372.7798686832549</v>
      </c>
      <c r="AG126" s="41">
        <v>377.15535267065269</v>
      </c>
      <c r="AH126" s="41">
        <v>361.15469225004716</v>
      </c>
      <c r="AI126" s="41">
        <v>361.32826506626867</v>
      </c>
      <c r="AJ126" s="41">
        <v>332.41881070031786</v>
      </c>
      <c r="AK126" s="41">
        <v>324.13737821788789</v>
      </c>
      <c r="AL126" s="41">
        <v>220.06971839320235</v>
      </c>
      <c r="AM126" s="41">
        <v>265.23230566880039</v>
      </c>
      <c r="AN126" s="41">
        <v>325.77892911432656</v>
      </c>
      <c r="AO126" s="41">
        <v>421.33919708860259</v>
      </c>
      <c r="AP126" s="41">
        <v>445.87725509359166</v>
      </c>
      <c r="AQ126" s="41">
        <v>465.90980098348768</v>
      </c>
      <c r="AR126" s="41">
        <v>414.67930980831704</v>
      </c>
      <c r="AS126" s="41">
        <v>397.48265877751913</v>
      </c>
      <c r="AT126" s="41">
        <v>395.32947160888659</v>
      </c>
      <c r="AU126" s="41">
        <v>389.54263020123642</v>
      </c>
      <c r="AV126" s="41">
        <v>429.78781895037105</v>
      </c>
      <c r="AW126" s="41">
        <v>451.66876661360772</v>
      </c>
      <c r="AX126" s="41">
        <v>511.61639430125331</v>
      </c>
      <c r="AY126" s="41">
        <v>685.95442292182872</v>
      </c>
      <c r="AZ126" s="41">
        <v>825.66655495874625</v>
      </c>
      <c r="BA126" s="41">
        <v>902.06995780481031</v>
      </c>
      <c r="BB126" s="41">
        <v>905.13165335215342</v>
      </c>
      <c r="BC126" s="41">
        <v>951.68777997531811</v>
      </c>
      <c r="BD126" s="41">
        <v>971.63303651142246</v>
      </c>
      <c r="BE126" s="41">
        <v>1136.869893084348</v>
      </c>
      <c r="BF126" s="41">
        <v>1210.38543482726</v>
      </c>
      <c r="BG126" s="41">
        <v>1315.8022249692499</v>
      </c>
      <c r="BH126" s="41">
        <v>1336.8832650885074</v>
      </c>
      <c r="BI126" s="41">
        <v>1410.5320252756121</v>
      </c>
      <c r="BJ126" s="41">
        <v>1572.3457337310122</v>
      </c>
      <c r="BK126" s="41">
        <v>1708.00142830255</v>
      </c>
      <c r="BL126" s="41">
        <v>1816.547123752179</v>
      </c>
      <c r="BM126" s="41">
        <v>1838.2099679404237</v>
      </c>
    </row>
    <row r="127" spans="1:65" x14ac:dyDescent="0.35">
      <c r="A127" s="41" t="s">
        <v>349</v>
      </c>
      <c r="B127" s="41" t="s">
        <v>350</v>
      </c>
      <c r="C127" s="41" t="s">
        <v>659</v>
      </c>
      <c r="D127" s="41" t="s">
        <v>660</v>
      </c>
      <c r="AI127" s="41">
        <v>609.17289123701948</v>
      </c>
      <c r="AJ127" s="41">
        <v>575.64397447003421</v>
      </c>
      <c r="AK127" s="41">
        <v>513.0359436594764</v>
      </c>
      <c r="AL127" s="41">
        <v>449.0657901887339</v>
      </c>
      <c r="AM127" s="41">
        <v>372.30781001683084</v>
      </c>
      <c r="AN127" s="41">
        <v>364.22649735078465</v>
      </c>
      <c r="AO127" s="41">
        <v>394.86012146051439</v>
      </c>
      <c r="AP127" s="41">
        <v>376.42961326109986</v>
      </c>
      <c r="AQ127" s="41">
        <v>345.13813164845078</v>
      </c>
      <c r="AR127" s="41">
        <v>258.04922878575479</v>
      </c>
      <c r="AS127" s="41">
        <v>279.61956926093882</v>
      </c>
      <c r="AT127" s="41">
        <v>308.4096115911492</v>
      </c>
      <c r="AU127" s="41">
        <v>321.72703322784616</v>
      </c>
      <c r="AV127" s="41">
        <v>380.50643239474402</v>
      </c>
      <c r="AW127" s="41">
        <v>433.23497659086701</v>
      </c>
      <c r="AX127" s="41">
        <v>476.55212996897524</v>
      </c>
      <c r="AY127" s="41">
        <v>543.11070240307208</v>
      </c>
      <c r="AZ127" s="41">
        <v>721.76869083885708</v>
      </c>
      <c r="BA127" s="41">
        <v>966.39362718537234</v>
      </c>
      <c r="BB127" s="41">
        <v>871.22438933785429</v>
      </c>
      <c r="BC127" s="41">
        <v>880.03777511910869</v>
      </c>
      <c r="BD127" s="41">
        <v>1123.8831680626986</v>
      </c>
      <c r="BE127" s="41">
        <v>1177.9747348784833</v>
      </c>
      <c r="BF127" s="41">
        <v>1282.4371620246661</v>
      </c>
      <c r="BG127" s="41">
        <v>1279.7697826598551</v>
      </c>
      <c r="BH127" s="41">
        <v>1121.0828351073897</v>
      </c>
      <c r="BI127" s="41">
        <v>1120.6665130084834</v>
      </c>
      <c r="BJ127" s="41">
        <v>1242.7696428202323</v>
      </c>
      <c r="BK127" s="41">
        <v>1308.1397792184864</v>
      </c>
      <c r="BL127" s="41">
        <v>1374.0311363909163</v>
      </c>
      <c r="BM127" s="41">
        <v>1173.6113557621261</v>
      </c>
    </row>
    <row r="128" spans="1:65" x14ac:dyDescent="0.35">
      <c r="A128" s="41" t="s">
        <v>351</v>
      </c>
      <c r="B128" s="41" t="s">
        <v>352</v>
      </c>
      <c r="C128" s="41" t="s">
        <v>659</v>
      </c>
      <c r="D128" s="41" t="s">
        <v>660</v>
      </c>
      <c r="E128" s="41">
        <v>111.34244081200693</v>
      </c>
      <c r="F128" s="41">
        <v>109.46035024977392</v>
      </c>
      <c r="G128" s="41">
        <v>109.48117016316817</v>
      </c>
      <c r="H128" s="41">
        <v>117.82345020233521</v>
      </c>
      <c r="I128" s="41">
        <v>123.64592535563038</v>
      </c>
      <c r="J128" s="41">
        <v>134.30427964342303</v>
      </c>
      <c r="K128" s="41">
        <v>138.84297549347721</v>
      </c>
      <c r="L128" s="41">
        <v>144.0117784542438</v>
      </c>
      <c r="M128" s="41">
        <v>157.19013934843125</v>
      </c>
      <c r="N128" s="41">
        <v>142.26520365879168</v>
      </c>
      <c r="O128" s="41">
        <v>102.67896149833331</v>
      </c>
      <c r="P128" s="41">
        <v>135.848785288079</v>
      </c>
      <c r="Q128" s="41">
        <v>69.233298928923418</v>
      </c>
      <c r="R128" s="41">
        <v>94.358594499867777</v>
      </c>
      <c r="S128" s="41">
        <v>78.112035111392018</v>
      </c>
      <c r="AL128" s="41">
        <v>254.11663482800449</v>
      </c>
      <c r="AM128" s="41">
        <v>270.54294010551672</v>
      </c>
      <c r="AN128" s="41">
        <v>322.93157543406966</v>
      </c>
      <c r="AO128" s="41">
        <v>319.28631355394725</v>
      </c>
      <c r="AP128" s="41">
        <v>304.7647688470575</v>
      </c>
      <c r="AQ128" s="41">
        <v>268.99037219653923</v>
      </c>
      <c r="AR128" s="41">
        <v>295.9031783744673</v>
      </c>
      <c r="AS128" s="41">
        <v>300.61367901109418</v>
      </c>
      <c r="AT128" s="41">
        <v>321.15022364184352</v>
      </c>
      <c r="AU128" s="41">
        <v>338.98747729314971</v>
      </c>
      <c r="AV128" s="41">
        <v>362.33548217895839</v>
      </c>
      <c r="AW128" s="41">
        <v>408.51363876089641</v>
      </c>
      <c r="AX128" s="41">
        <v>474.11119207061546</v>
      </c>
      <c r="AY128" s="41">
        <v>539.75032890715045</v>
      </c>
      <c r="AZ128" s="41">
        <v>631.52525759244679</v>
      </c>
      <c r="BA128" s="41">
        <v>745.60912695682748</v>
      </c>
      <c r="BB128" s="41">
        <v>738.05473124911839</v>
      </c>
      <c r="BC128" s="41">
        <v>785.50266705728131</v>
      </c>
      <c r="BD128" s="41">
        <v>882.27561398693558</v>
      </c>
      <c r="BE128" s="41">
        <v>950.88034599431774</v>
      </c>
      <c r="BF128" s="41">
        <v>1013.4205355015807</v>
      </c>
      <c r="BG128" s="41">
        <v>1093.4959757396116</v>
      </c>
      <c r="BH128" s="41">
        <v>1162.9049948944835</v>
      </c>
      <c r="BI128" s="41">
        <v>1269.5914989522119</v>
      </c>
      <c r="BJ128" s="41">
        <v>1385.2600661615886</v>
      </c>
      <c r="BK128" s="41">
        <v>1512.1269888945662</v>
      </c>
      <c r="BL128" s="41">
        <v>1643.1213887647523</v>
      </c>
      <c r="BM128" s="41">
        <v>1512.7277526468504</v>
      </c>
    </row>
    <row r="129" spans="1:65" x14ac:dyDescent="0.35">
      <c r="A129" s="41" t="s">
        <v>353</v>
      </c>
      <c r="B129" s="41" t="s">
        <v>354</v>
      </c>
      <c r="C129" s="41" t="s">
        <v>659</v>
      </c>
      <c r="D129" s="41" t="s">
        <v>660</v>
      </c>
      <c r="O129" s="41">
        <v>279.52132385698002</v>
      </c>
      <c r="P129" s="41">
        <v>293.93856131577138</v>
      </c>
      <c r="Q129" s="41">
        <v>358.81623772823849</v>
      </c>
      <c r="R129" s="41">
        <v>592.08069244148658</v>
      </c>
      <c r="S129" s="41">
        <v>1576.12497464227</v>
      </c>
      <c r="T129" s="41">
        <v>999.4160647340575</v>
      </c>
      <c r="U129" s="41">
        <v>735.12423553689939</v>
      </c>
      <c r="V129" s="41">
        <v>682.67692236794494</v>
      </c>
      <c r="W129" s="41">
        <v>784.7191836013651</v>
      </c>
      <c r="X129" s="41">
        <v>728.93611036732023</v>
      </c>
      <c r="Y129" s="41">
        <v>652.92017241271242</v>
      </c>
      <c r="Z129" s="41">
        <v>688.33796519136865</v>
      </c>
      <c r="AA129" s="41">
        <v>666.35022471903358</v>
      </c>
      <c r="AB129" s="41">
        <v>612.89746400540753</v>
      </c>
      <c r="AC129" s="41">
        <v>657.36171163842482</v>
      </c>
      <c r="AD129" s="41">
        <v>502.04173223863751</v>
      </c>
      <c r="AE129" s="41">
        <v>489.82598768512156</v>
      </c>
      <c r="AF129" s="41">
        <v>499.80278198725102</v>
      </c>
      <c r="AG129" s="41">
        <v>621.99990151366649</v>
      </c>
      <c r="AH129" s="41">
        <v>580.38534984424587</v>
      </c>
      <c r="AI129" s="41">
        <v>549.90107851063431</v>
      </c>
      <c r="AJ129" s="41">
        <v>644.78083485072455</v>
      </c>
      <c r="AK129" s="41">
        <v>638.48964578826224</v>
      </c>
      <c r="AL129" s="41">
        <v>619.72004917386982</v>
      </c>
      <c r="AM129" s="41">
        <v>715.19509915819594</v>
      </c>
      <c r="AN129" s="41">
        <v>724.92187154529427</v>
      </c>
      <c r="AO129" s="41">
        <v>842.99118916716736</v>
      </c>
      <c r="AP129" s="41">
        <v>842.23923268222313</v>
      </c>
      <c r="AQ129" s="41">
        <v>801.0843946692504</v>
      </c>
      <c r="AR129" s="41">
        <v>832.02470880107182</v>
      </c>
      <c r="AS129" s="41">
        <v>796.80320356651305</v>
      </c>
      <c r="AT129" s="41">
        <v>735.06910640135925</v>
      </c>
      <c r="AU129" s="41">
        <v>826.91686531411221</v>
      </c>
      <c r="AV129" s="41">
        <v>1015.6670058538033</v>
      </c>
      <c r="AW129" s="41">
        <v>1131.1525035965542</v>
      </c>
      <c r="AX129" s="41">
        <v>1214.6356032185342</v>
      </c>
      <c r="AY129" s="41">
        <v>1168.4733017355777</v>
      </c>
      <c r="AZ129" s="41">
        <v>1374.395198955576</v>
      </c>
      <c r="BA129" s="41">
        <v>1428.1349767141069</v>
      </c>
      <c r="BB129" s="41">
        <v>1312.0250007245197</v>
      </c>
      <c r="BC129" s="41">
        <v>1516.767660046422</v>
      </c>
      <c r="BD129" s="41">
        <v>1734.9023972754931</v>
      </c>
      <c r="BE129" s="41">
        <v>1788.6903938423141</v>
      </c>
      <c r="BF129" s="41">
        <v>1715.8130414831048</v>
      </c>
      <c r="BG129" s="41">
        <v>1642.8226690802944</v>
      </c>
      <c r="BH129" s="41">
        <v>1542.616968243357</v>
      </c>
      <c r="BI129" s="41">
        <v>1584.7370280552811</v>
      </c>
      <c r="BJ129" s="41">
        <v>1640.5719596817428</v>
      </c>
      <c r="BK129" s="41">
        <v>1698.3295868097771</v>
      </c>
      <c r="BL129" s="41">
        <v>1655.0506933752131</v>
      </c>
      <c r="BM129" s="41">
        <v>1670.8246905941201</v>
      </c>
    </row>
    <row r="130" spans="1:65" x14ac:dyDescent="0.35">
      <c r="A130" s="41" t="s">
        <v>355</v>
      </c>
      <c r="B130" s="41" t="s">
        <v>356</v>
      </c>
      <c r="C130" s="41" t="s">
        <v>659</v>
      </c>
      <c r="D130" s="41" t="s">
        <v>660</v>
      </c>
      <c r="E130" s="41">
        <v>241.53916310806659</v>
      </c>
      <c r="F130" s="41">
        <v>243.83212177557715</v>
      </c>
      <c r="G130" s="41">
        <v>246.10117842367143</v>
      </c>
      <c r="H130" s="41">
        <v>253.97744641255687</v>
      </c>
      <c r="I130" s="41">
        <v>268.71805123463417</v>
      </c>
      <c r="J130" s="41">
        <v>276.24890410399877</v>
      </c>
      <c r="K130" s="41">
        <v>299.25085685294238</v>
      </c>
      <c r="L130" s="41">
        <v>353.3033310539879</v>
      </c>
      <c r="M130" s="41">
        <v>314.66195392142072</v>
      </c>
      <c r="N130" s="41">
        <v>348.12976344747307</v>
      </c>
      <c r="O130" s="41">
        <v>363.20691652925711</v>
      </c>
      <c r="P130" s="41">
        <v>441.11457776763376</v>
      </c>
      <c r="Q130" s="41">
        <v>517.73205278904015</v>
      </c>
      <c r="R130" s="41">
        <v>546.13620388052584</v>
      </c>
      <c r="S130" s="41">
        <v>711.04319091742661</v>
      </c>
      <c r="T130" s="41">
        <v>753.63229426801229</v>
      </c>
      <c r="U130" s="41">
        <v>681.82152909957108</v>
      </c>
      <c r="V130" s="41">
        <v>1012.5681844232726</v>
      </c>
      <c r="W130" s="41">
        <v>1131.1199078629231</v>
      </c>
      <c r="X130" s="41">
        <v>1354.1549466247984</v>
      </c>
      <c r="Y130" s="41">
        <v>1584.6683933070822</v>
      </c>
      <c r="Z130" s="41">
        <v>1882.7569976232778</v>
      </c>
      <c r="AA130" s="41">
        <v>2013.0162221754201</v>
      </c>
      <c r="AB130" s="41">
        <v>2045.2026761323557</v>
      </c>
      <c r="AC130" s="41">
        <v>2336.6914001541236</v>
      </c>
      <c r="AD130" s="41">
        <v>2650.9864691074986</v>
      </c>
      <c r="AE130" s="41">
        <v>3150.634904052296</v>
      </c>
      <c r="AF130" s="41">
        <v>3600.0133561109169</v>
      </c>
      <c r="AG130" s="41">
        <v>4250.0576524645621</v>
      </c>
      <c r="AH130" s="41">
        <v>4770.7418971729812</v>
      </c>
      <c r="AI130" s="41">
        <v>5396.4048499567625</v>
      </c>
      <c r="AJ130" s="41">
        <v>5461.4977524266542</v>
      </c>
      <c r="AK130" s="41">
        <v>5950.6288131782703</v>
      </c>
      <c r="AL130" s="41">
        <v>6411.0146947219455</v>
      </c>
      <c r="AM130" s="41">
        <v>7092.1058017987225</v>
      </c>
      <c r="AN130" s="41">
        <v>7450.2741446677564</v>
      </c>
      <c r="AO130" s="41">
        <v>7862.6964693078835</v>
      </c>
      <c r="AP130" s="41">
        <v>8741.6596582738257</v>
      </c>
      <c r="AQ130" s="41">
        <v>8866.5663714396669</v>
      </c>
      <c r="AR130" s="41">
        <v>9320.8813069841399</v>
      </c>
      <c r="AS130" s="41">
        <v>9565.9499091241069</v>
      </c>
      <c r="AT130" s="41">
        <v>10283.032801538035</v>
      </c>
      <c r="AU130" s="41">
        <v>10650.845148555754</v>
      </c>
      <c r="AV130" s="41">
        <v>10270.604163366846</v>
      </c>
      <c r="AW130" s="41">
        <v>10942.728234354423</v>
      </c>
      <c r="AX130" s="41">
        <v>11679.409709376412</v>
      </c>
      <c r="AY130" s="41">
        <v>13614.415124989142</v>
      </c>
      <c r="AZ130" s="41">
        <v>14429.55023519825</v>
      </c>
      <c r="BA130" s="41">
        <v>15592.870881591873</v>
      </c>
      <c r="BB130" s="41">
        <v>15388.443444576285</v>
      </c>
      <c r="BC130" s="41">
        <v>15510.199146525683</v>
      </c>
      <c r="BD130" s="41">
        <v>16539.769007306728</v>
      </c>
      <c r="BE130" s="41">
        <v>16046.486935202078</v>
      </c>
      <c r="BF130" s="41">
        <v>16685.947591209075</v>
      </c>
      <c r="BG130" s="41">
        <v>18051.179034714562</v>
      </c>
      <c r="BH130" s="41">
        <v>18028.973430895156</v>
      </c>
      <c r="BI130" s="41">
        <v>18810.559382718438</v>
      </c>
      <c r="BJ130" s="41">
        <v>19158.744800608125</v>
      </c>
      <c r="BK130" s="41">
        <v>19276.521267443881</v>
      </c>
      <c r="BL130" s="41">
        <v>19773.462374817562</v>
      </c>
      <c r="BM130" s="41">
        <v>17435.927429911488</v>
      </c>
    </row>
    <row r="131" spans="1:65" x14ac:dyDescent="0.35">
      <c r="A131" s="41" t="s">
        <v>357</v>
      </c>
      <c r="B131" s="41" t="s">
        <v>358</v>
      </c>
      <c r="C131" s="41" t="s">
        <v>659</v>
      </c>
      <c r="D131" s="41" t="s">
        <v>660</v>
      </c>
      <c r="E131" s="41">
        <v>158.24930326982098</v>
      </c>
      <c r="F131" s="41">
        <v>93.828649046603886</v>
      </c>
      <c r="G131" s="41">
        <v>106.14850572000557</v>
      </c>
      <c r="H131" s="41">
        <v>146.31434193297864</v>
      </c>
      <c r="I131" s="41">
        <v>123.60349482533132</v>
      </c>
      <c r="J131" s="41">
        <v>108.72213122271772</v>
      </c>
      <c r="K131" s="41">
        <v>133.4748485303536</v>
      </c>
      <c r="L131" s="41">
        <v>161.15993101854579</v>
      </c>
      <c r="M131" s="41">
        <v>198.4312980083856</v>
      </c>
      <c r="N131" s="41">
        <v>243.42241292594809</v>
      </c>
      <c r="O131" s="41">
        <v>279.30496894281936</v>
      </c>
      <c r="P131" s="41">
        <v>301.17656771733317</v>
      </c>
      <c r="Q131" s="41">
        <v>324.19627680476452</v>
      </c>
      <c r="R131" s="41">
        <v>406.89883013484945</v>
      </c>
      <c r="S131" s="41">
        <v>563.35595781683287</v>
      </c>
      <c r="T131" s="41">
        <v>617.4560619335673</v>
      </c>
      <c r="U131" s="41">
        <v>834.134207951691</v>
      </c>
      <c r="V131" s="41">
        <v>1055.8800411598984</v>
      </c>
      <c r="W131" s="41">
        <v>1405.8223744455422</v>
      </c>
      <c r="X131" s="41">
        <v>1783.6223128784686</v>
      </c>
      <c r="Y131" s="41">
        <v>1715.4294599013631</v>
      </c>
      <c r="Z131" s="41">
        <v>1883.4512785111024</v>
      </c>
      <c r="AA131" s="41">
        <v>1992.5282247063658</v>
      </c>
      <c r="AB131" s="41">
        <v>2198.934471822417</v>
      </c>
      <c r="AC131" s="41">
        <v>2413.2639253976472</v>
      </c>
      <c r="AD131" s="41">
        <v>2482.3999557360607</v>
      </c>
      <c r="AE131" s="41">
        <v>2834.9038475692541</v>
      </c>
      <c r="AF131" s="41">
        <v>3554.5952055905655</v>
      </c>
      <c r="AG131" s="41">
        <v>4748.6296078067062</v>
      </c>
      <c r="AH131" s="41">
        <v>5817.0291813213644</v>
      </c>
      <c r="AI131" s="41">
        <v>6610.0365083066972</v>
      </c>
      <c r="AJ131" s="41">
        <v>7636.9824293701522</v>
      </c>
      <c r="AK131" s="41">
        <v>8126.6703899342174</v>
      </c>
      <c r="AL131" s="41">
        <v>8884.9283194545496</v>
      </c>
      <c r="AM131" s="41">
        <v>10385.33616812191</v>
      </c>
      <c r="AN131" s="41">
        <v>12564.778134458573</v>
      </c>
      <c r="AO131" s="41">
        <v>13403.049586225043</v>
      </c>
      <c r="AP131" s="41">
        <v>12398.480027670472</v>
      </c>
      <c r="AQ131" s="41">
        <v>8281.6999815768413</v>
      </c>
      <c r="AR131" s="41">
        <v>10672.417933437262</v>
      </c>
      <c r="AS131" s="41">
        <v>12256.993567950305</v>
      </c>
      <c r="AT131" s="41">
        <v>11561.248368907283</v>
      </c>
      <c r="AU131" s="41">
        <v>13165.065736055383</v>
      </c>
      <c r="AV131" s="41">
        <v>14672.857470350489</v>
      </c>
      <c r="AW131" s="41">
        <v>16496.120094250178</v>
      </c>
      <c r="AX131" s="41">
        <v>19402.502625954894</v>
      </c>
      <c r="AY131" s="41">
        <v>21743.47745142545</v>
      </c>
      <c r="AZ131" s="41">
        <v>24086.410439167747</v>
      </c>
      <c r="BA131" s="41">
        <v>21350.427979823002</v>
      </c>
      <c r="BB131" s="41">
        <v>19143.851605302549</v>
      </c>
      <c r="BC131" s="41">
        <v>23087.22564384756</v>
      </c>
      <c r="BD131" s="41">
        <v>25096.263883823878</v>
      </c>
      <c r="BE131" s="41">
        <v>25466.760517059396</v>
      </c>
      <c r="BF131" s="41">
        <v>27182.734310193551</v>
      </c>
      <c r="BG131" s="41">
        <v>29249.575220974195</v>
      </c>
      <c r="BH131" s="41">
        <v>28732.231076259857</v>
      </c>
      <c r="BI131" s="41">
        <v>29288.870438983333</v>
      </c>
      <c r="BJ131" s="41">
        <v>31616.843400468311</v>
      </c>
      <c r="BK131" s="41">
        <v>33422.944210083602</v>
      </c>
      <c r="BL131" s="41">
        <v>31846.218232425806</v>
      </c>
      <c r="BM131" s="41">
        <v>31489.12269731683</v>
      </c>
    </row>
    <row r="132" spans="1:65" x14ac:dyDescent="0.35">
      <c r="A132" s="41" t="s">
        <v>359</v>
      </c>
      <c r="B132" s="41" t="s">
        <v>360</v>
      </c>
      <c r="C132" s="41" t="s">
        <v>659</v>
      </c>
      <c r="D132" s="41" t="s">
        <v>660</v>
      </c>
      <c r="J132" s="41">
        <v>4443.4523384077875</v>
      </c>
      <c r="K132" s="41">
        <v>4571.1557420975114</v>
      </c>
      <c r="L132" s="41">
        <v>4230.8477783840644</v>
      </c>
      <c r="M132" s="41">
        <v>4207.7315362648496</v>
      </c>
      <c r="N132" s="41">
        <v>4019.8039163874091</v>
      </c>
      <c r="O132" s="41">
        <v>3860.5790068633537</v>
      </c>
      <c r="P132" s="41">
        <v>4858.7289145315863</v>
      </c>
      <c r="Q132" s="41">
        <v>5224.9171551019026</v>
      </c>
      <c r="R132" s="41">
        <v>5971.798916181152</v>
      </c>
      <c r="S132" s="41">
        <v>13521.667333785254</v>
      </c>
      <c r="T132" s="41">
        <v>11768.468302001096</v>
      </c>
      <c r="U132" s="41">
        <v>12093.268365201993</v>
      </c>
      <c r="V132" s="41">
        <v>12253.866541845502</v>
      </c>
      <c r="W132" s="41">
        <v>12663.489346913308</v>
      </c>
      <c r="X132" s="41">
        <v>19093.016492772451</v>
      </c>
      <c r="Y132" s="41">
        <v>20924.212014090266</v>
      </c>
      <c r="Z132" s="41">
        <v>17408.518221918988</v>
      </c>
      <c r="AA132" s="41">
        <v>14312.458557675094</v>
      </c>
      <c r="AB132" s="41">
        <v>13233.839664748855</v>
      </c>
      <c r="AC132" s="41">
        <v>13132.765107490499</v>
      </c>
      <c r="AD132" s="41">
        <v>12356.878656244742</v>
      </c>
      <c r="AE132" s="41">
        <v>9771.1412709525302</v>
      </c>
      <c r="AF132" s="41">
        <v>11535.174541610542</v>
      </c>
      <c r="AG132" s="41">
        <v>10169.040843234945</v>
      </c>
      <c r="AH132" s="41">
        <v>11617.106463436092</v>
      </c>
      <c r="AI132" s="41">
        <v>8794.6060456619562</v>
      </c>
      <c r="AJ132" s="41">
        <v>5419.5881627464123</v>
      </c>
      <c r="AN132" s="41">
        <v>16932.085038174355</v>
      </c>
      <c r="AO132" s="41">
        <v>19358.37053589182</v>
      </c>
      <c r="AP132" s="41">
        <v>17748.849422262228</v>
      </c>
      <c r="AQ132" s="41">
        <v>14166.164131109444</v>
      </c>
      <c r="AR132" s="41">
        <v>15435.131134249554</v>
      </c>
      <c r="AS132" s="41">
        <v>18440.378521244569</v>
      </c>
      <c r="AT132" s="41">
        <v>16587.248648621393</v>
      </c>
      <c r="AU132" s="41">
        <v>17846.376164029905</v>
      </c>
      <c r="AV132" s="41">
        <v>22148.378150112043</v>
      </c>
      <c r="AW132" s="41">
        <v>27011.653998599766</v>
      </c>
      <c r="AX132" s="41">
        <v>35591.03713379211</v>
      </c>
      <c r="AY132" s="41">
        <v>42781.564752166494</v>
      </c>
      <c r="AZ132" s="41">
        <v>45782.148571501326</v>
      </c>
      <c r="BA132" s="41">
        <v>55494.93009654116</v>
      </c>
      <c r="BB132" s="41">
        <v>37561.725925737672</v>
      </c>
      <c r="BC132" s="41">
        <v>38577.498278821178</v>
      </c>
      <c r="BD132" s="41">
        <v>48631.783404584945</v>
      </c>
      <c r="BE132" s="41">
        <v>51979.120689533454</v>
      </c>
      <c r="BF132" s="41">
        <v>49388.053379968696</v>
      </c>
      <c r="BG132" s="41">
        <v>44062.340913459753</v>
      </c>
      <c r="BH132" s="41">
        <v>29869.55275323704</v>
      </c>
      <c r="BI132" s="41">
        <v>27653.157620028134</v>
      </c>
      <c r="BJ132" s="41">
        <v>29759.467442475077</v>
      </c>
      <c r="BK132" s="41">
        <v>33399.060475851016</v>
      </c>
      <c r="BL132" s="41">
        <v>32373.251114960727</v>
      </c>
    </row>
    <row r="133" spans="1:65" x14ac:dyDescent="0.35">
      <c r="A133" s="41" t="s">
        <v>361</v>
      </c>
      <c r="B133" s="41" t="s">
        <v>362</v>
      </c>
      <c r="C133" s="41" t="s">
        <v>659</v>
      </c>
      <c r="D133" s="41" t="s">
        <v>660</v>
      </c>
      <c r="E133" s="41">
        <v>332.89188330780064</v>
      </c>
      <c r="F133" s="41">
        <v>338.65785443450034</v>
      </c>
      <c r="G133" s="41">
        <v>380.06337506594349</v>
      </c>
      <c r="H133" s="41">
        <v>368.01018525108753</v>
      </c>
      <c r="I133" s="41">
        <v>413.02834265169395</v>
      </c>
      <c r="J133" s="41">
        <v>431.56160191598855</v>
      </c>
      <c r="K133" s="41">
        <v>462.36120942483029</v>
      </c>
      <c r="L133" s="41">
        <v>461.91355872176069</v>
      </c>
      <c r="M133" s="41">
        <v>486.2570693252685</v>
      </c>
      <c r="N133" s="41">
        <v>532.37398732374788</v>
      </c>
      <c r="O133" s="41">
        <v>563.40808253812725</v>
      </c>
      <c r="P133" s="41">
        <v>609.7637686825118</v>
      </c>
      <c r="Q133" s="41">
        <v>675.62102137747502</v>
      </c>
      <c r="R133" s="41">
        <v>865.17374256816618</v>
      </c>
      <c r="S133" s="41">
        <v>1112.3822705453451</v>
      </c>
      <c r="T133" s="41">
        <v>1170.4837513449622</v>
      </c>
      <c r="U133" s="41">
        <v>1263.2830460102546</v>
      </c>
      <c r="V133" s="41">
        <v>1340.9748045780129</v>
      </c>
      <c r="W133" s="41">
        <v>1492.9420960895316</v>
      </c>
      <c r="X133" s="41">
        <v>1722.9192866216347</v>
      </c>
      <c r="Y133" s="41">
        <v>2013.5237992457653</v>
      </c>
      <c r="Z133" s="41">
        <v>2278.2480759566861</v>
      </c>
      <c r="AA133" s="41">
        <v>2073.6364029594833</v>
      </c>
      <c r="AB133" s="41">
        <v>1769.4372857880387</v>
      </c>
      <c r="AC133" s="41">
        <v>1769.5906181944108</v>
      </c>
      <c r="AD133" s="41">
        <v>1791.6455177366208</v>
      </c>
      <c r="AE133" s="41">
        <v>1769.8614792711455</v>
      </c>
      <c r="AF133" s="41">
        <v>1861.8016844465008</v>
      </c>
      <c r="AG133" s="41">
        <v>2045.6607226530848</v>
      </c>
      <c r="AH133" s="41">
        <v>2248.1682546128777</v>
      </c>
      <c r="AI133" s="41">
        <v>2602.7312227082466</v>
      </c>
      <c r="AJ133" s="41">
        <v>3186.0402564289702</v>
      </c>
      <c r="AK133" s="41">
        <v>2892.8404296443568</v>
      </c>
      <c r="AL133" s="41">
        <v>3311.2782193306548</v>
      </c>
      <c r="AM133" s="41">
        <v>3749.7490089243579</v>
      </c>
      <c r="AN133" s="41">
        <v>3866.807567708498</v>
      </c>
      <c r="AO133" s="41">
        <v>4152.3184975494769</v>
      </c>
      <c r="AP133" s="41">
        <v>4458.5501211123365</v>
      </c>
      <c r="AQ133" s="41">
        <v>4410.9050011362015</v>
      </c>
      <c r="AR133" s="41">
        <v>3853.2942824406687</v>
      </c>
      <c r="AS133" s="41">
        <v>4198.4402367752155</v>
      </c>
      <c r="AT133" s="41">
        <v>4024.2043442897461</v>
      </c>
      <c r="AU133" s="41">
        <v>3569.2647295150168</v>
      </c>
      <c r="AV133" s="41">
        <v>3607.5084579019144</v>
      </c>
      <c r="AW133" s="41">
        <v>4063.3973365166639</v>
      </c>
      <c r="AX133" s="41">
        <v>4856.0989371857941</v>
      </c>
      <c r="AY133" s="41">
        <v>5604.9096937319046</v>
      </c>
      <c r="AZ133" s="41">
        <v>6544.6065289652115</v>
      </c>
      <c r="BA133" s="41">
        <v>7484.449906414844</v>
      </c>
      <c r="BB133" s="41">
        <v>6876.7534376303583</v>
      </c>
      <c r="BC133" s="41">
        <v>8504.4738485670623</v>
      </c>
      <c r="BD133" s="41">
        <v>9821.029307863846</v>
      </c>
      <c r="BE133" s="41">
        <v>9674.392979615166</v>
      </c>
      <c r="BF133" s="41">
        <v>9829.3697695141545</v>
      </c>
      <c r="BG133" s="41">
        <v>9775.8796384027519</v>
      </c>
      <c r="BH133" s="41">
        <v>8241.1200371727173</v>
      </c>
      <c r="BI133" s="41">
        <v>7930.7150554871987</v>
      </c>
      <c r="BJ133" s="41">
        <v>8743.8422402799297</v>
      </c>
      <c r="BK133" s="41">
        <v>8395.0743577317226</v>
      </c>
      <c r="BL133" s="41">
        <v>8213.0780627380118</v>
      </c>
      <c r="BM133" s="41">
        <v>6733.112384578676</v>
      </c>
    </row>
    <row r="134" spans="1:65" x14ac:dyDescent="0.35">
      <c r="A134" s="41" t="s">
        <v>363</v>
      </c>
      <c r="B134" s="41" t="s">
        <v>364</v>
      </c>
      <c r="C134" s="41" t="s">
        <v>659</v>
      </c>
      <c r="D134" s="41" t="s">
        <v>660</v>
      </c>
      <c r="AC134" s="41">
        <v>489.95774373257387</v>
      </c>
      <c r="AD134" s="41">
        <v>641.74019759150974</v>
      </c>
      <c r="AE134" s="41">
        <v>468.30429809589356</v>
      </c>
      <c r="AF134" s="41">
        <v>278.39322798605718</v>
      </c>
      <c r="AG134" s="41">
        <v>148.96506588036178</v>
      </c>
      <c r="AH134" s="41">
        <v>172.52320903387223</v>
      </c>
      <c r="AI134" s="41">
        <v>203.25601751518317</v>
      </c>
      <c r="AJ134" s="41">
        <v>234.76433830913072</v>
      </c>
      <c r="AK134" s="41">
        <v>250.60449676872108</v>
      </c>
      <c r="AL134" s="41">
        <v>287.39484285307356</v>
      </c>
      <c r="AM134" s="41">
        <v>325.94161182423227</v>
      </c>
      <c r="AN134" s="41">
        <v>363.88005236373482</v>
      </c>
      <c r="AO134" s="41">
        <v>378.42860580485922</v>
      </c>
      <c r="AP134" s="41">
        <v>345.92184423822641</v>
      </c>
      <c r="AQ134" s="41">
        <v>248.83909145122303</v>
      </c>
      <c r="AR134" s="41">
        <v>277.81021295695149</v>
      </c>
      <c r="AS134" s="41">
        <v>325.18693714296461</v>
      </c>
      <c r="AT134" s="41">
        <v>326.94178671529539</v>
      </c>
      <c r="AU134" s="41">
        <v>320.06145965718605</v>
      </c>
      <c r="AV134" s="41">
        <v>362.82141348610583</v>
      </c>
      <c r="AW134" s="41">
        <v>417.92916848773808</v>
      </c>
      <c r="AX134" s="41">
        <v>475.61079620393173</v>
      </c>
      <c r="AY134" s="41">
        <v>590.63260632161882</v>
      </c>
      <c r="AZ134" s="41">
        <v>710.34457607525576</v>
      </c>
      <c r="BA134" s="41">
        <v>900.3221828535809</v>
      </c>
      <c r="BB134" s="41">
        <v>948.6542408597121</v>
      </c>
      <c r="BC134" s="41">
        <v>1140.5986572265213</v>
      </c>
      <c r="BD134" s="41">
        <v>1378.3620163875669</v>
      </c>
      <c r="BE134" s="41">
        <v>1581.396139651649</v>
      </c>
      <c r="BF134" s="41">
        <v>1825.6656715030101</v>
      </c>
      <c r="BG134" s="41">
        <v>1998.3331079631027</v>
      </c>
      <c r="BH134" s="41">
        <v>2134.7130623512335</v>
      </c>
      <c r="BI134" s="41">
        <v>2308.799807689617</v>
      </c>
      <c r="BJ134" s="41">
        <v>2423.847597603376</v>
      </c>
      <c r="BK134" s="41">
        <v>2542.489768621771</v>
      </c>
      <c r="BL134" s="41">
        <v>2544.9525502687552</v>
      </c>
      <c r="BM134" s="41">
        <v>2630.2037739319649</v>
      </c>
    </row>
    <row r="135" spans="1:65" x14ac:dyDescent="0.35">
      <c r="A135" s="41" t="s">
        <v>365</v>
      </c>
      <c r="B135" s="41" t="s">
        <v>366</v>
      </c>
      <c r="C135" s="41" t="s">
        <v>659</v>
      </c>
      <c r="D135" s="41" t="s">
        <v>660</v>
      </c>
      <c r="AG135" s="41">
        <v>1234.2393132342893</v>
      </c>
      <c r="AH135" s="41">
        <v>996.90463810657559</v>
      </c>
      <c r="AI135" s="41">
        <v>1012.6482159182865</v>
      </c>
      <c r="AJ135" s="41">
        <v>1605.3719042121479</v>
      </c>
      <c r="AK135" s="41">
        <v>1899.6510101810354</v>
      </c>
      <c r="AL135" s="41">
        <v>2446.5276925596922</v>
      </c>
      <c r="AM135" s="41">
        <v>2820.4861873042205</v>
      </c>
      <c r="AN135" s="41">
        <v>3321.2972666751198</v>
      </c>
      <c r="AO135" s="41">
        <v>3791.6076170137439</v>
      </c>
      <c r="AP135" s="41">
        <v>4305.6417691888246</v>
      </c>
      <c r="AQ135" s="41">
        <v>4669.5853882026568</v>
      </c>
      <c r="AR135" s="41">
        <v>4640.3844132115446</v>
      </c>
      <c r="AS135" s="41">
        <v>4491.6419343043317</v>
      </c>
      <c r="AT135" s="41">
        <v>4422.3892924506108</v>
      </c>
      <c r="AU135" s="41">
        <v>4579.459592719666</v>
      </c>
      <c r="AV135" s="41">
        <v>4576.3876173919289</v>
      </c>
      <c r="AW135" s="41">
        <v>4630.7905852460417</v>
      </c>
      <c r="AX135" s="41">
        <v>4575.1074589603113</v>
      </c>
      <c r="AY135" s="41">
        <v>4626.8530034166197</v>
      </c>
      <c r="AZ135" s="41">
        <v>5207.7927230092619</v>
      </c>
      <c r="BA135" s="41">
        <v>6111.3272810203498</v>
      </c>
      <c r="BB135" s="41">
        <v>7354.9536047849215</v>
      </c>
      <c r="BC135" s="41">
        <v>7761.6414894541485</v>
      </c>
      <c r="BD135" s="41">
        <v>7675.3089397149861</v>
      </c>
      <c r="BE135" s="41">
        <v>7952.1512392817922</v>
      </c>
      <c r="BF135" s="41">
        <v>7933.2332493476042</v>
      </c>
      <c r="BG135" s="41">
        <v>7687.9305190554869</v>
      </c>
      <c r="BH135" s="41">
        <v>7644.5451465796577</v>
      </c>
      <c r="BI135" s="41">
        <v>7626.3001956299213</v>
      </c>
      <c r="BJ135" s="41">
        <v>7792.5988604995009</v>
      </c>
      <c r="BK135" s="41">
        <v>8012.5392368494304</v>
      </c>
      <c r="BL135" s="41">
        <v>7583.6991464536331</v>
      </c>
      <c r="BM135" s="41">
        <v>4891.0014703194356</v>
      </c>
    </row>
    <row r="136" spans="1:65" x14ac:dyDescent="0.35">
      <c r="A136" s="41" t="s">
        <v>367</v>
      </c>
      <c r="B136" s="41" t="s">
        <v>368</v>
      </c>
      <c r="C136" s="41" t="s">
        <v>659</v>
      </c>
      <c r="D136" s="41" t="s">
        <v>660</v>
      </c>
      <c r="AS136" s="41">
        <v>306.83386420740845</v>
      </c>
      <c r="AT136" s="41">
        <v>306.71025157011275</v>
      </c>
      <c r="AU136" s="41">
        <v>306.47393963157668</v>
      </c>
      <c r="AV136" s="41">
        <v>243.0895775343632</v>
      </c>
      <c r="AW136" s="41">
        <v>286.06472525348778</v>
      </c>
      <c r="AX136" s="41">
        <v>294.893220066163</v>
      </c>
      <c r="AY136" s="41">
        <v>336.11567425435038</v>
      </c>
      <c r="AZ136" s="41">
        <v>396.60176128155808</v>
      </c>
      <c r="BA136" s="41">
        <v>478.39954011557535</v>
      </c>
      <c r="BB136" s="41">
        <v>470.94812138847652</v>
      </c>
      <c r="BC136" s="41">
        <v>513.44556667506993</v>
      </c>
      <c r="BD136" s="41">
        <v>596.89663532502993</v>
      </c>
      <c r="BE136" s="41">
        <v>657.93577908446093</v>
      </c>
      <c r="BF136" s="41">
        <v>721.92954560808141</v>
      </c>
      <c r="BG136" s="41">
        <v>721.18229855295601</v>
      </c>
      <c r="BH136" s="41">
        <v>710.38401656086933</v>
      </c>
      <c r="BI136" s="41">
        <v>714.62339223003107</v>
      </c>
      <c r="BJ136" s="41">
        <v>698.70235871366401</v>
      </c>
      <c r="BK136" s="41">
        <v>677.32231909849725</v>
      </c>
      <c r="BL136" s="41">
        <v>621.89295362271525</v>
      </c>
      <c r="BM136" s="41">
        <v>583.27172731671078</v>
      </c>
    </row>
    <row r="137" spans="1:65" x14ac:dyDescent="0.35">
      <c r="A137" s="41" t="s">
        <v>369</v>
      </c>
      <c r="B137" s="41" t="s">
        <v>370</v>
      </c>
      <c r="C137" s="41" t="s">
        <v>659</v>
      </c>
      <c r="D137" s="41" t="s">
        <v>660</v>
      </c>
      <c r="AI137" s="41">
        <v>6514.3185673989865</v>
      </c>
      <c r="AJ137" s="41">
        <v>7040.7762937139023</v>
      </c>
      <c r="AK137" s="41">
        <v>7284.917152620601</v>
      </c>
      <c r="AL137" s="41">
        <v>6447.1432820589862</v>
      </c>
      <c r="AM137" s="41">
        <v>5892.6224669651265</v>
      </c>
      <c r="AN137" s="41">
        <v>5161.6854279294303</v>
      </c>
      <c r="AO137" s="41">
        <v>5536.8660656842776</v>
      </c>
      <c r="AP137" s="41">
        <v>5998.1604384233679</v>
      </c>
      <c r="AQ137" s="41">
        <v>5243.5965354663695</v>
      </c>
      <c r="AR137" s="41">
        <v>6819.0395763897077</v>
      </c>
      <c r="AS137" s="41">
        <v>7142.7717855526407</v>
      </c>
      <c r="AT137" s="41">
        <v>6266.4898210896963</v>
      </c>
      <c r="AU137" s="41">
        <v>3703.0429521990891</v>
      </c>
      <c r="AV137" s="41">
        <v>4673.145575740431</v>
      </c>
      <c r="AW137" s="41">
        <v>5800.5888259770672</v>
      </c>
      <c r="AX137" s="41">
        <v>8163.0093700679199</v>
      </c>
      <c r="AY137" s="41">
        <v>9336.3534980715704</v>
      </c>
      <c r="AZ137" s="41">
        <v>11300.19323499048</v>
      </c>
      <c r="BA137" s="41">
        <v>14382.595285691275</v>
      </c>
      <c r="BB137" s="41">
        <v>10275.26153903396</v>
      </c>
      <c r="BC137" s="41">
        <v>12064.772905762247</v>
      </c>
      <c r="BD137" s="41">
        <v>5554.1800532645948</v>
      </c>
      <c r="BE137" s="41">
        <v>13025.279321249571</v>
      </c>
      <c r="BF137" s="41">
        <v>10363.804247198828</v>
      </c>
      <c r="BG137" s="41">
        <v>6466.9082371760242</v>
      </c>
      <c r="BH137" s="41">
        <v>4337.9191391934755</v>
      </c>
      <c r="BI137" s="41">
        <v>4035.1968016999394</v>
      </c>
      <c r="BJ137" s="41">
        <v>5756.6993247477521</v>
      </c>
      <c r="BK137" s="41">
        <v>7877.1246095454208</v>
      </c>
      <c r="BL137" s="41">
        <v>7685.9481324831786</v>
      </c>
      <c r="BM137" s="41">
        <v>3699.2286208101677</v>
      </c>
    </row>
    <row r="138" spans="1:65" x14ac:dyDescent="0.35">
      <c r="A138" s="41" t="s">
        <v>371</v>
      </c>
      <c r="B138" s="41" t="s">
        <v>372</v>
      </c>
      <c r="C138" s="41" t="s">
        <v>659</v>
      </c>
      <c r="D138" s="41" t="s">
        <v>660</v>
      </c>
      <c r="Y138" s="41">
        <v>1445.9243165492953</v>
      </c>
      <c r="Z138" s="41">
        <v>1628.035705148779</v>
      </c>
      <c r="AA138" s="41">
        <v>1515.3143175162068</v>
      </c>
      <c r="AB138" s="41">
        <v>1607.5338949428251</v>
      </c>
      <c r="AC138" s="41">
        <v>2023.2467777038798</v>
      </c>
      <c r="AD138" s="41">
        <v>2253.0966877718456</v>
      </c>
      <c r="AE138" s="41">
        <v>2646.9855505729947</v>
      </c>
      <c r="AF138" s="41">
        <v>2869.7279362071363</v>
      </c>
      <c r="AG138" s="41">
        <v>3221.4812815274709</v>
      </c>
      <c r="AH138" s="41">
        <v>3584.0446189006798</v>
      </c>
      <c r="AI138" s="41">
        <v>4199.6364966390829</v>
      </c>
      <c r="AJ138" s="41">
        <v>4383.56657240808</v>
      </c>
      <c r="AK138" s="41">
        <v>4755.1042909329562</v>
      </c>
      <c r="AL138" s="41">
        <v>4775.48998490129</v>
      </c>
      <c r="AM138" s="41">
        <v>4919.3803674090404</v>
      </c>
      <c r="AN138" s="41">
        <v>5194.7829248998296</v>
      </c>
      <c r="AO138" s="41">
        <v>5300.3546758459852</v>
      </c>
      <c r="AP138" s="41">
        <v>5340.0869727400332</v>
      </c>
      <c r="AQ138" s="41">
        <v>5733.8269894552286</v>
      </c>
      <c r="AR138" s="41">
        <v>5947.8917842145966</v>
      </c>
      <c r="AS138" s="41">
        <v>5950.0474845926137</v>
      </c>
      <c r="AT138" s="41">
        <v>5642.748903761395</v>
      </c>
      <c r="AU138" s="41">
        <v>5646.4565348323631</v>
      </c>
      <c r="AV138" s="41">
        <v>6150.9213692606199</v>
      </c>
      <c r="AW138" s="41">
        <v>6591.6455013049399</v>
      </c>
      <c r="AX138" s="41">
        <v>6949.2041733302876</v>
      </c>
      <c r="AY138" s="41">
        <v>7669.2134696585108</v>
      </c>
      <c r="AZ138" s="41">
        <v>7969.7979934552668</v>
      </c>
      <c r="BA138" s="41">
        <v>8456.6946321773939</v>
      </c>
      <c r="BB138" s="41">
        <v>8137.7509908019765</v>
      </c>
      <c r="BC138" s="41">
        <v>8540.0709799246197</v>
      </c>
      <c r="BD138" s="41">
        <v>8983.7437330230914</v>
      </c>
      <c r="BE138" s="41">
        <v>9086.387954859656</v>
      </c>
      <c r="BF138" s="41">
        <v>9378.9850468479235</v>
      </c>
      <c r="BG138" s="41">
        <v>9843.3085342404665</v>
      </c>
      <c r="BH138" s="41">
        <v>10093.618016361706</v>
      </c>
      <c r="BI138" s="41">
        <v>10361.583877075911</v>
      </c>
      <c r="BJ138" s="41">
        <v>11047.444985810876</v>
      </c>
      <c r="BK138" s="41">
        <v>11357.826565913871</v>
      </c>
      <c r="BL138" s="41">
        <v>11611.097839818536</v>
      </c>
      <c r="BM138" s="41">
        <v>9276.1178285605238</v>
      </c>
    </row>
    <row r="139" spans="1:65" x14ac:dyDescent="0.35">
      <c r="A139" s="41" t="s">
        <v>373</v>
      </c>
      <c r="B139" s="41" t="s">
        <v>374</v>
      </c>
      <c r="C139" s="41" t="s">
        <v>659</v>
      </c>
      <c r="D139" s="41" t="s">
        <v>660</v>
      </c>
      <c r="E139" s="41">
        <v>371.43227535106547</v>
      </c>
      <c r="F139" s="41">
        <v>382.67147499160785</v>
      </c>
      <c r="G139" s="41">
        <v>425.902350569323</v>
      </c>
      <c r="H139" s="41">
        <v>418.24878367925106</v>
      </c>
      <c r="I139" s="41">
        <v>453.66498394188716</v>
      </c>
      <c r="J139" s="41">
        <v>470.93685380716016</v>
      </c>
      <c r="K139" s="41">
        <v>503.17273468047017</v>
      </c>
      <c r="L139" s="41">
        <v>503.28987996971972</v>
      </c>
      <c r="M139" s="41">
        <v>528.48117647734887</v>
      </c>
      <c r="N139" s="41">
        <v>577.19809167765698</v>
      </c>
      <c r="O139" s="41">
        <v>613.06312768267833</v>
      </c>
      <c r="P139" s="41">
        <v>668.5256093811405</v>
      </c>
      <c r="Q139" s="41">
        <v>733.16525095982615</v>
      </c>
      <c r="R139" s="41">
        <v>937.76256765469157</v>
      </c>
      <c r="S139" s="41">
        <v>1190.512716113474</v>
      </c>
      <c r="T139" s="41">
        <v>1218.087816891099</v>
      </c>
      <c r="U139" s="41">
        <v>1322.5571140542324</v>
      </c>
      <c r="V139" s="41">
        <v>1421.0228720845935</v>
      </c>
      <c r="W139" s="41">
        <v>1577.4582499578612</v>
      </c>
      <c r="X139" s="41">
        <v>1839.1781761674893</v>
      </c>
      <c r="Y139" s="41">
        <v>2166.9356804827439</v>
      </c>
      <c r="Z139" s="41">
        <v>2444.4290311826271</v>
      </c>
      <c r="AA139" s="41">
        <v>2231.2334618644795</v>
      </c>
      <c r="AB139" s="41">
        <v>1924.8978979042479</v>
      </c>
      <c r="AC139" s="41">
        <v>1903.0148802977649</v>
      </c>
      <c r="AD139" s="41">
        <v>1920.0257957568615</v>
      </c>
      <c r="AE139" s="41">
        <v>1895.2916991526329</v>
      </c>
      <c r="AF139" s="41">
        <v>1961.5304659136236</v>
      </c>
      <c r="AG139" s="41">
        <v>2169.1734914714675</v>
      </c>
      <c r="AH139" s="41">
        <v>2323.4086847321123</v>
      </c>
      <c r="AI139" s="41">
        <v>2669.2515287986748</v>
      </c>
      <c r="AJ139" s="41">
        <v>3224.3802983029295</v>
      </c>
      <c r="AK139" s="41">
        <v>2994.3257939947875</v>
      </c>
      <c r="AL139" s="41">
        <v>3383.3995591939488</v>
      </c>
      <c r="AM139" s="41">
        <v>3801.379633999401</v>
      </c>
      <c r="AN139" s="41">
        <v>3986.6036607418787</v>
      </c>
      <c r="AO139" s="41">
        <v>4243.8312485053129</v>
      </c>
      <c r="AP139" s="41">
        <v>4578.7672611659227</v>
      </c>
      <c r="AQ139" s="41">
        <v>4549.0502453269082</v>
      </c>
      <c r="AR139" s="41">
        <v>4042.9879532881032</v>
      </c>
      <c r="AS139" s="41">
        <v>4400.7958233370837</v>
      </c>
      <c r="AT139" s="41">
        <v>4244.8180304968928</v>
      </c>
      <c r="AU139" s="41">
        <v>3757.260576441839</v>
      </c>
      <c r="AV139" s="41">
        <v>3787.2739005185181</v>
      </c>
      <c r="AW139" s="41">
        <v>4309.2351928512326</v>
      </c>
      <c r="AX139" s="41">
        <v>5145.8142462018177</v>
      </c>
      <c r="AY139" s="41">
        <v>5957.9819146324771</v>
      </c>
      <c r="AZ139" s="41">
        <v>6935.858748218473</v>
      </c>
      <c r="BA139" s="41">
        <v>7966.5610797673899</v>
      </c>
      <c r="BB139" s="41">
        <v>7402.5409699753709</v>
      </c>
      <c r="BC139" s="41">
        <v>9075.9037907006841</v>
      </c>
      <c r="BD139" s="41">
        <v>10204.243446834815</v>
      </c>
      <c r="BE139" s="41">
        <v>10198.388575921676</v>
      </c>
      <c r="BF139" s="41">
        <v>10339.948153350435</v>
      </c>
      <c r="BG139" s="41">
        <v>10433.171214217553</v>
      </c>
      <c r="BH139" s="41">
        <v>8888.2311709882033</v>
      </c>
      <c r="BI139" s="41">
        <v>8600.7573850755107</v>
      </c>
      <c r="BJ139" s="41">
        <v>9461.2113465851817</v>
      </c>
      <c r="BK139" s="41">
        <v>9158.4409635704214</v>
      </c>
      <c r="BL139" s="41">
        <v>8951.8115167987617</v>
      </c>
      <c r="BM139" s="41">
        <v>7417.2521669584603</v>
      </c>
    </row>
    <row r="140" spans="1:65" x14ac:dyDescent="0.35">
      <c r="A140" s="41" t="s">
        <v>375</v>
      </c>
      <c r="B140" s="41" t="s">
        <v>376</v>
      </c>
      <c r="C140" s="41" t="s">
        <v>659</v>
      </c>
      <c r="D140" s="41" t="s">
        <v>660</v>
      </c>
      <c r="Y140" s="41">
        <v>282.4456691069837</v>
      </c>
      <c r="Z140" s="41">
        <v>279.00907724429493</v>
      </c>
      <c r="AA140" s="41">
        <v>270.99480016757872</v>
      </c>
      <c r="AB140" s="41">
        <v>248.70007331237636</v>
      </c>
      <c r="AC140" s="41">
        <v>240.32540923368791</v>
      </c>
      <c r="AD140" s="41">
        <v>259.49076049156241</v>
      </c>
      <c r="AE140" s="41">
        <v>274.18232664777065</v>
      </c>
      <c r="AF140" s="41">
        <v>299.09076276782173</v>
      </c>
      <c r="AG140" s="41">
        <v>301.94328083583758</v>
      </c>
      <c r="AH140" s="41">
        <v>300.56216587103415</v>
      </c>
      <c r="AI140" s="41">
        <v>307.67524221339454</v>
      </c>
      <c r="AJ140" s="41">
        <v>302.30531133525761</v>
      </c>
      <c r="AK140" s="41">
        <v>272.95071464399405</v>
      </c>
      <c r="AL140" s="41">
        <v>270.17913701323317</v>
      </c>
      <c r="AM140" s="41">
        <v>242.80606020617131</v>
      </c>
      <c r="AN140" s="41">
        <v>272.13465999177606</v>
      </c>
      <c r="AO140" s="41">
        <v>291.64454364911387</v>
      </c>
      <c r="AP140" s="41">
        <v>299.89274395741478</v>
      </c>
      <c r="AQ140" s="41">
        <v>299.51371874969823</v>
      </c>
      <c r="AR140" s="41">
        <v>298.4607421182082</v>
      </c>
      <c r="AS140" s="41">
        <v>326.84376250738444</v>
      </c>
      <c r="AT140" s="41">
        <v>307.78690535737388</v>
      </c>
      <c r="AU140" s="41">
        <v>330.18720475423993</v>
      </c>
      <c r="AV140" s="41">
        <v>360.47630932395322</v>
      </c>
      <c r="AW140" s="41">
        <v>402.32331193305816</v>
      </c>
      <c r="AX140" s="41">
        <v>461.40529556708361</v>
      </c>
      <c r="AY140" s="41">
        <v>526.97255849128578</v>
      </c>
      <c r="AZ140" s="41">
        <v>623.53913892746868</v>
      </c>
      <c r="BA140" s="41">
        <v>747.220290999741</v>
      </c>
      <c r="BB140" s="41">
        <v>742.11122312818338</v>
      </c>
      <c r="BC140" s="41">
        <v>826.49975613400875</v>
      </c>
      <c r="BD140" s="41">
        <v>906.41270259098519</v>
      </c>
      <c r="BE140" s="41">
        <v>932.57881167231028</v>
      </c>
      <c r="BF140" s="41">
        <v>997.69429123156522</v>
      </c>
      <c r="BG140" s="41">
        <v>1052.6878150321095</v>
      </c>
      <c r="BH140" s="41">
        <v>1011.5253451403165</v>
      </c>
      <c r="BI140" s="41">
        <v>986.92482356393214</v>
      </c>
      <c r="BJ140" s="41">
        <v>1053.9635221911735</v>
      </c>
      <c r="BK140" s="41">
        <v>1065.291105560224</v>
      </c>
      <c r="BL140" s="41">
        <v>1094.8944002306853</v>
      </c>
      <c r="BM140" s="41">
        <v>1068.7981404771233</v>
      </c>
    </row>
    <row r="141" spans="1:65" x14ac:dyDescent="0.35">
      <c r="A141" s="41" t="s">
        <v>377</v>
      </c>
      <c r="B141" s="41" t="s">
        <v>378</v>
      </c>
      <c r="C141" s="41" t="s">
        <v>659</v>
      </c>
      <c r="D141" s="41" t="s">
        <v>660</v>
      </c>
      <c r="L141" s="41">
        <v>123.14088061477005</v>
      </c>
      <c r="M141" s="41">
        <v>126.10163623000882</v>
      </c>
      <c r="N141" s="41">
        <v>141.25303305139551</v>
      </c>
      <c r="O141" s="41">
        <v>143.29281705604438</v>
      </c>
      <c r="P141" s="41">
        <v>155.38185334572347</v>
      </c>
      <c r="Q141" s="41">
        <v>165.84379116980006</v>
      </c>
      <c r="R141" s="41">
        <v>192.88555545780733</v>
      </c>
      <c r="S141" s="41">
        <v>234.27631614235577</v>
      </c>
      <c r="T141" s="41">
        <v>269.47391767167068</v>
      </c>
      <c r="U141" s="41">
        <v>277.93116922190433</v>
      </c>
      <c r="V141" s="41">
        <v>315.16994034454797</v>
      </c>
      <c r="W141" s="41">
        <v>345.77020008080376</v>
      </c>
      <c r="X141" s="41">
        <v>365.39569956209669</v>
      </c>
      <c r="Y141" s="41">
        <v>377.2686813504713</v>
      </c>
      <c r="Z141" s="41">
        <v>379.54594316726457</v>
      </c>
      <c r="AA141" s="41">
        <v>382.49312898973483</v>
      </c>
      <c r="AB141" s="41">
        <v>360.92605014765593</v>
      </c>
      <c r="AC141" s="41">
        <v>340.94288354833571</v>
      </c>
      <c r="AD141" s="41">
        <v>347.65003301437622</v>
      </c>
      <c r="AE141" s="41">
        <v>361.69165352551818</v>
      </c>
      <c r="AF141" s="41">
        <v>380.28603842636676</v>
      </c>
      <c r="AG141" s="41">
        <v>362.20183091870581</v>
      </c>
      <c r="AH141" s="41">
        <v>346.66070674174665</v>
      </c>
      <c r="AI141" s="41">
        <v>353.97687673252165</v>
      </c>
      <c r="AJ141" s="41">
        <v>345.16234110786905</v>
      </c>
      <c r="AK141" s="41">
        <v>302.29293497866473</v>
      </c>
      <c r="AL141" s="41">
        <v>298.8722232993677</v>
      </c>
      <c r="AM141" s="41">
        <v>242.63157001799337</v>
      </c>
      <c r="AN141" s="41">
        <v>265.86133858992827</v>
      </c>
      <c r="AO141" s="41">
        <v>273.15805518018908</v>
      </c>
      <c r="AP141" s="41">
        <v>283.63192964995852</v>
      </c>
      <c r="AQ141" s="41">
        <v>276.77902535468218</v>
      </c>
      <c r="AR141" s="41">
        <v>270.94751653531358</v>
      </c>
      <c r="AS141" s="41">
        <v>324.88149218718041</v>
      </c>
      <c r="AT141" s="41">
        <v>295.01540865103999</v>
      </c>
      <c r="AU141" s="41">
        <v>309.62931321196209</v>
      </c>
      <c r="AV141" s="41">
        <v>332.59166084550901</v>
      </c>
      <c r="AW141" s="41">
        <v>373.99851101928141</v>
      </c>
      <c r="AX141" s="41">
        <v>425.37833555388204</v>
      </c>
      <c r="AY141" s="41">
        <v>484.77579994396905</v>
      </c>
      <c r="AZ141" s="41">
        <v>575.35693004274833</v>
      </c>
      <c r="BA141" s="41">
        <v>679.5375024785327</v>
      </c>
      <c r="BB141" s="41">
        <v>680.7342242938189</v>
      </c>
      <c r="BC141" s="41">
        <v>745.92557298840825</v>
      </c>
      <c r="BD141" s="41">
        <v>773.31601906578953</v>
      </c>
      <c r="BE141" s="41">
        <v>777.73487317149545</v>
      </c>
      <c r="BF141" s="41">
        <v>828.55735853503961</v>
      </c>
      <c r="BG141" s="41">
        <v>874.32299148341394</v>
      </c>
      <c r="BH141" s="41">
        <v>851.35523640937504</v>
      </c>
      <c r="BI141" s="41">
        <v>785.63387413829798</v>
      </c>
      <c r="BJ141" s="41">
        <v>790.85852904006595</v>
      </c>
      <c r="BK141" s="41">
        <v>795.95315915676645</v>
      </c>
      <c r="BL141" s="41">
        <v>820.89618229987354</v>
      </c>
      <c r="BM141" s="41">
        <v>821.86293083346857</v>
      </c>
    </row>
    <row r="142" spans="1:65" x14ac:dyDescent="0.35">
      <c r="A142" s="41" t="s">
        <v>379</v>
      </c>
      <c r="B142" s="41" t="s">
        <v>380</v>
      </c>
      <c r="C142" s="41" t="s">
        <v>659</v>
      </c>
      <c r="D142" s="41" t="s">
        <v>660</v>
      </c>
      <c r="O142" s="41">
        <v>4236.3330198160174</v>
      </c>
      <c r="P142" s="41">
        <v>4827.1263367823722</v>
      </c>
      <c r="Q142" s="41">
        <v>5637.9190925713374</v>
      </c>
      <c r="R142" s="41">
        <v>7355.0803071373757</v>
      </c>
      <c r="S142" s="41">
        <v>8439.5788758698691</v>
      </c>
      <c r="T142" s="41">
        <v>10513.20529003067</v>
      </c>
      <c r="U142" s="41">
        <v>11385.696695802586</v>
      </c>
      <c r="V142" s="41">
        <v>12412.427968744916</v>
      </c>
      <c r="W142" s="41">
        <v>17499.125950567955</v>
      </c>
      <c r="X142" s="41">
        <v>19761.248477971454</v>
      </c>
      <c r="Y142" s="41">
        <v>20660.017604317993</v>
      </c>
      <c r="Z142" s="41">
        <v>19507.36553284695</v>
      </c>
      <c r="AA142" s="41">
        <v>19677.018485588011</v>
      </c>
      <c r="AB142" s="41">
        <v>19560.810371653799</v>
      </c>
      <c r="AC142" s="41">
        <v>18596.172687844948</v>
      </c>
      <c r="AD142" s="41">
        <v>19390.126642376166</v>
      </c>
      <c r="AE142" s="41">
        <v>28287.063284060096</v>
      </c>
      <c r="AF142" s="41">
        <v>37824.44216416328</v>
      </c>
      <c r="AG142" s="41">
        <v>41292.257722323193</v>
      </c>
      <c r="AH142" s="41">
        <v>39368.727087998268</v>
      </c>
      <c r="AI142" s="41">
        <v>49373.610266145821</v>
      </c>
      <c r="AJ142" s="41">
        <v>50886.375310814037</v>
      </c>
      <c r="AK142" s="41">
        <v>55197.547010659044</v>
      </c>
      <c r="AL142" s="41">
        <v>55794.327334301102</v>
      </c>
      <c r="AM142" s="41">
        <v>64051.23221047211</v>
      </c>
      <c r="AN142" s="41">
        <v>78631.6991111526</v>
      </c>
      <c r="AO142" s="41">
        <v>79863.279084875438</v>
      </c>
      <c r="AP142" s="41">
        <v>72208.934674339122</v>
      </c>
      <c r="AQ142" s="41">
        <v>76757.300218987293</v>
      </c>
      <c r="AR142" s="41">
        <v>81307.06836748292</v>
      </c>
      <c r="AS142" s="41">
        <v>74853.93872935402</v>
      </c>
      <c r="AT142" s="41">
        <v>74287.413373954623</v>
      </c>
      <c r="AU142" s="41">
        <v>79345.752472570239</v>
      </c>
      <c r="AV142" s="41">
        <v>89859.865372872344</v>
      </c>
      <c r="AW142" s="41">
        <v>100289.24300217828</v>
      </c>
      <c r="AX142" s="41">
        <v>105399.260494824</v>
      </c>
      <c r="AY142" s="41">
        <v>114374.2465364192</v>
      </c>
      <c r="AZ142" s="41">
        <v>130655.63695973717</v>
      </c>
      <c r="BA142" s="41">
        <v>143264.05943258631</v>
      </c>
      <c r="BB142" s="41">
        <v>126096.61042540193</v>
      </c>
      <c r="BC142" s="41">
        <v>141192.53467301762</v>
      </c>
      <c r="BD142" s="41">
        <v>158130.45751887042</v>
      </c>
      <c r="BE142" s="41">
        <v>149010.22489866463</v>
      </c>
      <c r="BF142" s="41">
        <v>173030.20827936332</v>
      </c>
      <c r="BG142" s="41">
        <v>178864.8519137853</v>
      </c>
      <c r="BH142" s="41">
        <v>167313.26628044862</v>
      </c>
      <c r="BI142" s="41">
        <v>165642.38627555457</v>
      </c>
      <c r="BJ142" s="41">
        <v>171253.96425379728</v>
      </c>
      <c r="BK142" s="41">
        <v>180366.71519757481</v>
      </c>
    </row>
    <row r="143" spans="1:65" x14ac:dyDescent="0.35">
      <c r="A143" s="41" t="s">
        <v>381</v>
      </c>
      <c r="B143" s="41" t="s">
        <v>382</v>
      </c>
      <c r="C143" s="41" t="s">
        <v>659</v>
      </c>
      <c r="D143" s="41" t="s">
        <v>660</v>
      </c>
      <c r="E143" s="41">
        <v>142.77962188371637</v>
      </c>
      <c r="F143" s="41">
        <v>142.83814237162116</v>
      </c>
      <c r="G143" s="41">
        <v>138.53665398020735</v>
      </c>
      <c r="H143" s="41">
        <v>117.07198827607931</v>
      </c>
      <c r="I143" s="41">
        <v>120.71434798061452</v>
      </c>
      <c r="J143" s="41">
        <v>152.85267545219122</v>
      </c>
      <c r="K143" s="41">
        <v>153.89879134789524</v>
      </c>
      <c r="L143" s="41">
        <v>159.50599139416019</v>
      </c>
      <c r="M143" s="41">
        <v>150.89661921481633</v>
      </c>
      <c r="N143" s="41">
        <v>160.91318755408494</v>
      </c>
      <c r="O143" s="41">
        <v>183.9275304423619</v>
      </c>
      <c r="P143" s="41">
        <v>185.85974353890228</v>
      </c>
      <c r="Q143" s="41">
        <v>196.42288766751241</v>
      </c>
      <c r="R143" s="41">
        <v>216.99500748300281</v>
      </c>
      <c r="S143" s="41">
        <v>264.74631415057695</v>
      </c>
      <c r="T143" s="41">
        <v>275.62771952002669</v>
      </c>
      <c r="U143" s="41">
        <v>256.28680680184425</v>
      </c>
      <c r="V143" s="41">
        <v>287.56163664635642</v>
      </c>
      <c r="W143" s="41">
        <v>188.05848125587931</v>
      </c>
      <c r="X143" s="41">
        <v>227.50976526810709</v>
      </c>
      <c r="Y143" s="41">
        <v>267.66857718468185</v>
      </c>
      <c r="Z143" s="41">
        <v>289.13085976148722</v>
      </c>
      <c r="AA143" s="41">
        <v>307.63824351897932</v>
      </c>
      <c r="AB143" s="41">
        <v>328.65063833046776</v>
      </c>
      <c r="AC143" s="41">
        <v>378.93685699786425</v>
      </c>
      <c r="AD143" s="41">
        <v>369.58189601403296</v>
      </c>
      <c r="AE143" s="41">
        <v>390.35071135546468</v>
      </c>
      <c r="AF143" s="41">
        <v>401.47709592390277</v>
      </c>
      <c r="AG143" s="41">
        <v>413.4550704242597</v>
      </c>
      <c r="AH143" s="41">
        <v>408.4508668724805</v>
      </c>
      <c r="AI143" s="41">
        <v>463.61873884155671</v>
      </c>
      <c r="AJ143" s="41">
        <v>513.25844747061922</v>
      </c>
      <c r="AK143" s="41">
        <v>547.05453438012603</v>
      </c>
      <c r="AL143" s="41">
        <v>576.77988388739197</v>
      </c>
      <c r="AM143" s="41">
        <v>647.57915642213959</v>
      </c>
      <c r="AN143" s="41">
        <v>714.23323150434817</v>
      </c>
      <c r="AO143" s="41">
        <v>756.65699051132628</v>
      </c>
      <c r="AP143" s="41">
        <v>817.06448169296289</v>
      </c>
      <c r="AQ143" s="41">
        <v>850.81160387115074</v>
      </c>
      <c r="AR143" s="41">
        <v>838.88346282564646</v>
      </c>
      <c r="AS143" s="41">
        <v>869.69628503104309</v>
      </c>
      <c r="AT143" s="41">
        <v>832.80357234610972</v>
      </c>
      <c r="AU143" s="41">
        <v>867.4914867871006</v>
      </c>
      <c r="AV143" s="41">
        <v>982.19569695016617</v>
      </c>
      <c r="AW143" s="41">
        <v>1065.7844368019662</v>
      </c>
      <c r="AX143" s="41">
        <v>1248.6981851703424</v>
      </c>
      <c r="AY143" s="41">
        <v>1435.8168129761614</v>
      </c>
      <c r="AZ143" s="41">
        <v>1630.3889060432282</v>
      </c>
      <c r="BA143" s="41">
        <v>2037.3221030266832</v>
      </c>
      <c r="BB143" s="41">
        <v>2090.4018261396004</v>
      </c>
      <c r="BC143" s="41">
        <v>2799.6487380255489</v>
      </c>
      <c r="BD143" s="41">
        <v>3200.8611323828213</v>
      </c>
      <c r="BE143" s="41">
        <v>3350.5218758928913</v>
      </c>
      <c r="BF143" s="41">
        <v>3610.2893630489775</v>
      </c>
      <c r="BG143" s="41">
        <v>3819.2535297226459</v>
      </c>
      <c r="BH143" s="41">
        <v>3843.780671844419</v>
      </c>
      <c r="BI143" s="41">
        <v>3886.2915016523889</v>
      </c>
      <c r="BJ143" s="41">
        <v>4076.747002827331</v>
      </c>
      <c r="BK143" s="41">
        <v>4058.8035109417065</v>
      </c>
      <c r="BL143" s="41">
        <v>3851.5609895153525</v>
      </c>
      <c r="BM143" s="41">
        <v>3682.0384245928153</v>
      </c>
    </row>
    <row r="144" spans="1:65" x14ac:dyDescent="0.35">
      <c r="A144" s="41" t="s">
        <v>383</v>
      </c>
      <c r="B144" s="41" t="s">
        <v>384</v>
      </c>
      <c r="C144" s="41" t="s">
        <v>659</v>
      </c>
      <c r="D144" s="41" t="s">
        <v>660</v>
      </c>
      <c r="E144" s="41">
        <v>89.820228086474344</v>
      </c>
      <c r="F144" s="41">
        <v>92.881918696916713</v>
      </c>
      <c r="G144" s="41">
        <v>92.627773506841535</v>
      </c>
      <c r="H144" s="41">
        <v>100.71539501542617</v>
      </c>
      <c r="I144" s="41">
        <v>110.84076851655097</v>
      </c>
      <c r="J144" s="41">
        <v>117.0583635312091</v>
      </c>
      <c r="K144" s="41">
        <v>105.10260157000107</v>
      </c>
      <c r="L144" s="41">
        <v>109.70173453258202</v>
      </c>
      <c r="M144" s="41">
        <v>115.35234168482624</v>
      </c>
      <c r="N144" s="41">
        <v>125.32632076653749</v>
      </c>
      <c r="O144" s="41">
        <v>135.74997360421781</v>
      </c>
      <c r="P144" s="41">
        <v>139.71085104163481</v>
      </c>
      <c r="Q144" s="41">
        <v>148.59411745701559</v>
      </c>
      <c r="R144" s="41">
        <v>178.62390704532444</v>
      </c>
      <c r="S144" s="41">
        <v>232.62173757095061</v>
      </c>
      <c r="T144" s="41">
        <v>252.31497106532549</v>
      </c>
      <c r="U144" s="41">
        <v>274.17153760095425</v>
      </c>
      <c r="V144" s="41">
        <v>308.04706915831014</v>
      </c>
      <c r="W144" s="41">
        <v>331.72676145312965</v>
      </c>
      <c r="X144" s="41">
        <v>372.2535913008528</v>
      </c>
      <c r="Y144" s="41">
        <v>441.13018389591781</v>
      </c>
      <c r="Z144" s="41">
        <v>517.81792128483755</v>
      </c>
      <c r="AA144" s="41">
        <v>519.98630198658441</v>
      </c>
      <c r="AB144" s="41">
        <v>501.50890578870712</v>
      </c>
      <c r="AC144" s="41">
        <v>483.2794584761341</v>
      </c>
      <c r="AD144" s="41">
        <v>502.55276559180618</v>
      </c>
      <c r="AE144" s="41">
        <v>521.77202486628437</v>
      </c>
      <c r="AF144" s="41">
        <v>498.93528994916045</v>
      </c>
      <c r="AG144" s="41">
        <v>496.81127739952365</v>
      </c>
      <c r="AH144" s="41">
        <v>485.3870992139847</v>
      </c>
      <c r="AI144" s="41">
        <v>510.83704639867852</v>
      </c>
      <c r="AJ144" s="41">
        <v>470.34296262473623</v>
      </c>
      <c r="AK144" s="41">
        <v>488.29554130433587</v>
      </c>
      <c r="AL144" s="41">
        <v>482.17946848575031</v>
      </c>
      <c r="AM144" s="41">
        <v>509.53816339368268</v>
      </c>
      <c r="AN144" s="41">
        <v>566.97273801688641</v>
      </c>
      <c r="AO144" s="41">
        <v>618.74280375600131</v>
      </c>
      <c r="AP144" s="41">
        <v>620.86413573123014</v>
      </c>
      <c r="AQ144" s="41">
        <v>558.81405894874592</v>
      </c>
      <c r="AR144" s="41">
        <v>592.92820152855484</v>
      </c>
      <c r="AS144" s="41">
        <v>612.66463247567572</v>
      </c>
      <c r="AT144" s="41">
        <v>615.67816489103734</v>
      </c>
      <c r="AU144" s="41">
        <v>648.5027178073592</v>
      </c>
      <c r="AV144" s="41">
        <v>732.60057673025949</v>
      </c>
      <c r="AW144" s="41">
        <v>835.06211685785047</v>
      </c>
      <c r="AX144" s="41">
        <v>955.25797030804574</v>
      </c>
      <c r="AY144" s="41">
        <v>1115.9959810410028</v>
      </c>
      <c r="AZ144" s="41">
        <v>1350.9569397676446</v>
      </c>
      <c r="BA144" s="41">
        <v>1503.9315278934855</v>
      </c>
      <c r="BB144" s="41">
        <v>1504.9621943416369</v>
      </c>
      <c r="BC144" s="41">
        <v>1801.8258522769559</v>
      </c>
      <c r="BD144" s="41">
        <v>2020.2079668991548</v>
      </c>
      <c r="BE144" s="41">
        <v>2087.3228771883664</v>
      </c>
      <c r="BF144" s="41">
        <v>2093.3786117365094</v>
      </c>
      <c r="BG144" s="41">
        <v>2145.4957307940913</v>
      </c>
      <c r="BH144" s="41">
        <v>2074.9779570182195</v>
      </c>
      <c r="BI144" s="41">
        <v>2134.9361088713636</v>
      </c>
      <c r="BJ144" s="41">
        <v>2266.9353027455577</v>
      </c>
      <c r="BK144" s="41">
        <v>2264.3929395018572</v>
      </c>
      <c r="BL144" s="41">
        <v>2352.7836941880705</v>
      </c>
      <c r="BM144" s="41">
        <v>2200.4017576113238</v>
      </c>
    </row>
    <row r="145" spans="1:65" x14ac:dyDescent="0.35">
      <c r="A145" s="41" t="s">
        <v>385</v>
      </c>
      <c r="B145" s="41" t="s">
        <v>386</v>
      </c>
      <c r="C145" s="41" t="s">
        <v>659</v>
      </c>
      <c r="D145" s="41" t="s">
        <v>660</v>
      </c>
      <c r="E145" s="41">
        <v>147.8627404066965</v>
      </c>
      <c r="F145" s="41">
        <v>139.98942717556855</v>
      </c>
      <c r="G145" s="41">
        <v>143.14160052571717</v>
      </c>
      <c r="H145" s="41">
        <v>150.62585803532167</v>
      </c>
      <c r="I145" s="41">
        <v>165.3642032039256</v>
      </c>
      <c r="J145" s="41">
        <v>178.31534633067886</v>
      </c>
      <c r="K145" s="41">
        <v>180.19623738320018</v>
      </c>
      <c r="L145" s="41">
        <v>180.75218981933918</v>
      </c>
      <c r="M145" s="41">
        <v>186.48810957174027</v>
      </c>
      <c r="N145" s="41">
        <v>203.90830995331277</v>
      </c>
      <c r="O145" s="41">
        <v>218.28458719039415</v>
      </c>
      <c r="P145" s="41">
        <v>229.67171739476473</v>
      </c>
      <c r="Q145" s="41">
        <v>251.21738700794629</v>
      </c>
      <c r="R145" s="41">
        <v>310.75876993056085</v>
      </c>
      <c r="S145" s="41">
        <v>386.42514620018613</v>
      </c>
      <c r="T145" s="41">
        <v>418.96070136190815</v>
      </c>
      <c r="U145" s="41">
        <v>443.18990328329522</v>
      </c>
      <c r="V145" s="41">
        <v>488.29828978641643</v>
      </c>
      <c r="W145" s="41">
        <v>519.85141301869692</v>
      </c>
      <c r="X145" s="41">
        <v>605.41861283160063</v>
      </c>
      <c r="Y145" s="41">
        <v>695.86943150852971</v>
      </c>
      <c r="Z145" s="41">
        <v>769.1114288699232</v>
      </c>
      <c r="AA145" s="41">
        <v>744.95137592937851</v>
      </c>
      <c r="AB145" s="41">
        <v>705.98975169716698</v>
      </c>
      <c r="AC145" s="41">
        <v>702.17411730444553</v>
      </c>
      <c r="AD145" s="41">
        <v>725.81760128427379</v>
      </c>
      <c r="AE145" s="41">
        <v>737.50557968372254</v>
      </c>
      <c r="AF145" s="41">
        <v>744.58157150268755</v>
      </c>
      <c r="AG145" s="41">
        <v>781.30486957403571</v>
      </c>
      <c r="AH145" s="41">
        <v>794.9633616086029</v>
      </c>
      <c r="AI145" s="41">
        <v>888.05051403690072</v>
      </c>
      <c r="AJ145" s="41">
        <v>885.36884438958032</v>
      </c>
      <c r="AK145" s="41">
        <v>862.19076833323152</v>
      </c>
      <c r="AL145" s="41">
        <v>904.31780061626932</v>
      </c>
      <c r="AM145" s="41">
        <v>964.94224186038605</v>
      </c>
      <c r="AN145" s="41">
        <v>1062.2319078882269</v>
      </c>
      <c r="AO145" s="41">
        <v>1143.258292310577</v>
      </c>
      <c r="AP145" s="41">
        <v>1190.5850129688297</v>
      </c>
      <c r="AQ145" s="41">
        <v>1137.6616691918714</v>
      </c>
      <c r="AR145" s="41">
        <v>1095.8088741442511</v>
      </c>
      <c r="AS145" s="41">
        <v>1179.985515375764</v>
      </c>
      <c r="AT145" s="41">
        <v>1173.6757753804125</v>
      </c>
      <c r="AU145" s="41">
        <v>1187.4198955257079</v>
      </c>
      <c r="AV145" s="41">
        <v>1320.0561988942998</v>
      </c>
      <c r="AW145" s="41">
        <v>1545.9230237095687</v>
      </c>
      <c r="AX145" s="41">
        <v>1816.8054586804192</v>
      </c>
      <c r="AY145" s="41">
        <v>2129.6491313746124</v>
      </c>
      <c r="AZ145" s="41">
        <v>2604.1294439742505</v>
      </c>
      <c r="BA145" s="41">
        <v>3077.7825673439884</v>
      </c>
      <c r="BB145" s="41">
        <v>2963.7135577274707</v>
      </c>
      <c r="BC145" s="41">
        <v>3548.5005464305959</v>
      </c>
      <c r="BD145" s="41">
        <v>4156.6596109512648</v>
      </c>
      <c r="BE145" s="41">
        <v>4370.9902233369612</v>
      </c>
      <c r="BF145" s="41">
        <v>4578.6379871257395</v>
      </c>
      <c r="BG145" s="41">
        <v>4674.2920658866706</v>
      </c>
      <c r="BH145" s="41">
        <v>4382.3402813432358</v>
      </c>
      <c r="BI145" s="41">
        <v>4353.0844048139616</v>
      </c>
      <c r="BJ145" s="41">
        <v>4721.7487778466766</v>
      </c>
      <c r="BK145" s="41">
        <v>4944.4327190246631</v>
      </c>
      <c r="BL145" s="41">
        <v>5012.7548752898647</v>
      </c>
      <c r="BM145" s="41">
        <v>4759.2442614618712</v>
      </c>
    </row>
    <row r="146" spans="1:65" x14ac:dyDescent="0.35">
      <c r="A146" s="41" t="s">
        <v>10</v>
      </c>
      <c r="B146" s="41" t="s">
        <v>387</v>
      </c>
      <c r="C146" s="41" t="s">
        <v>659</v>
      </c>
      <c r="D146" s="41" t="s">
        <v>660</v>
      </c>
      <c r="E146" s="41">
        <v>41.300364537149235</v>
      </c>
      <c r="F146" s="41">
        <v>41.856748585142924</v>
      </c>
      <c r="G146" s="41">
        <v>48.16203156338009</v>
      </c>
      <c r="H146" s="41">
        <v>53.087833928832907</v>
      </c>
      <c r="I146" s="41">
        <v>57.470051375287362</v>
      </c>
      <c r="J146" s="41">
        <v>59.501773728217998</v>
      </c>
      <c r="K146" s="41">
        <v>60.202788732487797</v>
      </c>
      <c r="L146" s="41">
        <v>61.58381798179564</v>
      </c>
      <c r="M146" s="41">
        <v>62.46399612942168</v>
      </c>
      <c r="N146" s="41">
        <v>65.579042943547364</v>
      </c>
      <c r="O146" s="41">
        <v>66.805929681800947</v>
      </c>
      <c r="P146" s="41">
        <v>72.658866036312673</v>
      </c>
      <c r="Q146" s="41">
        <v>75.123648386158024</v>
      </c>
      <c r="R146" s="41">
        <v>109.87687401312505</v>
      </c>
      <c r="S146" s="41">
        <v>133.41736622891179</v>
      </c>
      <c r="T146" s="41">
        <v>128.84317546226225</v>
      </c>
      <c r="U146" s="41">
        <v>123.71344005677888</v>
      </c>
      <c r="V146" s="41">
        <v>157.34881505192121</v>
      </c>
      <c r="W146" s="41">
        <v>210.68370226507272</v>
      </c>
      <c r="X146" s="41">
        <v>222.72910085802761</v>
      </c>
      <c r="Y146" s="41">
        <v>321.99873194312642</v>
      </c>
      <c r="Z146" s="41">
        <v>315.12956390733268</v>
      </c>
      <c r="AA146" s="41">
        <v>246.40114869501008</v>
      </c>
      <c r="AB146" s="41">
        <v>266.18856045159816</v>
      </c>
      <c r="AC146" s="41">
        <v>223.64357313265569</v>
      </c>
      <c r="AD146" s="41">
        <v>176.01813771673551</v>
      </c>
      <c r="AE146" s="41">
        <v>204.17848672789478</v>
      </c>
      <c r="AF146" s="41">
        <v>252.30275254699455</v>
      </c>
      <c r="AG146" s="41">
        <v>288.4066208002788</v>
      </c>
      <c r="AH146" s="41">
        <v>297.26124414809385</v>
      </c>
      <c r="AI146" s="41">
        <v>350.05878452686852</v>
      </c>
      <c r="AJ146" s="41">
        <v>404.19824965912903</v>
      </c>
      <c r="AK146" s="41">
        <v>466.27470206430019</v>
      </c>
      <c r="AL146" s="41">
        <v>458.55330688424766</v>
      </c>
      <c r="AM146" s="41">
        <v>471.84204493399642</v>
      </c>
      <c r="AN146" s="41">
        <v>527.69983793856284</v>
      </c>
      <c r="AO146" s="41">
        <v>489.13106067749806</v>
      </c>
      <c r="AP146" s="41">
        <v>507.09788890235399</v>
      </c>
      <c r="AQ146" s="41">
        <v>464.80453098857993</v>
      </c>
      <c r="AR146" s="41">
        <v>451.92693417392991</v>
      </c>
      <c r="AS146" s="41">
        <v>436.48813726607068</v>
      </c>
      <c r="AT146" s="41">
        <v>405.60571214895498</v>
      </c>
      <c r="AU146" s="41">
        <v>382.18960863589939</v>
      </c>
      <c r="AV146" s="41">
        <v>573.65177808228532</v>
      </c>
      <c r="AW146" s="41">
        <v>753.37590438084328</v>
      </c>
      <c r="AX146" s="41">
        <v>842.81263096130237</v>
      </c>
      <c r="AY146" s="41">
        <v>904.60612975586889</v>
      </c>
      <c r="AZ146" s="41">
        <v>846.5423207648289</v>
      </c>
      <c r="BA146" s="41">
        <v>889.13428551376239</v>
      </c>
      <c r="BB146" s="41">
        <v>874.72986047420125</v>
      </c>
      <c r="BC146" s="41">
        <v>1119.8436408309333</v>
      </c>
      <c r="BD146" s="41">
        <v>1287.2695364486858</v>
      </c>
      <c r="BE146" s="41">
        <v>1229.6362324742279</v>
      </c>
      <c r="BF146" s="41">
        <v>1166.9117557182997</v>
      </c>
      <c r="BG146" s="41">
        <v>1194.5756269341953</v>
      </c>
      <c r="BH146" s="41">
        <v>1146.0646878730795</v>
      </c>
      <c r="BI146" s="41">
        <v>1018.9310929194469</v>
      </c>
      <c r="BJ146" s="41">
        <v>1102.9444103788653</v>
      </c>
      <c r="BK146" s="41">
        <v>1192.4843195181006</v>
      </c>
      <c r="BL146" s="41">
        <v>1113.3721403358106</v>
      </c>
      <c r="BM146" s="41">
        <v>861.01454809152631</v>
      </c>
    </row>
    <row r="147" spans="1:65" x14ac:dyDescent="0.35">
      <c r="A147" s="41" t="s">
        <v>388</v>
      </c>
      <c r="B147" s="41" t="s">
        <v>389</v>
      </c>
      <c r="C147" s="41" t="s">
        <v>659</v>
      </c>
      <c r="D147" s="41" t="s">
        <v>660</v>
      </c>
      <c r="E147" s="41">
        <v>165.77841719342445</v>
      </c>
      <c r="F147" s="41">
        <v>152.75064618423428</v>
      </c>
      <c r="G147" s="41">
        <v>158.14961974462832</v>
      </c>
      <c r="H147" s="41">
        <v>167.50212848740557</v>
      </c>
      <c r="I147" s="41">
        <v>180.73033752829977</v>
      </c>
      <c r="J147" s="41">
        <v>197.14009925765134</v>
      </c>
      <c r="K147" s="41">
        <v>213.69142035574203</v>
      </c>
      <c r="L147" s="41">
        <v>211.0005381710576</v>
      </c>
      <c r="M147" s="41">
        <v>210.51152583080076</v>
      </c>
      <c r="N147" s="41">
        <v>229.77864790416351</v>
      </c>
      <c r="O147" s="41">
        <v>254.96993644351068</v>
      </c>
      <c r="P147" s="41">
        <v>277.34202112124069</v>
      </c>
      <c r="Q147" s="41">
        <v>311.4562677291263</v>
      </c>
      <c r="R147" s="41">
        <v>387.6864382767389</v>
      </c>
      <c r="S147" s="41">
        <v>447.93831169521314</v>
      </c>
      <c r="T147" s="41">
        <v>483.83314836934596</v>
      </c>
      <c r="U147" s="41">
        <v>519.56023282856222</v>
      </c>
      <c r="V147" s="41">
        <v>594.32950337828936</v>
      </c>
      <c r="W147" s="41">
        <v>610.35258054728126</v>
      </c>
      <c r="X147" s="41">
        <v>718.89877131720277</v>
      </c>
      <c r="Y147" s="41">
        <v>803.66524667664282</v>
      </c>
      <c r="Z147" s="41">
        <v>840.02257390720001</v>
      </c>
      <c r="AA147" s="41">
        <v>846.51944306335645</v>
      </c>
      <c r="AB147" s="41">
        <v>770.61205046573104</v>
      </c>
      <c r="AC147" s="41">
        <v>799.95905054495699</v>
      </c>
      <c r="AD147" s="41">
        <v>842.93579600049191</v>
      </c>
      <c r="AE147" s="41">
        <v>883.13281374537485</v>
      </c>
      <c r="AF147" s="41">
        <v>916.4519430364827</v>
      </c>
      <c r="AG147" s="41">
        <v>994.13658768857783</v>
      </c>
      <c r="AH147" s="41">
        <v>1038.0505929249439</v>
      </c>
      <c r="AI147" s="41">
        <v>1092.6720740785888</v>
      </c>
      <c r="AJ147" s="41">
        <v>1189.4147624444499</v>
      </c>
      <c r="AK147" s="41">
        <v>1101.1827075821034</v>
      </c>
      <c r="AL147" s="41">
        <v>1131.5915236559392</v>
      </c>
      <c r="AM147" s="41">
        <v>1275.6403356837764</v>
      </c>
      <c r="AN147" s="41">
        <v>1542.6629525980218</v>
      </c>
      <c r="AO147" s="41">
        <v>1684.815125811062</v>
      </c>
      <c r="AP147" s="41">
        <v>1747.2376110268606</v>
      </c>
      <c r="AQ147" s="41">
        <v>1666.6579814538668</v>
      </c>
      <c r="AR147" s="41">
        <v>1526.8984951354694</v>
      </c>
      <c r="AS147" s="41">
        <v>1664.0455198128661</v>
      </c>
      <c r="AT147" s="41">
        <v>1707.671612106717</v>
      </c>
      <c r="AU147" s="41">
        <v>1796.9587008633432</v>
      </c>
      <c r="AV147" s="41">
        <v>2034.6806386648764</v>
      </c>
      <c r="AW147" s="41">
        <v>2430.7193878102876</v>
      </c>
      <c r="AX147" s="41">
        <v>2915.3203847005611</v>
      </c>
      <c r="AY147" s="41">
        <v>3496.5291919288379</v>
      </c>
      <c r="AZ147" s="41">
        <v>4378.1434321016313</v>
      </c>
      <c r="BA147" s="41">
        <v>5408.9672257275352</v>
      </c>
      <c r="BB147" s="41">
        <v>5194.5820396015924</v>
      </c>
      <c r="BC147" s="41">
        <v>6193.4254330233189</v>
      </c>
      <c r="BD147" s="41">
        <v>7502.5517854116915</v>
      </c>
      <c r="BE147" s="41">
        <v>7978.5038149387719</v>
      </c>
      <c r="BF147" s="41">
        <v>8547.8173367494637</v>
      </c>
      <c r="BG147" s="41">
        <v>8819.0438373737998</v>
      </c>
      <c r="BH147" s="41">
        <v>8219.8401611349655</v>
      </c>
      <c r="BI147" s="41">
        <v>8190.5352130285019</v>
      </c>
      <c r="BJ147" s="41">
        <v>9034.2263745357104</v>
      </c>
      <c r="BK147" s="41">
        <v>9849.8612125309191</v>
      </c>
      <c r="BL147" s="41">
        <v>9989.8734177872338</v>
      </c>
      <c r="BM147" s="41">
        <v>9758.4482715153663</v>
      </c>
    </row>
    <row r="148" spans="1:65" x14ac:dyDescent="0.35">
      <c r="A148" s="41" t="s">
        <v>390</v>
      </c>
      <c r="B148" s="41" t="s">
        <v>391</v>
      </c>
      <c r="C148" s="41" t="s">
        <v>659</v>
      </c>
      <c r="D148" s="41" t="s">
        <v>660</v>
      </c>
      <c r="AN148" s="41">
        <v>2167.7925821145423</v>
      </c>
      <c r="AO148" s="41">
        <v>2327.4348569549907</v>
      </c>
      <c r="AP148" s="41">
        <v>2830.2780708913119</v>
      </c>
      <c r="AQ148" s="41">
        <v>3166.6665326450852</v>
      </c>
      <c r="AR148" s="41">
        <v>3113.1790601985872</v>
      </c>
      <c r="AS148" s="41">
        <v>3293.2299786708563</v>
      </c>
      <c r="AT148" s="41">
        <v>3525.7936318546144</v>
      </c>
      <c r="AU148" s="41">
        <v>4141.5927018010188</v>
      </c>
      <c r="AV148" s="41">
        <v>5499.4289891138669</v>
      </c>
      <c r="AW148" s="41">
        <v>6700.3271918938217</v>
      </c>
      <c r="AX148" s="41">
        <v>7854.7652786785529</v>
      </c>
      <c r="AY148" s="41">
        <v>9230.7079810252089</v>
      </c>
      <c r="AZ148" s="41">
        <v>12285.44705370142</v>
      </c>
      <c r="BA148" s="41">
        <v>14944.996652175008</v>
      </c>
      <c r="BB148" s="41">
        <v>11820.776159135927</v>
      </c>
      <c r="BC148" s="41">
        <v>11987.508411647046</v>
      </c>
      <c r="BD148" s="41">
        <v>14376.94786439316</v>
      </c>
      <c r="BE148" s="41">
        <v>14367.70942487197</v>
      </c>
      <c r="BF148" s="41">
        <v>15729.652466651236</v>
      </c>
      <c r="BG148" s="41">
        <v>16551.018202077976</v>
      </c>
      <c r="BH148" s="41">
        <v>14258.229334512813</v>
      </c>
      <c r="BI148" s="41">
        <v>14998.125059513717</v>
      </c>
      <c r="BJ148" s="41">
        <v>16843.699654691009</v>
      </c>
      <c r="BK148" s="41">
        <v>19166.812272892017</v>
      </c>
      <c r="BL148" s="41">
        <v>19555.211065253854</v>
      </c>
      <c r="BM148" s="41">
        <v>19997.592526211218</v>
      </c>
    </row>
    <row r="149" spans="1:65" x14ac:dyDescent="0.35">
      <c r="A149" s="41" t="s">
        <v>392</v>
      </c>
      <c r="B149" s="41" t="s">
        <v>393</v>
      </c>
      <c r="C149" s="41" t="s">
        <v>659</v>
      </c>
      <c r="D149" s="41" t="s">
        <v>660</v>
      </c>
      <c r="E149" s="41">
        <v>2242.0158166161027</v>
      </c>
      <c r="F149" s="41">
        <v>2222.3663663627735</v>
      </c>
      <c r="G149" s="41">
        <v>2311.7988489361937</v>
      </c>
      <c r="H149" s="41">
        <v>2441.0385553000779</v>
      </c>
      <c r="I149" s="41">
        <v>2755.6331165327915</v>
      </c>
      <c r="J149" s="41">
        <v>2780.0927188658402</v>
      </c>
      <c r="K149" s="41">
        <v>2900.4332184397813</v>
      </c>
      <c r="L149" s="41">
        <v>2909.6606293685777</v>
      </c>
      <c r="M149" s="41">
        <v>3175.36736882691</v>
      </c>
      <c r="N149" s="41">
        <v>3658.9006829688751</v>
      </c>
      <c r="O149" s="41">
        <v>4449.5411003838462</v>
      </c>
      <c r="P149" s="41">
        <v>4591.7487084087925</v>
      </c>
      <c r="Q149" s="41">
        <v>5680.1309530401331</v>
      </c>
      <c r="R149" s="41">
        <v>7709.7285008874214</v>
      </c>
      <c r="S149" s="41">
        <v>9282.8069421357613</v>
      </c>
      <c r="T149" s="41">
        <v>9008.0291127356249</v>
      </c>
      <c r="U149" s="41">
        <v>9825.239714758116</v>
      </c>
      <c r="V149" s="41">
        <v>10855.98185719627</v>
      </c>
      <c r="W149" s="41">
        <v>13493.85152102067</v>
      </c>
      <c r="X149" s="41">
        <v>15740.289393013192</v>
      </c>
      <c r="Y149" s="41">
        <v>17113.842630516563</v>
      </c>
      <c r="Z149" s="41">
        <v>14324.892863546191</v>
      </c>
      <c r="AA149" s="41">
        <v>13034.81214317762</v>
      </c>
      <c r="AB149" s="41">
        <v>12810.218833589754</v>
      </c>
      <c r="AC149" s="41">
        <v>12554.417756388815</v>
      </c>
      <c r="AD149" s="41">
        <v>12921.958421081719</v>
      </c>
      <c r="AE149" s="41">
        <v>18789.657321071143</v>
      </c>
      <c r="AF149" s="41">
        <v>23234.56512180364</v>
      </c>
      <c r="AG149" s="41">
        <v>26108.344551151524</v>
      </c>
      <c r="AH149" s="41">
        <v>27556.364131543127</v>
      </c>
      <c r="AI149" s="41">
        <v>34645.143244340128</v>
      </c>
      <c r="AJ149" s="41">
        <v>37007.437525851237</v>
      </c>
      <c r="AK149" s="41">
        <v>40965.743038274064</v>
      </c>
      <c r="AL149" s="41">
        <v>41479.088377847853</v>
      </c>
      <c r="AM149" s="41">
        <v>45481.891005037483</v>
      </c>
      <c r="AN149" s="41">
        <v>52831.252366067398</v>
      </c>
      <c r="AO149" s="41">
        <v>52571.934991820803</v>
      </c>
      <c r="AP149" s="41">
        <v>47042.34710778817</v>
      </c>
      <c r="AQ149" s="41">
        <v>47584.464391610876</v>
      </c>
      <c r="AR149" s="41">
        <v>51654.402795181864</v>
      </c>
      <c r="AS149" s="41">
        <v>48735.995492187038</v>
      </c>
      <c r="AT149" s="41">
        <v>48179.420852604744</v>
      </c>
      <c r="AU149" s="41">
        <v>52930.641152264077</v>
      </c>
      <c r="AV149" s="41">
        <v>65445.885030740668</v>
      </c>
      <c r="AW149" s="41">
        <v>75716.351078988358</v>
      </c>
      <c r="AX149" s="41">
        <v>80289.696409953962</v>
      </c>
      <c r="AY149" s="41">
        <v>89739.711696130122</v>
      </c>
      <c r="AZ149" s="41">
        <v>106018.49279067384</v>
      </c>
      <c r="BA149" s="41">
        <v>114293.8433208702</v>
      </c>
      <c r="BB149" s="41">
        <v>103198.66931262465</v>
      </c>
      <c r="BC149" s="41">
        <v>104965.30607826698</v>
      </c>
      <c r="BD149" s="41">
        <v>115761.50770509611</v>
      </c>
      <c r="BE149" s="41">
        <v>106749.01362298925</v>
      </c>
      <c r="BF149" s="41">
        <v>113625.13289955996</v>
      </c>
      <c r="BG149" s="41">
        <v>118823.64836857481</v>
      </c>
      <c r="BH149" s="41">
        <v>101376.4965743388</v>
      </c>
      <c r="BI149" s="41">
        <v>104278.39097190465</v>
      </c>
      <c r="BJ149" s="41">
        <v>107361.30694727054</v>
      </c>
      <c r="BK149" s="41">
        <v>116597.29563795392</v>
      </c>
      <c r="BL149" s="41">
        <v>114685.16842414942</v>
      </c>
      <c r="BM149" s="41">
        <v>115873.60263020343</v>
      </c>
    </row>
    <row r="150" spans="1:65" x14ac:dyDescent="0.35">
      <c r="A150" s="41" t="s">
        <v>394</v>
      </c>
      <c r="B150" s="41" t="s">
        <v>395</v>
      </c>
      <c r="C150" s="41" t="s">
        <v>659</v>
      </c>
      <c r="D150" s="41" t="s">
        <v>660</v>
      </c>
      <c r="AN150" s="41">
        <v>2328.2275380885517</v>
      </c>
      <c r="AO150" s="41">
        <v>2429.2124781778316</v>
      </c>
      <c r="AP150" s="41">
        <v>2680.6446431474287</v>
      </c>
      <c r="AQ150" s="41">
        <v>2970.5863505849038</v>
      </c>
      <c r="AR150" s="41">
        <v>3148.0715434612071</v>
      </c>
      <c r="AS150" s="41">
        <v>3357.5864357385453</v>
      </c>
      <c r="AT150" s="41">
        <v>3573.3027289880592</v>
      </c>
      <c r="AU150" s="41">
        <v>4131.8000019136352</v>
      </c>
      <c r="AV150" s="41">
        <v>5135.3529249599042</v>
      </c>
      <c r="AW150" s="41">
        <v>6363.723386920904</v>
      </c>
      <c r="AX150" s="41">
        <v>7575.1833932391864</v>
      </c>
      <c r="AY150" s="41">
        <v>9699.7216623406603</v>
      </c>
      <c r="AZ150" s="41">
        <v>14091.047650113451</v>
      </c>
      <c r="BA150" s="41">
        <v>16422.111978842528</v>
      </c>
      <c r="BB150" s="41">
        <v>12288.213831243456</v>
      </c>
      <c r="BC150" s="41">
        <v>11379.798063618106</v>
      </c>
      <c r="BD150" s="41">
        <v>13776.088776619941</v>
      </c>
      <c r="BE150" s="41">
        <v>13923.473980066314</v>
      </c>
      <c r="BF150" s="41">
        <v>15122.735278186596</v>
      </c>
      <c r="BG150" s="41">
        <v>15713.536972818953</v>
      </c>
      <c r="BH150" s="41">
        <v>13774.605273911382</v>
      </c>
      <c r="BI150" s="41">
        <v>14315.792894977787</v>
      </c>
      <c r="BJ150" s="41">
        <v>15643.485634321958</v>
      </c>
      <c r="BK150" s="41">
        <v>17849.559297634565</v>
      </c>
      <c r="BL150" s="41">
        <v>17794.478616781202</v>
      </c>
      <c r="BM150" s="41">
        <v>17619.952390739916</v>
      </c>
    </row>
    <row r="151" spans="1:65" x14ac:dyDescent="0.35">
      <c r="A151" s="41" t="s">
        <v>396</v>
      </c>
      <c r="B151" s="41" t="s">
        <v>397</v>
      </c>
      <c r="C151" s="41" t="s">
        <v>659</v>
      </c>
      <c r="D151" s="41" t="s">
        <v>660</v>
      </c>
      <c r="AA151" s="41">
        <v>4549.0168367428378</v>
      </c>
      <c r="AB151" s="41">
        <v>4342.342034300731</v>
      </c>
      <c r="AC151" s="41">
        <v>4796.9329895724386</v>
      </c>
      <c r="AD151" s="41">
        <v>4804.682041330504</v>
      </c>
      <c r="AE151" s="41">
        <v>5183.0601795153243</v>
      </c>
      <c r="AF151" s="41">
        <v>6352.5226561298596</v>
      </c>
      <c r="AG151" s="41">
        <v>7135.115518425946</v>
      </c>
      <c r="AH151" s="41">
        <v>8130.4025948995177</v>
      </c>
      <c r="AI151" s="41">
        <v>9442.4866651419252</v>
      </c>
      <c r="AJ151" s="41">
        <v>10647.571540658779</v>
      </c>
      <c r="AK151" s="41">
        <v>13564.12521697402</v>
      </c>
      <c r="AL151" s="41">
        <v>15304.287094021051</v>
      </c>
      <c r="AM151" s="41">
        <v>16704.898828025824</v>
      </c>
      <c r="AN151" s="41">
        <v>18277.042504339523</v>
      </c>
      <c r="AO151" s="41">
        <v>18244.358960362719</v>
      </c>
      <c r="AP151" s="41">
        <v>18107.659847124847</v>
      </c>
      <c r="AQ151" s="41">
        <v>16595.293381178202</v>
      </c>
      <c r="AR151" s="41">
        <v>15649.658868904651</v>
      </c>
      <c r="AS151" s="41">
        <v>15835.991014809517</v>
      </c>
      <c r="AT151" s="41">
        <v>15665.297967821438</v>
      </c>
      <c r="AU151" s="41">
        <v>16424.932112572937</v>
      </c>
      <c r="AV151" s="41">
        <v>17921.104573979665</v>
      </c>
      <c r="AW151" s="41">
        <v>22568.310174211434</v>
      </c>
      <c r="AX151" s="41">
        <v>25183.132681202049</v>
      </c>
      <c r="AY151" s="41">
        <v>30121.56042533222</v>
      </c>
      <c r="AZ151" s="41">
        <v>36550.50516189725</v>
      </c>
      <c r="BA151" s="41">
        <v>40810.828035849292</v>
      </c>
      <c r="BB151" s="41">
        <v>41010.068258984851</v>
      </c>
      <c r="BC151" s="41">
        <v>52473.190990432347</v>
      </c>
      <c r="BD151" s="41">
        <v>66891.281966482158</v>
      </c>
      <c r="BE151" s="41">
        <v>76572.151787128634</v>
      </c>
      <c r="BF151" s="41">
        <v>89260.757104100456</v>
      </c>
      <c r="BG151" s="41">
        <v>93022.875142253703</v>
      </c>
      <c r="BH151" s="41">
        <v>74839.332040314417</v>
      </c>
      <c r="BI151" s="41">
        <v>73569.433691749247</v>
      </c>
      <c r="BJ151" s="41">
        <v>81044.88997697593</v>
      </c>
      <c r="BK151" s="41">
        <v>87554.713857394876</v>
      </c>
      <c r="BL151" s="41">
        <v>86117.6554287201</v>
      </c>
    </row>
    <row r="152" spans="1:65" x14ac:dyDescent="0.35">
      <c r="A152" s="41" t="s">
        <v>398</v>
      </c>
      <c r="B152" s="41" t="s">
        <v>399</v>
      </c>
      <c r="C152" s="41" t="s">
        <v>659</v>
      </c>
      <c r="D152" s="41" t="s">
        <v>660</v>
      </c>
    </row>
    <row r="153" spans="1:65" x14ac:dyDescent="0.35">
      <c r="A153" s="41" t="s">
        <v>400</v>
      </c>
      <c r="B153" s="41" t="s">
        <v>401</v>
      </c>
      <c r="C153" s="41" t="s">
        <v>659</v>
      </c>
      <c r="D153" s="41" t="s">
        <v>660</v>
      </c>
      <c r="E153" s="41">
        <v>164.80083236727</v>
      </c>
      <c r="F153" s="41">
        <v>158.92358013887099</v>
      </c>
      <c r="G153" s="41">
        <v>181.18264085932299</v>
      </c>
      <c r="H153" s="41">
        <v>196.53127787351801</v>
      </c>
      <c r="I153" s="41">
        <v>201.261983005248</v>
      </c>
      <c r="J153" s="41">
        <v>206.44901799101001</v>
      </c>
      <c r="K153" s="41">
        <v>196.314451478043</v>
      </c>
      <c r="L153" s="41">
        <v>202.85727167887899</v>
      </c>
      <c r="M153" s="41">
        <v>212.750855609973</v>
      </c>
      <c r="N153" s="41">
        <v>232.12591328271799</v>
      </c>
      <c r="O153" s="41">
        <v>246.01566223864</v>
      </c>
      <c r="P153" s="41">
        <v>265.20766424907902</v>
      </c>
      <c r="Q153" s="41">
        <v>302.56449037608002</v>
      </c>
      <c r="R153" s="41">
        <v>364.63610670503499</v>
      </c>
      <c r="S153" s="41">
        <v>439.01235915684202</v>
      </c>
      <c r="T153" s="41">
        <v>502.75652402184301</v>
      </c>
      <c r="U153" s="41">
        <v>524.17912370212002</v>
      </c>
      <c r="V153" s="41">
        <v>590.23225094350698</v>
      </c>
      <c r="W153" s="41">
        <v>690.170800263724</v>
      </c>
      <c r="X153" s="41">
        <v>809.62760695459804</v>
      </c>
      <c r="Y153" s="41">
        <v>1078.8399096333601</v>
      </c>
      <c r="Z153" s="41">
        <v>861.79795841145994</v>
      </c>
      <c r="AA153" s="41">
        <v>836.43506256250896</v>
      </c>
      <c r="AB153" s="41">
        <v>750.021607418381</v>
      </c>
      <c r="AC153" s="41">
        <v>668.38542304546797</v>
      </c>
      <c r="AD153" s="41">
        <v>660.94673576874197</v>
      </c>
      <c r="AE153" s="41">
        <v>840.01168641692402</v>
      </c>
      <c r="AF153" s="41">
        <v>920.59137258787598</v>
      </c>
      <c r="AG153" s="41">
        <v>1066.33065159431</v>
      </c>
      <c r="AH153" s="41">
        <v>1071.17751759214</v>
      </c>
      <c r="AI153" s="41">
        <v>1206.0118861646599</v>
      </c>
      <c r="AJ153" s="41">
        <v>1266.8488942035101</v>
      </c>
      <c r="AK153" s="41">
        <v>1299.4212778930701</v>
      </c>
      <c r="AL153" s="41">
        <v>1199.31910396897</v>
      </c>
      <c r="AM153" s="41">
        <v>1326.94145210528</v>
      </c>
      <c r="AN153" s="41">
        <v>1432.30983568683</v>
      </c>
      <c r="AO153" s="41">
        <v>1561.1296106457601</v>
      </c>
      <c r="AP153" s="41">
        <v>1396.76966746003</v>
      </c>
      <c r="AQ153" s="41">
        <v>1472.3859828229899</v>
      </c>
      <c r="AR153" s="41">
        <v>1447.9691925508801</v>
      </c>
      <c r="AS153" s="41">
        <v>1334.9434638023599</v>
      </c>
      <c r="AT153" s="41">
        <v>1339.29407718828</v>
      </c>
      <c r="AU153" s="41">
        <v>1416.4883957843999</v>
      </c>
      <c r="AV153" s="41">
        <v>1725.4574660657699</v>
      </c>
      <c r="AW153" s="41">
        <v>1952.9025338131</v>
      </c>
      <c r="AX153" s="41">
        <v>2018.02554710957</v>
      </c>
      <c r="AY153" s="41">
        <v>2196.0112763350198</v>
      </c>
      <c r="AZ153" s="41">
        <v>2499.2599375718701</v>
      </c>
      <c r="BA153" s="41">
        <v>2890.3607153862499</v>
      </c>
      <c r="BB153" s="41">
        <v>2866.9241101698899</v>
      </c>
      <c r="BC153" s="41">
        <v>2839.92611978697</v>
      </c>
      <c r="BD153" s="41">
        <v>3046.9478542761099</v>
      </c>
      <c r="BE153" s="41">
        <v>2912.6582749402901</v>
      </c>
      <c r="BF153" s="41">
        <v>3121.6800808364301</v>
      </c>
      <c r="BG153" s="41">
        <v>3171.6991922737602</v>
      </c>
      <c r="BH153" s="41">
        <v>2875.2579851678101</v>
      </c>
      <c r="BI153" s="41">
        <v>2896.7221956266499</v>
      </c>
      <c r="BJ153" s="41">
        <v>3035.4544332310502</v>
      </c>
      <c r="BK153" s="41">
        <v>3226.9827935686199</v>
      </c>
      <c r="BL153" s="41">
        <v>3230.4097223015101</v>
      </c>
      <c r="BM153" s="41">
        <v>3009.2494595815201</v>
      </c>
    </row>
    <row r="154" spans="1:65" x14ac:dyDescent="0.35">
      <c r="A154" s="41" t="s">
        <v>402</v>
      </c>
      <c r="B154" s="41" t="s">
        <v>403</v>
      </c>
      <c r="C154" s="41" t="s">
        <v>659</v>
      </c>
      <c r="D154" s="41" t="s">
        <v>660</v>
      </c>
      <c r="O154" s="41">
        <v>12478.13122316589</v>
      </c>
      <c r="P154" s="41">
        <v>13812.718181146018</v>
      </c>
      <c r="Q154" s="41">
        <v>16735.013233314872</v>
      </c>
      <c r="R154" s="41">
        <v>21417.582945369268</v>
      </c>
      <c r="S154" s="41">
        <v>22712.943359951754</v>
      </c>
      <c r="T154" s="41">
        <v>28247.549667041207</v>
      </c>
      <c r="U154" s="41">
        <v>28810.87301326841</v>
      </c>
      <c r="V154" s="41">
        <v>31430.433822328567</v>
      </c>
      <c r="W154" s="41">
        <v>38349.395759932493</v>
      </c>
      <c r="X154" s="41">
        <v>45845.109825108702</v>
      </c>
      <c r="Y154" s="41">
        <v>51515.064129853745</v>
      </c>
      <c r="Z154" s="41">
        <v>44369.561353214747</v>
      </c>
      <c r="AA154" s="41">
        <v>41371.876807881628</v>
      </c>
      <c r="AB154" s="41">
        <v>38893.303230099547</v>
      </c>
      <c r="AC154" s="41">
        <v>36382.973456984771</v>
      </c>
      <c r="AD154" s="41">
        <v>37552.055642148356</v>
      </c>
      <c r="AE154" s="41">
        <v>52158.677735230682</v>
      </c>
      <c r="AF154" s="41">
        <v>63077.774567548106</v>
      </c>
      <c r="AG154" s="41">
        <v>68441.251612455439</v>
      </c>
      <c r="AH154" s="41">
        <v>68583.604054784053</v>
      </c>
      <c r="AI154" s="41">
        <v>84303.878434582657</v>
      </c>
      <c r="AJ154" s="41">
        <v>83721.991422279345</v>
      </c>
      <c r="AK154" s="41">
        <v>91670.604007359987</v>
      </c>
      <c r="AL154" s="41">
        <v>85397.326557650682</v>
      </c>
      <c r="AM154" s="41">
        <v>89378.039785240893</v>
      </c>
      <c r="AN154" s="41">
        <v>101866.60408275115</v>
      </c>
      <c r="AO154" s="41">
        <v>101212.00256274383</v>
      </c>
      <c r="AP154" s="41">
        <v>90833.297462783259</v>
      </c>
      <c r="AQ154" s="41">
        <v>92999.253451439305</v>
      </c>
      <c r="AR154" s="41">
        <v>91283.256585590323</v>
      </c>
      <c r="AS154" s="41">
        <v>82365.492364535967</v>
      </c>
      <c r="AT154" s="41">
        <v>83724.465911527019</v>
      </c>
      <c r="AU154" s="41">
        <v>90506.859505876389</v>
      </c>
      <c r="AV154" s="41">
        <v>108656.80257520702</v>
      </c>
      <c r="AW154" s="41">
        <v>123523.49323860413</v>
      </c>
      <c r="AX154" s="41">
        <v>124197.27538290496</v>
      </c>
      <c r="AY154" s="41">
        <v>134048.62185808475</v>
      </c>
      <c r="AZ154" s="41">
        <v>169966.30693801906</v>
      </c>
      <c r="BA154" s="41">
        <v>185785.72592489692</v>
      </c>
      <c r="BB154" s="41">
        <v>154775.38077421801</v>
      </c>
      <c r="BC154" s="41">
        <v>150737.89247525251</v>
      </c>
      <c r="BD154" s="41">
        <v>169016.19606527884</v>
      </c>
      <c r="BE154" s="41">
        <v>157520.2194265326</v>
      </c>
      <c r="BF154" s="41">
        <v>177673.74536841962</v>
      </c>
      <c r="BG154" s="41">
        <v>189432.37001314739</v>
      </c>
      <c r="BH154" s="41">
        <v>165989.50511383178</v>
      </c>
      <c r="BI154" s="41">
        <v>170028.65571786449</v>
      </c>
      <c r="BJ154" s="41">
        <v>167517.05972785602</v>
      </c>
      <c r="BK154" s="41">
        <v>185978.60925135555</v>
      </c>
      <c r="BL154" s="41">
        <v>190512.7374424359</v>
      </c>
    </row>
    <row r="155" spans="1:65" x14ac:dyDescent="0.35">
      <c r="A155" s="41" t="s">
        <v>404</v>
      </c>
      <c r="B155" s="41" t="s">
        <v>405</v>
      </c>
      <c r="C155" s="41" t="s">
        <v>659</v>
      </c>
      <c r="D155" s="41" t="s">
        <v>660</v>
      </c>
      <c r="AN155" s="41">
        <v>593.76613828266841</v>
      </c>
      <c r="AO155" s="41">
        <v>575.31957595488313</v>
      </c>
      <c r="AP155" s="41">
        <v>657.49119027170923</v>
      </c>
      <c r="AQ155" s="41">
        <v>578.90976627291309</v>
      </c>
      <c r="AR155" s="41">
        <v>399.62077026571768</v>
      </c>
      <c r="AS155" s="41">
        <v>440.6720306532693</v>
      </c>
      <c r="AT155" s="41">
        <v>507.55765839084876</v>
      </c>
      <c r="AU155" s="41">
        <v>570.97264543275105</v>
      </c>
      <c r="AV155" s="41">
        <v>682.52550882337721</v>
      </c>
      <c r="AW155" s="41">
        <v>897.44995881032639</v>
      </c>
      <c r="AX155" s="41">
        <v>1034.7070581674316</v>
      </c>
      <c r="AY155" s="41">
        <v>1183.3792111718506</v>
      </c>
      <c r="AZ155" s="41">
        <v>1531.6854761821423</v>
      </c>
      <c r="BA155" s="41">
        <v>2111.2014950419734</v>
      </c>
      <c r="BB155" s="41">
        <v>1899.010116583775</v>
      </c>
      <c r="BC155" s="41">
        <v>2437.5299784242252</v>
      </c>
      <c r="BD155" s="41">
        <v>2942.2559486152941</v>
      </c>
      <c r="BE155" s="41">
        <v>3045.7398742241653</v>
      </c>
      <c r="BF155" s="41">
        <v>3322.0384362614955</v>
      </c>
      <c r="BG155" s="41">
        <v>3328.8014489212505</v>
      </c>
      <c r="BH155" s="41">
        <v>2732.4571129373285</v>
      </c>
      <c r="BI155" s="41">
        <v>2880.439281292955</v>
      </c>
      <c r="BJ155" s="41">
        <v>3509.6934502581439</v>
      </c>
      <c r="BK155" s="41">
        <v>4230.3630367861997</v>
      </c>
      <c r="BL155" s="41">
        <v>4494.0184030645441</v>
      </c>
      <c r="BM155" s="41">
        <v>4551.1306756242147</v>
      </c>
    </row>
    <row r="156" spans="1:65" x14ac:dyDescent="0.35">
      <c r="A156" s="41" t="s">
        <v>406</v>
      </c>
      <c r="B156" s="41" t="s">
        <v>407</v>
      </c>
      <c r="C156" s="41" t="s">
        <v>659</v>
      </c>
      <c r="D156" s="41" t="s">
        <v>660</v>
      </c>
      <c r="E156" s="41">
        <v>131.99316544252582</v>
      </c>
      <c r="F156" s="41">
        <v>133.8477609158011</v>
      </c>
      <c r="G156" s="41">
        <v>138.12000396292672</v>
      </c>
      <c r="H156" s="41">
        <v>138.40716571007459</v>
      </c>
      <c r="I156" s="41">
        <v>142.65933987421388</v>
      </c>
      <c r="J156" s="41">
        <v>144.48473009973659</v>
      </c>
      <c r="K156" s="41">
        <v>152.10789723099771</v>
      </c>
      <c r="L156" s="41">
        <v>157.47630926638325</v>
      </c>
      <c r="M156" s="41">
        <v>165.47837543815467</v>
      </c>
      <c r="N156" s="41">
        <v>165.01159879201887</v>
      </c>
      <c r="O156" s="41">
        <v>169.0705601050289</v>
      </c>
      <c r="P156" s="41">
        <v>177.49833119953769</v>
      </c>
      <c r="Q156" s="41">
        <v>193.12858263640322</v>
      </c>
      <c r="R156" s="41">
        <v>231.43595869010525</v>
      </c>
      <c r="S156" s="41">
        <v>261.03559013420289</v>
      </c>
      <c r="T156" s="41">
        <v>302.14922770146865</v>
      </c>
      <c r="U156" s="41">
        <v>280.67893053503172</v>
      </c>
      <c r="V156" s="41">
        <v>294.9342462806074</v>
      </c>
      <c r="W156" s="41">
        <v>324.38465336450446</v>
      </c>
      <c r="X156" s="41">
        <v>408.93718632066634</v>
      </c>
      <c r="Y156" s="41">
        <v>596.77497929545461</v>
      </c>
      <c r="Z156" s="41">
        <v>530.50430597388038</v>
      </c>
      <c r="AA156" s="41">
        <v>518.18349120989035</v>
      </c>
      <c r="AB156" s="41">
        <v>493.08895926791075</v>
      </c>
      <c r="AC156" s="41">
        <v>399.34472906482205</v>
      </c>
      <c r="AD156" s="41">
        <v>377.85666417278134</v>
      </c>
      <c r="AE156" s="41">
        <v>420.00972350238726</v>
      </c>
      <c r="AF156" s="41">
        <v>301.74446766467196</v>
      </c>
      <c r="AG156" s="41">
        <v>291.21088767058086</v>
      </c>
      <c r="AH156" s="41">
        <v>281.81170655804215</v>
      </c>
      <c r="AI156" s="41">
        <v>338.94771267283505</v>
      </c>
      <c r="AJ156" s="41">
        <v>272.52491905561806</v>
      </c>
      <c r="AK156" s="41">
        <v>301.99698660308496</v>
      </c>
      <c r="AL156" s="41">
        <v>320.56399012035018</v>
      </c>
      <c r="AM156" s="41">
        <v>269.56071190351594</v>
      </c>
      <c r="AN156" s="41">
        <v>284.82272865696973</v>
      </c>
      <c r="AO156" s="41">
        <v>354.74133105818561</v>
      </c>
      <c r="AP156" s="41">
        <v>297.11505977780655</v>
      </c>
      <c r="AQ156" s="41">
        <v>297.25367177212075</v>
      </c>
      <c r="AR156" s="41">
        <v>279.92128658141189</v>
      </c>
      <c r="AS156" s="41">
        <v>293.60715740259405</v>
      </c>
      <c r="AT156" s="41">
        <v>334.44161771675283</v>
      </c>
      <c r="AU156" s="41">
        <v>319.21637875095729</v>
      </c>
      <c r="AV156" s="41">
        <v>368.79723693675521</v>
      </c>
      <c r="AW156" s="41">
        <v>284.48772631736011</v>
      </c>
      <c r="AX156" s="41">
        <v>319.53747508116379</v>
      </c>
      <c r="AY156" s="41">
        <v>338.75119826108465</v>
      </c>
      <c r="AZ156" s="41">
        <v>438.65551579131011</v>
      </c>
      <c r="BA156" s="41">
        <v>536.35137901295752</v>
      </c>
      <c r="BB156" s="41">
        <v>467.53980035151449</v>
      </c>
      <c r="BC156" s="41">
        <v>471.95919702982292</v>
      </c>
      <c r="BD156" s="41">
        <v>531.26549854205189</v>
      </c>
      <c r="BE156" s="41">
        <v>518.15295430212041</v>
      </c>
      <c r="BF156" s="41">
        <v>541.0660585692699</v>
      </c>
      <c r="BG156" s="41">
        <v>530.86112064115946</v>
      </c>
      <c r="BH156" s="41">
        <v>467.2355536735796</v>
      </c>
      <c r="BI156" s="41">
        <v>475.95560837241555</v>
      </c>
      <c r="BJ156" s="41">
        <v>515.29330928106208</v>
      </c>
      <c r="BK156" s="41">
        <v>518.40112296552934</v>
      </c>
      <c r="BL156" s="41">
        <v>526.22457218739646</v>
      </c>
      <c r="BM156" s="41">
        <v>495.49040089145831</v>
      </c>
    </row>
    <row r="157" spans="1:65" x14ac:dyDescent="0.35">
      <c r="A157" s="41" t="s">
        <v>408</v>
      </c>
      <c r="B157" s="41" t="s">
        <v>409</v>
      </c>
      <c r="C157" s="41" t="s">
        <v>659</v>
      </c>
      <c r="D157" s="41" t="s">
        <v>660</v>
      </c>
      <c r="Y157" s="41">
        <v>268.29663146716956</v>
      </c>
      <c r="Z157" s="41">
        <v>273.35602244915111</v>
      </c>
      <c r="AA157" s="41">
        <v>282.22623502984635</v>
      </c>
      <c r="AB157" s="41">
        <v>328.10296010917455</v>
      </c>
      <c r="AC157" s="41">
        <v>598.87746160357665</v>
      </c>
      <c r="AD157" s="41">
        <v>670.86066042769221</v>
      </c>
      <c r="AE157" s="41">
        <v>723.02380441500588</v>
      </c>
      <c r="AF157" s="41">
        <v>695.82404285810264</v>
      </c>
      <c r="AG157" s="41">
        <v>803.7222437992292</v>
      </c>
      <c r="AH157" s="41">
        <v>875.44409857686537</v>
      </c>
      <c r="AI157" s="41">
        <v>963.83746671925439</v>
      </c>
      <c r="AJ157" s="41">
        <v>1064.0946304476167</v>
      </c>
      <c r="AK157" s="41">
        <v>1205.6213355086652</v>
      </c>
      <c r="AL157" s="41">
        <v>1328.6560468258601</v>
      </c>
      <c r="AM157" s="41">
        <v>1431.6578959412575</v>
      </c>
      <c r="AN157" s="41">
        <v>1569.9326168245695</v>
      </c>
      <c r="AO157" s="41">
        <v>1737.7336346156751</v>
      </c>
      <c r="AP157" s="41">
        <v>1926.2860351844688</v>
      </c>
      <c r="AQ157" s="41">
        <v>2011.9443372797798</v>
      </c>
      <c r="AR157" s="41">
        <v>2154.2682256303883</v>
      </c>
      <c r="AS157" s="41">
        <v>2234.5958613746152</v>
      </c>
      <c r="AT157" s="41">
        <v>3039.3027762385796</v>
      </c>
      <c r="AU157" s="41">
        <v>3049.2079813722657</v>
      </c>
      <c r="AV157" s="41">
        <v>3476.0062728995213</v>
      </c>
      <c r="AW157" s="41">
        <v>3941.4311358488749</v>
      </c>
      <c r="AX157" s="41">
        <v>3640.0121322010987</v>
      </c>
      <c r="AY157" s="41">
        <v>4809.9337401408902</v>
      </c>
      <c r="AZ157" s="41">
        <v>5574.4019814826415</v>
      </c>
      <c r="BA157" s="41">
        <v>6614.236179858377</v>
      </c>
      <c r="BB157" s="41">
        <v>6636.5438706701643</v>
      </c>
      <c r="BC157" s="41">
        <v>7076.7398208719551</v>
      </c>
      <c r="BD157" s="41">
        <v>7291.4659666087737</v>
      </c>
      <c r="BE157" s="41">
        <v>7265.7233994737189</v>
      </c>
      <c r="BF157" s="41">
        <v>7928.4764426506108</v>
      </c>
      <c r="BG157" s="41">
        <v>8499.3071478364891</v>
      </c>
      <c r="BH157" s="41">
        <v>9033.4597242711516</v>
      </c>
      <c r="BI157" s="41">
        <v>9209.3996652602455</v>
      </c>
      <c r="BJ157" s="41">
        <v>9577.702375700339</v>
      </c>
      <c r="BK157" s="41">
        <v>10276.773388797128</v>
      </c>
      <c r="BL157" s="41">
        <v>10626.433346690934</v>
      </c>
      <c r="BM157" s="41">
        <v>7455.8557277229547</v>
      </c>
    </row>
    <row r="158" spans="1:65" x14ac:dyDescent="0.35">
      <c r="A158" s="41" t="s">
        <v>410</v>
      </c>
      <c r="B158" s="41" t="s">
        <v>411</v>
      </c>
      <c r="C158" s="41" t="s">
        <v>659</v>
      </c>
      <c r="D158" s="41" t="s">
        <v>660</v>
      </c>
      <c r="M158" s="41">
        <v>346.28117322148034</v>
      </c>
      <c r="N158" s="41">
        <v>374.7657917188497</v>
      </c>
      <c r="O158" s="41">
        <v>410.78159676395921</v>
      </c>
      <c r="P158" s="41">
        <v>473.6498679836406</v>
      </c>
      <c r="Q158" s="41">
        <v>558.86275282620261</v>
      </c>
      <c r="R158" s="41">
        <v>734.4358471588979</v>
      </c>
      <c r="S158" s="41">
        <v>1331.5198158156643</v>
      </c>
      <c r="T158" s="41">
        <v>1433.4588111310045</v>
      </c>
      <c r="U158" s="41">
        <v>1758.2490245580361</v>
      </c>
      <c r="V158" s="41">
        <v>1981.4193373460257</v>
      </c>
      <c r="W158" s="41">
        <v>2054.3014594797796</v>
      </c>
      <c r="X158" s="41">
        <v>2606.1206678850194</v>
      </c>
      <c r="Y158" s="41">
        <v>3269.8388336112916</v>
      </c>
      <c r="Z158" s="41">
        <v>3269.6387022258455</v>
      </c>
      <c r="AA158" s="41">
        <v>3158.4788671190277</v>
      </c>
      <c r="AB158" s="41">
        <v>3093.2843770502404</v>
      </c>
      <c r="AC158" s="41">
        <v>3049.020022365833</v>
      </c>
      <c r="AD158" s="41">
        <v>3012.3926086793772</v>
      </c>
      <c r="AE158" s="41">
        <v>2960.0753919465283</v>
      </c>
      <c r="AF158" s="41">
        <v>2592.2883874752497</v>
      </c>
      <c r="AG158" s="41">
        <v>2454.4705715206278</v>
      </c>
      <c r="AH158" s="41">
        <v>2465.2774280407953</v>
      </c>
      <c r="AI158" s="41">
        <v>3146.1588622842323</v>
      </c>
      <c r="AJ158" s="41">
        <v>2110.1354175746333</v>
      </c>
      <c r="AK158" s="41">
        <v>2246.9196231225028</v>
      </c>
      <c r="AL158" s="41">
        <v>2212.1279433697391</v>
      </c>
      <c r="AM158" s="41">
        <v>2236.3744138214356</v>
      </c>
      <c r="AN158" s="41">
        <v>2453.3167864588268</v>
      </c>
      <c r="AO158" s="41">
        <v>2706.4768464707145</v>
      </c>
      <c r="AP158" s="41">
        <v>2785.7281639677203</v>
      </c>
      <c r="AQ158" s="41">
        <v>2657.6271964044886</v>
      </c>
      <c r="AR158" s="41">
        <v>2840.4425881283105</v>
      </c>
      <c r="AS158" s="41">
        <v>3132.3883663637871</v>
      </c>
      <c r="AT158" s="41">
        <v>3043.9583704264069</v>
      </c>
      <c r="AU158" s="41">
        <v>2960.8970666646064</v>
      </c>
      <c r="AV158" s="41">
        <v>3229.6601377065267</v>
      </c>
      <c r="AW158" s="41">
        <v>3739.5032353124448</v>
      </c>
      <c r="AX158" s="41">
        <v>4411.1178352437846</v>
      </c>
      <c r="AY158" s="41">
        <v>5057.1253355163626</v>
      </c>
      <c r="AZ158" s="41">
        <v>5869.2786468844261</v>
      </c>
      <c r="BA158" s="41">
        <v>7181.7473757004709</v>
      </c>
      <c r="BB158" s="41">
        <v>6278.6279950981852</v>
      </c>
      <c r="BC158" s="41">
        <v>7172.9380230638044</v>
      </c>
      <c r="BD158" s="41">
        <v>8326.3349240030639</v>
      </c>
      <c r="BE158" s="41">
        <v>8897.7403354058242</v>
      </c>
      <c r="BF158" s="41">
        <v>8656.2876553622573</v>
      </c>
      <c r="BG158" s="41">
        <v>8527.8166697510896</v>
      </c>
      <c r="BH158" s="41">
        <v>7357.406221337691</v>
      </c>
      <c r="BI158" s="41">
        <v>7257.0194330312052</v>
      </c>
      <c r="BJ158" s="41">
        <v>7403.3046900453201</v>
      </c>
      <c r="BK158" s="41">
        <v>7546.7013526295686</v>
      </c>
      <c r="BL158" s="41">
        <v>7511.8230884821687</v>
      </c>
      <c r="BM158" s="41">
        <v>6669.9034298080969</v>
      </c>
    </row>
    <row r="159" spans="1:65" x14ac:dyDescent="0.35">
      <c r="A159" s="41" t="s">
        <v>412</v>
      </c>
      <c r="B159" s="41" t="s">
        <v>413</v>
      </c>
      <c r="C159" s="41" t="s">
        <v>659</v>
      </c>
      <c r="D159" s="41" t="s">
        <v>660</v>
      </c>
      <c r="E159" s="41">
        <v>345.23054079861197</v>
      </c>
      <c r="F159" s="41">
        <v>363.39327089590222</v>
      </c>
      <c r="G159" s="41">
        <v>378.15349538968695</v>
      </c>
      <c r="H159" s="41">
        <v>409.0455700642122</v>
      </c>
      <c r="I159" s="41">
        <v>469.47613687632884</v>
      </c>
      <c r="J159" s="41">
        <v>494.97026133001998</v>
      </c>
      <c r="K159" s="41">
        <v>534.27363149170469</v>
      </c>
      <c r="L159" s="41">
        <v>565.63340889877645</v>
      </c>
      <c r="M159" s="41">
        <v>606.2111327247037</v>
      </c>
      <c r="N159" s="41">
        <v>650.31172716668027</v>
      </c>
      <c r="O159" s="41">
        <v>689.7949287449801</v>
      </c>
      <c r="P159" s="41">
        <v>738.55847629055836</v>
      </c>
      <c r="Q159" s="41">
        <v>826.47735020536868</v>
      </c>
      <c r="R159" s="41">
        <v>981.45898280866641</v>
      </c>
      <c r="S159" s="41">
        <v>1242.0900428334751</v>
      </c>
      <c r="T159" s="41">
        <v>1476.3132170950294</v>
      </c>
      <c r="U159" s="41">
        <v>1453.6706717974112</v>
      </c>
      <c r="V159" s="41">
        <v>1301.3246224574625</v>
      </c>
      <c r="W159" s="41">
        <v>1589.2736402360795</v>
      </c>
      <c r="X159" s="41">
        <v>2034.9886686789887</v>
      </c>
      <c r="Y159" s="41">
        <v>3027.3752735319185</v>
      </c>
      <c r="Z159" s="41">
        <v>3803.0309255035845</v>
      </c>
      <c r="AA159" s="41">
        <v>2597.9829028755607</v>
      </c>
      <c r="AB159" s="41">
        <v>2147.7195585460945</v>
      </c>
      <c r="AC159" s="41">
        <v>2478.210835987325</v>
      </c>
      <c r="AD159" s="41">
        <v>2569.2397135014198</v>
      </c>
      <c r="AE159" s="41">
        <v>1733.9129934133136</v>
      </c>
      <c r="AF159" s="41">
        <v>1862.8862043943725</v>
      </c>
      <c r="AG159" s="41">
        <v>2247.9813857169302</v>
      </c>
      <c r="AH159" s="41">
        <v>2687.9148449978561</v>
      </c>
      <c r="AI159" s="41">
        <v>3112.2685947569707</v>
      </c>
      <c r="AJ159" s="41">
        <v>3661.9479650084086</v>
      </c>
      <c r="AK159" s="41">
        <v>4170.6233825723748</v>
      </c>
      <c r="AL159" s="41">
        <v>5650.0262859664317</v>
      </c>
      <c r="AM159" s="41">
        <v>5854.4181172268436</v>
      </c>
      <c r="AN159" s="41">
        <v>3928.2237114100371</v>
      </c>
      <c r="AO159" s="41">
        <v>4412.1162975181451</v>
      </c>
      <c r="AP159" s="41">
        <v>5289.1676527658892</v>
      </c>
      <c r="AQ159" s="41">
        <v>5481.1819539469907</v>
      </c>
      <c r="AR159" s="41">
        <v>6157.1930437102719</v>
      </c>
      <c r="AS159" s="41">
        <v>7157.8144998573407</v>
      </c>
      <c r="AT159" s="41">
        <v>7544.5687233578392</v>
      </c>
      <c r="AU159" s="41">
        <v>7593.1373448963996</v>
      </c>
      <c r="AV159" s="41">
        <v>7075.3696429997417</v>
      </c>
      <c r="AW159" s="41">
        <v>7484.4863987070012</v>
      </c>
      <c r="AX159" s="41">
        <v>8277.6715638456681</v>
      </c>
      <c r="AY159" s="41">
        <v>9068.2942183942487</v>
      </c>
      <c r="AZ159" s="41">
        <v>9642.6805167223119</v>
      </c>
      <c r="BA159" s="41">
        <v>10016.571213998552</v>
      </c>
      <c r="BB159" s="41">
        <v>8002.9721776584402</v>
      </c>
      <c r="BC159" s="41">
        <v>9271.3983957699693</v>
      </c>
      <c r="BD159" s="41">
        <v>10203.421295271584</v>
      </c>
      <c r="BE159" s="41">
        <v>10241.727828042969</v>
      </c>
      <c r="BF159" s="41">
        <v>10725.183587379641</v>
      </c>
      <c r="BG159" s="41">
        <v>10928.916008998802</v>
      </c>
      <c r="BH159" s="41">
        <v>9616.6455581060709</v>
      </c>
      <c r="BI159" s="41">
        <v>8744.5155591278562</v>
      </c>
      <c r="BJ159" s="41">
        <v>9287.8495873230222</v>
      </c>
      <c r="BK159" s="41">
        <v>9686.5142438311814</v>
      </c>
      <c r="BL159" s="41">
        <v>9946.0338287919822</v>
      </c>
      <c r="BM159" s="41">
        <v>8346.7023788357128</v>
      </c>
    </row>
    <row r="160" spans="1:65" x14ac:dyDescent="0.35">
      <c r="A160" s="41" t="s">
        <v>414</v>
      </c>
      <c r="B160" s="41" t="s">
        <v>415</v>
      </c>
      <c r="C160" s="41" t="s">
        <v>659</v>
      </c>
      <c r="D160" s="41" t="s">
        <v>660</v>
      </c>
      <c r="Z160" s="41">
        <v>972.93228366213975</v>
      </c>
      <c r="AA160" s="41">
        <v>1047.6447644764476</v>
      </c>
      <c r="AB160" s="41">
        <v>1196.8980247125942</v>
      </c>
      <c r="AC160" s="41">
        <v>1234.6570397111914</v>
      </c>
      <c r="AD160" s="41">
        <v>1144.7392449975216</v>
      </c>
      <c r="AE160" s="41">
        <v>1392.3455684870189</v>
      </c>
      <c r="AF160" s="41">
        <v>1493.6207550749384</v>
      </c>
      <c r="AG160" s="41">
        <v>1603.1933230518007</v>
      </c>
      <c r="AH160" s="41">
        <v>1588.5395072773692</v>
      </c>
      <c r="AI160" s="41">
        <v>1660.3406326034062</v>
      </c>
      <c r="AJ160" s="41">
        <v>1704.584426585129</v>
      </c>
      <c r="AK160" s="41">
        <v>1849.2953170058081</v>
      </c>
      <c r="AL160" s="41">
        <v>1996.0865376896525</v>
      </c>
      <c r="AM160" s="41">
        <v>2152.2085474170549</v>
      </c>
      <c r="AN160" s="41">
        <v>2382.9626986958419</v>
      </c>
      <c r="AO160" s="41">
        <v>2194.2085782712825</v>
      </c>
      <c r="AP160" s="41">
        <v>2194.232255762789</v>
      </c>
      <c r="AQ160" s="41">
        <v>2229.7124473746921</v>
      </c>
      <c r="AR160" s="41">
        <v>2267.5691221389188</v>
      </c>
      <c r="AS160" s="41">
        <v>2272.6780155258698</v>
      </c>
      <c r="AT160" s="41">
        <v>2389.0607068526192</v>
      </c>
      <c r="AU160" s="41">
        <v>2515.6240452184538</v>
      </c>
      <c r="AV160" s="41">
        <v>2457.6545403535024</v>
      </c>
      <c r="AW160" s="41">
        <v>2431.1660180630001</v>
      </c>
      <c r="AX160" s="41">
        <v>2471.3520458946377</v>
      </c>
      <c r="AY160" s="41">
        <v>2537.7172061328793</v>
      </c>
      <c r="AZ160" s="41">
        <v>2646.8739963601329</v>
      </c>
      <c r="BA160" s="41">
        <v>2704.4635544635544</v>
      </c>
      <c r="BB160" s="41">
        <v>2662.334014754244</v>
      </c>
      <c r="BC160" s="41">
        <v>2846.065541775341</v>
      </c>
      <c r="BD160" s="41">
        <v>3046.290071474064</v>
      </c>
      <c r="BE160" s="41">
        <v>3181.6247002398081</v>
      </c>
      <c r="BF160" s="41">
        <v>3246.6302495916252</v>
      </c>
      <c r="BG160" s="41">
        <v>3185.2613538988862</v>
      </c>
      <c r="BH160" s="41">
        <v>3199.8868463198942</v>
      </c>
      <c r="BI160" s="41">
        <v>3490.9983888571278</v>
      </c>
      <c r="BJ160" s="41">
        <v>3672.5767832842403</v>
      </c>
      <c r="BK160" s="41">
        <v>3793.550982674793</v>
      </c>
      <c r="BL160" s="41">
        <v>4073.109829735844</v>
      </c>
    </row>
    <row r="161" spans="1:65" x14ac:dyDescent="0.35">
      <c r="A161" s="41" t="s">
        <v>416</v>
      </c>
      <c r="B161" s="41" t="s">
        <v>417</v>
      </c>
      <c r="C161" s="41" t="s">
        <v>659</v>
      </c>
      <c r="D161" s="41" t="s">
        <v>660</v>
      </c>
      <c r="E161" s="41">
        <v>151.48523095437869</v>
      </c>
      <c r="F161" s="41">
        <v>143.13279745248437</v>
      </c>
      <c r="G161" s="41">
        <v>145.82185291148471</v>
      </c>
      <c r="H161" s="41">
        <v>152.08291660848747</v>
      </c>
      <c r="I161" s="41">
        <v>169.74716222943078</v>
      </c>
      <c r="J161" s="41">
        <v>182.5189203581603</v>
      </c>
      <c r="K161" s="41">
        <v>184.1146519820017</v>
      </c>
      <c r="L161" s="41">
        <v>185.10080580336239</v>
      </c>
      <c r="M161" s="41">
        <v>191.04352340533009</v>
      </c>
      <c r="N161" s="41">
        <v>208.68896661890676</v>
      </c>
      <c r="O161" s="41">
        <v>223.9051339660202</v>
      </c>
      <c r="P161" s="41">
        <v>235.3099527587018</v>
      </c>
      <c r="Q161" s="41">
        <v>257.65563795740553</v>
      </c>
      <c r="R161" s="41">
        <v>319.51074496609215</v>
      </c>
      <c r="S161" s="41">
        <v>397.69648202382558</v>
      </c>
      <c r="T161" s="41">
        <v>430.26501675823334</v>
      </c>
      <c r="U161" s="41">
        <v>455.66117904018733</v>
      </c>
      <c r="V161" s="41">
        <v>501.55157800224941</v>
      </c>
      <c r="W161" s="41">
        <v>533.38961231281826</v>
      </c>
      <c r="X161" s="41">
        <v>623.66530532452543</v>
      </c>
      <c r="Y161" s="41">
        <v>719.70795134843127</v>
      </c>
      <c r="Z161" s="41">
        <v>797.96985705704026</v>
      </c>
      <c r="AA161" s="41">
        <v>771.99503173121457</v>
      </c>
      <c r="AB161" s="41">
        <v>731.82289276695371</v>
      </c>
      <c r="AC161" s="41">
        <v>729.22075985930041</v>
      </c>
      <c r="AD161" s="41">
        <v>754.24777681345404</v>
      </c>
      <c r="AE161" s="41">
        <v>765.97487265965083</v>
      </c>
      <c r="AF161" s="41">
        <v>772.41611391914864</v>
      </c>
      <c r="AG161" s="41">
        <v>813.23444318342126</v>
      </c>
      <c r="AH161" s="41">
        <v>828.99008965664257</v>
      </c>
      <c r="AI161" s="41">
        <v>928.35529807430225</v>
      </c>
      <c r="AJ161" s="41">
        <v>926.53406054740401</v>
      </c>
      <c r="AK161" s="41">
        <v>905.08573654746408</v>
      </c>
      <c r="AL161" s="41">
        <v>951.1721817726376</v>
      </c>
      <c r="AM161" s="41">
        <v>1020.7459050035703</v>
      </c>
      <c r="AN161" s="41">
        <v>1124.6147248253424</v>
      </c>
      <c r="AO161" s="41">
        <v>1212.1908678186983</v>
      </c>
      <c r="AP161" s="41">
        <v>1263.3735160377282</v>
      </c>
      <c r="AQ161" s="41">
        <v>1207.7402692956587</v>
      </c>
      <c r="AR161" s="41">
        <v>1163.9525387622054</v>
      </c>
      <c r="AS161" s="41">
        <v>1252.1024418605562</v>
      </c>
      <c r="AT161" s="41">
        <v>1248.6070887368137</v>
      </c>
      <c r="AU161" s="41">
        <v>1263.6664205007171</v>
      </c>
      <c r="AV161" s="41">
        <v>1407.1642921209568</v>
      </c>
      <c r="AW161" s="41">
        <v>1650.9176783160615</v>
      </c>
      <c r="AX161" s="41">
        <v>1943.4601796321572</v>
      </c>
      <c r="AY161" s="41">
        <v>2281.8131197882376</v>
      </c>
      <c r="AZ161" s="41">
        <v>2794.876088799077</v>
      </c>
      <c r="BA161" s="41">
        <v>3307.2395639027104</v>
      </c>
      <c r="BB161" s="41">
        <v>3186.3901040197875</v>
      </c>
      <c r="BC161" s="41">
        <v>3824.7862216762942</v>
      </c>
      <c r="BD161" s="41">
        <v>4493.1753128630426</v>
      </c>
      <c r="BE161" s="41">
        <v>4732.921507282781</v>
      </c>
      <c r="BF161" s="41">
        <v>4962.1394830131248</v>
      </c>
      <c r="BG161" s="41">
        <v>5069.1377615214424</v>
      </c>
      <c r="BH161" s="41">
        <v>4755.3597895148378</v>
      </c>
      <c r="BI161" s="41">
        <v>4734.1309714776562</v>
      </c>
      <c r="BJ161" s="41">
        <v>5146.5042643195993</v>
      </c>
      <c r="BK161" s="41">
        <v>5399.0404312571864</v>
      </c>
      <c r="BL161" s="41">
        <v>5480.250809148979</v>
      </c>
      <c r="BM161" s="41">
        <v>5207.289023816691</v>
      </c>
    </row>
    <row r="162" spans="1:65" x14ac:dyDescent="0.35">
      <c r="A162" s="41" t="s">
        <v>418</v>
      </c>
      <c r="B162" s="41" t="s">
        <v>419</v>
      </c>
      <c r="C162" s="41" t="s">
        <v>659</v>
      </c>
      <c r="D162" s="41" t="s">
        <v>660</v>
      </c>
      <c r="AI162" s="41">
        <v>2354.2752560639874</v>
      </c>
      <c r="AJ162" s="41">
        <v>2477.6830379129733</v>
      </c>
      <c r="AK162" s="41">
        <v>1225.3731494318715</v>
      </c>
      <c r="AL162" s="41">
        <v>1352.0284515468181</v>
      </c>
      <c r="AM162" s="41">
        <v>1794.700840203999</v>
      </c>
      <c r="AN162" s="41">
        <v>2359.7920090908351</v>
      </c>
      <c r="AO162" s="41">
        <v>2338.0706610978732</v>
      </c>
      <c r="AP162" s="41">
        <v>1964.8927197074888</v>
      </c>
      <c r="AQ162" s="41">
        <v>1866.8547290073971</v>
      </c>
      <c r="AR162" s="41">
        <v>1908.5935435907622</v>
      </c>
      <c r="AS162" s="41">
        <v>1854.5362707848208</v>
      </c>
      <c r="AT162" s="41">
        <v>1815.8409148290573</v>
      </c>
      <c r="AU162" s="41">
        <v>1949.6824494323389</v>
      </c>
      <c r="AV162" s="41">
        <v>2409.7893594559546</v>
      </c>
      <c r="AW162" s="41">
        <v>2762.5936858117161</v>
      </c>
      <c r="AX162" s="41">
        <v>3037.3545202338778</v>
      </c>
      <c r="AY162" s="41">
        <v>3326.4385109925483</v>
      </c>
      <c r="AZ162" s="41">
        <v>4037.1224518083322</v>
      </c>
      <c r="BA162" s="41">
        <v>4794.3346821680716</v>
      </c>
      <c r="BB162" s="41">
        <v>4546.1521712397862</v>
      </c>
      <c r="BC162" s="41">
        <v>4545.3921313760284</v>
      </c>
      <c r="BD162" s="41">
        <v>5063.8859063097707</v>
      </c>
      <c r="BE162" s="41">
        <v>4697.1966888649813</v>
      </c>
      <c r="BF162" s="41">
        <v>5210.1530440089036</v>
      </c>
      <c r="BG162" s="41">
        <v>5468.1262248618914</v>
      </c>
      <c r="BH162" s="41">
        <v>4843.4923873465523</v>
      </c>
      <c r="BI162" s="41">
        <v>5132.9971456704216</v>
      </c>
      <c r="BJ162" s="41">
        <v>5432.4145314372099</v>
      </c>
      <c r="BK162" s="41">
        <v>6087.4683113425299</v>
      </c>
      <c r="BL162" s="41">
        <v>6022.2409899741851</v>
      </c>
      <c r="BM162" s="41">
        <v>5888.0040151789681</v>
      </c>
    </row>
    <row r="163" spans="1:65" x14ac:dyDescent="0.35">
      <c r="A163" s="41" t="s">
        <v>420</v>
      </c>
      <c r="B163" s="41" t="s">
        <v>421</v>
      </c>
      <c r="C163" s="41" t="s">
        <v>659</v>
      </c>
      <c r="D163" s="41" t="s">
        <v>660</v>
      </c>
      <c r="L163" s="41">
        <v>48.27992471020945</v>
      </c>
      <c r="M163" s="41">
        <v>59.467517269503432</v>
      </c>
      <c r="N163" s="41">
        <v>57.991750646003538</v>
      </c>
      <c r="O163" s="41">
        <v>60.475680498172068</v>
      </c>
      <c r="P163" s="41">
        <v>65.384564144816153</v>
      </c>
      <c r="Q163" s="41">
        <v>79.157410663552511</v>
      </c>
      <c r="R163" s="41">
        <v>90.100136059135622</v>
      </c>
      <c r="S163" s="41">
        <v>84.597675492719162</v>
      </c>
      <c r="T163" s="41">
        <v>128.15095288664611</v>
      </c>
      <c r="U163" s="41">
        <v>142.37800775020796</v>
      </c>
      <c r="V163" s="41">
        <v>156.40594936965203</v>
      </c>
      <c r="W163" s="41">
        <v>178.99081348795829</v>
      </c>
      <c r="X163" s="41">
        <v>229.34581414729809</v>
      </c>
      <c r="Y163" s="41">
        <v>248.18900369118921</v>
      </c>
      <c r="Z163" s="41">
        <v>212.72020127623395</v>
      </c>
      <c r="AA163" s="41">
        <v>180.51341232385377</v>
      </c>
      <c r="AB163" s="41">
        <v>171.99965706572323</v>
      </c>
      <c r="AC163" s="41">
        <v>160.22805987651111</v>
      </c>
      <c r="AD163" s="41">
        <v>177.75993902616003</v>
      </c>
      <c r="AE163" s="41">
        <v>232.89266702401844</v>
      </c>
      <c r="AF163" s="41">
        <v>259.31204555126175</v>
      </c>
      <c r="AG163" s="41">
        <v>265.4389164273444</v>
      </c>
      <c r="AH163" s="41">
        <v>262.96772361397393</v>
      </c>
      <c r="AI163" s="41">
        <v>317.38923178444315</v>
      </c>
      <c r="AJ163" s="41">
        <v>315.45628074734742</v>
      </c>
      <c r="AK163" s="41">
        <v>319.83802970874154</v>
      </c>
      <c r="AL163" s="41">
        <v>310.13835392768999</v>
      </c>
      <c r="AM163" s="41">
        <v>223.01771244166531</v>
      </c>
      <c r="AN163" s="41">
        <v>282.34104885507946</v>
      </c>
      <c r="AO163" s="41">
        <v>282.63288587583276</v>
      </c>
      <c r="AP163" s="41">
        <v>267.18929110034571</v>
      </c>
      <c r="AQ163" s="41">
        <v>281.87254928904849</v>
      </c>
      <c r="AR163" s="41">
        <v>323.28717002842467</v>
      </c>
      <c r="AS163" s="41">
        <v>270.54299787082584</v>
      </c>
      <c r="AT163" s="41">
        <v>307.70582579704757</v>
      </c>
      <c r="AU163" s="41">
        <v>336.41718731325591</v>
      </c>
      <c r="AV163" s="41">
        <v>393.40677295604439</v>
      </c>
      <c r="AW163" s="41">
        <v>440.95844950651843</v>
      </c>
      <c r="AX163" s="41">
        <v>489.02282090914343</v>
      </c>
      <c r="AY163" s="41">
        <v>523.04300826527424</v>
      </c>
      <c r="AZ163" s="41">
        <v>597.47983880598508</v>
      </c>
      <c r="BA163" s="41">
        <v>697.08786850030071</v>
      </c>
      <c r="BB163" s="41">
        <v>701.71204029705336</v>
      </c>
      <c r="BC163" s="41">
        <v>710.27424937216801</v>
      </c>
      <c r="BD163" s="41">
        <v>837.60582099920146</v>
      </c>
      <c r="BE163" s="41">
        <v>778.62526951097232</v>
      </c>
      <c r="BF163" s="41">
        <v>805.03397960821974</v>
      </c>
      <c r="BG163" s="41">
        <v>848.27904295676876</v>
      </c>
      <c r="BH163" s="41">
        <v>751.47288662263998</v>
      </c>
      <c r="BI163" s="41">
        <v>780.72356952808741</v>
      </c>
      <c r="BJ163" s="41">
        <v>830.02151534688574</v>
      </c>
      <c r="BK163" s="41">
        <v>894.80477651036563</v>
      </c>
      <c r="BL163" s="41">
        <v>879.1227751620595</v>
      </c>
      <c r="BM163" s="41">
        <v>858.91580549623484</v>
      </c>
    </row>
    <row r="164" spans="1:65" x14ac:dyDescent="0.35">
      <c r="A164" s="41" t="s">
        <v>422</v>
      </c>
      <c r="B164" s="41" t="s">
        <v>423</v>
      </c>
      <c r="C164" s="41" t="s">
        <v>659</v>
      </c>
      <c r="D164" s="41" t="s">
        <v>660</v>
      </c>
      <c r="O164" s="41">
        <v>828.42168033595942</v>
      </c>
      <c r="P164" s="41">
        <v>874.06633559589761</v>
      </c>
      <c r="Q164" s="41">
        <v>975.75880087595476</v>
      </c>
      <c r="R164" s="41">
        <v>1143.6202030952775</v>
      </c>
      <c r="S164" s="41">
        <v>1245.3612249014268</v>
      </c>
      <c r="T164" s="41">
        <v>1560.1121535752195</v>
      </c>
      <c r="U164" s="41">
        <v>1726.5594484530257</v>
      </c>
      <c r="V164" s="41">
        <v>2037.8973369781231</v>
      </c>
      <c r="W164" s="41">
        <v>2558.7402553293828</v>
      </c>
      <c r="X164" s="41">
        <v>3195.5525857476919</v>
      </c>
      <c r="Y164" s="41">
        <v>3948.4031261497635</v>
      </c>
      <c r="Z164" s="41">
        <v>3898.2430374390519</v>
      </c>
      <c r="AA164" s="41">
        <v>3788.0506324064586</v>
      </c>
      <c r="AB164" s="41">
        <v>3527.0400001399421</v>
      </c>
      <c r="AC164" s="41">
        <v>3332.8853568225632</v>
      </c>
      <c r="AD164" s="41">
        <v>3322.4212829917033</v>
      </c>
      <c r="AE164" s="41">
        <v>4194.6539392483191</v>
      </c>
      <c r="AF164" s="41">
        <v>5083.669139206303</v>
      </c>
      <c r="AG164" s="41">
        <v>5814.3647713052333</v>
      </c>
      <c r="AH164" s="41">
        <v>6040.6098622594463</v>
      </c>
      <c r="AI164" s="41">
        <v>7191.9236025961745</v>
      </c>
      <c r="AJ164" s="41">
        <v>7558.2773825748545</v>
      </c>
      <c r="AK164" s="41">
        <v>8220.245517679401</v>
      </c>
      <c r="AL164" s="41">
        <v>7296.3101435538856</v>
      </c>
      <c r="AM164" s="41">
        <v>8000.5180045223206</v>
      </c>
      <c r="AN164" s="41">
        <v>9857.4807707599648</v>
      </c>
      <c r="AO164" s="41">
        <v>10062.733581642697</v>
      </c>
      <c r="AP164" s="41">
        <v>9909.8944813708222</v>
      </c>
      <c r="AQ164" s="41">
        <v>10409.308446274064</v>
      </c>
      <c r="AR164" s="41">
        <v>10633.603382576699</v>
      </c>
      <c r="AS164" s="41">
        <v>10432.328119294247</v>
      </c>
      <c r="AT164" s="41">
        <v>10402.233373565989</v>
      </c>
      <c r="AU164" s="41">
        <v>11289.889843513991</v>
      </c>
      <c r="AV164" s="41">
        <v>13669.497117709045</v>
      </c>
      <c r="AW164" s="41">
        <v>15197.05670791404</v>
      </c>
      <c r="AX164" s="41">
        <v>15888.172320983387</v>
      </c>
      <c r="AY164" s="41">
        <v>16723.884181116806</v>
      </c>
      <c r="AZ164" s="41">
        <v>19485.871193978201</v>
      </c>
      <c r="BA164" s="41">
        <v>22205.356814217863</v>
      </c>
      <c r="BB164" s="41">
        <v>21083.277146299792</v>
      </c>
      <c r="BC164" s="41">
        <v>21799.174255979815</v>
      </c>
      <c r="BD164" s="41">
        <v>23155.554789388189</v>
      </c>
      <c r="BE164" s="41">
        <v>22527.636756327134</v>
      </c>
      <c r="BF164" s="41">
        <v>24771.076578192926</v>
      </c>
      <c r="BG164" s="41">
        <v>26754.268445194371</v>
      </c>
      <c r="BH164" s="41">
        <v>24921.603682086854</v>
      </c>
      <c r="BI164" s="41">
        <v>25741.446061367737</v>
      </c>
      <c r="BJ164" s="41">
        <v>28250.697774758926</v>
      </c>
      <c r="BK164" s="41">
        <v>30672.292243903768</v>
      </c>
      <c r="BL164" s="41">
        <v>30186.195962197886</v>
      </c>
      <c r="BM164" s="41">
        <v>27884.642827425108</v>
      </c>
    </row>
    <row r="165" spans="1:65" x14ac:dyDescent="0.35">
      <c r="A165" s="41" t="s">
        <v>424</v>
      </c>
      <c r="B165" s="41" t="s">
        <v>425</v>
      </c>
      <c r="C165" s="41" t="s">
        <v>659</v>
      </c>
      <c r="D165" s="41" t="s">
        <v>660</v>
      </c>
      <c r="AR165" s="41">
        <v>165.45327708934403</v>
      </c>
      <c r="AS165" s="41">
        <v>99.744919585704267</v>
      </c>
      <c r="AT165" s="41">
        <v>90.532428935506331</v>
      </c>
      <c r="AU165" s="41">
        <v>159.95727835311584</v>
      </c>
      <c r="AV165" s="41">
        <v>186.54006775003404</v>
      </c>
      <c r="AW165" s="41">
        <v>182.38440993244015</v>
      </c>
      <c r="AX165" s="41">
        <v>216.00260325921971</v>
      </c>
      <c r="AY165" s="41">
        <v>295.63835858423192</v>
      </c>
      <c r="AZ165" s="41">
        <v>512.58008609192041</v>
      </c>
      <c r="BA165" s="41">
        <v>637.52173938438716</v>
      </c>
      <c r="BB165" s="41">
        <v>840.07443931461819</v>
      </c>
      <c r="BC165" s="41">
        <v>1018.1317297113412</v>
      </c>
      <c r="BD165" s="41">
        <v>1061.9234109035274</v>
      </c>
      <c r="BE165" s="41">
        <v>1035.8042399222945</v>
      </c>
      <c r="BF165" s="41">
        <v>1121.9420494596122</v>
      </c>
      <c r="BG165" s="41">
        <v>1140.7665198220564</v>
      </c>
      <c r="BH165" s="41">
        <v>1144.4743412019106</v>
      </c>
      <c r="BI165" s="41">
        <v>1158.434565513626</v>
      </c>
      <c r="BJ165" s="41">
        <v>1257.8035763911428</v>
      </c>
      <c r="BK165" s="41">
        <v>1279.0897559151074</v>
      </c>
      <c r="BL165" s="41">
        <v>1477.3553677879447</v>
      </c>
      <c r="BM165" s="41">
        <v>1400.2182418995628</v>
      </c>
    </row>
    <row r="166" spans="1:65" x14ac:dyDescent="0.35">
      <c r="A166" s="41" t="s">
        <v>426</v>
      </c>
      <c r="B166" s="41" t="s">
        <v>427</v>
      </c>
      <c r="C166" s="41" t="s">
        <v>659</v>
      </c>
      <c r="D166" s="41" t="s">
        <v>660</v>
      </c>
      <c r="AL166" s="41">
        <v>1129.2754161622979</v>
      </c>
      <c r="AM166" s="41">
        <v>1142.8862154853839</v>
      </c>
      <c r="AN166" s="41">
        <v>1308.8589117596546</v>
      </c>
      <c r="AO166" s="41">
        <v>1469.8342886022317</v>
      </c>
      <c r="AP166" s="41">
        <v>1518.8432676241907</v>
      </c>
      <c r="AQ166" s="41">
        <v>1511.6501326586622</v>
      </c>
      <c r="AR166" s="41">
        <v>1625.215985588022</v>
      </c>
      <c r="AS166" s="41">
        <v>1690.8249341857786</v>
      </c>
      <c r="AT166" s="41">
        <v>1666.6771485547604</v>
      </c>
      <c r="AU166" s="41">
        <v>1576.0460511338354</v>
      </c>
      <c r="AV166" s="41">
        <v>1696.7369354912498</v>
      </c>
      <c r="AW166" s="41">
        <v>1981.1393932646786</v>
      </c>
      <c r="AX166" s="41">
        <v>2293.1414069402449</v>
      </c>
      <c r="AY166" s="41">
        <v>2618.367619193004</v>
      </c>
      <c r="AZ166" s="41">
        <v>3179.519798755678</v>
      </c>
      <c r="BA166" s="41">
        <v>3870.8309947943494</v>
      </c>
      <c r="BB166" s="41">
        <v>3670.9568698879061</v>
      </c>
      <c r="BC166" s="41">
        <v>4161.6718459242429</v>
      </c>
      <c r="BD166" s="41">
        <v>4624.8418873884175</v>
      </c>
      <c r="BE166" s="41">
        <v>5014.1872991490909</v>
      </c>
      <c r="BF166" s="41">
        <v>4609.4664358826049</v>
      </c>
      <c r="BG166" s="41">
        <v>4453.9321579724874</v>
      </c>
      <c r="BH166" s="41">
        <v>3924.9797364478668</v>
      </c>
      <c r="BI166" s="41">
        <v>3919.4669628269162</v>
      </c>
      <c r="BJ166" s="41">
        <v>3801.0524495315499</v>
      </c>
      <c r="BK166" s="41">
        <v>3501.8707668693687</v>
      </c>
      <c r="BL166" s="41">
        <v>3507.5075745894464</v>
      </c>
      <c r="BM166" s="41">
        <v>3066.2253551327067</v>
      </c>
    </row>
    <row r="167" spans="1:65" x14ac:dyDescent="0.35">
      <c r="A167" s="41" t="s">
        <v>428</v>
      </c>
      <c r="B167" s="41" t="s">
        <v>429</v>
      </c>
      <c r="C167" s="41" t="s">
        <v>659</v>
      </c>
      <c r="D167" s="41" t="s">
        <v>660</v>
      </c>
      <c r="AS167" s="41">
        <v>1627.0726330439436</v>
      </c>
      <c r="AT167" s="41">
        <v>1909.5987018617886</v>
      </c>
      <c r="AU167" s="41">
        <v>2106.6350684522995</v>
      </c>
      <c r="AV167" s="41">
        <v>2789.1590648350862</v>
      </c>
      <c r="AW167" s="41">
        <v>3380.1651213585906</v>
      </c>
      <c r="AX167" s="41">
        <v>3674.6179242796979</v>
      </c>
      <c r="AY167" s="41">
        <v>4425.6788730780308</v>
      </c>
      <c r="AZ167" s="41">
        <v>5976.3941445459586</v>
      </c>
      <c r="BA167" s="41">
        <v>7367.7519091088161</v>
      </c>
      <c r="BB167" s="41">
        <v>6727.1077667696864</v>
      </c>
      <c r="BC167" s="41">
        <v>6688.4823997057392</v>
      </c>
      <c r="BD167" s="41">
        <v>7328.9322524752934</v>
      </c>
      <c r="BE167" s="41">
        <v>6586.7212793222006</v>
      </c>
      <c r="BF167" s="41">
        <v>7189.2954246292384</v>
      </c>
      <c r="BG167" s="41">
        <v>7388.1477937312593</v>
      </c>
      <c r="BH167" s="41">
        <v>6517.1637516252786</v>
      </c>
      <c r="BI167" s="41">
        <v>7033.6048986863516</v>
      </c>
      <c r="BJ167" s="41">
        <v>7803.4111368226922</v>
      </c>
      <c r="BK167" s="41">
        <v>8850.0946307979339</v>
      </c>
      <c r="BL167" s="41">
        <v>8910.651554094482</v>
      </c>
      <c r="BM167" s="41">
        <v>7686.0929491865072</v>
      </c>
    </row>
    <row r="168" spans="1:65" x14ac:dyDescent="0.35">
      <c r="A168" s="41" t="s">
        <v>430</v>
      </c>
      <c r="B168" s="41" t="s">
        <v>431</v>
      </c>
      <c r="C168" s="41" t="s">
        <v>659</v>
      </c>
      <c r="D168" s="41" t="s">
        <v>660</v>
      </c>
      <c r="Z168" s="41">
        <v>1332.6405630309062</v>
      </c>
      <c r="AA168" s="41">
        <v>1435.7670965976968</v>
      </c>
      <c r="AB168" s="41">
        <v>1495.0173887066101</v>
      </c>
      <c r="AC168" s="41">
        <v>1121.6647631406095</v>
      </c>
      <c r="AD168" s="41">
        <v>1137.6856181600499</v>
      </c>
      <c r="AE168" s="41">
        <v>1465.4454363588493</v>
      </c>
      <c r="AF168" s="41">
        <v>1485.5337814278007</v>
      </c>
      <c r="AG168" s="41">
        <v>1533.4487082491707</v>
      </c>
      <c r="AH168" s="41">
        <v>1670.6952108939493</v>
      </c>
      <c r="AI168" s="41">
        <v>1172.4462866145425</v>
      </c>
      <c r="AJ168" s="41">
        <v>1072.6358351912875</v>
      </c>
      <c r="AK168" s="41">
        <v>587.30323172093779</v>
      </c>
      <c r="AL168" s="41">
        <v>339.52058688446476</v>
      </c>
      <c r="AM168" s="41">
        <v>405.97554992599527</v>
      </c>
      <c r="AN168" s="41">
        <v>631.92091496207513</v>
      </c>
      <c r="AO168" s="41">
        <v>580.91009183782023</v>
      </c>
      <c r="AP168" s="41">
        <v>505.59230927619234</v>
      </c>
      <c r="AQ168" s="41">
        <v>477.33412616396936</v>
      </c>
      <c r="AR168" s="41">
        <v>444.9945832986931</v>
      </c>
      <c r="AS168" s="41">
        <v>474.21709431983686</v>
      </c>
      <c r="AT168" s="41">
        <v>524.0540083635949</v>
      </c>
      <c r="AU168" s="41">
        <v>571.59497899491157</v>
      </c>
      <c r="AV168" s="41">
        <v>646.19247104665203</v>
      </c>
      <c r="AW168" s="41">
        <v>797.97772631082171</v>
      </c>
      <c r="AX168" s="41">
        <v>998.82938804566936</v>
      </c>
      <c r="AY168" s="41">
        <v>1334.212724178012</v>
      </c>
      <c r="AZ168" s="41">
        <v>1632.7275817273264</v>
      </c>
      <c r="BA168" s="41">
        <v>2136.5624018507228</v>
      </c>
      <c r="BB168" s="41">
        <v>1714.3618273845032</v>
      </c>
      <c r="BC168" s="41">
        <v>2643.2870831643481</v>
      </c>
      <c r="BD168" s="41">
        <v>3757.5654146040797</v>
      </c>
      <c r="BE168" s="41">
        <v>4351.8884607121499</v>
      </c>
      <c r="BF168" s="41">
        <v>4366.089536995717</v>
      </c>
      <c r="BG168" s="41">
        <v>4158.5214714975264</v>
      </c>
      <c r="BH168" s="41">
        <v>3918.587015149631</v>
      </c>
      <c r="BI168" s="41">
        <v>3660.151943713624</v>
      </c>
      <c r="BJ168" s="41">
        <v>3669.4069344282461</v>
      </c>
      <c r="BK168" s="41">
        <v>4134.979372290707</v>
      </c>
      <c r="BL168" s="41">
        <v>4339.8446248731389</v>
      </c>
      <c r="BM168" s="41">
        <v>4007.3088850776621</v>
      </c>
    </row>
    <row r="169" spans="1:65" x14ac:dyDescent="0.35">
      <c r="A169" s="41" t="s">
        <v>432</v>
      </c>
      <c r="B169" s="41" t="s">
        <v>433</v>
      </c>
      <c r="C169" s="41" t="s">
        <v>659</v>
      </c>
      <c r="D169" s="41" t="s">
        <v>660</v>
      </c>
      <c r="AU169" s="41">
        <v>21981.784564815447</v>
      </c>
      <c r="AV169" s="41">
        <v>21379.024743762293</v>
      </c>
      <c r="AW169" s="41">
        <v>21139.063591893781</v>
      </c>
      <c r="AX169" s="41">
        <v>18763.152775567229</v>
      </c>
      <c r="AY169" s="41">
        <v>17714.633360770138</v>
      </c>
      <c r="AZ169" s="41">
        <v>16988.137281535815</v>
      </c>
      <c r="BA169" s="41">
        <v>17191.190201570826</v>
      </c>
      <c r="BB169" s="41">
        <v>14669.520611137765</v>
      </c>
      <c r="BC169" s="41">
        <v>14804.246725093106</v>
      </c>
      <c r="BD169" s="41">
        <v>13496.750782219095</v>
      </c>
      <c r="BE169" s="41">
        <v>13736.971973630907</v>
      </c>
      <c r="BF169" s="41">
        <v>14091.191180228525</v>
      </c>
      <c r="BG169" s="41">
        <v>15044.93589627674</v>
      </c>
      <c r="BH169" s="41">
        <v>16314.383549364456</v>
      </c>
      <c r="BI169" s="41">
        <v>21891.184793635537</v>
      </c>
      <c r="BJ169" s="41">
        <v>27584.743514932896</v>
      </c>
      <c r="BK169" s="41">
        <v>22886.674049464746</v>
      </c>
      <c r="BL169" s="41">
        <v>20659.640291542131</v>
      </c>
    </row>
    <row r="170" spans="1:65" x14ac:dyDescent="0.35">
      <c r="A170" s="41" t="s">
        <v>434</v>
      </c>
      <c r="B170" s="41" t="s">
        <v>435</v>
      </c>
      <c r="C170" s="41" t="s">
        <v>659</v>
      </c>
      <c r="D170" s="41" t="s">
        <v>660</v>
      </c>
      <c r="AJ170" s="41">
        <v>272.61390749006858</v>
      </c>
      <c r="AK170" s="41">
        <v>191.2178344029399</v>
      </c>
      <c r="AL170" s="41">
        <v>189.93529245385818</v>
      </c>
      <c r="AM170" s="41">
        <v>187.08460156822002</v>
      </c>
      <c r="AN170" s="41">
        <v>187.29386819475289</v>
      </c>
      <c r="AO170" s="41">
        <v>241.64738791185985</v>
      </c>
      <c r="AP170" s="41">
        <v>283.51421412940715</v>
      </c>
      <c r="AQ170" s="41">
        <v>313.06616067905105</v>
      </c>
      <c r="AR170" s="41">
        <v>346.57544922834535</v>
      </c>
      <c r="AS170" s="41">
        <v>319.35962084366741</v>
      </c>
      <c r="AT170" s="41">
        <v>296.26840691307899</v>
      </c>
      <c r="AU170" s="41">
        <v>302.54523369987771</v>
      </c>
      <c r="AV170" s="41">
        <v>326.07519086132874</v>
      </c>
      <c r="AW170" s="41">
        <v>383.27022189903835</v>
      </c>
      <c r="AX170" s="41">
        <v>416.80982418396599</v>
      </c>
      <c r="AY170" s="41">
        <v>435.33406329905802</v>
      </c>
      <c r="AZ170" s="41">
        <v>482.19856364837597</v>
      </c>
      <c r="BA170" s="41">
        <v>563.64963428865735</v>
      </c>
      <c r="BB170" s="41">
        <v>520.40263160914105</v>
      </c>
      <c r="BC170" s="41">
        <v>471.9043433444765</v>
      </c>
      <c r="BD170" s="41">
        <v>594.58614709868323</v>
      </c>
      <c r="BE170" s="41">
        <v>657.64467654187843</v>
      </c>
      <c r="BF170" s="41">
        <v>664.07751035733577</v>
      </c>
      <c r="BG170" s="41">
        <v>673.96921195694006</v>
      </c>
      <c r="BH170" s="41">
        <v>589.85904996253009</v>
      </c>
      <c r="BI170" s="41">
        <v>428.92667294452889</v>
      </c>
      <c r="BJ170" s="41">
        <v>461.41509412058878</v>
      </c>
      <c r="BK170" s="41">
        <v>503.31792517113922</v>
      </c>
      <c r="BL170" s="41">
        <v>503.57065659173981</v>
      </c>
      <c r="BM170" s="41">
        <v>448.6074535807241</v>
      </c>
    </row>
    <row r="171" spans="1:65" x14ac:dyDescent="0.35">
      <c r="A171" s="41" t="s">
        <v>436</v>
      </c>
      <c r="B171" s="41" t="s">
        <v>437</v>
      </c>
      <c r="C171" s="41" t="s">
        <v>659</v>
      </c>
      <c r="D171" s="41" t="s">
        <v>660</v>
      </c>
      <c r="F171" s="41">
        <v>181.83609605828119</v>
      </c>
      <c r="G171" s="41">
        <v>182.18189270765518</v>
      </c>
      <c r="H171" s="41">
        <v>181.09047644153259</v>
      </c>
      <c r="I171" s="41">
        <v>234.63335813714917</v>
      </c>
      <c r="J171" s="41">
        <v>258.99047957393782</v>
      </c>
      <c r="K171" s="41">
        <v>262.31226783593257</v>
      </c>
      <c r="L171" s="41">
        <v>269.83980203741879</v>
      </c>
      <c r="M171" s="41">
        <v>288.44180173871723</v>
      </c>
      <c r="N171" s="41">
        <v>265.16504446900217</v>
      </c>
      <c r="O171" s="41">
        <v>269.80449194869396</v>
      </c>
      <c r="P171" s="41">
        <v>283.98132516896374</v>
      </c>
      <c r="Q171" s="41">
        <v>321.71481478267975</v>
      </c>
      <c r="R171" s="41">
        <v>393.28244999261199</v>
      </c>
      <c r="S171" s="41">
        <v>474.5192061861257</v>
      </c>
      <c r="T171" s="41">
        <v>528.62003988446406</v>
      </c>
      <c r="U171" s="41">
        <v>565.57701281685183</v>
      </c>
      <c r="V171" s="41">
        <v>566.23030515870153</v>
      </c>
      <c r="W171" s="41">
        <v>553.76075118354424</v>
      </c>
      <c r="X171" s="41">
        <v>636.22342401370645</v>
      </c>
      <c r="Y171" s="41">
        <v>680.18610991104629</v>
      </c>
      <c r="Z171" s="41">
        <v>696.81572999961043</v>
      </c>
      <c r="AA171" s="41">
        <v>678.70879118035725</v>
      </c>
      <c r="AB171" s="41">
        <v>692.78734166157165</v>
      </c>
      <c r="AC171" s="41">
        <v>620.76082931890335</v>
      </c>
      <c r="AD171" s="41">
        <v>567.24977925551013</v>
      </c>
      <c r="AE171" s="41">
        <v>648.54514210279717</v>
      </c>
      <c r="AF171" s="41">
        <v>715.34032645122716</v>
      </c>
      <c r="AG171" s="41">
        <v>732.97351003505503</v>
      </c>
      <c r="AH171" s="41">
        <v>731.94689707416956</v>
      </c>
      <c r="AI171" s="41">
        <v>740.73617127427508</v>
      </c>
      <c r="AJ171" s="41">
        <v>1021.9234462359849</v>
      </c>
      <c r="AK171" s="41">
        <v>1010.1030306771687</v>
      </c>
      <c r="AL171" s="41">
        <v>840.26321661239569</v>
      </c>
      <c r="AM171" s="41">
        <v>862.27422279876964</v>
      </c>
      <c r="AN171" s="41">
        <v>904.09072353368083</v>
      </c>
      <c r="AO171" s="41">
        <v>898.51316191747594</v>
      </c>
      <c r="AP171" s="41">
        <v>851.42552755736824</v>
      </c>
      <c r="AQ171" s="41">
        <v>814.1703352833697</v>
      </c>
      <c r="AR171" s="41">
        <v>775.27201407975622</v>
      </c>
      <c r="AS171" s="41">
        <v>676.56902238144755</v>
      </c>
      <c r="AT171" s="41">
        <v>646.11511553289995</v>
      </c>
      <c r="AU171" s="41">
        <v>639.66758287710059</v>
      </c>
      <c r="AV171" s="41">
        <v>717.89986760823695</v>
      </c>
      <c r="AW171" s="41">
        <v>803.77791557511387</v>
      </c>
      <c r="AX171" s="41">
        <v>970.84236071924192</v>
      </c>
      <c r="AY171" s="41">
        <v>1259.5415050596062</v>
      </c>
      <c r="AZ171" s="41">
        <v>1357.1242851050235</v>
      </c>
      <c r="BA171" s="41">
        <v>1579.5115480657321</v>
      </c>
      <c r="BB171" s="41">
        <v>1389.3385330999763</v>
      </c>
      <c r="BC171" s="41">
        <v>1610.9216033362907</v>
      </c>
      <c r="BD171" s="41">
        <v>1879.772471866765</v>
      </c>
      <c r="BE171" s="41">
        <v>1815.2189394792274</v>
      </c>
      <c r="BF171" s="41">
        <v>1892.0940002644365</v>
      </c>
      <c r="BG171" s="41">
        <v>1677.1090194279416</v>
      </c>
      <c r="BH171" s="41">
        <v>1524.0717525480331</v>
      </c>
      <c r="BI171" s="41">
        <v>1536.8548878887666</v>
      </c>
      <c r="BJ171" s="41">
        <v>1577.8643702045472</v>
      </c>
      <c r="BK171" s="41">
        <v>1601.2919316461398</v>
      </c>
      <c r="BL171" s="41">
        <v>1679.4426048415739</v>
      </c>
      <c r="BM171" s="41">
        <v>1672.9235348238008</v>
      </c>
    </row>
    <row r="172" spans="1:65" x14ac:dyDescent="0.35">
      <c r="A172" s="41" t="s">
        <v>438</v>
      </c>
      <c r="B172" s="41" t="s">
        <v>439</v>
      </c>
      <c r="C172" s="41" t="s">
        <v>659</v>
      </c>
      <c r="D172" s="41" t="s">
        <v>660</v>
      </c>
      <c r="U172" s="41">
        <v>776.64433413748793</v>
      </c>
      <c r="V172" s="41">
        <v>893.91495238118478</v>
      </c>
      <c r="W172" s="41">
        <v>1087.6981606788436</v>
      </c>
      <c r="X172" s="41">
        <v>1275.0358264506447</v>
      </c>
      <c r="Y172" s="41">
        <v>1171.5760869978944</v>
      </c>
      <c r="Z172" s="41">
        <v>1165.1584197282332</v>
      </c>
      <c r="AA172" s="41">
        <v>1086.5350250684908</v>
      </c>
      <c r="AB172" s="41">
        <v>1088.4364013041122</v>
      </c>
      <c r="AC172" s="41">
        <v>1027.9939749705229</v>
      </c>
      <c r="AD172" s="41">
        <v>1054.4748349701197</v>
      </c>
      <c r="AE172" s="41">
        <v>1422.5565516459246</v>
      </c>
      <c r="AF172" s="41">
        <v>1815.3514048377865</v>
      </c>
      <c r="AG172" s="41">
        <v>2046.0479982563409</v>
      </c>
      <c r="AH172" s="41">
        <v>2075.5381683151777</v>
      </c>
      <c r="AI172" s="41">
        <v>2506.1793122670806</v>
      </c>
      <c r="AJ172" s="41">
        <v>2669.3277004061142</v>
      </c>
      <c r="AK172" s="41">
        <v>2973.206977424386</v>
      </c>
      <c r="AL172" s="41">
        <v>2973.7978209964263</v>
      </c>
      <c r="AM172" s="41">
        <v>3197.3310236795746</v>
      </c>
      <c r="AN172" s="41">
        <v>3599.5552019296106</v>
      </c>
      <c r="AO172" s="41">
        <v>3899.4351924499647</v>
      </c>
      <c r="AP172" s="41">
        <v>3646.630625990012</v>
      </c>
      <c r="AQ172" s="41">
        <v>3593.2340808954723</v>
      </c>
      <c r="AR172" s="41">
        <v>3695.9349090943433</v>
      </c>
      <c r="AS172" s="41">
        <v>3929.0754950336445</v>
      </c>
      <c r="AT172" s="41">
        <v>3856.6252268686421</v>
      </c>
      <c r="AU172" s="41">
        <v>4018.9488973186367</v>
      </c>
      <c r="AV172" s="41">
        <v>4793.718179001613</v>
      </c>
      <c r="AW172" s="41">
        <v>5388.0657836736482</v>
      </c>
      <c r="AX172" s="41">
        <v>5282.9060215563504</v>
      </c>
      <c r="AY172" s="41">
        <v>5695.9693270492844</v>
      </c>
      <c r="AZ172" s="41">
        <v>6574.6543381149295</v>
      </c>
      <c r="BA172" s="41">
        <v>8030.0630053730374</v>
      </c>
      <c r="BB172" s="41">
        <v>7318.126409724222</v>
      </c>
      <c r="BC172" s="41">
        <v>8000.3764318215426</v>
      </c>
      <c r="BD172" s="41">
        <v>9197.0429908945935</v>
      </c>
      <c r="BE172" s="41">
        <v>9291.2363790645068</v>
      </c>
      <c r="BF172" s="41">
        <v>9637.0157289780727</v>
      </c>
      <c r="BG172" s="41">
        <v>10153.932691912363</v>
      </c>
      <c r="BH172" s="41">
        <v>9260.4473025063544</v>
      </c>
      <c r="BI172" s="41">
        <v>9681.6231069102923</v>
      </c>
      <c r="BJ172" s="41">
        <v>10484.905828099159</v>
      </c>
      <c r="BK172" s="41">
        <v>11208.327303749435</v>
      </c>
      <c r="BL172" s="41">
        <v>11097.586933230887</v>
      </c>
      <c r="BM172" s="41">
        <v>8622.6755149101264</v>
      </c>
    </row>
    <row r="173" spans="1:65" x14ac:dyDescent="0.35">
      <c r="A173" s="41" t="s">
        <v>16</v>
      </c>
      <c r="B173" s="41" t="s">
        <v>440</v>
      </c>
      <c r="C173" s="41" t="s">
        <v>659</v>
      </c>
      <c r="D173" s="41" t="s">
        <v>660</v>
      </c>
      <c r="E173" s="41">
        <v>44.523942990175549</v>
      </c>
      <c r="F173" s="41">
        <v>46.581585169007873</v>
      </c>
      <c r="G173" s="41">
        <v>47.698383914874327</v>
      </c>
      <c r="H173" s="41">
        <v>48.505428353626044</v>
      </c>
      <c r="I173" s="41">
        <v>48.293285347725167</v>
      </c>
      <c r="J173" s="41">
        <v>55.498224411140633</v>
      </c>
      <c r="K173" s="41">
        <v>61.407638400859796</v>
      </c>
      <c r="L173" s="41">
        <v>62.01992808129021</v>
      </c>
      <c r="M173" s="41">
        <v>54.916298730446634</v>
      </c>
      <c r="N173" s="41">
        <v>58.009429194182836</v>
      </c>
      <c r="O173" s="41">
        <v>61.76552389105759</v>
      </c>
      <c r="P173" s="41">
        <v>75.663692022251496</v>
      </c>
      <c r="Q173" s="41">
        <v>81.891355921259546</v>
      </c>
      <c r="R173" s="41">
        <v>87.227489530221987</v>
      </c>
      <c r="S173" s="41">
        <v>104.79718483328286</v>
      </c>
      <c r="T173" s="41">
        <v>113.87997338598753</v>
      </c>
      <c r="U173" s="41">
        <v>120.87262476989741</v>
      </c>
      <c r="V173" s="41">
        <v>141.01037549876298</v>
      </c>
      <c r="W173" s="41">
        <v>160.93876623755048</v>
      </c>
      <c r="X173" s="41">
        <v>174.18676302898422</v>
      </c>
      <c r="Y173" s="41">
        <v>198.0111238915737</v>
      </c>
      <c r="Z173" s="41">
        <v>193.01502592591726</v>
      </c>
      <c r="AA173" s="41">
        <v>179.72995917769671</v>
      </c>
      <c r="AB173" s="41">
        <v>181.53764279817415</v>
      </c>
      <c r="AC173" s="41">
        <v>173.44954923198398</v>
      </c>
      <c r="AD173" s="41">
        <v>155.65569834511328</v>
      </c>
      <c r="AE173" s="41">
        <v>154.39533180414989</v>
      </c>
      <c r="AF173" s="41">
        <v>145.32290659139446</v>
      </c>
      <c r="AG173" s="41">
        <v>159.77473966439601</v>
      </c>
      <c r="AH173" s="41">
        <v>175.21940032106724</v>
      </c>
      <c r="AI173" s="41">
        <v>199.98636358031814</v>
      </c>
      <c r="AJ173" s="41">
        <v>229.52739554990961</v>
      </c>
      <c r="AK173" s="41">
        <v>185.78586743719544</v>
      </c>
      <c r="AL173" s="41">
        <v>213.24052523280039</v>
      </c>
      <c r="AM173" s="41">
        <v>121.26406541913943</v>
      </c>
      <c r="AN173" s="41">
        <v>141.95434735775822</v>
      </c>
      <c r="AO173" s="41">
        <v>227.5849064441411</v>
      </c>
      <c r="AP173" s="41">
        <v>259.45049412996735</v>
      </c>
      <c r="AQ173" s="41">
        <v>165.89528349267724</v>
      </c>
      <c r="AR173" s="41">
        <v>163.61420153766718</v>
      </c>
      <c r="AS173" s="41">
        <v>156.38581679028616</v>
      </c>
      <c r="AT173" s="41">
        <v>150.1489426300264</v>
      </c>
      <c r="AU173" s="41">
        <v>298.43341042253422</v>
      </c>
      <c r="AV173" s="41">
        <v>267.39901193595853</v>
      </c>
      <c r="AW173" s="41">
        <v>282.56710756898877</v>
      </c>
      <c r="AX173" s="41">
        <v>289.55521478718839</v>
      </c>
      <c r="AY173" s="41">
        <v>308.1636182291071</v>
      </c>
      <c r="AZ173" s="41">
        <v>332.25909455442383</v>
      </c>
      <c r="BA173" s="41">
        <v>387.60572119128977</v>
      </c>
      <c r="BB173" s="41">
        <v>438.21185681535644</v>
      </c>
      <c r="BC173" s="41">
        <v>478.66868846961302</v>
      </c>
      <c r="BD173" s="41">
        <v>534.95105019938796</v>
      </c>
      <c r="BE173" s="41">
        <v>391.56170519722372</v>
      </c>
      <c r="BF173" s="41">
        <v>348.42987367926054</v>
      </c>
      <c r="BG173" s="41">
        <v>371.26952170674105</v>
      </c>
      <c r="BH173" s="41">
        <v>380.59698768377427</v>
      </c>
      <c r="BI173" s="41">
        <v>315.77798710007147</v>
      </c>
      <c r="BJ173" s="41">
        <v>497.31040970769703</v>
      </c>
      <c r="BK173" s="41">
        <v>535.35134566370755</v>
      </c>
      <c r="BL173" s="41">
        <v>583.11020358403914</v>
      </c>
      <c r="BM173" s="41">
        <v>625.29412916014019</v>
      </c>
    </row>
    <row r="174" spans="1:65" x14ac:dyDescent="0.35">
      <c r="A174" s="41" t="s">
        <v>441</v>
      </c>
      <c r="B174" s="41" t="s">
        <v>442</v>
      </c>
      <c r="C174" s="41" t="s">
        <v>659</v>
      </c>
      <c r="D174" s="41" t="s">
        <v>660</v>
      </c>
      <c r="E174" s="41">
        <v>234.93889743743452</v>
      </c>
      <c r="F174" s="41">
        <v>225.93359353705901</v>
      </c>
      <c r="G174" s="41">
        <v>230.26059374919498</v>
      </c>
      <c r="H174" s="41">
        <v>279.71754052224401</v>
      </c>
      <c r="I174" s="41">
        <v>289.00922780717258</v>
      </c>
      <c r="J174" s="41">
        <v>310.32792580375906</v>
      </c>
      <c r="K174" s="41">
        <v>321.09416045208059</v>
      </c>
      <c r="L174" s="41">
        <v>317.42421047108616</v>
      </c>
      <c r="M174" s="41">
        <v>323.40248666298487</v>
      </c>
      <c r="N174" s="41">
        <v>347.373094217681</v>
      </c>
      <c r="O174" s="41">
        <v>357.65679936380883</v>
      </c>
      <c r="P174" s="41">
        <v>383.67147171399944</v>
      </c>
      <c r="Q174" s="41">
        <v>445.35015778316938</v>
      </c>
      <c r="R174" s="41">
        <v>661.02269101028014</v>
      </c>
      <c r="S174" s="41">
        <v>799.93197885749646</v>
      </c>
      <c r="T174" s="41">
        <v>764.56637859081309</v>
      </c>
      <c r="U174" s="41">
        <v>886.23004320436667</v>
      </c>
      <c r="V174" s="41">
        <v>1027.2929113751591</v>
      </c>
      <c r="W174" s="41">
        <v>1246.5583088062046</v>
      </c>
      <c r="X174" s="41">
        <v>1576.0488059056001</v>
      </c>
      <c r="Y174" s="41">
        <v>1774.7402968881518</v>
      </c>
      <c r="Z174" s="41">
        <v>1769.0994020031139</v>
      </c>
      <c r="AA174" s="41">
        <v>1852.2564840294897</v>
      </c>
      <c r="AB174" s="41">
        <v>2047.7702878932228</v>
      </c>
      <c r="AC174" s="41">
        <v>2234.2572038268904</v>
      </c>
      <c r="AD174" s="41">
        <v>2000.1482855772008</v>
      </c>
      <c r="AE174" s="41">
        <v>1728.6848051119564</v>
      </c>
      <c r="AF174" s="41">
        <v>1947.8082384693389</v>
      </c>
      <c r="AG174" s="41">
        <v>2072.0776861698928</v>
      </c>
      <c r="AH174" s="41">
        <v>2216.2504458435105</v>
      </c>
      <c r="AI174" s="41">
        <v>2441.7419905489451</v>
      </c>
      <c r="AJ174" s="41">
        <v>2653.5261691313303</v>
      </c>
      <c r="AK174" s="41">
        <v>3113.645677129201</v>
      </c>
      <c r="AL174" s="41">
        <v>3433.1627874536493</v>
      </c>
      <c r="AM174" s="41">
        <v>3728.1104809359017</v>
      </c>
      <c r="AN174" s="41">
        <v>4329.7079981979014</v>
      </c>
      <c r="AO174" s="41">
        <v>4798.611769986207</v>
      </c>
      <c r="AP174" s="41">
        <v>4637.8656612556488</v>
      </c>
      <c r="AQ174" s="41">
        <v>3263.3348830229938</v>
      </c>
      <c r="AR174" s="41">
        <v>3492.6701248967379</v>
      </c>
      <c r="AS174" s="41">
        <v>4043.6629231287679</v>
      </c>
      <c r="AT174" s="41">
        <v>3913.4293864794636</v>
      </c>
      <c r="AU174" s="41">
        <v>4165.7261036385889</v>
      </c>
      <c r="AV174" s="41">
        <v>4461.8473254675855</v>
      </c>
      <c r="AW174" s="41">
        <v>4952.2139579904606</v>
      </c>
      <c r="AX174" s="41">
        <v>5587.0247797297543</v>
      </c>
      <c r="AY174" s="41">
        <v>6209.1261670589929</v>
      </c>
      <c r="AZ174" s="41">
        <v>7243.4568006981326</v>
      </c>
      <c r="BA174" s="41">
        <v>8474.5877622237895</v>
      </c>
      <c r="BB174" s="41">
        <v>7292.4949731477964</v>
      </c>
      <c r="BC174" s="41">
        <v>9040.5684946452384</v>
      </c>
      <c r="BD174" s="41">
        <v>10399.370212571352</v>
      </c>
      <c r="BE174" s="41">
        <v>10817.431710078306</v>
      </c>
      <c r="BF174" s="41">
        <v>10970.104299603312</v>
      </c>
      <c r="BG174" s="41">
        <v>11319.061944848245</v>
      </c>
      <c r="BH174" s="41">
        <v>9955.2427216762644</v>
      </c>
      <c r="BI174" s="41">
        <v>9817.787090310092</v>
      </c>
      <c r="BJ174" s="41">
        <v>10259.304806481139</v>
      </c>
      <c r="BK174" s="41">
        <v>11377.654201381329</v>
      </c>
      <c r="BL174" s="41">
        <v>11414.202689466392</v>
      </c>
      <c r="BM174" s="41">
        <v>10401.794013799357</v>
      </c>
    </row>
    <row r="175" spans="1:65" x14ac:dyDescent="0.35">
      <c r="A175" s="41" t="s">
        <v>443</v>
      </c>
      <c r="B175" s="41" t="s">
        <v>444</v>
      </c>
      <c r="C175" s="41" t="s">
        <v>659</v>
      </c>
      <c r="D175" s="41" t="s">
        <v>660</v>
      </c>
      <c r="E175" s="41">
        <v>2939.4483351073113</v>
      </c>
      <c r="F175" s="41">
        <v>2991.5928965540593</v>
      </c>
      <c r="G175" s="41">
        <v>3155.097537789648</v>
      </c>
      <c r="H175" s="41">
        <v>3283.1414530138754</v>
      </c>
      <c r="I175" s="41">
        <v>3480.4269445668738</v>
      </c>
      <c r="J175" s="41">
        <v>3729.9697036069992</v>
      </c>
      <c r="K175" s="41">
        <v>4044.2472152573278</v>
      </c>
      <c r="L175" s="41">
        <v>4231.8673508310803</v>
      </c>
      <c r="M175" s="41">
        <v>4579.9822599237732</v>
      </c>
      <c r="N175" s="41">
        <v>4912.4875945177182</v>
      </c>
      <c r="O175" s="41">
        <v>5129.0918439618526</v>
      </c>
      <c r="P175" s="41">
        <v>5504.8158184363765</v>
      </c>
      <c r="Q175" s="41">
        <v>5997.4856317577969</v>
      </c>
      <c r="R175" s="41">
        <v>6640.8059878230424</v>
      </c>
      <c r="S175" s="41">
        <v>7206.8167966800384</v>
      </c>
      <c r="T175" s="41">
        <v>7773.0846894499427</v>
      </c>
      <c r="U175" s="41">
        <v>8613.0289892459568</v>
      </c>
      <c r="V175" s="41">
        <v>9400.4658374196988</v>
      </c>
      <c r="W175" s="41">
        <v>10424.529083988396</v>
      </c>
      <c r="X175" s="41">
        <v>11515.460034872274</v>
      </c>
      <c r="Y175" s="41">
        <v>12437.776504638237</v>
      </c>
      <c r="Z175" s="41">
        <v>13816.083318143383</v>
      </c>
      <c r="AA175" s="41">
        <v>14242.845458450382</v>
      </c>
      <c r="AB175" s="41">
        <v>15336.6302303339</v>
      </c>
      <c r="AC175" s="41">
        <v>16803.68988066465</v>
      </c>
      <c r="AD175" s="41">
        <v>17833.072741268701</v>
      </c>
      <c r="AE175" s="41">
        <v>18619.663293275033</v>
      </c>
      <c r="AF175" s="41">
        <v>19672.459436974554</v>
      </c>
      <c r="AG175" s="41">
        <v>21172.753394983709</v>
      </c>
      <c r="AH175" s="41">
        <v>22644.656500721856</v>
      </c>
      <c r="AI175" s="41">
        <v>23645.614314815881</v>
      </c>
      <c r="AJ175" s="41">
        <v>24086.216451796958</v>
      </c>
      <c r="AK175" s="41">
        <v>24967.706320187506</v>
      </c>
      <c r="AL175" s="41">
        <v>25765.541553378804</v>
      </c>
      <c r="AM175" s="41">
        <v>26925.461511744084</v>
      </c>
      <c r="AN175" s="41">
        <v>27891.387442918145</v>
      </c>
      <c r="AO175" s="41">
        <v>29105.320862510347</v>
      </c>
      <c r="AP175" s="41">
        <v>30518.039618032755</v>
      </c>
      <c r="AQ175" s="41">
        <v>31691.917776121605</v>
      </c>
      <c r="AR175" s="41">
        <v>33319.273561934708</v>
      </c>
      <c r="AS175" s="41">
        <v>35155.795637666663</v>
      </c>
      <c r="AT175" s="41">
        <v>35831.036472957632</v>
      </c>
      <c r="AU175" s="41">
        <v>36674.728780459089</v>
      </c>
      <c r="AV175" s="41">
        <v>38400.820555288316</v>
      </c>
      <c r="AW175" s="41">
        <v>40777.428671989321</v>
      </c>
      <c r="AX175" s="41">
        <v>43360.446533483613</v>
      </c>
      <c r="AY175" s="41">
        <v>45738.085491886806</v>
      </c>
      <c r="AZ175" s="41">
        <v>47660.548332562685</v>
      </c>
      <c r="BA175" s="41">
        <v>48229.126206776389</v>
      </c>
      <c r="BB175" s="41">
        <v>46495.718742588586</v>
      </c>
      <c r="BC175" s="41">
        <v>48387.210931025467</v>
      </c>
      <c r="BD175" s="41">
        <v>50123.853581137824</v>
      </c>
      <c r="BE175" s="41">
        <v>51717.787007798099</v>
      </c>
      <c r="BF175" s="41">
        <v>53068.032546246592</v>
      </c>
      <c r="BG175" s="41">
        <v>54648.019342070074</v>
      </c>
      <c r="BH175" s="41">
        <v>55542.966072881754</v>
      </c>
      <c r="BI175" s="41">
        <v>56451.517500590111</v>
      </c>
      <c r="BJ175" s="41">
        <v>58605.34429192463</v>
      </c>
      <c r="BK175" s="41">
        <v>61381.719845152344</v>
      </c>
      <c r="BL175" s="41">
        <v>63341.783638380803</v>
      </c>
      <c r="BM175" s="41">
        <v>61453.134059187447</v>
      </c>
    </row>
    <row r="176" spans="1:65" x14ac:dyDescent="0.35">
      <c r="A176" s="41" t="s">
        <v>445</v>
      </c>
      <c r="B176" s="41" t="s">
        <v>446</v>
      </c>
      <c r="C176" s="41" t="s">
        <v>659</v>
      </c>
      <c r="D176" s="41" t="s">
        <v>660</v>
      </c>
      <c r="Y176" s="41">
        <v>2289.9152940652507</v>
      </c>
      <c r="Z176" s="41">
        <v>2081.3911066146679</v>
      </c>
      <c r="AA176" s="41">
        <v>1917.2343834404851</v>
      </c>
      <c r="AB176" s="41">
        <v>2030.1802432385418</v>
      </c>
      <c r="AC176" s="41">
        <v>1678.7919090064727</v>
      </c>
      <c r="AD176" s="41">
        <v>1342.2531841325369</v>
      </c>
      <c r="AE176" s="41">
        <v>1459.0211341763049</v>
      </c>
      <c r="AF176" s="41">
        <v>1787.4670865667301</v>
      </c>
      <c r="AG176" s="41">
        <v>1866.7980707276922</v>
      </c>
      <c r="AH176" s="41">
        <v>1829.0717501436261</v>
      </c>
      <c r="AI176" s="41">
        <v>1947.0629108948121</v>
      </c>
      <c r="AJ176" s="41">
        <v>2029.8615578769707</v>
      </c>
      <c r="AK176" s="41">
        <v>2260.8103481684288</v>
      </c>
      <c r="AL176" s="41">
        <v>2090.6917896789864</v>
      </c>
      <c r="AM176" s="41">
        <v>2303.3305551326175</v>
      </c>
      <c r="AN176" s="41">
        <v>2443.9958493379704</v>
      </c>
      <c r="AO176" s="41">
        <v>2398.2574438976844</v>
      </c>
      <c r="AP176" s="41">
        <v>2446.9285772528247</v>
      </c>
      <c r="AQ176" s="41">
        <v>2236.6714994577151</v>
      </c>
      <c r="AR176" s="41">
        <v>2193.2236149386317</v>
      </c>
      <c r="AS176" s="41">
        <v>2185.6041122851657</v>
      </c>
      <c r="AT176" s="41">
        <v>1950.6485357235881</v>
      </c>
      <c r="AU176" s="41">
        <v>1808.884900540733</v>
      </c>
      <c r="AV176" s="41">
        <v>2621.7003916696635</v>
      </c>
      <c r="AW176" s="41">
        <v>3464.4182224174679</v>
      </c>
      <c r="AX176" s="41">
        <v>3739.5317179479016</v>
      </c>
      <c r="AY176" s="41">
        <v>4059.1013490626888</v>
      </c>
      <c r="AZ176" s="41">
        <v>4405.4103969404123</v>
      </c>
      <c r="BA176" s="41">
        <v>4212.3671945980996</v>
      </c>
      <c r="BB176" s="41">
        <v>4295.3871437954012</v>
      </c>
      <c r="BC176" s="41">
        <v>5394.996711374748</v>
      </c>
      <c r="BD176" s="41">
        <v>5806.748245195874</v>
      </c>
      <c r="BE176" s="41">
        <v>5942.2927396996756</v>
      </c>
      <c r="BF176" s="41">
        <v>5392.0949401595917</v>
      </c>
      <c r="BG176" s="41">
        <v>5469.9014014394606</v>
      </c>
      <c r="BH176" s="41">
        <v>4896.6152595670246</v>
      </c>
      <c r="BI176" s="41">
        <v>4546.9866873743367</v>
      </c>
      <c r="BJ176" s="41">
        <v>5367.1146731494428</v>
      </c>
      <c r="BK176" s="41">
        <v>5587.9856126643226</v>
      </c>
      <c r="BL176" s="41">
        <v>5037.3426291926335</v>
      </c>
      <c r="BM176" s="41">
        <v>4211.0509291339531</v>
      </c>
    </row>
    <row r="177" spans="1:65" x14ac:dyDescent="0.35">
      <c r="A177" s="41" t="s">
        <v>447</v>
      </c>
      <c r="B177" s="41" t="s">
        <v>448</v>
      </c>
      <c r="C177" s="41" t="s">
        <v>659</v>
      </c>
      <c r="D177" s="41" t="s">
        <v>660</v>
      </c>
      <c r="J177" s="41">
        <v>1763.4750668376582</v>
      </c>
      <c r="K177" s="41">
        <v>1756.2196530660387</v>
      </c>
      <c r="L177" s="41">
        <v>1865.66599868404</v>
      </c>
      <c r="M177" s="41">
        <v>2165.9011460729416</v>
      </c>
      <c r="N177" s="41">
        <v>2529.8926397758073</v>
      </c>
      <c r="O177" s="41">
        <v>3203.7114455644164</v>
      </c>
      <c r="P177" s="41">
        <v>3446.9527939174773</v>
      </c>
      <c r="Q177" s="41">
        <v>4031.0160387404571</v>
      </c>
      <c r="R177" s="41">
        <v>4220.1935004858333</v>
      </c>
      <c r="S177" s="41">
        <v>4865.6503748892319</v>
      </c>
      <c r="T177" s="41">
        <v>6163.3801194824873</v>
      </c>
      <c r="U177" s="41">
        <v>5957.5411167718921</v>
      </c>
      <c r="V177" s="41">
        <v>6158.9467392186516</v>
      </c>
      <c r="W177" s="41">
        <v>6152.7825288756057</v>
      </c>
      <c r="X177" s="41">
        <v>7561.192276125149</v>
      </c>
      <c r="Y177" s="41">
        <v>8443.1070518134911</v>
      </c>
      <c r="Z177" s="41">
        <v>6817.8325287790058</v>
      </c>
      <c r="AA177" s="41">
        <v>6208.7826341610726</v>
      </c>
      <c r="AB177" s="41">
        <v>5540.2349727673927</v>
      </c>
      <c r="AC177" s="41">
        <v>5249.0536002063955</v>
      </c>
      <c r="AD177" s="41">
        <v>5534.631412904997</v>
      </c>
      <c r="AE177" s="41">
        <v>7634.3344002315871</v>
      </c>
      <c r="AF177" s="41">
        <v>9271.7354036501038</v>
      </c>
      <c r="AG177" s="41">
        <v>12665.663228339674</v>
      </c>
      <c r="AH177" s="41">
        <v>13092.264726550593</v>
      </c>
      <c r="AI177" s="41">
        <v>14800.028694352122</v>
      </c>
      <c r="AJ177" s="41">
        <v>15133.16223845579</v>
      </c>
      <c r="AK177" s="41">
        <v>16261.296928220821</v>
      </c>
      <c r="AL177" s="41">
        <v>16640.802353679781</v>
      </c>
      <c r="AM177" s="41">
        <v>16037.025242709098</v>
      </c>
      <c r="AN177" s="41">
        <v>18721.05643842616</v>
      </c>
      <c r="AO177" s="41">
        <v>18257.215048930055</v>
      </c>
      <c r="AP177" s="41">
        <v>16341.587348555802</v>
      </c>
      <c r="AQ177" s="41">
        <v>15387.86958364505</v>
      </c>
      <c r="AR177" s="41">
        <v>14611.832803213259</v>
      </c>
      <c r="AS177" s="41">
        <v>12579.595105586448</v>
      </c>
    </row>
    <row r="178" spans="1:65" x14ac:dyDescent="0.35">
      <c r="A178" s="41" t="s">
        <v>449</v>
      </c>
      <c r="B178" s="41" t="s">
        <v>450</v>
      </c>
      <c r="C178" s="41" t="s">
        <v>659</v>
      </c>
      <c r="D178" s="41" t="s">
        <v>660</v>
      </c>
      <c r="E178" s="41">
        <v>132.65177098428109</v>
      </c>
      <c r="F178" s="41">
        <v>139.34032339536498</v>
      </c>
      <c r="G178" s="41">
        <v>148.18915991658773</v>
      </c>
      <c r="H178" s="41">
        <v>158.71606449228037</v>
      </c>
      <c r="I178" s="41">
        <v>153.25971700529109</v>
      </c>
      <c r="J178" s="41">
        <v>172.03967898739464</v>
      </c>
      <c r="K178" s="41">
        <v>174.35491295025952</v>
      </c>
      <c r="L178" s="41">
        <v>160.59183086191015</v>
      </c>
      <c r="M178" s="41">
        <v>150.38121230297637</v>
      </c>
      <c r="N178" s="41">
        <v>142.69918493305596</v>
      </c>
      <c r="O178" s="41">
        <v>144.08509387070328</v>
      </c>
      <c r="P178" s="41">
        <v>149.54204139578206</v>
      </c>
      <c r="Q178" s="41">
        <v>155.77699047203362</v>
      </c>
      <c r="R178" s="41">
        <v>193.05505542606053</v>
      </c>
      <c r="S178" s="41">
        <v>203.56649585538855</v>
      </c>
      <c r="T178" s="41">
        <v>202.25710099061382</v>
      </c>
      <c r="U178" s="41">
        <v>199.53158639901599</v>
      </c>
      <c r="V178" s="41">
        <v>235.18863837557956</v>
      </c>
      <c r="W178" s="41">
        <v>313.89944639859635</v>
      </c>
      <c r="X178" s="41">
        <v>362.4959638309212</v>
      </c>
      <c r="Y178" s="41">
        <v>418.85526572608484</v>
      </c>
      <c r="Z178" s="41">
        <v>352.20552016480531</v>
      </c>
      <c r="AA178" s="41">
        <v>318.05823057567392</v>
      </c>
      <c r="AB178" s="41">
        <v>276.1827998550645</v>
      </c>
      <c r="AC178" s="41">
        <v>217.46923604181711</v>
      </c>
      <c r="AD178" s="41">
        <v>208.29710577487441</v>
      </c>
      <c r="AE178" s="41">
        <v>267.47124307996688</v>
      </c>
      <c r="AF178" s="41">
        <v>304.68357643626422</v>
      </c>
      <c r="AG178" s="41">
        <v>302.09681222790442</v>
      </c>
      <c r="AH178" s="41">
        <v>280.14129991092716</v>
      </c>
      <c r="AI178" s="41">
        <v>437.5899949916224</v>
      </c>
      <c r="AJ178" s="41">
        <v>396.41699175198721</v>
      </c>
      <c r="AK178" s="41">
        <v>395.27516277346672</v>
      </c>
      <c r="AL178" s="41">
        <v>344.53400634971786</v>
      </c>
      <c r="AM178" s="41">
        <v>211.38649248685982</v>
      </c>
      <c r="AN178" s="41">
        <v>242.62039672135271</v>
      </c>
      <c r="AO178" s="41">
        <v>244.8137790413729</v>
      </c>
      <c r="AP178" s="41">
        <v>225.0220766366233</v>
      </c>
      <c r="AQ178" s="41">
        <v>250.65746169788667</v>
      </c>
      <c r="AR178" s="41">
        <v>232.18738639995314</v>
      </c>
      <c r="AS178" s="41">
        <v>197.83268344164324</v>
      </c>
      <c r="AT178" s="41">
        <v>208.37705993637962</v>
      </c>
      <c r="AU178" s="41">
        <v>228.23590859627777</v>
      </c>
      <c r="AV178" s="41">
        <v>268.34989299645474</v>
      </c>
      <c r="AW178" s="41">
        <v>286.49006581406519</v>
      </c>
      <c r="AX178" s="41">
        <v>321.72366118434775</v>
      </c>
      <c r="AY178" s="41">
        <v>336.28195027779896</v>
      </c>
      <c r="AZ178" s="41">
        <v>390.28448024548157</v>
      </c>
      <c r="BA178" s="41">
        <v>478.50255895243691</v>
      </c>
      <c r="BB178" s="41">
        <v>464.05799897091708</v>
      </c>
      <c r="BC178" s="41">
        <v>476.86953216730393</v>
      </c>
      <c r="BD178" s="41">
        <v>512.59533501286148</v>
      </c>
      <c r="BE178" s="41">
        <v>529.74445814169371</v>
      </c>
      <c r="BF178" s="41">
        <v>552.56913896341723</v>
      </c>
      <c r="BG178" s="41">
        <v>564.5967488020184</v>
      </c>
      <c r="BH178" s="41">
        <v>484.23863260929613</v>
      </c>
      <c r="BI178" s="41">
        <v>498.10533793485502</v>
      </c>
      <c r="BJ178" s="41">
        <v>517.97704417666557</v>
      </c>
      <c r="BK178" s="41">
        <v>572.43013846362783</v>
      </c>
      <c r="BL178" s="41">
        <v>553.89495533582613</v>
      </c>
      <c r="BM178" s="41">
        <v>565.06133311837993</v>
      </c>
    </row>
    <row r="179" spans="1:65" x14ac:dyDescent="0.35">
      <c r="A179" s="41" t="s">
        <v>451</v>
      </c>
      <c r="B179" s="41" t="s">
        <v>452</v>
      </c>
      <c r="C179" s="41" t="s">
        <v>659</v>
      </c>
      <c r="D179" s="41" t="s">
        <v>660</v>
      </c>
      <c r="E179" s="41">
        <v>92.960465601946467</v>
      </c>
      <c r="F179" s="41">
        <v>96.979029979510472</v>
      </c>
      <c r="G179" s="41">
        <v>104.38702854306008</v>
      </c>
      <c r="H179" s="41">
        <v>107.54057258507133</v>
      </c>
      <c r="I179" s="41">
        <v>113.16871660596492</v>
      </c>
      <c r="J179" s="41">
        <v>117.18863482765232</v>
      </c>
      <c r="K179" s="41">
        <v>124.30779252778878</v>
      </c>
      <c r="L179" s="41">
        <v>99.406078760403886</v>
      </c>
      <c r="M179" s="41">
        <v>97.201742692970456</v>
      </c>
      <c r="N179" s="41">
        <v>121.24537296755342</v>
      </c>
      <c r="O179" s="41">
        <v>224.10448465902465</v>
      </c>
      <c r="P179" s="41">
        <v>160.24873613783024</v>
      </c>
      <c r="Q179" s="41">
        <v>209.2260447800758</v>
      </c>
      <c r="R179" s="41">
        <v>252.23269394853003</v>
      </c>
      <c r="S179" s="41">
        <v>402.84991232045735</v>
      </c>
      <c r="T179" s="41">
        <v>438.33130222095804</v>
      </c>
      <c r="U179" s="41">
        <v>556.70217044523031</v>
      </c>
      <c r="V179" s="41">
        <v>536.21617892585016</v>
      </c>
      <c r="W179" s="41">
        <v>527.31128060648064</v>
      </c>
      <c r="X179" s="41">
        <v>662.26396091779316</v>
      </c>
      <c r="Y179" s="41">
        <v>874.40207099774591</v>
      </c>
      <c r="Z179" s="41">
        <v>2180.1976208296869</v>
      </c>
      <c r="AA179" s="41">
        <v>1843.9093526319555</v>
      </c>
      <c r="AB179" s="41">
        <v>1222.6293041459946</v>
      </c>
      <c r="AC179" s="41">
        <v>902.21584991284362</v>
      </c>
      <c r="AD179" s="41">
        <v>882.52000096669315</v>
      </c>
      <c r="AE179" s="41">
        <v>639.01312328842153</v>
      </c>
      <c r="AF179" s="41">
        <v>598.26486213086173</v>
      </c>
      <c r="AG179" s="41">
        <v>549.23743295303859</v>
      </c>
      <c r="AH179" s="41">
        <v>474.23204092432314</v>
      </c>
      <c r="AI179" s="41">
        <v>567.52864901572173</v>
      </c>
      <c r="AJ179" s="41">
        <v>502.91413891893927</v>
      </c>
      <c r="AK179" s="41">
        <v>477.17762375573511</v>
      </c>
      <c r="AL179" s="41">
        <v>270.22396671751994</v>
      </c>
      <c r="AM179" s="41">
        <v>321.32067413755573</v>
      </c>
      <c r="AN179" s="41">
        <v>408.18104482525251</v>
      </c>
      <c r="AO179" s="41">
        <v>461.51961959300104</v>
      </c>
      <c r="AP179" s="41">
        <v>479.98376410644255</v>
      </c>
      <c r="AQ179" s="41">
        <v>469.43054868657026</v>
      </c>
      <c r="AR179" s="41">
        <v>497.84157390886327</v>
      </c>
      <c r="AS179" s="41">
        <v>567.93072207647288</v>
      </c>
      <c r="AT179" s="41">
        <v>590.38181503490671</v>
      </c>
      <c r="AU179" s="41">
        <v>741.74749387633892</v>
      </c>
      <c r="AV179" s="41">
        <v>795.38622865240848</v>
      </c>
      <c r="AW179" s="41">
        <v>1007.8743424121573</v>
      </c>
      <c r="AX179" s="41">
        <v>1268.3834615847943</v>
      </c>
      <c r="AY179" s="41">
        <v>1656.4247935432877</v>
      </c>
      <c r="AZ179" s="41">
        <v>1883.4613884720181</v>
      </c>
      <c r="BA179" s="41">
        <v>2242.8719004625937</v>
      </c>
      <c r="BB179" s="41">
        <v>1891.3352969309692</v>
      </c>
      <c r="BC179" s="41">
        <v>2280.4373373812596</v>
      </c>
      <c r="BD179" s="41">
        <v>2487.5980168037877</v>
      </c>
      <c r="BE179" s="41">
        <v>2723.8221909385916</v>
      </c>
      <c r="BF179" s="41">
        <v>2961.5494217594737</v>
      </c>
      <c r="BG179" s="41">
        <v>3098.9857906393822</v>
      </c>
      <c r="BH179" s="41">
        <v>2687.4800564321158</v>
      </c>
      <c r="BI179" s="41">
        <v>2176.0027720151456</v>
      </c>
      <c r="BJ179" s="41">
        <v>1968.565398474444</v>
      </c>
      <c r="BK179" s="41">
        <v>2027.7785486384198</v>
      </c>
      <c r="BL179" s="41">
        <v>2229.8586518612988</v>
      </c>
      <c r="BM179" s="41">
        <v>2097.0924728902164</v>
      </c>
    </row>
    <row r="180" spans="1:65" x14ac:dyDescent="0.35">
      <c r="A180" s="41" t="s">
        <v>453</v>
      </c>
      <c r="B180" s="41" t="s">
        <v>454</v>
      </c>
      <c r="C180" s="41" t="s">
        <v>659</v>
      </c>
      <c r="D180" s="41" t="s">
        <v>660</v>
      </c>
      <c r="E180" s="41">
        <v>126.24816802509154</v>
      </c>
      <c r="F180" s="41">
        <v>131.45065255593124</v>
      </c>
      <c r="G180" s="41">
        <v>140.5573456478117</v>
      </c>
      <c r="H180" s="41">
        <v>150.50365892328651</v>
      </c>
      <c r="I180" s="41">
        <v>170.43484097864157</v>
      </c>
      <c r="J180" s="41">
        <v>273.90670295779586</v>
      </c>
      <c r="K180" s="41">
        <v>284.55869000217172</v>
      </c>
      <c r="L180" s="41">
        <v>299.08093545327421</v>
      </c>
      <c r="M180" s="41">
        <v>307.2917569187328</v>
      </c>
      <c r="N180" s="41">
        <v>320.4285036194932</v>
      </c>
      <c r="O180" s="41">
        <v>322.70029460405266</v>
      </c>
      <c r="P180" s="41">
        <v>333.11426400946721</v>
      </c>
      <c r="Q180" s="41">
        <v>344.25339774277563</v>
      </c>
      <c r="R180" s="41">
        <v>414.43584186752645</v>
      </c>
      <c r="S180" s="41">
        <v>558.86328524546479</v>
      </c>
      <c r="T180" s="41">
        <v>566.62216471965894</v>
      </c>
      <c r="U180" s="41">
        <v>638.30481373856276</v>
      </c>
      <c r="V180" s="41">
        <v>750.25023131001672</v>
      </c>
      <c r="W180" s="41">
        <v>695.97964423530323</v>
      </c>
      <c r="X180" s="41">
        <v>481.75906810724177</v>
      </c>
      <c r="Y180" s="41">
        <v>670.44371724145492</v>
      </c>
      <c r="Z180" s="41">
        <v>728.62697756523369</v>
      </c>
      <c r="AA180" s="41">
        <v>713.47992497404653</v>
      </c>
      <c r="AB180" s="41">
        <v>772.83523196207602</v>
      </c>
      <c r="AC180" s="41">
        <v>852.46660600579889</v>
      </c>
      <c r="AD180" s="41">
        <v>718.68499727815515</v>
      </c>
      <c r="AE180" s="41">
        <v>754.80256869975346</v>
      </c>
      <c r="AF180" s="41">
        <v>985.04778090810976</v>
      </c>
      <c r="AG180" s="41">
        <v>658.46206142727726</v>
      </c>
      <c r="AH180" s="41">
        <v>248.14968601370663</v>
      </c>
      <c r="AI180" s="41">
        <v>241.87641208524099</v>
      </c>
      <c r="AJ180" s="41">
        <v>348.86460531668854</v>
      </c>
      <c r="AK180" s="41">
        <v>410.76738440981057</v>
      </c>
      <c r="AL180" s="41">
        <v>393.60354572105228</v>
      </c>
      <c r="AM180" s="41">
        <v>847.37368837699842</v>
      </c>
      <c r="AN180" s="41">
        <v>890.00544905243453</v>
      </c>
      <c r="AO180" s="41">
        <v>908.63384789260999</v>
      </c>
      <c r="AP180" s="41">
        <v>909.33649213870967</v>
      </c>
      <c r="AQ180" s="41">
        <v>943.92285669408386</v>
      </c>
      <c r="AR180" s="41">
        <v>972.88679349307529</v>
      </c>
      <c r="AS180" s="41">
        <v>1007.4998386550041</v>
      </c>
      <c r="AT180" s="41">
        <v>1034.5513868501798</v>
      </c>
      <c r="AU180" s="41">
        <v>1000.9367147055557</v>
      </c>
      <c r="AV180" s="41">
        <v>1005.7330435652774</v>
      </c>
      <c r="AW180" s="41">
        <v>1080.2691190090688</v>
      </c>
      <c r="AX180" s="41">
        <v>1162.2896851342814</v>
      </c>
      <c r="AY180" s="41">
        <v>1226.6339871134801</v>
      </c>
      <c r="AZ180" s="41">
        <v>1327.9570855649813</v>
      </c>
      <c r="BA180" s="41">
        <v>1499.2667282690306</v>
      </c>
      <c r="BB180" s="41">
        <v>1444.3695104883693</v>
      </c>
      <c r="BC180" s="41">
        <v>1503.8722307499229</v>
      </c>
      <c r="BD180" s="41">
        <v>1655.8180547325258</v>
      </c>
      <c r="BE180" s="41">
        <v>1760.4674070904312</v>
      </c>
      <c r="BF180" s="41">
        <v>1811.6368027036283</v>
      </c>
      <c r="BG180" s="41">
        <v>1934.0629222722521</v>
      </c>
      <c r="BH180" s="41">
        <v>2049.8516660809028</v>
      </c>
      <c r="BI180" s="41">
        <v>2107.5740596602045</v>
      </c>
      <c r="BJ180" s="41">
        <v>2159.161925546563</v>
      </c>
      <c r="BK180" s="41">
        <v>2014.5702870045541</v>
      </c>
      <c r="BL180" s="41">
        <v>1926.6996939827582</v>
      </c>
      <c r="BM180" s="41">
        <v>1905.2567559759916</v>
      </c>
    </row>
    <row r="181" spans="1:65" x14ac:dyDescent="0.35">
      <c r="A181" s="41" t="s">
        <v>455</v>
      </c>
      <c r="B181" s="41" t="s">
        <v>456</v>
      </c>
      <c r="C181" s="41" t="s">
        <v>659</v>
      </c>
      <c r="D181" s="41" t="s">
        <v>660</v>
      </c>
      <c r="E181" s="41">
        <v>1068.7845872373507</v>
      </c>
      <c r="F181" s="41">
        <v>1159.3923571607356</v>
      </c>
      <c r="G181" s="41">
        <v>1240.6778943729407</v>
      </c>
      <c r="H181" s="41">
        <v>1328.0366487996835</v>
      </c>
      <c r="I181" s="41">
        <v>1541.9473651902895</v>
      </c>
      <c r="J181" s="41">
        <v>1708.096356488621</v>
      </c>
      <c r="K181" s="41">
        <v>1835.8014235103449</v>
      </c>
      <c r="L181" s="41">
        <v>1991.3606856504159</v>
      </c>
      <c r="M181" s="41">
        <v>2185.248658886575</v>
      </c>
      <c r="N181" s="41">
        <v>2642.9561183009346</v>
      </c>
      <c r="O181" s="41">
        <v>2927.072939461752</v>
      </c>
      <c r="P181" s="41">
        <v>3378.6147972914418</v>
      </c>
      <c r="Q181" s="41">
        <v>4104.4510297889492</v>
      </c>
      <c r="R181" s="41">
        <v>5345.575443775866</v>
      </c>
      <c r="S181" s="41">
        <v>6440.9784200626809</v>
      </c>
      <c r="T181" s="41">
        <v>7335.5089973343038</v>
      </c>
      <c r="U181" s="41">
        <v>7925.6880622655035</v>
      </c>
      <c r="V181" s="41">
        <v>9166.8081952430748</v>
      </c>
      <c r="W181" s="41">
        <v>11179.389562056513</v>
      </c>
      <c r="X181" s="41">
        <v>12798.543245744078</v>
      </c>
      <c r="Y181" s="41">
        <v>13791.862263945841</v>
      </c>
      <c r="Z181" s="41">
        <v>11520.447871630642</v>
      </c>
      <c r="AA181" s="41">
        <v>11072.658454557301</v>
      </c>
      <c r="AB181" s="41">
        <v>10680.359042392252</v>
      </c>
      <c r="AC181" s="41">
        <v>9977.1602168293048</v>
      </c>
      <c r="AD181" s="41">
        <v>9926.1299705666042</v>
      </c>
      <c r="AE181" s="41">
        <v>13783.850109136376</v>
      </c>
      <c r="AF181" s="41">
        <v>16709.55967738379</v>
      </c>
      <c r="AG181" s="41">
        <v>17744.501384468407</v>
      </c>
      <c r="AH181" s="41">
        <v>17397.691682559482</v>
      </c>
      <c r="AI181" s="41">
        <v>21290.860382704483</v>
      </c>
      <c r="AJ181" s="41">
        <v>21732.230762192346</v>
      </c>
      <c r="AK181" s="41">
        <v>23904.03741505797</v>
      </c>
      <c r="AL181" s="41">
        <v>23122.410766864487</v>
      </c>
      <c r="AM181" s="41">
        <v>24646.314309626927</v>
      </c>
      <c r="AN181" s="41">
        <v>29258.134348621083</v>
      </c>
      <c r="AO181" s="41">
        <v>29006.809445417097</v>
      </c>
      <c r="AP181" s="41">
        <v>26700.537133592628</v>
      </c>
      <c r="AQ181" s="41">
        <v>27885.808382346455</v>
      </c>
      <c r="AR181" s="41">
        <v>28263.096710680187</v>
      </c>
      <c r="AS181" s="41">
        <v>26149.411078290024</v>
      </c>
      <c r="AT181" s="41">
        <v>26873.275933511402</v>
      </c>
      <c r="AU181" s="41">
        <v>29204.039831025359</v>
      </c>
      <c r="AV181" s="41">
        <v>35672.206597845347</v>
      </c>
      <c r="AW181" s="41">
        <v>40362.394782268537</v>
      </c>
      <c r="AX181" s="41">
        <v>41979.055845788062</v>
      </c>
      <c r="AY181" s="41">
        <v>44863.350631428657</v>
      </c>
      <c r="AZ181" s="41">
        <v>51733.442131796495</v>
      </c>
      <c r="BA181" s="41">
        <v>57644.479974935253</v>
      </c>
      <c r="BB181" s="41">
        <v>52514.02711653227</v>
      </c>
      <c r="BC181" s="41">
        <v>50950.034343518055</v>
      </c>
      <c r="BD181" s="41">
        <v>54159.346612614172</v>
      </c>
      <c r="BE181" s="41">
        <v>50073.005655930843</v>
      </c>
      <c r="BF181" s="41">
        <v>52184.061850493061</v>
      </c>
      <c r="BG181" s="41">
        <v>52830.174232805475</v>
      </c>
      <c r="BH181" s="41">
        <v>45175.231893379838</v>
      </c>
      <c r="BI181" s="41">
        <v>46007.852920654703</v>
      </c>
      <c r="BJ181" s="41">
        <v>48554.992276175639</v>
      </c>
      <c r="BK181" s="41">
        <v>53018.629356269579</v>
      </c>
      <c r="BL181" s="41">
        <v>52295.039049871251</v>
      </c>
      <c r="BM181" s="41">
        <v>52304.057385189612</v>
      </c>
    </row>
    <row r="182" spans="1:65" x14ac:dyDescent="0.35">
      <c r="A182" s="41" t="s">
        <v>457</v>
      </c>
      <c r="B182" s="41" t="s">
        <v>458</v>
      </c>
      <c r="C182" s="41" t="s">
        <v>659</v>
      </c>
      <c r="D182" s="41" t="s">
        <v>660</v>
      </c>
      <c r="E182" s="41">
        <v>1441.755660026327</v>
      </c>
      <c r="F182" s="41">
        <v>1560.3249311722964</v>
      </c>
      <c r="G182" s="41">
        <v>1667.2474297782023</v>
      </c>
      <c r="H182" s="41">
        <v>1775.5826554497855</v>
      </c>
      <c r="I182" s="41">
        <v>1937.8846138592774</v>
      </c>
      <c r="J182" s="41">
        <v>2164.4688233673587</v>
      </c>
      <c r="K182" s="41">
        <v>2317.1948838265644</v>
      </c>
      <c r="L182" s="41">
        <v>2514.0437721470475</v>
      </c>
      <c r="M182" s="41">
        <v>2662.1174915311713</v>
      </c>
      <c r="N182" s="41">
        <v>2875.2358439685754</v>
      </c>
      <c r="O182" s="41">
        <v>3306.2194760776933</v>
      </c>
      <c r="P182" s="41">
        <v>3736.3487374999136</v>
      </c>
      <c r="Q182" s="41">
        <v>4413.5756916852824</v>
      </c>
      <c r="R182" s="41">
        <v>5689.5888066967027</v>
      </c>
      <c r="S182" s="41">
        <v>6811.527336532321</v>
      </c>
      <c r="T182" s="41">
        <v>8204.4515115297854</v>
      </c>
      <c r="U182" s="41">
        <v>8927.201627344768</v>
      </c>
      <c r="V182" s="41">
        <v>10266.120671869805</v>
      </c>
      <c r="W182" s="41">
        <v>11462.64159121824</v>
      </c>
      <c r="X182" s="41">
        <v>13046.537221065335</v>
      </c>
      <c r="Y182" s="41">
        <v>15772.240907381391</v>
      </c>
      <c r="Z182" s="41">
        <v>15512.506704357456</v>
      </c>
      <c r="AA182" s="41">
        <v>15224.893910098159</v>
      </c>
      <c r="AB182" s="41">
        <v>14927.517476633935</v>
      </c>
      <c r="AC182" s="41">
        <v>14989.485766590566</v>
      </c>
      <c r="AD182" s="41">
        <v>15753.552765212879</v>
      </c>
      <c r="AE182" s="41">
        <v>18883.265802711976</v>
      </c>
      <c r="AF182" s="41">
        <v>22505.897711705205</v>
      </c>
      <c r="AG182" s="41">
        <v>24207.281468963014</v>
      </c>
      <c r="AH182" s="41">
        <v>24281.096140537698</v>
      </c>
      <c r="AI182" s="41">
        <v>28242.943738532995</v>
      </c>
      <c r="AJ182" s="41">
        <v>28596.933003644372</v>
      </c>
      <c r="AK182" s="41">
        <v>30523.985055897447</v>
      </c>
      <c r="AL182" s="41">
        <v>27963.665218827118</v>
      </c>
      <c r="AM182" s="41">
        <v>29315.841907019938</v>
      </c>
      <c r="AN182" s="41">
        <v>34875.704334753587</v>
      </c>
      <c r="AO182" s="41">
        <v>37321.974199347263</v>
      </c>
      <c r="AP182" s="41">
        <v>36629.03090366214</v>
      </c>
      <c r="AQ182" s="41">
        <v>34788.359851881905</v>
      </c>
      <c r="AR182" s="41">
        <v>36371.050953557555</v>
      </c>
      <c r="AS182" s="41">
        <v>38131.460611624214</v>
      </c>
      <c r="AT182" s="41">
        <v>38542.715099708999</v>
      </c>
      <c r="AU182" s="41">
        <v>43084.472465071667</v>
      </c>
      <c r="AV182" s="41">
        <v>50134.890773494713</v>
      </c>
      <c r="AW182" s="41">
        <v>57603.836021826028</v>
      </c>
      <c r="AX182" s="41">
        <v>66810.478520867997</v>
      </c>
      <c r="AY182" s="41">
        <v>74148.320075718701</v>
      </c>
      <c r="AZ182" s="41">
        <v>85139.960446954487</v>
      </c>
      <c r="BA182" s="41">
        <v>96944.095606487303</v>
      </c>
      <c r="BB182" s="41">
        <v>79977.697081749226</v>
      </c>
      <c r="BC182" s="41">
        <v>87693.790065809881</v>
      </c>
      <c r="BD182" s="41">
        <v>100600.5624075892</v>
      </c>
      <c r="BE182" s="41">
        <v>101524.14185198475</v>
      </c>
      <c r="BF182" s="41">
        <v>102913.45084367356</v>
      </c>
      <c r="BG182" s="41">
        <v>97019.182752746216</v>
      </c>
      <c r="BH182" s="41">
        <v>74355.515857564344</v>
      </c>
      <c r="BI182" s="41">
        <v>70460.560532332165</v>
      </c>
      <c r="BJ182" s="41">
        <v>75496.754058199775</v>
      </c>
      <c r="BK182" s="41">
        <v>82267.809316158993</v>
      </c>
      <c r="BL182" s="41">
        <v>75826.081883417311</v>
      </c>
      <c r="BM182" s="41">
        <v>67294.476978669307</v>
      </c>
    </row>
    <row r="183" spans="1:65" x14ac:dyDescent="0.35">
      <c r="A183" s="41" t="s">
        <v>459</v>
      </c>
      <c r="B183" s="41" t="s">
        <v>460</v>
      </c>
      <c r="C183" s="41" t="s">
        <v>659</v>
      </c>
      <c r="D183" s="41" t="s">
        <v>660</v>
      </c>
      <c r="E183" s="41">
        <v>50.304937720813861</v>
      </c>
      <c r="F183" s="41">
        <v>51.811248728702708</v>
      </c>
      <c r="G183" s="41">
        <v>55.025688911924888</v>
      </c>
      <c r="H183" s="41">
        <v>46.861453257451274</v>
      </c>
      <c r="I183" s="41">
        <v>46.003403880898084</v>
      </c>
      <c r="J183" s="41">
        <v>67.007470969808594</v>
      </c>
      <c r="K183" s="41">
        <v>81.164422366701984</v>
      </c>
      <c r="L183" s="41">
        <v>73.967900758955082</v>
      </c>
      <c r="M183" s="41">
        <v>66.548940087185017</v>
      </c>
      <c r="N183" s="41">
        <v>66.638345786624726</v>
      </c>
      <c r="O183" s="41">
        <v>71.718591135227953</v>
      </c>
      <c r="P183" s="41">
        <v>71.629878098262566</v>
      </c>
      <c r="Q183" s="41">
        <v>81.386572998879899</v>
      </c>
      <c r="R183" s="41">
        <v>75.636960739061365</v>
      </c>
      <c r="S183" s="41">
        <v>92.752222328705443</v>
      </c>
      <c r="T183" s="41">
        <v>117.41774680747406</v>
      </c>
      <c r="U183" s="41">
        <v>105.89282331459886</v>
      </c>
      <c r="V183" s="41">
        <v>98.542007415599699</v>
      </c>
      <c r="W183" s="41">
        <v>111.80661376877828</v>
      </c>
      <c r="X183" s="41">
        <v>126.1333096271982</v>
      </c>
      <c r="Y183" s="41">
        <v>129.58602239186183</v>
      </c>
      <c r="Z183" s="41">
        <v>148.08026331010402</v>
      </c>
      <c r="AA183" s="41">
        <v>152.28966975542579</v>
      </c>
      <c r="AB183" s="41">
        <v>151.9925535414321</v>
      </c>
      <c r="AC183" s="41">
        <v>156.65053968160041</v>
      </c>
      <c r="AD183" s="41">
        <v>155.40781836829862</v>
      </c>
      <c r="AE183" s="41">
        <v>165.36182919071558</v>
      </c>
      <c r="AF183" s="41">
        <v>167.7999445600517</v>
      </c>
      <c r="AG183" s="41">
        <v>193.49964795350593</v>
      </c>
      <c r="AH183" s="41">
        <v>191.12085332803957</v>
      </c>
      <c r="AI183" s="41">
        <v>191.87888393525412</v>
      </c>
      <c r="AJ183" s="41">
        <v>202.08058913231733</v>
      </c>
      <c r="AK183" s="41">
        <v>170.58665123834189</v>
      </c>
      <c r="AL183" s="41">
        <v>178.62598777785928</v>
      </c>
      <c r="AM183" s="41">
        <v>193.27955094523676</v>
      </c>
      <c r="AN183" s="41">
        <v>203.98078064019816</v>
      </c>
      <c r="AO183" s="41">
        <v>204.68575518721431</v>
      </c>
      <c r="AP183" s="41">
        <v>217.78798194354837</v>
      </c>
      <c r="AQ183" s="41">
        <v>210.61156088280632</v>
      </c>
      <c r="AR183" s="41">
        <v>214.10670324118902</v>
      </c>
      <c r="AS183" s="41">
        <v>229.49039256322462</v>
      </c>
      <c r="AT183" s="41">
        <v>246.72555806418899</v>
      </c>
      <c r="AU183" s="41">
        <v>244.72084352423983</v>
      </c>
      <c r="AV183" s="41">
        <v>252.40235177317177</v>
      </c>
      <c r="AW183" s="41">
        <v>286.15767259074761</v>
      </c>
      <c r="AX183" s="41">
        <v>315.80562999736094</v>
      </c>
      <c r="AY183" s="41">
        <v>346.94533125318526</v>
      </c>
      <c r="AZ183" s="41">
        <v>391.38005718540893</v>
      </c>
      <c r="BA183" s="41">
        <v>470.45545904050761</v>
      </c>
      <c r="BB183" s="41">
        <v>478.17325276491511</v>
      </c>
      <c r="BC183" s="41">
        <v>592.40120710120107</v>
      </c>
      <c r="BD183" s="41">
        <v>799.58337687837854</v>
      </c>
      <c r="BE183" s="41">
        <v>804.1416073154038</v>
      </c>
      <c r="BF183" s="41">
        <v>823.35987460948866</v>
      </c>
      <c r="BG183" s="41">
        <v>844.8531248436168</v>
      </c>
      <c r="BH183" s="41">
        <v>901.74960771507062</v>
      </c>
      <c r="BI183" s="41">
        <v>899.52358101763423</v>
      </c>
      <c r="BJ183" s="41">
        <v>1048.453755344271</v>
      </c>
      <c r="BK183" s="41">
        <v>1178.5259324523706</v>
      </c>
      <c r="BL183" s="41">
        <v>1194.9568757257528</v>
      </c>
      <c r="BM183" s="41">
        <v>1155.1428544035789</v>
      </c>
    </row>
    <row r="184" spans="1:65" x14ac:dyDescent="0.35">
      <c r="A184" s="41" t="s">
        <v>461</v>
      </c>
      <c r="B184" s="41" t="s">
        <v>462</v>
      </c>
      <c r="C184" s="41" t="s">
        <v>659</v>
      </c>
      <c r="D184" s="41" t="s">
        <v>660</v>
      </c>
      <c r="BC184" s="41">
        <v>4752.1750815352243</v>
      </c>
      <c r="BD184" s="41">
        <v>6560.2748704255146</v>
      </c>
      <c r="BE184" s="41">
        <v>9562.6678655132437</v>
      </c>
      <c r="BF184" s="41">
        <v>9648.4956547999809</v>
      </c>
      <c r="BG184" s="41">
        <v>10171.480725887188</v>
      </c>
      <c r="BH184" s="41">
        <v>8365.0728901012444</v>
      </c>
      <c r="BI184" s="41">
        <v>9555.790429548555</v>
      </c>
      <c r="BJ184" s="41">
        <v>10360.777311577658</v>
      </c>
      <c r="BK184" s="41">
        <v>11614.665076831954</v>
      </c>
      <c r="BL184" s="41">
        <v>10983.224649242447</v>
      </c>
    </row>
    <row r="185" spans="1:65" x14ac:dyDescent="0.35">
      <c r="A185" s="41" t="s">
        <v>463</v>
      </c>
      <c r="B185" s="41" t="s">
        <v>464</v>
      </c>
      <c r="C185" s="41" t="s">
        <v>659</v>
      </c>
      <c r="D185" s="41" t="s">
        <v>660</v>
      </c>
      <c r="E185" s="41">
        <v>2312.9499923985854</v>
      </c>
      <c r="F185" s="41">
        <v>2343.2922131742489</v>
      </c>
      <c r="G185" s="41">
        <v>2448.6286332646832</v>
      </c>
      <c r="H185" s="41">
        <v>2622.2202714035971</v>
      </c>
      <c r="I185" s="41">
        <v>2813.5469756393927</v>
      </c>
      <c r="J185" s="41">
        <v>2151.2949269531509</v>
      </c>
      <c r="K185" s="41">
        <v>2191.3125419395928</v>
      </c>
      <c r="L185" s="41">
        <v>2188.3991386256102</v>
      </c>
      <c r="M185" s="41">
        <v>1885.1561517562504</v>
      </c>
      <c r="N185" s="41">
        <v>2077.8955430230139</v>
      </c>
      <c r="P185" s="41">
        <v>2772.9185969395958</v>
      </c>
      <c r="Q185" s="41">
        <v>3294.6489426830362</v>
      </c>
      <c r="R185" s="41">
        <v>4323.1965345865519</v>
      </c>
      <c r="S185" s="41">
        <v>4610.5704263401321</v>
      </c>
      <c r="T185" s="41">
        <v>4171.7697396747544</v>
      </c>
      <c r="U185" s="41">
        <v>4373.840997912308</v>
      </c>
      <c r="V185" s="41">
        <v>4950.5882053892747</v>
      </c>
      <c r="W185" s="41">
        <v>5936.9852603642285</v>
      </c>
      <c r="X185" s="41">
        <v>6668.1386662247023</v>
      </c>
      <c r="Y185" s="41">
        <v>7467.1680377380499</v>
      </c>
      <c r="Z185" s="41">
        <v>7813.8875433606745</v>
      </c>
      <c r="AA185" s="41">
        <v>7656.4757323896274</v>
      </c>
      <c r="AB185" s="41">
        <v>7598.3120387500639</v>
      </c>
      <c r="AC185" s="41">
        <v>6713.760131041543</v>
      </c>
      <c r="AD185" s="41">
        <v>7600.5652417293704</v>
      </c>
      <c r="AE185" s="41">
        <v>9427.5539403534785</v>
      </c>
      <c r="AF185" s="41">
        <v>12330.916830548311</v>
      </c>
      <c r="AG185" s="41">
        <v>13759.15562959216</v>
      </c>
      <c r="AH185" s="41">
        <v>13312.385585811266</v>
      </c>
      <c r="AI185" s="41">
        <v>13663.021618429788</v>
      </c>
      <c r="AJ185" s="41">
        <v>12230.073454883395</v>
      </c>
      <c r="AK185" s="41">
        <v>11793.139241621373</v>
      </c>
      <c r="AL185" s="41">
        <v>13094.345450263889</v>
      </c>
      <c r="AM185" s="41">
        <v>15280.312784292244</v>
      </c>
      <c r="AN185" s="41">
        <v>17400.420184817209</v>
      </c>
      <c r="AO185" s="41">
        <v>18794.436039393047</v>
      </c>
      <c r="AP185" s="41">
        <v>17474.187029723951</v>
      </c>
      <c r="AQ185" s="41">
        <v>14738.445570391819</v>
      </c>
      <c r="AR185" s="41">
        <v>15322.223834026689</v>
      </c>
      <c r="AS185" s="41">
        <v>13641.102718382228</v>
      </c>
      <c r="AT185" s="41">
        <v>13882.856826858602</v>
      </c>
      <c r="AU185" s="41">
        <v>16874.187491819564</v>
      </c>
      <c r="AV185" s="41">
        <v>21913.708171996081</v>
      </c>
      <c r="AW185" s="41">
        <v>25420.234882944005</v>
      </c>
      <c r="AX185" s="41">
        <v>27751.06547088586</v>
      </c>
      <c r="AY185" s="41">
        <v>26654.593201898522</v>
      </c>
      <c r="AZ185" s="41">
        <v>32479.981738146667</v>
      </c>
      <c r="BA185" s="41">
        <v>31252.962564067326</v>
      </c>
      <c r="BB185" s="41">
        <v>28209.362327122872</v>
      </c>
      <c r="BC185" s="41">
        <v>33676.774123992458</v>
      </c>
      <c r="BD185" s="41">
        <v>38387.627078407648</v>
      </c>
      <c r="BE185" s="41">
        <v>39973.380758722349</v>
      </c>
      <c r="BF185" s="41">
        <v>42976.649588258413</v>
      </c>
      <c r="BG185" s="41">
        <v>44572.898753662565</v>
      </c>
      <c r="BH185" s="41">
        <v>38630.726588692844</v>
      </c>
      <c r="BI185" s="41">
        <v>40080.494113717155</v>
      </c>
      <c r="BJ185" s="41">
        <v>42992.89527388956</v>
      </c>
      <c r="BK185" s="41">
        <v>43306.070003237248</v>
      </c>
      <c r="BL185" s="41">
        <v>41999.368289297934</v>
      </c>
      <c r="BM185" s="41">
        <v>41791.793089520041</v>
      </c>
    </row>
    <row r="186" spans="1:65" x14ac:dyDescent="0.35">
      <c r="A186" s="41" t="s">
        <v>465</v>
      </c>
      <c r="B186" s="41" t="s">
        <v>466</v>
      </c>
      <c r="C186" s="41" t="s">
        <v>659</v>
      </c>
      <c r="D186" s="41" t="s">
        <v>660</v>
      </c>
      <c r="E186" s="41">
        <v>1335.4357661118502</v>
      </c>
      <c r="F186" s="41">
        <v>1384.9770698846896</v>
      </c>
      <c r="G186" s="41">
        <v>1474.2823948668024</v>
      </c>
      <c r="H186" s="41">
        <v>1567.4346078946962</v>
      </c>
      <c r="I186" s="41">
        <v>1690.1114507779967</v>
      </c>
      <c r="J186" s="41">
        <v>1810.7207558577143</v>
      </c>
      <c r="K186" s="41">
        <v>1963.1599472361709</v>
      </c>
      <c r="L186" s="41">
        <v>2082.7430293256839</v>
      </c>
      <c r="M186" s="41">
        <v>2233.6168695493639</v>
      </c>
      <c r="N186" s="41">
        <v>2429.3354296700991</v>
      </c>
      <c r="O186" s="41">
        <v>2618.5737425405373</v>
      </c>
      <c r="P186" s="41">
        <v>2862.5924775196791</v>
      </c>
      <c r="Q186" s="41">
        <v>3282.4805162024468</v>
      </c>
      <c r="R186" s="41">
        <v>3922.0466797918807</v>
      </c>
      <c r="S186" s="41">
        <v>4347.3616171232479</v>
      </c>
      <c r="T186" s="41">
        <v>4822.115258271142</v>
      </c>
      <c r="U186" s="41">
        <v>5179.1664395831167</v>
      </c>
      <c r="V186" s="41">
        <v>5787.8071628998059</v>
      </c>
      <c r="W186" s="41">
        <v>6888.0354817303869</v>
      </c>
      <c r="X186" s="41">
        <v>7881.0732936379909</v>
      </c>
      <c r="Y186" s="41">
        <v>8677.4863028446598</v>
      </c>
      <c r="Z186" s="41">
        <v>8753.0990446484211</v>
      </c>
      <c r="AA186" s="41">
        <v>8547.3409288859129</v>
      </c>
      <c r="AB186" s="41">
        <v>8754.0004098511017</v>
      </c>
      <c r="AC186" s="41">
        <v>9083.0104740699808</v>
      </c>
      <c r="AD186" s="41">
        <v>9491.1360099754675</v>
      </c>
      <c r="AE186" s="41">
        <v>11404.199483317885</v>
      </c>
      <c r="AF186" s="41">
        <v>13102.551011821166</v>
      </c>
      <c r="AG186" s="41">
        <v>14650.946890972053</v>
      </c>
      <c r="AH186" s="41">
        <v>15204.258390326497</v>
      </c>
      <c r="AI186" s="41">
        <v>16978.400019697332</v>
      </c>
      <c r="AJ186" s="41">
        <v>17799.255473163419</v>
      </c>
      <c r="AK186" s="41">
        <v>18965.040065671685</v>
      </c>
      <c r="AL186" s="41">
        <v>19054.781055165149</v>
      </c>
      <c r="AM186" s="41">
        <v>20198.416127063381</v>
      </c>
      <c r="AN186" s="41">
        <v>22090.727987296719</v>
      </c>
      <c r="AO186" s="41">
        <v>22110.147940147846</v>
      </c>
      <c r="AP186" s="41">
        <v>21618.583719106544</v>
      </c>
      <c r="AQ186" s="41">
        <v>21690.151923635774</v>
      </c>
      <c r="AR186" s="41">
        <v>22606.7674545952</v>
      </c>
      <c r="AS186" s="41">
        <v>22924.328810233495</v>
      </c>
      <c r="AT186" s="41">
        <v>22551.62631966867</v>
      </c>
      <c r="AU186" s="41">
        <v>23348.514016040506</v>
      </c>
      <c r="AV186" s="41">
        <v>25938.332605624546</v>
      </c>
      <c r="AW186" s="41">
        <v>28666.053809595884</v>
      </c>
      <c r="AX186" s="41">
        <v>30108.361052364959</v>
      </c>
      <c r="AY186" s="41">
        <v>31537.282991832781</v>
      </c>
      <c r="AZ186" s="41">
        <v>34262.155870792289</v>
      </c>
      <c r="BA186" s="41">
        <v>36030.19299235713</v>
      </c>
      <c r="BB186" s="41">
        <v>33496.13154946165</v>
      </c>
      <c r="BC186" s="41">
        <v>34916.017744698729</v>
      </c>
      <c r="BD186" s="41">
        <v>37356.380075663139</v>
      </c>
      <c r="BE186" s="41">
        <v>37106.30081661226</v>
      </c>
      <c r="BF186" s="41">
        <v>37369.453939223378</v>
      </c>
      <c r="BG186" s="41">
        <v>37908.859720549051</v>
      </c>
      <c r="BH186" s="41">
        <v>35551.967082612136</v>
      </c>
      <c r="BI186" s="41">
        <v>35990.203404102242</v>
      </c>
      <c r="BJ186" s="41">
        <v>37328.357731617478</v>
      </c>
      <c r="BK186" s="41">
        <v>39268.563377516148</v>
      </c>
      <c r="BL186" s="41">
        <v>39412.099590547296</v>
      </c>
      <c r="BM186" s="41">
        <v>37975.913774293898</v>
      </c>
    </row>
    <row r="187" spans="1:65" x14ac:dyDescent="0.35">
      <c r="A187" s="41" t="s">
        <v>467</v>
      </c>
      <c r="B187" s="41" t="s">
        <v>468</v>
      </c>
      <c r="C187" s="41" t="s">
        <v>659</v>
      </c>
      <c r="D187" s="41" t="s">
        <v>660</v>
      </c>
      <c r="J187" s="41">
        <v>101.25917913002654</v>
      </c>
      <c r="K187" s="41">
        <v>105.55668735054464</v>
      </c>
      <c r="L187" s="41">
        <v>162.323830840634</v>
      </c>
      <c r="M187" s="41">
        <v>277.90923202264781</v>
      </c>
      <c r="N187" s="41">
        <v>342.47501021924023</v>
      </c>
      <c r="O187" s="41">
        <v>354.08210084564968</v>
      </c>
      <c r="P187" s="41">
        <v>401.90046450981026</v>
      </c>
      <c r="Q187" s="41">
        <v>472.52038409477194</v>
      </c>
      <c r="R187" s="41">
        <v>598.56618417409061</v>
      </c>
      <c r="S187" s="41">
        <v>1954.8831483160857</v>
      </c>
      <c r="T187" s="41">
        <v>2377.1075501800219</v>
      </c>
      <c r="U187" s="41">
        <v>2760.5414883887452</v>
      </c>
      <c r="V187" s="41">
        <v>2803.3940829517046</v>
      </c>
      <c r="W187" s="41">
        <v>2653.2817094676975</v>
      </c>
      <c r="X187" s="41">
        <v>3419.2657237722487</v>
      </c>
      <c r="Y187" s="41">
        <v>5181.8262190285313</v>
      </c>
      <c r="Z187" s="41">
        <v>5947.280837889989</v>
      </c>
      <c r="AA187" s="41">
        <v>5855.8224040253062</v>
      </c>
      <c r="AB187" s="41">
        <v>5828.1016180424322</v>
      </c>
      <c r="AC187" s="41">
        <v>6164.1926588694132</v>
      </c>
      <c r="AD187" s="41">
        <v>6677.398406873669</v>
      </c>
      <c r="AE187" s="41">
        <v>4691.2093745172888</v>
      </c>
      <c r="AF187" s="41">
        <v>4822.1019420240737</v>
      </c>
      <c r="AG187" s="41">
        <v>4997.3904501167244</v>
      </c>
      <c r="AH187" s="41">
        <v>5382.7325261079277</v>
      </c>
      <c r="AI187" s="41">
        <v>6448.1383597093063</v>
      </c>
      <c r="AJ187" s="41">
        <v>5988.8668341640887</v>
      </c>
      <c r="AK187" s="41">
        <v>6278.6524907853345</v>
      </c>
      <c r="AL187" s="41">
        <v>6029.1838025562947</v>
      </c>
      <c r="AM187" s="41">
        <v>6013.2002632157873</v>
      </c>
      <c r="AN187" s="41">
        <v>6261.7644687481461</v>
      </c>
      <c r="AO187" s="41">
        <v>6830.6394240135251</v>
      </c>
      <c r="AP187" s="41">
        <v>7039.6212373728076</v>
      </c>
      <c r="AQ187" s="41">
        <v>6215.715369450807</v>
      </c>
      <c r="AR187" s="41">
        <v>6915.3709491487434</v>
      </c>
      <c r="AS187" s="41">
        <v>8601.2719322785451</v>
      </c>
      <c r="AT187" s="41">
        <v>8475.9686232382628</v>
      </c>
      <c r="AU187" s="41">
        <v>8626.965289019905</v>
      </c>
      <c r="AV187" s="41">
        <v>9066.3123825551193</v>
      </c>
      <c r="AW187" s="41">
        <v>10126.137793209335</v>
      </c>
      <c r="AX187" s="41">
        <v>12377.080026466925</v>
      </c>
      <c r="AY187" s="41">
        <v>14420.51201939647</v>
      </c>
      <c r="AZ187" s="41">
        <v>15838.469573571228</v>
      </c>
      <c r="BA187" s="41">
        <v>22139.740678487029</v>
      </c>
      <c r="BB187" s="41">
        <v>16823.794954995021</v>
      </c>
      <c r="BC187" s="41">
        <v>18712.570145098867</v>
      </c>
      <c r="BD187" s="41">
        <v>20876.585039610687</v>
      </c>
      <c r="BE187" s="41">
        <v>21872.610535562078</v>
      </c>
      <c r="BF187" s="41">
        <v>20865.787871952271</v>
      </c>
      <c r="BG187" s="41">
        <v>20035.217313577788</v>
      </c>
      <c r="BH187" s="41">
        <v>16033.463828319236</v>
      </c>
      <c r="BI187" s="41">
        <v>14609.981759824244</v>
      </c>
      <c r="BJ187" s="41">
        <v>15127.888192778821</v>
      </c>
      <c r="BK187" s="41">
        <v>16521.206227952891</v>
      </c>
      <c r="BL187" s="41">
        <v>15343.04350008545</v>
      </c>
    </row>
    <row r="188" spans="1:65" x14ac:dyDescent="0.35">
      <c r="A188" s="41" t="s">
        <v>469</v>
      </c>
      <c r="B188" s="41" t="s">
        <v>470</v>
      </c>
      <c r="C188" s="41" t="s">
        <v>659</v>
      </c>
      <c r="D188" s="41" t="s">
        <v>660</v>
      </c>
      <c r="O188" s="41">
        <v>284.35820347823903</v>
      </c>
      <c r="P188" s="41">
        <v>330.7929677644974</v>
      </c>
      <c r="Q188" s="41">
        <v>392.2500962674963</v>
      </c>
      <c r="R188" s="41">
        <v>556.81709165243103</v>
      </c>
      <c r="S188" s="41">
        <v>1005.7024698183723</v>
      </c>
      <c r="T188" s="41">
        <v>1099.5443033243371</v>
      </c>
      <c r="U188" s="41">
        <v>1338.8944002590492</v>
      </c>
      <c r="V188" s="41">
        <v>1476.5979205426627</v>
      </c>
      <c r="W188" s="41">
        <v>1595.2015805628087</v>
      </c>
      <c r="X188" s="41">
        <v>2026.7112453870436</v>
      </c>
      <c r="Y188" s="41">
        <v>2751.3608181822692</v>
      </c>
      <c r="Z188" s="41">
        <v>2702.5924403943154</v>
      </c>
      <c r="AA188" s="41">
        <v>2496.01122984821</v>
      </c>
      <c r="AB188" s="41">
        <v>2301.8850738377473</v>
      </c>
      <c r="AC188" s="41">
        <v>2262.3519418514807</v>
      </c>
      <c r="AD188" s="41">
        <v>2095.9870033492812</v>
      </c>
      <c r="AE188" s="41">
        <v>2067.6477706015717</v>
      </c>
      <c r="AF188" s="41">
        <v>2389.4061637317509</v>
      </c>
      <c r="AG188" s="41">
        <v>2615.0150570357596</v>
      </c>
      <c r="AH188" s="41">
        <v>2670.3547169776716</v>
      </c>
      <c r="AI188" s="41">
        <v>3122.6611927752897</v>
      </c>
      <c r="AJ188" s="41">
        <v>3146.3308993985097</v>
      </c>
      <c r="AK188" s="41">
        <v>3367.3290651372049</v>
      </c>
      <c r="AL188" s="41">
        <v>3151.2209835626004</v>
      </c>
      <c r="AM188" s="41">
        <v>3239.3511055569288</v>
      </c>
      <c r="AN188" s="41">
        <v>3672.00976446817</v>
      </c>
      <c r="AO188" s="41">
        <v>3801.9966447221018</v>
      </c>
      <c r="AP188" s="41">
        <v>3879.7353704209427</v>
      </c>
      <c r="AQ188" s="41">
        <v>3733.6052266397091</v>
      </c>
      <c r="AR188" s="41">
        <v>3941.2498628485641</v>
      </c>
      <c r="AS188" s="41">
        <v>4370.4463721969469</v>
      </c>
      <c r="AT188" s="41">
        <v>4274.5168014096571</v>
      </c>
      <c r="AU188" s="41">
        <v>4534.3174197427479</v>
      </c>
      <c r="AV188" s="41">
        <v>5547.578346975095</v>
      </c>
      <c r="AW188" s="41">
        <v>6753.9032178421476</v>
      </c>
      <c r="AX188" s="41">
        <v>8008.1102110305919</v>
      </c>
      <c r="AY188" s="41">
        <v>9187.3278552929296</v>
      </c>
      <c r="AZ188" s="41">
        <v>10954.391105528277</v>
      </c>
      <c r="BA188" s="41">
        <v>13046.2479068142</v>
      </c>
      <c r="BB188" s="41">
        <v>10910.074814118167</v>
      </c>
      <c r="BC188" s="41">
        <v>12384.687784665</v>
      </c>
      <c r="BD188" s="41">
        <v>14903.908135790305</v>
      </c>
      <c r="BE188" s="41">
        <v>15218.681554541241</v>
      </c>
      <c r="BF188" s="41">
        <v>15558.621869465464</v>
      </c>
      <c r="BG188" s="41">
        <v>15758.290106432636</v>
      </c>
      <c r="BH188" s="41">
        <v>12814.121645382273</v>
      </c>
      <c r="BI188" s="41">
        <v>12410.452117035748</v>
      </c>
      <c r="BJ188" s="41">
        <v>13241.200720499459</v>
      </c>
      <c r="BK188" s="41">
        <v>14402.751036138234</v>
      </c>
      <c r="BL188" s="41">
        <v>13821.339957181317</v>
      </c>
      <c r="BM188" s="41">
        <v>11821.745902341981</v>
      </c>
    </row>
    <row r="189" spans="1:65" x14ac:dyDescent="0.35">
      <c r="A189" s="41" t="s">
        <v>471</v>
      </c>
      <c r="B189" s="41" t="s">
        <v>472</v>
      </c>
      <c r="C189" s="41" t="s">
        <v>659</v>
      </c>
      <c r="D189" s="41" t="s">
        <v>660</v>
      </c>
      <c r="E189" s="41">
        <v>83.33794593040399</v>
      </c>
      <c r="F189" s="41">
        <v>89.409034025369976</v>
      </c>
      <c r="G189" s="41">
        <v>91.319184879152985</v>
      </c>
      <c r="H189" s="41">
        <v>95.703377815583352</v>
      </c>
      <c r="I189" s="41">
        <v>104.88021763367516</v>
      </c>
      <c r="J189" s="41">
        <v>116.44672466592972</v>
      </c>
      <c r="K189" s="41">
        <v>125.54699201540193</v>
      </c>
      <c r="L189" s="41">
        <v>139.11847507259012</v>
      </c>
      <c r="M189" s="41">
        <v>145.94567270702754</v>
      </c>
      <c r="N189" s="41">
        <v>153.41696936219975</v>
      </c>
      <c r="O189" s="41">
        <v>172.46566607512139</v>
      </c>
      <c r="P189" s="41">
        <v>178.55511357295609</v>
      </c>
      <c r="Q189" s="41">
        <v>153.38403962853531</v>
      </c>
      <c r="R189" s="41">
        <v>101.16465585334078</v>
      </c>
      <c r="S189" s="41">
        <v>137.10893396030653</v>
      </c>
      <c r="T189" s="41">
        <v>168.08038479210617</v>
      </c>
      <c r="U189" s="41">
        <v>191.30108415215651</v>
      </c>
      <c r="V189" s="41">
        <v>213.16870252429018</v>
      </c>
      <c r="W189" s="41">
        <v>243.33583813834261</v>
      </c>
      <c r="X189" s="41">
        <v>260.56233356367892</v>
      </c>
      <c r="Y189" s="41">
        <v>303.05095944874671</v>
      </c>
      <c r="Z189" s="41">
        <v>348.29506069141149</v>
      </c>
      <c r="AA189" s="41">
        <v>368.27739931648489</v>
      </c>
      <c r="AB189" s="41">
        <v>332.52104681091402</v>
      </c>
      <c r="AC189" s="41">
        <v>349.18205022369176</v>
      </c>
      <c r="AD189" s="41">
        <v>337.8285325131331</v>
      </c>
      <c r="AE189" s="41">
        <v>335.02015883250635</v>
      </c>
      <c r="AF189" s="41">
        <v>339.3322552119692</v>
      </c>
      <c r="AG189" s="41">
        <v>379.45451673498235</v>
      </c>
      <c r="AH189" s="41">
        <v>384.36430548327985</v>
      </c>
      <c r="AI189" s="41">
        <v>371.67856762875459</v>
      </c>
      <c r="AJ189" s="41">
        <v>411.85943896601157</v>
      </c>
      <c r="AK189" s="41">
        <v>429.14690219221035</v>
      </c>
      <c r="AL189" s="41">
        <v>442.49225731090468</v>
      </c>
      <c r="AM189" s="41">
        <v>434.46540415328548</v>
      </c>
      <c r="AN189" s="41">
        <v>489.88182984819082</v>
      </c>
      <c r="AO189" s="41">
        <v>497.21613144033967</v>
      </c>
      <c r="AP189" s="41">
        <v>476.38122756818609</v>
      </c>
      <c r="AQ189" s="41">
        <v>461.21673613645709</v>
      </c>
      <c r="AR189" s="41">
        <v>454.27611233492865</v>
      </c>
      <c r="AS189" s="41">
        <v>576.19558035351781</v>
      </c>
      <c r="AT189" s="41">
        <v>544.49425140247399</v>
      </c>
      <c r="AU189" s="41">
        <v>534.30390068575684</v>
      </c>
      <c r="AV189" s="41">
        <v>599.37633054060655</v>
      </c>
      <c r="AW189" s="41">
        <v>687.8364126621758</v>
      </c>
      <c r="AX189" s="41">
        <v>748.9225892708829</v>
      </c>
      <c r="AY189" s="41">
        <v>836.86052621815384</v>
      </c>
      <c r="AZ189" s="41">
        <v>908.09508517971346</v>
      </c>
      <c r="BA189" s="41">
        <v>990.84661116493942</v>
      </c>
      <c r="BB189" s="41">
        <v>957.99567529223577</v>
      </c>
      <c r="BC189" s="41">
        <v>987.40971203752281</v>
      </c>
      <c r="BD189" s="41">
        <v>1164.9788233203515</v>
      </c>
      <c r="BE189" s="41">
        <v>1198.1176370400738</v>
      </c>
      <c r="BF189" s="41">
        <v>1208.9177102045812</v>
      </c>
      <c r="BG189" s="41">
        <v>1251.1757186794932</v>
      </c>
      <c r="BH189" s="41">
        <v>1356.6678306576289</v>
      </c>
      <c r="BI189" s="41">
        <v>1368.4269614041655</v>
      </c>
      <c r="BJ189" s="41">
        <v>1464.9261954181025</v>
      </c>
      <c r="BK189" s="41">
        <v>1482.2130665179698</v>
      </c>
      <c r="BL189" s="41">
        <v>1284.7020468325547</v>
      </c>
      <c r="BM189" s="41">
        <v>1193.7333971373059</v>
      </c>
    </row>
    <row r="190" spans="1:65" x14ac:dyDescent="0.35">
      <c r="A190" s="41" t="s">
        <v>473</v>
      </c>
      <c r="B190" s="41" t="s">
        <v>474</v>
      </c>
      <c r="C190" s="41" t="s">
        <v>659</v>
      </c>
      <c r="D190" s="41" t="s">
        <v>660</v>
      </c>
      <c r="E190" s="41">
        <v>474.09067038539104</v>
      </c>
      <c r="F190" s="41">
        <v>513.25167934745355</v>
      </c>
      <c r="G190" s="41">
        <v>542.32818577450814</v>
      </c>
      <c r="H190" s="41">
        <v>583.41156177329276</v>
      </c>
      <c r="I190" s="41">
        <v>608.1004849055613</v>
      </c>
      <c r="J190" s="41">
        <v>648.43608211586252</v>
      </c>
      <c r="K190" s="41">
        <v>686.0694007520791</v>
      </c>
      <c r="L190" s="41">
        <v>742.11406892118384</v>
      </c>
      <c r="M190" s="41">
        <v>775.6393081085904</v>
      </c>
      <c r="N190" s="41">
        <v>827.17332630761928</v>
      </c>
      <c r="O190" s="41">
        <v>889.23770771270188</v>
      </c>
      <c r="P190" s="41">
        <v>974.93699990979428</v>
      </c>
      <c r="Q190" s="41">
        <v>1040.8103137398564</v>
      </c>
      <c r="R190" s="41">
        <v>1157.6240860194241</v>
      </c>
      <c r="S190" s="41">
        <v>1287.9549585181419</v>
      </c>
      <c r="T190" s="41">
        <v>1395.4761847459977</v>
      </c>
      <c r="U190" s="41">
        <v>1444.7481814390956</v>
      </c>
      <c r="V190" s="41">
        <v>1489.9640549264232</v>
      </c>
      <c r="W190" s="41">
        <v>1721.7746296354276</v>
      </c>
      <c r="X190" s="41">
        <v>1918.1627730929704</v>
      </c>
      <c r="Y190" s="41">
        <v>2332.1263853374976</v>
      </c>
      <c r="Z190" s="41">
        <v>2577.7451732877912</v>
      </c>
      <c r="AA190" s="41">
        <v>2782.2897960600808</v>
      </c>
      <c r="AB190" s="41">
        <v>2791.7711463935229</v>
      </c>
      <c r="AC190" s="41">
        <v>2849.0538765994111</v>
      </c>
      <c r="AD190" s="41">
        <v>2947.691555515501</v>
      </c>
      <c r="AE190" s="41">
        <v>2996.6207626184705</v>
      </c>
      <c r="AF190" s="41">
        <v>2945.1693274996451</v>
      </c>
      <c r="AG190" s="41">
        <v>2492.1443275987563</v>
      </c>
      <c r="AH190" s="41">
        <v>2446.2309210787362</v>
      </c>
      <c r="AI190" s="41">
        <v>2603.847676153182</v>
      </c>
      <c r="AJ190" s="41">
        <v>2803.9449252214031</v>
      </c>
      <c r="AK190" s="41">
        <v>3122.0873161696913</v>
      </c>
      <c r="AL190" s="41">
        <v>3339.9143742888609</v>
      </c>
      <c r="AM190" s="41">
        <v>3489.1511063042335</v>
      </c>
      <c r="AN190" s="41">
        <v>3494.5172898750102</v>
      </c>
      <c r="AO190" s="41">
        <v>3529.852222104209</v>
      </c>
      <c r="AP190" s="41">
        <v>3741.2873299655525</v>
      </c>
      <c r="AQ190" s="41">
        <v>3974.6643052029344</v>
      </c>
      <c r="AR190" s="41">
        <v>4082.6145826076158</v>
      </c>
      <c r="AS190" s="41">
        <v>4060.3177934570226</v>
      </c>
      <c r="AT190" s="41">
        <v>4046.4291482408476</v>
      </c>
      <c r="AU190" s="41">
        <v>4126.2323863717556</v>
      </c>
      <c r="AV190" s="41">
        <v>4267.2926866966482</v>
      </c>
      <c r="AW190" s="41">
        <v>4592.1526135422391</v>
      </c>
      <c r="AX190" s="41">
        <v>4916.9076115646349</v>
      </c>
      <c r="AY190" s="41">
        <v>5348.8842526977096</v>
      </c>
      <c r="AZ190" s="41">
        <v>6166.187862132786</v>
      </c>
      <c r="BA190" s="41">
        <v>7154.2744960190021</v>
      </c>
      <c r="BB190" s="41">
        <v>7576.1404665548171</v>
      </c>
      <c r="BC190" s="41">
        <v>8082.0195838735708</v>
      </c>
      <c r="BD190" s="41">
        <v>9358.2615738548629</v>
      </c>
      <c r="BE190" s="41">
        <v>10722.25235272043</v>
      </c>
      <c r="BF190" s="41">
        <v>11889.070556834706</v>
      </c>
      <c r="BG190" s="41">
        <v>12796.057530404523</v>
      </c>
      <c r="BH190" s="41">
        <v>13630.322868395788</v>
      </c>
      <c r="BI190" s="41">
        <v>14343.981394440973</v>
      </c>
      <c r="BJ190" s="41">
        <v>15146.402374229441</v>
      </c>
      <c r="BK190" s="41">
        <v>15544.733518033128</v>
      </c>
      <c r="BL190" s="41">
        <v>15727.974491574118</v>
      </c>
      <c r="BM190" s="41">
        <v>12269.048996377094</v>
      </c>
    </row>
    <row r="191" spans="1:65" x14ac:dyDescent="0.35">
      <c r="A191" s="41" t="s">
        <v>475</v>
      </c>
      <c r="B191" s="41" t="s">
        <v>476</v>
      </c>
      <c r="C191" s="41" t="s">
        <v>659</v>
      </c>
      <c r="D191" s="41" t="s">
        <v>660</v>
      </c>
      <c r="E191" s="41">
        <v>253.26492133557738</v>
      </c>
      <c r="F191" s="41">
        <v>277.5687634376668</v>
      </c>
      <c r="G191" s="41">
        <v>305.76161691768846</v>
      </c>
      <c r="H191" s="41">
        <v>325.51633916406911</v>
      </c>
      <c r="I191" s="41">
        <v>382.74396480996961</v>
      </c>
      <c r="J191" s="41">
        <v>441.1821119641902</v>
      </c>
      <c r="K191" s="41">
        <v>507.53095321049005</v>
      </c>
      <c r="L191" s="41">
        <v>500.87348622558659</v>
      </c>
      <c r="M191" s="41">
        <v>450.40146746009287</v>
      </c>
      <c r="N191" s="41">
        <v>490.41360370680621</v>
      </c>
      <c r="O191" s="41">
        <v>552.1797687001341</v>
      </c>
      <c r="P191" s="41">
        <v>599.11565526793277</v>
      </c>
      <c r="Q191" s="41">
        <v>646.14281617089466</v>
      </c>
      <c r="R191" s="41">
        <v>752.22338430324623</v>
      </c>
      <c r="S191" s="41">
        <v>922.84649666576797</v>
      </c>
      <c r="T191" s="41">
        <v>1094.1616079960088</v>
      </c>
      <c r="U191" s="41">
        <v>1006.8908615760408</v>
      </c>
      <c r="V191" s="41">
        <v>899.25551816472193</v>
      </c>
      <c r="W191" s="41">
        <v>748.99249694029243</v>
      </c>
      <c r="X191" s="41">
        <v>932.74661823151189</v>
      </c>
      <c r="Y191" s="41">
        <v>1033.4186315288555</v>
      </c>
      <c r="Z191" s="41">
        <v>1203.7063411277009</v>
      </c>
      <c r="AA191" s="41">
        <v>1182.7309276212025</v>
      </c>
      <c r="AB191" s="41">
        <v>919.16885611350267</v>
      </c>
      <c r="AC191" s="41">
        <v>910.96746583966694</v>
      </c>
      <c r="AD191" s="41">
        <v>836.94608730756386</v>
      </c>
      <c r="AE191" s="41">
        <v>753.53152981893072</v>
      </c>
      <c r="AF191" s="41">
        <v>1000.5322722572186</v>
      </c>
      <c r="AG191" s="41">
        <v>729.87619932986854</v>
      </c>
      <c r="AH191" s="41">
        <v>1040.9622550346576</v>
      </c>
      <c r="AI191" s="41">
        <v>1196.5868581963352</v>
      </c>
      <c r="AJ191" s="41">
        <v>1524.7705359686088</v>
      </c>
      <c r="AK191" s="41">
        <v>1566.0112793691244</v>
      </c>
      <c r="AL191" s="41">
        <v>1488.0329945488461</v>
      </c>
      <c r="AM191" s="41">
        <v>1881.7373553839395</v>
      </c>
      <c r="AN191" s="41">
        <v>2194.017247314132</v>
      </c>
      <c r="AO191" s="41">
        <v>2232.0758157699634</v>
      </c>
      <c r="AP191" s="41">
        <v>2306.4385268089</v>
      </c>
      <c r="AQ191" s="41">
        <v>2163.1193568877566</v>
      </c>
      <c r="AR191" s="41">
        <v>1924.4864193722403</v>
      </c>
      <c r="AS191" s="41">
        <v>1955.5880062789622</v>
      </c>
      <c r="AT191" s="41">
        <v>1941.4753419542394</v>
      </c>
      <c r="AU191" s="41">
        <v>2021.2400383647193</v>
      </c>
      <c r="AV191" s="41">
        <v>2145.6438885409648</v>
      </c>
      <c r="AW191" s="41">
        <v>2417.0343631553219</v>
      </c>
      <c r="AX191" s="41">
        <v>2729.499172135289</v>
      </c>
      <c r="AY191" s="41">
        <v>3154.331349139698</v>
      </c>
      <c r="AZ191" s="41">
        <v>3606.0706893234405</v>
      </c>
      <c r="BA191" s="41">
        <v>4220.6163783202846</v>
      </c>
      <c r="BB191" s="41">
        <v>4196.3116270794171</v>
      </c>
      <c r="BC191" s="41">
        <v>5082.3537061445404</v>
      </c>
      <c r="BD191" s="41">
        <v>5869.3238818646178</v>
      </c>
      <c r="BE191" s="41">
        <v>6528.9717753127979</v>
      </c>
      <c r="BF191" s="41">
        <v>6756.7529962003382</v>
      </c>
      <c r="BG191" s="41">
        <v>6672.8773725883966</v>
      </c>
      <c r="BH191" s="41">
        <v>6229.1006739811201</v>
      </c>
      <c r="BI191" s="41">
        <v>6204.9964574796031</v>
      </c>
      <c r="BJ191" s="41">
        <v>6710.5076021416407</v>
      </c>
      <c r="BK191" s="41">
        <v>6957.7934114935879</v>
      </c>
      <c r="BL191" s="41">
        <v>7027.6122069772264</v>
      </c>
      <c r="BM191" s="41">
        <v>6126.8745397886678</v>
      </c>
    </row>
    <row r="192" spans="1:65" x14ac:dyDescent="0.35">
      <c r="A192" s="41" t="s">
        <v>477</v>
      </c>
      <c r="B192" s="41" t="s">
        <v>478</v>
      </c>
      <c r="C192" s="41" t="s">
        <v>659</v>
      </c>
      <c r="D192" s="41" t="s">
        <v>660</v>
      </c>
      <c r="E192" s="41">
        <v>254.45887742360324</v>
      </c>
      <c r="F192" s="41">
        <v>267.18283836081014</v>
      </c>
      <c r="G192" s="41">
        <v>156.70383962468802</v>
      </c>
      <c r="H192" s="41">
        <v>168.04094859170542</v>
      </c>
      <c r="I192" s="41">
        <v>175.95579767455587</v>
      </c>
      <c r="J192" s="41">
        <v>187.13683398229048</v>
      </c>
      <c r="K192" s="41">
        <v>199.95682626053187</v>
      </c>
      <c r="L192" s="41">
        <v>207.44395743546505</v>
      </c>
      <c r="M192" s="41">
        <v>224.63552159858645</v>
      </c>
      <c r="N192" s="41">
        <v>241.71088973949352</v>
      </c>
      <c r="O192" s="41">
        <v>186.77469626911738</v>
      </c>
      <c r="P192" s="41">
        <v>201.04126108383073</v>
      </c>
      <c r="Q192" s="41">
        <v>211.41218055871562</v>
      </c>
      <c r="R192" s="41">
        <v>258.38474422238488</v>
      </c>
      <c r="S192" s="41">
        <v>343.29050784737245</v>
      </c>
      <c r="T192" s="41">
        <v>360.7533479332667</v>
      </c>
      <c r="U192" s="41">
        <v>402.80115498132</v>
      </c>
      <c r="V192" s="41">
        <v>450.34081071240331</v>
      </c>
      <c r="W192" s="41">
        <v>506.39881064903926</v>
      </c>
      <c r="X192" s="41">
        <v>596.83727937441097</v>
      </c>
      <c r="Y192" s="41">
        <v>685.22148983130785</v>
      </c>
      <c r="Z192" s="41">
        <v>732.36785738932065</v>
      </c>
      <c r="AA192" s="41">
        <v>742.45337526183118</v>
      </c>
      <c r="AB192" s="41">
        <v>646.03938613298521</v>
      </c>
      <c r="AC192" s="41">
        <v>594.5532574760615</v>
      </c>
      <c r="AD192" s="41">
        <v>566.26185267768983</v>
      </c>
      <c r="AE192" s="41">
        <v>535.70359120049704</v>
      </c>
      <c r="AF192" s="41">
        <v>579.7015416379428</v>
      </c>
      <c r="AG192" s="41">
        <v>644.36501510414791</v>
      </c>
      <c r="AH192" s="41">
        <v>705.57908552905133</v>
      </c>
      <c r="AI192" s="41">
        <v>715.91360798747542</v>
      </c>
      <c r="AJ192" s="41">
        <v>715.74683142098343</v>
      </c>
      <c r="AK192" s="41">
        <v>814.76843890602856</v>
      </c>
      <c r="AL192" s="41">
        <v>816.41232436398252</v>
      </c>
      <c r="AM192" s="41">
        <v>939.91881714791805</v>
      </c>
      <c r="AN192" s="41">
        <v>1062.1330797736327</v>
      </c>
      <c r="AO192" s="41">
        <v>1160.309778684627</v>
      </c>
      <c r="AP192" s="41">
        <v>1127.5266256985417</v>
      </c>
      <c r="AQ192" s="41">
        <v>966.9892337804888</v>
      </c>
      <c r="AR192" s="41">
        <v>1087.3781564806161</v>
      </c>
      <c r="AS192" s="41">
        <v>1072.8090368319495</v>
      </c>
      <c r="AT192" s="41">
        <v>990.5640486961363</v>
      </c>
      <c r="AU192" s="41">
        <v>1036.1583306415509</v>
      </c>
      <c r="AV192" s="41">
        <v>1048.0082045649556</v>
      </c>
      <c r="AW192" s="41">
        <v>1121.490006069261</v>
      </c>
      <c r="AX192" s="41">
        <v>1244.3487406593551</v>
      </c>
      <c r="AY192" s="41">
        <v>1452.438089447149</v>
      </c>
      <c r="AZ192" s="41">
        <v>1744.6399791640731</v>
      </c>
      <c r="BA192" s="41">
        <v>1991.2297488230136</v>
      </c>
      <c r="BB192" s="41">
        <v>1905.8952358477027</v>
      </c>
      <c r="BC192" s="41">
        <v>2217.4721533665211</v>
      </c>
      <c r="BD192" s="41">
        <v>2450.7356940854529</v>
      </c>
      <c r="BE192" s="41">
        <v>2694.3051093444246</v>
      </c>
      <c r="BF192" s="41">
        <v>2871.4297013577548</v>
      </c>
      <c r="BG192" s="41">
        <v>2959.6454352134874</v>
      </c>
      <c r="BH192" s="41">
        <v>3001.0431817086278</v>
      </c>
      <c r="BI192" s="41">
        <v>3073.6546857148887</v>
      </c>
      <c r="BJ192" s="41">
        <v>3123.2456417435619</v>
      </c>
      <c r="BK192" s="41">
        <v>3252.1102741002433</v>
      </c>
      <c r="BL192" s="41">
        <v>3485.3408438976994</v>
      </c>
      <c r="BM192" s="41">
        <v>3298.8298514291973</v>
      </c>
    </row>
    <row r="193" spans="1:65" x14ac:dyDescent="0.35">
      <c r="A193" s="41" t="s">
        <v>479</v>
      </c>
      <c r="B193" s="41" t="s">
        <v>480</v>
      </c>
      <c r="C193" s="41" t="s">
        <v>659</v>
      </c>
      <c r="D193" s="41" t="s">
        <v>660</v>
      </c>
      <c r="AS193" s="41">
        <v>7657.9512144053606</v>
      </c>
      <c r="AT193" s="41">
        <v>8092.2073233625579</v>
      </c>
      <c r="AU193" s="41">
        <v>8307.9574381427556</v>
      </c>
      <c r="AV193" s="41">
        <v>7771.2093680597618</v>
      </c>
      <c r="AW193" s="41">
        <v>8317.1139418961793</v>
      </c>
      <c r="AX193" s="41">
        <v>9626.6124140719767</v>
      </c>
      <c r="AY193" s="41">
        <v>9843.0493732412378</v>
      </c>
      <c r="AZ193" s="41">
        <v>10381.423873897385</v>
      </c>
      <c r="BA193" s="41">
        <v>10598.882830874492</v>
      </c>
      <c r="BB193" s="41">
        <v>10252.750136686715</v>
      </c>
      <c r="BC193" s="41">
        <v>10356.633619249193</v>
      </c>
      <c r="BD193" s="41">
        <v>11094.833220644579</v>
      </c>
      <c r="BE193" s="41">
        <v>12044.105472072582</v>
      </c>
      <c r="BF193" s="41">
        <v>12561.336135885929</v>
      </c>
      <c r="BG193" s="41">
        <v>13711.76170212766</v>
      </c>
      <c r="BH193" s="41">
        <v>15876.46193037079</v>
      </c>
      <c r="BI193" s="41">
        <v>16653.425894570493</v>
      </c>
      <c r="BJ193" s="41">
        <v>16065.292829468246</v>
      </c>
      <c r="BK193" s="41">
        <v>15657.177153704428</v>
      </c>
      <c r="BL193" s="41">
        <v>14907.777345703016</v>
      </c>
    </row>
    <row r="194" spans="1:65" x14ac:dyDescent="0.35">
      <c r="A194" s="41" t="s">
        <v>481</v>
      </c>
      <c r="B194" s="41" t="s">
        <v>482</v>
      </c>
      <c r="C194" s="41" t="s">
        <v>659</v>
      </c>
      <c r="D194" s="41" t="s">
        <v>660</v>
      </c>
      <c r="E194" s="41">
        <v>102.17665871753292</v>
      </c>
      <c r="F194" s="41">
        <v>106.58532546608707</v>
      </c>
      <c r="G194" s="41">
        <v>111.60046530338062</v>
      </c>
      <c r="H194" s="41">
        <v>115.66413761255605</v>
      </c>
      <c r="I194" s="41">
        <v>125.42500007661168</v>
      </c>
      <c r="J194" s="41">
        <v>138.47063282130051</v>
      </c>
      <c r="K194" s="41">
        <v>153.94568270323592</v>
      </c>
      <c r="L194" s="41">
        <v>170.09531275495286</v>
      </c>
      <c r="M194" s="41">
        <v>182.6222426709698</v>
      </c>
      <c r="N194" s="41">
        <v>202.74985392803191</v>
      </c>
      <c r="O194" s="41">
        <v>231.94628433647472</v>
      </c>
      <c r="P194" s="41">
        <v>251.87246509901772</v>
      </c>
      <c r="Q194" s="41">
        <v>294.29795161440057</v>
      </c>
      <c r="R194" s="41">
        <v>434.59949355458218</v>
      </c>
      <c r="S194" s="41">
        <v>479.04721795266533</v>
      </c>
      <c r="T194" s="41">
        <v>432.04311186938668</v>
      </c>
      <c r="U194" s="41">
        <v>469.54619715615758</v>
      </c>
      <c r="V194" s="41">
        <v>496.80412992767413</v>
      </c>
      <c r="W194" s="41">
        <v>574.84793249352742</v>
      </c>
      <c r="X194" s="41">
        <v>659.44813562098398</v>
      </c>
      <c r="Y194" s="41">
        <v>712.91907247653</v>
      </c>
      <c r="Z194" s="41">
        <v>681.02477811921472</v>
      </c>
      <c r="AA194" s="41">
        <v>628.52378487315127</v>
      </c>
      <c r="AB194" s="41">
        <v>661.88793586386782</v>
      </c>
      <c r="AC194" s="41">
        <v>641.99153990263858</v>
      </c>
      <c r="AD194" s="41">
        <v>593.81524727717169</v>
      </c>
      <c r="AE194" s="41">
        <v>632.51747240331144</v>
      </c>
      <c r="AF194" s="41">
        <v>732.392172836589</v>
      </c>
      <c r="AG194" s="41">
        <v>831.03291018986215</v>
      </c>
      <c r="AH194" s="41">
        <v>786.87892711490099</v>
      </c>
      <c r="AI194" s="41">
        <v>697.53896850396188</v>
      </c>
      <c r="AJ194" s="41">
        <v>801.47296469065952</v>
      </c>
      <c r="AK194" s="41">
        <v>905.24916795610068</v>
      </c>
      <c r="AL194" s="41">
        <v>1005.1519525415308</v>
      </c>
      <c r="AM194" s="41">
        <v>1086.2911692626558</v>
      </c>
      <c r="AN194" s="41">
        <v>893.77311908987508</v>
      </c>
      <c r="AO194" s="41">
        <v>970.09047686243014</v>
      </c>
      <c r="AP194" s="41">
        <v>906.36092036927562</v>
      </c>
      <c r="AQ194" s="41">
        <v>678.89666742030215</v>
      </c>
      <c r="AR194" s="41">
        <v>608.28153066536731</v>
      </c>
      <c r="AS194" s="41">
        <v>602.1864903445819</v>
      </c>
      <c r="AT194" s="41">
        <v>515.68478039369563</v>
      </c>
      <c r="AU194" s="41">
        <v>491.83430814894757</v>
      </c>
      <c r="AV194" s="41">
        <v>568.24634857400667</v>
      </c>
      <c r="AW194" s="41">
        <v>618.03670316319881</v>
      </c>
      <c r="AX194" s="41">
        <v>749.18651155567113</v>
      </c>
      <c r="AY194" s="41">
        <v>1256.9796475644011</v>
      </c>
      <c r="AZ194" s="41">
        <v>1401.9494467623947</v>
      </c>
      <c r="BA194" s="41">
        <v>1672.9510237403372</v>
      </c>
      <c r="BB194" s="41">
        <v>1626.3128545410898</v>
      </c>
      <c r="BC194" s="41">
        <v>1949.3511851325402</v>
      </c>
      <c r="BD194" s="41">
        <v>2406.9109672575419</v>
      </c>
      <c r="BE194" s="41">
        <v>2790.6763034448836</v>
      </c>
      <c r="BF194" s="41">
        <v>2729.8887512111037</v>
      </c>
      <c r="BG194" s="41">
        <v>2920.7829857115858</v>
      </c>
      <c r="BH194" s="41">
        <v>2679.3465792132365</v>
      </c>
      <c r="BI194" s="41">
        <v>2509.6296368993117</v>
      </c>
      <c r="BJ194" s="41">
        <v>2695.2490085595618</v>
      </c>
      <c r="BK194" s="41">
        <v>2801.3713930291547</v>
      </c>
      <c r="BL194" s="41">
        <v>2829.1670852537563</v>
      </c>
      <c r="BM194" s="41">
        <v>2636.8002494332968</v>
      </c>
    </row>
    <row r="195" spans="1:65" x14ac:dyDescent="0.35">
      <c r="A195" s="41" t="s">
        <v>483</v>
      </c>
      <c r="B195" s="41" t="s">
        <v>484</v>
      </c>
      <c r="C195" s="41" t="s">
        <v>659</v>
      </c>
      <c r="D195" s="41" t="s">
        <v>660</v>
      </c>
      <c r="AI195" s="41">
        <v>1731.2095311238809</v>
      </c>
      <c r="AJ195" s="41">
        <v>2235.5410886252153</v>
      </c>
      <c r="AK195" s="41">
        <v>2459.0206846825326</v>
      </c>
      <c r="AL195" s="41">
        <v>2497.1952411668863</v>
      </c>
      <c r="AM195" s="41">
        <v>2874.8253108451954</v>
      </c>
      <c r="AN195" s="41">
        <v>3686.8192998780478</v>
      </c>
      <c r="AO195" s="41">
        <v>4147.4655014548307</v>
      </c>
      <c r="AP195" s="41">
        <v>4123.1356180677267</v>
      </c>
      <c r="AQ195" s="41">
        <v>4518.1082263017406</v>
      </c>
      <c r="AR195" s="41">
        <v>4398.0810433599581</v>
      </c>
      <c r="AS195" s="41">
        <v>4501.4540674227255</v>
      </c>
      <c r="AT195" s="41">
        <v>4991.2443579951068</v>
      </c>
      <c r="AU195" s="41">
        <v>5207.1714206940178</v>
      </c>
      <c r="AV195" s="41">
        <v>5701.6022116160966</v>
      </c>
      <c r="AW195" s="41">
        <v>6681.3864719504154</v>
      </c>
      <c r="AX195" s="41">
        <v>8021.5057434679493</v>
      </c>
      <c r="AY195" s="41">
        <v>9035.4104674493592</v>
      </c>
      <c r="AZ195" s="41">
        <v>11254.517388125416</v>
      </c>
      <c r="BA195" s="41">
        <v>13996.025150683487</v>
      </c>
      <c r="BB195" s="41">
        <v>11526.055888482377</v>
      </c>
      <c r="BC195" s="41">
        <v>12613.010995468147</v>
      </c>
      <c r="BD195" s="41">
        <v>13879.560985254646</v>
      </c>
      <c r="BE195" s="41">
        <v>13097.270848217429</v>
      </c>
      <c r="BF195" s="41">
        <v>13696.466304614301</v>
      </c>
      <c r="BG195" s="41">
        <v>14271.30585362023</v>
      </c>
      <c r="BH195" s="41">
        <v>12578.495473436242</v>
      </c>
      <c r="BI195" s="41">
        <v>12447.439591280814</v>
      </c>
      <c r="BJ195" s="41">
        <v>13864.681757997289</v>
      </c>
      <c r="BK195" s="41">
        <v>15468.409410771897</v>
      </c>
      <c r="BL195" s="41">
        <v>15694.840823885674</v>
      </c>
      <c r="BM195" s="41">
        <v>15656.182730866562</v>
      </c>
    </row>
    <row r="196" spans="1:65" x14ac:dyDescent="0.35">
      <c r="A196" s="41" t="s">
        <v>485</v>
      </c>
      <c r="B196" s="41" t="s">
        <v>486</v>
      </c>
      <c r="C196" s="41" t="s">
        <v>659</v>
      </c>
      <c r="D196" s="41" t="s">
        <v>660</v>
      </c>
      <c r="E196" s="41">
        <v>111.67183754286039</v>
      </c>
      <c r="F196" s="41">
        <v>112.28753459668337</v>
      </c>
      <c r="G196" s="41">
        <v>120.12896798888738</v>
      </c>
      <c r="H196" s="41">
        <v>136.76108114166078</v>
      </c>
      <c r="I196" s="41">
        <v>124.40550194247409</v>
      </c>
      <c r="J196" s="41">
        <v>136.87147781413069</v>
      </c>
      <c r="K196" s="41">
        <v>146.69371869481051</v>
      </c>
      <c r="L196" s="41">
        <v>135.1019196825066</v>
      </c>
      <c r="M196" s="41">
        <v>138.84867381802835</v>
      </c>
      <c r="N196" s="41">
        <v>153.28508159305196</v>
      </c>
      <c r="O196" s="41">
        <v>182.71215729868948</v>
      </c>
      <c r="P196" s="41">
        <v>173.98405539639927</v>
      </c>
      <c r="Q196" s="41">
        <v>197.12228498004802</v>
      </c>
      <c r="R196" s="41">
        <v>235.72870916391199</v>
      </c>
      <c r="S196" s="41">
        <v>325.22167009573235</v>
      </c>
      <c r="T196" s="41">
        <v>361.12548497130342</v>
      </c>
      <c r="U196" s="41">
        <v>411.25636205327027</v>
      </c>
      <c r="V196" s="41">
        <v>441.57085213281914</v>
      </c>
      <c r="W196" s="41">
        <v>477.19296697643671</v>
      </c>
      <c r="X196" s="41">
        <v>584.76530389367872</v>
      </c>
      <c r="Y196" s="41">
        <v>695.24621517098899</v>
      </c>
      <c r="Z196" s="41">
        <v>947.18268047724712</v>
      </c>
      <c r="AA196" s="41">
        <v>866.11856455492352</v>
      </c>
      <c r="AB196" s="41">
        <v>672.99072801717898</v>
      </c>
      <c r="AC196" s="41">
        <v>598.25317554852654</v>
      </c>
      <c r="AD196" s="41">
        <v>603.07632069754231</v>
      </c>
      <c r="AE196" s="41">
        <v>570.25290732499786</v>
      </c>
      <c r="AF196" s="41">
        <v>613.56215328100313</v>
      </c>
      <c r="AG196" s="41">
        <v>605.99772268771812</v>
      </c>
      <c r="AH196" s="41">
        <v>578.09384031390232</v>
      </c>
      <c r="AI196" s="41">
        <v>892.12011959986228</v>
      </c>
      <c r="AJ196" s="41">
        <v>390.37477816767733</v>
      </c>
      <c r="AK196" s="41">
        <v>362.42750927395616</v>
      </c>
      <c r="AL196" s="41">
        <v>313.10991772661828</v>
      </c>
      <c r="AM196" s="41">
        <v>287.45997364362188</v>
      </c>
      <c r="AN196" s="41">
        <v>359.05599947911088</v>
      </c>
      <c r="AO196" s="41">
        <v>375.25611769297723</v>
      </c>
      <c r="AP196" s="41">
        <v>403.15846211525576</v>
      </c>
      <c r="AQ196" s="41">
        <v>404.90083879753149</v>
      </c>
      <c r="AR196" s="41">
        <v>432.65707403278503</v>
      </c>
      <c r="AS196" s="41">
        <v>491.7505877827702</v>
      </c>
      <c r="AT196" s="41">
        <v>451.98510084541596</v>
      </c>
      <c r="AU196" s="41">
        <v>503.89710654722023</v>
      </c>
      <c r="AV196" s="41">
        <v>531.26509615241923</v>
      </c>
      <c r="AW196" s="41">
        <v>644.84921727591905</v>
      </c>
      <c r="AX196" s="41">
        <v>781.6757900945895</v>
      </c>
      <c r="AY196" s="41">
        <v>960.67992418020924</v>
      </c>
      <c r="AZ196" s="41">
        <v>1129.2996853989598</v>
      </c>
      <c r="BA196" s="41">
        <v>1383.5892075042555</v>
      </c>
      <c r="BB196" s="41">
        <v>1220.9728949265213</v>
      </c>
      <c r="BC196" s="41">
        <v>1401.2315122083121</v>
      </c>
      <c r="BD196" s="41">
        <v>1569.8255768195072</v>
      </c>
      <c r="BE196" s="41">
        <v>1672.7791979266201</v>
      </c>
      <c r="BF196" s="41">
        <v>1780.2198498663602</v>
      </c>
      <c r="BG196" s="41">
        <v>1822.9189907124451</v>
      </c>
      <c r="BH196" s="41">
        <v>1560.519966318258</v>
      </c>
      <c r="BI196" s="41">
        <v>1393.5753545561768</v>
      </c>
      <c r="BJ196" s="41">
        <v>1415.7189393251724</v>
      </c>
      <c r="BK196" s="41">
        <v>1449.099680912313</v>
      </c>
      <c r="BL196" s="41">
        <v>1481.0426284820981</v>
      </c>
      <c r="BM196" s="41">
        <v>1342.4823907308494</v>
      </c>
    </row>
    <row r="197" spans="1:65" x14ac:dyDescent="0.35">
      <c r="A197" s="41" t="s">
        <v>487</v>
      </c>
      <c r="B197" s="41" t="s">
        <v>488</v>
      </c>
      <c r="C197" s="41" t="s">
        <v>659</v>
      </c>
      <c r="D197" s="41" t="s">
        <v>660</v>
      </c>
      <c r="E197" s="41">
        <v>717.51484308736212</v>
      </c>
      <c r="F197" s="41">
        <v>777.21502740734138</v>
      </c>
      <c r="G197" s="41">
        <v>854.7448049684898</v>
      </c>
      <c r="H197" s="41">
        <v>931.75166598124201</v>
      </c>
      <c r="I197" s="41">
        <v>1006.4344460949717</v>
      </c>
      <c r="J197" s="41">
        <v>1110.8326908249808</v>
      </c>
      <c r="K197" s="41">
        <v>1207.8118244034752</v>
      </c>
      <c r="L197" s="41">
        <v>1335.2741116252419</v>
      </c>
      <c r="M197" s="41">
        <v>1480.6931764225053</v>
      </c>
      <c r="N197" s="41">
        <v>1661.8668852336866</v>
      </c>
      <c r="O197" s="41">
        <v>1852.3546725533481</v>
      </c>
      <c r="P197" s="41">
        <v>2044.3199055821649</v>
      </c>
      <c r="Q197" s="41">
        <v>2246.4767135113034</v>
      </c>
      <c r="R197" s="41">
        <v>2432.4142190492798</v>
      </c>
      <c r="S197" s="41">
        <v>2614.5009405303781</v>
      </c>
      <c r="T197" s="41">
        <v>2738.2431529726114</v>
      </c>
      <c r="U197" s="41">
        <v>2946.4619525115199</v>
      </c>
      <c r="V197" s="41">
        <v>3208.7713561412766</v>
      </c>
      <c r="W197" s="41">
        <v>3567.7526290006999</v>
      </c>
      <c r="X197" s="41">
        <v>4024.5094201928732</v>
      </c>
      <c r="Y197" s="41">
        <v>4502.8384279475986</v>
      </c>
      <c r="Z197" s="41">
        <v>4920.7229367485861</v>
      </c>
      <c r="AA197" s="41">
        <v>5115.008514233461</v>
      </c>
      <c r="AB197" s="41">
        <v>5217.7227285603922</v>
      </c>
      <c r="AC197" s="41">
        <v>5730.1170089020061</v>
      </c>
      <c r="AD197" s="41">
        <v>6008.0544862303823</v>
      </c>
      <c r="AE197" s="41">
        <v>6455.1844610761409</v>
      </c>
      <c r="AF197" s="41">
        <v>6980.4901433821924</v>
      </c>
      <c r="AG197" s="41">
        <v>7595.4446561182858</v>
      </c>
      <c r="AH197" s="41">
        <v>8033.0894413304241</v>
      </c>
      <c r="AI197" s="41">
        <v>8652.5074922250496</v>
      </c>
      <c r="AJ197" s="41">
        <v>9064.0185171148569</v>
      </c>
      <c r="AK197" s="41">
        <v>9659.3388999591643</v>
      </c>
      <c r="AL197" s="41">
        <v>10212.276763056365</v>
      </c>
      <c r="AM197" s="41">
        <v>10876.418823989781</v>
      </c>
      <c r="AN197" s="41">
        <v>11579.184996998454</v>
      </c>
      <c r="AO197" s="41">
        <v>12173.16368898596</v>
      </c>
      <c r="AP197" s="41">
        <v>12817.644962135217</v>
      </c>
      <c r="AQ197" s="41">
        <v>14304.404986801463</v>
      </c>
      <c r="AR197" s="41">
        <v>15220.991342026657</v>
      </c>
      <c r="AS197" s="41">
        <v>16192.126971963769</v>
      </c>
      <c r="AT197" s="41">
        <v>18123.198701991791</v>
      </c>
      <c r="AU197" s="41">
        <v>18731.459389737847</v>
      </c>
      <c r="AV197" s="41">
        <v>19557.120249235839</v>
      </c>
      <c r="AW197" s="41">
        <v>20988.992332653404</v>
      </c>
      <c r="AX197" s="41">
        <v>21959.322696986048</v>
      </c>
      <c r="AY197" s="41">
        <v>22935.941158631289</v>
      </c>
      <c r="AZ197" s="41">
        <v>23664.882348509582</v>
      </c>
      <c r="BA197" s="41">
        <v>24898.334585704462</v>
      </c>
      <c r="BB197" s="41">
        <v>25768.725888338446</v>
      </c>
      <c r="BC197" s="41">
        <v>26435.748785780022</v>
      </c>
      <c r="BD197" s="41">
        <v>27278.883049920463</v>
      </c>
      <c r="BE197" s="41">
        <v>27944.733893742392</v>
      </c>
      <c r="BF197" s="41">
        <v>28513.165735106708</v>
      </c>
      <c r="BG197" s="41">
        <v>28981.457330586607</v>
      </c>
      <c r="BH197" s="41">
        <v>29763.488301386144</v>
      </c>
      <c r="BI197" s="41">
        <v>30627.163401701131</v>
      </c>
      <c r="BJ197" s="41">
        <v>31108.752750891203</v>
      </c>
      <c r="BK197" s="41">
        <v>31604.70151445784</v>
      </c>
      <c r="BL197" s="41">
        <v>32850.548612359227</v>
      </c>
      <c r="BM197" s="41">
        <v>32290.921136093104</v>
      </c>
    </row>
    <row r="198" spans="1:65" x14ac:dyDescent="0.35">
      <c r="A198" s="41" t="s">
        <v>665</v>
      </c>
      <c r="B198" s="41" t="s">
        <v>490</v>
      </c>
      <c r="C198" s="41" t="s">
        <v>659</v>
      </c>
      <c r="D198" s="41" t="s">
        <v>660</v>
      </c>
    </row>
    <row r="199" spans="1:65" x14ac:dyDescent="0.35">
      <c r="A199" s="41" t="s">
        <v>491</v>
      </c>
      <c r="B199" s="41" t="s">
        <v>492</v>
      </c>
      <c r="C199" s="41" t="s">
        <v>659</v>
      </c>
      <c r="D199" s="41" t="s">
        <v>660</v>
      </c>
      <c r="E199" s="41">
        <v>360.49929850685811</v>
      </c>
      <c r="F199" s="41">
        <v>382.72994699436811</v>
      </c>
      <c r="G199" s="41">
        <v>407.85284361237183</v>
      </c>
      <c r="H199" s="41">
        <v>432.51172957507521</v>
      </c>
      <c r="I199" s="41">
        <v>468.78108163544283</v>
      </c>
      <c r="J199" s="41">
        <v>520.91065936788448</v>
      </c>
      <c r="K199" s="41">
        <v>575.00768066822127</v>
      </c>
      <c r="L199" s="41">
        <v>646.82272006083997</v>
      </c>
      <c r="M199" s="41">
        <v>719.08049185329003</v>
      </c>
      <c r="N199" s="41">
        <v>795.75937139109908</v>
      </c>
      <c r="O199" s="41">
        <v>934.08215609611671</v>
      </c>
      <c r="P199" s="41">
        <v>1064.5377125734099</v>
      </c>
      <c r="Q199" s="41">
        <v>1302.2662677392957</v>
      </c>
      <c r="R199" s="41">
        <v>1747.9890406026593</v>
      </c>
      <c r="S199" s="41">
        <v>2000.4182457468232</v>
      </c>
      <c r="T199" s="41">
        <v>2127.6375072593028</v>
      </c>
      <c r="U199" s="41">
        <v>2173.2839342597531</v>
      </c>
      <c r="V199" s="41">
        <v>2267.3710031947844</v>
      </c>
      <c r="W199" s="41">
        <v>2457.3132164459907</v>
      </c>
      <c r="X199" s="41">
        <v>2755.6246177008029</v>
      </c>
      <c r="Y199" s="41">
        <v>3368.3666694027943</v>
      </c>
      <c r="Z199" s="41">
        <v>3245.9752136774759</v>
      </c>
      <c r="AA199" s="41">
        <v>3079.9495663427097</v>
      </c>
      <c r="AB199" s="41">
        <v>2735.491065800466</v>
      </c>
      <c r="AC199" s="41">
        <v>2522.7474762065804</v>
      </c>
      <c r="AD199" s="41">
        <v>2705.1930019731712</v>
      </c>
      <c r="AE199" s="41">
        <v>3861.9484333688047</v>
      </c>
      <c r="AF199" s="41">
        <v>4803.8660954694096</v>
      </c>
      <c r="AG199" s="41">
        <v>5623.6969998212335</v>
      </c>
      <c r="AH199" s="41">
        <v>6056.3810277188886</v>
      </c>
      <c r="AI199" s="41">
        <v>7884.6179875633179</v>
      </c>
      <c r="AJ199" s="41">
        <v>8958.985333024697</v>
      </c>
      <c r="AK199" s="41">
        <v>10810.566507962558</v>
      </c>
      <c r="AL199" s="41">
        <v>9534.6563637307972</v>
      </c>
      <c r="AM199" s="41">
        <v>9977.3199090577091</v>
      </c>
      <c r="AN199" s="41">
        <v>11781.361850222052</v>
      </c>
      <c r="AO199" s="41">
        <v>12185.091401062937</v>
      </c>
      <c r="AP199" s="41">
        <v>11575.507112435833</v>
      </c>
      <c r="AQ199" s="41">
        <v>12199.206385024034</v>
      </c>
      <c r="AR199" s="41">
        <v>12471.079364075355</v>
      </c>
      <c r="AS199" s="41">
        <v>11497.753460452463</v>
      </c>
      <c r="AT199" s="41">
        <v>11724.611495460229</v>
      </c>
      <c r="AU199" s="41">
        <v>12875.320792258501</v>
      </c>
      <c r="AV199" s="41">
        <v>15762.975789736684</v>
      </c>
      <c r="AW199" s="41">
        <v>18031.000421576784</v>
      </c>
      <c r="AX199" s="41">
        <v>18773.125361635433</v>
      </c>
      <c r="AY199" s="41">
        <v>19822.846028733555</v>
      </c>
      <c r="AZ199" s="41">
        <v>22782.09462246289</v>
      </c>
      <c r="BA199" s="41">
        <v>24847.545135091001</v>
      </c>
      <c r="BB199" s="41">
        <v>23059.797445729448</v>
      </c>
      <c r="BC199" s="41">
        <v>22498.690858655656</v>
      </c>
      <c r="BD199" s="41">
        <v>23186.913128327826</v>
      </c>
      <c r="BE199" s="41">
        <v>20564.889861796943</v>
      </c>
      <c r="BF199" s="41">
        <v>21647.041811886884</v>
      </c>
      <c r="BG199" s="41">
        <v>22074.300763421557</v>
      </c>
      <c r="BH199" s="41">
        <v>19242.366471098059</v>
      </c>
      <c r="BI199" s="41">
        <v>19978.401214968002</v>
      </c>
      <c r="BJ199" s="41">
        <v>21437.347503679397</v>
      </c>
      <c r="BK199" s="41">
        <v>23551.048290561375</v>
      </c>
      <c r="BL199" s="41">
        <v>23284.52723290024</v>
      </c>
      <c r="BM199" s="41">
        <v>22439.876873962599</v>
      </c>
    </row>
    <row r="200" spans="1:65" x14ac:dyDescent="0.35">
      <c r="A200" s="41" t="s">
        <v>493</v>
      </c>
      <c r="B200" s="41" t="s">
        <v>494</v>
      </c>
      <c r="C200" s="41" t="s">
        <v>659</v>
      </c>
      <c r="D200" s="41" t="s">
        <v>660</v>
      </c>
      <c r="J200" s="41">
        <v>204.20083035484436</v>
      </c>
      <c r="K200" s="41">
        <v>208.85013530928575</v>
      </c>
      <c r="L200" s="41">
        <v>215.06689731765982</v>
      </c>
      <c r="M200" s="41">
        <v>220.09654795720346</v>
      </c>
      <c r="N200" s="41">
        <v>230.50243341484395</v>
      </c>
      <c r="O200" s="41">
        <v>240.27050377516304</v>
      </c>
      <c r="P200" s="41">
        <v>262.06769041693605</v>
      </c>
      <c r="Q200" s="41">
        <v>296.10918839838706</v>
      </c>
      <c r="R200" s="41">
        <v>374.3419597941151</v>
      </c>
      <c r="S200" s="41">
        <v>489.56148169531156</v>
      </c>
      <c r="T200" s="41">
        <v>541.48794115604517</v>
      </c>
      <c r="U200" s="41">
        <v>593.65432558745454</v>
      </c>
      <c r="V200" s="41">
        <v>712.65851537063611</v>
      </c>
      <c r="W200" s="41">
        <v>849.52486769642223</v>
      </c>
      <c r="X200" s="41">
        <v>1103.9131136987428</v>
      </c>
      <c r="Y200" s="41">
        <v>1398.0542978756785</v>
      </c>
      <c r="Z200" s="41">
        <v>1718.499821571022</v>
      </c>
      <c r="AA200" s="41">
        <v>1608.7245569682052</v>
      </c>
      <c r="AB200" s="41">
        <v>1635.6334871774577</v>
      </c>
      <c r="AC200" s="41">
        <v>1260.7437979601677</v>
      </c>
      <c r="AD200" s="41">
        <v>892.89045169737813</v>
      </c>
      <c r="AE200" s="41">
        <v>984.38305534600761</v>
      </c>
      <c r="AF200" s="41">
        <v>1020.3816363698726</v>
      </c>
      <c r="AG200" s="41">
        <v>1063.4747544254383</v>
      </c>
      <c r="AH200" s="41">
        <v>1156.9246249550813</v>
      </c>
      <c r="AI200" s="41">
        <v>1376.165324827816</v>
      </c>
      <c r="AJ200" s="41">
        <v>1611.3998605796564</v>
      </c>
      <c r="AK200" s="41">
        <v>1610.2122468003972</v>
      </c>
      <c r="AL200" s="41">
        <v>1591.3741577370872</v>
      </c>
      <c r="AM200" s="41">
        <v>1686.8452781124745</v>
      </c>
      <c r="AN200" s="41">
        <v>1897.098347279765</v>
      </c>
      <c r="AO200" s="41">
        <v>2002.6834598888481</v>
      </c>
      <c r="AP200" s="41">
        <v>1993.8043763166875</v>
      </c>
      <c r="AQ200" s="41">
        <v>1812.993667073483</v>
      </c>
      <c r="AR200" s="41">
        <v>1694.1112103221146</v>
      </c>
      <c r="AS200" s="41">
        <v>1663.6049391998586</v>
      </c>
      <c r="AT200" s="41">
        <v>1565.0542885388975</v>
      </c>
      <c r="AU200" s="41">
        <v>1300.8523667109473</v>
      </c>
      <c r="AV200" s="41">
        <v>1365.416418118059</v>
      </c>
      <c r="AW200" s="41">
        <v>1679.4951198964104</v>
      </c>
      <c r="AX200" s="41">
        <v>1843.6341076360034</v>
      </c>
      <c r="AY200" s="41">
        <v>2271.0888854079567</v>
      </c>
      <c r="AZ200" s="41">
        <v>2976.8240144759475</v>
      </c>
      <c r="BA200" s="41">
        <v>4047.9097906486541</v>
      </c>
      <c r="BB200" s="41">
        <v>3626.8186369100622</v>
      </c>
      <c r="BC200" s="41">
        <v>4359.4284153981653</v>
      </c>
      <c r="BD200" s="41">
        <v>5329.3874368268553</v>
      </c>
      <c r="BE200" s="41">
        <v>5185.1415487127906</v>
      </c>
      <c r="BF200" s="41">
        <v>5936.975959022483</v>
      </c>
      <c r="BG200" s="41">
        <v>6118.3181103196202</v>
      </c>
      <c r="BH200" s="41">
        <v>5413.7760206185831</v>
      </c>
      <c r="BI200" s="41">
        <v>5324.6090677777684</v>
      </c>
      <c r="BJ200" s="41">
        <v>5678.869972200001</v>
      </c>
      <c r="BK200" s="41">
        <v>5782.7845498128563</v>
      </c>
      <c r="BL200" s="41">
        <v>5380.963321841301</v>
      </c>
      <c r="BM200" s="41">
        <v>4949.7497003325871</v>
      </c>
    </row>
    <row r="201" spans="1:65" x14ac:dyDescent="0.35">
      <c r="A201" s="41" t="s">
        <v>495</v>
      </c>
      <c r="B201" s="41" t="s">
        <v>496</v>
      </c>
      <c r="C201" s="41" t="s">
        <v>659</v>
      </c>
      <c r="D201" s="41" t="s">
        <v>660</v>
      </c>
      <c r="AM201" s="41">
        <v>1201.5815421388177</v>
      </c>
      <c r="AN201" s="41">
        <v>1326.5628573714594</v>
      </c>
      <c r="AO201" s="41">
        <v>1317.4667513138538</v>
      </c>
      <c r="AP201" s="41">
        <v>1389.1649713765066</v>
      </c>
      <c r="AQ201" s="41">
        <v>1465.0460568586832</v>
      </c>
      <c r="AR201" s="41">
        <v>1499.492176570189</v>
      </c>
      <c r="AS201" s="41">
        <v>1476.1718500023783</v>
      </c>
      <c r="AT201" s="41">
        <v>1335.5531952935903</v>
      </c>
      <c r="AU201" s="41">
        <v>1156.2174734576911</v>
      </c>
      <c r="AV201" s="41">
        <v>1257.6985700968853</v>
      </c>
      <c r="AW201" s="41">
        <v>1422.1908864354423</v>
      </c>
      <c r="AX201" s="41">
        <v>1543.7014139277364</v>
      </c>
      <c r="AY201" s="41">
        <v>1570.1043996272826</v>
      </c>
      <c r="AZ201" s="41">
        <v>1664.2457166927647</v>
      </c>
      <c r="BA201" s="41">
        <v>2035.2023412176636</v>
      </c>
      <c r="BB201" s="41">
        <v>2191.7817873686772</v>
      </c>
      <c r="BC201" s="41">
        <v>2557.0756235669851</v>
      </c>
      <c r="BD201" s="41">
        <v>2880.7984370790932</v>
      </c>
      <c r="BE201" s="41">
        <v>3067.4387273561442</v>
      </c>
      <c r="BF201" s="41">
        <v>3315.2975390928173</v>
      </c>
      <c r="BG201" s="41">
        <v>3352.1125950604278</v>
      </c>
      <c r="BH201" s="41">
        <v>3272.1543236070793</v>
      </c>
      <c r="BI201" s="41">
        <v>3527.6138241317785</v>
      </c>
      <c r="BJ201" s="41">
        <v>3620.3604871593707</v>
      </c>
      <c r="BK201" s="41">
        <v>3562.3309427025574</v>
      </c>
      <c r="BL201" s="41">
        <v>3656.8582713701089</v>
      </c>
      <c r="BM201" s="41">
        <v>3239.7311081265698</v>
      </c>
    </row>
    <row r="202" spans="1:65" x14ac:dyDescent="0.35">
      <c r="A202" s="41" t="s">
        <v>497</v>
      </c>
      <c r="B202" s="41" t="s">
        <v>498</v>
      </c>
      <c r="C202" s="41" t="s">
        <v>659</v>
      </c>
      <c r="D202" s="41" t="s">
        <v>660</v>
      </c>
      <c r="T202" s="41">
        <v>888.81782884566564</v>
      </c>
      <c r="U202" s="41">
        <v>873.17079380980829</v>
      </c>
      <c r="V202" s="41">
        <v>892.64317536775457</v>
      </c>
      <c r="W202" s="41">
        <v>1014.1937316213034</v>
      </c>
      <c r="X202" s="41">
        <v>1216.5854624215185</v>
      </c>
      <c r="Y202" s="41">
        <v>1381.5236414733984</v>
      </c>
      <c r="Z202" s="41">
        <v>1391.0927115199729</v>
      </c>
      <c r="AA202" s="41">
        <v>1326.6949153545056</v>
      </c>
      <c r="AB202" s="41">
        <v>1232.9750773239909</v>
      </c>
      <c r="AC202" s="41">
        <v>1271.7566924026464</v>
      </c>
      <c r="AD202" s="41">
        <v>1182.0250027224365</v>
      </c>
      <c r="AE202" s="41">
        <v>1269.2530831850845</v>
      </c>
      <c r="AF202" s="41">
        <v>1217.4113679722607</v>
      </c>
      <c r="AG202" s="41">
        <v>1231.0034845363289</v>
      </c>
      <c r="AH202" s="41">
        <v>1256.7672676136647</v>
      </c>
      <c r="AI202" s="41">
        <v>1387.6587568859907</v>
      </c>
      <c r="AJ202" s="41">
        <v>1452.7391022508248</v>
      </c>
      <c r="AK202" s="41">
        <v>1566.5804015464028</v>
      </c>
      <c r="AL202" s="41">
        <v>1631.7925804339213</v>
      </c>
      <c r="AM202" s="41">
        <v>1889.8667320623852</v>
      </c>
      <c r="AN202" s="41">
        <v>2018.1821552119945</v>
      </c>
      <c r="AO202" s="41">
        <v>2129.4816899674897</v>
      </c>
      <c r="AP202" s="41">
        <v>2104.9732942470732</v>
      </c>
      <c r="AQ202" s="41">
        <v>1780.2711604151398</v>
      </c>
      <c r="AR202" s="41">
        <v>1935.2807993220354</v>
      </c>
      <c r="AS202" s="41">
        <v>1755.4180699386259</v>
      </c>
      <c r="AT202" s="41">
        <v>1711.101284396037</v>
      </c>
      <c r="AU202" s="41">
        <v>1776.6162450546778</v>
      </c>
      <c r="AV202" s="41">
        <v>2060.3272025798346</v>
      </c>
      <c r="AW202" s="41">
        <v>2349.7360912850586</v>
      </c>
      <c r="AX202" s="41">
        <v>2568.7506449864445</v>
      </c>
      <c r="AY202" s="41">
        <v>2672.0336100129634</v>
      </c>
      <c r="AZ202" s="41">
        <v>2909.1285140603395</v>
      </c>
      <c r="BA202" s="41">
        <v>3063.4783800806636</v>
      </c>
      <c r="BB202" s="41">
        <v>2706.0253851351235</v>
      </c>
      <c r="BC202" s="41">
        <v>2965.3636098028805</v>
      </c>
      <c r="BD202" s="41">
        <v>3440.7204605438751</v>
      </c>
      <c r="BE202" s="41">
        <v>3608.9239101869857</v>
      </c>
      <c r="BF202" s="41">
        <v>3702.1493451128663</v>
      </c>
      <c r="BG202" s="41">
        <v>3970.7848075273118</v>
      </c>
      <c r="BH202" s="41">
        <v>3832.4388055143086</v>
      </c>
      <c r="BI202" s="41">
        <v>3962.4398484452968</v>
      </c>
      <c r="BJ202" s="41">
        <v>4220.7364364081841</v>
      </c>
      <c r="BK202" s="41">
        <v>4336.9853079145159</v>
      </c>
      <c r="BL202" s="41">
        <v>4268.8383129197919</v>
      </c>
      <c r="BM202" s="41">
        <v>3626.2905894353598</v>
      </c>
    </row>
    <row r="203" spans="1:65" x14ac:dyDescent="0.35">
      <c r="A203" s="41" t="s">
        <v>499</v>
      </c>
      <c r="B203" s="41" t="s">
        <v>500</v>
      </c>
      <c r="C203" s="41" t="s">
        <v>659</v>
      </c>
      <c r="D203" s="41" t="s">
        <v>660</v>
      </c>
      <c r="E203" s="41">
        <v>1385.4488177930341</v>
      </c>
      <c r="F203" s="41">
        <v>1447.2306311552702</v>
      </c>
      <c r="G203" s="41">
        <v>1543.5929724363311</v>
      </c>
      <c r="H203" s="41">
        <v>1643.0145417800954</v>
      </c>
      <c r="I203" s="41">
        <v>1771.9154852550791</v>
      </c>
      <c r="J203" s="41">
        <v>1903.9158691020348</v>
      </c>
      <c r="K203" s="41">
        <v>2067.0156253347927</v>
      </c>
      <c r="L203" s="41">
        <v>2197.6743677579057</v>
      </c>
      <c r="M203" s="41">
        <v>2361.9357597417115</v>
      </c>
      <c r="N203" s="41">
        <v>2573.5019400921769</v>
      </c>
      <c r="O203" s="41">
        <v>2785.000661739798</v>
      </c>
      <c r="P203" s="41">
        <v>3053.8512512776288</v>
      </c>
      <c r="Q203" s="41">
        <v>3509.8557777787287</v>
      </c>
      <c r="R203" s="41">
        <v>4200.7382639896468</v>
      </c>
      <c r="S203" s="41">
        <v>4651.9364875805331</v>
      </c>
      <c r="T203" s="41">
        <v>5171.0965551027039</v>
      </c>
      <c r="U203" s="41">
        <v>5571.6257391045574</v>
      </c>
      <c r="V203" s="41">
        <v>6255.935092854812</v>
      </c>
      <c r="W203" s="41">
        <v>7465.5714449338593</v>
      </c>
      <c r="X203" s="41">
        <v>8522.7902243162662</v>
      </c>
      <c r="Y203" s="41">
        <v>9374.4152996857956</v>
      </c>
      <c r="Z203" s="41">
        <v>9417.3644526244643</v>
      </c>
      <c r="AA203" s="41">
        <v>9319.6706507246672</v>
      </c>
      <c r="AB203" s="41">
        <v>9618.5241554448239</v>
      </c>
      <c r="AC203" s="41">
        <v>10000.171043593886</v>
      </c>
      <c r="AD203" s="41">
        <v>10475.806266141366</v>
      </c>
      <c r="AE203" s="41">
        <v>12730.313826683932</v>
      </c>
      <c r="AF203" s="41">
        <v>14677.651891583293</v>
      </c>
      <c r="AG203" s="41">
        <v>16438.809436350748</v>
      </c>
      <c r="AH203" s="41">
        <v>17063.184436065581</v>
      </c>
      <c r="AI203" s="41">
        <v>19031.871712616117</v>
      </c>
      <c r="AJ203" s="41">
        <v>19954.484234459254</v>
      </c>
      <c r="AK203" s="41">
        <v>21277.122754375774</v>
      </c>
      <c r="AL203" s="41">
        <v>21279.380077632191</v>
      </c>
      <c r="AM203" s="41">
        <v>22656.164249481099</v>
      </c>
      <c r="AN203" s="41">
        <v>24992.541366913221</v>
      </c>
      <c r="AO203" s="41">
        <v>24984.149263403331</v>
      </c>
      <c r="AP203" s="41">
        <v>24381.575162230292</v>
      </c>
      <c r="AQ203" s="41">
        <v>24381.278868404941</v>
      </c>
      <c r="AR203" s="41">
        <v>25469.744189387089</v>
      </c>
      <c r="AS203" s="41">
        <v>25765.861022457702</v>
      </c>
      <c r="AT203" s="41">
        <v>25407.909568107036</v>
      </c>
      <c r="AU203" s="41">
        <v>26361.441383860816</v>
      </c>
      <c r="AV203" s="41">
        <v>29421.815503845875</v>
      </c>
      <c r="AW203" s="41">
        <v>32521.671812813227</v>
      </c>
      <c r="AX203" s="41">
        <v>34064.730048843528</v>
      </c>
      <c r="AY203" s="41">
        <v>35662.290464346639</v>
      </c>
      <c r="AZ203" s="41">
        <v>38696.181238264602</v>
      </c>
      <c r="BA203" s="41">
        <v>40660.801045348788</v>
      </c>
      <c r="BB203" s="41">
        <v>38123.075121321999</v>
      </c>
      <c r="BC203" s="41">
        <v>39586.839540408582</v>
      </c>
      <c r="BD203" s="41">
        <v>42386.483332030803</v>
      </c>
      <c r="BE203" s="41">
        <v>42167.513299483624</v>
      </c>
      <c r="BF203" s="41">
        <v>42406.93067247318</v>
      </c>
      <c r="BG203" s="41">
        <v>43092.618941096058</v>
      </c>
      <c r="BH203" s="41">
        <v>40618.925088946686</v>
      </c>
      <c r="BI203" s="41">
        <v>41340.503793928103</v>
      </c>
      <c r="BJ203" s="41">
        <v>42933.613552004746</v>
      </c>
      <c r="BK203" s="41">
        <v>45364.584179603073</v>
      </c>
      <c r="BL203" s="41">
        <v>45650.14026801406</v>
      </c>
      <c r="BM203" s="41">
        <v>44217.89722606758</v>
      </c>
    </row>
    <row r="204" spans="1:65" x14ac:dyDescent="0.35">
      <c r="A204" s="41" t="s">
        <v>501</v>
      </c>
      <c r="B204" s="41" t="s">
        <v>502</v>
      </c>
      <c r="C204" s="41" t="s">
        <v>659</v>
      </c>
      <c r="D204" s="41" t="s">
        <v>660</v>
      </c>
      <c r="J204" s="41">
        <v>1889.2424135120023</v>
      </c>
      <c r="K204" s="41">
        <v>2229.7527374900669</v>
      </c>
      <c r="L204" s="41">
        <v>2210.0646977612778</v>
      </c>
      <c r="M204" s="41">
        <v>2512.2673817902123</v>
      </c>
      <c r="N204" s="41">
        <v>2274.4563152985484</v>
      </c>
      <c r="O204" s="41">
        <v>2299.1763889691083</v>
      </c>
      <c r="P204" s="41">
        <v>2593.1153286992972</v>
      </c>
      <c r="Q204" s="41">
        <v>2751.1715384177601</v>
      </c>
      <c r="R204" s="41">
        <v>3516.3942160164756</v>
      </c>
      <c r="S204" s="41">
        <v>4375.5307375805933</v>
      </c>
      <c r="T204" s="41">
        <v>5260.4207523580335</v>
      </c>
      <c r="U204" s="41">
        <v>5401.9736302488964</v>
      </c>
      <c r="V204" s="41">
        <v>5669.9991237272052</v>
      </c>
      <c r="W204" s="41">
        <v>6969.9340431517312</v>
      </c>
      <c r="X204" s="41">
        <v>8169.1595416512237</v>
      </c>
      <c r="Y204" s="41">
        <v>8885.6444551783661</v>
      </c>
      <c r="Z204" s="41">
        <v>8103.4533242698362</v>
      </c>
      <c r="AA204" s="41">
        <v>7907.9822388690291</v>
      </c>
      <c r="AB204" s="41">
        <v>7977.5898528078842</v>
      </c>
      <c r="AC204" s="41">
        <v>8005.8020852301797</v>
      </c>
      <c r="AD204" s="41">
        <v>8514.2736515908146</v>
      </c>
      <c r="AE204" s="41">
        <v>12659.109480372401</v>
      </c>
      <c r="AF204" s="41">
        <v>13630.025234148479</v>
      </c>
      <c r="AG204" s="41">
        <v>14051.4108001144</v>
      </c>
      <c r="AH204" s="41">
        <v>13470.02737015244</v>
      </c>
      <c r="AI204" s="41">
        <v>15913.510874188327</v>
      </c>
      <c r="AJ204" s="41">
        <v>16038.836467902773</v>
      </c>
      <c r="AK204" s="41">
        <v>17169.703964755914</v>
      </c>
      <c r="AL204" s="41">
        <v>17539.547292551641</v>
      </c>
      <c r="AM204" s="41">
        <v>16444.155452985415</v>
      </c>
      <c r="AN204" s="41">
        <v>18262.413080229133</v>
      </c>
      <c r="AO204" s="41">
        <v>17788.069042559331</v>
      </c>
      <c r="AP204" s="41">
        <v>15724.045032809325</v>
      </c>
      <c r="AQ204" s="41">
        <v>16303.023800922765</v>
      </c>
      <c r="AR204" s="41">
        <v>16074.270982600239</v>
      </c>
      <c r="AS204" s="41">
        <v>14324.118388827943</v>
      </c>
    </row>
    <row r="205" spans="1:65" x14ac:dyDescent="0.35">
      <c r="A205" s="41" t="s">
        <v>503</v>
      </c>
      <c r="B205" s="41" t="s">
        <v>504</v>
      </c>
      <c r="C205" s="41" t="s">
        <v>659</v>
      </c>
      <c r="D205" s="41" t="s">
        <v>660</v>
      </c>
      <c r="O205" s="41">
        <v>2755.5564849782395</v>
      </c>
      <c r="P205" s="41">
        <v>3246.7158872651917</v>
      </c>
      <c r="Q205" s="41">
        <v>3909.8880557869375</v>
      </c>
      <c r="R205" s="41">
        <v>5583.6178395174975</v>
      </c>
      <c r="S205" s="41">
        <v>15631.69314326438</v>
      </c>
      <c r="T205" s="41">
        <v>15292.574177357248</v>
      </c>
      <c r="U205" s="41">
        <v>18906.153331814767</v>
      </c>
      <c r="V205" s="41">
        <v>19842.036056365741</v>
      </c>
      <c r="W205" s="41">
        <v>21109.996054644609</v>
      </c>
      <c r="X205" s="41">
        <v>27455.0149046849</v>
      </c>
      <c r="Y205" s="41">
        <v>35010.395278956552</v>
      </c>
      <c r="Z205" s="41">
        <v>34926.703995968543</v>
      </c>
      <c r="AA205" s="41">
        <v>27402.267491083956</v>
      </c>
      <c r="AB205" s="41">
        <v>20910.453340270444</v>
      </c>
      <c r="AC205" s="41">
        <v>19645.31465861783</v>
      </c>
      <c r="AD205" s="41">
        <v>16590.802715777776</v>
      </c>
      <c r="AE205" s="41">
        <v>12704.36630692351</v>
      </c>
      <c r="AF205" s="41">
        <v>12901.520964668534</v>
      </c>
      <c r="AG205" s="41">
        <v>13611.445687701686</v>
      </c>
      <c r="AH205" s="41">
        <v>14052.58981804181</v>
      </c>
      <c r="AI205" s="41">
        <v>15454.179671569833</v>
      </c>
      <c r="AJ205" s="41">
        <v>14124.263848283759</v>
      </c>
      <c r="AK205" s="41">
        <v>15434.210094643115</v>
      </c>
      <c r="AL205" s="41">
        <v>14270.973767288666</v>
      </c>
      <c r="AM205" s="41">
        <v>14544.005587741436</v>
      </c>
      <c r="AN205" s="41">
        <v>15849.565735162494</v>
      </c>
      <c r="AO205" s="41">
        <v>17337.421865143668</v>
      </c>
      <c r="AP205" s="41">
        <v>21104.763721483625</v>
      </c>
      <c r="AQ205" s="41">
        <v>18593.414074603086</v>
      </c>
      <c r="AR205" s="41">
        <v>21723.814200754914</v>
      </c>
      <c r="AS205" s="41">
        <v>29976.167634467591</v>
      </c>
      <c r="AT205" s="41">
        <v>28517.22083673278</v>
      </c>
      <c r="AU205" s="41">
        <v>30214.670423635707</v>
      </c>
      <c r="AV205" s="41">
        <v>34517.603208008331</v>
      </c>
      <c r="AW205" s="41">
        <v>42124.940841575735</v>
      </c>
      <c r="AX205" s="41">
        <v>51455.950942899326</v>
      </c>
      <c r="AY205" s="41">
        <v>59530.561000194437</v>
      </c>
      <c r="AZ205" s="41">
        <v>65421.376916968409</v>
      </c>
      <c r="BA205" s="41">
        <v>80234.190833702203</v>
      </c>
      <c r="BB205" s="41">
        <v>59094.659183846488</v>
      </c>
      <c r="BC205" s="41">
        <v>67403.08767796756</v>
      </c>
      <c r="BD205" s="41">
        <v>82409.941643410551</v>
      </c>
      <c r="BE205" s="41">
        <v>85075.986536966491</v>
      </c>
      <c r="BF205" s="41">
        <v>85050.684346344249</v>
      </c>
      <c r="BG205" s="41">
        <v>83858.34045540946</v>
      </c>
      <c r="BH205" s="41">
        <v>63039.112626124173</v>
      </c>
      <c r="BI205" s="41">
        <v>57162.968007625685</v>
      </c>
      <c r="BJ205" s="41">
        <v>59124.867267548863</v>
      </c>
      <c r="BK205" s="41">
        <v>65907.948433073499</v>
      </c>
      <c r="BL205" s="41">
        <v>62087.974134894626</v>
      </c>
      <c r="BM205" s="41">
        <v>50805.463567753184</v>
      </c>
    </row>
    <row r="206" spans="1:65" x14ac:dyDescent="0.35">
      <c r="A206" s="41" t="s">
        <v>505</v>
      </c>
      <c r="B206" s="41" t="s">
        <v>506</v>
      </c>
      <c r="C206" s="41" t="s">
        <v>659</v>
      </c>
      <c r="D206" s="41" t="s">
        <v>660</v>
      </c>
      <c r="AF206" s="41">
        <v>1673.8383638999469</v>
      </c>
      <c r="AG206" s="41">
        <v>1769.8899311440948</v>
      </c>
      <c r="AH206" s="41">
        <v>1817.9021008908308</v>
      </c>
      <c r="AI206" s="41">
        <v>1680.7056228722661</v>
      </c>
      <c r="AJ206" s="41">
        <v>1260.7490454512531</v>
      </c>
      <c r="AK206" s="41">
        <v>1102.1037847324649</v>
      </c>
      <c r="AL206" s="41">
        <v>1158.1325159134408</v>
      </c>
      <c r="AM206" s="41">
        <v>1323.1043250493226</v>
      </c>
      <c r="AN206" s="41">
        <v>1650.2764808003708</v>
      </c>
      <c r="AO206" s="41">
        <v>1633.0106435411724</v>
      </c>
      <c r="AP206" s="41">
        <v>1577.3233570877323</v>
      </c>
      <c r="AQ206" s="41">
        <v>1852.4673090041251</v>
      </c>
      <c r="AR206" s="41">
        <v>1599.8895330467685</v>
      </c>
      <c r="AS206" s="41">
        <v>1659.9076395454754</v>
      </c>
      <c r="AT206" s="41">
        <v>1825.1798045597939</v>
      </c>
      <c r="AU206" s="41">
        <v>2119.8826732391799</v>
      </c>
      <c r="AV206" s="41">
        <v>2679.4119095120927</v>
      </c>
      <c r="AW206" s="41">
        <v>3494.9445171830384</v>
      </c>
      <c r="AX206" s="41">
        <v>4617.9290164325794</v>
      </c>
      <c r="AY206" s="41">
        <v>5757.4964285718988</v>
      </c>
      <c r="AZ206" s="41">
        <v>8360.1663213248539</v>
      </c>
      <c r="BA206" s="41">
        <v>10435.043984103731</v>
      </c>
      <c r="BB206" s="41">
        <v>8548.1186721863851</v>
      </c>
      <c r="BC206" s="41">
        <v>8214.0768928981106</v>
      </c>
      <c r="BD206" s="41">
        <v>9099.2175388969044</v>
      </c>
      <c r="BE206" s="41">
        <v>8507.1047745643627</v>
      </c>
      <c r="BF206" s="41">
        <v>9547.8521509661241</v>
      </c>
      <c r="BG206" s="41">
        <v>10043.677449761379</v>
      </c>
      <c r="BH206" s="41">
        <v>8969.1489214619342</v>
      </c>
      <c r="BI206" s="41">
        <v>9548.5874029826755</v>
      </c>
      <c r="BJ206" s="41">
        <v>10807.009167199336</v>
      </c>
      <c r="BK206" s="41">
        <v>12398.981978766609</v>
      </c>
      <c r="BL206" s="41">
        <v>12889.809611149216</v>
      </c>
      <c r="BM206" s="41">
        <v>12896.088621162235</v>
      </c>
    </row>
    <row r="207" spans="1:65" x14ac:dyDescent="0.35">
      <c r="A207" s="41" t="s">
        <v>507</v>
      </c>
      <c r="B207" s="41" t="s">
        <v>508</v>
      </c>
      <c r="C207" s="41" t="s">
        <v>659</v>
      </c>
      <c r="D207" s="41" t="s">
        <v>660</v>
      </c>
      <c r="AG207" s="41">
        <v>3777.2353728423</v>
      </c>
      <c r="AH207" s="41">
        <v>3428.7621527086098</v>
      </c>
      <c r="AI207" s="41">
        <v>3492.7103142473002</v>
      </c>
      <c r="AJ207" s="41">
        <v>3490.45250498822</v>
      </c>
      <c r="AK207" s="41">
        <v>3098.8026393017699</v>
      </c>
      <c r="AL207" s="41">
        <v>2930.6702011349398</v>
      </c>
      <c r="AM207" s="41">
        <v>2662.1040342408701</v>
      </c>
      <c r="AN207" s="41">
        <v>2665.7798669998201</v>
      </c>
      <c r="AO207" s="41">
        <v>2643.9291959883299</v>
      </c>
      <c r="AP207" s="41">
        <v>2737.5720239892898</v>
      </c>
      <c r="AQ207" s="41">
        <v>1834.86184283035</v>
      </c>
      <c r="AR207" s="41">
        <v>1330.75723561155</v>
      </c>
      <c r="AS207" s="41">
        <v>1771.59405905827</v>
      </c>
      <c r="AT207" s="41">
        <v>2100.3525117182899</v>
      </c>
      <c r="AU207" s="41">
        <v>2377.5295774824399</v>
      </c>
      <c r="AV207" s="41">
        <v>2975.12535330125</v>
      </c>
      <c r="AW207" s="41">
        <v>4102.3648329979196</v>
      </c>
      <c r="AX207" s="41">
        <v>5323.4630826338298</v>
      </c>
      <c r="AY207" s="41">
        <v>6920.1891248329102</v>
      </c>
      <c r="AZ207" s="41">
        <v>9101.2550490567191</v>
      </c>
      <c r="BA207" s="41">
        <v>11635.272933788799</v>
      </c>
      <c r="BB207" s="41">
        <v>8562.8132771651508</v>
      </c>
      <c r="BC207" s="41">
        <v>10674.995782567499</v>
      </c>
      <c r="BD207" s="41">
        <v>14311.0843159612</v>
      </c>
      <c r="BE207" s="41">
        <v>15420.874541327301</v>
      </c>
      <c r="BF207" s="41">
        <v>15974.644627051701</v>
      </c>
      <c r="BG207" s="41">
        <v>14095.648742953999</v>
      </c>
      <c r="BH207" s="41">
        <v>9313.0136248499603</v>
      </c>
      <c r="BI207" s="41">
        <v>8704.8984132959395</v>
      </c>
      <c r="BJ207" s="41">
        <v>10720.3326583505</v>
      </c>
      <c r="BK207" s="41">
        <v>11287.355278081501</v>
      </c>
      <c r="BL207" s="41">
        <v>11497.6492498593</v>
      </c>
      <c r="BM207" s="41">
        <v>10126.721793529699</v>
      </c>
    </row>
    <row r="208" spans="1:65" x14ac:dyDescent="0.35">
      <c r="A208" s="41" t="s">
        <v>14</v>
      </c>
      <c r="B208" s="41" t="s">
        <v>509</v>
      </c>
      <c r="C208" s="41" t="s">
        <v>659</v>
      </c>
      <c r="D208" s="41" t="s">
        <v>660</v>
      </c>
      <c r="E208" s="41">
        <v>40.537211278880626</v>
      </c>
      <c r="F208" s="41">
        <v>40.68926810688869</v>
      </c>
      <c r="G208" s="41">
        <v>40.944181946761432</v>
      </c>
      <c r="H208" s="41">
        <v>41.218296930814766</v>
      </c>
      <c r="I208" s="41">
        <v>41.08387938025281</v>
      </c>
      <c r="J208" s="41">
        <v>45.989282764895833</v>
      </c>
      <c r="K208" s="41">
        <v>37.488839319313954</v>
      </c>
      <c r="L208" s="41">
        <v>46.642742532148731</v>
      </c>
      <c r="M208" s="41">
        <v>48.784099784721057</v>
      </c>
      <c r="N208" s="41">
        <v>51.794609299367565</v>
      </c>
      <c r="O208" s="41">
        <v>58.52527645141484</v>
      </c>
      <c r="P208" s="41">
        <v>57.589235340649701</v>
      </c>
      <c r="Q208" s="41">
        <v>61.811902252941699</v>
      </c>
      <c r="R208" s="41">
        <v>70.80298517267785</v>
      </c>
      <c r="S208" s="41">
        <v>72.894402582075003</v>
      </c>
      <c r="T208" s="41">
        <v>131.01979896944388</v>
      </c>
      <c r="U208" s="41">
        <v>141.53101092341404</v>
      </c>
      <c r="V208" s="41">
        <v>160.38424280063771</v>
      </c>
      <c r="W208" s="41">
        <v>188.18475689155864</v>
      </c>
      <c r="X208" s="41">
        <v>222.813438332045</v>
      </c>
      <c r="Y208" s="41">
        <v>243.4870745178448</v>
      </c>
      <c r="Z208" s="41">
        <v>264.02638413137765</v>
      </c>
      <c r="AA208" s="41">
        <v>255.63701229700087</v>
      </c>
      <c r="AB208" s="41">
        <v>260.0054447276566</v>
      </c>
      <c r="AC208" s="41">
        <v>268.92327672098372</v>
      </c>
      <c r="AD208" s="41">
        <v>279.10496426803076</v>
      </c>
      <c r="AE208" s="41">
        <v>301.79812452455934</v>
      </c>
      <c r="AF208" s="41">
        <v>318.20650016049791</v>
      </c>
      <c r="AG208" s="41">
        <v>337.95546192918061</v>
      </c>
      <c r="AH208" s="41">
        <v>330.49712125203177</v>
      </c>
      <c r="AI208" s="41">
        <v>349.87330955205852</v>
      </c>
      <c r="AJ208" s="41">
        <v>269.85042334791029</v>
      </c>
      <c r="AK208" s="41">
        <v>302.73863764438556</v>
      </c>
      <c r="AL208" s="41">
        <v>314.75130406967332</v>
      </c>
      <c r="AM208" s="41">
        <v>126.95489401387466</v>
      </c>
      <c r="AN208" s="41">
        <v>221.62892610878708</v>
      </c>
      <c r="AO208" s="41">
        <v>229.88676735243283</v>
      </c>
      <c r="AP208" s="41">
        <v>288.40930209486146</v>
      </c>
      <c r="AQ208" s="41">
        <v>285.71027391544141</v>
      </c>
      <c r="AR208" s="41">
        <v>287.37381917630097</v>
      </c>
      <c r="AS208" s="41">
        <v>260.60118577970474</v>
      </c>
      <c r="AT208" s="41">
        <v>238.78127781655155</v>
      </c>
      <c r="AU208" s="41">
        <v>233.15126362383211</v>
      </c>
      <c r="AV208" s="41">
        <v>249.74331312250314</v>
      </c>
      <c r="AW208" s="41">
        <v>273.63369027861052</v>
      </c>
      <c r="AX208" s="41">
        <v>331.69011344852873</v>
      </c>
      <c r="AY208" s="41">
        <v>366.89439240164381</v>
      </c>
      <c r="AZ208" s="41">
        <v>438.66418446298803</v>
      </c>
      <c r="BA208" s="41">
        <v>543.54535650491391</v>
      </c>
      <c r="BB208" s="41">
        <v>579.72661503834365</v>
      </c>
      <c r="BC208" s="41">
        <v>609.72491702025161</v>
      </c>
      <c r="BD208" s="41">
        <v>668.49467219386281</v>
      </c>
      <c r="BE208" s="41">
        <v>725.16977025532901</v>
      </c>
      <c r="BF208" s="41">
        <v>722.89432850874937</v>
      </c>
      <c r="BG208" s="41">
        <v>743.55903797843735</v>
      </c>
      <c r="BH208" s="41">
        <v>751.07739261788527</v>
      </c>
      <c r="BI208" s="41">
        <v>744.76074875597726</v>
      </c>
      <c r="BJ208" s="41">
        <v>772.31698914591857</v>
      </c>
      <c r="BK208" s="41">
        <v>783.63716281480811</v>
      </c>
      <c r="BL208" s="41">
        <v>820.14928855859421</v>
      </c>
      <c r="BM208" s="41">
        <v>797.85555434622756</v>
      </c>
    </row>
    <row r="209" spans="1:65" x14ac:dyDescent="0.35">
      <c r="A209" s="41" t="s">
        <v>510</v>
      </c>
      <c r="B209" s="41" t="s">
        <v>511</v>
      </c>
      <c r="C209" s="41" t="s">
        <v>659</v>
      </c>
      <c r="D209" s="41" t="s">
        <v>660</v>
      </c>
      <c r="E209" s="41">
        <v>82.345398905908752</v>
      </c>
      <c r="F209" s="41">
        <v>86.04608275743125</v>
      </c>
      <c r="G209" s="41">
        <v>89.911328036983321</v>
      </c>
      <c r="H209" s="41">
        <v>98.978579633655457</v>
      </c>
      <c r="I209" s="41">
        <v>110.87464389734892</v>
      </c>
      <c r="J209" s="41">
        <v>116.4844985353301</v>
      </c>
      <c r="K209" s="41">
        <v>95.799548223356567</v>
      </c>
      <c r="L209" s="41">
        <v>103.06263661310381</v>
      </c>
      <c r="M209" s="41">
        <v>105.61440625998605</v>
      </c>
      <c r="N209" s="41">
        <v>113.50838292349992</v>
      </c>
      <c r="O209" s="41">
        <v>120.12879167274265</v>
      </c>
      <c r="P209" s="41">
        <v>124.9074411867126</v>
      </c>
      <c r="Q209" s="41">
        <v>122.74613997171694</v>
      </c>
      <c r="R209" s="41">
        <v>137.15772569276277</v>
      </c>
      <c r="S209" s="41">
        <v>162.37555472505176</v>
      </c>
      <c r="T209" s="41">
        <v>169.81355909707085</v>
      </c>
      <c r="U209" s="41">
        <v>161.9053028364178</v>
      </c>
      <c r="V209" s="41">
        <v>183.11419695455595</v>
      </c>
      <c r="W209" s="41">
        <v>203.48504984442894</v>
      </c>
      <c r="X209" s="41">
        <v>222.56821144900687</v>
      </c>
      <c r="Y209" s="41">
        <v>262.07725288799395</v>
      </c>
      <c r="Z209" s="41">
        <v>271.31470074808334</v>
      </c>
      <c r="AA209" s="41">
        <v>274.13430603933415</v>
      </c>
      <c r="AB209" s="41">
        <v>283.43235351478415</v>
      </c>
      <c r="AC209" s="41">
        <v>275.5886055132766</v>
      </c>
      <c r="AD209" s="41">
        <v>292.80935747596146</v>
      </c>
      <c r="AE209" s="41">
        <v>303.08433674090713</v>
      </c>
      <c r="AF209" s="41">
        <v>328.98614607055862</v>
      </c>
      <c r="AG209" s="41">
        <v>345.65745017080047</v>
      </c>
      <c r="AH209" s="41">
        <v>341.14231141867953</v>
      </c>
      <c r="AI209" s="41">
        <v>359.23170939069308</v>
      </c>
      <c r="AJ209" s="41">
        <v>312.65770356997422</v>
      </c>
      <c r="AK209" s="41">
        <v>324.90732482649446</v>
      </c>
      <c r="AL209" s="41">
        <v>314.99846000062604</v>
      </c>
      <c r="AM209" s="41">
        <v>349.86346946722028</v>
      </c>
      <c r="AN209" s="41">
        <v>380.35370103308009</v>
      </c>
      <c r="AO209" s="41">
        <v>407.75155182592562</v>
      </c>
      <c r="AP209" s="41">
        <v>419.31978808327489</v>
      </c>
      <c r="AQ209" s="41">
        <v>416.98287657710028</v>
      </c>
      <c r="AR209" s="41">
        <v>438.3107210120171</v>
      </c>
      <c r="AS209" s="41">
        <v>453.23760409734376</v>
      </c>
      <c r="AT209" s="41">
        <v>455.85812491493573</v>
      </c>
      <c r="AU209" s="41">
        <v>469.71218602770278</v>
      </c>
      <c r="AV209" s="41">
        <v>538.71113599032878</v>
      </c>
      <c r="AW209" s="41">
        <v>613.94779740106014</v>
      </c>
      <c r="AX209" s="41">
        <v>691.69261716496601</v>
      </c>
      <c r="AY209" s="41">
        <v>774.86379861930482</v>
      </c>
      <c r="AZ209" s="41">
        <v>959.30512639909659</v>
      </c>
      <c r="BA209" s="41">
        <v>959.46119950831712</v>
      </c>
      <c r="BB209" s="41">
        <v>1041.9944010499787</v>
      </c>
      <c r="BC209" s="41">
        <v>1257.4994448357018</v>
      </c>
      <c r="BD209" s="41">
        <v>1368.9446080021162</v>
      </c>
      <c r="BE209" s="41">
        <v>1366.1154205166451</v>
      </c>
      <c r="BF209" s="41">
        <v>1383.5600049801819</v>
      </c>
      <c r="BG209" s="41">
        <v>1496.0079099077132</v>
      </c>
      <c r="BH209" s="41">
        <v>1543.4899476937194</v>
      </c>
      <c r="BI209" s="41">
        <v>1652.1959996864309</v>
      </c>
      <c r="BJ209" s="41">
        <v>1867.5054817507366</v>
      </c>
      <c r="BK209" s="41">
        <v>1894.1690929883148</v>
      </c>
      <c r="BL209" s="41">
        <v>1959.3422564686659</v>
      </c>
      <c r="BM209" s="41">
        <v>1804.9176226297125</v>
      </c>
    </row>
    <row r="210" spans="1:65" x14ac:dyDescent="0.35">
      <c r="A210" s="41" t="s">
        <v>512</v>
      </c>
      <c r="B210" s="41" t="s">
        <v>513</v>
      </c>
      <c r="C210" s="41" t="s">
        <v>659</v>
      </c>
      <c r="D210" s="41" t="s">
        <v>660</v>
      </c>
      <c r="M210" s="41">
        <v>777.26727258456413</v>
      </c>
      <c r="N210" s="41">
        <v>801.0447391992343</v>
      </c>
      <c r="O210" s="41">
        <v>921.33505320918425</v>
      </c>
      <c r="P210" s="41">
        <v>1177.7246118549631</v>
      </c>
      <c r="Q210" s="41">
        <v>1511.6703808472364</v>
      </c>
      <c r="R210" s="41">
        <v>2227.0060731427643</v>
      </c>
      <c r="S210" s="41">
        <v>6437.4180894465353</v>
      </c>
      <c r="T210" s="41">
        <v>6304.1164470009408</v>
      </c>
      <c r="U210" s="41">
        <v>8202.7700204747071</v>
      </c>
      <c r="V210" s="41">
        <v>9038.8791866477932</v>
      </c>
      <c r="W210" s="41">
        <v>9282.6611663078565</v>
      </c>
      <c r="X210" s="41">
        <v>12241.257145901949</v>
      </c>
      <c r="Y210" s="41">
        <v>16977.98593202166</v>
      </c>
      <c r="Z210" s="41">
        <v>17871.991995089054</v>
      </c>
      <c r="AA210" s="41">
        <v>13944.951284613422</v>
      </c>
      <c r="AB210" s="41">
        <v>11039.239795358862</v>
      </c>
      <c r="AC210" s="41">
        <v>9632.5387464823125</v>
      </c>
      <c r="AD210" s="41">
        <v>7919.6515473955205</v>
      </c>
      <c r="AE210" s="41">
        <v>6304.2598375498301</v>
      </c>
      <c r="AF210" s="41">
        <v>5932.2955104272569</v>
      </c>
      <c r="AG210" s="41">
        <v>5856.3823387936764</v>
      </c>
      <c r="AH210" s="41">
        <v>6085.9564651013989</v>
      </c>
      <c r="AI210" s="41">
        <v>7246.0159202838067</v>
      </c>
      <c r="AJ210" s="41">
        <v>7883.2452680575043</v>
      </c>
      <c r="AK210" s="41">
        <v>7932.0932326269349</v>
      </c>
      <c r="AL210" s="41">
        <v>7485.5417558587405</v>
      </c>
      <c r="AM210" s="41">
        <v>7421.2891938225803</v>
      </c>
      <c r="AN210" s="41">
        <v>7690.5762842861077</v>
      </c>
      <c r="AO210" s="41">
        <v>8335.8047423735352</v>
      </c>
      <c r="AP210" s="41">
        <v>8551.6760590809336</v>
      </c>
      <c r="AQ210" s="41">
        <v>7419.16114403759</v>
      </c>
      <c r="AR210" s="41">
        <v>8007.958194225952</v>
      </c>
      <c r="AS210" s="41">
        <v>9171.3314763051476</v>
      </c>
      <c r="AT210" s="41">
        <v>8684.6457622946382</v>
      </c>
      <c r="AU210" s="41">
        <v>8695.3964834823346</v>
      </c>
      <c r="AV210" s="41">
        <v>9609.9686864771356</v>
      </c>
      <c r="AW210" s="41">
        <v>11185.137041154667</v>
      </c>
      <c r="AX210" s="41">
        <v>13791.454761931982</v>
      </c>
      <c r="AY210" s="41">
        <v>15384.738358418264</v>
      </c>
      <c r="AZ210" s="41">
        <v>16516.631780465832</v>
      </c>
      <c r="BA210" s="41">
        <v>20078.260073040055</v>
      </c>
      <c r="BB210" s="41">
        <v>16113.143710005854</v>
      </c>
      <c r="BC210" s="41">
        <v>19262.547601025592</v>
      </c>
      <c r="BD210" s="41">
        <v>23745.880577749504</v>
      </c>
      <c r="BE210" s="41">
        <v>25243.601998236591</v>
      </c>
      <c r="BF210" s="41">
        <v>24845.124663786199</v>
      </c>
      <c r="BG210" s="41">
        <v>24464.212557030711</v>
      </c>
      <c r="BH210" s="41">
        <v>20627.926928820383</v>
      </c>
      <c r="BI210" s="41">
        <v>19878.76383650157</v>
      </c>
      <c r="BJ210" s="41">
        <v>20802.466313464789</v>
      </c>
      <c r="BK210" s="41">
        <v>23337.017549434706</v>
      </c>
      <c r="BL210" s="41">
        <v>23139.797980823747</v>
      </c>
      <c r="BM210" s="41">
        <v>20110.316192374416</v>
      </c>
    </row>
    <row r="211" spans="1:65" x14ac:dyDescent="0.35">
      <c r="A211" s="41" t="s">
        <v>514</v>
      </c>
      <c r="B211" s="41" t="s">
        <v>515</v>
      </c>
      <c r="C211" s="41" t="s">
        <v>659</v>
      </c>
      <c r="D211" s="41" t="s">
        <v>660</v>
      </c>
      <c r="E211" s="41">
        <v>125.859838991827</v>
      </c>
      <c r="F211" s="41">
        <v>133.08224607826199</v>
      </c>
      <c r="G211" s="41">
        <v>140.72512354829101</v>
      </c>
      <c r="H211" s="41">
        <v>139.30984098632899</v>
      </c>
      <c r="I211" s="41">
        <v>139.22341100697801</v>
      </c>
      <c r="J211" s="41">
        <v>141.08192925589699</v>
      </c>
      <c r="K211" s="41">
        <v>140.68578071749101</v>
      </c>
      <c r="L211" s="41">
        <v>147.99767371031999</v>
      </c>
      <c r="M211" s="41">
        <v>150.022536764509</v>
      </c>
      <c r="N211" s="41">
        <v>160.38414808256101</v>
      </c>
      <c r="O211" s="41">
        <v>176.95402810329099</v>
      </c>
      <c r="P211" s="41">
        <v>187.076941801955</v>
      </c>
      <c r="Q211" s="41">
        <v>196.910809651882</v>
      </c>
      <c r="R211" s="41">
        <v>236.61722040285699</v>
      </c>
      <c r="S211" s="41">
        <v>294.985231800294</v>
      </c>
      <c r="T211" s="41">
        <v>348.010079237257</v>
      </c>
      <c r="U211" s="41">
        <v>419.93101964137202</v>
      </c>
      <c r="V211" s="41">
        <v>506.65971717048501</v>
      </c>
      <c r="W211" s="41">
        <v>431.81208402796898</v>
      </c>
      <c r="X211" s="41">
        <v>491.577425138428</v>
      </c>
      <c r="Y211" s="41">
        <v>392.41484780162199</v>
      </c>
      <c r="Z211" s="41">
        <v>509.130651977978</v>
      </c>
      <c r="AA211" s="41">
        <v>453.79618186500801</v>
      </c>
      <c r="AB211" s="41">
        <v>390.781297098717</v>
      </c>
      <c r="AC211" s="41">
        <v>445.94849688376797</v>
      </c>
      <c r="AD211" s="41">
        <v>552.97454601005404</v>
      </c>
      <c r="AE211" s="41">
        <v>683.06740274839899</v>
      </c>
      <c r="AF211" s="41">
        <v>849.61233182230899</v>
      </c>
      <c r="AG211" s="41">
        <v>632.33537609244195</v>
      </c>
      <c r="AH211" s="41">
        <v>611.94830033045196</v>
      </c>
      <c r="AI211" s="41">
        <v>483.95261088260901</v>
      </c>
      <c r="AJ211" s="41">
        <v>432.47894997507802</v>
      </c>
      <c r="AK211" s="41">
        <v>260.51035964919299</v>
      </c>
      <c r="AL211" s="41">
        <v>320.485331506291</v>
      </c>
      <c r="AM211" s="41">
        <v>449.710583015456</v>
      </c>
      <c r="AN211" s="41">
        <v>473.41347092027598</v>
      </c>
      <c r="AO211" s="41">
        <v>300.56493033889097</v>
      </c>
      <c r="AP211" s="41">
        <v>378.95476165008199</v>
      </c>
      <c r="AQ211" s="41">
        <v>355.15255419052602</v>
      </c>
      <c r="AR211" s="41">
        <v>328.06865304601001</v>
      </c>
      <c r="AS211" s="41">
        <v>366.17274196049101</v>
      </c>
      <c r="AT211" s="41">
        <v>383.01607663369401</v>
      </c>
      <c r="AU211" s="41">
        <v>418.25175859449803</v>
      </c>
      <c r="AV211" s="41">
        <v>484.84490832511801</v>
      </c>
      <c r="AW211" s="41">
        <v>573.30694143571998</v>
      </c>
      <c r="AX211" s="41">
        <v>689.20961069152997</v>
      </c>
      <c r="AY211" s="41">
        <v>905.30969913362196</v>
      </c>
      <c r="AZ211" s="41">
        <v>1128.4102664296499</v>
      </c>
      <c r="BA211" s="41">
        <v>1304.5330505516999</v>
      </c>
      <c r="BB211" s="41">
        <v>1163.7972228000001</v>
      </c>
      <c r="BC211" s="41">
        <v>1489.8740874400601</v>
      </c>
      <c r="BD211" s="41">
        <v>1437.77983086377</v>
      </c>
      <c r="BE211" s="41">
        <v>1332.91418693681</v>
      </c>
      <c r="BF211" s="41">
        <v>1381.4894621170999</v>
      </c>
      <c r="BG211" s="41">
        <v>1625.46372819209</v>
      </c>
      <c r="BH211" s="41">
        <v>1656.90584135373</v>
      </c>
      <c r="BI211" s="41">
        <v>1325.1560187054599</v>
      </c>
      <c r="BJ211" s="41">
        <v>1103.0000263417701</v>
      </c>
      <c r="BK211" s="41">
        <v>825.86894111923505</v>
      </c>
      <c r="BL211" s="41">
        <v>753.282174142999</v>
      </c>
      <c r="BM211" s="41">
        <v>595.46783300767902</v>
      </c>
    </row>
    <row r="212" spans="1:65" x14ac:dyDescent="0.35">
      <c r="A212" s="41" t="s">
        <v>516</v>
      </c>
      <c r="B212" s="41" t="s">
        <v>517</v>
      </c>
      <c r="C212" s="41" t="s">
        <v>659</v>
      </c>
      <c r="D212" s="41" t="s">
        <v>660</v>
      </c>
      <c r="E212" s="41">
        <v>312.99296284623028</v>
      </c>
      <c r="F212" s="41">
        <v>321.36123958778319</v>
      </c>
      <c r="G212" s="41">
        <v>320.50153891135375</v>
      </c>
      <c r="H212" s="41">
        <v>322.30073328852501</v>
      </c>
      <c r="I212" s="41">
        <v>332.08115535061279</v>
      </c>
      <c r="J212" s="41">
        <v>328.5631692109074</v>
      </c>
      <c r="K212" s="41">
        <v>329.05331338887601</v>
      </c>
      <c r="L212" s="41">
        <v>319.63935168349832</v>
      </c>
      <c r="M212" s="41">
        <v>326.19579652229146</v>
      </c>
      <c r="N212" s="41">
        <v>301.26716581992036</v>
      </c>
      <c r="O212" s="41">
        <v>304.73409060172537</v>
      </c>
      <c r="P212" s="41">
        <v>305.30804645266483</v>
      </c>
      <c r="Q212" s="41">
        <v>358.36792640658615</v>
      </c>
      <c r="R212" s="41">
        <v>399.8086238766067</v>
      </c>
      <c r="S212" s="41">
        <v>437.61573443568352</v>
      </c>
      <c r="T212" s="41">
        <v>574.13322949204723</v>
      </c>
      <c r="U212" s="41">
        <v>567.44414096444984</v>
      </c>
      <c r="V212" s="41">
        <v>567.02566285836667</v>
      </c>
      <c r="W212" s="41">
        <v>618.15508917401587</v>
      </c>
      <c r="X212" s="41">
        <v>751.02534420066297</v>
      </c>
      <c r="Y212" s="41">
        <v>807.80592953426458</v>
      </c>
      <c r="Z212" s="41">
        <v>713.51522858450824</v>
      </c>
      <c r="AA212" s="41">
        <v>679.21007416906764</v>
      </c>
      <c r="AB212" s="41">
        <v>586.14290015676931</v>
      </c>
      <c r="AC212" s="41">
        <v>555.19069308335884</v>
      </c>
      <c r="AD212" s="41">
        <v>590.13297006023072</v>
      </c>
      <c r="AE212" s="41">
        <v>808.32923069112871</v>
      </c>
      <c r="AF212" s="41">
        <v>943.51249779608315</v>
      </c>
      <c r="AG212" s="41">
        <v>905.70909337531759</v>
      </c>
      <c r="AH212" s="41">
        <v>871.64096180900856</v>
      </c>
      <c r="AI212" s="41">
        <v>982.01787632254582</v>
      </c>
      <c r="AJ212" s="41">
        <v>935.49195983535242</v>
      </c>
      <c r="AK212" s="41">
        <v>972.43183359770001</v>
      </c>
      <c r="AL212" s="41">
        <v>895.61328476067695</v>
      </c>
      <c r="AM212" s="41">
        <v>595.03000677291914</v>
      </c>
      <c r="AN212" s="41">
        <v>727.98965759925693</v>
      </c>
      <c r="AO212" s="41">
        <v>735.98190916009139</v>
      </c>
      <c r="AP212" s="41">
        <v>661.6537598452137</v>
      </c>
      <c r="AQ212" s="41">
        <v>695.95237812897858</v>
      </c>
      <c r="AR212" s="41">
        <v>693.18046925910028</v>
      </c>
      <c r="AS212" s="41">
        <v>617.15568412717835</v>
      </c>
      <c r="AT212" s="41">
        <v>651.60987431156298</v>
      </c>
      <c r="AU212" s="41">
        <v>684.3230203251627</v>
      </c>
      <c r="AV212" s="41">
        <v>835.79059353310413</v>
      </c>
      <c r="AW212" s="41">
        <v>937.40230956533549</v>
      </c>
      <c r="AX212" s="41">
        <v>998.12155411545064</v>
      </c>
      <c r="AY212" s="41">
        <v>1031.3799278188876</v>
      </c>
      <c r="AZ212" s="41">
        <v>1198.3928114758203</v>
      </c>
      <c r="BA212" s="41">
        <v>1403.9493845665306</v>
      </c>
      <c r="BB212" s="41">
        <v>1308.9378080491404</v>
      </c>
      <c r="BC212" s="41">
        <v>1271.5832808452537</v>
      </c>
      <c r="BD212" s="41">
        <v>1366.774500708068</v>
      </c>
      <c r="BE212" s="41">
        <v>1317.7798018053811</v>
      </c>
      <c r="BF212" s="41">
        <v>1372.6657793190216</v>
      </c>
      <c r="BG212" s="41">
        <v>1396.6573385558554</v>
      </c>
      <c r="BH212" s="41">
        <v>1219.2494151330177</v>
      </c>
      <c r="BI212" s="41">
        <v>1269.9032938598457</v>
      </c>
      <c r="BJ212" s="41">
        <v>1361.7019721837473</v>
      </c>
      <c r="BK212" s="41">
        <v>1458.0690925814524</v>
      </c>
      <c r="BL212" s="41">
        <v>1430.1482590016221</v>
      </c>
      <c r="BM212" s="41">
        <v>1487.7573088191973</v>
      </c>
    </row>
    <row r="213" spans="1:65" x14ac:dyDescent="0.35">
      <c r="A213" s="41" t="s">
        <v>518</v>
      </c>
      <c r="B213" s="41" t="s">
        <v>519</v>
      </c>
      <c r="C213" s="41" t="s">
        <v>659</v>
      </c>
      <c r="D213" s="41" t="s">
        <v>660</v>
      </c>
      <c r="E213" s="41">
        <v>428.05898002739582</v>
      </c>
      <c r="F213" s="41">
        <v>449.15107127874569</v>
      </c>
      <c r="G213" s="41">
        <v>472.08582445256525</v>
      </c>
      <c r="H213" s="41">
        <v>511.20557525277292</v>
      </c>
      <c r="I213" s="41">
        <v>485.53385820657377</v>
      </c>
      <c r="J213" s="41">
        <v>516.53530333900983</v>
      </c>
      <c r="K213" s="41">
        <v>566.80767755488614</v>
      </c>
      <c r="L213" s="41">
        <v>626.03352768569732</v>
      </c>
      <c r="M213" s="41">
        <v>708.60606646284589</v>
      </c>
      <c r="N213" s="41">
        <v>812.68279685201162</v>
      </c>
      <c r="O213" s="41">
        <v>925.80391294264984</v>
      </c>
      <c r="P213" s="41">
        <v>1071.4115403553799</v>
      </c>
      <c r="Q213" s="41">
        <v>1264.3751072098653</v>
      </c>
      <c r="R213" s="41">
        <v>1685.4597963216295</v>
      </c>
      <c r="S213" s="41">
        <v>2341.7055142363338</v>
      </c>
      <c r="T213" s="41">
        <v>2489.9115751759145</v>
      </c>
      <c r="U213" s="41">
        <v>2758.9403802847551</v>
      </c>
      <c r="V213" s="41">
        <v>2846.3359883285393</v>
      </c>
      <c r="W213" s="41">
        <v>3193.9056572235531</v>
      </c>
      <c r="X213" s="41">
        <v>3900.5335531087276</v>
      </c>
      <c r="Y213" s="41">
        <v>4928.1391178575395</v>
      </c>
      <c r="Z213" s="41">
        <v>5596.585977230684</v>
      </c>
      <c r="AA213" s="41">
        <v>6077.6342407093243</v>
      </c>
      <c r="AB213" s="41">
        <v>6633.2366736649074</v>
      </c>
      <c r="AC213" s="41">
        <v>7228.3175841064749</v>
      </c>
      <c r="AD213" s="41">
        <v>7001.766747711702</v>
      </c>
      <c r="AE213" s="41">
        <v>6799.9303633267064</v>
      </c>
      <c r="AF213" s="41">
        <v>7539.0293021244306</v>
      </c>
      <c r="AG213" s="41">
        <v>8914.4412257472868</v>
      </c>
      <c r="AH213" s="41">
        <v>10394.538996240593</v>
      </c>
      <c r="AI213" s="41">
        <v>11861.75615913661</v>
      </c>
      <c r="AJ213" s="41">
        <v>14502.379993860553</v>
      </c>
      <c r="AK213" s="41">
        <v>16135.913652598629</v>
      </c>
      <c r="AL213" s="41">
        <v>18290.028237228209</v>
      </c>
      <c r="AM213" s="41">
        <v>21553.030899626294</v>
      </c>
      <c r="AN213" s="41">
        <v>24914.411255677973</v>
      </c>
      <c r="AO213" s="41">
        <v>26233.628896479451</v>
      </c>
      <c r="AP213" s="41">
        <v>26375.971950318948</v>
      </c>
      <c r="AQ213" s="41">
        <v>21829.299869766553</v>
      </c>
      <c r="AR213" s="41">
        <v>21796.084436057197</v>
      </c>
      <c r="AS213" s="41">
        <v>23852.327028597541</v>
      </c>
      <c r="AT213" s="41">
        <v>21700.020045831468</v>
      </c>
      <c r="AU213" s="41">
        <v>22159.688863274056</v>
      </c>
      <c r="AV213" s="41">
        <v>23730.152449648936</v>
      </c>
      <c r="AW213" s="41">
        <v>27608.537371274353</v>
      </c>
      <c r="AX213" s="41">
        <v>29961.263277456856</v>
      </c>
      <c r="AY213" s="41">
        <v>33769.154163350082</v>
      </c>
      <c r="AZ213" s="41">
        <v>39432.938349376091</v>
      </c>
      <c r="BA213" s="41">
        <v>40007.469261213977</v>
      </c>
      <c r="BB213" s="41">
        <v>38927.206881771519</v>
      </c>
      <c r="BC213" s="41">
        <v>47236.960234542064</v>
      </c>
      <c r="BD213" s="41">
        <v>53890.428727050443</v>
      </c>
      <c r="BE213" s="41">
        <v>55546.488538692116</v>
      </c>
      <c r="BF213" s="41">
        <v>56967.425794038332</v>
      </c>
      <c r="BG213" s="41">
        <v>57562.53079376783</v>
      </c>
      <c r="BH213" s="41">
        <v>55646.61874695048</v>
      </c>
      <c r="BI213" s="41">
        <v>56848.175391836674</v>
      </c>
      <c r="BJ213" s="41">
        <v>61176.456361156481</v>
      </c>
      <c r="BK213" s="41">
        <v>66679.046489975211</v>
      </c>
      <c r="BL213" s="41">
        <v>65640.707948498472</v>
      </c>
      <c r="BM213" s="41">
        <v>59797.752180118812</v>
      </c>
    </row>
    <row r="214" spans="1:65" x14ac:dyDescent="0.35">
      <c r="A214" s="41" t="s">
        <v>520</v>
      </c>
      <c r="B214" s="41" t="s">
        <v>521</v>
      </c>
      <c r="C214" s="41" t="s">
        <v>659</v>
      </c>
      <c r="D214" s="41" t="s">
        <v>660</v>
      </c>
      <c r="L214" s="41">
        <v>173.43584825496902</v>
      </c>
      <c r="M214" s="41">
        <v>187.36950341440433</v>
      </c>
      <c r="N214" s="41">
        <v>184.76013303649785</v>
      </c>
      <c r="P214" s="41">
        <v>301.25167950378807</v>
      </c>
      <c r="Q214" s="41">
        <v>235.33301681042573</v>
      </c>
      <c r="R214" s="41">
        <v>308.25576859412075</v>
      </c>
      <c r="S214" s="41">
        <v>453.78794227798608</v>
      </c>
      <c r="T214" s="41">
        <v>385.81546361495896</v>
      </c>
      <c r="U214" s="41">
        <v>414.24865109338742</v>
      </c>
      <c r="V214" s="41">
        <v>448.07003513877231</v>
      </c>
      <c r="W214" s="41">
        <v>515.66468010640824</v>
      </c>
      <c r="X214" s="41">
        <v>678.82574504778745</v>
      </c>
      <c r="Y214" s="41">
        <v>794.52036034216439</v>
      </c>
      <c r="Z214" s="41">
        <v>814.55324357786242</v>
      </c>
      <c r="AA214" s="41">
        <v>781.3526109618889</v>
      </c>
      <c r="AB214" s="41">
        <v>711.36767139465928</v>
      </c>
      <c r="AC214" s="41">
        <v>690.39817916093784</v>
      </c>
      <c r="AD214" s="41">
        <v>611.00092511625144</v>
      </c>
      <c r="AE214" s="41">
        <v>529.25371554282094</v>
      </c>
      <c r="AF214" s="41">
        <v>541.16257011470395</v>
      </c>
      <c r="AG214" s="41">
        <v>599.06800646055774</v>
      </c>
      <c r="AH214" s="41">
        <v>569.40455564227523</v>
      </c>
      <c r="AI214" s="41">
        <v>688.51457637700514</v>
      </c>
      <c r="AJ214" s="41">
        <v>709.64638969417945</v>
      </c>
      <c r="AK214" s="41">
        <v>815.49463619559174</v>
      </c>
      <c r="AL214" s="41">
        <v>886.13544178075517</v>
      </c>
      <c r="AM214" s="41">
        <v>1153.4475337403328</v>
      </c>
      <c r="AN214" s="41">
        <v>1306.7375297794817</v>
      </c>
      <c r="AO214" s="41">
        <v>1381.8009003211866</v>
      </c>
      <c r="AP214" s="41">
        <v>1385.5705306588334</v>
      </c>
      <c r="AQ214" s="41">
        <v>1171.4278637853083</v>
      </c>
      <c r="AR214" s="41">
        <v>1215.167354398274</v>
      </c>
      <c r="AS214" s="41">
        <v>1017.6137567543794</v>
      </c>
      <c r="AT214" s="41">
        <v>965.76567510246025</v>
      </c>
      <c r="AU214" s="41">
        <v>795.60153381238842</v>
      </c>
      <c r="AV214" s="41">
        <v>788.61311934405796</v>
      </c>
      <c r="AW214" s="41">
        <v>867.10717218544778</v>
      </c>
      <c r="AX214" s="41">
        <v>1014.8552802740013</v>
      </c>
      <c r="AY214" s="41">
        <v>1119.6932966279021</v>
      </c>
      <c r="AZ214" s="41">
        <v>1260.2894039363171</v>
      </c>
      <c r="BA214" s="41">
        <v>1388.963877140653</v>
      </c>
      <c r="BB214" s="41">
        <v>1428.505673108584</v>
      </c>
      <c r="BC214" s="41">
        <v>1604.205829935129</v>
      </c>
      <c r="BD214" s="41">
        <v>1938.8911868007922</v>
      </c>
      <c r="BE214" s="41">
        <v>2141.8215222730882</v>
      </c>
      <c r="BF214" s="41">
        <v>2248.6149350511737</v>
      </c>
      <c r="BG214" s="41">
        <v>2274.8878657440523</v>
      </c>
      <c r="BH214" s="41">
        <v>2167.1199282907846</v>
      </c>
      <c r="BI214" s="41">
        <v>2225.4868420927314</v>
      </c>
      <c r="BJ214" s="41">
        <v>2332.8442158554521</v>
      </c>
      <c r="BK214" s="41">
        <v>2411.8629263527737</v>
      </c>
      <c r="BL214" s="41">
        <v>2344.2316340644838</v>
      </c>
      <c r="BM214" s="41">
        <v>2258.4003645545499</v>
      </c>
    </row>
    <row r="215" spans="1:65" x14ac:dyDescent="0.35">
      <c r="A215" s="41" t="s">
        <v>12</v>
      </c>
      <c r="B215" s="41" t="s">
        <v>522</v>
      </c>
      <c r="C215" s="41" t="s">
        <v>659</v>
      </c>
      <c r="D215" s="41" t="s">
        <v>660</v>
      </c>
      <c r="E215" s="41">
        <v>138.93863992868614</v>
      </c>
      <c r="F215" s="41">
        <v>139.36356974332375</v>
      </c>
      <c r="G215" s="41">
        <v>143.47264827370034</v>
      </c>
      <c r="H215" s="41">
        <v>143.62030675570111</v>
      </c>
      <c r="I215" s="41">
        <v>150.74897087935747</v>
      </c>
      <c r="J215" s="41">
        <v>143.28049236713815</v>
      </c>
      <c r="K215" s="41">
        <v>147.15582102385977</v>
      </c>
      <c r="L215" s="41">
        <v>134.31745672955125</v>
      </c>
      <c r="M215" s="41">
        <v>124.75745824962029</v>
      </c>
      <c r="N215" s="41">
        <v>151.74079637657329</v>
      </c>
      <c r="O215" s="41">
        <v>158.26148725965319</v>
      </c>
      <c r="P215" s="41">
        <v>149.90723463813569</v>
      </c>
      <c r="Q215" s="41">
        <v>163.01328678282627</v>
      </c>
      <c r="R215" s="41">
        <v>197.44652263772849</v>
      </c>
      <c r="S215" s="41">
        <v>218.07926853284886</v>
      </c>
      <c r="T215" s="41">
        <v>223.67486351301142</v>
      </c>
      <c r="U215" s="41">
        <v>191.74132374152879</v>
      </c>
      <c r="V215" s="41">
        <v>218.1918006054924</v>
      </c>
      <c r="W215" s="41">
        <v>296.44414487981061</v>
      </c>
      <c r="X215" s="41">
        <v>334.80389716600342</v>
      </c>
      <c r="Y215" s="41">
        <v>324.83039513212719</v>
      </c>
      <c r="Z215" s="41">
        <v>321.82277885215268</v>
      </c>
      <c r="AA215" s="41">
        <v>365.90448519452536</v>
      </c>
      <c r="AB215" s="41">
        <v>274.90177928366018</v>
      </c>
      <c r="AC215" s="41">
        <v>293.3157245812173</v>
      </c>
      <c r="AD215" s="41">
        <v>225.18319131029591</v>
      </c>
      <c r="AE215" s="41">
        <v>125.15212651117199</v>
      </c>
      <c r="AF215" s="41">
        <v>173.67034597601534</v>
      </c>
      <c r="AG215" s="41">
        <v>253.83120999225716</v>
      </c>
      <c r="AH215" s="41">
        <v>219.29460227074662</v>
      </c>
      <c r="AI215" s="41">
        <v>150.38899745204711</v>
      </c>
      <c r="AJ215" s="41">
        <v>179.36121031256937</v>
      </c>
      <c r="AK215" s="41">
        <v>156.40310387407411</v>
      </c>
      <c r="AL215" s="41">
        <v>177.59726281033969</v>
      </c>
      <c r="AM215" s="41">
        <v>211.59223224468158</v>
      </c>
      <c r="AN215" s="41">
        <v>202.31604281152227</v>
      </c>
      <c r="AO215" s="41">
        <v>218.36689020462885</v>
      </c>
      <c r="AP215" s="41">
        <v>196.11538168037171</v>
      </c>
      <c r="AQ215" s="41">
        <v>153.45849199658099</v>
      </c>
      <c r="AR215" s="41">
        <v>150.00642457862799</v>
      </c>
      <c r="AS215" s="41">
        <v>138.69872249714754</v>
      </c>
      <c r="AT215" s="41">
        <v>229.37565952613033</v>
      </c>
      <c r="AU215" s="41">
        <v>252.39600697034118</v>
      </c>
      <c r="AV215" s="41">
        <v>266.44690542610459</v>
      </c>
      <c r="AW215" s="41">
        <v>266.56937131547363</v>
      </c>
      <c r="AX215" s="41">
        <v>292.34906633056295</v>
      </c>
      <c r="AY215" s="41">
        <v>323.38901844027316</v>
      </c>
      <c r="AZ215" s="41">
        <v>360.37166048148197</v>
      </c>
      <c r="BA215" s="41">
        <v>408.48100846393515</v>
      </c>
      <c r="BB215" s="41">
        <v>391.2009429512276</v>
      </c>
      <c r="BC215" s="41">
        <v>401.83487609944279</v>
      </c>
      <c r="BD215" s="41">
        <v>448.33766214869553</v>
      </c>
      <c r="BE215" s="41">
        <v>566.37823505935535</v>
      </c>
      <c r="BF215" s="41">
        <v>716.83582690691514</v>
      </c>
      <c r="BG215" s="41">
        <v>714.69979573397666</v>
      </c>
      <c r="BH215" s="41">
        <v>588.22886279481565</v>
      </c>
      <c r="BI215" s="41">
        <v>501.41516552395348</v>
      </c>
      <c r="BJ215" s="41">
        <v>499.38097456774727</v>
      </c>
      <c r="BK215" s="41">
        <v>533.99153326598434</v>
      </c>
      <c r="BL215" s="41">
        <v>527.53417454467149</v>
      </c>
      <c r="BM215" s="41">
        <v>484.52126748358535</v>
      </c>
    </row>
    <row r="216" spans="1:65" x14ac:dyDescent="0.35">
      <c r="A216" s="41" t="s">
        <v>523</v>
      </c>
      <c r="B216" s="41" t="s">
        <v>524</v>
      </c>
      <c r="C216" s="41" t="s">
        <v>659</v>
      </c>
      <c r="D216" s="41" t="s">
        <v>660</v>
      </c>
      <c r="J216" s="41">
        <v>274.17525950314092</v>
      </c>
      <c r="K216" s="41">
        <v>282.18973306852496</v>
      </c>
      <c r="L216" s="41">
        <v>288.1869903146499</v>
      </c>
      <c r="M216" s="41">
        <v>290.02560299446463</v>
      </c>
      <c r="N216" s="41">
        <v>293.38795146769462</v>
      </c>
      <c r="O216" s="41">
        <v>308.43987012484939</v>
      </c>
      <c r="P216" s="41">
        <v>314.61568250903167</v>
      </c>
      <c r="Q216" s="41">
        <v>326.76977020202673</v>
      </c>
      <c r="R216" s="41">
        <v>363.82963534549714</v>
      </c>
      <c r="S216" s="41">
        <v>410.28950152145615</v>
      </c>
      <c r="T216" s="41">
        <v>453.49245154089755</v>
      </c>
      <c r="U216" s="41">
        <v>548.1520223152022</v>
      </c>
      <c r="V216" s="41">
        <v>678.0392587123838</v>
      </c>
      <c r="W216" s="41">
        <v>706.61550114657064</v>
      </c>
      <c r="X216" s="41">
        <v>767.79924395832791</v>
      </c>
      <c r="Y216" s="41">
        <v>778.44800904351541</v>
      </c>
      <c r="Z216" s="41">
        <v>736.59114672011015</v>
      </c>
      <c r="AA216" s="41">
        <v>717.54389038717773</v>
      </c>
      <c r="AB216" s="41">
        <v>729.73871035951368</v>
      </c>
      <c r="AC216" s="41">
        <v>751.72502140712834</v>
      </c>
      <c r="AD216" s="41">
        <v>769.80357530977028</v>
      </c>
      <c r="AE216" s="41">
        <v>753.9799281895929</v>
      </c>
      <c r="AF216" s="41">
        <v>781.06000732901293</v>
      </c>
      <c r="AG216" s="41">
        <v>816.21998284525296</v>
      </c>
      <c r="AH216" s="41">
        <v>840.71233594225907</v>
      </c>
      <c r="AI216" s="41">
        <v>914.1317947388842</v>
      </c>
      <c r="AJ216" s="41">
        <v>983.18150421456369</v>
      </c>
      <c r="AK216" s="41">
        <v>1073.3102525013721</v>
      </c>
      <c r="AL216" s="41">
        <v>1216.700840983244</v>
      </c>
      <c r="AM216" s="41">
        <v>1380.7083745960924</v>
      </c>
      <c r="AN216" s="41">
        <v>1585.10889560143</v>
      </c>
      <c r="AO216" s="41">
        <v>1684.7845048711383</v>
      </c>
      <c r="AP216" s="41">
        <v>1778.8363374756016</v>
      </c>
      <c r="AQ216" s="41">
        <v>1886.3599656695237</v>
      </c>
      <c r="AR216" s="41">
        <v>1930.6274566565962</v>
      </c>
      <c r="AS216" s="41">
        <v>2001.5400488796572</v>
      </c>
      <c r="AT216" s="41">
        <v>2072.3015906358037</v>
      </c>
      <c r="AU216" s="41">
        <v>2124.1018198334523</v>
      </c>
      <c r="AV216" s="41">
        <v>2209.4972451962981</v>
      </c>
      <c r="AW216" s="41">
        <v>2278.4303299527987</v>
      </c>
      <c r="AX216" s="41">
        <v>2428.5691106130676</v>
      </c>
      <c r="AY216" s="41">
        <v>2631.8221467761182</v>
      </c>
      <c r="AZ216" s="41">
        <v>2786.1579217171843</v>
      </c>
      <c r="BA216" s="41">
        <v>2933.3942401921013</v>
      </c>
      <c r="BB216" s="41">
        <v>2858.4833438838473</v>
      </c>
      <c r="BC216" s="41">
        <v>2983.2288061356976</v>
      </c>
      <c r="BD216" s="41">
        <v>3266.0125879005896</v>
      </c>
      <c r="BE216" s="41">
        <v>3428.4093324668056</v>
      </c>
      <c r="BF216" s="41">
        <v>3509.5281321196871</v>
      </c>
      <c r="BG216" s="41">
        <v>3589.0412960888457</v>
      </c>
      <c r="BH216" s="41">
        <v>3705.5797035345254</v>
      </c>
      <c r="BI216" s="41">
        <v>3805.9956857443444</v>
      </c>
      <c r="BJ216" s="41">
        <v>3910.2559687319781</v>
      </c>
      <c r="BK216" s="41">
        <v>4052.6247753374223</v>
      </c>
      <c r="BL216" s="41">
        <v>4167.7309387856294</v>
      </c>
      <c r="BM216" s="41">
        <v>3798.636520823206</v>
      </c>
    </row>
    <row r="217" spans="1:65" x14ac:dyDescent="0.35">
      <c r="A217" s="41" t="s">
        <v>525</v>
      </c>
      <c r="B217" s="41" t="s">
        <v>526</v>
      </c>
      <c r="C217" s="41" t="s">
        <v>659</v>
      </c>
      <c r="D217" s="41" t="s">
        <v>660</v>
      </c>
      <c r="AR217" s="41">
        <v>40864.325469773103</v>
      </c>
      <c r="AS217" s="41">
        <v>36604.493381062108</v>
      </c>
      <c r="AT217" s="41">
        <v>38730.803043095235</v>
      </c>
      <c r="AU217" s="41">
        <v>41464.746433690532</v>
      </c>
      <c r="AV217" s="41">
        <v>51270.129225706456</v>
      </c>
      <c r="AW217" s="41">
        <v>59558.77271784949</v>
      </c>
      <c r="AX217" s="41">
        <v>60900.543288827139</v>
      </c>
      <c r="AY217" s="41">
        <v>64261.032725748431</v>
      </c>
      <c r="AZ217" s="41">
        <v>72697.705986332425</v>
      </c>
      <c r="BA217" s="41">
        <v>78643.550647924189</v>
      </c>
      <c r="BB217" s="41">
        <v>66703.218227465637</v>
      </c>
      <c r="BC217" s="41">
        <v>60254.776302486935</v>
      </c>
      <c r="BD217" s="41">
        <v>57297.513314306278</v>
      </c>
      <c r="BE217" s="41">
        <v>49988.463631145431</v>
      </c>
      <c r="BF217" s="41">
        <v>51570.983954708339</v>
      </c>
      <c r="BG217" s="41">
        <v>50817.330824780161</v>
      </c>
      <c r="BH217" s="41">
        <v>42662.902651346114</v>
      </c>
      <c r="BI217" s="41">
        <v>43828.232460931482</v>
      </c>
      <c r="BJ217" s="41">
        <v>45399.029060554894</v>
      </c>
      <c r="BK217" s="41">
        <v>48996.59224882401</v>
      </c>
      <c r="BL217" s="41">
        <v>47731.208539934749</v>
      </c>
    </row>
    <row r="218" spans="1:65" x14ac:dyDescent="0.35">
      <c r="A218" s="41" t="s">
        <v>527</v>
      </c>
      <c r="B218" s="41" t="s">
        <v>528</v>
      </c>
      <c r="C218" s="41" t="s">
        <v>659</v>
      </c>
      <c r="D218" s="41" t="s">
        <v>660</v>
      </c>
      <c r="E218" s="41">
        <v>65.479716112720254</v>
      </c>
      <c r="F218" s="41">
        <v>68.106396971006717</v>
      </c>
      <c r="G218" s="41">
        <v>70.813048970668163</v>
      </c>
      <c r="H218" s="41">
        <v>73.607204256808885</v>
      </c>
      <c r="I218" s="41">
        <v>76.480398468603781</v>
      </c>
      <c r="J218" s="41">
        <v>79.428813159935331</v>
      </c>
      <c r="K218" s="41">
        <v>81.871114236256744</v>
      </c>
      <c r="L218" s="41">
        <v>84.198964580844745</v>
      </c>
      <c r="M218" s="41">
        <v>86.550321619544533</v>
      </c>
      <c r="N218" s="41">
        <v>90.457976225908538</v>
      </c>
      <c r="O218" s="41">
        <v>93.654680496415409</v>
      </c>
      <c r="P218" s="41">
        <v>95.353888495168576</v>
      </c>
      <c r="Q218" s="41">
        <v>119.81820664218944</v>
      </c>
      <c r="R218" s="41">
        <v>144.34455254890844</v>
      </c>
      <c r="S218" s="41">
        <v>128.70333996547626</v>
      </c>
      <c r="T218" s="41">
        <v>183.19536490979175</v>
      </c>
      <c r="U218" s="41">
        <v>188.6610689237871</v>
      </c>
      <c r="V218" s="41">
        <v>103.81860919405378</v>
      </c>
      <c r="W218" s="41">
        <v>105.11333351228001</v>
      </c>
      <c r="X218" s="41">
        <v>100.19406093849527</v>
      </c>
      <c r="Y218" s="41">
        <v>96.096066799075118</v>
      </c>
      <c r="Z218" s="41">
        <v>107.37212702214048</v>
      </c>
      <c r="AA218" s="41">
        <v>117.19353540521335</v>
      </c>
      <c r="AB218" s="41">
        <v>110.88478397909802</v>
      </c>
      <c r="AC218" s="41">
        <v>119.17481732589685</v>
      </c>
      <c r="AD218" s="41">
        <v>131.81736407218162</v>
      </c>
      <c r="AE218" s="41">
        <v>138.09605035605463</v>
      </c>
      <c r="AF218" s="41">
        <v>147.15147696784709</v>
      </c>
      <c r="AG218" s="41">
        <v>148.21667202413545</v>
      </c>
      <c r="AH218" s="41">
        <v>153.14071038723799</v>
      </c>
      <c r="AI218" s="41">
        <v>126.92497324429898</v>
      </c>
      <c r="BF218" s="41">
        <v>297.95535776596074</v>
      </c>
      <c r="BG218" s="41">
        <v>295.26660994049172</v>
      </c>
      <c r="BH218" s="41">
        <v>293.45517188940801</v>
      </c>
      <c r="BI218" s="41">
        <v>295.96739263904561</v>
      </c>
      <c r="BJ218" s="41">
        <v>309.05438031083787</v>
      </c>
      <c r="BK218" s="41">
        <v>314.54267797856511</v>
      </c>
      <c r="BL218" s="41">
        <v>320.03814830565045</v>
      </c>
      <c r="BM218" s="41">
        <v>309.41545461803241</v>
      </c>
    </row>
    <row r="219" spans="1:65" x14ac:dyDescent="0.35">
      <c r="A219" s="41" t="s">
        <v>529</v>
      </c>
      <c r="B219" s="41" t="s">
        <v>530</v>
      </c>
      <c r="C219" s="41" t="s">
        <v>659</v>
      </c>
      <c r="D219" s="41" t="s">
        <v>660</v>
      </c>
      <c r="AN219" s="41">
        <v>2207.4505980580971</v>
      </c>
      <c r="AO219" s="41">
        <v>2864.0847269943988</v>
      </c>
      <c r="AP219" s="41">
        <v>3380.0414163828937</v>
      </c>
      <c r="AQ219" s="41">
        <v>2571.1727104145293</v>
      </c>
      <c r="AR219" s="41">
        <v>2571.3040395333292</v>
      </c>
      <c r="AS219" s="41">
        <v>914.78571988586054</v>
      </c>
      <c r="AT219" s="41">
        <v>1727.2811956552566</v>
      </c>
      <c r="AU219" s="41">
        <v>2283.8466849494112</v>
      </c>
      <c r="AV219" s="41">
        <v>3005.4263522448409</v>
      </c>
      <c r="AW219" s="41">
        <v>3502.8029238956656</v>
      </c>
      <c r="AX219" s="41">
        <v>3720.4791546743099</v>
      </c>
      <c r="AY219" s="41">
        <v>4382.617278516921</v>
      </c>
      <c r="AZ219" s="41">
        <v>5848.4764054510451</v>
      </c>
      <c r="BA219" s="41">
        <v>7101.0401411686234</v>
      </c>
      <c r="BB219" s="41">
        <v>6169.1141947782262</v>
      </c>
      <c r="BC219" s="41">
        <v>5735.4228565984877</v>
      </c>
      <c r="BD219" s="41">
        <v>6809.1598040014596</v>
      </c>
      <c r="BE219" s="41">
        <v>6015.9452275696913</v>
      </c>
      <c r="BF219" s="41">
        <v>6755.073674616292</v>
      </c>
      <c r="BG219" s="41">
        <v>6600.0568085458945</v>
      </c>
      <c r="BH219" s="41">
        <v>5588.9807276855599</v>
      </c>
      <c r="BI219" s="41">
        <v>5765.2007620271133</v>
      </c>
      <c r="BJ219" s="41">
        <v>6292.5436292670665</v>
      </c>
      <c r="BK219" s="41">
        <v>7252.4018577399229</v>
      </c>
      <c r="BL219" s="41">
        <v>7411.5586487900473</v>
      </c>
      <c r="BM219" s="41">
        <v>7666.2444759592099</v>
      </c>
    </row>
    <row r="220" spans="1:65" x14ac:dyDescent="0.35">
      <c r="A220" s="41" t="s">
        <v>531</v>
      </c>
      <c r="B220" s="41" t="s">
        <v>532</v>
      </c>
      <c r="C220" s="41" t="s">
        <v>659</v>
      </c>
      <c r="D220" s="41" t="s">
        <v>660</v>
      </c>
      <c r="E220" s="41">
        <v>128.7075575805045</v>
      </c>
      <c r="F220" s="41">
        <v>130.67130795279783</v>
      </c>
      <c r="G220" s="41">
        <v>138.27246006488747</v>
      </c>
      <c r="H220" s="41">
        <v>154.66931108119391</v>
      </c>
      <c r="I220" s="41">
        <v>147.43462038744104</v>
      </c>
      <c r="J220" s="41">
        <v>160.24941655997301</v>
      </c>
      <c r="K220" s="41">
        <v>168.69525609896294</v>
      </c>
      <c r="L220" s="41">
        <v>162.66874665898715</v>
      </c>
      <c r="M220" s="41">
        <v>169.61483238978425</v>
      </c>
      <c r="N220" s="41">
        <v>189.06458236346606</v>
      </c>
      <c r="O220" s="41">
        <v>216.77510309997604</v>
      </c>
      <c r="P220" s="41">
        <v>214.72991603144848</v>
      </c>
      <c r="Q220" s="41">
        <v>236.19979511901184</v>
      </c>
      <c r="R220" s="41">
        <v>294.13481360099468</v>
      </c>
      <c r="S220" s="41">
        <v>373.20709165222684</v>
      </c>
      <c r="T220" s="41">
        <v>400.82535078458147</v>
      </c>
      <c r="U220" s="41">
        <v>422.39593721761759</v>
      </c>
      <c r="V220" s="41">
        <v>451.8617292290445</v>
      </c>
      <c r="W220" s="41">
        <v>486.06112559804433</v>
      </c>
      <c r="X220" s="41">
        <v>567.94136058545712</v>
      </c>
      <c r="Y220" s="41">
        <v>695.61675335121288</v>
      </c>
      <c r="Z220" s="41">
        <v>942.38122394268964</v>
      </c>
      <c r="AA220" s="41">
        <v>842.93557068589701</v>
      </c>
      <c r="AB220" s="41">
        <v>713.62323306353233</v>
      </c>
      <c r="AC220" s="41">
        <v>605.90142451878955</v>
      </c>
      <c r="AD220" s="41">
        <v>558.64378010615997</v>
      </c>
      <c r="AE220" s="41">
        <v>559.34247264010764</v>
      </c>
      <c r="AF220" s="41">
        <v>618.8328050885633</v>
      </c>
      <c r="AG220" s="41">
        <v>617.51856396209746</v>
      </c>
      <c r="AH220" s="41">
        <v>597.02669399605361</v>
      </c>
      <c r="AI220" s="41">
        <v>654.56046211982243</v>
      </c>
      <c r="AJ220" s="41">
        <v>643.8902738109058</v>
      </c>
      <c r="AK220" s="41">
        <v>626.97525180628361</v>
      </c>
      <c r="AL220" s="41">
        <v>571.86702653450004</v>
      </c>
      <c r="AM220" s="41">
        <v>543.24000843717738</v>
      </c>
      <c r="AN220" s="41">
        <v>613.9925568352013</v>
      </c>
      <c r="AO220" s="41">
        <v>616.59451634797699</v>
      </c>
      <c r="AP220" s="41">
        <v>622.91212237278137</v>
      </c>
      <c r="AQ220" s="41">
        <v>587.16358672732065</v>
      </c>
      <c r="AR220" s="41">
        <v>578.71315475320284</v>
      </c>
      <c r="AS220" s="41">
        <v>601.35889807651517</v>
      </c>
      <c r="AT220" s="41">
        <v>559.39683193778217</v>
      </c>
      <c r="AU220" s="41">
        <v>594.08528810897405</v>
      </c>
      <c r="AV220" s="41">
        <v>724.92862372070829</v>
      </c>
      <c r="AW220" s="41">
        <v>877.96070118227397</v>
      </c>
      <c r="AX220" s="41">
        <v>1015.5573027366389</v>
      </c>
      <c r="AY220" s="41">
        <v>1173.629972526069</v>
      </c>
      <c r="AZ220" s="41">
        <v>1325.8835987338214</v>
      </c>
      <c r="BA220" s="41">
        <v>1480.8146114754793</v>
      </c>
      <c r="BB220" s="41">
        <v>1373.0657004530701</v>
      </c>
      <c r="BC220" s="41">
        <v>1591.6405416333318</v>
      </c>
      <c r="BD220" s="41">
        <v>1739.9878812515283</v>
      </c>
      <c r="BE220" s="41">
        <v>1775.5337055096088</v>
      </c>
      <c r="BF220" s="41">
        <v>1839.4960372762648</v>
      </c>
      <c r="BG220" s="41">
        <v>1860.2521405696716</v>
      </c>
      <c r="BH220" s="41">
        <v>1657.2863121253931</v>
      </c>
      <c r="BI220" s="41">
        <v>1507.0960282855726</v>
      </c>
      <c r="BJ220" s="41">
        <v>1562.9139640900437</v>
      </c>
      <c r="BK220" s="41">
        <v>1595.4964951506008</v>
      </c>
      <c r="BL220" s="41">
        <v>1597.7275028051149</v>
      </c>
      <c r="BM220" s="41">
        <v>1482.9095943256966</v>
      </c>
    </row>
    <row r="221" spans="1:65" x14ac:dyDescent="0.35">
      <c r="A221" s="41" t="s">
        <v>533</v>
      </c>
      <c r="B221" s="41" t="s">
        <v>534</v>
      </c>
      <c r="C221" s="41" t="s">
        <v>659</v>
      </c>
      <c r="D221" s="41" t="s">
        <v>660</v>
      </c>
      <c r="BA221" s="41">
        <v>1669.4937517040498</v>
      </c>
      <c r="BB221" s="41">
        <v>1337.8822305241335</v>
      </c>
      <c r="BC221" s="41">
        <v>1535.7068918791342</v>
      </c>
      <c r="BD221" s="41">
        <v>1516.4043775901328</v>
      </c>
      <c r="BE221" s="41">
        <v>1179.739711080663</v>
      </c>
      <c r="BF221" s="41">
        <v>1779.4703653151319</v>
      </c>
      <c r="BG221" s="41">
        <v>1322.8203638333073</v>
      </c>
      <c r="BH221" s="41">
        <v>1119.6514371656524</v>
      </c>
    </row>
    <row r="222" spans="1:65" x14ac:dyDescent="0.35">
      <c r="A222" s="41" t="s">
        <v>535</v>
      </c>
      <c r="B222" s="41" t="s">
        <v>536</v>
      </c>
      <c r="C222" s="41" t="s">
        <v>659</v>
      </c>
      <c r="D222" s="41" t="s">
        <v>660</v>
      </c>
      <c r="E222" s="41">
        <v>128.7340483960061</v>
      </c>
      <c r="F222" s="41">
        <v>130.69384538960793</v>
      </c>
      <c r="G222" s="41">
        <v>138.29661672396131</v>
      </c>
      <c r="H222" s="41">
        <v>154.69375657826436</v>
      </c>
      <c r="I222" s="41">
        <v>147.46581751729931</v>
      </c>
      <c r="J222" s="41">
        <v>160.27667082580055</v>
      </c>
      <c r="K222" s="41">
        <v>168.72229085894813</v>
      </c>
      <c r="L222" s="41">
        <v>162.69636553050248</v>
      </c>
      <c r="M222" s="41">
        <v>169.63688621094792</v>
      </c>
      <c r="N222" s="41">
        <v>189.08177960160282</v>
      </c>
      <c r="O222" s="41">
        <v>216.79143816164029</v>
      </c>
      <c r="P222" s="41">
        <v>214.75812175604807</v>
      </c>
      <c r="Q222" s="41">
        <v>236.25169900743734</v>
      </c>
      <c r="R222" s="41">
        <v>294.19206109390609</v>
      </c>
      <c r="S222" s="41">
        <v>373.26354326163437</v>
      </c>
      <c r="T222" s="41">
        <v>400.88688447322028</v>
      </c>
      <c r="U222" s="41">
        <v>422.45330271810235</v>
      </c>
      <c r="V222" s="41">
        <v>451.9554610246409</v>
      </c>
      <c r="W222" s="41">
        <v>486.20630518555055</v>
      </c>
      <c r="X222" s="41">
        <v>568.18411986226374</v>
      </c>
      <c r="Y222" s="41">
        <v>695.87940557501179</v>
      </c>
      <c r="Z222" s="41">
        <v>942.60520555764401</v>
      </c>
      <c r="AA222" s="41">
        <v>843.15252526240215</v>
      </c>
      <c r="AB222" s="41">
        <v>713.8542176855027</v>
      </c>
      <c r="AC222" s="41">
        <v>606.15499250153175</v>
      </c>
      <c r="AD222" s="41">
        <v>558.93816907470909</v>
      </c>
      <c r="AE222" s="41">
        <v>559.71551446982687</v>
      </c>
      <c r="AF222" s="41">
        <v>619.27178569724629</v>
      </c>
      <c r="AG222" s="41">
        <v>618.0178763713742</v>
      </c>
      <c r="AH222" s="41">
        <v>597.55693017858209</v>
      </c>
      <c r="AI222" s="41">
        <v>655.19285441209297</v>
      </c>
      <c r="AJ222" s="41">
        <v>644.51682984218098</v>
      </c>
      <c r="AK222" s="41">
        <v>627.70004511891614</v>
      </c>
      <c r="AL222" s="41">
        <v>572.65394361201163</v>
      </c>
      <c r="AM222" s="41">
        <v>544.03094232497983</v>
      </c>
      <c r="AN222" s="41">
        <v>614.78922693980894</v>
      </c>
      <c r="AO222" s="41">
        <v>617.35989685118557</v>
      </c>
      <c r="AP222" s="41">
        <v>623.75447660516716</v>
      </c>
      <c r="AQ222" s="41">
        <v>588.06040255934192</v>
      </c>
      <c r="AR222" s="41">
        <v>579.60923397761826</v>
      </c>
      <c r="AS222" s="41">
        <v>602.21554760718766</v>
      </c>
      <c r="AT222" s="41">
        <v>560.24753174431521</v>
      </c>
      <c r="AU222" s="41">
        <v>595.0160937857529</v>
      </c>
      <c r="AV222" s="41">
        <v>725.83104418899381</v>
      </c>
      <c r="AW222" s="41">
        <v>879.00419847871729</v>
      </c>
      <c r="AX222" s="41">
        <v>1016.6627471981352</v>
      </c>
      <c r="AY222" s="41">
        <v>1174.8112641197713</v>
      </c>
      <c r="AZ222" s="41">
        <v>1327.0363941706221</v>
      </c>
      <c r="BA222" s="41">
        <v>1481.8334023655102</v>
      </c>
      <c r="BB222" s="41">
        <v>1373.9259103513186</v>
      </c>
      <c r="BC222" s="41">
        <v>1592.5920797987487</v>
      </c>
      <c r="BD222" s="41">
        <v>1741.010781074564</v>
      </c>
      <c r="BE222" s="41">
        <v>1776.5177895732272</v>
      </c>
      <c r="BF222" s="41">
        <v>1840.729073445076</v>
      </c>
      <c r="BG222" s="41">
        <v>1861.4628905405043</v>
      </c>
      <c r="BH222" s="41">
        <v>1658.5146631863872</v>
      </c>
      <c r="BI222" s="41">
        <v>1508.352794205354</v>
      </c>
      <c r="BJ222" s="41">
        <v>1564.2241595072153</v>
      </c>
      <c r="BK222" s="41">
        <v>1596.8252507015641</v>
      </c>
      <c r="BL222" s="41">
        <v>1599.0159659058909</v>
      </c>
      <c r="BM222" s="41">
        <v>1483.7695656434041</v>
      </c>
    </row>
    <row r="223" spans="1:65" x14ac:dyDescent="0.35">
      <c r="A223" s="41" t="s">
        <v>537</v>
      </c>
      <c r="B223" s="41" t="s">
        <v>538</v>
      </c>
      <c r="C223" s="41" t="s">
        <v>659</v>
      </c>
      <c r="D223" s="41" t="s">
        <v>660</v>
      </c>
      <c r="O223" s="41">
        <v>461.00606120993967</v>
      </c>
      <c r="P223" s="41">
        <v>509.36007073428158</v>
      </c>
      <c r="Q223" s="41">
        <v>589.33661714900495</v>
      </c>
      <c r="R223" s="41">
        <v>721.33089421026159</v>
      </c>
      <c r="S223" s="41">
        <v>1100.528345463553</v>
      </c>
      <c r="T223" s="41">
        <v>1230.3057004913251</v>
      </c>
      <c r="U223" s="41">
        <v>1379.3422176838678</v>
      </c>
      <c r="V223" s="41">
        <v>1538.3694310866008</v>
      </c>
      <c r="W223" s="41">
        <v>1624.2036046341648</v>
      </c>
      <c r="X223" s="41">
        <v>1978.0126161528092</v>
      </c>
      <c r="Y223" s="41">
        <v>2581.1758684113947</v>
      </c>
      <c r="Z223" s="41">
        <v>2613.893863665442</v>
      </c>
      <c r="AA223" s="41">
        <v>2547.9012969251503</v>
      </c>
      <c r="AB223" s="41">
        <v>2413.9906643183654</v>
      </c>
      <c r="AC223" s="41">
        <v>2342.4969687301832</v>
      </c>
      <c r="AD223" s="41">
        <v>2209.5535297887968</v>
      </c>
      <c r="AE223" s="41">
        <v>2123.9219838820468</v>
      </c>
      <c r="AF223" s="41">
        <v>2376.2560799031894</v>
      </c>
      <c r="AG223" s="41">
        <v>2564.403489767777</v>
      </c>
      <c r="AH223" s="41">
        <v>2616.1214888838458</v>
      </c>
      <c r="AI223" s="41">
        <v>2973.2735650022355</v>
      </c>
      <c r="AJ223" s="41">
        <v>2981.8532075546532</v>
      </c>
      <c r="AK223" s="41">
        <v>3120.4130201425855</v>
      </c>
      <c r="AL223" s="41">
        <v>3030.373198761481</v>
      </c>
      <c r="AM223" s="41">
        <v>3139.9823355821791</v>
      </c>
      <c r="AN223" s="41">
        <v>3518.2494625828849</v>
      </c>
      <c r="AO223" s="41">
        <v>3684.2072996799857</v>
      </c>
      <c r="AP223" s="41">
        <v>3880.5044538240572</v>
      </c>
      <c r="AQ223" s="41">
        <v>3817.7262465309409</v>
      </c>
      <c r="AR223" s="41">
        <v>4029.1390241673075</v>
      </c>
      <c r="AS223" s="41">
        <v>4391.1813292787256</v>
      </c>
      <c r="AT223" s="41">
        <v>4345.4819643153523</v>
      </c>
      <c r="AU223" s="41">
        <v>4583.9189911431322</v>
      </c>
      <c r="AV223" s="41">
        <v>5403.1749027019014</v>
      </c>
      <c r="AW223" s="41">
        <v>6400.8032884886716</v>
      </c>
      <c r="AX223" s="41">
        <v>7492.3899845022115</v>
      </c>
      <c r="AY223" s="41">
        <v>8557.5723978181213</v>
      </c>
      <c r="AZ223" s="41">
        <v>10043.791195898997</v>
      </c>
      <c r="BA223" s="41">
        <v>11834.916483691248</v>
      </c>
      <c r="BB223" s="41">
        <v>9922.9851451130417</v>
      </c>
      <c r="BC223" s="41">
        <v>11173.075760197473</v>
      </c>
      <c r="BD223" s="41">
        <v>13213.930698050135</v>
      </c>
      <c r="BE223" s="41">
        <v>13525.35313977911</v>
      </c>
      <c r="BF223" s="41">
        <v>13821.995692005237</v>
      </c>
      <c r="BG223" s="41">
        <v>14015.342451285613</v>
      </c>
      <c r="BH223" s="41">
        <v>11759.688105842735</v>
      </c>
      <c r="BI223" s="41">
        <v>11367.685142257506</v>
      </c>
      <c r="BJ223" s="41">
        <v>12064.702736796151</v>
      </c>
      <c r="BK223" s="41">
        <v>13040.537726279694</v>
      </c>
      <c r="BL223" s="41">
        <v>12622.528905625293</v>
      </c>
      <c r="BM223" s="41">
        <v>10864.007800779886</v>
      </c>
    </row>
    <row r="224" spans="1:65" x14ac:dyDescent="0.35">
      <c r="A224" s="41" t="s">
        <v>539</v>
      </c>
      <c r="B224" s="41" t="s">
        <v>540</v>
      </c>
      <c r="C224" s="41" t="s">
        <v>659</v>
      </c>
      <c r="D224" s="41" t="s">
        <v>660</v>
      </c>
      <c r="AT224" s="41">
        <v>524.66987210033471</v>
      </c>
      <c r="AU224" s="41">
        <v>577.6284039704542</v>
      </c>
      <c r="AV224" s="41">
        <v>678.73796393254554</v>
      </c>
      <c r="AW224" s="41">
        <v>745.32029991086495</v>
      </c>
      <c r="AX224" s="41">
        <v>866.50499563880294</v>
      </c>
      <c r="AY224" s="41">
        <v>883.09704134142567</v>
      </c>
      <c r="AZ224" s="41">
        <v>896.86779126347506</v>
      </c>
      <c r="BA224" s="41">
        <v>1098.7552190416582</v>
      </c>
      <c r="BB224" s="41">
        <v>1067.9080526223349</v>
      </c>
      <c r="BC224" s="41">
        <v>1090.260762575429</v>
      </c>
      <c r="BD224" s="41">
        <v>1254.5415976746774</v>
      </c>
      <c r="BE224" s="41">
        <v>1330.6201139518096</v>
      </c>
      <c r="BF224" s="41">
        <v>1564.7685479269999</v>
      </c>
      <c r="BG224" s="41">
        <v>1770.4676880717873</v>
      </c>
      <c r="BH224" s="41">
        <v>1584.7756574378843</v>
      </c>
      <c r="BI224" s="41">
        <v>1700.0979966636439</v>
      </c>
      <c r="BJ224" s="41">
        <v>1813.8074335970416</v>
      </c>
      <c r="BK224" s="41">
        <v>1953.5132573675983</v>
      </c>
      <c r="BL224" s="41">
        <v>1987.5797016681831</v>
      </c>
      <c r="BM224" s="41">
        <v>2157.8404456966778</v>
      </c>
    </row>
    <row r="225" spans="1:65" x14ac:dyDescent="0.35">
      <c r="A225" s="41" t="s">
        <v>541</v>
      </c>
      <c r="B225" s="41" t="s">
        <v>542</v>
      </c>
      <c r="C225" s="41" t="s">
        <v>659</v>
      </c>
      <c r="D225" s="41" t="s">
        <v>660</v>
      </c>
      <c r="E225" s="41">
        <v>346.16319866606455</v>
      </c>
      <c r="F225" s="41">
        <v>363.95832558894</v>
      </c>
      <c r="G225" s="41">
        <v>382.20563749202023</v>
      </c>
      <c r="H225" s="41">
        <v>403.7570725608681</v>
      </c>
      <c r="I225" s="41">
        <v>419.64985465252431</v>
      </c>
      <c r="J225" s="41">
        <v>468.62792189433299</v>
      </c>
      <c r="K225" s="41">
        <v>562.90754239919568</v>
      </c>
      <c r="L225" s="41">
        <v>634.79188777960906</v>
      </c>
      <c r="M225" s="41">
        <v>676.90176159932241</v>
      </c>
      <c r="N225" s="41">
        <v>714.1599784363018</v>
      </c>
      <c r="O225" s="41">
        <v>747.16111391964694</v>
      </c>
      <c r="P225" s="41">
        <v>815.21003168756602</v>
      </c>
      <c r="Q225" s="41">
        <v>847.90449760401407</v>
      </c>
      <c r="R225" s="41">
        <v>930.23701929532717</v>
      </c>
      <c r="S225" s="41">
        <v>1133.231028714418</v>
      </c>
      <c r="T225" s="41">
        <v>1295.8127571443686</v>
      </c>
      <c r="U225" s="41">
        <v>1412.2123542739328</v>
      </c>
      <c r="V225" s="41">
        <v>1793.658027842941</v>
      </c>
      <c r="W225" s="41">
        <v>2053.8783534346262</v>
      </c>
      <c r="X225" s="41">
        <v>2180.7226901060681</v>
      </c>
      <c r="Y225" s="41">
        <v>2211.2140538646181</v>
      </c>
      <c r="Z225" s="41">
        <v>2468.4570616197966</v>
      </c>
      <c r="AA225" s="41">
        <v>2535.1386845539405</v>
      </c>
      <c r="AB225" s="41">
        <v>2438.7079678261684</v>
      </c>
      <c r="AC225" s="41">
        <v>2368.9275667494694</v>
      </c>
      <c r="AD225" s="41">
        <v>2368.1897590034614</v>
      </c>
      <c r="AE225" s="41">
        <v>2381.5060419690326</v>
      </c>
      <c r="AF225" s="41">
        <v>2571.9557098728983</v>
      </c>
      <c r="AG225" s="41">
        <v>2985.5198430352016</v>
      </c>
      <c r="AH225" s="41">
        <v>1366.4683868823065</v>
      </c>
      <c r="AI225" s="41">
        <v>958.61233213794742</v>
      </c>
      <c r="AJ225" s="41">
        <v>1084.9642501737251</v>
      </c>
      <c r="AK225" s="41">
        <v>961.82647186075144</v>
      </c>
      <c r="AL225" s="41">
        <v>1001.7211628266209</v>
      </c>
      <c r="AM225" s="41">
        <v>1391.6201538349499</v>
      </c>
      <c r="AN225" s="41">
        <v>1565.2120233688654</v>
      </c>
      <c r="AO225" s="41">
        <v>1921.9054394993734</v>
      </c>
      <c r="AP225" s="41">
        <v>2039.8368434379577</v>
      </c>
      <c r="AQ225" s="41">
        <v>2415.7420656840022</v>
      </c>
      <c r="AR225" s="41">
        <v>1904.4451795831762</v>
      </c>
      <c r="AS225" s="41">
        <v>2012.2816506781478</v>
      </c>
      <c r="AT225" s="41">
        <v>1750.5767368722697</v>
      </c>
      <c r="AU225" s="41">
        <v>2267.7539837693089</v>
      </c>
      <c r="AV225" s="41">
        <v>2611.3774934903313</v>
      </c>
      <c r="AW225" s="41">
        <v>3006.183232874062</v>
      </c>
      <c r="AX225" s="41">
        <v>3590.6481833241178</v>
      </c>
      <c r="AY225" s="41">
        <v>5197.747906514991</v>
      </c>
      <c r="AZ225" s="41">
        <v>5744.7597267072206</v>
      </c>
      <c r="BA225" s="41">
        <v>6831.9836220628376</v>
      </c>
      <c r="BB225" s="41">
        <v>7408.3607864181804</v>
      </c>
      <c r="BC225" s="41">
        <v>8255.8748722295459</v>
      </c>
      <c r="BD225" s="41">
        <v>8263.2038032034761</v>
      </c>
      <c r="BE225" s="41">
        <v>9200.9747860034331</v>
      </c>
      <c r="BF225" s="41">
        <v>9402.1644191114046</v>
      </c>
      <c r="BG225" s="41">
        <v>9471.9220005242587</v>
      </c>
      <c r="BH225" s="41">
        <v>9168.2371566400907</v>
      </c>
      <c r="BI225" s="41">
        <v>5872.7894286616593</v>
      </c>
      <c r="BJ225" s="41">
        <v>6295.5605617357787</v>
      </c>
      <c r="BK225" s="41">
        <v>6938.0869814729404</v>
      </c>
      <c r="BL225" s="41">
        <v>7261.1656095382368</v>
      </c>
      <c r="BM225" s="41">
        <v>6491.1390653849849</v>
      </c>
    </row>
    <row r="226" spans="1:65" x14ac:dyDescent="0.35">
      <c r="A226" s="41" t="s">
        <v>543</v>
      </c>
      <c r="B226" s="41" t="s">
        <v>544</v>
      </c>
      <c r="C226" s="41" t="s">
        <v>659</v>
      </c>
      <c r="D226" s="41" t="s">
        <v>660</v>
      </c>
      <c r="AI226" s="41">
        <v>2405.5351604078478</v>
      </c>
      <c r="AJ226" s="41">
        <v>2691.195652262611</v>
      </c>
      <c r="AK226" s="41">
        <v>2920.9175423418596</v>
      </c>
      <c r="AL226" s="41">
        <v>3102.2968587771215</v>
      </c>
      <c r="AM226" s="41">
        <v>3771.3595157828827</v>
      </c>
      <c r="AN226" s="41">
        <v>4819.1255547098681</v>
      </c>
      <c r="AO226" s="41">
        <v>5196.940379659316</v>
      </c>
      <c r="AP226" s="41">
        <v>5146.6710782708424</v>
      </c>
      <c r="AQ226" s="41">
        <v>5538.616464771836</v>
      </c>
      <c r="AR226" s="41">
        <v>5643.6751092567029</v>
      </c>
      <c r="AS226" s="41">
        <v>5413.1506206880686</v>
      </c>
      <c r="AT226" s="41">
        <v>5717.2170896901662</v>
      </c>
      <c r="AU226" s="41">
        <v>6533.5532130373222</v>
      </c>
      <c r="AV226" s="41">
        <v>8712.6987931205895</v>
      </c>
      <c r="AW226" s="41">
        <v>10671.821861063212</v>
      </c>
      <c r="AX226" s="41">
        <v>11685.754822439145</v>
      </c>
      <c r="AY226" s="41">
        <v>13159.759441396442</v>
      </c>
      <c r="AZ226" s="41">
        <v>16085.61152333805</v>
      </c>
      <c r="BA226" s="41">
        <v>18677.292710931772</v>
      </c>
      <c r="BB226" s="41">
        <v>16531.670514070618</v>
      </c>
      <c r="BC226" s="41">
        <v>16750.797441608349</v>
      </c>
      <c r="BD226" s="41">
        <v>18361.569476008332</v>
      </c>
      <c r="BE226" s="41">
        <v>17481.895443525154</v>
      </c>
      <c r="BF226" s="41">
        <v>18260.015771001861</v>
      </c>
      <c r="BG226" s="41">
        <v>18674.344056862476</v>
      </c>
      <c r="BH226" s="41">
        <v>16310.988409000545</v>
      </c>
      <c r="BI226" s="41">
        <v>16508.670360493204</v>
      </c>
      <c r="BJ226" s="41">
        <v>17504.211340762806</v>
      </c>
      <c r="BK226" s="41">
        <v>19364.620103645782</v>
      </c>
      <c r="BL226" s="41">
        <v>19273.253954122887</v>
      </c>
      <c r="BM226" s="41">
        <v>19156.889611699451</v>
      </c>
    </row>
    <row r="227" spans="1:65" x14ac:dyDescent="0.35">
      <c r="A227" s="41" t="s">
        <v>545</v>
      </c>
      <c r="B227" s="41" t="s">
        <v>546</v>
      </c>
      <c r="C227" s="41" t="s">
        <v>659</v>
      </c>
      <c r="D227" s="41" t="s">
        <v>660</v>
      </c>
      <c r="AN227" s="41">
        <v>10730.451013637876</v>
      </c>
      <c r="AO227" s="41">
        <v>10815.111045768848</v>
      </c>
      <c r="AP227" s="41">
        <v>10454.965639065658</v>
      </c>
      <c r="AQ227" s="41">
        <v>11175.771028626496</v>
      </c>
      <c r="AR227" s="41">
        <v>11452.783124508223</v>
      </c>
      <c r="AS227" s="41">
        <v>10201.303536672682</v>
      </c>
      <c r="AT227" s="41">
        <v>10479.759630927281</v>
      </c>
      <c r="AU227" s="41">
        <v>11777.155657881414</v>
      </c>
      <c r="AV227" s="41">
        <v>14849.037241503169</v>
      </c>
      <c r="AW227" s="41">
        <v>17233.138561127915</v>
      </c>
      <c r="AX227" s="41">
        <v>18098.908544000278</v>
      </c>
      <c r="AY227" s="41">
        <v>19672.965555414557</v>
      </c>
      <c r="AZ227" s="41">
        <v>23787.646556668828</v>
      </c>
      <c r="BA227" s="41">
        <v>27483.337169856877</v>
      </c>
      <c r="BB227" s="41">
        <v>24694.230487670706</v>
      </c>
      <c r="BC227" s="41">
        <v>23509.543135546282</v>
      </c>
      <c r="BD227" s="41">
        <v>25095.132289619673</v>
      </c>
      <c r="BE227" s="41">
        <v>22643.100251500691</v>
      </c>
      <c r="BF227" s="41">
        <v>23496.602499331952</v>
      </c>
      <c r="BG227" s="41">
        <v>24214.922071727338</v>
      </c>
      <c r="BH227" s="41">
        <v>20881.766929932877</v>
      </c>
      <c r="BI227" s="41">
        <v>21663.643413766978</v>
      </c>
      <c r="BJ227" s="41">
        <v>23454.739517271428</v>
      </c>
      <c r="BK227" s="41">
        <v>26103.160259788408</v>
      </c>
      <c r="BL227" s="41">
        <v>25940.728030935956</v>
      </c>
      <c r="BM227" s="41">
        <v>25179.667172293615</v>
      </c>
    </row>
    <row r="228" spans="1:65" x14ac:dyDescent="0.35">
      <c r="A228" s="41" t="s">
        <v>547</v>
      </c>
      <c r="B228" s="41" t="s">
        <v>548</v>
      </c>
      <c r="C228" s="41" t="s">
        <v>659</v>
      </c>
      <c r="D228" s="41" t="s">
        <v>660</v>
      </c>
      <c r="E228" s="41">
        <v>2114.0029726919179</v>
      </c>
      <c r="F228" s="41">
        <v>2288.9217011191495</v>
      </c>
      <c r="G228" s="41">
        <v>2468.6945890300576</v>
      </c>
      <c r="H228" s="41">
        <v>2657.0225047820313</v>
      </c>
      <c r="I228" s="41">
        <v>2941.0488994520379</v>
      </c>
      <c r="J228" s="41">
        <v>3206.0991702033893</v>
      </c>
      <c r="K228" s="41">
        <v>3454.4297893867879</v>
      </c>
      <c r="L228" s="41">
        <v>3720.9268452772094</v>
      </c>
      <c r="M228" s="41">
        <v>3926.4090014696517</v>
      </c>
      <c r="N228" s="41">
        <v>4234.161348210183</v>
      </c>
      <c r="O228" s="41">
        <v>4736.2171537776612</v>
      </c>
      <c r="P228" s="41">
        <v>5132.7116074255173</v>
      </c>
      <c r="Q228" s="41">
        <v>6027.1284991733719</v>
      </c>
      <c r="R228" s="41">
        <v>7301.2154258859991</v>
      </c>
      <c r="S228" s="41">
        <v>8089.9145846668225</v>
      </c>
      <c r="T228" s="41">
        <v>10117.306684267272</v>
      </c>
      <c r="U228" s="41">
        <v>10868.27576575461</v>
      </c>
      <c r="V228" s="41">
        <v>11448.619391226561</v>
      </c>
      <c r="W228" s="41">
        <v>12620.51861415118</v>
      </c>
      <c r="X228" s="41">
        <v>14877.164288354901</v>
      </c>
      <c r="Y228" s="41">
        <v>17097.832651209472</v>
      </c>
      <c r="Z228" s="41">
        <v>15586.430078004683</v>
      </c>
      <c r="AA228" s="41">
        <v>13738.972298037401</v>
      </c>
      <c r="AB228" s="41">
        <v>12608.229150586521</v>
      </c>
      <c r="AC228" s="41">
        <v>13099.020834176539</v>
      </c>
      <c r="AD228" s="41">
        <v>13666.857745473601</v>
      </c>
      <c r="AE228" s="41">
        <v>17981.019411940542</v>
      </c>
      <c r="AF228" s="41">
        <v>21792.558905982172</v>
      </c>
      <c r="AG228" s="41">
        <v>24534.693816419072</v>
      </c>
      <c r="AH228" s="41">
        <v>25662.220589250552</v>
      </c>
      <c r="AI228" s="41">
        <v>30593.672444776061</v>
      </c>
      <c r="AJ228" s="41">
        <v>31822.803848236734</v>
      </c>
      <c r="AK228" s="41">
        <v>32800.9826867546</v>
      </c>
      <c r="AL228" s="41">
        <v>24425.284928111811</v>
      </c>
      <c r="AM228" s="41">
        <v>26083.614387483787</v>
      </c>
      <c r="AN228" s="41">
        <v>30282.963920006623</v>
      </c>
      <c r="AO228" s="41">
        <v>32998.968160843237</v>
      </c>
      <c r="AP228" s="41">
        <v>30312.48759931028</v>
      </c>
      <c r="AQ228" s="41">
        <v>30596.527204883238</v>
      </c>
      <c r="AR228" s="41">
        <v>30941.0793624668</v>
      </c>
      <c r="AS228" s="41">
        <v>29624.91267486176</v>
      </c>
      <c r="AT228" s="41">
        <v>27247.857734792986</v>
      </c>
      <c r="AU228" s="41">
        <v>29899.19524950812</v>
      </c>
      <c r="AV228" s="41">
        <v>37321.797904705898</v>
      </c>
      <c r="AW228" s="41">
        <v>42821.673142335829</v>
      </c>
      <c r="AX228" s="41">
        <v>43437.063116477562</v>
      </c>
      <c r="AY228" s="41">
        <v>46593.602164611097</v>
      </c>
      <c r="AZ228" s="41">
        <v>53700.005336306276</v>
      </c>
      <c r="BA228" s="41">
        <v>56152.552340314003</v>
      </c>
      <c r="BB228" s="41">
        <v>46946.960271995427</v>
      </c>
      <c r="BC228" s="41">
        <v>52869.044289158664</v>
      </c>
      <c r="BD228" s="41">
        <v>60755.759550846473</v>
      </c>
      <c r="BE228" s="41">
        <v>58037.821319217262</v>
      </c>
      <c r="BF228" s="41">
        <v>61126.943196397886</v>
      </c>
      <c r="BG228" s="41">
        <v>60020.360457657203</v>
      </c>
      <c r="BH228" s="41">
        <v>51545.483609532152</v>
      </c>
      <c r="BI228" s="41">
        <v>51965.157153198517</v>
      </c>
      <c r="BJ228" s="41">
        <v>53791.50872984028</v>
      </c>
      <c r="BK228" s="41">
        <v>54589.060386060613</v>
      </c>
      <c r="BL228" s="41">
        <v>51686.851354593833</v>
      </c>
      <c r="BM228" s="41">
        <v>51925.713759638464</v>
      </c>
    </row>
    <row r="229" spans="1:65" x14ac:dyDescent="0.35">
      <c r="A229" s="41" t="s">
        <v>17</v>
      </c>
      <c r="B229" s="41" t="s">
        <v>549</v>
      </c>
      <c r="C229" s="41" t="s">
        <v>659</v>
      </c>
      <c r="D229" s="41" t="s">
        <v>660</v>
      </c>
      <c r="E229" s="41">
        <v>104.21405581122492</v>
      </c>
      <c r="F229" s="41">
        <v>125.31149189450315</v>
      </c>
      <c r="G229" s="41">
        <v>131.16208952826838</v>
      </c>
      <c r="H229" s="41">
        <v>151.5017043611613</v>
      </c>
      <c r="I229" s="41">
        <v>177.96691612180027</v>
      </c>
      <c r="J229" s="41">
        <v>187.94837047031206</v>
      </c>
      <c r="K229" s="41">
        <v>200.24611232021101</v>
      </c>
      <c r="L229" s="41">
        <v>189.37710211243134</v>
      </c>
      <c r="M229" s="41">
        <v>196.30217371348007</v>
      </c>
      <c r="N229" s="41">
        <v>251.75083200315029</v>
      </c>
      <c r="O229" s="41">
        <v>260.02897905130675</v>
      </c>
      <c r="P229" s="41">
        <v>307.36887191688675</v>
      </c>
      <c r="Q229" s="41">
        <v>321.06943053767799</v>
      </c>
      <c r="R229" s="41">
        <v>471.56907880395164</v>
      </c>
      <c r="S229" s="41">
        <v>545.2576170936976</v>
      </c>
      <c r="T229" s="41">
        <v>576.8838727663624</v>
      </c>
      <c r="U229" s="41">
        <v>528.58425381604911</v>
      </c>
      <c r="V229" s="41">
        <v>571.24682826865512</v>
      </c>
      <c r="W229" s="41">
        <v>619.54243251474884</v>
      </c>
      <c r="X229" s="41">
        <v>725.11267281052858</v>
      </c>
      <c r="Y229" s="41">
        <v>922.00164941291871</v>
      </c>
      <c r="Z229" s="41">
        <v>938.1748181523144</v>
      </c>
      <c r="AA229" s="41">
        <v>853.54991782248919</v>
      </c>
      <c r="AB229" s="41">
        <v>851.59626838316785</v>
      </c>
      <c r="AC229" s="41">
        <v>732.29622039223989</v>
      </c>
      <c r="AD229" s="41">
        <v>515.07256034245597</v>
      </c>
      <c r="AE229" s="41">
        <v>620.71203569255692</v>
      </c>
      <c r="AF229" s="41">
        <v>780.26854233365634</v>
      </c>
      <c r="AG229" s="41">
        <v>894.33958018379042</v>
      </c>
      <c r="AH229" s="41">
        <v>872.78293829547113</v>
      </c>
      <c r="AI229" s="41">
        <v>1355.3890007470657</v>
      </c>
      <c r="AJ229" s="41">
        <v>1367.7831955277068</v>
      </c>
      <c r="AK229" s="41">
        <v>1481.8611805392175</v>
      </c>
      <c r="AL229" s="41">
        <v>1528.8924438341562</v>
      </c>
      <c r="AM229" s="41">
        <v>1563.7495069489912</v>
      </c>
      <c r="AN229" s="41">
        <v>1833.0993161251765</v>
      </c>
      <c r="AO229" s="41">
        <v>1695.1347749051554</v>
      </c>
      <c r="AP229" s="41">
        <v>1781.8885229168341</v>
      </c>
      <c r="AQ229" s="41">
        <v>1609.2140930184269</v>
      </c>
      <c r="AR229" s="41">
        <v>1557.0633305959138</v>
      </c>
      <c r="AS229" s="41">
        <v>1728.7104976274081</v>
      </c>
      <c r="AT229" s="41">
        <v>1521.7691211558526</v>
      </c>
      <c r="AU229" s="41">
        <v>1405.4487521780031</v>
      </c>
      <c r="AV229" s="41">
        <v>2148.6325398173217</v>
      </c>
      <c r="AW229" s="41">
        <v>2699.1307718657522</v>
      </c>
      <c r="AX229" s="41">
        <v>3083.8382017897693</v>
      </c>
      <c r="AY229" s="41">
        <v>3176.6911397067329</v>
      </c>
      <c r="AZ229" s="41">
        <v>3327.4450658927412</v>
      </c>
      <c r="BA229" s="41">
        <v>3137.3871507542945</v>
      </c>
      <c r="BB229" s="41">
        <v>3385.8589352000185</v>
      </c>
      <c r="BC229" s="41">
        <v>4168.4895183719391</v>
      </c>
      <c r="BD229" s="41">
        <v>4496.612962262534</v>
      </c>
      <c r="BE229" s="41">
        <v>4527.6815728317724</v>
      </c>
      <c r="BF229" s="41">
        <v>4230.3284863857216</v>
      </c>
      <c r="BG229" s="41">
        <v>4038.5535402931609</v>
      </c>
      <c r="BH229" s="41">
        <v>3679.8197977124446</v>
      </c>
      <c r="BI229" s="41">
        <v>3425.5287591558945</v>
      </c>
      <c r="BJ229" s="41">
        <v>3914.421838691459</v>
      </c>
      <c r="BK229" s="41">
        <v>4105.8972123462845</v>
      </c>
      <c r="BL229" s="41">
        <v>3894.6696302985792</v>
      </c>
      <c r="BM229" s="41">
        <v>3415.4594462447344</v>
      </c>
    </row>
    <row r="230" spans="1:65" x14ac:dyDescent="0.35">
      <c r="A230" s="41" t="s">
        <v>550</v>
      </c>
      <c r="B230" s="41" t="s">
        <v>551</v>
      </c>
      <c r="C230" s="41" t="s">
        <v>659</v>
      </c>
      <c r="D230" s="41" t="s">
        <v>660</v>
      </c>
      <c r="BD230" s="41">
        <v>27997.289830263504</v>
      </c>
      <c r="BE230" s="41">
        <v>28460.332615118634</v>
      </c>
      <c r="BF230" s="41">
        <v>27942.880540141527</v>
      </c>
      <c r="BG230" s="41">
        <v>33043.68838126694</v>
      </c>
      <c r="BH230" s="41">
        <v>32274.890552435903</v>
      </c>
      <c r="BI230" s="41">
        <v>31616.681699266654</v>
      </c>
      <c r="BJ230" s="41">
        <v>29369.056827816916</v>
      </c>
      <c r="BK230" s="41">
        <v>29160.103811068911</v>
      </c>
    </row>
    <row r="231" spans="1:65" x14ac:dyDescent="0.35">
      <c r="A231" s="41" t="s">
        <v>13</v>
      </c>
      <c r="B231" s="41" t="s">
        <v>552</v>
      </c>
      <c r="C231" s="41" t="s">
        <v>659</v>
      </c>
      <c r="D231" s="41" t="s">
        <v>660</v>
      </c>
      <c r="E231" s="41">
        <v>288.05784201467657</v>
      </c>
      <c r="F231" s="41">
        <v>270.27936282057391</v>
      </c>
      <c r="G231" s="41">
        <v>287.04478842687416</v>
      </c>
      <c r="H231" s="41">
        <v>308.19526439697006</v>
      </c>
      <c r="I231" s="41">
        <v>332.30500311197517</v>
      </c>
      <c r="J231" s="41">
        <v>328.48490095887456</v>
      </c>
      <c r="K231" s="41">
        <v>337.64624655785644</v>
      </c>
      <c r="L231" s="41">
        <v>333.23381246655674</v>
      </c>
      <c r="M231" s="41">
        <v>314.35106484147349</v>
      </c>
      <c r="N231" s="41">
        <v>314.17985281702829</v>
      </c>
      <c r="O231" s="41">
        <v>343.88118212119133</v>
      </c>
      <c r="P231" s="41">
        <v>401.60803951558324</v>
      </c>
      <c r="Q231" s="41">
        <v>546.95106128879445</v>
      </c>
      <c r="R231" s="41">
        <v>648.53192405897016</v>
      </c>
      <c r="S231" s="41">
        <v>744.50694190181855</v>
      </c>
      <c r="T231" s="41">
        <v>806.23264447193981</v>
      </c>
      <c r="U231" s="41">
        <v>814.47473798667409</v>
      </c>
      <c r="V231" s="41">
        <v>1044.3530679852413</v>
      </c>
      <c r="W231" s="41">
        <v>1376.5465794719873</v>
      </c>
      <c r="X231" s="41">
        <v>2030.1359034546733</v>
      </c>
      <c r="Y231" s="41">
        <v>2329.3533579899504</v>
      </c>
      <c r="Z231" s="41">
        <v>2419.034419011326</v>
      </c>
      <c r="AA231" s="41">
        <v>2296.3077292743651</v>
      </c>
      <c r="AB231" s="41">
        <v>2280.451550621709</v>
      </c>
      <c r="AC231" s="41">
        <v>2338.0756521855492</v>
      </c>
      <c r="AD231" s="41">
        <v>2588.5528037952545</v>
      </c>
      <c r="AE231" s="41">
        <v>3165.9450380353069</v>
      </c>
      <c r="AF231" s="41">
        <v>3638.9880112508872</v>
      </c>
      <c r="AG231" s="41">
        <v>4128.1182318366009</v>
      </c>
      <c r="AH231" s="41">
        <v>4407.2009396568592</v>
      </c>
      <c r="AI231" s="41">
        <v>5302.8437271419753</v>
      </c>
      <c r="AJ231" s="41">
        <v>5314.6631281665868</v>
      </c>
      <c r="AK231" s="41">
        <v>6128.4455692211359</v>
      </c>
      <c r="AL231" s="41">
        <v>6559.1299939632418</v>
      </c>
      <c r="AM231" s="41">
        <v>6555.5044074811985</v>
      </c>
      <c r="AN231" s="41">
        <v>6748.9311088588693</v>
      </c>
      <c r="AO231" s="41">
        <v>6583.2010181328769</v>
      </c>
      <c r="AP231" s="41">
        <v>7280.9896211785635</v>
      </c>
      <c r="AQ231" s="41">
        <v>7715.9181470934136</v>
      </c>
      <c r="AR231" s="41">
        <v>7747.6121587207163</v>
      </c>
      <c r="AS231" s="41">
        <v>7578.8510529884543</v>
      </c>
      <c r="AT231" s="41">
        <v>7663.1370802644597</v>
      </c>
      <c r="AU231" s="41">
        <v>8331.2619970041978</v>
      </c>
      <c r="AV231" s="41">
        <v>8524.9612355777899</v>
      </c>
      <c r="AW231" s="41">
        <v>10176.658712006392</v>
      </c>
      <c r="AX231" s="41">
        <v>11092.510735782356</v>
      </c>
      <c r="AY231" s="41">
        <v>12014.399872950233</v>
      </c>
      <c r="AZ231" s="41">
        <v>12154.82993728078</v>
      </c>
      <c r="BA231" s="41">
        <v>11122.862067714215</v>
      </c>
      <c r="BB231" s="41">
        <v>9706.9560596395859</v>
      </c>
      <c r="BC231" s="41">
        <v>10804.684474754693</v>
      </c>
      <c r="BD231" s="41">
        <v>12189.095160135674</v>
      </c>
      <c r="BE231" s="41">
        <v>12006.682962370014</v>
      </c>
      <c r="BF231" s="41">
        <v>14765.67398004282</v>
      </c>
      <c r="BG231" s="41">
        <v>14700.334340838639</v>
      </c>
      <c r="BH231" s="41">
        <v>14745.341462028762</v>
      </c>
      <c r="BI231" s="41">
        <v>15068.620349418406</v>
      </c>
      <c r="BJ231" s="41">
        <v>15906.083911819223</v>
      </c>
      <c r="BK231" s="41">
        <v>16390.824908005306</v>
      </c>
      <c r="BL231" s="41">
        <v>16198.517476495674</v>
      </c>
      <c r="BM231" s="41">
        <v>11425.092929251894</v>
      </c>
    </row>
    <row r="232" spans="1:65" x14ac:dyDescent="0.35">
      <c r="A232" s="41" t="s">
        <v>553</v>
      </c>
      <c r="B232" s="41" t="s">
        <v>554</v>
      </c>
      <c r="C232" s="41" t="s">
        <v>659</v>
      </c>
      <c r="D232" s="41" t="s">
        <v>660</v>
      </c>
      <c r="E232" s="41">
        <v>187.53729226290702</v>
      </c>
      <c r="F232" s="41">
        <v>200.18348408388451</v>
      </c>
      <c r="G232" s="41">
        <v>227.78833689043037</v>
      </c>
      <c r="H232" s="41">
        <v>238.43763760532397</v>
      </c>
      <c r="I232" s="41">
        <v>257.57816466733937</v>
      </c>
      <c r="J232" s="41">
        <v>273.96222182868553</v>
      </c>
      <c r="K232" s="41">
        <v>241.71220127540218</v>
      </c>
      <c r="L232" s="41">
        <v>275.26769288996599</v>
      </c>
      <c r="M232" s="41">
        <v>295.44991360302043</v>
      </c>
      <c r="N232" s="41">
        <v>365.69340683214762</v>
      </c>
      <c r="O232" s="41">
        <v>337.03942464553853</v>
      </c>
      <c r="P232" s="41">
        <v>394.1420281604826</v>
      </c>
      <c r="Q232" s="41">
        <v>449.94346624009603</v>
      </c>
      <c r="R232" s="41">
        <v>460.29447937312074</v>
      </c>
      <c r="S232" s="41">
        <v>708.42083647929712</v>
      </c>
      <c r="T232" s="41">
        <v>905.94996849068696</v>
      </c>
      <c r="U232" s="41">
        <v>979.32826823607525</v>
      </c>
      <c r="V232" s="41">
        <v>954.76288517871194</v>
      </c>
      <c r="W232" s="41">
        <v>1112.6121276240083</v>
      </c>
      <c r="X232" s="41">
        <v>1151.1750052230216</v>
      </c>
      <c r="Y232" s="41">
        <v>1462.6300138905863</v>
      </c>
      <c r="Z232" s="41">
        <v>1677.1257006042961</v>
      </c>
      <c r="AA232" s="41">
        <v>1699.5329825459912</v>
      </c>
      <c r="AB232" s="41">
        <v>1769.740062201812</v>
      </c>
      <c r="AC232" s="41">
        <v>1700.4761837585115</v>
      </c>
      <c r="AD232" s="41">
        <v>1540.4366467063669</v>
      </c>
      <c r="AE232" s="41">
        <v>1208.004315242232</v>
      </c>
      <c r="AF232" s="41">
        <v>999.59225868813667</v>
      </c>
      <c r="AG232" s="41">
        <v>902.55009741383549</v>
      </c>
      <c r="AH232" s="41">
        <v>815.64885395203703</v>
      </c>
      <c r="AI232" s="41">
        <v>988.94891053846447</v>
      </c>
      <c r="AJ232" s="41">
        <v>1012.986979207308</v>
      </c>
      <c r="AK232" s="41">
        <v>1004.9968572122757</v>
      </c>
      <c r="AL232" s="41">
        <v>1009.6488982816001</v>
      </c>
      <c r="AM232" s="41">
        <v>725.56755370386384</v>
      </c>
      <c r="AN232" s="41">
        <v>794.44520838125004</v>
      </c>
      <c r="AO232" s="41">
        <v>934.62264837275006</v>
      </c>
      <c r="AP232" s="41">
        <v>955.84445263790337</v>
      </c>
      <c r="AQ232" s="41">
        <v>974.43894918644889</v>
      </c>
      <c r="AR232" s="41">
        <v>991.25039958757623</v>
      </c>
      <c r="AS232" s="41">
        <v>1177.6293394926779</v>
      </c>
      <c r="AT232" s="41">
        <v>1258.4477719783824</v>
      </c>
      <c r="AU232" s="41">
        <v>1263.2554177743414</v>
      </c>
      <c r="AV232" s="41">
        <v>1253.3951455342105</v>
      </c>
      <c r="AW232" s="41">
        <v>1407.1782664858317</v>
      </c>
      <c r="AX232" s="41">
        <v>1571.7382358169709</v>
      </c>
      <c r="AY232" s="41">
        <v>1748.9057718661363</v>
      </c>
      <c r="AZ232" s="41">
        <v>2032.6231825661903</v>
      </c>
    </row>
    <row r="233" spans="1:65" x14ac:dyDescent="0.35">
      <c r="A233" s="41" t="s">
        <v>555</v>
      </c>
      <c r="B233" s="41" t="s">
        <v>556</v>
      </c>
      <c r="C233" s="41" t="s">
        <v>659</v>
      </c>
      <c r="D233" s="41" t="s">
        <v>660</v>
      </c>
      <c r="AT233" s="41">
        <v>16625.488923903977</v>
      </c>
      <c r="AU233" s="41">
        <v>15785.962117950925</v>
      </c>
      <c r="AV233" s="41">
        <v>16384.900831733845</v>
      </c>
      <c r="AW233" s="41">
        <v>18181.092515631433</v>
      </c>
      <c r="AX233" s="41">
        <v>20533.189028068558</v>
      </c>
      <c r="AY233" s="41">
        <v>24559.144723412941</v>
      </c>
      <c r="AZ233" s="41">
        <v>25457.976500016455</v>
      </c>
      <c r="BA233" s="41">
        <v>27650.115384615383</v>
      </c>
      <c r="BB233" s="41">
        <v>22020.348855416029</v>
      </c>
      <c r="BC233" s="41">
        <v>21029.695633535426</v>
      </c>
      <c r="BD233" s="41">
        <v>21839.009918791766</v>
      </c>
      <c r="BE233" s="41">
        <v>21345.02597821939</v>
      </c>
      <c r="BF233" s="41">
        <v>21715.313966544785</v>
      </c>
      <c r="BG233" s="41">
        <v>23778.519125837549</v>
      </c>
      <c r="BH233" s="41">
        <v>26183.885044053477</v>
      </c>
      <c r="BI233" s="41">
        <v>28241.479293177963</v>
      </c>
      <c r="BJ233" s="41">
        <v>27545.128785429464</v>
      </c>
      <c r="BK233" s="41">
        <v>29553.136697905327</v>
      </c>
      <c r="BL233" s="41">
        <v>31350.86662826622</v>
      </c>
      <c r="BM233" s="41">
        <v>23879.926649103774</v>
      </c>
    </row>
    <row r="234" spans="1:65" x14ac:dyDescent="0.35">
      <c r="A234" s="41" t="s">
        <v>557</v>
      </c>
      <c r="B234" s="41" t="s">
        <v>558</v>
      </c>
      <c r="C234" s="41" t="s">
        <v>659</v>
      </c>
      <c r="D234" s="41" t="s">
        <v>660</v>
      </c>
      <c r="E234" s="41">
        <v>104.47171892977398</v>
      </c>
      <c r="F234" s="41">
        <v>109.12925054173608</v>
      </c>
      <c r="G234" s="41">
        <v>114.58180659680586</v>
      </c>
      <c r="H234" s="41">
        <v>116.77654394178063</v>
      </c>
      <c r="I234" s="41">
        <v>120.82065468792224</v>
      </c>
      <c r="J234" s="41">
        <v>125.97547877285709</v>
      </c>
      <c r="K234" s="41">
        <v>128.34269397672932</v>
      </c>
      <c r="L234" s="41">
        <v>130.9607827709809</v>
      </c>
      <c r="M234" s="41">
        <v>129.73195079528699</v>
      </c>
      <c r="N234" s="41">
        <v>132.16997998668066</v>
      </c>
      <c r="O234" s="41">
        <v>128.79177359506758</v>
      </c>
      <c r="P234" s="41">
        <v>134.68633252971364</v>
      </c>
      <c r="Q234" s="41">
        <v>153.44396445627913</v>
      </c>
      <c r="R234" s="41">
        <v>165.61349403759235</v>
      </c>
      <c r="S234" s="41">
        <v>163.13654331581367</v>
      </c>
      <c r="T234" s="41">
        <v>211.46819700764436</v>
      </c>
      <c r="U234" s="41">
        <v>207.52882213575498</v>
      </c>
      <c r="V234" s="41">
        <v>219.81369481486527</v>
      </c>
      <c r="W234" s="41">
        <v>256.82387134924676</v>
      </c>
      <c r="X234" s="41">
        <v>227.0800033173183</v>
      </c>
      <c r="Y234" s="41">
        <v>228.82248440952921</v>
      </c>
      <c r="Z234" s="41">
        <v>190.10720896351847</v>
      </c>
      <c r="AA234" s="41">
        <v>176.8423264480796</v>
      </c>
      <c r="AB234" s="41">
        <v>172.26021765884653</v>
      </c>
      <c r="AC234" s="41">
        <v>185.3943371191844</v>
      </c>
      <c r="AD234" s="41">
        <v>202.74555677573363</v>
      </c>
      <c r="AE234" s="41">
        <v>203.50125088322241</v>
      </c>
      <c r="AF234" s="41">
        <v>214.93818234003265</v>
      </c>
      <c r="AG234" s="41">
        <v>265.2409712866517</v>
      </c>
      <c r="AH234" s="41">
        <v>248.3033756620575</v>
      </c>
      <c r="AI234" s="41">
        <v>291.55335732265416</v>
      </c>
      <c r="AJ234" s="41">
        <v>304.87447252118164</v>
      </c>
      <c r="AK234" s="41">
        <v>296.03969656896783</v>
      </c>
      <c r="AL234" s="41">
        <v>222.9231832174618</v>
      </c>
      <c r="AM234" s="41">
        <v>173.99027241946573</v>
      </c>
      <c r="AN234" s="41">
        <v>206.26065256047994</v>
      </c>
      <c r="AO234" s="41">
        <v>221.67304006962132</v>
      </c>
      <c r="AP234" s="41">
        <v>205.86269580874131</v>
      </c>
      <c r="AQ234" s="41">
        <v>224.55373950164832</v>
      </c>
      <c r="AR234" s="41">
        <v>190.5590718766251</v>
      </c>
      <c r="AS234" s="41">
        <v>166.17570888178633</v>
      </c>
      <c r="AT234" s="41">
        <v>197.14608210319494</v>
      </c>
      <c r="AU234" s="41">
        <v>221.41653691139146</v>
      </c>
      <c r="AV234" s="41">
        <v>292.60088018204698</v>
      </c>
      <c r="AW234" s="41">
        <v>454.33636523940135</v>
      </c>
      <c r="AX234" s="41">
        <v>658.56697304280101</v>
      </c>
      <c r="AY234" s="41">
        <v>710.39639868464485</v>
      </c>
      <c r="AZ234" s="41">
        <v>799.60374199626597</v>
      </c>
      <c r="BA234" s="41">
        <v>929.3827518922609</v>
      </c>
      <c r="BB234" s="41">
        <v>803.68638839879543</v>
      </c>
      <c r="BC234" s="41">
        <v>892.56886969416792</v>
      </c>
      <c r="BD234" s="41">
        <v>984.73613048482935</v>
      </c>
      <c r="BE234" s="41">
        <v>967.35294881212224</v>
      </c>
      <c r="BF234" s="41">
        <v>979.81174261675915</v>
      </c>
      <c r="BG234" s="41">
        <v>1020.2879794892665</v>
      </c>
      <c r="BH234" s="41">
        <v>776.01975228426159</v>
      </c>
      <c r="BI234" s="41">
        <v>693.44976744853739</v>
      </c>
      <c r="BJ234" s="41">
        <v>665.94888485910246</v>
      </c>
      <c r="BK234" s="41">
        <v>726.15100708854857</v>
      </c>
      <c r="BL234" s="41">
        <v>709.54004317463011</v>
      </c>
      <c r="BM234" s="41">
        <v>614.46518993568873</v>
      </c>
    </row>
    <row r="235" spans="1:65" x14ac:dyDescent="0.35">
      <c r="A235" s="41" t="s">
        <v>559</v>
      </c>
      <c r="B235" s="41" t="s">
        <v>560</v>
      </c>
      <c r="C235" s="41" t="s">
        <v>659</v>
      </c>
      <c r="D235" s="41" t="s">
        <v>660</v>
      </c>
      <c r="E235" s="41">
        <v>90.626200226775083</v>
      </c>
      <c r="F235" s="41">
        <v>79.611549428834451</v>
      </c>
      <c r="G235" s="41">
        <v>71.996193953344061</v>
      </c>
      <c r="H235" s="41">
        <v>76.005379934797531</v>
      </c>
      <c r="I235" s="41">
        <v>85.998357099986237</v>
      </c>
      <c r="J235" s="41">
        <v>97.904174128619459</v>
      </c>
      <c r="K235" s="41">
        <v>104.24474888510139</v>
      </c>
      <c r="L235" s="41">
        <v>98.4095952907834</v>
      </c>
      <c r="M235" s="41">
        <v>96.748068203679438</v>
      </c>
      <c r="N235" s="41">
        <v>105.72156441216528</v>
      </c>
      <c r="O235" s="41">
        <v>114.67675434336194</v>
      </c>
      <c r="P235" s="41">
        <v>120.02112885071655</v>
      </c>
      <c r="Q235" s="41">
        <v>132.80641930845644</v>
      </c>
      <c r="R235" s="41">
        <v>163.3212277018215</v>
      </c>
      <c r="S235" s="41">
        <v>180.29060690881417</v>
      </c>
      <c r="T235" s="41">
        <v>198.79852903761295</v>
      </c>
      <c r="U235" s="41">
        <v>198.27196033685678</v>
      </c>
      <c r="V235" s="41">
        <v>225.47632279584514</v>
      </c>
      <c r="W235" s="41">
        <v>214.87111758275094</v>
      </c>
      <c r="X235" s="41">
        <v>244.99963553214721</v>
      </c>
      <c r="Y235" s="41">
        <v>278.43132285068378</v>
      </c>
      <c r="Z235" s="41">
        <v>292.53146538120575</v>
      </c>
      <c r="AA235" s="41">
        <v>301.83638915934125</v>
      </c>
      <c r="AB235" s="41">
        <v>311.44012948402923</v>
      </c>
      <c r="AC235" s="41">
        <v>332.74510899423234</v>
      </c>
      <c r="AD235" s="41">
        <v>358.8675322091878</v>
      </c>
      <c r="AE235" s="41">
        <v>351.8894119513497</v>
      </c>
      <c r="AF235" s="41">
        <v>341.49651750360647</v>
      </c>
      <c r="AG235" s="41">
        <v>372.19305509161632</v>
      </c>
      <c r="AH235" s="41">
        <v>395.58579761672104</v>
      </c>
      <c r="AI235" s="41">
        <v>417.28334471647548</v>
      </c>
      <c r="AJ235" s="41">
        <v>446.07781998245531</v>
      </c>
      <c r="AK235" s="41">
        <v>492.95898158633685</v>
      </c>
      <c r="AL235" s="41">
        <v>534.08443529855026</v>
      </c>
      <c r="AM235" s="41">
        <v>634.23252149597567</v>
      </c>
      <c r="AN235" s="41">
        <v>773.05506857147998</v>
      </c>
      <c r="AO235" s="41">
        <v>877.17748264586203</v>
      </c>
      <c r="AP235" s="41">
        <v>897.82628591166065</v>
      </c>
      <c r="AQ235" s="41">
        <v>813.60417068542063</v>
      </c>
      <c r="AR235" s="41">
        <v>885.58102894326191</v>
      </c>
      <c r="AS235" s="41">
        <v>964.53597486779108</v>
      </c>
      <c r="AT235" s="41">
        <v>1017.9559419052578</v>
      </c>
      <c r="AU235" s="41">
        <v>1118.5925449951437</v>
      </c>
      <c r="AV235" s="41">
        <v>1254.1440486777121</v>
      </c>
      <c r="AW235" s="41">
        <v>1442.499348358996</v>
      </c>
      <c r="AX235" s="41">
        <v>1657.9036313397055</v>
      </c>
      <c r="AY235" s="41">
        <v>1982.3331419465649</v>
      </c>
      <c r="AZ235" s="41">
        <v>2490.3883669006768</v>
      </c>
      <c r="BA235" s="41">
        <v>3124.3036391685573</v>
      </c>
      <c r="BB235" s="41">
        <v>3366.2699851981452</v>
      </c>
      <c r="BC235" s="41">
        <v>4049.4225111793526</v>
      </c>
      <c r="BD235" s="41">
        <v>4907.5437220499734</v>
      </c>
      <c r="BE235" s="41">
        <v>5432.816400572352</v>
      </c>
      <c r="BF235" s="41">
        <v>5953.1124447091252</v>
      </c>
      <c r="BG235" s="41">
        <v>6370.3997551120356</v>
      </c>
      <c r="BH235" s="41">
        <v>6588.0315858014392</v>
      </c>
      <c r="BI235" s="41">
        <v>6679.2515937778981</v>
      </c>
      <c r="BJ235" s="41">
        <v>7248.229615815595</v>
      </c>
      <c r="BK235" s="41">
        <v>8051.8125484973298</v>
      </c>
      <c r="BL235" s="41">
        <v>8280.2346962209176</v>
      </c>
      <c r="BM235" s="41">
        <v>8378.6309396880388</v>
      </c>
    </row>
    <row r="236" spans="1:65" x14ac:dyDescent="0.35">
      <c r="A236" s="41" t="s">
        <v>561</v>
      </c>
      <c r="B236" s="41" t="s">
        <v>562</v>
      </c>
      <c r="C236" s="41" t="s">
        <v>659</v>
      </c>
      <c r="D236" s="41" t="s">
        <v>660</v>
      </c>
      <c r="AG236" s="41">
        <v>2299.1993853661056</v>
      </c>
      <c r="AH236" s="41">
        <v>2214.3721334924012</v>
      </c>
      <c r="AI236" s="41">
        <v>2339.8842760918737</v>
      </c>
      <c r="AJ236" s="41">
        <v>2318.4723055586201</v>
      </c>
      <c r="AK236" s="41">
        <v>2175.8222788201083</v>
      </c>
      <c r="AL236" s="41">
        <v>2155.8951277382989</v>
      </c>
      <c r="AM236" s="41">
        <v>1933.8506067706871</v>
      </c>
      <c r="AN236" s="41">
        <v>2130.3265964737266</v>
      </c>
      <c r="AO236" s="41">
        <v>2190.7969020352939</v>
      </c>
      <c r="AP236" s="41">
        <v>2257.624720156165</v>
      </c>
      <c r="AQ236" s="41">
        <v>2181.3383777831286</v>
      </c>
      <c r="AR236" s="41">
        <v>1891.0616351537619</v>
      </c>
      <c r="AS236" s="41">
        <v>2057.3914125739475</v>
      </c>
      <c r="AT236" s="41">
        <v>2096.2294471231435</v>
      </c>
      <c r="AU236" s="41">
        <v>2357.5908695324315</v>
      </c>
      <c r="AV236" s="41">
        <v>2897.7572667688382</v>
      </c>
      <c r="AW236" s="41">
        <v>3749.1369499407788</v>
      </c>
      <c r="AX236" s="41">
        <v>4689.9009919095197</v>
      </c>
      <c r="AY236" s="41">
        <v>5663.7051758228727</v>
      </c>
      <c r="AZ236" s="41">
        <v>7270.7428205152946</v>
      </c>
      <c r="BA236" s="41">
        <v>8975.4902056452956</v>
      </c>
      <c r="BB236" s="41">
        <v>7093.3733194280385</v>
      </c>
      <c r="BC236" s="41">
        <v>8289.8860089849077</v>
      </c>
      <c r="BD236" s="41">
        <v>10017.725113849439</v>
      </c>
      <c r="BE236" s="41">
        <v>10406.484962559287</v>
      </c>
      <c r="BF236" s="41">
        <v>10973.164876140238</v>
      </c>
      <c r="BG236" s="41">
        <v>10319.436855396287</v>
      </c>
      <c r="BH236" s="41">
        <v>8008.2302611243831</v>
      </c>
      <c r="BI236" s="41">
        <v>7665.3837969114738</v>
      </c>
      <c r="BJ236" s="41">
        <v>8553.5323357054676</v>
      </c>
      <c r="BK236" s="41">
        <v>8868.0288099941663</v>
      </c>
      <c r="BL236" s="41">
        <v>9002.2976009966478</v>
      </c>
      <c r="BM236" s="41">
        <v>8368.4766164618213</v>
      </c>
    </row>
    <row r="237" spans="1:65" x14ac:dyDescent="0.35">
      <c r="A237" s="41" t="s">
        <v>563</v>
      </c>
      <c r="B237" s="41" t="s">
        <v>564</v>
      </c>
      <c r="C237" s="41" t="s">
        <v>659</v>
      </c>
      <c r="D237" s="41" t="s">
        <v>660</v>
      </c>
      <c r="E237" s="41">
        <v>76.638696617810396</v>
      </c>
      <c r="F237" s="41">
        <v>79.120281652945181</v>
      </c>
      <c r="G237" s="41">
        <v>81.994444081213885</v>
      </c>
      <c r="H237" s="41">
        <v>87.792297945376177</v>
      </c>
      <c r="I237" s="41">
        <v>99.937889388758919</v>
      </c>
      <c r="J237" s="41">
        <v>109.62012064943735</v>
      </c>
      <c r="K237" s="41">
        <v>121.83417543911398</v>
      </c>
      <c r="L237" s="41">
        <v>124.8788571312157</v>
      </c>
      <c r="M237" s="41">
        <v>124.3497639545039</v>
      </c>
      <c r="N237" s="41">
        <v>131.570191772583</v>
      </c>
      <c r="O237" s="41">
        <v>120.05388087036604</v>
      </c>
      <c r="P237" s="41">
        <v>131.09843585062626</v>
      </c>
      <c r="Q237" s="41">
        <v>149.35082871150055</v>
      </c>
      <c r="R237" s="41">
        <v>176.47381639896273</v>
      </c>
      <c r="S237" s="41">
        <v>237.81421807290616</v>
      </c>
      <c r="T237" s="41">
        <v>256.10214411779231</v>
      </c>
      <c r="U237" s="41">
        <v>251.32653073517795</v>
      </c>
      <c r="V237" s="41">
        <v>308.69534264904075</v>
      </c>
      <c r="W237" s="41">
        <v>319.9418084586124</v>
      </c>
      <c r="X237" s="41">
        <v>337.4496797891448</v>
      </c>
      <c r="Y237" s="41">
        <v>417.66913987688412</v>
      </c>
      <c r="Z237" s="41">
        <v>342.19069612183426</v>
      </c>
      <c r="AA237" s="41">
        <v>281.81055224814293</v>
      </c>
      <c r="AB237" s="41">
        <v>252.97378595724075</v>
      </c>
      <c r="AC237" s="41">
        <v>228.64869258251682</v>
      </c>
      <c r="AD237" s="41">
        <v>234.35610998147311</v>
      </c>
      <c r="AE237" s="41">
        <v>315.46212214563212</v>
      </c>
      <c r="AF237" s="41">
        <v>359.79072442182155</v>
      </c>
      <c r="AG237" s="41">
        <v>385.42541875593406</v>
      </c>
      <c r="AH237" s="41">
        <v>367.79258410998671</v>
      </c>
      <c r="AI237" s="41">
        <v>431.45038839385558</v>
      </c>
      <c r="AJ237" s="41">
        <v>414.78143735106846</v>
      </c>
      <c r="AK237" s="41">
        <v>429.04236095580097</v>
      </c>
      <c r="AL237" s="41">
        <v>306.15124737653213</v>
      </c>
      <c r="AM237" s="41">
        <v>238.4654534592284</v>
      </c>
      <c r="AN237" s="41">
        <v>309.81829355662154</v>
      </c>
      <c r="AO237" s="41">
        <v>336.97700389194512</v>
      </c>
      <c r="AP237" s="41">
        <v>334.14384239836579</v>
      </c>
      <c r="AQ237" s="41">
        <v>342.65790420110216</v>
      </c>
      <c r="AR237" s="41">
        <v>329.8164696989748</v>
      </c>
      <c r="AS237" s="41">
        <v>302.95859195141622</v>
      </c>
      <c r="AT237" s="41">
        <v>292.82310352929102</v>
      </c>
      <c r="AU237" s="41">
        <v>328.39810727743691</v>
      </c>
      <c r="AV237" s="41">
        <v>396.92057975154472</v>
      </c>
      <c r="AW237" s="41">
        <v>413.32986615935647</v>
      </c>
      <c r="AX237" s="41">
        <v>406.56236604238291</v>
      </c>
      <c r="AY237" s="41">
        <v>408.05711733614248</v>
      </c>
      <c r="AZ237" s="41">
        <v>449.73825045115325</v>
      </c>
      <c r="BA237" s="41">
        <v>546.35037020227992</v>
      </c>
      <c r="BB237" s="41">
        <v>540.60871258461566</v>
      </c>
      <c r="BC237" s="41">
        <v>534.04478262417967</v>
      </c>
      <c r="BD237" s="41">
        <v>587.09749282798282</v>
      </c>
      <c r="BE237" s="41">
        <v>571.80672394416661</v>
      </c>
      <c r="BF237" s="41">
        <v>621.39885357468302</v>
      </c>
      <c r="BG237" s="41">
        <v>640.93421962882735</v>
      </c>
      <c r="BH237" s="41">
        <v>570.90996717530766</v>
      </c>
      <c r="BI237" s="41">
        <v>803.15189340410018</v>
      </c>
      <c r="BJ237" s="41">
        <v>830.74527665143751</v>
      </c>
      <c r="BK237" s="41">
        <v>901.5230168989367</v>
      </c>
      <c r="BL237" s="41">
        <v>893.35245412167478</v>
      </c>
      <c r="BM237" s="41">
        <v>914.95058259513587</v>
      </c>
    </row>
    <row r="238" spans="1:65" x14ac:dyDescent="0.35">
      <c r="A238" s="41" t="s">
        <v>565</v>
      </c>
      <c r="B238" s="41" t="s">
        <v>566</v>
      </c>
      <c r="C238" s="41" t="s">
        <v>659</v>
      </c>
      <c r="D238" s="41" t="s">
        <v>660</v>
      </c>
      <c r="E238" s="41">
        <v>100.7674749881901</v>
      </c>
      <c r="F238" s="41">
        <v>107.49800097195744</v>
      </c>
      <c r="G238" s="41">
        <v>113.78284979854905</v>
      </c>
      <c r="H238" s="41">
        <v>118.14390699199909</v>
      </c>
      <c r="I238" s="41">
        <v>125.93869416940142</v>
      </c>
      <c r="J238" s="41">
        <v>137.91864667230988</v>
      </c>
      <c r="K238" s="41">
        <v>161.005521595517</v>
      </c>
      <c r="L238" s="41">
        <v>166.92306341893254</v>
      </c>
      <c r="M238" s="41">
        <v>174.78475375406128</v>
      </c>
      <c r="N238" s="41">
        <v>186.87916752900836</v>
      </c>
      <c r="O238" s="41">
        <v>192.12768600110752</v>
      </c>
      <c r="P238" s="41">
        <v>194.26667095252205</v>
      </c>
      <c r="Q238" s="41">
        <v>209.37478069191673</v>
      </c>
      <c r="R238" s="41">
        <v>269.88795918330396</v>
      </c>
      <c r="S238" s="41">
        <v>332.17526990139578</v>
      </c>
      <c r="T238" s="41">
        <v>351.61933581951297</v>
      </c>
      <c r="U238" s="41">
        <v>391.56938982153088</v>
      </c>
      <c r="V238" s="41">
        <v>445.42085249395058</v>
      </c>
      <c r="W238" s="41">
        <v>528.62675513095746</v>
      </c>
      <c r="X238" s="41">
        <v>589.88505999693086</v>
      </c>
      <c r="Y238" s="41">
        <v>682.92997277637915</v>
      </c>
      <c r="Z238" s="41">
        <v>721.05934481239024</v>
      </c>
      <c r="AA238" s="41">
        <v>742.85123261912133</v>
      </c>
      <c r="AB238" s="41">
        <v>798.08044992443922</v>
      </c>
      <c r="AC238" s="41">
        <v>818.03893352585862</v>
      </c>
      <c r="AD238" s="41">
        <v>747.70343734579944</v>
      </c>
      <c r="AE238" s="41">
        <v>813.45150453101962</v>
      </c>
      <c r="AF238" s="41">
        <v>936.78045831587281</v>
      </c>
      <c r="AG238" s="41">
        <v>1123.4376427313866</v>
      </c>
      <c r="AH238" s="41">
        <v>1295.4647220250347</v>
      </c>
      <c r="AI238" s="41">
        <v>1508.9424699104297</v>
      </c>
      <c r="AJ238" s="41">
        <v>1716.4154195270394</v>
      </c>
      <c r="AK238" s="41">
        <v>1927.882603335039</v>
      </c>
      <c r="AL238" s="41">
        <v>2209.3630304774715</v>
      </c>
      <c r="AM238" s="41">
        <v>2491.4278363194776</v>
      </c>
      <c r="AN238" s="41">
        <v>2846.5868340484913</v>
      </c>
      <c r="AO238" s="41">
        <v>3043.9803141882589</v>
      </c>
      <c r="AP238" s="41">
        <v>2468.1847298751527</v>
      </c>
      <c r="AQ238" s="41">
        <v>1845.8288696450202</v>
      </c>
      <c r="AR238" s="41">
        <v>2033.2580092925889</v>
      </c>
      <c r="AS238" s="41">
        <v>2007.7352707451951</v>
      </c>
      <c r="AT238" s="41">
        <v>1893.2642386596669</v>
      </c>
      <c r="AU238" s="41">
        <v>2096.1878023620802</v>
      </c>
      <c r="AV238" s="41">
        <v>2359.1168305436677</v>
      </c>
      <c r="AW238" s="41">
        <v>2660.1268345813519</v>
      </c>
      <c r="AX238" s="41">
        <v>2894.06265596401</v>
      </c>
      <c r="AY238" s="41">
        <v>3369.5431980734434</v>
      </c>
      <c r="AZ238" s="41">
        <v>3973.0171715772522</v>
      </c>
      <c r="BA238" s="41">
        <v>4379.6587871950451</v>
      </c>
      <c r="BB238" s="41">
        <v>4213.006653751424</v>
      </c>
      <c r="BC238" s="41">
        <v>5076.33987220163</v>
      </c>
      <c r="BD238" s="41">
        <v>5492.1214999334134</v>
      </c>
      <c r="BE238" s="41">
        <v>5860.5814705347484</v>
      </c>
      <c r="BF238" s="41">
        <v>6168.261355699442</v>
      </c>
      <c r="BG238" s="41">
        <v>5951.8834865400768</v>
      </c>
      <c r="BH238" s="41">
        <v>5840.0530668779757</v>
      </c>
      <c r="BI238" s="41">
        <v>5993.305516100454</v>
      </c>
      <c r="BJ238" s="41">
        <v>6593.8183515713818</v>
      </c>
      <c r="BK238" s="41">
        <v>7296.879607723391</v>
      </c>
      <c r="BL238" s="41">
        <v>7817.011521578549</v>
      </c>
      <c r="BM238" s="41">
        <v>7189.0418350166774</v>
      </c>
    </row>
    <row r="239" spans="1:65" x14ac:dyDescent="0.35">
      <c r="A239" s="41" t="s">
        <v>567</v>
      </c>
      <c r="B239" s="41" t="s">
        <v>568</v>
      </c>
      <c r="C239" s="41" t="s">
        <v>659</v>
      </c>
      <c r="D239" s="41" t="s">
        <v>660</v>
      </c>
      <c r="AI239" s="41">
        <v>497.63245735304048</v>
      </c>
      <c r="AJ239" s="41">
        <v>250.34088577715661</v>
      </c>
      <c r="AK239" s="41">
        <v>391.94376848784225</v>
      </c>
      <c r="AL239" s="41">
        <v>293.9804022184598</v>
      </c>
      <c r="AM239" s="41">
        <v>267.43296290024176</v>
      </c>
      <c r="AN239" s="41">
        <v>213.54414430839438</v>
      </c>
      <c r="AO239" s="41">
        <v>178.36125148726694</v>
      </c>
      <c r="AP239" s="41">
        <v>155.18851774476957</v>
      </c>
      <c r="AQ239" s="41">
        <v>219.04024555638222</v>
      </c>
      <c r="AR239" s="41">
        <v>177.55962866750869</v>
      </c>
      <c r="AS239" s="41">
        <v>138.42914673575879</v>
      </c>
      <c r="AT239" s="41">
        <v>171.04806457539755</v>
      </c>
      <c r="AU239" s="41">
        <v>190.00267763895266</v>
      </c>
      <c r="AV239" s="41">
        <v>237.75733519541393</v>
      </c>
      <c r="AW239" s="41">
        <v>311.62723125454124</v>
      </c>
      <c r="AX239" s="41">
        <v>340.58318323252666</v>
      </c>
      <c r="AY239" s="41">
        <v>408.83841352340744</v>
      </c>
      <c r="AZ239" s="41">
        <v>526.64328827049417</v>
      </c>
      <c r="BA239" s="41">
        <v>715.8657062686998</v>
      </c>
      <c r="BB239" s="41">
        <v>676.1235110633703</v>
      </c>
      <c r="BC239" s="41">
        <v>749.55241228599743</v>
      </c>
      <c r="BD239" s="41">
        <v>847.38243206631489</v>
      </c>
      <c r="BE239" s="41">
        <v>969.29610388089372</v>
      </c>
      <c r="BF239" s="41">
        <v>1048.2256018262412</v>
      </c>
      <c r="BG239" s="41">
        <v>1104.1723583794094</v>
      </c>
      <c r="BH239" s="41">
        <v>978.40498118060532</v>
      </c>
      <c r="BI239" s="41">
        <v>807.10258610434039</v>
      </c>
      <c r="BJ239" s="41">
        <v>848.67237990323906</v>
      </c>
      <c r="BK239" s="41">
        <v>853.21887340132105</v>
      </c>
      <c r="BL239" s="41">
        <v>890.54440235573281</v>
      </c>
      <c r="BM239" s="41">
        <v>859.13796112136777</v>
      </c>
    </row>
    <row r="240" spans="1:65" x14ac:dyDescent="0.35">
      <c r="A240" s="41" t="s">
        <v>569</v>
      </c>
      <c r="B240" s="41" t="s">
        <v>570</v>
      </c>
      <c r="C240" s="41" t="s">
        <v>659</v>
      </c>
      <c r="D240" s="41" t="s">
        <v>660</v>
      </c>
      <c r="AF240" s="41">
        <v>684.22269173038194</v>
      </c>
      <c r="AG240" s="41">
        <v>861.7846270702255</v>
      </c>
      <c r="AH240" s="41">
        <v>838.56657721849888</v>
      </c>
      <c r="AI240" s="41">
        <v>865.78683187463287</v>
      </c>
      <c r="AK240" s="41">
        <v>410.27292637165135</v>
      </c>
      <c r="AL240" s="41">
        <v>832.75385466550358</v>
      </c>
      <c r="AM240" s="41">
        <v>623.24190569935433</v>
      </c>
      <c r="AN240" s="41">
        <v>590.28122113205416</v>
      </c>
      <c r="AO240" s="41">
        <v>554.83391565558259</v>
      </c>
      <c r="AP240" s="41">
        <v>562.64170255986903</v>
      </c>
      <c r="AQ240" s="41">
        <v>590.3871315214534</v>
      </c>
      <c r="AR240" s="41">
        <v>548.68791334269235</v>
      </c>
      <c r="AS240" s="41">
        <v>643.19097542919974</v>
      </c>
      <c r="AT240" s="41">
        <v>774.48215197664445</v>
      </c>
      <c r="AU240" s="41">
        <v>967.88743533447496</v>
      </c>
      <c r="AV240" s="41">
        <v>1283.9087815330645</v>
      </c>
      <c r="AW240" s="41">
        <v>1453.9177837602624</v>
      </c>
      <c r="AX240" s="41">
        <v>1704.4153802150474</v>
      </c>
      <c r="AY240" s="41">
        <v>2136.4721012633117</v>
      </c>
      <c r="AZ240" s="41">
        <v>2600.3687578697895</v>
      </c>
      <c r="BA240" s="41">
        <v>3904.465301489829</v>
      </c>
      <c r="BB240" s="41">
        <v>4036.4568047887592</v>
      </c>
      <c r="BC240" s="41">
        <v>4439.2021275973893</v>
      </c>
      <c r="BD240" s="41">
        <v>5649.9621059554074</v>
      </c>
      <c r="BE240" s="41">
        <v>6675.1780548695797</v>
      </c>
      <c r="BF240" s="41">
        <v>7304.2857711888109</v>
      </c>
      <c r="BG240" s="41">
        <v>7962.2449248006133</v>
      </c>
      <c r="BH240" s="41">
        <v>6432.6853253849422</v>
      </c>
      <c r="BI240" s="41">
        <v>6387.6825752725445</v>
      </c>
      <c r="BJ240" s="41">
        <v>6587.092604397877</v>
      </c>
      <c r="BK240" s="41">
        <v>6967.3750425880617</v>
      </c>
      <c r="BL240" s="41">
        <v>7612.0351800945209</v>
      </c>
    </row>
    <row r="241" spans="1:65" x14ac:dyDescent="0.35">
      <c r="A241" s="41" t="s">
        <v>571</v>
      </c>
      <c r="B241" s="41" t="s">
        <v>572</v>
      </c>
      <c r="C241" s="41" t="s">
        <v>659</v>
      </c>
      <c r="D241" s="41" t="s">
        <v>660</v>
      </c>
      <c r="E241" s="41">
        <v>365.69525010959001</v>
      </c>
      <c r="F241" s="41">
        <v>376.08953136266319</v>
      </c>
      <c r="G241" s="41">
        <v>418.73683332188938</v>
      </c>
      <c r="H241" s="41">
        <v>410.03750135513934</v>
      </c>
      <c r="I241" s="41">
        <v>444.76079937441227</v>
      </c>
      <c r="J241" s="41">
        <v>460.88161669565233</v>
      </c>
      <c r="K241" s="41">
        <v>492.15355818143132</v>
      </c>
      <c r="L241" s="41">
        <v>490.78559061013254</v>
      </c>
      <c r="M241" s="41">
        <v>514.49775430234251</v>
      </c>
      <c r="N241" s="41">
        <v>561.40047778876692</v>
      </c>
      <c r="O241" s="41">
        <v>595.54637604776303</v>
      </c>
      <c r="P241" s="41">
        <v>647.28476709277743</v>
      </c>
      <c r="Q241" s="41">
        <v>708.64099259792977</v>
      </c>
      <c r="R241" s="41">
        <v>913.16299403999301</v>
      </c>
      <c r="S241" s="41">
        <v>1169.6692860250537</v>
      </c>
      <c r="T241" s="41">
        <v>1192.2904157438663</v>
      </c>
      <c r="U241" s="41">
        <v>1296.6778948566766</v>
      </c>
      <c r="V241" s="41">
        <v>1395.2042312619005</v>
      </c>
      <c r="W241" s="41">
        <v>1542.9899169334101</v>
      </c>
      <c r="X241" s="41">
        <v>1804.1368681094909</v>
      </c>
      <c r="Y241" s="41">
        <v>2137.2261044780148</v>
      </c>
      <c r="Z241" s="41">
        <v>2419.8200857458964</v>
      </c>
      <c r="AA241" s="41">
        <v>2195.2568119097964</v>
      </c>
      <c r="AB241" s="41">
        <v>1874.4095021793237</v>
      </c>
      <c r="AC241" s="41">
        <v>1842.2403011405913</v>
      </c>
      <c r="AD241" s="41">
        <v>1860.5259766356262</v>
      </c>
      <c r="AE241" s="41">
        <v>1828.2695446836678</v>
      </c>
      <c r="AF241" s="41">
        <v>1889.8470574955134</v>
      </c>
      <c r="AG241" s="41">
        <v>2094.0472200131135</v>
      </c>
      <c r="AH241" s="41">
        <v>2250.671305455211</v>
      </c>
      <c r="AI241" s="41">
        <v>2599.2244618483905</v>
      </c>
      <c r="AJ241" s="41">
        <v>3179.0698895243095</v>
      </c>
      <c r="AK241" s="41">
        <v>2943.0529787545815</v>
      </c>
      <c r="AL241" s="41">
        <v>3338.8573261346778</v>
      </c>
      <c r="AM241" s="41">
        <v>3750.1531199486917</v>
      </c>
      <c r="AN241" s="41">
        <v>3930.8793546116517</v>
      </c>
      <c r="AO241" s="41">
        <v>4201.9350357345238</v>
      </c>
      <c r="AP241" s="41">
        <v>4534.7454747546972</v>
      </c>
      <c r="AQ241" s="41">
        <v>4490.5635634619466</v>
      </c>
      <c r="AR241" s="41">
        <v>3956.8002138313295</v>
      </c>
      <c r="AS241" s="41">
        <v>4312.5749793029127</v>
      </c>
      <c r="AT241" s="41">
        <v>4136.4565421384768</v>
      </c>
      <c r="AU241" s="41">
        <v>3627.9492257642673</v>
      </c>
      <c r="AV241" s="41">
        <v>3649.5293480932164</v>
      </c>
      <c r="AW241" s="41">
        <v>4171.3911872117988</v>
      </c>
      <c r="AX241" s="41">
        <v>5014.2319427999419</v>
      </c>
      <c r="AY241" s="41">
        <v>5823.4376775814435</v>
      </c>
      <c r="AZ241" s="41">
        <v>6812.3668050059632</v>
      </c>
      <c r="BA241" s="41">
        <v>7861.7412780262875</v>
      </c>
      <c r="BB241" s="41">
        <v>7278.974799259252</v>
      </c>
      <c r="BC241" s="41">
        <v>8991.0870256396029</v>
      </c>
      <c r="BD241" s="41">
        <v>10139.620587544194</v>
      </c>
      <c r="BE241" s="41">
        <v>10123.72578061943</v>
      </c>
      <c r="BF241" s="41">
        <v>10261.551067602861</v>
      </c>
      <c r="BG241" s="41">
        <v>10350.158988486462</v>
      </c>
      <c r="BH241" s="41">
        <v>8745.6744357297866</v>
      </c>
      <c r="BI241" s="41">
        <v>8440.4324036922681</v>
      </c>
      <c r="BJ241" s="41">
        <v>9316.2182147564818</v>
      </c>
      <c r="BK241" s="41">
        <v>9001.3101349711524</v>
      </c>
      <c r="BL241" s="41">
        <v>8776.74823247104</v>
      </c>
      <c r="BM241" s="41">
        <v>7244.5555689408229</v>
      </c>
    </row>
    <row r="242" spans="1:65" x14ac:dyDescent="0.35">
      <c r="A242" s="41" t="s">
        <v>573</v>
      </c>
      <c r="B242" s="41" t="s">
        <v>574</v>
      </c>
      <c r="C242" s="41" t="s">
        <v>659</v>
      </c>
      <c r="D242" s="41" t="s">
        <v>660</v>
      </c>
      <c r="AS242" s="41">
        <v>415.08594857785124</v>
      </c>
      <c r="AT242" s="41">
        <v>529.79370049732916</v>
      </c>
      <c r="AU242" s="41">
        <v>508.79116591651234</v>
      </c>
      <c r="AV242" s="41">
        <v>517.78600162599912</v>
      </c>
      <c r="AW242" s="41">
        <v>453.48069584078019</v>
      </c>
      <c r="AX242" s="41">
        <v>464.5240320360154</v>
      </c>
      <c r="AY242" s="41">
        <v>446.45757680997446</v>
      </c>
      <c r="AZ242" s="41">
        <v>523.73753845085048</v>
      </c>
      <c r="BA242" s="41">
        <v>614.43575497333779</v>
      </c>
      <c r="BB242" s="41">
        <v>676.61833068661417</v>
      </c>
      <c r="BC242" s="41">
        <v>806.41352626433786</v>
      </c>
      <c r="BD242" s="41">
        <v>947.51076670433736</v>
      </c>
      <c r="BE242" s="41">
        <v>1013.0428719455041</v>
      </c>
      <c r="BF242" s="41">
        <v>1210.0399900111681</v>
      </c>
      <c r="BG242" s="41">
        <v>1232.4539972903767</v>
      </c>
      <c r="BH242" s="41">
        <v>1332.7917719222867</v>
      </c>
      <c r="BI242" s="41">
        <v>1353.7468147420341</v>
      </c>
      <c r="BJ242" s="41">
        <v>1286.4067853868057</v>
      </c>
      <c r="BK242" s="41">
        <v>1230.2252804668863</v>
      </c>
      <c r="BL242" s="41">
        <v>1560.5086148230637</v>
      </c>
      <c r="BM242" s="41">
        <v>1381.1756603627614</v>
      </c>
    </row>
    <row r="243" spans="1:65" x14ac:dyDescent="0.35">
      <c r="A243" s="41" t="s">
        <v>575</v>
      </c>
      <c r="B243" s="41" t="s">
        <v>576</v>
      </c>
      <c r="C243" s="41" t="s">
        <v>659</v>
      </c>
      <c r="D243" s="41" t="s">
        <v>660</v>
      </c>
      <c r="AL243" s="41">
        <v>1128.5093293157202</v>
      </c>
      <c r="AM243" s="41">
        <v>1142.3554907093278</v>
      </c>
      <c r="AN243" s="41">
        <v>1308.7228406365102</v>
      </c>
      <c r="AO243" s="41">
        <v>1471.4165429076274</v>
      </c>
      <c r="AP243" s="41">
        <v>1520.2304333252209</v>
      </c>
      <c r="AQ243" s="41">
        <v>1512.1786511146981</v>
      </c>
      <c r="AR243" s="41">
        <v>1626.5836470965153</v>
      </c>
      <c r="AS243" s="41">
        <v>1693.1476537497842</v>
      </c>
      <c r="AT243" s="41">
        <v>1670.262427514547</v>
      </c>
      <c r="AU243" s="41">
        <v>1580.6136756195754</v>
      </c>
      <c r="AV243" s="41">
        <v>1701.5535073065287</v>
      </c>
      <c r="AW243" s="41">
        <v>1987.3166339546292</v>
      </c>
      <c r="AX243" s="41">
        <v>2301.4818689007275</v>
      </c>
      <c r="AY243" s="41">
        <v>2630.1134572650813</v>
      </c>
      <c r="AZ243" s="41">
        <v>3196.6208187065622</v>
      </c>
      <c r="BA243" s="41">
        <v>3891.7408457389356</v>
      </c>
      <c r="BB243" s="41">
        <v>3687.8348410578033</v>
      </c>
      <c r="BC243" s="41">
        <v>4180.0837240867986</v>
      </c>
      <c r="BD243" s="41">
        <v>4644.9692136685435</v>
      </c>
      <c r="BE243" s="41">
        <v>5036.8266243126263</v>
      </c>
      <c r="BF243" s="41">
        <v>4624.3125351358231</v>
      </c>
      <c r="BG243" s="41">
        <v>4466.5148045179321</v>
      </c>
      <c r="BH243" s="41">
        <v>3932.1722839828294</v>
      </c>
      <c r="BI243" s="41">
        <v>3923.4360004400482</v>
      </c>
      <c r="BJ243" s="41">
        <v>3802.4148023386942</v>
      </c>
      <c r="BK243" s="41">
        <v>3500.2621536211022</v>
      </c>
      <c r="BL243" s="41">
        <v>3504.7147451865676</v>
      </c>
      <c r="BM243" s="41">
        <v>3063.1895642980858</v>
      </c>
    </row>
    <row r="244" spans="1:65" x14ac:dyDescent="0.35">
      <c r="A244" s="41" t="s">
        <v>577</v>
      </c>
      <c r="B244" s="41" t="s">
        <v>578</v>
      </c>
      <c r="C244" s="41" t="s">
        <v>659</v>
      </c>
      <c r="D244" s="41" t="s">
        <v>660</v>
      </c>
      <c r="T244" s="41">
        <v>368.05223808743597</v>
      </c>
      <c r="U244" s="41">
        <v>336.62546467470276</v>
      </c>
      <c r="V244" s="41">
        <v>378.23804707436267</v>
      </c>
      <c r="W244" s="41">
        <v>455.10501524260633</v>
      </c>
      <c r="X244" s="41">
        <v>484.08494556331283</v>
      </c>
      <c r="Y244" s="41">
        <v>572.89845138124781</v>
      </c>
      <c r="Z244" s="41">
        <v>666.2957055105594</v>
      </c>
      <c r="AA244" s="41">
        <v>662.86643033771782</v>
      </c>
      <c r="AB244" s="41">
        <v>649.31257962750658</v>
      </c>
      <c r="AC244" s="41">
        <v>685.00159437767809</v>
      </c>
      <c r="AD244" s="41">
        <v>639.62962548433666</v>
      </c>
      <c r="AE244" s="41">
        <v>724.86320952129824</v>
      </c>
      <c r="AF244" s="41">
        <v>865.87007204031272</v>
      </c>
      <c r="AG244" s="41">
        <v>1127.5506107000774</v>
      </c>
      <c r="AH244" s="41">
        <v>1121.2134677177651</v>
      </c>
      <c r="AI244" s="41">
        <v>1194.541034168908</v>
      </c>
      <c r="AJ244" s="41">
        <v>1388.0405011062339</v>
      </c>
      <c r="AK244" s="41">
        <v>1436.783690958621</v>
      </c>
      <c r="AL244" s="41">
        <v>1449.3060026901881</v>
      </c>
      <c r="AM244" s="41">
        <v>2047.1384306730797</v>
      </c>
      <c r="AN244" s="41">
        <v>2176.3812960934652</v>
      </c>
      <c r="AO244" s="41">
        <v>2307.1309622766116</v>
      </c>
      <c r="AP244" s="41">
        <v>2225.1006749567691</v>
      </c>
      <c r="AQ244" s="41">
        <v>1973.5447953480575</v>
      </c>
      <c r="AR244" s="41">
        <v>2043.7510461319284</v>
      </c>
      <c r="AS244" s="41">
        <v>2091.1130090471434</v>
      </c>
      <c r="AT244" s="41">
        <v>1839.0868665309351</v>
      </c>
      <c r="AU244" s="41">
        <v>1845.6691265349777</v>
      </c>
      <c r="AV244" s="41">
        <v>2030.7754685692034</v>
      </c>
      <c r="AW244" s="41">
        <v>2301.6541150795879</v>
      </c>
      <c r="AX244" s="41">
        <v>2594.4187393439456</v>
      </c>
      <c r="AY244" s="41">
        <v>2873.0766372278981</v>
      </c>
      <c r="AZ244" s="41">
        <v>2910.1451218029879</v>
      </c>
      <c r="BA244" s="41">
        <v>3331.5465546577229</v>
      </c>
      <c r="BB244" s="41">
        <v>3006.6063437550506</v>
      </c>
      <c r="BC244" s="41">
        <v>3527.9523417001628</v>
      </c>
      <c r="BD244" s="41">
        <v>4002.8137706534358</v>
      </c>
      <c r="BE244" s="41">
        <v>4581.7832446927159</v>
      </c>
      <c r="BF244" s="41">
        <v>4428.1465213085485</v>
      </c>
      <c r="BG244" s="41">
        <v>4354.2443602804096</v>
      </c>
      <c r="BH244" s="41">
        <v>4336.239602726544</v>
      </c>
      <c r="BI244" s="41">
        <v>4157.8772487609485</v>
      </c>
      <c r="BJ244" s="41">
        <v>4513.4325306349019</v>
      </c>
      <c r="BK244" s="41">
        <v>4740.7002722447605</v>
      </c>
      <c r="BL244" s="41">
        <v>4903.0121383544929</v>
      </c>
    </row>
    <row r="245" spans="1:65" x14ac:dyDescent="0.35">
      <c r="A245" s="41" t="s">
        <v>579</v>
      </c>
      <c r="B245" s="41" t="s">
        <v>580</v>
      </c>
      <c r="C245" s="41" t="s">
        <v>659</v>
      </c>
      <c r="D245" s="41" t="s">
        <v>660</v>
      </c>
      <c r="E245" s="41">
        <v>82.345398905908752</v>
      </c>
      <c r="F245" s="41">
        <v>86.04608275743125</v>
      </c>
      <c r="G245" s="41">
        <v>89.911328036983321</v>
      </c>
      <c r="H245" s="41">
        <v>98.978579633655457</v>
      </c>
      <c r="I245" s="41">
        <v>110.87464389734892</v>
      </c>
      <c r="J245" s="41">
        <v>116.4844985353301</v>
      </c>
      <c r="K245" s="41">
        <v>95.799548223356567</v>
      </c>
      <c r="L245" s="41">
        <v>103.06263661310381</v>
      </c>
      <c r="M245" s="41">
        <v>105.61440625998605</v>
      </c>
      <c r="N245" s="41">
        <v>113.50838292349992</v>
      </c>
      <c r="O245" s="41">
        <v>120.12879167274265</v>
      </c>
      <c r="P245" s="41">
        <v>124.9074411867126</v>
      </c>
      <c r="Q245" s="41">
        <v>122.74613997171694</v>
      </c>
      <c r="R245" s="41">
        <v>137.15772569276277</v>
      </c>
      <c r="S245" s="41">
        <v>162.37555472505176</v>
      </c>
      <c r="T245" s="41">
        <v>169.81355909707085</v>
      </c>
      <c r="U245" s="41">
        <v>161.9053028364178</v>
      </c>
      <c r="V245" s="41">
        <v>183.11419695455595</v>
      </c>
      <c r="W245" s="41">
        <v>203.48504984442894</v>
      </c>
      <c r="X245" s="41">
        <v>222.56821144900687</v>
      </c>
      <c r="Y245" s="41">
        <v>262.07725288799395</v>
      </c>
      <c r="Z245" s="41">
        <v>271.31470074808334</v>
      </c>
      <c r="AA245" s="41">
        <v>274.13430603933415</v>
      </c>
      <c r="AB245" s="41">
        <v>283.43235351478415</v>
      </c>
      <c r="AC245" s="41">
        <v>275.5886055132766</v>
      </c>
      <c r="AD245" s="41">
        <v>292.80935747596146</v>
      </c>
      <c r="AE245" s="41">
        <v>303.08433674090713</v>
      </c>
      <c r="AF245" s="41">
        <v>328.98614607055862</v>
      </c>
      <c r="AG245" s="41">
        <v>345.65745017080047</v>
      </c>
      <c r="AH245" s="41">
        <v>341.14231141867953</v>
      </c>
      <c r="AI245" s="41">
        <v>359.23170939069308</v>
      </c>
      <c r="AJ245" s="41">
        <v>312.65770356997422</v>
      </c>
      <c r="AK245" s="41">
        <v>324.90732482649446</v>
      </c>
      <c r="AL245" s="41">
        <v>314.99846000062604</v>
      </c>
      <c r="AM245" s="41">
        <v>349.86346946722028</v>
      </c>
      <c r="AN245" s="41">
        <v>380.35370103308009</v>
      </c>
      <c r="AO245" s="41">
        <v>407.75155182592562</v>
      </c>
      <c r="AP245" s="41">
        <v>419.31978808327489</v>
      </c>
      <c r="AQ245" s="41">
        <v>416.98287657710028</v>
      </c>
      <c r="AR245" s="41">
        <v>438.3107210120171</v>
      </c>
      <c r="AS245" s="41">
        <v>453.23760409734376</v>
      </c>
      <c r="AT245" s="41">
        <v>455.85812491493573</v>
      </c>
      <c r="AU245" s="41">
        <v>469.71218602770278</v>
      </c>
      <c r="AV245" s="41">
        <v>538.71113599032878</v>
      </c>
      <c r="AW245" s="41">
        <v>613.94779740106014</v>
      </c>
      <c r="AX245" s="41">
        <v>691.69261716496601</v>
      </c>
      <c r="AY245" s="41">
        <v>774.86379861930482</v>
      </c>
      <c r="AZ245" s="41">
        <v>959.30512639909659</v>
      </c>
      <c r="BA245" s="41">
        <v>959.46119950831712</v>
      </c>
      <c r="BB245" s="41">
        <v>1041.9944010499787</v>
      </c>
      <c r="BC245" s="41">
        <v>1257.4994448357018</v>
      </c>
      <c r="BD245" s="41">
        <v>1368.9446080021162</v>
      </c>
      <c r="BE245" s="41">
        <v>1366.1154205166451</v>
      </c>
      <c r="BF245" s="41">
        <v>1383.5600049801819</v>
      </c>
      <c r="BG245" s="41">
        <v>1496.0079099077132</v>
      </c>
      <c r="BH245" s="41">
        <v>1543.4899476937194</v>
      </c>
      <c r="BI245" s="41">
        <v>1652.1959996864309</v>
      </c>
      <c r="BJ245" s="41">
        <v>1867.5054817507366</v>
      </c>
      <c r="BK245" s="41">
        <v>1894.1690929883148</v>
      </c>
      <c r="BL245" s="41">
        <v>1959.3422564686659</v>
      </c>
      <c r="BM245" s="41">
        <v>1804.9176226297125</v>
      </c>
    </row>
    <row r="246" spans="1:65" x14ac:dyDescent="0.35">
      <c r="A246" s="41" t="s">
        <v>581</v>
      </c>
      <c r="B246" s="41" t="s">
        <v>582</v>
      </c>
      <c r="C246" s="41" t="s">
        <v>659</v>
      </c>
      <c r="D246" s="41" t="s">
        <v>660</v>
      </c>
      <c r="E246" s="41">
        <v>128.73404839600624</v>
      </c>
      <c r="F246" s="41">
        <v>130.6938453896081</v>
      </c>
      <c r="G246" s="41">
        <v>138.29661672396134</v>
      </c>
      <c r="H246" s="41">
        <v>154.69375657826438</v>
      </c>
      <c r="I246" s="41">
        <v>147.46581751729934</v>
      </c>
      <c r="J246" s="41">
        <v>160.27667082580058</v>
      </c>
      <c r="K246" s="41">
        <v>168.72229085894816</v>
      </c>
      <c r="L246" s="41">
        <v>162.69636553050245</v>
      </c>
      <c r="M246" s="41">
        <v>169.63688621094784</v>
      </c>
      <c r="N246" s="41">
        <v>189.08177960160276</v>
      </c>
      <c r="O246" s="41">
        <v>216.79143816164023</v>
      </c>
      <c r="P246" s="41">
        <v>214.75812175604796</v>
      </c>
      <c r="Q246" s="41">
        <v>236.2516990074374</v>
      </c>
      <c r="R246" s="41">
        <v>294.19206109390598</v>
      </c>
      <c r="S246" s="41">
        <v>373.26354326163437</v>
      </c>
      <c r="T246" s="41">
        <v>400.88688447322016</v>
      </c>
      <c r="U246" s="41">
        <v>422.45330271810224</v>
      </c>
      <c r="V246" s="41">
        <v>451.95546102464073</v>
      </c>
      <c r="W246" s="41">
        <v>486.2063051855506</v>
      </c>
      <c r="X246" s="41">
        <v>568.18411986226386</v>
      </c>
      <c r="Y246" s="41">
        <v>695.87940557501179</v>
      </c>
      <c r="Z246" s="41">
        <v>942.60520555764413</v>
      </c>
      <c r="AA246" s="41">
        <v>843.15252526240204</v>
      </c>
      <c r="AB246" s="41">
        <v>713.8542176855027</v>
      </c>
      <c r="AC246" s="41">
        <v>606.15499250153221</v>
      </c>
      <c r="AD246" s="41">
        <v>558.93816907470932</v>
      </c>
      <c r="AE246" s="41">
        <v>559.71551446982721</v>
      </c>
      <c r="AF246" s="41">
        <v>619.27178569724686</v>
      </c>
      <c r="AG246" s="41">
        <v>618.01787637137454</v>
      </c>
      <c r="AH246" s="41">
        <v>597.55693017858255</v>
      </c>
      <c r="AI246" s="41">
        <v>655.19285441209331</v>
      </c>
      <c r="AJ246" s="41">
        <v>644.51682984218121</v>
      </c>
      <c r="AK246" s="41">
        <v>627.70004511891614</v>
      </c>
      <c r="AL246" s="41">
        <v>572.65394361201186</v>
      </c>
      <c r="AM246" s="41">
        <v>544.03094232498017</v>
      </c>
      <c r="AN246" s="41">
        <v>614.78922693980951</v>
      </c>
      <c r="AO246" s="41">
        <v>617.35989685118591</v>
      </c>
      <c r="AP246" s="41">
        <v>623.75447660516727</v>
      </c>
      <c r="AQ246" s="41">
        <v>588.06040255934215</v>
      </c>
      <c r="AR246" s="41">
        <v>579.60923397761849</v>
      </c>
      <c r="AS246" s="41">
        <v>602.215547607188</v>
      </c>
      <c r="AT246" s="41">
        <v>560.24753174431544</v>
      </c>
      <c r="AU246" s="41">
        <v>595.0160937857529</v>
      </c>
      <c r="AV246" s="41">
        <v>725.83104418899427</v>
      </c>
      <c r="AW246" s="41">
        <v>879.0041984787174</v>
      </c>
      <c r="AX246" s="41">
        <v>1016.6627471981358</v>
      </c>
      <c r="AY246" s="41">
        <v>1174.8112641197715</v>
      </c>
      <c r="AZ246" s="41">
        <v>1327.0363941706223</v>
      </c>
      <c r="BA246" s="41">
        <v>1481.8334023655107</v>
      </c>
      <c r="BB246" s="41">
        <v>1373.9259103513198</v>
      </c>
      <c r="BC246" s="41">
        <v>1592.5920797987487</v>
      </c>
      <c r="BD246" s="41">
        <v>1741.0107810745646</v>
      </c>
      <c r="BE246" s="41">
        <v>1776.5177895732279</v>
      </c>
      <c r="BF246" s="41">
        <v>1840.7290734450764</v>
      </c>
      <c r="BG246" s="41">
        <v>1861.4628905405041</v>
      </c>
      <c r="BH246" s="41">
        <v>1658.5146631863877</v>
      </c>
      <c r="BI246" s="41">
        <v>1508.3527942053552</v>
      </c>
      <c r="BJ246" s="41">
        <v>1564.2241595072155</v>
      </c>
      <c r="BK246" s="41">
        <v>1596.8252507015643</v>
      </c>
      <c r="BL246" s="41">
        <v>1599.0159659058916</v>
      </c>
      <c r="BM246" s="41">
        <v>1483.7695656434043</v>
      </c>
    </row>
    <row r="247" spans="1:65" x14ac:dyDescent="0.35">
      <c r="A247" s="41" t="s">
        <v>583</v>
      </c>
      <c r="B247" s="41" t="s">
        <v>584</v>
      </c>
      <c r="C247" s="41" t="s">
        <v>659</v>
      </c>
      <c r="D247" s="41" t="s">
        <v>660</v>
      </c>
      <c r="E247" s="41">
        <v>631.70658470132355</v>
      </c>
      <c r="F247" s="41">
        <v>676.40117835348929</v>
      </c>
      <c r="G247" s="41">
        <v>704.22315818322443</v>
      </c>
      <c r="H247" s="41">
        <v>760.39788534595959</v>
      </c>
      <c r="I247" s="41">
        <v>788.69664704445995</v>
      </c>
      <c r="J247" s="41">
        <v>807.86983809690753</v>
      </c>
      <c r="K247" s="41">
        <v>787.33840670697327</v>
      </c>
      <c r="L247" s="41">
        <v>823.55630854428978</v>
      </c>
      <c r="M247" s="41">
        <v>815.32710852693185</v>
      </c>
      <c r="N247" s="41">
        <v>831.42691296479666</v>
      </c>
      <c r="O247" s="41">
        <v>869.35411701611133</v>
      </c>
      <c r="P247" s="41">
        <v>938.26994702005845</v>
      </c>
      <c r="Q247" s="41">
        <v>1119.0380732507977</v>
      </c>
      <c r="R247" s="41">
        <v>1332.7815298102475</v>
      </c>
      <c r="S247" s="41">
        <v>2049.2473011695884</v>
      </c>
      <c r="T247" s="41">
        <v>2416.2483139831161</v>
      </c>
      <c r="U247" s="41">
        <v>2439.177472521591</v>
      </c>
      <c r="V247" s="41">
        <v>3020.2429409519414</v>
      </c>
      <c r="W247" s="41">
        <v>3381.2345365554247</v>
      </c>
      <c r="X247" s="41">
        <v>4306.7818890107465</v>
      </c>
      <c r="Y247" s="41">
        <v>5748.6734953194755</v>
      </c>
      <c r="Z247" s="41">
        <v>6345.001087433594</v>
      </c>
      <c r="AA247" s="41">
        <v>7268.1058684421132</v>
      </c>
      <c r="AB247" s="41">
        <v>6821.8503063517128</v>
      </c>
      <c r="AC247" s="41">
        <v>6715.6068726951517</v>
      </c>
      <c r="AD247" s="41">
        <v>6302.6092265093084</v>
      </c>
      <c r="AE247" s="41">
        <v>4051.4765683815071</v>
      </c>
      <c r="AF247" s="41">
        <v>4016.449770937721</v>
      </c>
      <c r="AG247" s="41">
        <v>3734.4617144616223</v>
      </c>
      <c r="AH247" s="41">
        <v>3564.3569350487951</v>
      </c>
      <c r="AI247" s="41">
        <v>4150.2848612054004</v>
      </c>
      <c r="AJ247" s="41">
        <v>4318.5024280640446</v>
      </c>
      <c r="AK247" s="41">
        <v>4398.4951229912795</v>
      </c>
      <c r="AL247" s="41">
        <v>3754.8003718060077</v>
      </c>
      <c r="AM247" s="41">
        <v>3959.2628730827864</v>
      </c>
      <c r="AN247" s="41">
        <v>4249.0943734811153</v>
      </c>
      <c r="AO247" s="41">
        <v>4579.9781052048211</v>
      </c>
      <c r="AP247" s="41">
        <v>4554.3564582412937</v>
      </c>
      <c r="AQ247" s="41">
        <v>4790.1237380834018</v>
      </c>
      <c r="AR247" s="41">
        <v>5387.1643858843063</v>
      </c>
      <c r="AS247" s="41">
        <v>6435.1342120126801</v>
      </c>
      <c r="AT247" s="41">
        <v>6939.8284711798779</v>
      </c>
      <c r="AU247" s="41">
        <v>7053.0873708583194</v>
      </c>
      <c r="AV247" s="41">
        <v>8807.8660682819682</v>
      </c>
      <c r="AW247" s="41">
        <v>10293.869246567478</v>
      </c>
      <c r="AX247" s="41">
        <v>12327.280712858237</v>
      </c>
      <c r="AY247" s="41">
        <v>14102.593289472239</v>
      </c>
      <c r="AZ247" s="41">
        <v>16539.89074854615</v>
      </c>
      <c r="BA247" s="41">
        <v>21204.008181025863</v>
      </c>
      <c r="BB247" s="41">
        <v>14514.240613557897</v>
      </c>
      <c r="BC247" s="41">
        <v>16683.393062954183</v>
      </c>
      <c r="BD247" s="41">
        <v>19034.120706268368</v>
      </c>
      <c r="BE247" s="41">
        <v>19157.459772879451</v>
      </c>
      <c r="BF247" s="41">
        <v>20143.545406065918</v>
      </c>
      <c r="BG247" s="41">
        <v>20270.933769026971</v>
      </c>
      <c r="BH247" s="41">
        <v>18214.460619356003</v>
      </c>
      <c r="BI247" s="41">
        <v>16250.62868799281</v>
      </c>
      <c r="BJ247" s="41">
        <v>16173.740050202325</v>
      </c>
      <c r="BK247" s="41">
        <v>17037.862356189715</v>
      </c>
      <c r="BL247" s="41">
        <v>16637.162938769739</v>
      </c>
      <c r="BM247" s="41">
        <v>15384.039460987498</v>
      </c>
    </row>
    <row r="248" spans="1:65" x14ac:dyDescent="0.35">
      <c r="A248" s="41" t="s">
        <v>585</v>
      </c>
      <c r="B248" s="41" t="s">
        <v>586</v>
      </c>
      <c r="C248" s="41" t="s">
        <v>659</v>
      </c>
      <c r="D248" s="41" t="s">
        <v>660</v>
      </c>
      <c r="J248" s="41">
        <v>217.91127436517291</v>
      </c>
      <c r="K248" s="41">
        <v>224.2950877887998</v>
      </c>
      <c r="L248" s="41">
        <v>229.02823140602658</v>
      </c>
      <c r="M248" s="41">
        <v>250.69381094494503</v>
      </c>
      <c r="N248" s="41">
        <v>260.40905852444598</v>
      </c>
      <c r="O248" s="41">
        <v>284.2206789633675</v>
      </c>
      <c r="P248" s="41">
        <v>325.56465319969215</v>
      </c>
      <c r="Q248" s="41">
        <v>422.85669307230177</v>
      </c>
      <c r="R248" s="41">
        <v>504.82840530224496</v>
      </c>
      <c r="S248" s="41">
        <v>641.10426084291203</v>
      </c>
      <c r="T248" s="41">
        <v>765.18964581459204</v>
      </c>
      <c r="U248" s="41">
        <v>779.04486775861596</v>
      </c>
      <c r="V248" s="41">
        <v>863.06761117629696</v>
      </c>
      <c r="W248" s="41">
        <v>984.80010084137348</v>
      </c>
      <c r="X248" s="41">
        <v>1157.3779233830503</v>
      </c>
      <c r="Y248" s="41">
        <v>1371.8355005869937</v>
      </c>
      <c r="Z248" s="41">
        <v>1286.5539746182478</v>
      </c>
      <c r="AA248" s="41">
        <v>1206.6429666557131</v>
      </c>
      <c r="AB248" s="41">
        <v>1203.6582338220883</v>
      </c>
      <c r="AC248" s="41">
        <v>1156.9145454384204</v>
      </c>
      <c r="AD248" s="41">
        <v>1147.4292204562671</v>
      </c>
      <c r="AE248" s="41">
        <v>1199.5625374144181</v>
      </c>
      <c r="AF248" s="41">
        <v>1259.1361456437301</v>
      </c>
      <c r="AG248" s="41">
        <v>1281.2012946856876</v>
      </c>
      <c r="AH248" s="41">
        <v>1253.3263972016457</v>
      </c>
      <c r="AI248" s="41">
        <v>1491.1197769778817</v>
      </c>
      <c r="AJ248" s="41">
        <v>1551.3779976290102</v>
      </c>
      <c r="AK248" s="41">
        <v>1799.1115819564827</v>
      </c>
      <c r="AL248" s="41">
        <v>1660.8750016181355</v>
      </c>
      <c r="AM248" s="41">
        <v>1743.1545327006152</v>
      </c>
      <c r="AN248" s="41">
        <v>1975.8998618520177</v>
      </c>
      <c r="AO248" s="41">
        <v>2113.5874322133104</v>
      </c>
      <c r="AP248" s="41">
        <v>2208.2062430948095</v>
      </c>
      <c r="AQ248" s="41">
        <v>2292.711741413264</v>
      </c>
      <c r="AR248" s="41">
        <v>2386.5894924655095</v>
      </c>
      <c r="AS248" s="41">
        <v>2211.835015478699</v>
      </c>
      <c r="AT248" s="41">
        <v>2253.03485218065</v>
      </c>
      <c r="AU248" s="41">
        <v>2344.3969073032913</v>
      </c>
      <c r="AV248" s="41">
        <v>2760.405122038193</v>
      </c>
      <c r="AW248" s="41">
        <v>3111.3743813976025</v>
      </c>
      <c r="AX248" s="41">
        <v>3193.2043578644621</v>
      </c>
      <c r="AY248" s="41">
        <v>3369.9244425992924</v>
      </c>
      <c r="AZ248" s="41">
        <v>3776.3320463646073</v>
      </c>
      <c r="BA248" s="41">
        <v>4307.5800226306583</v>
      </c>
      <c r="BB248" s="41">
        <v>4128.463959293641</v>
      </c>
      <c r="BC248" s="41">
        <v>4141.9759639070544</v>
      </c>
      <c r="BD248" s="41">
        <v>4264.6781221603987</v>
      </c>
      <c r="BE248" s="41">
        <v>4152.6843936566465</v>
      </c>
      <c r="BF248" s="41">
        <v>4222.7051403634741</v>
      </c>
      <c r="BG248" s="41">
        <v>4305.482356749676</v>
      </c>
      <c r="BH248" s="41">
        <v>3861.6924001515504</v>
      </c>
      <c r="BI248" s="41">
        <v>3697.9387293566365</v>
      </c>
      <c r="BJ248" s="41">
        <v>3481.2411063337868</v>
      </c>
      <c r="BK248" s="41">
        <v>3438.8050666438653</v>
      </c>
      <c r="BL248" s="41">
        <v>3351.5734433019225</v>
      </c>
      <c r="BM248" s="41">
        <v>3319.8190235332254</v>
      </c>
    </row>
    <row r="249" spans="1:65" x14ac:dyDescent="0.35">
      <c r="A249" s="41" t="s">
        <v>587</v>
      </c>
      <c r="B249" s="41" t="s">
        <v>588</v>
      </c>
      <c r="C249" s="41" t="s">
        <v>659</v>
      </c>
      <c r="D249" s="41" t="s">
        <v>660</v>
      </c>
      <c r="E249" s="41">
        <v>509.42396340949523</v>
      </c>
      <c r="F249" s="41">
        <v>283.82828426698251</v>
      </c>
      <c r="G249" s="41">
        <v>309.44662430901155</v>
      </c>
      <c r="H249" s="41">
        <v>350.66298518691946</v>
      </c>
      <c r="I249" s="41">
        <v>369.58346862990578</v>
      </c>
      <c r="J249" s="41">
        <v>386.3580606366483</v>
      </c>
      <c r="K249" s="41">
        <v>444.54948283446265</v>
      </c>
      <c r="L249" s="41">
        <v>481.69367986349295</v>
      </c>
      <c r="M249" s="41">
        <v>526.21347458306229</v>
      </c>
      <c r="N249" s="41">
        <v>571.61777019875262</v>
      </c>
      <c r="O249" s="41">
        <v>489.93036765541643</v>
      </c>
      <c r="P249" s="41">
        <v>455.10485821865024</v>
      </c>
      <c r="Q249" s="41">
        <v>558.4209229500641</v>
      </c>
      <c r="R249" s="41">
        <v>686.49006645521547</v>
      </c>
      <c r="S249" s="41">
        <v>927.79921574800221</v>
      </c>
      <c r="T249" s="41">
        <v>1136.3755960292474</v>
      </c>
      <c r="U249" s="41">
        <v>1275.9565737552823</v>
      </c>
      <c r="V249" s="41">
        <v>1427.3717950167245</v>
      </c>
      <c r="W249" s="41">
        <v>1549.6443584620847</v>
      </c>
      <c r="X249" s="41">
        <v>2079.2202691476077</v>
      </c>
      <c r="Y249" s="41">
        <v>1564.2471658328197</v>
      </c>
      <c r="Z249" s="41">
        <v>1579.0737783658026</v>
      </c>
      <c r="AA249" s="41">
        <v>1402.4064354527607</v>
      </c>
      <c r="AB249" s="41">
        <v>1310.2556517609332</v>
      </c>
      <c r="AC249" s="41">
        <v>1246.8244681292749</v>
      </c>
      <c r="AD249" s="41">
        <v>1368.4016524100955</v>
      </c>
      <c r="AE249" s="41">
        <v>1510.6763108875166</v>
      </c>
      <c r="AF249" s="41">
        <v>1705.8943844726818</v>
      </c>
      <c r="AG249" s="41">
        <v>1745.3649270202966</v>
      </c>
      <c r="AH249" s="41">
        <v>2021.8595296720127</v>
      </c>
      <c r="AI249" s="41">
        <v>2794.3504938064148</v>
      </c>
      <c r="AJ249" s="41">
        <v>2735.7076146481149</v>
      </c>
      <c r="AK249" s="41">
        <v>2842.3699783451084</v>
      </c>
      <c r="AL249" s="41">
        <v>3180.1875765109448</v>
      </c>
      <c r="AM249" s="41">
        <v>2270.3373253560608</v>
      </c>
      <c r="AN249" s="41">
        <v>2897.8666401266451</v>
      </c>
      <c r="AO249" s="41">
        <v>3053.9472306215634</v>
      </c>
      <c r="AP249" s="41">
        <v>3144.3857030911831</v>
      </c>
      <c r="AQ249" s="41">
        <v>4499.7375077687766</v>
      </c>
      <c r="AR249" s="41">
        <v>4116.1705596503989</v>
      </c>
      <c r="AS249" s="41">
        <v>4337.4780029635431</v>
      </c>
      <c r="AT249" s="41">
        <v>3142.9209977458154</v>
      </c>
      <c r="AU249" s="41">
        <v>3687.9560932503105</v>
      </c>
      <c r="AV249" s="41">
        <v>4760.1040190451031</v>
      </c>
      <c r="AW249" s="41">
        <v>6101.6321166069647</v>
      </c>
      <c r="AX249" s="41">
        <v>7456.2961006748983</v>
      </c>
      <c r="AY249" s="41">
        <v>8101.8569237477632</v>
      </c>
      <c r="AZ249" s="41">
        <v>9791.8824500116698</v>
      </c>
      <c r="BA249" s="41">
        <v>10941.172146425997</v>
      </c>
      <c r="BB249" s="41">
        <v>9103.4740506124272</v>
      </c>
      <c r="BC249" s="41">
        <v>10742.774978762647</v>
      </c>
      <c r="BD249" s="41">
        <v>11420.55545583777</v>
      </c>
      <c r="BE249" s="41">
        <v>11795.633456757056</v>
      </c>
      <c r="BF249" s="41">
        <v>12614.781610038588</v>
      </c>
      <c r="BG249" s="41">
        <v>12157.990433782299</v>
      </c>
      <c r="BH249" s="41">
        <v>11006.279523964891</v>
      </c>
      <c r="BI249" s="41">
        <v>10894.603377927504</v>
      </c>
      <c r="BJ249" s="41">
        <v>10589.667724687044</v>
      </c>
      <c r="BK249" s="41">
        <v>9453.1961717419072</v>
      </c>
      <c r="BL249" s="41">
        <v>9126.5943919545334</v>
      </c>
      <c r="BM249" s="41">
        <v>8538.1690598274472</v>
      </c>
    </row>
    <row r="250" spans="1:65" x14ac:dyDescent="0.35">
      <c r="A250" s="41" t="s">
        <v>589</v>
      </c>
      <c r="B250" s="41" t="s">
        <v>590</v>
      </c>
      <c r="C250" s="41" t="s">
        <v>659</v>
      </c>
      <c r="D250" s="41" t="s">
        <v>660</v>
      </c>
      <c r="AI250" s="41">
        <v>990.39817510923069</v>
      </c>
      <c r="AJ250" s="41">
        <v>1038.9578337800888</v>
      </c>
      <c r="AK250" s="41">
        <v>1069.4785369056358</v>
      </c>
      <c r="AL250" s="41">
        <v>1047.5052157816369</v>
      </c>
      <c r="AM250" s="41">
        <v>1175.8100830858941</v>
      </c>
      <c r="AN250" s="41">
        <v>1185.8405188805677</v>
      </c>
      <c r="AO250" s="41">
        <v>1323.9075058602059</v>
      </c>
      <c r="AP250" s="41">
        <v>1361.589349006065</v>
      </c>
      <c r="AQ250" s="41">
        <v>1367.0845336959719</v>
      </c>
      <c r="AR250" s="41">
        <v>1464.8053409543877</v>
      </c>
      <c r="AS250" s="41">
        <v>1463.1662106146468</v>
      </c>
      <c r="AT250" s="41">
        <v>1392.3343476182713</v>
      </c>
      <c r="AU250" s="41">
        <v>1610.6530012517844</v>
      </c>
      <c r="AV250" s="41">
        <v>1874.8538193607872</v>
      </c>
      <c r="AW250" s="41">
        <v>2181.6362686241873</v>
      </c>
      <c r="AX250" s="41">
        <v>2184.5652588483686</v>
      </c>
      <c r="AY250" s="41">
        <v>2263.5759483873426</v>
      </c>
      <c r="AZ250" s="41">
        <v>2645.1095045775569</v>
      </c>
      <c r="BA250" s="41">
        <v>2936.5215474343127</v>
      </c>
      <c r="BB250" s="41">
        <v>2602.6194444590496</v>
      </c>
      <c r="BC250" s="41">
        <v>3024.7617736371653</v>
      </c>
      <c r="BD250" s="41">
        <v>3643.1216084555995</v>
      </c>
      <c r="BE250" s="41">
        <v>3506.3081435735053</v>
      </c>
      <c r="BF250" s="41">
        <v>3457.3762661098071</v>
      </c>
      <c r="BG250" s="41">
        <v>3398.3967498045049</v>
      </c>
      <c r="BH250" s="41">
        <v>3197.7722519439362</v>
      </c>
      <c r="BI250" s="41">
        <v>3253.8995355862735</v>
      </c>
      <c r="BJ250" s="41">
        <v>3574.0652875180422</v>
      </c>
      <c r="BK250" s="41">
        <v>3701.7092545069286</v>
      </c>
      <c r="BL250" s="41">
        <v>4055.8956095973822</v>
      </c>
      <c r="BM250" s="41">
        <v>4143.1097526301091</v>
      </c>
    </row>
    <row r="251" spans="1:65" x14ac:dyDescent="0.35">
      <c r="A251" s="41" t="s">
        <v>591</v>
      </c>
      <c r="B251" s="41" t="s">
        <v>592</v>
      </c>
      <c r="C251" s="41" t="s">
        <v>659</v>
      </c>
      <c r="D251" s="41" t="s">
        <v>660</v>
      </c>
      <c r="AG251" s="41">
        <v>221.58814413810501</v>
      </c>
      <c r="AH251" s="41">
        <v>186.21867789906199</v>
      </c>
      <c r="AI251" s="41">
        <v>173.79061790874999</v>
      </c>
      <c r="AJ251" s="41">
        <v>195.66145295893099</v>
      </c>
      <c r="AK251" s="41">
        <v>175.55807989784699</v>
      </c>
      <c r="AL251" s="41">
        <v>157.06081248020101</v>
      </c>
      <c r="AM251" s="41">
        <v>161.176877950277</v>
      </c>
      <c r="AN251" s="41">
        <v>182.361927987515</v>
      </c>
      <c r="AO251" s="41">
        <v>219.55021107280299</v>
      </c>
      <c r="AP251" s="41">
        <v>253.475984713066</v>
      </c>
      <c r="AQ251" s="41">
        <v>395.53262080966402</v>
      </c>
      <c r="AR251" s="41">
        <v>400.26367177840501</v>
      </c>
      <c r="AS251" s="41">
        <v>410.95236547037302</v>
      </c>
      <c r="AT251" s="41">
        <v>406.53875374065302</v>
      </c>
      <c r="AU251" s="41">
        <v>411.97232178264602</v>
      </c>
      <c r="AV251" s="41">
        <v>431.27972978737</v>
      </c>
      <c r="AW251" s="41">
        <v>459.259295161963</v>
      </c>
      <c r="AX251" s="41">
        <v>492.63133972145403</v>
      </c>
      <c r="AY251" s="41">
        <v>485.49744948822001</v>
      </c>
      <c r="AZ251" s="41">
        <v>552.83950161662699</v>
      </c>
      <c r="BA251" s="41">
        <v>687.39044554034797</v>
      </c>
      <c r="BB251" s="41">
        <v>695.21684329109905</v>
      </c>
      <c r="BC251" s="41">
        <v>743.40366388782502</v>
      </c>
      <c r="BD251" s="41">
        <v>781.43389567328097</v>
      </c>
      <c r="BE251" s="41">
        <v>867.85749892348099</v>
      </c>
      <c r="BF251" s="41">
        <v>970.39960143041105</v>
      </c>
      <c r="BG251" s="41">
        <v>1030.0776484553001</v>
      </c>
      <c r="BH251" s="41">
        <v>947.93335165840699</v>
      </c>
      <c r="BI251" s="41">
        <v>966.50301656961096</v>
      </c>
      <c r="BJ251" s="41">
        <v>1004.90658838695</v>
      </c>
      <c r="BK251" s="41">
        <v>1042.8387585661901</v>
      </c>
      <c r="BL251" s="41">
        <v>1085.88486100047</v>
      </c>
      <c r="BM251" s="41">
        <v>1076.47038455352</v>
      </c>
    </row>
    <row r="252" spans="1:65" x14ac:dyDescent="0.35">
      <c r="A252" s="41" t="s">
        <v>593</v>
      </c>
      <c r="B252" s="41" t="s">
        <v>594</v>
      </c>
      <c r="C252" s="41" t="s">
        <v>659</v>
      </c>
      <c r="D252" s="41" t="s">
        <v>660</v>
      </c>
      <c r="E252" s="41">
        <v>62.509625367031333</v>
      </c>
      <c r="F252" s="41">
        <v>63.220967340338916</v>
      </c>
      <c r="G252" s="41">
        <v>62.226314593346103</v>
      </c>
      <c r="H252" s="41">
        <v>69.173543006136782</v>
      </c>
      <c r="I252" s="41">
        <v>76.311486220115711</v>
      </c>
      <c r="J252" s="41">
        <v>110.8022889854639</v>
      </c>
      <c r="K252" s="41">
        <v>112.03215371760083</v>
      </c>
      <c r="L252" s="41">
        <v>113.16921774162013</v>
      </c>
      <c r="M252" s="41">
        <v>117.38455084950657</v>
      </c>
      <c r="N252" s="41">
        <v>128.07473596454139</v>
      </c>
      <c r="O252" s="41">
        <v>133.97159455897315</v>
      </c>
      <c r="P252" s="41">
        <v>146.58893958366815</v>
      </c>
      <c r="Q252" s="41">
        <v>150.21652726477021</v>
      </c>
      <c r="R252" s="41">
        <v>167.13582004837025</v>
      </c>
      <c r="S252" s="41">
        <v>200.91235309424223</v>
      </c>
      <c r="T252" s="41">
        <v>219.75104739531113</v>
      </c>
      <c r="U252" s="41">
        <v>221.61600474509814</v>
      </c>
      <c r="V252" s="41">
        <v>258.29617885263571</v>
      </c>
      <c r="W252" s="41">
        <v>206.63842937272508</v>
      </c>
      <c r="X252" s="41">
        <v>177.20157333938633</v>
      </c>
      <c r="Y252" s="41">
        <v>100.03027567257683</v>
      </c>
      <c r="Z252" s="41">
        <v>104.27222153086872</v>
      </c>
      <c r="AA252" s="41">
        <v>164.68775390937719</v>
      </c>
      <c r="AB252" s="41">
        <v>164.26261811737248</v>
      </c>
      <c r="AC252" s="41">
        <v>256.74081185541991</v>
      </c>
      <c r="AD252" s="41">
        <v>241.74600145628281</v>
      </c>
      <c r="AE252" s="41">
        <v>260.32840593008279</v>
      </c>
      <c r="AF252" s="41">
        <v>401.56346629571863</v>
      </c>
      <c r="AG252" s="41">
        <v>402.27934225163887</v>
      </c>
      <c r="AH252" s="41">
        <v>314.76872161795501</v>
      </c>
      <c r="AI252" s="41">
        <v>248.02932432289802</v>
      </c>
      <c r="AJ252" s="41">
        <v>185.01811716412791</v>
      </c>
      <c r="AK252" s="41">
        <v>153.94402378336233</v>
      </c>
      <c r="AL252" s="41">
        <v>167.94124923690947</v>
      </c>
      <c r="AM252" s="41">
        <v>201.60265647830064</v>
      </c>
      <c r="AN252" s="41">
        <v>281.96613328458943</v>
      </c>
      <c r="AO252" s="41">
        <v>287.3882907333811</v>
      </c>
      <c r="AP252" s="41">
        <v>289.50449445436425</v>
      </c>
      <c r="AQ252" s="41">
        <v>295.40526525723556</v>
      </c>
      <c r="AR252" s="41">
        <v>261.34790653087043</v>
      </c>
      <c r="AS252" s="41">
        <v>261.86914164496204</v>
      </c>
      <c r="AT252" s="41">
        <v>239.47312701930207</v>
      </c>
      <c r="AU252" s="41">
        <v>245.50004034577051</v>
      </c>
      <c r="AV252" s="41">
        <v>254.30120431183335</v>
      </c>
      <c r="AW252" s="41">
        <v>296.01426753599497</v>
      </c>
      <c r="AX252" s="41">
        <v>333.73157625084525</v>
      </c>
      <c r="AY252" s="41">
        <v>349.21710008669578</v>
      </c>
      <c r="AZ252" s="41">
        <v>403.66374462352962</v>
      </c>
      <c r="BA252" s="41">
        <v>474.5179496340283</v>
      </c>
      <c r="BB252" s="41">
        <v>796.53092444372896</v>
      </c>
      <c r="BC252" s="41">
        <v>819.00746517873722</v>
      </c>
      <c r="BD252" s="41">
        <v>828.99411276708565</v>
      </c>
      <c r="BE252" s="41">
        <v>786.73871102726957</v>
      </c>
      <c r="BF252" s="41">
        <v>806.61193627834916</v>
      </c>
      <c r="BG252" s="41">
        <v>879.73494864160318</v>
      </c>
      <c r="BH252" s="41">
        <v>843.62954532648007</v>
      </c>
      <c r="BI252" s="41">
        <v>733.3971316743374</v>
      </c>
      <c r="BJ252" s="41">
        <v>746.83075118452075</v>
      </c>
      <c r="BK252" s="41">
        <v>770.25706014918239</v>
      </c>
      <c r="BL252" s="41">
        <v>794.45144543279707</v>
      </c>
      <c r="BM252" s="41">
        <v>817.03575692692277</v>
      </c>
    </row>
    <row r="253" spans="1:65" x14ac:dyDescent="0.35">
      <c r="A253" s="41" t="s">
        <v>595</v>
      </c>
      <c r="B253" s="41" t="s">
        <v>596</v>
      </c>
      <c r="C253" s="41" t="s">
        <v>659</v>
      </c>
      <c r="D253" s="41" t="s">
        <v>660</v>
      </c>
      <c r="AF253" s="41">
        <v>1249.44524802866</v>
      </c>
      <c r="AG253" s="41">
        <v>1449.96616557995</v>
      </c>
      <c r="AH253" s="41">
        <v>1597.5353840238399</v>
      </c>
      <c r="AI253" s="41">
        <v>1569.7571378559501</v>
      </c>
      <c r="AK253" s="41">
        <v>1378.6361863270199</v>
      </c>
      <c r="AL253" s="41">
        <v>1257.3500958982499</v>
      </c>
      <c r="AM253" s="41">
        <v>1011.97943262582</v>
      </c>
      <c r="AN253" s="41">
        <v>935.97615455249797</v>
      </c>
      <c r="AO253" s="41">
        <v>872.69872285133295</v>
      </c>
      <c r="AP253" s="41">
        <v>991.22043367476999</v>
      </c>
      <c r="AQ253" s="41">
        <v>835.25098279403903</v>
      </c>
      <c r="AR253" s="41">
        <v>635.76440920464802</v>
      </c>
      <c r="AS253" s="41">
        <v>635.70441815052698</v>
      </c>
      <c r="AT253" s="41">
        <v>780.32117887061895</v>
      </c>
      <c r="AU253" s="41">
        <v>878.61874894134496</v>
      </c>
      <c r="AV253" s="41">
        <v>1047.5027904773899</v>
      </c>
      <c r="AW253" s="41">
        <v>1366.0164764782301</v>
      </c>
      <c r="AX253" s="41">
        <v>1826.93139114817</v>
      </c>
      <c r="AY253" s="41">
        <v>2300.76970925872</v>
      </c>
      <c r="AZ253" s="41">
        <v>3065.6112939084201</v>
      </c>
      <c r="BA253" s="41">
        <v>3887.24233680525</v>
      </c>
      <c r="BB253" s="41">
        <v>2542.9954241752198</v>
      </c>
      <c r="BC253" s="41">
        <v>2965.13971520617</v>
      </c>
      <c r="BD253" s="41">
        <v>3569.7581208389802</v>
      </c>
      <c r="BE253" s="41">
        <v>3855.41772856732</v>
      </c>
      <c r="BF253" s="41">
        <v>4029.7112516254501</v>
      </c>
      <c r="BG253" s="41">
        <v>3104.6432060954098</v>
      </c>
      <c r="BH253" s="41">
        <v>2124.6623187837999</v>
      </c>
      <c r="BI253" s="41">
        <v>2187.73050991433</v>
      </c>
      <c r="BJ253" s="41">
        <v>2640.67567655839</v>
      </c>
      <c r="BK253" s="41">
        <v>3096.8174022135199</v>
      </c>
      <c r="BL253" s="41">
        <v>3662.5630867966702</v>
      </c>
      <c r="BM253" s="41">
        <v>3726.9271493705501</v>
      </c>
    </row>
    <row r="254" spans="1:65" x14ac:dyDescent="0.35">
      <c r="A254" s="41" t="s">
        <v>597</v>
      </c>
      <c r="B254" s="41" t="s">
        <v>598</v>
      </c>
      <c r="C254" s="41" t="s">
        <v>659</v>
      </c>
      <c r="D254" s="41" t="s">
        <v>660</v>
      </c>
      <c r="E254" s="41">
        <v>209.36375012644442</v>
      </c>
      <c r="F254" s="41">
        <v>187.09509552826373</v>
      </c>
      <c r="G254" s="41">
        <v>193.62932330201309</v>
      </c>
      <c r="H254" s="41">
        <v>197.13381542321576</v>
      </c>
      <c r="I254" s="41">
        <v>221.88882823642649</v>
      </c>
      <c r="J254" s="41">
        <v>241.1133531710671</v>
      </c>
      <c r="K254" s="41">
        <v>259.38392196889453</v>
      </c>
      <c r="L254" s="41">
        <v>255.73167726443984</v>
      </c>
      <c r="M254" s="41">
        <v>261.14744862247261</v>
      </c>
      <c r="N254" s="41">
        <v>286.11180812661297</v>
      </c>
      <c r="O254" s="41">
        <v>305.26966451750582</v>
      </c>
      <c r="P254" s="41">
        <v>324.51990053417683</v>
      </c>
      <c r="Q254" s="41">
        <v>360.96808808065919</v>
      </c>
      <c r="R254" s="41">
        <v>454.99735207219044</v>
      </c>
      <c r="S254" s="41">
        <v>553.67241636031963</v>
      </c>
      <c r="T254" s="41">
        <v>598.85187882296532</v>
      </c>
      <c r="U254" s="41">
        <v>626.09024659048623</v>
      </c>
      <c r="V254" s="41">
        <v>682.06656697710309</v>
      </c>
      <c r="W254" s="41">
        <v>721.06379784864612</v>
      </c>
      <c r="X254" s="41">
        <v>865.02173115570781</v>
      </c>
      <c r="Y254" s="41">
        <v>984.66686542604293</v>
      </c>
      <c r="Z254" s="41">
        <v>1055.4043517554276</v>
      </c>
      <c r="AA254" s="41">
        <v>996.76962648165431</v>
      </c>
      <c r="AB254" s="41">
        <v>934.35834383287465</v>
      </c>
      <c r="AC254" s="41">
        <v>954.75340381093429</v>
      </c>
      <c r="AD254" s="41">
        <v>985.10029271814392</v>
      </c>
      <c r="AE254" s="41">
        <v>985.32034908786818</v>
      </c>
      <c r="AF254" s="41">
        <v>1033.5378713319644</v>
      </c>
      <c r="AG254" s="41">
        <v>1131.9956431780718</v>
      </c>
      <c r="AH254" s="41">
        <v>1179.547514627219</v>
      </c>
      <c r="AI254" s="41">
        <v>1360.8221221706442</v>
      </c>
      <c r="AJ254" s="41">
        <v>1397.3360819720056</v>
      </c>
      <c r="AK254" s="41">
        <v>1343.0394687857595</v>
      </c>
      <c r="AL254" s="41">
        <v>1446.115233817507</v>
      </c>
      <c r="AM254" s="41">
        <v>1564.7292275584844</v>
      </c>
      <c r="AN254" s="41">
        <v>1723.0061102410486</v>
      </c>
      <c r="AO254" s="41">
        <v>1854.4062352331141</v>
      </c>
      <c r="AP254" s="41">
        <v>1964.3429834328863</v>
      </c>
      <c r="AQ254" s="41">
        <v>1921.5222677917955</v>
      </c>
      <c r="AR254" s="41">
        <v>1797.8211085896776</v>
      </c>
      <c r="AS254" s="41">
        <v>1968.2725081471344</v>
      </c>
      <c r="AT254" s="41">
        <v>1964.0035354359716</v>
      </c>
      <c r="AU254" s="41">
        <v>1965.4937786718556</v>
      </c>
      <c r="AV254" s="41">
        <v>2183.922657298162</v>
      </c>
      <c r="AW254" s="41">
        <v>2599.0834144159203</v>
      </c>
      <c r="AX254" s="41">
        <v>3102.4555814474943</v>
      </c>
      <c r="AY254" s="41">
        <v>3661.7178768600006</v>
      </c>
      <c r="AZ254" s="41">
        <v>4519.8763025242806</v>
      </c>
      <c r="BA254" s="41">
        <v>5481.1462697677753</v>
      </c>
      <c r="BB254" s="41">
        <v>5231.2365046253644</v>
      </c>
      <c r="BC254" s="41">
        <v>6306.6284031261175</v>
      </c>
      <c r="BD254" s="41">
        <v>7552.604624025762</v>
      </c>
      <c r="BE254" s="41">
        <v>8031.6972265508939</v>
      </c>
      <c r="BF254" s="41">
        <v>8566.4997436031899</v>
      </c>
      <c r="BG254" s="41">
        <v>8769.654808750649</v>
      </c>
      <c r="BH254" s="41">
        <v>8173.0554378396064</v>
      </c>
      <c r="BI254" s="41">
        <v>8072.0156278556369</v>
      </c>
      <c r="BJ254" s="41">
        <v>8870.349295243037</v>
      </c>
      <c r="BK254" s="41">
        <v>9483.6933062077314</v>
      </c>
      <c r="BL254" s="41">
        <v>9589.0378735037029</v>
      </c>
      <c r="BM254" s="41">
        <v>9191.6807325503596</v>
      </c>
    </row>
    <row r="255" spans="1:65" x14ac:dyDescent="0.35">
      <c r="A255" s="41" t="s">
        <v>599</v>
      </c>
      <c r="B255" s="41" t="s">
        <v>600</v>
      </c>
      <c r="C255" s="41" t="s">
        <v>659</v>
      </c>
      <c r="D255" s="41" t="s">
        <v>660</v>
      </c>
      <c r="E255" s="41">
        <v>489.35072495475339</v>
      </c>
      <c r="F255" s="41">
        <v>601.70300271625138</v>
      </c>
      <c r="G255" s="41">
        <v>656.71322683386836</v>
      </c>
      <c r="H255" s="41">
        <v>584.29163352088995</v>
      </c>
      <c r="I255" s="41">
        <v>741.24499798571071</v>
      </c>
      <c r="J255" s="41">
        <v>701.70471815462565</v>
      </c>
      <c r="K255" s="41">
        <v>664.43984108196446</v>
      </c>
      <c r="L255" s="41">
        <v>580.97025880594799</v>
      </c>
      <c r="M255" s="41">
        <v>574.3468825476042</v>
      </c>
      <c r="N255" s="41">
        <v>717.14094799853012</v>
      </c>
      <c r="O255" s="41">
        <v>760.58706483757317</v>
      </c>
      <c r="P255" s="41">
        <v>996.08806656965567</v>
      </c>
      <c r="Q255" s="41">
        <v>775.98815980212464</v>
      </c>
      <c r="R255" s="41">
        <v>1404.7265567505626</v>
      </c>
      <c r="S255" s="41">
        <v>1448.3258112675815</v>
      </c>
      <c r="T255" s="41">
        <v>1250.2008083173955</v>
      </c>
      <c r="U255" s="41">
        <v>1290.6309107412319</v>
      </c>
      <c r="V255" s="41">
        <v>1440.2266545917601</v>
      </c>
      <c r="W255" s="41">
        <v>1707.4855872578642</v>
      </c>
      <c r="X255" s="41">
        <v>2479.9625090130758</v>
      </c>
      <c r="Y255" s="41">
        <v>3485.9911029829509</v>
      </c>
      <c r="Z255" s="41">
        <v>3764.8215040473101</v>
      </c>
      <c r="AA255" s="41">
        <v>3107.400832086917</v>
      </c>
      <c r="AB255" s="41">
        <v>1716.1785669117555</v>
      </c>
      <c r="AC255" s="41">
        <v>1620.9345616764751</v>
      </c>
      <c r="AD255" s="41">
        <v>1571.3059998571105</v>
      </c>
      <c r="AE255" s="41">
        <v>1940.2144253526624</v>
      </c>
      <c r="AF255" s="41">
        <v>2415.9037193634595</v>
      </c>
      <c r="AG255" s="41">
        <v>2676.5333812507083</v>
      </c>
      <c r="AH255" s="41">
        <v>2732.2875345476391</v>
      </c>
      <c r="AI255" s="41">
        <v>2990.3671327391467</v>
      </c>
      <c r="AJ255" s="41">
        <v>3578.2881571244261</v>
      </c>
      <c r="AK255" s="41">
        <v>4082.5383626745088</v>
      </c>
      <c r="AL255" s="41">
        <v>4721.0076483697776</v>
      </c>
      <c r="AM255" s="41">
        <v>5458.8673605579988</v>
      </c>
      <c r="AN255" s="41">
        <v>5985.1169942237048</v>
      </c>
      <c r="AO255" s="41">
        <v>6317.5618765058589</v>
      </c>
      <c r="AP255" s="41">
        <v>7329.8669392863958</v>
      </c>
      <c r="AQ255" s="41">
        <v>7713.6187684524848</v>
      </c>
      <c r="AR255" s="41">
        <v>7250.2747700261125</v>
      </c>
      <c r="AS255" s="41">
        <v>6875.0254694637242</v>
      </c>
      <c r="AT255" s="41">
        <v>6284.4596800377321</v>
      </c>
      <c r="AU255" s="41">
        <v>4090.8918876726511</v>
      </c>
      <c r="AV255" s="41">
        <v>3624.2056853979038</v>
      </c>
      <c r="AW255" s="41">
        <v>4120.544205250023</v>
      </c>
      <c r="AX255" s="41">
        <v>5226.9440998249647</v>
      </c>
      <c r="AY255" s="41">
        <v>5887.8451622416342</v>
      </c>
      <c r="AZ255" s="41">
        <v>7026.5030553929673</v>
      </c>
      <c r="BA255" s="41">
        <v>9091.0790391691953</v>
      </c>
      <c r="BB255" s="41">
        <v>9451.9324486993428</v>
      </c>
      <c r="BC255" s="41">
        <v>11992.02376582734</v>
      </c>
      <c r="BD255" s="41">
        <v>14236.714995735947</v>
      </c>
      <c r="BE255" s="41">
        <v>15171.580173422677</v>
      </c>
      <c r="BF255" s="41">
        <v>16973.689236471815</v>
      </c>
      <c r="BG255" s="41">
        <v>16831.948194372064</v>
      </c>
      <c r="BH255" s="41">
        <v>15613.745968182426</v>
      </c>
      <c r="BI255" s="41">
        <v>16715.633474625283</v>
      </c>
      <c r="BJ255" s="41">
        <v>18690.893840141114</v>
      </c>
      <c r="BK255" s="41">
        <v>18703.860292447818</v>
      </c>
      <c r="BL255" s="41">
        <v>17688.015007689984</v>
      </c>
      <c r="BM255" s="41">
        <v>15438.411665729105</v>
      </c>
    </row>
    <row r="256" spans="1:65" x14ac:dyDescent="0.35">
      <c r="A256" s="41" t="s">
        <v>601</v>
      </c>
      <c r="B256" s="41" t="s">
        <v>602</v>
      </c>
      <c r="C256" s="41" t="s">
        <v>659</v>
      </c>
      <c r="D256" s="41" t="s">
        <v>660</v>
      </c>
      <c r="E256" s="41">
        <v>3007.1234453786165</v>
      </c>
      <c r="F256" s="41">
        <v>3066.5628691661541</v>
      </c>
      <c r="G256" s="41">
        <v>3243.8430775498828</v>
      </c>
      <c r="H256" s="41">
        <v>3374.5151710508239</v>
      </c>
      <c r="I256" s="41">
        <v>3573.9411847474321</v>
      </c>
      <c r="J256" s="41">
        <v>3827.5271097203854</v>
      </c>
      <c r="K256" s="41">
        <v>4146.3166463166463</v>
      </c>
      <c r="L256" s="41">
        <v>4336.4265872217075</v>
      </c>
      <c r="M256" s="41">
        <v>4695.9233904317762</v>
      </c>
      <c r="N256" s="41">
        <v>5032.1447426200311</v>
      </c>
      <c r="O256" s="41">
        <v>5234.2966662114977</v>
      </c>
      <c r="P256" s="41">
        <v>5609.3825995251873</v>
      </c>
      <c r="Q256" s="41">
        <v>6094.0179898616461</v>
      </c>
      <c r="R256" s="41">
        <v>6726.3589559669481</v>
      </c>
      <c r="S256" s="41">
        <v>7225.6913595256574</v>
      </c>
      <c r="T256" s="41">
        <v>7801.4566635644269</v>
      </c>
      <c r="U256" s="41">
        <v>8592.2535372761249</v>
      </c>
      <c r="V256" s="41">
        <v>9452.5765191451101</v>
      </c>
      <c r="W256" s="41">
        <v>10564.94822202754</v>
      </c>
      <c r="X256" s="41">
        <v>11674.186310013109</v>
      </c>
      <c r="Y256" s="41">
        <v>12574.791506216305</v>
      </c>
      <c r="Z256" s="41">
        <v>13976.10975046412</v>
      </c>
      <c r="AA256" s="41">
        <v>14433.787727052973</v>
      </c>
      <c r="AB256" s="41">
        <v>15543.893717492472</v>
      </c>
      <c r="AC256" s="41">
        <v>17121.225484999472</v>
      </c>
      <c r="AD256" s="41">
        <v>18236.827726500898</v>
      </c>
      <c r="AE256" s="41">
        <v>19071.227194929477</v>
      </c>
      <c r="AF256" s="41">
        <v>20038.941099265754</v>
      </c>
      <c r="AG256" s="41">
        <v>21417.011930519144</v>
      </c>
      <c r="AH256" s="41">
        <v>22857.154433005562</v>
      </c>
      <c r="AI256" s="41">
        <v>23888.60000881329</v>
      </c>
      <c r="AJ256" s="41">
        <v>24342.25890481894</v>
      </c>
      <c r="AK256" s="41">
        <v>25418.990776331895</v>
      </c>
      <c r="AL256" s="41">
        <v>26387.293733817074</v>
      </c>
      <c r="AM256" s="41">
        <v>27694.853416234047</v>
      </c>
      <c r="AN256" s="41">
        <v>28690.875701334695</v>
      </c>
      <c r="AO256" s="41">
        <v>29967.712718174866</v>
      </c>
      <c r="AP256" s="41">
        <v>31459.138980477303</v>
      </c>
      <c r="AQ256" s="41">
        <v>32853.676952300855</v>
      </c>
      <c r="AR256" s="41">
        <v>34513.561503727062</v>
      </c>
      <c r="AS256" s="41">
        <v>36334.908777058896</v>
      </c>
      <c r="AT256" s="41">
        <v>37133.242808852636</v>
      </c>
      <c r="AU256" s="41">
        <v>38023.161114402101</v>
      </c>
      <c r="AV256" s="41">
        <v>39496.485875138067</v>
      </c>
      <c r="AW256" s="41">
        <v>41712.801067554457</v>
      </c>
      <c r="AX256" s="41">
        <v>44114.747781054422</v>
      </c>
      <c r="AY256" s="41">
        <v>46298.731444092657</v>
      </c>
      <c r="AZ256" s="41">
        <v>47975.96769580384</v>
      </c>
      <c r="BA256" s="41">
        <v>48382.558449055185</v>
      </c>
      <c r="BB256" s="41">
        <v>47099.980471134266</v>
      </c>
      <c r="BC256" s="41">
        <v>48466.657602692176</v>
      </c>
      <c r="BD256" s="41">
        <v>49882.558132149505</v>
      </c>
      <c r="BE256" s="41">
        <v>51602.931045790698</v>
      </c>
      <c r="BF256" s="41">
        <v>53106.536767216508</v>
      </c>
      <c r="BG256" s="41">
        <v>55049.988327231222</v>
      </c>
      <c r="BH256" s="41">
        <v>56863.371495765183</v>
      </c>
      <c r="BI256" s="41">
        <v>58021.400499712516</v>
      </c>
      <c r="BJ256" s="41">
        <v>60109.655726047662</v>
      </c>
      <c r="BK256" s="41">
        <v>63064.418409673097</v>
      </c>
      <c r="BL256" s="41">
        <v>65279.529026095282</v>
      </c>
      <c r="BM256" s="41">
        <v>63543.577788723982</v>
      </c>
    </row>
    <row r="257" spans="1:65" x14ac:dyDescent="0.35">
      <c r="A257" s="41" t="s">
        <v>603</v>
      </c>
      <c r="B257" s="41" t="s">
        <v>604</v>
      </c>
      <c r="C257" s="41" t="s">
        <v>659</v>
      </c>
      <c r="D257" s="41" t="s">
        <v>660</v>
      </c>
      <c r="AI257" s="41">
        <v>651.41920613736306</v>
      </c>
      <c r="AJ257" s="41">
        <v>652.8074752874295</v>
      </c>
      <c r="AK257" s="41">
        <v>603.35201529643791</v>
      </c>
      <c r="AL257" s="41">
        <v>596.98358561257623</v>
      </c>
      <c r="AM257" s="41">
        <v>576.44711045339204</v>
      </c>
      <c r="AN257" s="41">
        <v>585.93236416113461</v>
      </c>
      <c r="AO257" s="41">
        <v>600.59815782858402</v>
      </c>
      <c r="AP257" s="41">
        <v>623.00265236763869</v>
      </c>
      <c r="AQ257" s="41">
        <v>623.21613283598492</v>
      </c>
      <c r="AR257" s="41">
        <v>702.48074408887271</v>
      </c>
      <c r="AS257" s="41">
        <v>558.22680237700013</v>
      </c>
      <c r="AT257" s="41">
        <v>456.7062895115829</v>
      </c>
      <c r="AU257" s="41">
        <v>383.34306799074233</v>
      </c>
      <c r="AV257" s="41">
        <v>396.37797902663289</v>
      </c>
      <c r="AW257" s="41">
        <v>465.11988694402487</v>
      </c>
      <c r="AX257" s="41">
        <v>546.77685018555155</v>
      </c>
      <c r="AY257" s="41">
        <v>654.28383728328504</v>
      </c>
      <c r="AZ257" s="41">
        <v>830.40769420432196</v>
      </c>
      <c r="BA257" s="41">
        <v>1082.286025016987</v>
      </c>
      <c r="BB257" s="41">
        <v>1213.2653281638804</v>
      </c>
      <c r="BC257" s="41">
        <v>1634.31209539718</v>
      </c>
      <c r="BD257" s="41">
        <v>1926.2929967340065</v>
      </c>
      <c r="BE257" s="41">
        <v>2137.0251221180015</v>
      </c>
      <c r="BF257" s="41">
        <v>2281.4109729684101</v>
      </c>
      <c r="BG257" s="41">
        <v>2492.3366427746787</v>
      </c>
      <c r="BH257" s="41">
        <v>2615.0251344870044</v>
      </c>
      <c r="BI257" s="41">
        <v>2567.7992065688268</v>
      </c>
      <c r="BJ257" s="41">
        <v>1826.566919242164</v>
      </c>
      <c r="BK257" s="41">
        <v>1529.0828635133516</v>
      </c>
      <c r="BL257" s="41">
        <v>1719.0572100922243</v>
      </c>
      <c r="BM257" s="41">
        <v>1685.7649467508211</v>
      </c>
    </row>
    <row r="258" spans="1:65" x14ac:dyDescent="0.35">
      <c r="A258" s="41" t="s">
        <v>605</v>
      </c>
      <c r="B258" s="41" t="s">
        <v>606</v>
      </c>
      <c r="C258" s="41" t="s">
        <v>659</v>
      </c>
      <c r="D258" s="41" t="s">
        <v>660</v>
      </c>
      <c r="E258" s="41">
        <v>161.37529676034555</v>
      </c>
      <c r="F258" s="41">
        <v>170.38121086439426</v>
      </c>
      <c r="G258" s="41">
        <v>174.49607707134885</v>
      </c>
      <c r="H258" s="41">
        <v>162.80545247237745</v>
      </c>
      <c r="I258" s="41">
        <v>173.38734152104865</v>
      </c>
      <c r="J258" s="41">
        <v>175.65844773924516</v>
      </c>
      <c r="K258" s="41">
        <v>185.25395922597005</v>
      </c>
      <c r="L258" s="41">
        <v>180.3982493866794</v>
      </c>
      <c r="M258" s="41">
        <v>173.12746015812684</v>
      </c>
      <c r="N258" s="41">
        <v>185.89850946240159</v>
      </c>
      <c r="O258" s="41">
        <v>203.86515066131867</v>
      </c>
      <c r="P258" s="41">
        <v>219.16764875634729</v>
      </c>
      <c r="Q258" s="41">
        <v>298.18604265253265</v>
      </c>
      <c r="R258" s="41">
        <v>322.42086407386233</v>
      </c>
      <c r="S258" s="41">
        <v>347.96989852007664</v>
      </c>
      <c r="T258" s="41">
        <v>347.43286171161861</v>
      </c>
      <c r="U258" s="41">
        <v>339.13666797278597</v>
      </c>
      <c r="V258" s="41">
        <v>505.10871015527749</v>
      </c>
      <c r="W258" s="41">
        <v>616.53667600398705</v>
      </c>
      <c r="X258" s="41">
        <v>713.46786851478316</v>
      </c>
      <c r="Y258" s="41">
        <v>818.76916283465209</v>
      </c>
      <c r="Z258" s="41">
        <v>1006.3835335448817</v>
      </c>
      <c r="AA258" s="41">
        <v>1112.5050445780971</v>
      </c>
      <c r="AB258" s="41">
        <v>1186.5419481693564</v>
      </c>
      <c r="AC258" s="41">
        <v>1301.1196016205843</v>
      </c>
      <c r="AD258" s="41">
        <v>1393.6605186950151</v>
      </c>
      <c r="AE258" s="41">
        <v>1528.713579237829</v>
      </c>
      <c r="AF258" s="41">
        <v>1657.9070620594628</v>
      </c>
      <c r="AG258" s="41">
        <v>1884.1740361445991</v>
      </c>
      <c r="AH258" s="41">
        <v>2005.6317977997983</v>
      </c>
      <c r="AI258" s="41">
        <v>2236.1978124893399</v>
      </c>
      <c r="AJ258" s="41">
        <v>2364.5253834913483</v>
      </c>
      <c r="AK258" s="41">
        <v>2575.0693022628616</v>
      </c>
      <c r="AL258" s="41">
        <v>2650.1111426506664</v>
      </c>
      <c r="AM258" s="41">
        <v>2678.5093054445906</v>
      </c>
      <c r="AN258" s="41">
        <v>2924.8299973844432</v>
      </c>
      <c r="AO258" s="41">
        <v>3069.8247769453424</v>
      </c>
      <c r="AP258" s="41">
        <v>3223.2297175065605</v>
      </c>
      <c r="AQ258" s="41">
        <v>3465.6239253343338</v>
      </c>
      <c r="AR258" s="41">
        <v>3625.7205025706271</v>
      </c>
      <c r="AS258" s="41">
        <v>3676.3520922092921</v>
      </c>
      <c r="AT258" s="41">
        <v>3985.807612548921</v>
      </c>
      <c r="AU258" s="41">
        <v>4272.9560588851027</v>
      </c>
      <c r="AV258" s="41">
        <v>4447.9183121379538</v>
      </c>
      <c r="AW258" s="41">
        <v>4809.9343353674349</v>
      </c>
      <c r="AX258" s="41">
        <v>5070.3815206609424</v>
      </c>
      <c r="AY258" s="41">
        <v>5625.3994367472942</v>
      </c>
      <c r="AZ258" s="41">
        <v>6307.3136168347928</v>
      </c>
      <c r="BA258" s="41">
        <v>6415.3433052243945</v>
      </c>
      <c r="BB258" s="41">
        <v>6232.3716419549019</v>
      </c>
      <c r="BC258" s="41">
        <v>6292.4988539250498</v>
      </c>
      <c r="BD258" s="41">
        <v>6242.2529624671524</v>
      </c>
      <c r="BE258" s="41">
        <v>6390.3106315611494</v>
      </c>
      <c r="BF258" s="41">
        <v>6639.4848965919819</v>
      </c>
      <c r="BG258" s="41">
        <v>6684.3775472573652</v>
      </c>
      <c r="BH258" s="41">
        <v>6921.7024785815729</v>
      </c>
      <c r="BI258" s="41">
        <v>7074.5487647385025</v>
      </c>
      <c r="BJ258" s="41">
        <v>7213.0258570627875</v>
      </c>
      <c r="BK258" s="41">
        <v>7361.4009618001992</v>
      </c>
      <c r="BL258" s="41">
        <v>7457.2397757409462</v>
      </c>
      <c r="BM258" s="41">
        <v>7297.9123498740973</v>
      </c>
    </row>
    <row r="259" spans="1:65" x14ac:dyDescent="0.35">
      <c r="A259" s="41" t="s">
        <v>607</v>
      </c>
      <c r="B259" s="41" t="s">
        <v>608</v>
      </c>
      <c r="C259" s="41" t="s">
        <v>659</v>
      </c>
      <c r="D259" s="41" t="s">
        <v>660</v>
      </c>
      <c r="E259" s="41">
        <v>955.44641807470146</v>
      </c>
      <c r="F259" s="41">
        <v>970.35639839683938</v>
      </c>
      <c r="G259" s="41">
        <v>1023.355236774767</v>
      </c>
      <c r="H259" s="41">
        <v>1077.403050663424</v>
      </c>
      <c r="I259" s="41">
        <v>864.47122107213715</v>
      </c>
      <c r="J259" s="41">
        <v>869.53502253780903</v>
      </c>
      <c r="K259" s="41">
        <v>876.15392638284925</v>
      </c>
      <c r="L259" s="41">
        <v>892.87946484376391</v>
      </c>
      <c r="M259" s="41">
        <v>937.59867120331126</v>
      </c>
      <c r="N259" s="41">
        <v>930.92621234619401</v>
      </c>
      <c r="O259" s="41">
        <v>1014.4532632168198</v>
      </c>
      <c r="P259" s="41">
        <v>1105.6226782717065</v>
      </c>
      <c r="Q259" s="41">
        <v>1155.4040763404264</v>
      </c>
      <c r="R259" s="41">
        <v>1367.9122737931998</v>
      </c>
      <c r="S259" s="41">
        <v>2036.4378488491213</v>
      </c>
      <c r="T259" s="41">
        <v>2082.3100388475887</v>
      </c>
      <c r="U259" s="41">
        <v>2314.9903283047443</v>
      </c>
      <c r="V259" s="41">
        <v>2593.0764884404512</v>
      </c>
      <c r="W259" s="41">
        <v>2737.0016713000609</v>
      </c>
      <c r="X259" s="41">
        <v>3270.6009864120101</v>
      </c>
      <c r="Y259" s="41">
        <v>3893.6973462219539</v>
      </c>
      <c r="Z259" s="41">
        <v>4252.3375205566499</v>
      </c>
      <c r="AA259" s="41">
        <v>4228.9026479076729</v>
      </c>
      <c r="AB259" s="41">
        <v>4108.4810061545131</v>
      </c>
      <c r="AC259" s="41">
        <v>3555.8062326679396</v>
      </c>
      <c r="AD259" s="41">
        <v>3577.78343228627</v>
      </c>
      <c r="AE259" s="41">
        <v>3398.1321707332663</v>
      </c>
      <c r="AF259" s="41">
        <v>2634.2202500721432</v>
      </c>
      <c r="AG259" s="41">
        <v>3220.8619135991489</v>
      </c>
      <c r="AH259" s="41">
        <v>2270.9577986178092</v>
      </c>
      <c r="AI259" s="41">
        <v>2475.3804725457285</v>
      </c>
      <c r="AJ259" s="41">
        <v>2661.0338508338355</v>
      </c>
      <c r="AK259" s="41">
        <v>2938.1601966453063</v>
      </c>
      <c r="AL259" s="41">
        <v>2857.9386595176197</v>
      </c>
      <c r="AM259" s="41">
        <v>2720.3670626655962</v>
      </c>
      <c r="AN259" s="41">
        <v>3529.5891281788217</v>
      </c>
      <c r="AO259" s="41">
        <v>3151.2692782697382</v>
      </c>
      <c r="AP259" s="41">
        <v>3758.8449343974385</v>
      </c>
      <c r="AQ259" s="41">
        <v>3921.7184738400993</v>
      </c>
      <c r="AR259" s="41">
        <v>4127.1089814784791</v>
      </c>
      <c r="AS259" s="41">
        <v>4842.0366011482247</v>
      </c>
      <c r="AT259" s="41">
        <v>4986.6757883716746</v>
      </c>
      <c r="AU259" s="41">
        <v>3700.8797400637736</v>
      </c>
      <c r="AV259" s="41">
        <v>3272.6150236911812</v>
      </c>
      <c r="AW259" s="41">
        <v>4325.6967558755796</v>
      </c>
      <c r="AX259" s="41">
        <v>5504.9772404614769</v>
      </c>
      <c r="AY259" s="41">
        <v>6833.3789118026289</v>
      </c>
      <c r="AZ259" s="41">
        <v>8454.4695357102082</v>
      </c>
      <c r="BA259" s="41">
        <v>11432.745924725827</v>
      </c>
      <c r="BB259" s="41">
        <v>11765.099756607824</v>
      </c>
      <c r="BC259" s="41">
        <v>13825.357116081779</v>
      </c>
      <c r="BD259" s="41">
        <v>10955.538014182066</v>
      </c>
      <c r="BE259" s="41">
        <v>12986.222692149218</v>
      </c>
      <c r="BF259" s="41">
        <v>12457.76860176658</v>
      </c>
      <c r="BG259" s="41">
        <v>16055.645317382641</v>
      </c>
    </row>
    <row r="260" spans="1:65" x14ac:dyDescent="0.35">
      <c r="A260" s="41" t="s">
        <v>609</v>
      </c>
      <c r="B260" s="41" t="s">
        <v>610</v>
      </c>
      <c r="C260" s="41" t="s">
        <v>659</v>
      </c>
      <c r="D260" s="41" t="s">
        <v>660</v>
      </c>
    </row>
    <row r="261" spans="1:65" x14ac:dyDescent="0.35">
      <c r="A261" s="41" t="s">
        <v>611</v>
      </c>
      <c r="B261" s="41" t="s">
        <v>612</v>
      </c>
      <c r="C261" s="41" t="s">
        <v>659</v>
      </c>
      <c r="D261" s="41" t="s">
        <v>660</v>
      </c>
      <c r="AU261" s="41">
        <v>30126.533282953489</v>
      </c>
      <c r="AV261" s="41">
        <v>31823.418275655498</v>
      </c>
      <c r="AW261" s="41">
        <v>35024.800398281492</v>
      </c>
      <c r="AX261" s="41">
        <v>40930.172517127234</v>
      </c>
      <c r="AY261" s="41">
        <v>41561.701224519929</v>
      </c>
      <c r="AZ261" s="41">
        <v>44333.884083923316</v>
      </c>
      <c r="BA261" s="41">
        <v>39207.727151120416</v>
      </c>
      <c r="BB261" s="41">
        <v>38771.632043098041</v>
      </c>
      <c r="BC261" s="41">
        <v>40043.559714646952</v>
      </c>
      <c r="BD261" s="41">
        <v>39144.888724720659</v>
      </c>
      <c r="BE261" s="41">
        <v>37850.778274854885</v>
      </c>
      <c r="BF261" s="41">
        <v>34820.114586129341</v>
      </c>
      <c r="BG261" s="41">
        <v>33573.719434196624</v>
      </c>
      <c r="BH261" s="41">
        <v>34796.494355317882</v>
      </c>
      <c r="BI261" s="41">
        <v>36022.545481602741</v>
      </c>
      <c r="BJ261" s="41">
        <v>36287.879494039022</v>
      </c>
      <c r="BK261" s="41">
        <v>37233.296885075841</v>
      </c>
    </row>
    <row r="262" spans="1:65" x14ac:dyDescent="0.35">
      <c r="A262" s="41" t="s">
        <v>613</v>
      </c>
      <c r="B262" s="41" t="s">
        <v>614</v>
      </c>
      <c r="C262" s="41" t="s">
        <v>659</v>
      </c>
      <c r="D262" s="41" t="s">
        <v>660</v>
      </c>
      <c r="AD262" s="41">
        <v>231.45228582618338</v>
      </c>
      <c r="AE262" s="41">
        <v>422.7802976604753</v>
      </c>
      <c r="AF262" s="41">
        <v>575.46268268413235</v>
      </c>
      <c r="AG262" s="41">
        <v>390.41222344154755</v>
      </c>
      <c r="AH262" s="41">
        <v>94.564735238770638</v>
      </c>
      <c r="AI262" s="41">
        <v>95.18825998128429</v>
      </c>
      <c r="AJ262" s="41">
        <v>138.44745038101684</v>
      </c>
      <c r="AK262" s="41">
        <v>139.20012283306198</v>
      </c>
      <c r="AL262" s="41">
        <v>182.30840175911277</v>
      </c>
      <c r="AM262" s="41">
        <v>221.12917523053594</v>
      </c>
      <c r="AN262" s="41">
        <v>276.81266281538166</v>
      </c>
      <c r="AO262" s="41">
        <v>324.14722393058372</v>
      </c>
      <c r="AP262" s="41">
        <v>348.01740710017623</v>
      </c>
      <c r="AQ262" s="41">
        <v>348.32431726469093</v>
      </c>
      <c r="AR262" s="41">
        <v>362.91950280114224</v>
      </c>
      <c r="AS262" s="41">
        <v>390.09333093426619</v>
      </c>
      <c r="AT262" s="41">
        <v>404.80786122928225</v>
      </c>
      <c r="AU262" s="41">
        <v>430.05287241357286</v>
      </c>
      <c r="AV262" s="41">
        <v>480.57983425694897</v>
      </c>
      <c r="AW262" s="41">
        <v>546.90961901082881</v>
      </c>
      <c r="AX262" s="41">
        <v>687.47972739161128</v>
      </c>
      <c r="AY262" s="41">
        <v>784.37237593035377</v>
      </c>
      <c r="AZ262" s="41">
        <v>906.28422993851439</v>
      </c>
      <c r="BA262" s="41">
        <v>1149.4244952418335</v>
      </c>
      <c r="BB262" s="41">
        <v>1217.2685832576626</v>
      </c>
      <c r="BC262" s="41">
        <v>1317.8906462522066</v>
      </c>
      <c r="BD262" s="41">
        <v>1525.11902548642</v>
      </c>
      <c r="BE262" s="41">
        <v>1735.1521160079756</v>
      </c>
      <c r="BF262" s="41">
        <v>1886.6901700250137</v>
      </c>
      <c r="BG262" s="41">
        <v>2030.2784467369122</v>
      </c>
      <c r="BH262" s="41">
        <v>2085.10134910739</v>
      </c>
      <c r="BI262" s="41">
        <v>2192.1744824754542</v>
      </c>
      <c r="BJ262" s="41">
        <v>2365.5216150611423</v>
      </c>
      <c r="BK262" s="41">
        <v>2566.4474870062982</v>
      </c>
      <c r="BL262" s="41">
        <v>2715.2759801099546</v>
      </c>
      <c r="BM262" s="41">
        <v>2785.7241568750019</v>
      </c>
    </row>
    <row r="263" spans="1:65" x14ac:dyDescent="0.35">
      <c r="A263" s="41" t="s">
        <v>615</v>
      </c>
      <c r="B263" s="41" t="s">
        <v>616</v>
      </c>
      <c r="C263" s="41" t="s">
        <v>659</v>
      </c>
      <c r="D263" s="41" t="s">
        <v>660</v>
      </c>
      <c r="X263" s="41">
        <v>1059.6735055536515</v>
      </c>
      <c r="Y263" s="41">
        <v>1048.3355903152426</v>
      </c>
      <c r="Z263" s="41">
        <v>959.81134600543442</v>
      </c>
      <c r="AA263" s="41">
        <v>943.19438971702277</v>
      </c>
      <c r="AB263" s="41">
        <v>945.06657267279468</v>
      </c>
      <c r="AC263" s="41">
        <v>1137.1382783322276</v>
      </c>
      <c r="AD263" s="41">
        <v>1014.3659902236647</v>
      </c>
      <c r="AE263" s="41">
        <v>951.20563761880351</v>
      </c>
      <c r="AF263" s="41">
        <v>1024.9066584407426</v>
      </c>
      <c r="AG263" s="41">
        <v>1136.609998874158</v>
      </c>
      <c r="AH263" s="41">
        <v>1078.5162717101075</v>
      </c>
      <c r="AI263" s="41">
        <v>1152.1692460798108</v>
      </c>
      <c r="AJ263" s="41">
        <v>1335.8336035141208</v>
      </c>
      <c r="AK263" s="41">
        <v>1347.430173534812</v>
      </c>
      <c r="AL263" s="41">
        <v>1255.0900707251458</v>
      </c>
      <c r="AM263" s="41">
        <v>1423.8966019843401</v>
      </c>
      <c r="AN263" s="41">
        <v>1482.705562422366</v>
      </c>
      <c r="AO263" s="41">
        <v>1522.0622083881049</v>
      </c>
      <c r="AP263" s="41">
        <v>1559.4322399404393</v>
      </c>
      <c r="AQ263" s="41">
        <v>1473.6661144259645</v>
      </c>
      <c r="AR263" s="41">
        <v>1478.5857402407403</v>
      </c>
      <c r="AS263" s="41">
        <v>1470.6358699574291</v>
      </c>
      <c r="AT263" s="41">
        <v>1363.1850584297265</v>
      </c>
      <c r="AU263" s="41">
        <v>1354.1002428917984</v>
      </c>
      <c r="AV263" s="41">
        <v>1580.5756336527345</v>
      </c>
      <c r="AW263" s="41">
        <v>1788.1222063638982</v>
      </c>
      <c r="AX263" s="41">
        <v>1887.2265762755903</v>
      </c>
      <c r="AY263" s="41">
        <v>2049.53280915594</v>
      </c>
      <c r="AZ263" s="41">
        <v>2352.9732553572699</v>
      </c>
      <c r="BA263" s="41">
        <v>2629.0531242619363</v>
      </c>
      <c r="BB263" s="41">
        <v>2573.8890149617764</v>
      </c>
      <c r="BC263" s="41">
        <v>2839.4063403179807</v>
      </c>
      <c r="BD263" s="41">
        <v>3173.8220217500834</v>
      </c>
      <c r="BE263" s="41">
        <v>2997.2934319816954</v>
      </c>
      <c r="BF263" s="41">
        <v>2954.7745112565194</v>
      </c>
      <c r="BG263" s="41">
        <v>2926.6799599293154</v>
      </c>
      <c r="BH263" s="41">
        <v>2695.6661859797309</v>
      </c>
      <c r="BI263" s="41">
        <v>2805.6653201640415</v>
      </c>
      <c r="BJ263" s="41">
        <v>3082.4750830946582</v>
      </c>
      <c r="BK263" s="41">
        <v>3125.4049991895217</v>
      </c>
      <c r="BL263" s="41">
        <v>3102.3467898622739</v>
      </c>
      <c r="BM263" s="41">
        <v>2782.9843403731265</v>
      </c>
    </row>
    <row r="264" spans="1:65" x14ac:dyDescent="0.35">
      <c r="A264" s="41" t="s">
        <v>617</v>
      </c>
      <c r="B264" s="41" t="s">
        <v>618</v>
      </c>
      <c r="C264" s="41" t="s">
        <v>659</v>
      </c>
      <c r="D264" s="41" t="s">
        <v>660</v>
      </c>
      <c r="E264" s="41">
        <v>456.64805545898838</v>
      </c>
      <c r="F264" s="41">
        <v>468.92304955076929</v>
      </c>
      <c r="G264" s="41">
        <v>494.69249339016426</v>
      </c>
      <c r="H264" s="41">
        <v>522.04409523012714</v>
      </c>
      <c r="I264" s="41">
        <v>560.37963910912663</v>
      </c>
      <c r="J264" s="41">
        <v>597.93508569620133</v>
      </c>
      <c r="K264" s="41">
        <v>635.34171578424935</v>
      </c>
      <c r="L264" s="41">
        <v>662.74134697902355</v>
      </c>
      <c r="M264" s="41">
        <v>701.0025726993606</v>
      </c>
      <c r="N264" s="41">
        <v>757.57310342181734</v>
      </c>
      <c r="O264" s="41">
        <v>811.34904865592182</v>
      </c>
      <c r="P264" s="41">
        <v>877.65269279450433</v>
      </c>
      <c r="Q264" s="41">
        <v>991.84065901572296</v>
      </c>
      <c r="R264" s="41">
        <v>1185.2675738883261</v>
      </c>
      <c r="S264" s="41">
        <v>1340.1972559430362</v>
      </c>
      <c r="T264" s="41">
        <v>1465.6988280821067</v>
      </c>
      <c r="U264" s="41">
        <v>1566.8020892051557</v>
      </c>
      <c r="V264" s="41">
        <v>1741.6784885611723</v>
      </c>
      <c r="W264" s="41">
        <v>2016.2731362722739</v>
      </c>
      <c r="X264" s="41">
        <v>2301.7956143075135</v>
      </c>
      <c r="Y264" s="41">
        <v>2548.6994248099836</v>
      </c>
      <c r="Z264" s="41">
        <v>2592.5110677464431</v>
      </c>
      <c r="AA264" s="41">
        <v>2522.3190871214865</v>
      </c>
      <c r="AB264" s="41">
        <v>2527.641674656129</v>
      </c>
      <c r="AC264" s="41">
        <v>2576.3961712967175</v>
      </c>
      <c r="AD264" s="41">
        <v>2660.4995979827327</v>
      </c>
      <c r="AE264" s="41">
        <v>3089.4084998913008</v>
      </c>
      <c r="AF264" s="41">
        <v>3452.8851291464339</v>
      </c>
      <c r="AG264" s="41">
        <v>3794.6722017728816</v>
      </c>
      <c r="AH264" s="41">
        <v>3893.6725261282195</v>
      </c>
      <c r="AI264" s="41">
        <v>4310.9571847195421</v>
      </c>
      <c r="AJ264" s="41">
        <v>4458.1769532959152</v>
      </c>
      <c r="AK264" s="41">
        <v>4665.4452969679687</v>
      </c>
      <c r="AL264" s="41">
        <v>4668.6846602257328</v>
      </c>
      <c r="AM264" s="41">
        <v>4938.6973651263279</v>
      </c>
      <c r="AN264" s="41">
        <v>5411.8305706209112</v>
      </c>
      <c r="AO264" s="41">
        <v>5452.3429218610208</v>
      </c>
      <c r="AP264" s="41">
        <v>5357.631809924912</v>
      </c>
      <c r="AQ264" s="41">
        <v>5273.8576825927084</v>
      </c>
      <c r="AR264" s="41">
        <v>5399.4224279506489</v>
      </c>
      <c r="AS264" s="41">
        <v>5503.6729382804051</v>
      </c>
      <c r="AT264" s="41">
        <v>5400.2169947922393</v>
      </c>
      <c r="AU264" s="41">
        <v>5535.8250356392746</v>
      </c>
      <c r="AV264" s="41">
        <v>6131.6898184565871</v>
      </c>
      <c r="AW264" s="41">
        <v>6823.0941761492613</v>
      </c>
      <c r="AX264" s="41">
        <v>7299.9215389252968</v>
      </c>
      <c r="AY264" s="41">
        <v>7814.842891790352</v>
      </c>
      <c r="AZ264" s="41">
        <v>8698.9440184845553</v>
      </c>
      <c r="BA264" s="41">
        <v>9428.5249154810772</v>
      </c>
      <c r="BB264" s="41">
        <v>8836.3282059585163</v>
      </c>
      <c r="BC264" s="41">
        <v>9558.4855971673132</v>
      </c>
      <c r="BD264" s="41">
        <v>10492.803957166207</v>
      </c>
      <c r="BE264" s="41">
        <v>10608.951875869732</v>
      </c>
      <c r="BF264" s="41">
        <v>10785.970949029481</v>
      </c>
      <c r="BG264" s="41">
        <v>10954.736202716847</v>
      </c>
      <c r="BH264" s="41">
        <v>10251.099048968827</v>
      </c>
      <c r="BI264" s="41">
        <v>10292.600173341896</v>
      </c>
      <c r="BJ264" s="41">
        <v>10829.974938210262</v>
      </c>
      <c r="BK264" s="41">
        <v>11372.247818566295</v>
      </c>
      <c r="BL264" s="41">
        <v>11417.155023531626</v>
      </c>
      <c r="BM264" s="41">
        <v>10925.72785014858</v>
      </c>
    </row>
    <row r="265" spans="1:65" x14ac:dyDescent="0.35">
      <c r="A265" s="41" t="s">
        <v>619</v>
      </c>
      <c r="B265" s="41" t="s">
        <v>620</v>
      </c>
      <c r="C265" s="41" t="s">
        <v>659</v>
      </c>
      <c r="D265" s="41" t="s">
        <v>660</v>
      </c>
      <c r="AA265" s="41">
        <v>770.32155574184742</v>
      </c>
      <c r="AB265" s="41">
        <v>706.44998942169957</v>
      </c>
      <c r="AC265" s="41">
        <v>685.75029563948488</v>
      </c>
      <c r="AD265" s="41">
        <v>597.34474817066575</v>
      </c>
      <c r="AE265" s="41">
        <v>628.75484979807413</v>
      </c>
      <c r="AF265" s="41">
        <v>694.03910327641256</v>
      </c>
      <c r="AG265" s="41">
        <v>824.2975132526409</v>
      </c>
      <c r="AH265" s="41">
        <v>758.87615225394677</v>
      </c>
      <c r="AI265" s="41">
        <v>772.53432038279766</v>
      </c>
      <c r="AJ265" s="41">
        <v>765.83661842874949</v>
      </c>
      <c r="AK265" s="41">
        <v>799.46245309402627</v>
      </c>
      <c r="AL265" s="41">
        <v>796.58501047925506</v>
      </c>
      <c r="AM265" s="41">
        <v>1310.6847898136555</v>
      </c>
      <c r="AN265" s="41">
        <v>1322.3506696965803</v>
      </c>
      <c r="AO265" s="41">
        <v>1460.0471513391794</v>
      </c>
      <c r="AP265" s="41">
        <v>1659.1148222852389</v>
      </c>
      <c r="AQ265" s="41">
        <v>1559.1476645922801</v>
      </c>
      <c r="AR265" s="41">
        <v>1490.9263883737735</v>
      </c>
      <c r="AS265" s="41">
        <v>1542.0667358011617</v>
      </c>
      <c r="AT265" s="41">
        <v>1556.9994250869474</v>
      </c>
      <c r="AU265" s="41">
        <v>1633.0076607508411</v>
      </c>
      <c r="AV265" s="41">
        <v>1909.1544411989719</v>
      </c>
      <c r="AW265" s="41">
        <v>2353.4559727175556</v>
      </c>
      <c r="AX265" s="41">
        <v>2590.4898582285814</v>
      </c>
      <c r="AY265" s="41">
        <v>2796.6011688964527</v>
      </c>
      <c r="AZ265" s="41">
        <v>3133.6713266908237</v>
      </c>
      <c r="BA265" s="41">
        <v>3378.9530287515995</v>
      </c>
      <c r="BB265" s="41">
        <v>3168.2282066065404</v>
      </c>
      <c r="BC265" s="41">
        <v>3566.4582769549243</v>
      </c>
      <c r="BD265" s="41">
        <v>3933.4593571069086</v>
      </c>
      <c r="BE265" s="41">
        <v>4022.1778481880374</v>
      </c>
      <c r="BF265" s="41">
        <v>4037.6151682525933</v>
      </c>
      <c r="BG265" s="41">
        <v>3937.7791974509528</v>
      </c>
      <c r="BH265" s="41">
        <v>4073.7291641551865</v>
      </c>
      <c r="BI265" s="41">
        <v>4109.0595226183195</v>
      </c>
      <c r="BJ265" s="41">
        <v>4259.6341719161001</v>
      </c>
      <c r="BK265" s="41">
        <v>4188.571058319998</v>
      </c>
      <c r="BL265" s="41">
        <v>4324.10177421565</v>
      </c>
      <c r="BM265" s="41">
        <v>4067.4726295115188</v>
      </c>
    </row>
    <row r="266" spans="1:65" x14ac:dyDescent="0.35">
      <c r="A266" s="41" t="s">
        <v>621</v>
      </c>
      <c r="B266" s="41" t="s">
        <v>622</v>
      </c>
      <c r="C266" s="41" t="s">
        <v>659</v>
      </c>
      <c r="D266" s="41" t="s">
        <v>660</v>
      </c>
      <c r="AS266" s="41">
        <v>1087.7624012088665</v>
      </c>
      <c r="AT266" s="41">
        <v>1490.3610325022637</v>
      </c>
      <c r="AU266" s="41">
        <v>1413.5325870318795</v>
      </c>
      <c r="AV266" s="41">
        <v>1638.1047392165276</v>
      </c>
      <c r="AW266" s="41">
        <v>2086.5373254716246</v>
      </c>
      <c r="AX266" s="41">
        <v>2147.4642710537555</v>
      </c>
      <c r="AY266" s="41">
        <v>2237.1265978091778</v>
      </c>
      <c r="AZ266" s="41">
        <v>2685.9862218394942</v>
      </c>
      <c r="BA266" s="41">
        <v>3254.8202692610489</v>
      </c>
      <c r="BB266" s="41">
        <v>3209.6941085704675</v>
      </c>
      <c r="BC266" s="41">
        <v>3286.5574430990441</v>
      </c>
      <c r="BD266" s="41">
        <v>3741.875052073035</v>
      </c>
      <c r="BE266" s="41">
        <v>3596.8046546578084</v>
      </c>
      <c r="BF266" s="41">
        <v>3891.2663634386577</v>
      </c>
      <c r="BG266" s="41">
        <v>4080.3307172459486</v>
      </c>
      <c r="BH266" s="41">
        <v>3603.0255007313408</v>
      </c>
      <c r="BI266" s="41">
        <v>3780.0036886723333</v>
      </c>
      <c r="BJ266" s="41">
        <v>4045.6142088075735</v>
      </c>
      <c r="BK266" s="41">
        <v>4419.9143269844926</v>
      </c>
      <c r="BL266" s="41">
        <v>4445.8907024793534</v>
      </c>
      <c r="BM266" s="41">
        <v>4287.2009032680171</v>
      </c>
    </row>
    <row r="267" spans="1:65" x14ac:dyDescent="0.35">
      <c r="A267" s="41" t="s">
        <v>623</v>
      </c>
      <c r="B267" s="41" t="s">
        <v>624</v>
      </c>
      <c r="C267" s="41" t="s">
        <v>659</v>
      </c>
      <c r="D267" s="41" t="s">
        <v>660</v>
      </c>
      <c r="AI267" s="41">
        <v>482.24812111299815</v>
      </c>
      <c r="AJ267" s="41">
        <v>482.06057134431882</v>
      </c>
      <c r="AK267" s="41">
        <v>498.96338179446815</v>
      </c>
      <c r="AL267" s="41">
        <v>393.73905884142414</v>
      </c>
      <c r="AM267" s="41">
        <v>291.47207098579457</v>
      </c>
      <c r="AN267" s="41">
        <v>285.56959311790172</v>
      </c>
      <c r="AO267" s="41">
        <v>374.01143136172271</v>
      </c>
      <c r="AP267" s="41">
        <v>428.06059564575361</v>
      </c>
      <c r="AQ267" s="41">
        <v>384.49994035794157</v>
      </c>
      <c r="AR267" s="41">
        <v>451.5709252712935</v>
      </c>
      <c r="AS267" s="41">
        <v>554.44866527605359</v>
      </c>
      <c r="AT267" s="41">
        <v>550.36036453653162</v>
      </c>
      <c r="AU267" s="41">
        <v>579.8531406020943</v>
      </c>
      <c r="AV267" s="41">
        <v>620.38272599457525</v>
      </c>
      <c r="AW267" s="41">
        <v>709.96537880615983</v>
      </c>
      <c r="AX267" s="41">
        <v>832.84419868790917</v>
      </c>
      <c r="AY267" s="41">
        <v>921.41835486217451</v>
      </c>
      <c r="AZ267" s="41">
        <v>1017.2920484972874</v>
      </c>
      <c r="BA267" s="41">
        <v>1229.2466747670826</v>
      </c>
      <c r="BB267" s="41">
        <v>1116.0843960336069</v>
      </c>
      <c r="BC267" s="41">
        <v>1334.7849022594139</v>
      </c>
      <c r="BD267" s="41">
        <v>1374.621400605168</v>
      </c>
      <c r="BE267" s="41">
        <v>1446.5364717289856</v>
      </c>
      <c r="BF267" s="41">
        <v>1607.1521732589838</v>
      </c>
      <c r="BG267" s="41">
        <v>1674.0025716637192</v>
      </c>
      <c r="BH267" s="41">
        <v>1601.830062811621</v>
      </c>
      <c r="BI267" s="41">
        <v>1138.6037234092985</v>
      </c>
      <c r="BJ267" s="41">
        <v>960.52884801537823</v>
      </c>
      <c r="BK267" s="41">
        <v>824.11771796562675</v>
      </c>
    </row>
    <row r="268" spans="1:65" x14ac:dyDescent="0.35">
      <c r="A268" s="41" t="s">
        <v>7</v>
      </c>
      <c r="B268" s="41" t="s">
        <v>625</v>
      </c>
      <c r="C268" s="41" t="s">
        <v>659</v>
      </c>
      <c r="D268" s="41" t="s">
        <v>660</v>
      </c>
      <c r="E268" s="41">
        <v>443.00991968711736</v>
      </c>
      <c r="F268" s="41">
        <v>454.96201320457061</v>
      </c>
      <c r="G268" s="41">
        <v>473.01140478768764</v>
      </c>
      <c r="H268" s="41">
        <v>511.49736359513912</v>
      </c>
      <c r="I268" s="41">
        <v>548.99605784045366</v>
      </c>
      <c r="J268" s="41">
        <v>584.70416265548658</v>
      </c>
      <c r="K268" s="41">
        <v>621.22054339653732</v>
      </c>
      <c r="L268" s="41">
        <v>675.13534514485195</v>
      </c>
      <c r="M268" s="41">
        <v>711.22574244264979</v>
      </c>
      <c r="N268" s="41">
        <v>780.62591868005893</v>
      </c>
      <c r="O268" s="41">
        <v>834.55250286686874</v>
      </c>
      <c r="P268" s="41">
        <v>897.13009382260452</v>
      </c>
      <c r="Q268" s="41">
        <v>917.35585479004419</v>
      </c>
      <c r="R268" s="41">
        <v>1225.0894683308027</v>
      </c>
      <c r="S268" s="41">
        <v>1499.1410679970197</v>
      </c>
      <c r="T268" s="41">
        <v>1512.7709650026054</v>
      </c>
      <c r="U268" s="41">
        <v>1416.7088209985131</v>
      </c>
      <c r="V268" s="41">
        <v>1535.1187814646566</v>
      </c>
      <c r="W268" s="41">
        <v>1722.2266302226603</v>
      </c>
      <c r="X268" s="41">
        <v>2071.5509312528702</v>
      </c>
      <c r="Y268" s="41">
        <v>2905.8076414855514</v>
      </c>
      <c r="Z268" s="41">
        <v>2913.2425507784505</v>
      </c>
      <c r="AA268" s="41">
        <v>2601.0578612258205</v>
      </c>
      <c r="AB268" s="41">
        <v>2820.4337174536818</v>
      </c>
      <c r="AC268" s="41">
        <v>2429.0275003472352</v>
      </c>
      <c r="AD268" s="41">
        <v>1807.9764678419961</v>
      </c>
      <c r="AE268" s="41">
        <v>2015.8135672598805</v>
      </c>
      <c r="AF268" s="41">
        <v>2582.4946715323754</v>
      </c>
      <c r="AG268" s="41">
        <v>2711.515300475492</v>
      </c>
      <c r="AH268" s="41">
        <v>2756.2121479786329</v>
      </c>
      <c r="AI268" s="41">
        <v>3139.9662248384011</v>
      </c>
      <c r="AJ268" s="41">
        <v>3285.9723260932979</v>
      </c>
      <c r="AK268" s="41">
        <v>3479.0832048177399</v>
      </c>
      <c r="AL268" s="41">
        <v>3388.7720844666246</v>
      </c>
      <c r="AM268" s="41">
        <v>3445.2282810658035</v>
      </c>
      <c r="AN268" s="41">
        <v>3751.8385405358354</v>
      </c>
      <c r="AO268" s="41">
        <v>3494.4238591389949</v>
      </c>
      <c r="AP268" s="41">
        <v>3549.5506994851912</v>
      </c>
      <c r="AQ268" s="41">
        <v>3154.0118155322575</v>
      </c>
      <c r="AR268" s="41">
        <v>3081.5613845698035</v>
      </c>
      <c r="AS268" s="41">
        <v>3032.4391816078332</v>
      </c>
      <c r="AT268" s="41">
        <v>2666.4750270118616</v>
      </c>
      <c r="AU268" s="41">
        <v>2502.2770046533728</v>
      </c>
      <c r="AV268" s="41">
        <v>3751.2822510274291</v>
      </c>
      <c r="AW268" s="41">
        <v>4833.6275166071382</v>
      </c>
      <c r="AX268" s="41">
        <v>5383.6572171451362</v>
      </c>
      <c r="AY268" s="41">
        <v>5602.0104661521818</v>
      </c>
      <c r="AZ268" s="41">
        <v>6095.6215701902565</v>
      </c>
      <c r="BA268" s="41">
        <v>5760.8051715117917</v>
      </c>
      <c r="BB268" s="41">
        <v>5862.797107915937</v>
      </c>
      <c r="BC268" s="41">
        <v>7328.6151996708395</v>
      </c>
      <c r="BD268" s="41">
        <v>8007.4764390840373</v>
      </c>
      <c r="BE268" s="41">
        <v>7501.6610963967623</v>
      </c>
      <c r="BF268" s="41">
        <v>6832.7255460029528</v>
      </c>
      <c r="BG268" s="41">
        <v>6433.4004023658463</v>
      </c>
      <c r="BH268" s="41">
        <v>5734.6334220758717</v>
      </c>
      <c r="BI268" s="41">
        <v>5272.5436481982961</v>
      </c>
      <c r="BJ268" s="41">
        <v>6131.4794496088562</v>
      </c>
      <c r="BK268" s="41">
        <v>6372.6056549934538</v>
      </c>
      <c r="BL268" s="41">
        <v>6001.401121406795</v>
      </c>
      <c r="BM268" s="41">
        <v>5090.7150245529228</v>
      </c>
    </row>
    <row r="269" spans="1:65" x14ac:dyDescent="0.35">
      <c r="A269" s="41" t="s">
        <v>62</v>
      </c>
      <c r="B269" s="41" t="s">
        <v>626</v>
      </c>
      <c r="C269" s="41" t="s">
        <v>659</v>
      </c>
      <c r="D269" s="41" t="s">
        <v>660</v>
      </c>
      <c r="E269" s="41">
        <v>232.18856446896228</v>
      </c>
      <c r="F269" s="41">
        <v>220.04206713134036</v>
      </c>
      <c r="G269" s="41">
        <v>212.57844909300374</v>
      </c>
      <c r="H269" s="41">
        <v>213.89675890927194</v>
      </c>
      <c r="I269" s="41">
        <v>242.38447251079171</v>
      </c>
      <c r="J269" s="41">
        <v>303.28174049469817</v>
      </c>
      <c r="K269" s="41">
        <v>343.37366997506876</v>
      </c>
      <c r="L269" s="41">
        <v>360.20123874469868</v>
      </c>
      <c r="M269" s="41">
        <v>409.77534934979832</v>
      </c>
      <c r="N269" s="41">
        <v>485.87261804126956</v>
      </c>
      <c r="O269" s="41">
        <v>436.76923536566682</v>
      </c>
      <c r="P269" s="41">
        <v>390.57923803940798</v>
      </c>
      <c r="Q269" s="41">
        <v>427.81942597668382</v>
      </c>
      <c r="R269" s="41">
        <v>491.11164005713238</v>
      </c>
      <c r="S269" s="41">
        <v>653.27869104029901</v>
      </c>
      <c r="T269" s="41">
        <v>529.74284208248548</v>
      </c>
      <c r="U269" s="41">
        <v>537.22068722392419</v>
      </c>
      <c r="V269" s="41">
        <v>469.59420101279534</v>
      </c>
      <c r="W269" s="41">
        <v>514.49190683908716</v>
      </c>
      <c r="X269" s="41">
        <v>587.94461598845146</v>
      </c>
      <c r="Y269" s="41">
        <v>654.41201349734388</v>
      </c>
      <c r="Z269" s="41">
        <v>639.54348331448227</v>
      </c>
      <c r="AA269" s="41">
        <v>637.54569043460333</v>
      </c>
      <c r="AB269" s="41">
        <v>496.19775357895321</v>
      </c>
      <c r="AC269" s="41">
        <v>408.77792014954827</v>
      </c>
      <c r="AD269" s="41">
        <v>329.51167077695419</v>
      </c>
      <c r="AE269" s="41">
        <v>232.53908728372366</v>
      </c>
      <c r="AF269" s="41">
        <v>307.87271610474198</v>
      </c>
      <c r="AG269" s="41">
        <v>488.74473502933233</v>
      </c>
      <c r="AH269" s="41">
        <v>511.32172994055782</v>
      </c>
      <c r="AI269" s="41">
        <v>408.76933127701511</v>
      </c>
      <c r="AJ269" s="41">
        <v>409.72727546505195</v>
      </c>
      <c r="AK269" s="41">
        <v>376.4988189703152</v>
      </c>
      <c r="AL269" s="41">
        <v>378.12555921744797</v>
      </c>
      <c r="AM269" s="41">
        <v>412.26075205640984</v>
      </c>
      <c r="AN269" s="41">
        <v>418.51502470601082</v>
      </c>
      <c r="AO269" s="41">
        <v>385.15215220125674</v>
      </c>
      <c r="AP269" s="41">
        <v>448.37016010169697</v>
      </c>
      <c r="AQ269" s="41">
        <v>358.55595889912718</v>
      </c>
      <c r="AR269" s="41">
        <v>335.7122914020772</v>
      </c>
      <c r="AS269" s="41">
        <v>345.68962074986064</v>
      </c>
      <c r="AT269" s="41">
        <v>382.94103523525666</v>
      </c>
      <c r="AU269" s="41">
        <v>382.24196334227815</v>
      </c>
      <c r="AV269" s="41">
        <v>435.45819937794721</v>
      </c>
      <c r="AW269" s="41">
        <v>538.59155303837372</v>
      </c>
      <c r="AX269" s="41">
        <v>702.74111844777917</v>
      </c>
      <c r="AY269" s="41">
        <v>1047.9188431216985</v>
      </c>
      <c r="AZ269" s="41">
        <v>1124.2905859769212</v>
      </c>
      <c r="BA269" s="41">
        <v>1394.0004999719265</v>
      </c>
      <c r="BB269" s="41">
        <v>1159.9074988341035</v>
      </c>
      <c r="BC269" s="41">
        <v>1489.4590868941675</v>
      </c>
      <c r="BD269" s="41">
        <v>1672.9075352619325</v>
      </c>
      <c r="BE269" s="41">
        <v>1763.0694424990347</v>
      </c>
      <c r="BF269" s="41">
        <v>1878.3468105066079</v>
      </c>
      <c r="BG269" s="41">
        <v>1762.4278169247377</v>
      </c>
      <c r="BH269" s="41">
        <v>1338.2909270818832</v>
      </c>
      <c r="BI269" s="41">
        <v>1280.8065425760392</v>
      </c>
      <c r="BJ269" s="41">
        <v>1535.1965739819809</v>
      </c>
      <c r="BK269" s="41">
        <v>1516.3711000915446</v>
      </c>
      <c r="BL269" s="41">
        <v>1305.0022135408724</v>
      </c>
      <c r="BM269" s="41">
        <v>1050.9192830574118</v>
      </c>
    </row>
    <row r="270" spans="1:65" x14ac:dyDescent="0.35">
      <c r="A270" s="41" t="s">
        <v>627</v>
      </c>
      <c r="B270" s="41" t="s">
        <v>628</v>
      </c>
      <c r="C270" s="41" t="s">
        <v>659</v>
      </c>
      <c r="D270" s="41" t="s">
        <v>660</v>
      </c>
      <c r="E270" s="41">
        <v>278.81384676854981</v>
      </c>
      <c r="F270" s="41">
        <v>280.82866287088626</v>
      </c>
      <c r="G270" s="41">
        <v>276.68823277032703</v>
      </c>
      <c r="H270" s="41">
        <v>277.47971510934195</v>
      </c>
      <c r="I270" s="41">
        <v>281.55889604414119</v>
      </c>
      <c r="J270" s="41">
        <v>293.30878797489163</v>
      </c>
      <c r="K270" s="41">
        <v>277.23453174544812</v>
      </c>
      <c r="L270" s="41">
        <v>292.27053291700008</v>
      </c>
      <c r="M270" s="41">
        <v>299.39893575367051</v>
      </c>
      <c r="N270" s="41">
        <v>341.98538696220902</v>
      </c>
      <c r="O270" s="41">
        <v>356.22899537784878</v>
      </c>
      <c r="P270" s="41">
        <v>397.79533531082285</v>
      </c>
      <c r="Q270" s="41">
        <v>471.93690281523476</v>
      </c>
      <c r="R270" s="41">
        <v>563.0330782743323</v>
      </c>
      <c r="S270" s="41">
        <v>654.41419156829215</v>
      </c>
      <c r="T270" s="41">
        <v>694.53249389287203</v>
      </c>
      <c r="U270" s="41">
        <v>664.10275574288676</v>
      </c>
      <c r="V270" s="41">
        <v>650.1557987881406</v>
      </c>
      <c r="W270" s="41">
        <v>627.96711759287575</v>
      </c>
      <c r="X270" s="41">
        <v>723.10673390483078</v>
      </c>
      <c r="Y270" s="41">
        <v>901.49841468665602</v>
      </c>
      <c r="Z270" s="41">
        <v>1043.7480571505848</v>
      </c>
      <c r="AA270" s="41">
        <v>1073.0641163202058</v>
      </c>
      <c r="AB270" s="41">
        <v>940.5579529642705</v>
      </c>
      <c r="AC270" s="41">
        <v>741.87500051096333</v>
      </c>
      <c r="AD270" s="41">
        <v>635.00605858255642</v>
      </c>
      <c r="AE270" s="41">
        <v>675.80677488953984</v>
      </c>
      <c r="AF270" s="41">
        <v>707.57554001689061</v>
      </c>
      <c r="AG270" s="41">
        <v>793.449258304973</v>
      </c>
      <c r="AH270" s="41">
        <v>816.07676574368043</v>
      </c>
      <c r="AI270" s="41">
        <v>841.97395826793218</v>
      </c>
      <c r="AJ270" s="41">
        <v>809.0511401171126</v>
      </c>
      <c r="AK270" s="41">
        <v>619.37208264823551</v>
      </c>
      <c r="AL270" s="41">
        <v>591.71968240589035</v>
      </c>
      <c r="AM270" s="41">
        <v>611.86527637973199</v>
      </c>
      <c r="AN270" s="41">
        <v>623.20958509107356</v>
      </c>
      <c r="AO270" s="41">
        <v>741.09585515909725</v>
      </c>
      <c r="AP270" s="41">
        <v>731.94762595923839</v>
      </c>
      <c r="AQ270" s="41">
        <v>544.98383810988241</v>
      </c>
      <c r="AR270" s="41">
        <v>580.07057088883596</v>
      </c>
      <c r="AS270" s="41">
        <v>563.05750410596931</v>
      </c>
      <c r="AT270" s="41">
        <v>568.38629053264924</v>
      </c>
      <c r="AU270" s="41">
        <v>530.53044625892971</v>
      </c>
      <c r="AV270" s="41">
        <v>478.00760443453754</v>
      </c>
      <c r="AW270" s="41">
        <v>482.99845148603845</v>
      </c>
      <c r="AX270" s="41">
        <v>476.55540252438226</v>
      </c>
      <c r="AY270" s="41">
        <v>447.8547399464407</v>
      </c>
      <c r="AZ270" s="41">
        <v>431.78725872884286</v>
      </c>
      <c r="BA270" s="41">
        <v>356.69323440030507</v>
      </c>
      <c r="BB270" s="41">
        <v>771.59903229545478</v>
      </c>
      <c r="BC270" s="41">
        <v>948.33148103345729</v>
      </c>
      <c r="BD270" s="41">
        <v>1093.6534085581693</v>
      </c>
      <c r="BE270" s="41">
        <v>1304.9680106569892</v>
      </c>
      <c r="BF270" s="41">
        <v>1429.998461466784</v>
      </c>
      <c r="BG270" s="41">
        <v>1434.8962773180556</v>
      </c>
      <c r="BH270" s="41">
        <v>1445.0697021319843</v>
      </c>
      <c r="BI270" s="41">
        <v>1464.5889571584091</v>
      </c>
      <c r="BJ270" s="41">
        <v>1335.6650643253172</v>
      </c>
      <c r="BK270" s="41">
        <v>1352.1626531056236</v>
      </c>
      <c r="BL270" s="41">
        <v>1156.1548636013904</v>
      </c>
      <c r="BM270" s="41">
        <v>1128.2107112980821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E8D1-70F7-034C-915B-15FC55280C0A}">
  <dimension ref="A3:Q25"/>
  <sheetViews>
    <sheetView topLeftCell="H7" workbookViewId="0">
      <selection activeCell="F35" sqref="F35"/>
    </sheetView>
  </sheetViews>
  <sheetFormatPr defaultColWidth="10.6640625" defaultRowHeight="15.5" x14ac:dyDescent="0.35"/>
  <cols>
    <col min="1" max="1" width="10.83203125" style="1"/>
    <col min="2" max="2" width="34.6640625" bestFit="1" customWidth="1"/>
    <col min="10" max="10" width="14.1640625" customWidth="1"/>
  </cols>
  <sheetData>
    <row r="3" spans="1:17" ht="62" x14ac:dyDescent="0.35">
      <c r="A3" s="4" t="s">
        <v>19</v>
      </c>
      <c r="B3" s="5" t="s">
        <v>20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4</v>
      </c>
      <c r="L3" s="6" t="s">
        <v>5</v>
      </c>
      <c r="M3" s="6" t="s">
        <v>25</v>
      </c>
      <c r="N3" s="6" t="s">
        <v>35</v>
      </c>
      <c r="O3" s="7" t="s">
        <v>18</v>
      </c>
      <c r="P3" s="18" t="s">
        <v>63</v>
      </c>
    </row>
    <row r="4" spans="1:17" x14ac:dyDescent="0.35">
      <c r="A4" s="2">
        <v>1</v>
      </c>
      <c r="B4" s="3" t="s">
        <v>6</v>
      </c>
      <c r="C4" s="8"/>
      <c r="D4" s="8">
        <v>12679.06</v>
      </c>
      <c r="E4" s="8">
        <v>3577.84</v>
      </c>
      <c r="F4" s="8">
        <v>3577.84</v>
      </c>
      <c r="G4" s="8"/>
      <c r="H4" s="8">
        <v>3577.84</v>
      </c>
      <c r="I4" s="8">
        <v>3577.84</v>
      </c>
      <c r="J4" s="8">
        <v>3577.84</v>
      </c>
      <c r="K4" s="8"/>
      <c r="L4" s="8"/>
      <c r="M4" s="8"/>
      <c r="N4" s="8"/>
      <c r="O4" s="3">
        <v>2021</v>
      </c>
      <c r="P4" t="s">
        <v>66</v>
      </c>
      <c r="Q4" s="9"/>
    </row>
    <row r="5" spans="1:17" x14ac:dyDescent="0.35">
      <c r="A5" s="2">
        <v>2</v>
      </c>
      <c r="B5" s="3" t="s">
        <v>7</v>
      </c>
      <c r="C5" s="8">
        <v>70131.642857142855</v>
      </c>
      <c r="D5" s="8">
        <v>93060.642857142855</v>
      </c>
      <c r="E5" s="8">
        <v>32982.785714285717</v>
      </c>
      <c r="F5" s="8">
        <v>32982.785714285717</v>
      </c>
      <c r="G5" s="8"/>
      <c r="H5" s="8">
        <v>55266.428571428572</v>
      </c>
      <c r="I5" s="8"/>
      <c r="J5" s="8">
        <v>39012.857142857145</v>
      </c>
      <c r="K5" s="8"/>
      <c r="L5" s="8">
        <v>3000</v>
      </c>
      <c r="M5" s="8">
        <v>39012.857142857145</v>
      </c>
      <c r="N5" s="8"/>
      <c r="O5" s="3">
        <v>2020</v>
      </c>
      <c r="P5" t="s">
        <v>66</v>
      </c>
    </row>
    <row r="6" spans="1:17" x14ac:dyDescent="0.35">
      <c r="A6" s="2">
        <v>3</v>
      </c>
      <c r="B6" s="3" t="s">
        <v>8</v>
      </c>
      <c r="C6" s="8">
        <v>38320.080000000002</v>
      </c>
      <c r="D6" s="8">
        <v>49800</v>
      </c>
      <c r="E6" s="8">
        <v>12002.4</v>
      </c>
      <c r="F6" s="8">
        <v>12002.4</v>
      </c>
      <c r="G6" s="8">
        <v>38320.080000000002</v>
      </c>
      <c r="H6" s="8">
        <v>32760</v>
      </c>
      <c r="I6" s="8">
        <v>9840</v>
      </c>
      <c r="J6" s="8"/>
      <c r="K6" s="8">
        <v>9840</v>
      </c>
      <c r="L6" s="8">
        <v>240</v>
      </c>
      <c r="M6" s="8"/>
      <c r="N6" s="8">
        <v>12006</v>
      </c>
      <c r="O6" s="3">
        <v>2019</v>
      </c>
      <c r="P6" t="s">
        <v>64</v>
      </c>
    </row>
    <row r="7" spans="1:17" x14ac:dyDescent="0.35">
      <c r="A7" s="2">
        <v>4</v>
      </c>
      <c r="B7" s="3" t="s">
        <v>9</v>
      </c>
      <c r="C7" s="8">
        <v>67042.774658027367</v>
      </c>
      <c r="D7" s="8">
        <v>71841.183585313178</v>
      </c>
      <c r="E7" s="8">
        <v>50651.83585313175</v>
      </c>
      <c r="F7" s="8">
        <v>50651.83585313175</v>
      </c>
      <c r="G7" s="8">
        <v>65003.37796976242</v>
      </c>
      <c r="H7" s="8">
        <v>45703.887688984876</v>
      </c>
      <c r="I7" s="8"/>
      <c r="J7" s="8">
        <v>29543.77537796976</v>
      </c>
      <c r="K7" s="8">
        <v>23780.74082073434</v>
      </c>
      <c r="L7" s="8"/>
      <c r="M7" s="8">
        <v>19659.896328293737</v>
      </c>
      <c r="N7" s="8"/>
      <c r="O7" s="3">
        <v>2019</v>
      </c>
      <c r="P7" t="s">
        <v>66</v>
      </c>
    </row>
    <row r="8" spans="1:17" x14ac:dyDescent="0.35">
      <c r="A8" s="2">
        <v>5</v>
      </c>
      <c r="B8" s="3" t="s">
        <v>10</v>
      </c>
      <c r="C8" s="8">
        <v>28693.57</v>
      </c>
      <c r="D8" s="8">
        <v>33928.980000000003</v>
      </c>
      <c r="E8" s="8">
        <v>9854.51</v>
      </c>
      <c r="F8" s="8">
        <v>9854.51</v>
      </c>
      <c r="G8" s="8">
        <v>28693.57</v>
      </c>
      <c r="H8" s="8">
        <v>17959.95</v>
      </c>
      <c r="I8" s="8">
        <v>12188.43</v>
      </c>
      <c r="J8" s="8">
        <v>12188.43</v>
      </c>
      <c r="K8" s="8">
        <v>12188.43</v>
      </c>
      <c r="L8" s="8">
        <v>2190.85</v>
      </c>
      <c r="M8" s="8">
        <v>12188.43</v>
      </c>
      <c r="N8" s="8"/>
      <c r="O8" s="3">
        <v>2020</v>
      </c>
      <c r="P8" t="s">
        <v>66</v>
      </c>
    </row>
    <row r="9" spans="1:17" x14ac:dyDescent="0.35">
      <c r="A9" s="2">
        <v>6</v>
      </c>
      <c r="B9" s="3" t="s">
        <v>11</v>
      </c>
      <c r="C9" s="8">
        <v>4350</v>
      </c>
      <c r="D9" s="8">
        <v>5391</v>
      </c>
      <c r="E9" s="8">
        <v>3030.4285714285716</v>
      </c>
      <c r="F9" s="8">
        <v>3881.1428571428573</v>
      </c>
      <c r="G9" s="8">
        <v>4350</v>
      </c>
      <c r="H9" s="8">
        <v>3881.1428571428573</v>
      </c>
      <c r="I9" s="8">
        <v>3030.4285714285716</v>
      </c>
      <c r="J9" s="8">
        <v>3881.1428571428573</v>
      </c>
      <c r="K9" s="8">
        <v>3030.4285714285716</v>
      </c>
      <c r="L9" s="8">
        <v>2654.1428571428573</v>
      </c>
      <c r="M9" s="8"/>
      <c r="N9" s="8">
        <v>3881.14</v>
      </c>
      <c r="O9" s="3">
        <v>2019</v>
      </c>
      <c r="P9" t="s">
        <v>66</v>
      </c>
    </row>
    <row r="10" spans="1:17" x14ac:dyDescent="0.35">
      <c r="A10" s="2">
        <v>7</v>
      </c>
      <c r="B10" s="3" t="s">
        <v>12</v>
      </c>
      <c r="C10" s="8">
        <v>9452.5853167774221</v>
      </c>
      <c r="D10" s="8">
        <v>28720.192740462258</v>
      </c>
      <c r="E10" s="8">
        <v>4501.6988846318236</v>
      </c>
      <c r="F10" s="8">
        <v>4501.6988846318236</v>
      </c>
      <c r="G10" s="8">
        <v>23570.082867808636</v>
      </c>
      <c r="H10" s="8">
        <v>10373.291678801197</v>
      </c>
      <c r="I10" s="8">
        <v>4951.3542135500784</v>
      </c>
      <c r="J10" s="8">
        <v>7406.5711789468114</v>
      </c>
      <c r="K10" s="8">
        <v>2446.2732179260734</v>
      </c>
      <c r="L10" s="8">
        <v>18.910955873175567</v>
      </c>
      <c r="M10" s="8">
        <v>3928.3471446347726</v>
      </c>
      <c r="N10" s="8">
        <v>6394.1762324585125</v>
      </c>
      <c r="O10" s="3">
        <v>2019</v>
      </c>
      <c r="P10" t="s">
        <v>66</v>
      </c>
    </row>
    <row r="11" spans="1:17" x14ac:dyDescent="0.35">
      <c r="A11" s="2">
        <v>8</v>
      </c>
      <c r="B11" s="3" t="s">
        <v>13</v>
      </c>
      <c r="C11" s="8">
        <v>19953.72</v>
      </c>
      <c r="D11" s="8">
        <v>38849.64</v>
      </c>
      <c r="E11" s="8">
        <v>10987.2</v>
      </c>
      <c r="F11" s="8">
        <v>11821.2</v>
      </c>
      <c r="G11" s="8">
        <v>38849.64</v>
      </c>
      <c r="H11" s="8">
        <v>16211.28</v>
      </c>
      <c r="I11" s="8">
        <v>13106.4</v>
      </c>
      <c r="J11" s="8">
        <v>7501.68</v>
      </c>
      <c r="K11" s="8">
        <v>9106.8975950291842</v>
      </c>
      <c r="L11" s="8"/>
      <c r="M11" s="8">
        <v>15213.59</v>
      </c>
      <c r="N11" s="8">
        <v>11461.673222100051</v>
      </c>
      <c r="O11" s="3">
        <v>2020</v>
      </c>
      <c r="P11" t="s">
        <v>64</v>
      </c>
    </row>
    <row r="12" spans="1:17" x14ac:dyDescent="0.35">
      <c r="A12" s="2">
        <v>9</v>
      </c>
      <c r="B12" s="3" t="s">
        <v>14</v>
      </c>
      <c r="C12" s="8">
        <v>11152.243764705881</v>
      </c>
      <c r="D12" s="8">
        <v>18315.523764705882</v>
      </c>
      <c r="E12" s="8">
        <v>4623.8823529411766</v>
      </c>
      <c r="F12" s="8">
        <v>4635.0635294117646</v>
      </c>
      <c r="G12" s="8">
        <v>4623.8823529411766</v>
      </c>
      <c r="H12" s="8">
        <v>7682.9689411764712</v>
      </c>
      <c r="I12" s="8">
        <v>4623.8823529411766</v>
      </c>
      <c r="J12" s="8"/>
      <c r="K12" s="8">
        <v>4623.8823529411766</v>
      </c>
      <c r="L12" s="8"/>
      <c r="M12" s="8">
        <v>4623.8823529411766</v>
      </c>
      <c r="N12" s="8">
        <v>4623.8823529411766</v>
      </c>
      <c r="O12" s="3">
        <v>2019</v>
      </c>
      <c r="P12" t="s">
        <v>66</v>
      </c>
    </row>
    <row r="13" spans="1:17" x14ac:dyDescent="0.35">
      <c r="A13" s="2">
        <v>10</v>
      </c>
      <c r="B13" s="3" t="s">
        <v>15</v>
      </c>
      <c r="C13" s="8">
        <v>40332.199999999997</v>
      </c>
      <c r="D13" s="8">
        <v>68600.559615384613</v>
      </c>
      <c r="E13" s="8">
        <v>29923.9</v>
      </c>
      <c r="F13" s="8">
        <v>18169.011664643192</v>
      </c>
      <c r="G13" s="8">
        <v>40332.199999999997</v>
      </c>
      <c r="H13" s="8">
        <v>33827</v>
      </c>
      <c r="I13" s="8">
        <v>33827</v>
      </c>
      <c r="J13" s="8">
        <v>33827</v>
      </c>
      <c r="K13" s="8">
        <v>18248.400000000001</v>
      </c>
      <c r="L13" s="8">
        <v>6691.2</v>
      </c>
      <c r="M13" s="8">
        <v>22628.400000000001</v>
      </c>
      <c r="N13" s="8">
        <v>10736.234165470978</v>
      </c>
      <c r="O13" s="3">
        <v>2019</v>
      </c>
      <c r="P13" t="s">
        <v>65</v>
      </c>
    </row>
    <row r="14" spans="1:17" x14ac:dyDescent="0.35">
      <c r="A14" s="2">
        <v>11</v>
      </c>
      <c r="B14" s="3" t="s">
        <v>16</v>
      </c>
      <c r="C14" s="8">
        <v>6021.5567010309278</v>
      </c>
      <c r="D14" s="8">
        <v>14628.896907216495</v>
      </c>
      <c r="E14" s="8">
        <v>5416.7938144329901</v>
      </c>
      <c r="F14" s="8">
        <v>5416.7938144329901</v>
      </c>
      <c r="G14" s="8">
        <v>5416.7938144329901</v>
      </c>
      <c r="H14" s="8">
        <v>5416.7938144329901</v>
      </c>
      <c r="I14" s="8">
        <v>5416.7938144329901</v>
      </c>
      <c r="J14" s="8">
        <v>5416.7938144329901</v>
      </c>
      <c r="K14" s="8">
        <v>5416.7938144329901</v>
      </c>
      <c r="L14" s="8">
        <v>2010.2783505154639</v>
      </c>
      <c r="M14" s="8">
        <v>5416.7938144329901</v>
      </c>
      <c r="N14" s="8">
        <v>5416.7938144329901</v>
      </c>
      <c r="O14" s="3">
        <v>2019</v>
      </c>
      <c r="P14" t="s">
        <v>65</v>
      </c>
    </row>
    <row r="15" spans="1:17" x14ac:dyDescent="0.35">
      <c r="A15" s="2">
        <v>12</v>
      </c>
      <c r="B15" s="3" t="s">
        <v>62</v>
      </c>
      <c r="C15" s="8">
        <v>25106.732307692309</v>
      </c>
      <c r="D15" s="8">
        <v>37170.581538461534</v>
      </c>
      <c r="E15" s="8">
        <v>5825.1178021978039</v>
      </c>
      <c r="F15" s="8">
        <v>6741.5821036106872</v>
      </c>
      <c r="G15" s="8">
        <v>24675.147076923073</v>
      </c>
      <c r="H15" s="8">
        <v>8329.7848138958016</v>
      </c>
      <c r="I15" s="8">
        <v>5825.1178021978039</v>
      </c>
      <c r="J15" s="8">
        <v>8329.7848138958016</v>
      </c>
      <c r="K15" s="8">
        <v>5825.1178021978039</v>
      </c>
      <c r="L15" s="8"/>
      <c r="M15" s="8">
        <v>8329.7848138958016</v>
      </c>
      <c r="N15" s="8">
        <v>6275.9016210635054</v>
      </c>
      <c r="O15" s="3">
        <v>2019</v>
      </c>
      <c r="P15" t="s">
        <v>64</v>
      </c>
    </row>
    <row r="16" spans="1:17" x14ac:dyDescent="0.35">
      <c r="A16" s="2">
        <v>13</v>
      </c>
      <c r="B16" s="3" t="s">
        <v>17</v>
      </c>
      <c r="C16" s="8">
        <v>26265.357142857141</v>
      </c>
      <c r="D16" s="8">
        <v>31958.714285714286</v>
      </c>
      <c r="E16" s="8">
        <v>10845.357142857143</v>
      </c>
      <c r="F16" s="8">
        <v>10845.357142857143</v>
      </c>
      <c r="G16" s="8">
        <v>26265.357142857141</v>
      </c>
      <c r="H16" s="8">
        <v>17704.857142857141</v>
      </c>
      <c r="I16" s="8">
        <v>9005.4285714285706</v>
      </c>
      <c r="J16" s="8">
        <v>7477.7857142857147</v>
      </c>
      <c r="K16" s="8">
        <v>9005.4285714285706</v>
      </c>
      <c r="L16" s="8">
        <v>300</v>
      </c>
      <c r="M16" s="8">
        <v>14688.857142857143</v>
      </c>
      <c r="N16" s="8"/>
      <c r="O16" s="3">
        <v>2019</v>
      </c>
      <c r="P16" t="s">
        <v>67</v>
      </c>
    </row>
    <row r="17" spans="2:14" x14ac:dyDescent="0.35">
      <c r="B17" s="10" t="s">
        <v>26</v>
      </c>
      <c r="C17" s="11">
        <f t="shared" ref="C17:N17" si="0">AVERAGEIF(C4:C16,"&gt;0")</f>
        <v>28901.871895686159</v>
      </c>
      <c r="D17" s="11">
        <f t="shared" si="0"/>
        <v>38841.921176492397</v>
      </c>
      <c r="E17" s="11">
        <f t="shared" si="0"/>
        <v>14171.057702762075</v>
      </c>
      <c r="F17" s="11">
        <f t="shared" si="0"/>
        <v>13467.786274165222</v>
      </c>
      <c r="G17" s="11">
        <f t="shared" si="0"/>
        <v>27281.830111338673</v>
      </c>
      <c r="H17" s="11">
        <f t="shared" si="0"/>
        <v>19899.632731439997</v>
      </c>
      <c r="I17" s="11">
        <f t="shared" si="0"/>
        <v>9581.1523023617447</v>
      </c>
      <c r="J17" s="11">
        <f t="shared" si="0"/>
        <v>14378.514627230094</v>
      </c>
      <c r="K17" s="11">
        <f t="shared" si="0"/>
        <v>9410.2175223744271</v>
      </c>
      <c r="L17" s="11">
        <f t="shared" si="0"/>
        <v>2138.172770441437</v>
      </c>
      <c r="M17" s="11">
        <f t="shared" si="0"/>
        <v>14569.083873991276</v>
      </c>
      <c r="N17" s="11">
        <f t="shared" si="0"/>
        <v>7599.4751760584022</v>
      </c>
    </row>
    <row r="18" spans="2:14" x14ac:dyDescent="0.35">
      <c r="B18" s="10" t="s">
        <v>29</v>
      </c>
      <c r="C18" s="11">
        <f t="shared" ref="C18:N18" si="1">MEDIAN(C4:C16)</f>
        <v>25686.044725274725</v>
      </c>
      <c r="D18" s="11">
        <f t="shared" si="1"/>
        <v>33928.980000000003</v>
      </c>
      <c r="E18" s="11">
        <f t="shared" si="1"/>
        <v>9854.51</v>
      </c>
      <c r="F18" s="11">
        <f t="shared" si="1"/>
        <v>9854.51</v>
      </c>
      <c r="G18" s="11">
        <f t="shared" si="1"/>
        <v>26265.357142857141</v>
      </c>
      <c r="H18" s="11">
        <f t="shared" si="1"/>
        <v>16211.28</v>
      </c>
      <c r="I18" s="11">
        <f t="shared" si="1"/>
        <v>5825.1178021978039</v>
      </c>
      <c r="J18" s="11">
        <f t="shared" si="1"/>
        <v>7501.68</v>
      </c>
      <c r="K18" s="11">
        <f t="shared" si="1"/>
        <v>9005.4285714285706</v>
      </c>
      <c r="L18" s="11">
        <f t="shared" si="1"/>
        <v>2100.5641752577321</v>
      </c>
      <c r="M18" s="11">
        <f t="shared" si="1"/>
        <v>13438.643571428573</v>
      </c>
      <c r="N18" s="11">
        <f t="shared" si="1"/>
        <v>6335.038926761009</v>
      </c>
    </row>
    <row r="19" spans="2:14" x14ac:dyDescent="0.35">
      <c r="B19" s="10" t="s">
        <v>27</v>
      </c>
      <c r="C19" s="11">
        <f t="shared" ref="C19:N19" si="2">_xlfn.MINIFS(C4:C16,C4:C16,"&gt;0")</f>
        <v>4350</v>
      </c>
      <c r="D19" s="11">
        <f t="shared" si="2"/>
        <v>5391</v>
      </c>
      <c r="E19" s="11">
        <f t="shared" si="2"/>
        <v>3030.4285714285716</v>
      </c>
      <c r="F19" s="11">
        <f t="shared" si="2"/>
        <v>3577.84</v>
      </c>
      <c r="G19" s="11">
        <f t="shared" si="2"/>
        <v>4350</v>
      </c>
      <c r="H19" s="11">
        <f t="shared" si="2"/>
        <v>3577.84</v>
      </c>
      <c r="I19" s="11">
        <f t="shared" si="2"/>
        <v>3030.4285714285716</v>
      </c>
      <c r="J19" s="11">
        <f t="shared" si="2"/>
        <v>3577.84</v>
      </c>
      <c r="K19" s="11">
        <f t="shared" si="2"/>
        <v>2446.2732179260734</v>
      </c>
      <c r="L19" s="11">
        <f t="shared" si="2"/>
        <v>18.910955873175567</v>
      </c>
      <c r="M19" s="11">
        <f t="shared" si="2"/>
        <v>3928.3471446347726</v>
      </c>
      <c r="N19" s="11">
        <f t="shared" si="2"/>
        <v>3881.14</v>
      </c>
    </row>
    <row r="20" spans="2:14" x14ac:dyDescent="0.35">
      <c r="B20" s="10" t="s">
        <v>28</v>
      </c>
      <c r="C20" s="11">
        <f t="shared" ref="C20:N20" si="3">MAX(C4:C16)</f>
        <v>70131.642857142855</v>
      </c>
      <c r="D20" s="11">
        <f t="shared" si="3"/>
        <v>93060.642857142855</v>
      </c>
      <c r="E20" s="11">
        <f t="shared" si="3"/>
        <v>50651.83585313175</v>
      </c>
      <c r="F20" s="11">
        <f t="shared" si="3"/>
        <v>50651.83585313175</v>
      </c>
      <c r="G20" s="11">
        <f t="shared" si="3"/>
        <v>65003.37796976242</v>
      </c>
      <c r="H20" s="11">
        <f t="shared" si="3"/>
        <v>55266.428571428572</v>
      </c>
      <c r="I20" s="11">
        <f t="shared" si="3"/>
        <v>33827</v>
      </c>
      <c r="J20" s="11">
        <f t="shared" si="3"/>
        <v>39012.857142857145</v>
      </c>
      <c r="K20" s="11">
        <f t="shared" si="3"/>
        <v>23780.74082073434</v>
      </c>
      <c r="L20" s="11">
        <f t="shared" si="3"/>
        <v>6691.2</v>
      </c>
      <c r="M20" s="11">
        <f t="shared" si="3"/>
        <v>39012.857142857145</v>
      </c>
      <c r="N20" s="11">
        <f t="shared" si="3"/>
        <v>12006</v>
      </c>
    </row>
    <row r="21" spans="2:14" x14ac:dyDescent="0.35">
      <c r="B21" s="10" t="s">
        <v>30</v>
      </c>
      <c r="C21" s="12">
        <f t="shared" ref="C21:N21" si="4">COUNT(C4:C16)</f>
        <v>12</v>
      </c>
      <c r="D21" s="12">
        <f t="shared" si="4"/>
        <v>13</v>
      </c>
      <c r="E21" s="12">
        <f t="shared" si="4"/>
        <v>13</v>
      </c>
      <c r="F21" s="12">
        <f t="shared" si="4"/>
        <v>13</v>
      </c>
      <c r="G21" s="12">
        <f t="shared" si="4"/>
        <v>11</v>
      </c>
      <c r="H21" s="12">
        <f t="shared" si="4"/>
        <v>13</v>
      </c>
      <c r="I21" s="12">
        <f t="shared" si="4"/>
        <v>11</v>
      </c>
      <c r="J21" s="12">
        <f t="shared" si="4"/>
        <v>11</v>
      </c>
      <c r="K21" s="12">
        <f t="shared" si="4"/>
        <v>11</v>
      </c>
      <c r="L21" s="12">
        <f t="shared" si="4"/>
        <v>8</v>
      </c>
      <c r="M21" s="12">
        <f t="shared" si="4"/>
        <v>10</v>
      </c>
      <c r="N21" s="12">
        <f t="shared" si="4"/>
        <v>8</v>
      </c>
    </row>
    <row r="22" spans="2:14" x14ac:dyDescent="0.35">
      <c r="B22" s="10" t="s">
        <v>31</v>
      </c>
      <c r="C22" s="11">
        <f t="shared" ref="C22:N22" si="5">STDEV(C4:C16)</f>
        <v>21940.149813644464</v>
      </c>
      <c r="D22" s="11">
        <f t="shared" si="5"/>
        <v>25855.525636570073</v>
      </c>
      <c r="E22" s="11">
        <f t="shared" si="5"/>
        <v>14562.165604085083</v>
      </c>
      <c r="F22" s="11">
        <f t="shared" si="5"/>
        <v>13749.438034843697</v>
      </c>
      <c r="G22" s="11">
        <f t="shared" si="5"/>
        <v>18411.447105766034</v>
      </c>
      <c r="H22" s="11">
        <f t="shared" si="5"/>
        <v>16844.432239959573</v>
      </c>
      <c r="I22" s="11">
        <f t="shared" si="5"/>
        <v>8740.1134507511142</v>
      </c>
      <c r="J22" s="11">
        <f t="shared" si="5"/>
        <v>13065.771645848801</v>
      </c>
      <c r="K22" s="11">
        <f t="shared" si="5"/>
        <v>6585.5299604628335</v>
      </c>
      <c r="L22" s="11">
        <f t="shared" si="5"/>
        <v>2178.8388050705216</v>
      </c>
      <c r="M22" s="11">
        <f t="shared" si="5"/>
        <v>10694.182341956177</v>
      </c>
      <c r="N22" s="11">
        <f t="shared" si="5"/>
        <v>3269.385072900533</v>
      </c>
    </row>
    <row r="23" spans="2:14" x14ac:dyDescent="0.35">
      <c r="B23" s="10" t="s">
        <v>32</v>
      </c>
      <c r="C23" s="13">
        <f>C22/SQRT(C21)</f>
        <v>6333.5757004841753</v>
      </c>
      <c r="D23" s="13">
        <f t="shared" ref="D23:N23" si="6">D22/SQRT(D21)</f>
        <v>7171.0325720559313</v>
      </c>
      <c r="E23" s="13">
        <f t="shared" si="6"/>
        <v>4038.8180590251391</v>
      </c>
      <c r="F23" s="13">
        <f t="shared" si="6"/>
        <v>3813.4079879572141</v>
      </c>
      <c r="G23" s="13">
        <f t="shared" si="6"/>
        <v>5551.2601724818915</v>
      </c>
      <c r="H23" s="13">
        <f t="shared" si="6"/>
        <v>4671.8049344040755</v>
      </c>
      <c r="I23" s="13">
        <f t="shared" si="6"/>
        <v>2635.2433582981657</v>
      </c>
      <c r="J23" s="13">
        <f t="shared" si="6"/>
        <v>3939.4783768858915</v>
      </c>
      <c r="K23" s="13">
        <f t="shared" si="6"/>
        <v>1985.6119931362955</v>
      </c>
      <c r="L23" s="13">
        <f t="shared" si="6"/>
        <v>770.33584708887997</v>
      </c>
      <c r="M23" s="13">
        <f t="shared" si="6"/>
        <v>3381.7973913735177</v>
      </c>
      <c r="N23" s="13">
        <f t="shared" si="6"/>
        <v>1155.902177679021</v>
      </c>
    </row>
    <row r="24" spans="2:14" x14ac:dyDescent="0.35">
      <c r="B24" s="10" t="s">
        <v>33</v>
      </c>
      <c r="C24" s="13">
        <f>C17-(1.96*C23)</f>
        <v>16488.063522737175</v>
      </c>
      <c r="D24" s="13">
        <f t="shared" ref="D24:N24" si="7">D17-(1.96*D23)</f>
        <v>24786.697335262772</v>
      </c>
      <c r="E24" s="13">
        <f t="shared" si="7"/>
        <v>6254.9743070728027</v>
      </c>
      <c r="F24" s="13">
        <f t="shared" si="7"/>
        <v>5993.5066177690833</v>
      </c>
      <c r="G24" s="13">
        <f t="shared" si="7"/>
        <v>16401.360173274166</v>
      </c>
      <c r="H24" s="13">
        <f t="shared" si="7"/>
        <v>10742.89506000801</v>
      </c>
      <c r="I24" s="13">
        <f t="shared" si="7"/>
        <v>4416.0753200973395</v>
      </c>
      <c r="J24" s="13">
        <f t="shared" si="7"/>
        <v>6657.1370085337467</v>
      </c>
      <c r="K24" s="13">
        <f t="shared" si="7"/>
        <v>5518.4180158272884</v>
      </c>
      <c r="L24" s="13">
        <f t="shared" si="7"/>
        <v>628.31451014723234</v>
      </c>
      <c r="M24" s="13">
        <f t="shared" si="7"/>
        <v>7940.7609868991813</v>
      </c>
      <c r="N24" s="13">
        <f t="shared" si="7"/>
        <v>5333.9069078075208</v>
      </c>
    </row>
    <row r="25" spans="2:14" x14ac:dyDescent="0.35">
      <c r="B25" s="10" t="s">
        <v>34</v>
      </c>
      <c r="C25" s="13">
        <f>C17+(1.96*C23)</f>
        <v>41315.680268635144</v>
      </c>
      <c r="D25" s="13">
        <f t="shared" ref="D25:N25" si="8">D17+(1.96*D23)</f>
        <v>52897.145017722025</v>
      </c>
      <c r="E25" s="13">
        <f t="shared" si="8"/>
        <v>22087.141098451346</v>
      </c>
      <c r="F25" s="13">
        <f t="shared" si="8"/>
        <v>20942.065930561363</v>
      </c>
      <c r="G25" s="13">
        <f t="shared" si="8"/>
        <v>38162.30004940318</v>
      </c>
      <c r="H25" s="13">
        <f t="shared" si="8"/>
        <v>29056.370402871984</v>
      </c>
      <c r="I25" s="13">
        <f t="shared" si="8"/>
        <v>14746.22928462615</v>
      </c>
      <c r="J25" s="13">
        <f t="shared" si="8"/>
        <v>22099.89224592644</v>
      </c>
      <c r="K25" s="13">
        <f t="shared" si="8"/>
        <v>13302.017028921566</v>
      </c>
      <c r="L25" s="13">
        <f t="shared" si="8"/>
        <v>3648.0310307356417</v>
      </c>
      <c r="M25" s="13">
        <f t="shared" si="8"/>
        <v>21197.40676108337</v>
      </c>
      <c r="N25" s="13">
        <f t="shared" si="8"/>
        <v>9865.0434443092836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A554-48A7-C64C-9146-324F893A9D18}">
  <dimension ref="A1:D62"/>
  <sheetViews>
    <sheetView topLeftCell="A25" workbookViewId="0">
      <selection activeCell="B41" sqref="B41"/>
    </sheetView>
  </sheetViews>
  <sheetFormatPr defaultColWidth="10.6640625" defaultRowHeight="15.5" x14ac:dyDescent="0.35"/>
  <cols>
    <col min="1" max="1" width="27.83203125" customWidth="1"/>
    <col min="2" max="2" width="15.5" customWidth="1"/>
    <col min="4" max="4" width="118.83203125" bestFit="1" customWidth="1"/>
  </cols>
  <sheetData>
    <row r="1" spans="1:4" x14ac:dyDescent="0.35">
      <c r="A1" s="109" t="s">
        <v>827</v>
      </c>
      <c r="B1" s="111" t="s">
        <v>828</v>
      </c>
      <c r="C1" s="111" t="s">
        <v>817</v>
      </c>
      <c r="D1" s="112" t="s">
        <v>818</v>
      </c>
    </row>
    <row r="2" spans="1:4" x14ac:dyDescent="0.35">
      <c r="A2" s="110" t="s">
        <v>10</v>
      </c>
      <c r="B2" s="114">
        <v>0.187</v>
      </c>
      <c r="C2" s="113">
        <v>2017</v>
      </c>
      <c r="D2" s="3" t="s">
        <v>823</v>
      </c>
    </row>
    <row r="3" spans="1:4" x14ac:dyDescent="0.35">
      <c r="A3" s="110" t="s">
        <v>14</v>
      </c>
      <c r="B3" s="114">
        <v>0.28000000000000003</v>
      </c>
      <c r="C3" s="113">
        <v>2015</v>
      </c>
      <c r="D3" s="3" t="s">
        <v>825</v>
      </c>
    </row>
    <row r="4" spans="1:4" x14ac:dyDescent="0.35">
      <c r="A4" s="110" t="s">
        <v>814</v>
      </c>
      <c r="B4" s="114">
        <v>0.28999999999999998</v>
      </c>
      <c r="C4" s="113">
        <v>2019</v>
      </c>
      <c r="D4" s="3" t="s">
        <v>824</v>
      </c>
    </row>
    <row r="5" spans="1:4" x14ac:dyDescent="0.35">
      <c r="A5" s="110" t="s">
        <v>627</v>
      </c>
      <c r="B5" s="114">
        <v>0.35</v>
      </c>
      <c r="C5" s="113">
        <v>2020</v>
      </c>
      <c r="D5" s="3" t="s">
        <v>826</v>
      </c>
    </row>
    <row r="6" spans="1:4" x14ac:dyDescent="0.35">
      <c r="A6" s="110" t="s">
        <v>8</v>
      </c>
      <c r="B6" s="114">
        <v>0.41</v>
      </c>
      <c r="C6" s="113">
        <v>2014</v>
      </c>
      <c r="D6" s="3" t="s">
        <v>822</v>
      </c>
    </row>
    <row r="7" spans="1:4" x14ac:dyDescent="0.35">
      <c r="A7" s="110" t="s">
        <v>593</v>
      </c>
      <c r="B7" s="114">
        <v>0.41</v>
      </c>
      <c r="C7" s="113">
        <v>2018</v>
      </c>
      <c r="D7" s="3" t="s">
        <v>824</v>
      </c>
    </row>
    <row r="8" spans="1:4" x14ac:dyDescent="0.35">
      <c r="A8" s="110" t="s">
        <v>245</v>
      </c>
      <c r="B8" s="114">
        <v>0.45</v>
      </c>
      <c r="C8" s="113"/>
      <c r="D8" s="3" t="s">
        <v>820</v>
      </c>
    </row>
    <row r="9" spans="1:4" x14ac:dyDescent="0.35">
      <c r="A9" s="110" t="s">
        <v>11</v>
      </c>
      <c r="B9" s="114">
        <v>0.45</v>
      </c>
      <c r="C9" s="113"/>
      <c r="D9" s="3" t="s">
        <v>821</v>
      </c>
    </row>
    <row r="10" spans="1:4" x14ac:dyDescent="0.35">
      <c r="A10" s="110" t="s">
        <v>406</v>
      </c>
      <c r="B10" s="114">
        <v>0.45</v>
      </c>
      <c r="C10" s="113"/>
      <c r="D10" s="3" t="s">
        <v>820</v>
      </c>
    </row>
    <row r="11" spans="1:4" x14ac:dyDescent="0.35">
      <c r="A11" s="110" t="s">
        <v>434</v>
      </c>
      <c r="B11" s="114">
        <v>0.45</v>
      </c>
      <c r="C11" s="113"/>
      <c r="D11" s="3" t="s">
        <v>820</v>
      </c>
    </row>
    <row r="12" spans="1:4" x14ac:dyDescent="0.35">
      <c r="A12" s="110" t="s">
        <v>533</v>
      </c>
      <c r="B12" s="114">
        <v>0.45</v>
      </c>
      <c r="C12" s="113"/>
      <c r="D12" s="3" t="s">
        <v>820</v>
      </c>
    </row>
    <row r="13" spans="1:4" x14ac:dyDescent="0.35">
      <c r="A13" s="110" t="s">
        <v>15</v>
      </c>
      <c r="B13" s="114">
        <v>0.46099999999999997</v>
      </c>
      <c r="C13" s="113">
        <v>2019</v>
      </c>
      <c r="D13" s="3" t="s">
        <v>819</v>
      </c>
    </row>
    <row r="14" spans="1:4" x14ac:dyDescent="0.35">
      <c r="A14" s="110" t="s">
        <v>16</v>
      </c>
      <c r="B14" s="114">
        <v>0.51</v>
      </c>
      <c r="C14" s="113">
        <v>2020</v>
      </c>
      <c r="D14" s="3" t="s">
        <v>824</v>
      </c>
    </row>
    <row r="15" spans="1:4" x14ac:dyDescent="0.35">
      <c r="A15" s="110" t="s">
        <v>815</v>
      </c>
      <c r="B15" s="114">
        <v>0.54</v>
      </c>
      <c r="C15" s="113">
        <v>2014</v>
      </c>
      <c r="D15" s="3" t="s">
        <v>824</v>
      </c>
    </row>
    <row r="16" spans="1:4" x14ac:dyDescent="0.35">
      <c r="A16" s="110" t="s">
        <v>199</v>
      </c>
      <c r="B16" s="114">
        <v>0.56999999999999995</v>
      </c>
      <c r="C16" s="113"/>
      <c r="D16" s="3" t="s">
        <v>820</v>
      </c>
    </row>
    <row r="17" spans="1:4" x14ac:dyDescent="0.35">
      <c r="A17" s="110" t="s">
        <v>17</v>
      </c>
      <c r="B17" s="114">
        <v>0.56999999999999995</v>
      </c>
      <c r="C17" s="113"/>
      <c r="D17" s="3" t="s">
        <v>820</v>
      </c>
    </row>
    <row r="18" spans="1:4" x14ac:dyDescent="0.35">
      <c r="A18" s="110" t="s">
        <v>438</v>
      </c>
      <c r="B18" s="114">
        <v>0.56999999999999995</v>
      </c>
      <c r="C18" s="113"/>
      <c r="D18" s="3" t="s">
        <v>820</v>
      </c>
    </row>
    <row r="19" spans="1:4" x14ac:dyDescent="0.35">
      <c r="A19" s="110" t="s">
        <v>816</v>
      </c>
      <c r="B19" s="114">
        <v>0.56999999999999995</v>
      </c>
      <c r="C19" s="113"/>
      <c r="D19" s="3" t="s">
        <v>820</v>
      </c>
    </row>
    <row r="20" spans="1:4" x14ac:dyDescent="0.35">
      <c r="A20" s="110" t="s">
        <v>7</v>
      </c>
      <c r="B20" s="114">
        <v>0.59424999999999994</v>
      </c>
      <c r="C20" s="113">
        <v>2017</v>
      </c>
      <c r="D20" s="3" t="s">
        <v>824</v>
      </c>
    </row>
    <row r="21" spans="1:4" x14ac:dyDescent="0.35">
      <c r="A21" s="110" t="s">
        <v>62</v>
      </c>
      <c r="B21" s="114">
        <v>0.62</v>
      </c>
      <c r="C21" s="113">
        <v>2018</v>
      </c>
      <c r="D21" s="3" t="s">
        <v>824</v>
      </c>
    </row>
    <row r="22" spans="1:4" x14ac:dyDescent="0.35">
      <c r="A22" s="115" t="s">
        <v>829</v>
      </c>
      <c r="B22" s="116">
        <f>AVERAGE(B2:B21)</f>
        <v>0.45911250000000009</v>
      </c>
    </row>
    <row r="41" spans="1:2" x14ac:dyDescent="0.35">
      <c r="A41" t="s">
        <v>827</v>
      </c>
      <c r="B41" t="s">
        <v>828</v>
      </c>
    </row>
    <row r="42" spans="1:2" x14ac:dyDescent="0.35">
      <c r="A42" t="s">
        <v>10</v>
      </c>
      <c r="B42" s="117">
        <v>0.187</v>
      </c>
    </row>
    <row r="43" spans="1:2" x14ac:dyDescent="0.35">
      <c r="A43" t="s">
        <v>14</v>
      </c>
      <c r="B43" s="117">
        <v>0.28000000000000003</v>
      </c>
    </row>
    <row r="44" spans="1:2" x14ac:dyDescent="0.35">
      <c r="A44" t="s">
        <v>814</v>
      </c>
      <c r="B44" s="117">
        <v>0.28999999999999998</v>
      </c>
    </row>
    <row r="45" spans="1:2" x14ac:dyDescent="0.35">
      <c r="A45" t="s">
        <v>627</v>
      </c>
      <c r="B45" s="117">
        <v>0.35</v>
      </c>
    </row>
    <row r="46" spans="1:2" x14ac:dyDescent="0.35">
      <c r="A46" t="s">
        <v>8</v>
      </c>
      <c r="B46" s="117">
        <v>0.41</v>
      </c>
    </row>
    <row r="47" spans="1:2" x14ac:dyDescent="0.35">
      <c r="A47" t="s">
        <v>593</v>
      </c>
      <c r="B47" s="117">
        <v>0.41</v>
      </c>
    </row>
    <row r="48" spans="1:2" x14ac:dyDescent="0.35">
      <c r="A48" t="s">
        <v>245</v>
      </c>
      <c r="B48" s="117">
        <v>0.45</v>
      </c>
    </row>
    <row r="49" spans="1:2" x14ac:dyDescent="0.35">
      <c r="A49" t="s">
        <v>11</v>
      </c>
      <c r="B49" s="117">
        <v>0.45</v>
      </c>
    </row>
    <row r="50" spans="1:2" x14ac:dyDescent="0.35">
      <c r="A50" t="s">
        <v>406</v>
      </c>
      <c r="B50" s="117">
        <v>0.45</v>
      </c>
    </row>
    <row r="51" spans="1:2" x14ac:dyDescent="0.35">
      <c r="A51" t="s">
        <v>434</v>
      </c>
      <c r="B51" s="117">
        <v>0.45</v>
      </c>
    </row>
    <row r="52" spans="1:2" x14ac:dyDescent="0.35">
      <c r="A52" t="s">
        <v>533</v>
      </c>
      <c r="B52" s="117">
        <v>0.45</v>
      </c>
    </row>
    <row r="53" spans="1:2" x14ac:dyDescent="0.35">
      <c r="A53" t="s">
        <v>831</v>
      </c>
      <c r="B53" s="117">
        <v>0.45911250000000009</v>
      </c>
    </row>
    <row r="54" spans="1:2" x14ac:dyDescent="0.35">
      <c r="A54" t="s">
        <v>15</v>
      </c>
      <c r="B54" s="117">
        <v>0.46099999999999997</v>
      </c>
    </row>
    <row r="55" spans="1:2" x14ac:dyDescent="0.35">
      <c r="A55" t="s">
        <v>16</v>
      </c>
      <c r="B55" s="117">
        <v>0.51</v>
      </c>
    </row>
    <row r="56" spans="1:2" x14ac:dyDescent="0.35">
      <c r="A56" t="s">
        <v>815</v>
      </c>
      <c r="B56" s="117">
        <v>0.54</v>
      </c>
    </row>
    <row r="57" spans="1:2" x14ac:dyDescent="0.35">
      <c r="A57" t="s">
        <v>199</v>
      </c>
      <c r="B57" s="117">
        <v>0.56999999999999995</v>
      </c>
    </row>
    <row r="58" spans="1:2" x14ac:dyDescent="0.35">
      <c r="A58" t="s">
        <v>17</v>
      </c>
      <c r="B58" s="117">
        <v>0.56999999999999995</v>
      </c>
    </row>
    <row r="59" spans="1:2" x14ac:dyDescent="0.35">
      <c r="A59" t="s">
        <v>438</v>
      </c>
      <c r="B59" s="117">
        <v>0.56999999999999995</v>
      </c>
    </row>
    <row r="60" spans="1:2" x14ac:dyDescent="0.35">
      <c r="A60" t="s">
        <v>816</v>
      </c>
      <c r="B60" s="117">
        <v>0.56999999999999995</v>
      </c>
    </row>
    <row r="61" spans="1:2" x14ac:dyDescent="0.35">
      <c r="A61" t="s">
        <v>7</v>
      </c>
      <c r="B61" s="117">
        <v>0.59424999999999994</v>
      </c>
    </row>
    <row r="62" spans="1:2" x14ac:dyDescent="0.35">
      <c r="A62" t="s">
        <v>62</v>
      </c>
      <c r="B62" s="117">
        <v>0.62</v>
      </c>
    </row>
  </sheetData>
  <autoFilter ref="A1:D22" xr:uid="{8FF1A554-48A7-C64C-9146-324F893A9D18}"/>
  <sortState xmlns:xlrd2="http://schemas.microsoft.com/office/spreadsheetml/2017/richdata2" ref="A42:B62">
    <sortCondition ref="B42:B6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9585-050C-EB4C-9685-116AD731F9B2}">
  <dimension ref="F6:N31"/>
  <sheetViews>
    <sheetView showGridLines="0" topLeftCell="I18" workbookViewId="0">
      <selection activeCell="N14" sqref="N14"/>
    </sheetView>
  </sheetViews>
  <sheetFormatPr defaultColWidth="10.6640625" defaultRowHeight="15.5" x14ac:dyDescent="0.35"/>
  <cols>
    <col min="6" max="6" width="11" bestFit="1" customWidth="1"/>
    <col min="7" max="7" width="39.5" bestFit="1" customWidth="1"/>
    <col min="8" max="8" width="0" hidden="1" customWidth="1"/>
    <col min="9" max="9" width="25.83203125" customWidth="1"/>
    <col min="10" max="10" width="34.33203125" customWidth="1"/>
    <col min="11" max="11" width="27" customWidth="1"/>
    <col min="12" max="12" width="36.6640625" customWidth="1"/>
  </cols>
  <sheetData>
    <row r="6" spans="6:14" ht="84" customHeight="1" x14ac:dyDescent="0.35">
      <c r="F6" s="56" t="s">
        <v>679</v>
      </c>
      <c r="G6" s="57" t="s">
        <v>680</v>
      </c>
      <c r="H6" s="56" t="s">
        <v>681</v>
      </c>
      <c r="I6" s="56" t="s">
        <v>682</v>
      </c>
      <c r="J6" s="56" t="s">
        <v>683</v>
      </c>
      <c r="K6" s="56" t="s">
        <v>684</v>
      </c>
      <c r="L6" s="56" t="s">
        <v>685</v>
      </c>
    </row>
    <row r="7" spans="6:14" ht="20.5" x14ac:dyDescent="0.35">
      <c r="F7" s="50">
        <v>1</v>
      </c>
      <c r="G7" s="51" t="s">
        <v>686</v>
      </c>
      <c r="H7" s="52">
        <v>438016</v>
      </c>
      <c r="I7" s="52">
        <v>28693.57</v>
      </c>
      <c r="J7" s="50">
        <v>24.78</v>
      </c>
      <c r="K7" s="50">
        <v>1</v>
      </c>
      <c r="L7" s="50">
        <v>2.2999999999999998</v>
      </c>
    </row>
    <row r="8" spans="6:14" ht="20.5" x14ac:dyDescent="0.35">
      <c r="F8" s="50">
        <v>2</v>
      </c>
      <c r="G8" s="51" t="s">
        <v>687</v>
      </c>
      <c r="H8" s="52">
        <v>517936</v>
      </c>
      <c r="I8" s="52">
        <v>33928.980000000003</v>
      </c>
      <c r="J8" s="50">
        <v>29.3</v>
      </c>
      <c r="K8" s="50">
        <v>1.18</v>
      </c>
      <c r="L8" s="50">
        <v>2.73</v>
      </c>
      <c r="N8" s="49"/>
    </row>
    <row r="9" spans="6:14" ht="20.5" x14ac:dyDescent="0.35">
      <c r="F9" s="50">
        <v>3</v>
      </c>
      <c r="G9" s="51" t="s">
        <v>688</v>
      </c>
      <c r="H9" s="52">
        <v>150432</v>
      </c>
      <c r="I9" s="52">
        <v>9854.51</v>
      </c>
      <c r="J9" s="50">
        <v>8.51</v>
      </c>
      <c r="K9" s="50">
        <v>0.34</v>
      </c>
      <c r="L9" s="50">
        <v>0.81</v>
      </c>
    </row>
    <row r="10" spans="6:14" ht="20.5" x14ac:dyDescent="0.35">
      <c r="F10" s="50">
        <v>4</v>
      </c>
      <c r="G10" s="51" t="s">
        <v>689</v>
      </c>
      <c r="H10" s="52">
        <v>79932</v>
      </c>
      <c r="I10" s="52">
        <v>5236.1899999999996</v>
      </c>
      <c r="J10" s="50">
        <v>4.5199999999999996</v>
      </c>
      <c r="K10" s="50">
        <v>0.18</v>
      </c>
      <c r="L10" s="50">
        <v>0.43</v>
      </c>
    </row>
    <row r="11" spans="6:14" ht="20.5" x14ac:dyDescent="0.35">
      <c r="F11" s="50">
        <v>5</v>
      </c>
      <c r="G11" s="51" t="s">
        <v>690</v>
      </c>
      <c r="H11" s="52">
        <v>517936</v>
      </c>
      <c r="I11" s="52">
        <v>33928.980000000003</v>
      </c>
      <c r="J11" s="50">
        <v>29.3</v>
      </c>
      <c r="K11" s="50">
        <v>1.18</v>
      </c>
      <c r="L11" s="50">
        <v>2.73</v>
      </c>
    </row>
    <row r="12" spans="6:14" ht="20.5" x14ac:dyDescent="0.35">
      <c r="F12" s="50">
        <v>6</v>
      </c>
      <c r="G12" s="51" t="s">
        <v>691</v>
      </c>
      <c r="H12" s="52">
        <v>438016</v>
      </c>
      <c r="I12" s="52">
        <v>28693.57</v>
      </c>
      <c r="J12" s="50">
        <v>24.78</v>
      </c>
      <c r="K12" s="50">
        <v>1</v>
      </c>
      <c r="L12" s="50">
        <v>2.2999999999999998</v>
      </c>
    </row>
    <row r="13" spans="6:14" ht="20.5" x14ac:dyDescent="0.35">
      <c r="F13" s="50">
        <v>7</v>
      </c>
      <c r="G13" s="51" t="s">
        <v>692</v>
      </c>
      <c r="H13" s="52">
        <v>186060</v>
      </c>
      <c r="I13" s="52">
        <v>12188.43</v>
      </c>
      <c r="J13" s="50">
        <v>10.53</v>
      </c>
      <c r="K13" s="50">
        <v>0.42</v>
      </c>
      <c r="L13" s="50">
        <v>1</v>
      </c>
    </row>
    <row r="14" spans="6:14" ht="20.5" x14ac:dyDescent="0.35">
      <c r="F14" s="50">
        <v>8</v>
      </c>
      <c r="G14" s="51" t="s">
        <v>693</v>
      </c>
      <c r="H14" s="52">
        <v>186060</v>
      </c>
      <c r="I14" s="52">
        <v>12188.43</v>
      </c>
      <c r="J14" s="50">
        <v>10.53</v>
      </c>
      <c r="K14" s="50">
        <v>0.42</v>
      </c>
      <c r="L14" s="50">
        <v>1</v>
      </c>
    </row>
    <row r="15" spans="6:14" ht="20.5" x14ac:dyDescent="0.35">
      <c r="F15" s="50">
        <v>9</v>
      </c>
      <c r="G15" s="51" t="s">
        <v>694</v>
      </c>
      <c r="H15" s="52">
        <v>186060</v>
      </c>
      <c r="I15" s="52">
        <v>12188.43</v>
      </c>
      <c r="J15" s="50">
        <v>10.53</v>
      </c>
      <c r="K15" s="50">
        <v>0.42</v>
      </c>
      <c r="L15" s="50">
        <v>1</v>
      </c>
    </row>
    <row r="16" spans="6:14" ht="20.5" x14ac:dyDescent="0.35">
      <c r="F16" s="50">
        <v>10</v>
      </c>
      <c r="G16" s="51" t="s">
        <v>695</v>
      </c>
      <c r="H16" s="52">
        <v>340632</v>
      </c>
      <c r="I16" s="52">
        <v>22314.14</v>
      </c>
      <c r="J16" s="50">
        <v>19.27</v>
      </c>
      <c r="K16" s="50">
        <v>0.78</v>
      </c>
      <c r="L16" s="50">
        <v>1.83</v>
      </c>
    </row>
    <row r="17" spans="6:12" ht="20.5" x14ac:dyDescent="0.35">
      <c r="F17" s="50">
        <v>11</v>
      </c>
      <c r="G17" s="51" t="s">
        <v>696</v>
      </c>
      <c r="H17" s="52">
        <v>186060</v>
      </c>
      <c r="I17" s="52">
        <v>12188.43</v>
      </c>
      <c r="J17" s="50">
        <v>10.53</v>
      </c>
      <c r="K17" s="50">
        <v>0.42</v>
      </c>
      <c r="L17" s="50">
        <v>1</v>
      </c>
    </row>
    <row r="18" spans="6:12" ht="20.5" x14ac:dyDescent="0.35">
      <c r="F18" s="50">
        <v>12</v>
      </c>
      <c r="G18" s="51" t="s">
        <v>697</v>
      </c>
      <c r="H18" s="52">
        <v>186060</v>
      </c>
      <c r="I18" s="52">
        <v>12188.43</v>
      </c>
      <c r="J18" s="50">
        <v>10.53</v>
      </c>
      <c r="K18" s="50">
        <v>0.42</v>
      </c>
      <c r="L18" s="50">
        <v>1</v>
      </c>
    </row>
    <row r="19" spans="6:12" ht="20.5" x14ac:dyDescent="0.35">
      <c r="F19" s="50">
        <v>13</v>
      </c>
      <c r="G19" s="51" t="s">
        <v>698</v>
      </c>
      <c r="H19" s="52">
        <v>186060</v>
      </c>
      <c r="I19" s="52">
        <v>12188.43</v>
      </c>
      <c r="J19" s="50">
        <v>10.53</v>
      </c>
      <c r="K19" s="50">
        <v>0.42</v>
      </c>
      <c r="L19" s="50">
        <v>1</v>
      </c>
    </row>
    <row r="20" spans="6:12" ht="20.5" x14ac:dyDescent="0.35">
      <c r="F20" s="50">
        <v>14</v>
      </c>
      <c r="G20" s="51" t="s">
        <v>699</v>
      </c>
      <c r="H20" s="52">
        <v>33444</v>
      </c>
      <c r="I20" s="52">
        <v>2190.85</v>
      </c>
      <c r="J20" s="50">
        <v>1.89</v>
      </c>
      <c r="K20" s="50">
        <v>0.08</v>
      </c>
      <c r="L20" s="50">
        <v>0.18</v>
      </c>
    </row>
    <row r="21" spans="6:12" ht="20.5" x14ac:dyDescent="0.35">
      <c r="F21" s="50">
        <v>15</v>
      </c>
      <c r="G21" s="51" t="s">
        <v>700</v>
      </c>
      <c r="H21" s="52">
        <v>186060</v>
      </c>
      <c r="I21" s="52">
        <v>12188.43</v>
      </c>
      <c r="J21" s="50">
        <v>10.53</v>
      </c>
      <c r="K21" s="50">
        <v>0.42</v>
      </c>
      <c r="L21" s="50">
        <v>1</v>
      </c>
    </row>
    <row r="22" spans="6:12" ht="20.5" x14ac:dyDescent="0.35">
      <c r="F22" s="50">
        <v>16</v>
      </c>
      <c r="G22" s="51" t="s">
        <v>48</v>
      </c>
      <c r="H22" s="52">
        <v>274164</v>
      </c>
      <c r="I22" s="52">
        <v>17959.95</v>
      </c>
      <c r="J22" s="50">
        <v>15.51</v>
      </c>
      <c r="K22" s="50">
        <v>0.63</v>
      </c>
      <c r="L22" s="50">
        <v>1.47</v>
      </c>
    </row>
    <row r="23" spans="6:12" ht="20.5" x14ac:dyDescent="0.35">
      <c r="F23" s="50">
        <v>17</v>
      </c>
      <c r="G23" s="51" t="s">
        <v>701</v>
      </c>
      <c r="H23" s="52">
        <v>186060</v>
      </c>
      <c r="I23" s="52">
        <v>12188.43</v>
      </c>
      <c r="J23" s="50">
        <v>10.53</v>
      </c>
      <c r="K23" s="50">
        <v>0.42</v>
      </c>
      <c r="L23" s="50">
        <v>1</v>
      </c>
    </row>
    <row r="24" spans="6:12" ht="20.5" x14ac:dyDescent="0.35">
      <c r="F24" s="50">
        <v>19</v>
      </c>
      <c r="G24" s="51" t="s">
        <v>702</v>
      </c>
      <c r="H24" s="52">
        <v>226896</v>
      </c>
      <c r="I24" s="52">
        <v>14863.51</v>
      </c>
      <c r="J24" s="50">
        <v>12.84</v>
      </c>
      <c r="K24" s="50">
        <v>0.52</v>
      </c>
      <c r="L24" s="50">
        <v>1.22</v>
      </c>
    </row>
    <row r="25" spans="6:12" ht="20.5" x14ac:dyDescent="0.35">
      <c r="F25" s="50">
        <v>20</v>
      </c>
      <c r="G25" s="51" t="s">
        <v>703</v>
      </c>
      <c r="H25" s="52">
        <v>186060</v>
      </c>
      <c r="I25" s="52">
        <v>12188.43</v>
      </c>
      <c r="J25" s="50">
        <v>10.53</v>
      </c>
      <c r="K25" s="50">
        <v>0.42</v>
      </c>
      <c r="L25" s="50">
        <v>1</v>
      </c>
    </row>
    <row r="26" spans="6:12" ht="20.5" x14ac:dyDescent="0.35">
      <c r="F26" s="50">
        <v>21</v>
      </c>
      <c r="G26" s="51" t="s">
        <v>704</v>
      </c>
      <c r="H26" s="52">
        <v>186060</v>
      </c>
      <c r="I26" s="52">
        <v>12188.43</v>
      </c>
      <c r="J26" s="50">
        <v>10.53</v>
      </c>
      <c r="K26" s="50">
        <v>0.42</v>
      </c>
      <c r="L26" s="50">
        <v>1</v>
      </c>
    </row>
    <row r="27" spans="6:12" ht="20.5" x14ac:dyDescent="0.35">
      <c r="F27" s="50">
        <v>22</v>
      </c>
      <c r="G27" s="51" t="s">
        <v>705</v>
      </c>
      <c r="H27" s="52">
        <v>226896</v>
      </c>
      <c r="I27" s="52">
        <v>14863.51</v>
      </c>
      <c r="J27" s="50">
        <v>12.84</v>
      </c>
      <c r="K27" s="50">
        <v>0.52</v>
      </c>
      <c r="L27" s="50">
        <v>1.22</v>
      </c>
    </row>
    <row r="28" spans="6:12" ht="20.5" x14ac:dyDescent="0.35">
      <c r="F28" s="50">
        <v>23</v>
      </c>
      <c r="G28" s="51" t="s">
        <v>706</v>
      </c>
      <c r="H28" s="52">
        <v>340362</v>
      </c>
      <c r="I28" s="52">
        <v>22296.45</v>
      </c>
      <c r="J28" s="50">
        <v>19.25</v>
      </c>
      <c r="K28" s="50">
        <v>0.78</v>
      </c>
      <c r="L28" s="50">
        <v>1.83</v>
      </c>
    </row>
    <row r="29" spans="6:12" ht="20.5" x14ac:dyDescent="0.35">
      <c r="F29" s="50">
        <v>24</v>
      </c>
      <c r="G29" s="51" t="s">
        <v>707</v>
      </c>
      <c r="H29" s="52">
        <v>186060</v>
      </c>
      <c r="I29" s="52">
        <v>12188.43</v>
      </c>
      <c r="J29" s="50">
        <v>10.53</v>
      </c>
      <c r="K29" s="50">
        <v>0.42</v>
      </c>
      <c r="L29" s="50">
        <v>1</v>
      </c>
    </row>
    <row r="30" spans="6:12" ht="20.5" x14ac:dyDescent="0.35">
      <c r="F30" s="50">
        <v>25</v>
      </c>
      <c r="G30" s="51" t="s">
        <v>708</v>
      </c>
      <c r="H30" s="52">
        <v>186060</v>
      </c>
      <c r="I30" s="52">
        <v>12188.43</v>
      </c>
      <c r="J30" s="50">
        <v>10.53</v>
      </c>
      <c r="K30" s="50">
        <v>0.42</v>
      </c>
      <c r="L30" s="50">
        <v>1</v>
      </c>
    </row>
    <row r="31" spans="6:12" ht="20" x14ac:dyDescent="0.35">
      <c r="F31" s="53"/>
      <c r="G31" s="54" t="s">
        <v>69</v>
      </c>
      <c r="H31" s="55">
        <v>242390.92</v>
      </c>
      <c r="I31" s="55">
        <v>15878.56</v>
      </c>
      <c r="J31" s="53">
        <v>13.71</v>
      </c>
      <c r="K31" s="53"/>
      <c r="L31" s="53">
        <v>1.29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B5FF-0397-3147-9964-0FE510054132}">
  <sheetPr>
    <tabColor theme="9" tint="-0.249977111117893"/>
  </sheetPr>
  <dimension ref="A2:U35"/>
  <sheetViews>
    <sheetView zoomScale="130" zoomScaleNormal="130" workbookViewId="0">
      <selection activeCell="B7" sqref="B7"/>
    </sheetView>
  </sheetViews>
  <sheetFormatPr defaultColWidth="10.6640625" defaultRowHeight="15.5" x14ac:dyDescent="0.35"/>
  <cols>
    <col min="1" max="1" width="10.83203125" style="1"/>
    <col min="2" max="2" width="34.6640625" bestFit="1" customWidth="1"/>
    <col min="10" max="10" width="14.1640625" customWidth="1"/>
    <col min="17" max="17" width="15.83203125" customWidth="1"/>
  </cols>
  <sheetData>
    <row r="2" spans="1:21" x14ac:dyDescent="0.35">
      <c r="B2" s="37" t="s">
        <v>830</v>
      </c>
    </row>
    <row r="3" spans="1:21" ht="62.5" thickBot="1" x14ac:dyDescent="0.4">
      <c r="A3" s="23" t="s">
        <v>19</v>
      </c>
      <c r="B3" s="24" t="s">
        <v>20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21</v>
      </c>
      <c r="H3" s="25" t="s">
        <v>22</v>
      </c>
      <c r="I3" s="25" t="s">
        <v>23</v>
      </c>
      <c r="J3" s="25" t="s">
        <v>24</v>
      </c>
      <c r="K3" s="25" t="s">
        <v>4</v>
      </c>
      <c r="L3" s="25" t="s">
        <v>5</v>
      </c>
      <c r="M3" s="25" t="s">
        <v>25</v>
      </c>
      <c r="N3" s="25" t="s">
        <v>35</v>
      </c>
      <c r="O3" s="25" t="s">
        <v>69</v>
      </c>
      <c r="P3" s="26" t="s">
        <v>18</v>
      </c>
      <c r="Q3" s="25" t="s">
        <v>68</v>
      </c>
      <c r="R3" s="59" t="s">
        <v>72</v>
      </c>
    </row>
    <row r="4" spans="1:21" ht="16" thickTop="1" x14ac:dyDescent="0.35">
      <c r="A4" s="1">
        <v>1</v>
      </c>
      <c r="B4" t="s">
        <v>627</v>
      </c>
      <c r="C4" s="19"/>
      <c r="D4" s="19">
        <v>12679.06</v>
      </c>
      <c r="E4" s="19">
        <v>3577.84</v>
      </c>
      <c r="F4" s="19">
        <v>3577.84</v>
      </c>
      <c r="G4" s="19"/>
      <c r="H4" s="19">
        <v>3577.84</v>
      </c>
      <c r="I4" s="19">
        <v>3577.84</v>
      </c>
      <c r="J4" s="19">
        <v>3577.84</v>
      </c>
      <c r="K4" s="19"/>
      <c r="L4" s="19"/>
      <c r="M4" s="19"/>
      <c r="N4" s="19"/>
      <c r="O4" s="30">
        <f>AVERAGEIF(C4:N4,"&gt;0")</f>
        <v>5094.71</v>
      </c>
      <c r="P4">
        <v>2021</v>
      </c>
      <c r="Q4" t="s">
        <v>66</v>
      </c>
      <c r="R4" s="9">
        <f>_xlfn.XLOOKUP(B4,'Wage Index_ESA'!C:C,'Wage Index_ESA'!D:D,0,0)</f>
        <v>1156.1548636013904</v>
      </c>
    </row>
    <row r="5" spans="1:21" x14ac:dyDescent="0.35">
      <c r="A5" s="1">
        <v>2</v>
      </c>
      <c r="B5" t="s">
        <v>7</v>
      </c>
      <c r="C5" s="19">
        <v>70131.642857142855</v>
      </c>
      <c r="D5" s="19">
        <v>93060.642857142855</v>
      </c>
      <c r="E5" s="19">
        <v>32982.785714285717</v>
      </c>
      <c r="F5" s="19">
        <v>32982.785714285717</v>
      </c>
      <c r="G5" s="19"/>
      <c r="H5" s="19">
        <v>55266.428571428572</v>
      </c>
      <c r="I5" s="19"/>
      <c r="J5" s="19">
        <v>39012.857142857145</v>
      </c>
      <c r="K5" s="19"/>
      <c r="L5" s="19">
        <v>3000</v>
      </c>
      <c r="M5" s="19">
        <v>39012.857142857145</v>
      </c>
      <c r="N5" s="19"/>
      <c r="O5" s="30">
        <f t="shared" ref="O5:O15" si="0">AVERAGEIF(C5:N5,"&gt;0")</f>
        <v>45681.25</v>
      </c>
      <c r="P5">
        <v>2020</v>
      </c>
      <c r="Q5" t="s">
        <v>66</v>
      </c>
      <c r="R5" s="9">
        <f>_xlfn.XLOOKUP(B5,'Wage Index_ESA'!C:C,'Wage Index_ESA'!D:D,0,0)</f>
        <v>6001.401121406795</v>
      </c>
    </row>
    <row r="6" spans="1:21" x14ac:dyDescent="0.35">
      <c r="A6" s="1">
        <v>3</v>
      </c>
      <c r="B6" t="s">
        <v>8</v>
      </c>
      <c r="C6" s="19">
        <v>38320.080000000002</v>
      </c>
      <c r="D6" s="19">
        <v>49800</v>
      </c>
      <c r="E6" s="19">
        <v>12002.4</v>
      </c>
      <c r="F6" s="19">
        <v>12002.4</v>
      </c>
      <c r="G6" s="19">
        <v>38320.080000000002</v>
      </c>
      <c r="H6" s="19">
        <v>32760</v>
      </c>
      <c r="I6" s="19">
        <v>9840</v>
      </c>
      <c r="J6" s="19"/>
      <c r="K6" s="19">
        <v>9840</v>
      </c>
      <c r="L6" s="19">
        <v>240</v>
      </c>
      <c r="M6" s="19"/>
      <c r="N6" s="19">
        <v>12006</v>
      </c>
      <c r="O6" s="30">
        <f t="shared" si="0"/>
        <v>21513.095999999998</v>
      </c>
      <c r="P6">
        <v>2019</v>
      </c>
      <c r="Q6" t="s">
        <v>64</v>
      </c>
      <c r="R6" s="9">
        <f>_xlfn.XLOOKUP(B6,'Wage Index_ESA'!C:C,'Wage Index_ESA'!D:D,0,0)</f>
        <v>1816.547123752179</v>
      </c>
      <c r="T6" t="s">
        <v>712</v>
      </c>
      <c r="U6" t="s">
        <v>724</v>
      </c>
    </row>
    <row r="7" spans="1:21" x14ac:dyDescent="0.35">
      <c r="A7" s="1">
        <v>4</v>
      </c>
      <c r="B7" t="s">
        <v>445</v>
      </c>
      <c r="C7" s="19">
        <v>67042.774658027367</v>
      </c>
      <c r="D7" s="19">
        <v>71841.183585313178</v>
      </c>
      <c r="E7" s="19">
        <v>50651.83585313175</v>
      </c>
      <c r="F7" s="19">
        <v>50651.83585313175</v>
      </c>
      <c r="G7" s="19">
        <v>65003.37796976242</v>
      </c>
      <c r="H7" s="19">
        <v>45703.887688984876</v>
      </c>
      <c r="I7" s="19"/>
      <c r="J7" s="19">
        <v>29543.77537796976</v>
      </c>
      <c r="K7" s="19">
        <v>23780.74082073434</v>
      </c>
      <c r="L7" s="19"/>
      <c r="M7" s="19">
        <v>19659.896328293737</v>
      </c>
      <c r="N7" s="19"/>
      <c r="O7" s="30">
        <f t="shared" si="0"/>
        <v>47097.700903927689</v>
      </c>
      <c r="P7">
        <v>2019</v>
      </c>
      <c r="Q7" t="s">
        <v>66</v>
      </c>
      <c r="R7" s="9">
        <f>_xlfn.XLOOKUP(B7,'Wage Index_ESA'!C:C,'Wage Index_ESA'!D:D,0,0)</f>
        <v>5037.3426291926335</v>
      </c>
      <c r="T7" t="s">
        <v>725</v>
      </c>
      <c r="U7">
        <f>CORREL($R$4:$R$15,$D$4:$D$15)</f>
        <v>0.8310145280789264</v>
      </c>
    </row>
    <row r="8" spans="1:21" x14ac:dyDescent="0.35">
      <c r="A8" s="1">
        <v>5</v>
      </c>
      <c r="B8" t="s">
        <v>10</v>
      </c>
      <c r="C8" s="19">
        <v>28693.57</v>
      </c>
      <c r="D8" s="19">
        <v>33928.980000000003</v>
      </c>
      <c r="E8" s="19">
        <v>9854.51</v>
      </c>
      <c r="F8" s="19">
        <v>9854.51</v>
      </c>
      <c r="G8" s="19">
        <v>28693.57</v>
      </c>
      <c r="H8" s="19">
        <v>17959.95</v>
      </c>
      <c r="I8" s="19">
        <v>12188.43</v>
      </c>
      <c r="J8" s="19">
        <v>12188.43</v>
      </c>
      <c r="K8" s="19">
        <v>12188.43</v>
      </c>
      <c r="L8" s="19">
        <v>2190.85</v>
      </c>
      <c r="M8" s="19">
        <v>12188.43</v>
      </c>
      <c r="N8" s="19"/>
      <c r="O8" s="30">
        <f t="shared" si="0"/>
        <v>16357.241818181816</v>
      </c>
      <c r="P8">
        <v>2020</v>
      </c>
      <c r="Q8" t="s">
        <v>66</v>
      </c>
      <c r="R8" s="9">
        <f>_xlfn.XLOOKUP(B8,'Wage Index_ESA'!C:C,'Wage Index_ESA'!D:D,0,0)</f>
        <v>1113.3721403358106</v>
      </c>
      <c r="T8" t="s">
        <v>2</v>
      </c>
      <c r="U8">
        <f>CORREL($R$4:$R$15,$E$4:$E$15)</f>
        <v>0.8158042139181626</v>
      </c>
    </row>
    <row r="9" spans="1:21" x14ac:dyDescent="0.35">
      <c r="A9" s="1">
        <v>6</v>
      </c>
      <c r="B9" t="s">
        <v>11</v>
      </c>
      <c r="C9" s="19">
        <v>4350</v>
      </c>
      <c r="D9" s="19">
        <v>5391</v>
      </c>
      <c r="E9" s="19">
        <v>3030.4285714285716</v>
      </c>
      <c r="F9" s="19">
        <v>3881.1428571428573</v>
      </c>
      <c r="G9" s="19">
        <v>4350</v>
      </c>
      <c r="H9" s="19">
        <v>3881.1428571428573</v>
      </c>
      <c r="I9" s="19">
        <v>3030.4285714285716</v>
      </c>
      <c r="J9" s="19">
        <v>3881.1428571428573</v>
      </c>
      <c r="K9" s="19">
        <v>3030.4285714285716</v>
      </c>
      <c r="L9" s="19">
        <v>2654.1428571428573</v>
      </c>
      <c r="M9" s="19"/>
      <c r="N9" s="19">
        <v>3881.14</v>
      </c>
      <c r="O9" s="30">
        <f t="shared" si="0"/>
        <v>3760.0906493506495</v>
      </c>
      <c r="P9">
        <v>2019</v>
      </c>
      <c r="Q9" t="s">
        <v>66</v>
      </c>
      <c r="R9" s="9">
        <f>_xlfn.XLOOKUP(B9,'Wage Index_ESA'!C:C,'Wage Index_ESA'!D:D,0,0)</f>
        <v>855.7608851869029</v>
      </c>
      <c r="T9" t="s">
        <v>3</v>
      </c>
      <c r="U9">
        <f>CORREL($R$4:$R$15,$F$4:$F$15)</f>
        <v>0.69621797199081426</v>
      </c>
    </row>
    <row r="10" spans="1:21" x14ac:dyDescent="0.35">
      <c r="A10" s="1">
        <v>7</v>
      </c>
      <c r="B10" t="s">
        <v>12</v>
      </c>
      <c r="C10" s="19">
        <v>9452.5853167774221</v>
      </c>
      <c r="D10" s="19">
        <v>28720.192740462258</v>
      </c>
      <c r="E10" s="19">
        <v>4501.6988846318236</v>
      </c>
      <c r="F10" s="19">
        <v>4501.6988846318236</v>
      </c>
      <c r="G10" s="19">
        <v>23570.082867808636</v>
      </c>
      <c r="H10" s="19">
        <v>10373.291678801197</v>
      </c>
      <c r="I10" s="19">
        <v>4951.3542135500784</v>
      </c>
      <c r="J10" s="19">
        <v>7406.5711789468114</v>
      </c>
      <c r="K10" s="19">
        <v>2446.2732179260734</v>
      </c>
      <c r="L10" s="19">
        <v>18.910955873175567</v>
      </c>
      <c r="M10" s="19">
        <v>3928.3471446347726</v>
      </c>
      <c r="N10" s="19">
        <v>6394.1762324585125</v>
      </c>
      <c r="O10" s="30">
        <f t="shared" si="0"/>
        <v>8855.4319430418818</v>
      </c>
      <c r="P10">
        <v>2019</v>
      </c>
      <c r="Q10" t="s">
        <v>66</v>
      </c>
      <c r="R10" s="9">
        <f>_xlfn.XLOOKUP(B10,'Wage Index_ESA'!C:C,'Wage Index_ESA'!D:D,0,0)</f>
        <v>527.53417454467149</v>
      </c>
      <c r="T10" t="s">
        <v>726</v>
      </c>
      <c r="U10">
        <f>CORREL($R$4:$R$15,$H$4:$H$15)</f>
        <v>0.79531598353521349</v>
      </c>
    </row>
    <row r="11" spans="1:21" x14ac:dyDescent="0.35">
      <c r="A11" s="1">
        <v>8</v>
      </c>
      <c r="B11" t="s">
        <v>14</v>
      </c>
      <c r="C11" s="19">
        <v>11152.243764705881</v>
      </c>
      <c r="D11" s="19">
        <v>18315.523764705882</v>
      </c>
      <c r="E11" s="19">
        <v>4623.8823529411766</v>
      </c>
      <c r="F11" s="19">
        <v>4635.0635294117646</v>
      </c>
      <c r="G11" s="19">
        <v>4623.8823529411766</v>
      </c>
      <c r="H11" s="19">
        <v>7682.9689411764712</v>
      </c>
      <c r="I11" s="19">
        <v>4623.8823529411766</v>
      </c>
      <c r="J11" s="19"/>
      <c r="K11" s="19">
        <v>4623.8823529411766</v>
      </c>
      <c r="L11" s="19"/>
      <c r="M11" s="19">
        <v>4623.8823529411766</v>
      </c>
      <c r="N11" s="19">
        <v>4623.8823529411766</v>
      </c>
      <c r="O11" s="30">
        <f t="shared" si="0"/>
        <v>6952.9094117647055</v>
      </c>
      <c r="P11">
        <v>2019</v>
      </c>
      <c r="Q11" t="s">
        <v>66</v>
      </c>
      <c r="R11" s="9">
        <f>_xlfn.XLOOKUP(B11,'Wage Index_ESA'!C:C,'Wage Index_ESA'!D:D,0,0)</f>
        <v>820.14928855859421</v>
      </c>
    </row>
    <row r="12" spans="1:21" x14ac:dyDescent="0.35">
      <c r="A12" s="1">
        <v>9</v>
      </c>
      <c r="B12" t="s">
        <v>15</v>
      </c>
      <c r="C12" s="19">
        <v>40332.199999999997</v>
      </c>
      <c r="D12" s="19">
        <v>68600.559615384613</v>
      </c>
      <c r="E12" s="19">
        <v>29923.9</v>
      </c>
      <c r="F12" s="19">
        <v>18169.011664643192</v>
      </c>
      <c r="G12" s="19">
        <v>40332.199999999997</v>
      </c>
      <c r="H12" s="19">
        <v>33827</v>
      </c>
      <c r="I12" s="19">
        <v>33827</v>
      </c>
      <c r="J12" s="19">
        <v>33827</v>
      </c>
      <c r="K12" s="19">
        <v>18248.400000000001</v>
      </c>
      <c r="L12" s="19">
        <v>6691.2</v>
      </c>
      <c r="M12" s="19">
        <v>22628.400000000001</v>
      </c>
      <c r="N12" s="19">
        <v>10736.234165470978</v>
      </c>
      <c r="O12" s="30">
        <f t="shared" si="0"/>
        <v>29761.925453791569</v>
      </c>
      <c r="P12">
        <v>2019</v>
      </c>
      <c r="Q12" t="s">
        <v>65</v>
      </c>
      <c r="R12" s="9">
        <f>_xlfn.XLOOKUP(B12,'Wage Index_ESA'!C:C,'Wage Index_ESA'!D:D,0,0)</f>
        <v>7970.7969680064125</v>
      </c>
    </row>
    <row r="13" spans="1:21" x14ac:dyDescent="0.35">
      <c r="A13" s="1">
        <v>10</v>
      </c>
      <c r="B13" t="s">
        <v>16</v>
      </c>
      <c r="C13" s="19">
        <v>6021.5567010309278</v>
      </c>
      <c r="D13" s="19">
        <v>14628.896907216495</v>
      </c>
      <c r="E13" s="19">
        <v>5416.7938144329901</v>
      </c>
      <c r="F13" s="19">
        <v>5416.7938144329901</v>
      </c>
      <c r="G13" s="19">
        <v>5416.7938144329901</v>
      </c>
      <c r="H13" s="19">
        <v>5416.7938144329901</v>
      </c>
      <c r="I13" s="19">
        <v>5416.7938144329901</v>
      </c>
      <c r="J13" s="19">
        <v>5416.7938144329901</v>
      </c>
      <c r="K13" s="19">
        <v>5416.7938144329901</v>
      </c>
      <c r="L13" s="19">
        <v>2010.2783505154639</v>
      </c>
      <c r="M13" s="19">
        <v>5416.7938144329901</v>
      </c>
      <c r="N13" s="19">
        <v>5416.7938144329901</v>
      </c>
      <c r="O13" s="30">
        <f t="shared" si="0"/>
        <v>5950.9896907216498</v>
      </c>
      <c r="P13">
        <v>2019</v>
      </c>
      <c r="Q13" t="s">
        <v>65</v>
      </c>
      <c r="R13" s="9">
        <f>_xlfn.XLOOKUP(B13,'Wage Index_ESA'!C:C,'Wage Index_ESA'!D:D,0,0)</f>
        <v>583.11020358403914</v>
      </c>
    </row>
    <row r="14" spans="1:21" x14ac:dyDescent="0.35">
      <c r="A14" s="1">
        <v>11</v>
      </c>
      <c r="B14" t="s">
        <v>62</v>
      </c>
      <c r="C14" s="19">
        <v>25106.732307692309</v>
      </c>
      <c r="D14" s="19">
        <v>37170.581538461534</v>
      </c>
      <c r="E14" s="19">
        <v>5825.1178021978039</v>
      </c>
      <c r="F14" s="19">
        <v>6741.5821036106872</v>
      </c>
      <c r="G14" s="19">
        <v>24675.147076923073</v>
      </c>
      <c r="H14" s="19">
        <v>8329.7848138958016</v>
      </c>
      <c r="I14" s="19">
        <v>5825.1178021978039</v>
      </c>
      <c r="J14" s="19">
        <v>8329.7848138958016</v>
      </c>
      <c r="K14" s="19">
        <v>5825.1178021978039</v>
      </c>
      <c r="L14" s="19"/>
      <c r="M14" s="19">
        <v>8329.7848138958016</v>
      </c>
      <c r="N14" s="19">
        <v>6275.9016210635054</v>
      </c>
      <c r="O14" s="30">
        <f t="shared" si="0"/>
        <v>12948.604772366538</v>
      </c>
      <c r="P14">
        <v>2019</v>
      </c>
      <c r="Q14" t="s">
        <v>64</v>
      </c>
      <c r="R14" s="9">
        <f>_xlfn.XLOOKUP(B14,'Wage Index_ESA'!C:C,'Wage Index_ESA'!D:D,0,0)</f>
        <v>1305.0022135408724</v>
      </c>
    </row>
    <row r="15" spans="1:21" ht="16" thickBot="1" x14ac:dyDescent="0.4">
      <c r="A15" s="20">
        <v>12</v>
      </c>
      <c r="B15" s="21" t="s">
        <v>17</v>
      </c>
      <c r="C15" s="22">
        <v>26265.357142857141</v>
      </c>
      <c r="D15" s="22">
        <v>31958.714285714286</v>
      </c>
      <c r="E15" s="22">
        <v>10845.357142857143</v>
      </c>
      <c r="F15" s="22">
        <v>10845.357142857143</v>
      </c>
      <c r="G15" s="22">
        <v>26265.357142857141</v>
      </c>
      <c r="H15" s="22">
        <v>17704.857142857141</v>
      </c>
      <c r="I15" s="22">
        <v>9005.4285714285706</v>
      </c>
      <c r="J15" s="22">
        <v>7477.7857142857147</v>
      </c>
      <c r="K15" s="22">
        <v>9005.4285714285706</v>
      </c>
      <c r="L15" s="22">
        <v>300</v>
      </c>
      <c r="M15" s="22">
        <v>14688.857142857143</v>
      </c>
      <c r="N15" s="22"/>
      <c r="O15" s="31">
        <f t="shared" si="0"/>
        <v>14942.045454545454</v>
      </c>
      <c r="P15" s="21">
        <v>2019</v>
      </c>
      <c r="Q15" s="21" t="s">
        <v>67</v>
      </c>
      <c r="R15" s="9">
        <f>_xlfn.XLOOKUP(B15,'Wage Index_ESA'!C:C,'Wage Index_ESA'!D:D,0,0)</f>
        <v>3894.6696302985792</v>
      </c>
    </row>
    <row r="16" spans="1:21" ht="16" thickTop="1" x14ac:dyDescent="0.35">
      <c r="B16" s="10" t="s">
        <v>26</v>
      </c>
      <c r="C16" s="27">
        <f t="shared" ref="C16:O16" si="1">AVERAGEIF(C4:C15,"&gt;0")</f>
        <v>29715.340249839446</v>
      </c>
      <c r="D16" s="27">
        <f t="shared" si="1"/>
        <v>38841.277941200089</v>
      </c>
      <c r="E16" s="27">
        <f t="shared" si="1"/>
        <v>14436.379177992247</v>
      </c>
      <c r="F16" s="27">
        <f t="shared" si="1"/>
        <v>13605.001797012324</v>
      </c>
      <c r="G16" s="27">
        <f t="shared" si="1"/>
        <v>26125.049122472545</v>
      </c>
      <c r="H16" s="27">
        <f t="shared" si="1"/>
        <v>20206.995459059995</v>
      </c>
      <c r="I16" s="27">
        <f t="shared" si="1"/>
        <v>9228.6275325979186</v>
      </c>
      <c r="J16" s="27">
        <f t="shared" si="1"/>
        <v>15066.198089953104</v>
      </c>
      <c r="K16" s="27">
        <f t="shared" si="1"/>
        <v>9440.5495151089526</v>
      </c>
      <c r="L16" s="27">
        <f t="shared" si="1"/>
        <v>2138.172770441437</v>
      </c>
      <c r="M16" s="27">
        <f t="shared" si="1"/>
        <v>14497.472082212531</v>
      </c>
      <c r="N16" s="27">
        <f t="shared" si="1"/>
        <v>7047.732598052452</v>
      </c>
      <c r="O16" s="32">
        <f t="shared" si="1"/>
        <v>18242.999674807663</v>
      </c>
    </row>
    <row r="17" spans="1:17" x14ac:dyDescent="0.35">
      <c r="B17" s="10" t="s">
        <v>29</v>
      </c>
      <c r="C17" s="27">
        <f t="shared" ref="C17:O17" si="2">MEDIAN(C4:C15)</f>
        <v>26265.357142857141</v>
      </c>
      <c r="D17" s="27">
        <f t="shared" si="2"/>
        <v>32943.847142857143</v>
      </c>
      <c r="E17" s="27">
        <f t="shared" si="2"/>
        <v>7839.8139010989016</v>
      </c>
      <c r="F17" s="27">
        <f t="shared" si="2"/>
        <v>8298.0460518053442</v>
      </c>
      <c r="G17" s="27">
        <f t="shared" si="2"/>
        <v>25470.252109890105</v>
      </c>
      <c r="H17" s="27">
        <f t="shared" si="2"/>
        <v>14039.074410829169</v>
      </c>
      <c r="I17" s="27">
        <f t="shared" si="2"/>
        <v>5620.955808315397</v>
      </c>
      <c r="J17" s="27">
        <f t="shared" si="2"/>
        <v>7903.7852640907586</v>
      </c>
      <c r="K17" s="27">
        <f t="shared" si="2"/>
        <v>7415.2731868131868</v>
      </c>
      <c r="L17" s="27">
        <f t="shared" si="2"/>
        <v>2100.5641752577321</v>
      </c>
      <c r="M17" s="27">
        <f t="shared" si="2"/>
        <v>12188.43</v>
      </c>
      <c r="N17" s="27">
        <f t="shared" si="2"/>
        <v>6275.9016210635054</v>
      </c>
      <c r="O17" s="32">
        <f t="shared" si="2"/>
        <v>13945.325113455996</v>
      </c>
    </row>
    <row r="18" spans="1:17" x14ac:dyDescent="0.35">
      <c r="B18" s="10" t="s">
        <v>27</v>
      </c>
      <c r="C18" s="27">
        <f t="shared" ref="C18:N18" si="3">_xlfn.MINIFS(C4:C15,C4:C15,"&gt;0")</f>
        <v>4350</v>
      </c>
      <c r="D18" s="27">
        <f t="shared" si="3"/>
        <v>5391</v>
      </c>
      <c r="E18" s="27">
        <f t="shared" si="3"/>
        <v>3030.4285714285716</v>
      </c>
      <c r="F18" s="27">
        <f t="shared" si="3"/>
        <v>3577.84</v>
      </c>
      <c r="G18" s="27">
        <f t="shared" si="3"/>
        <v>4350</v>
      </c>
      <c r="H18" s="27">
        <f t="shared" si="3"/>
        <v>3577.84</v>
      </c>
      <c r="I18" s="27">
        <f t="shared" si="3"/>
        <v>3030.4285714285716</v>
      </c>
      <c r="J18" s="27">
        <f t="shared" si="3"/>
        <v>3577.84</v>
      </c>
      <c r="K18" s="27">
        <f t="shared" si="3"/>
        <v>2446.2732179260734</v>
      </c>
      <c r="L18" s="27">
        <f t="shared" si="3"/>
        <v>18.910955873175567</v>
      </c>
      <c r="M18" s="27">
        <f t="shared" si="3"/>
        <v>3928.3471446347726</v>
      </c>
      <c r="N18" s="27">
        <f t="shared" si="3"/>
        <v>3881.14</v>
      </c>
      <c r="O18" s="32"/>
    </row>
    <row r="19" spans="1:17" x14ac:dyDescent="0.35">
      <c r="B19" s="10" t="s">
        <v>28</v>
      </c>
      <c r="C19" s="27">
        <f t="shared" ref="C19:N19" si="4">MAX(C4:C15)</f>
        <v>70131.642857142855</v>
      </c>
      <c r="D19" s="27">
        <f t="shared" si="4"/>
        <v>93060.642857142855</v>
      </c>
      <c r="E19" s="27">
        <f t="shared" si="4"/>
        <v>50651.83585313175</v>
      </c>
      <c r="F19" s="27">
        <f t="shared" si="4"/>
        <v>50651.83585313175</v>
      </c>
      <c r="G19" s="27">
        <f t="shared" si="4"/>
        <v>65003.37796976242</v>
      </c>
      <c r="H19" s="27">
        <f t="shared" si="4"/>
        <v>55266.428571428572</v>
      </c>
      <c r="I19" s="27">
        <f t="shared" si="4"/>
        <v>33827</v>
      </c>
      <c r="J19" s="27">
        <f t="shared" si="4"/>
        <v>39012.857142857145</v>
      </c>
      <c r="K19" s="27">
        <f t="shared" si="4"/>
        <v>23780.74082073434</v>
      </c>
      <c r="L19" s="27">
        <f t="shared" si="4"/>
        <v>6691.2</v>
      </c>
      <c r="M19" s="27">
        <f t="shared" si="4"/>
        <v>39012.857142857145</v>
      </c>
      <c r="N19" s="27">
        <f t="shared" si="4"/>
        <v>12006</v>
      </c>
      <c r="O19" s="32"/>
    </row>
    <row r="20" spans="1:17" x14ac:dyDescent="0.35">
      <c r="B20" s="10" t="s">
        <v>30</v>
      </c>
      <c r="C20" s="12">
        <f t="shared" ref="C20:O20" si="5">COUNT(C4:C15)</f>
        <v>11</v>
      </c>
      <c r="D20" s="12">
        <f t="shared" si="5"/>
        <v>12</v>
      </c>
      <c r="E20" s="12">
        <f t="shared" si="5"/>
        <v>12</v>
      </c>
      <c r="F20" s="12">
        <f t="shared" si="5"/>
        <v>12</v>
      </c>
      <c r="G20" s="12">
        <f t="shared" si="5"/>
        <v>10</v>
      </c>
      <c r="H20" s="12">
        <f t="shared" si="5"/>
        <v>12</v>
      </c>
      <c r="I20" s="12">
        <f t="shared" si="5"/>
        <v>10</v>
      </c>
      <c r="J20" s="12">
        <f t="shared" si="5"/>
        <v>10</v>
      </c>
      <c r="K20" s="12">
        <f t="shared" si="5"/>
        <v>10</v>
      </c>
      <c r="L20" s="12">
        <f t="shared" si="5"/>
        <v>8</v>
      </c>
      <c r="M20" s="12">
        <f t="shared" si="5"/>
        <v>9</v>
      </c>
      <c r="N20" s="12">
        <f t="shared" si="5"/>
        <v>7</v>
      </c>
      <c r="O20" s="33">
        <f t="shared" si="5"/>
        <v>12</v>
      </c>
    </row>
    <row r="21" spans="1:17" x14ac:dyDescent="0.35">
      <c r="B21" s="10" t="s">
        <v>31</v>
      </c>
      <c r="C21" s="27">
        <f t="shared" ref="C21:O21" si="6">STDEV(C4:C15)</f>
        <v>22820.437006230241</v>
      </c>
      <c r="D21" s="27">
        <f t="shared" si="6"/>
        <v>27005.215669258367</v>
      </c>
      <c r="E21" s="27">
        <f t="shared" si="6"/>
        <v>15176.831353551333</v>
      </c>
      <c r="F21" s="27">
        <f t="shared" si="6"/>
        <v>14351.519943999867</v>
      </c>
      <c r="G21" s="27">
        <f t="shared" si="6"/>
        <v>18981.330585317442</v>
      </c>
      <c r="H21" s="27">
        <f t="shared" si="6"/>
        <v>17555.318183625342</v>
      </c>
      <c r="I21" s="27">
        <f t="shared" si="6"/>
        <v>9130.0828939727926</v>
      </c>
      <c r="J21" s="27">
        <f t="shared" si="6"/>
        <v>13561.071520575057</v>
      </c>
      <c r="K21" s="27">
        <f t="shared" si="6"/>
        <v>6940.9481046690416</v>
      </c>
      <c r="L21" s="27">
        <f t="shared" si="6"/>
        <v>2178.8388050705216</v>
      </c>
      <c r="M21" s="27">
        <f t="shared" si="6"/>
        <v>11340.349869393951</v>
      </c>
      <c r="N21" s="27">
        <f t="shared" si="6"/>
        <v>3103.0801480355331</v>
      </c>
      <c r="O21" s="32">
        <f t="shared" si="6"/>
        <v>15137.646612384808</v>
      </c>
    </row>
    <row r="22" spans="1:17" x14ac:dyDescent="0.35">
      <c r="B22" s="10" t="s">
        <v>32</v>
      </c>
      <c r="C22" s="13">
        <f>C21/SQRT(C20)</f>
        <v>6880.6206456006348</v>
      </c>
      <c r="D22" s="13">
        <f t="shared" ref="D22:O22" si="7">D21/SQRT(D20)</f>
        <v>7795.7342680851089</v>
      </c>
      <c r="E22" s="13">
        <f t="shared" si="7"/>
        <v>4381.1738337092074</v>
      </c>
      <c r="F22" s="13">
        <f t="shared" si="7"/>
        <v>4142.9269514743037</v>
      </c>
      <c r="G22" s="13">
        <f t="shared" si="7"/>
        <v>6002.4237670220136</v>
      </c>
      <c r="H22" s="13">
        <f t="shared" si="7"/>
        <v>5067.7838395128119</v>
      </c>
      <c r="I22" s="13">
        <f t="shared" si="7"/>
        <v>2887.1857171095626</v>
      </c>
      <c r="J22" s="13">
        <f t="shared" si="7"/>
        <v>4288.3873517460133</v>
      </c>
      <c r="K22" s="13">
        <f t="shared" si="7"/>
        <v>2194.9205131782965</v>
      </c>
      <c r="L22" s="13">
        <f t="shared" si="7"/>
        <v>770.33584708887997</v>
      </c>
      <c r="M22" s="13">
        <f t="shared" si="7"/>
        <v>3780.1166231313168</v>
      </c>
      <c r="N22" s="13">
        <f t="shared" si="7"/>
        <v>1172.854052857645</v>
      </c>
      <c r="O22" s="34">
        <f t="shared" si="7"/>
        <v>4369.8621732788979</v>
      </c>
    </row>
    <row r="23" spans="1:17" x14ac:dyDescent="0.35">
      <c r="B23" s="10" t="s">
        <v>33</v>
      </c>
      <c r="C23" s="13">
        <f>C16-(1.96*C22)</f>
        <v>16229.323784462202</v>
      </c>
      <c r="D23" s="13">
        <f t="shared" ref="D23:O23" si="8">D16-(1.96*D22)</f>
        <v>23561.638775753276</v>
      </c>
      <c r="E23" s="13">
        <f t="shared" si="8"/>
        <v>5849.2784639222009</v>
      </c>
      <c r="F23" s="13">
        <f t="shared" si="8"/>
        <v>5484.8649721226893</v>
      </c>
      <c r="G23" s="13">
        <f t="shared" si="8"/>
        <v>14360.298539109399</v>
      </c>
      <c r="H23" s="13">
        <f t="shared" si="8"/>
        <v>10274.139133614884</v>
      </c>
      <c r="I23" s="13">
        <f t="shared" si="8"/>
        <v>3569.7435270631759</v>
      </c>
      <c r="J23" s="13">
        <f t="shared" si="8"/>
        <v>6660.9588805309177</v>
      </c>
      <c r="K23" s="13">
        <f t="shared" si="8"/>
        <v>5138.5053092794915</v>
      </c>
      <c r="L23" s="13">
        <f t="shared" si="8"/>
        <v>628.31451014723234</v>
      </c>
      <c r="M23" s="13">
        <f t="shared" si="8"/>
        <v>7088.4435008751498</v>
      </c>
      <c r="N23" s="13">
        <f t="shared" si="8"/>
        <v>4748.9386544514673</v>
      </c>
      <c r="O23" s="34">
        <f t="shared" si="8"/>
        <v>9678.0698151810229</v>
      </c>
    </row>
    <row r="24" spans="1:17" ht="16" thickBot="1" x14ac:dyDescent="0.4">
      <c r="A24" s="20"/>
      <c r="B24" s="28" t="s">
        <v>34</v>
      </c>
      <c r="C24" s="29">
        <f>C16+(1.96*C22)</f>
        <v>43201.356715216694</v>
      </c>
      <c r="D24" s="29">
        <f t="shared" ref="D24:N24" si="9">D16+(1.96*D22)</f>
        <v>54120.917106646899</v>
      </c>
      <c r="E24" s="29">
        <f t="shared" si="9"/>
        <v>23023.479892062292</v>
      </c>
      <c r="F24" s="29">
        <f t="shared" si="9"/>
        <v>21725.138621901959</v>
      </c>
      <c r="G24" s="29">
        <f t="shared" si="9"/>
        <v>37889.799705835692</v>
      </c>
      <c r="H24" s="29">
        <f t="shared" si="9"/>
        <v>30139.851784505106</v>
      </c>
      <c r="I24" s="29">
        <f t="shared" si="9"/>
        <v>14887.511538132661</v>
      </c>
      <c r="J24" s="29">
        <f t="shared" si="9"/>
        <v>23471.437299375291</v>
      </c>
      <c r="K24" s="29">
        <f t="shared" si="9"/>
        <v>13742.593720938414</v>
      </c>
      <c r="L24" s="29">
        <f t="shared" si="9"/>
        <v>3648.0310307356417</v>
      </c>
      <c r="M24" s="29">
        <f t="shared" si="9"/>
        <v>21906.500663549912</v>
      </c>
      <c r="N24" s="29">
        <f t="shared" si="9"/>
        <v>9346.5265416534367</v>
      </c>
      <c r="O24" s="35">
        <f t="shared" ref="O24" si="10">O16+(1.96*O22)</f>
        <v>26807.929534434305</v>
      </c>
      <c r="P24" s="21"/>
      <c r="Q24" s="21"/>
    </row>
    <row r="25" spans="1:17" ht="16" thickTop="1" x14ac:dyDescent="0.35"/>
    <row r="27" spans="1:17" x14ac:dyDescent="0.35">
      <c r="B27" s="36" t="s">
        <v>70</v>
      </c>
      <c r="C27" s="9">
        <f>C16/12</f>
        <v>2476.2783541532872</v>
      </c>
      <c r="D27" s="9">
        <f t="shared" ref="D27:O27" si="11">D16/12</f>
        <v>3236.7731617666741</v>
      </c>
      <c r="E27" s="9">
        <f t="shared" si="11"/>
        <v>1203.0315981660206</v>
      </c>
      <c r="F27" s="9">
        <f t="shared" si="11"/>
        <v>1133.750149751027</v>
      </c>
      <c r="G27" s="9">
        <f t="shared" si="11"/>
        <v>2177.0874268727121</v>
      </c>
      <c r="H27" s="9">
        <f t="shared" si="11"/>
        <v>1683.9162882549997</v>
      </c>
      <c r="I27" s="9">
        <f t="shared" si="11"/>
        <v>769.05229438315985</v>
      </c>
      <c r="J27" s="9">
        <f t="shared" si="11"/>
        <v>1255.5165074960921</v>
      </c>
      <c r="K27" s="9">
        <f t="shared" si="11"/>
        <v>786.71245959241276</v>
      </c>
      <c r="L27" s="9">
        <f t="shared" si="11"/>
        <v>178.18106420345308</v>
      </c>
      <c r="M27" s="9">
        <f t="shared" si="11"/>
        <v>1208.1226735177108</v>
      </c>
      <c r="N27" s="9">
        <f t="shared" si="11"/>
        <v>587.31104983770433</v>
      </c>
      <c r="O27" s="9">
        <f t="shared" si="11"/>
        <v>1520.2499729006386</v>
      </c>
    </row>
    <row r="28" spans="1:17" x14ac:dyDescent="0.35">
      <c r="B28" s="10" t="s">
        <v>33</v>
      </c>
      <c r="C28" s="9">
        <f>C23/12</f>
        <v>1352.4436487051835</v>
      </c>
      <c r="D28" s="9">
        <f t="shared" ref="D28:O28" si="12">D23/12</f>
        <v>1963.4698979794396</v>
      </c>
      <c r="E28" s="9">
        <f t="shared" si="12"/>
        <v>487.43987199351676</v>
      </c>
      <c r="F28" s="9">
        <f t="shared" si="12"/>
        <v>457.07208101022411</v>
      </c>
      <c r="G28" s="9">
        <f t="shared" si="12"/>
        <v>1196.6915449257833</v>
      </c>
      <c r="H28" s="9">
        <f t="shared" si="12"/>
        <v>856.17826113457375</v>
      </c>
      <c r="I28" s="9">
        <f t="shared" si="12"/>
        <v>297.47862725526466</v>
      </c>
      <c r="J28" s="9">
        <f t="shared" si="12"/>
        <v>555.07990671090977</v>
      </c>
      <c r="K28" s="9">
        <f t="shared" si="12"/>
        <v>428.20877577329094</v>
      </c>
      <c r="L28" s="9">
        <f t="shared" si="12"/>
        <v>52.359542512269364</v>
      </c>
      <c r="M28" s="9">
        <f t="shared" si="12"/>
        <v>590.70362507292919</v>
      </c>
      <c r="N28" s="9">
        <f t="shared" si="12"/>
        <v>395.74488787095561</v>
      </c>
      <c r="O28" s="9">
        <f t="shared" si="12"/>
        <v>806.50581793175195</v>
      </c>
    </row>
    <row r="29" spans="1:17" ht="16" thickBot="1" x14ac:dyDescent="0.4">
      <c r="B29" s="28" t="s">
        <v>34</v>
      </c>
      <c r="C29" s="9">
        <f>C24/12</f>
        <v>3600.1130596013913</v>
      </c>
      <c r="D29" s="9">
        <f t="shared" ref="D29:O29" si="13">D24/12</f>
        <v>4510.0764255539079</v>
      </c>
      <c r="E29" s="9">
        <f t="shared" si="13"/>
        <v>1918.6233243385243</v>
      </c>
      <c r="F29" s="9">
        <f t="shared" si="13"/>
        <v>1810.42821849183</v>
      </c>
      <c r="G29" s="9">
        <f t="shared" si="13"/>
        <v>3157.483308819641</v>
      </c>
      <c r="H29" s="9">
        <f t="shared" si="13"/>
        <v>2511.6543153754255</v>
      </c>
      <c r="I29" s="9">
        <f t="shared" si="13"/>
        <v>1240.625961511055</v>
      </c>
      <c r="J29" s="9">
        <f t="shared" si="13"/>
        <v>1955.9531082812744</v>
      </c>
      <c r="K29" s="9">
        <f t="shared" si="13"/>
        <v>1145.2161434115344</v>
      </c>
      <c r="L29" s="9">
        <f t="shared" si="13"/>
        <v>304.00258589463681</v>
      </c>
      <c r="M29" s="9">
        <f t="shared" si="13"/>
        <v>1825.5417219624926</v>
      </c>
      <c r="N29" s="9">
        <f t="shared" si="13"/>
        <v>778.87721180445305</v>
      </c>
      <c r="O29" s="9">
        <f t="shared" si="13"/>
        <v>2233.9941278695255</v>
      </c>
    </row>
    <row r="30" spans="1:17" ht="16" thickTop="1" x14ac:dyDescent="0.35"/>
    <row r="33" spans="5:5" x14ac:dyDescent="0.35">
      <c r="E33" s="9"/>
    </row>
    <row r="34" spans="5:5" x14ac:dyDescent="0.35">
      <c r="E34" s="9"/>
    </row>
    <row r="35" spans="5:5" x14ac:dyDescent="0.35">
      <c r="E3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3788-AE3E-BE4A-A1DC-FCE7C899CF97}">
  <dimension ref="A1:Q14"/>
  <sheetViews>
    <sheetView workbookViewId="0">
      <selection activeCell="R32" sqref="R32"/>
    </sheetView>
  </sheetViews>
  <sheetFormatPr defaultColWidth="10.6640625" defaultRowHeight="15.5" x14ac:dyDescent="0.35"/>
  <sheetData>
    <row r="1" spans="1:17" ht="62.5" thickBot="1" x14ac:dyDescent="0.4">
      <c r="A1" s="24" t="s">
        <v>20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21</v>
      </c>
      <c r="G1" s="25" t="s">
        <v>22</v>
      </c>
      <c r="H1" s="25" t="s">
        <v>23</v>
      </c>
      <c r="I1" s="25" t="s">
        <v>24</v>
      </c>
      <c r="J1" s="25" t="s">
        <v>4</v>
      </c>
      <c r="K1" s="25" t="s">
        <v>5</v>
      </c>
      <c r="L1" s="25" t="s">
        <v>25</v>
      </c>
      <c r="M1" s="25" t="s">
        <v>35</v>
      </c>
      <c r="N1" s="25" t="s">
        <v>69</v>
      </c>
      <c r="O1" s="26" t="s">
        <v>18</v>
      </c>
      <c r="P1" s="25" t="s">
        <v>68</v>
      </c>
      <c r="Q1" s="59" t="s">
        <v>72</v>
      </c>
    </row>
    <row r="2" spans="1:17" ht="16" thickTop="1" x14ac:dyDescent="0.35">
      <c r="A2" t="s">
        <v>627</v>
      </c>
      <c r="B2" s="19"/>
      <c r="C2" s="19">
        <v>12679.06</v>
      </c>
      <c r="D2" s="19">
        <v>3577.84</v>
      </c>
      <c r="E2" s="19">
        <v>3577.84</v>
      </c>
      <c r="F2" s="19"/>
      <c r="G2" s="19">
        <v>3577.84</v>
      </c>
      <c r="H2" s="19">
        <v>3577.84</v>
      </c>
      <c r="I2" s="19">
        <v>3577.84</v>
      </c>
      <c r="J2" s="19"/>
      <c r="K2" s="19"/>
      <c r="L2" s="19"/>
      <c r="M2" s="19"/>
      <c r="N2" s="30">
        <v>5094.71</v>
      </c>
      <c r="O2">
        <v>2021</v>
      </c>
      <c r="P2" t="s">
        <v>66</v>
      </c>
      <c r="Q2" s="9">
        <v>1156.1548636013904</v>
      </c>
    </row>
    <row r="3" spans="1:17" x14ac:dyDescent="0.35">
      <c r="A3" t="s">
        <v>7</v>
      </c>
      <c r="B3" s="19">
        <v>70131.642857142855</v>
      </c>
      <c r="C3" s="19">
        <v>93060.642857142855</v>
      </c>
      <c r="D3" s="19">
        <v>32982.785714285717</v>
      </c>
      <c r="E3" s="19">
        <v>32982.785714285717</v>
      </c>
      <c r="F3" s="19"/>
      <c r="G3" s="19">
        <v>55266.428571428572</v>
      </c>
      <c r="H3" s="19"/>
      <c r="I3" s="19">
        <v>39012.857142857145</v>
      </c>
      <c r="J3" s="19"/>
      <c r="K3" s="19">
        <v>3000</v>
      </c>
      <c r="L3" s="19">
        <v>39012.857142857145</v>
      </c>
      <c r="M3" s="19"/>
      <c r="N3" s="30">
        <v>45681.25</v>
      </c>
      <c r="O3">
        <v>2020</v>
      </c>
      <c r="P3" t="s">
        <v>66</v>
      </c>
      <c r="Q3" s="9">
        <v>6001.401121406795</v>
      </c>
    </row>
    <row r="4" spans="1:17" x14ac:dyDescent="0.35">
      <c r="A4" t="s">
        <v>8</v>
      </c>
      <c r="B4" s="19">
        <v>38320.080000000002</v>
      </c>
      <c r="C4" s="19">
        <v>49800</v>
      </c>
      <c r="D4" s="19">
        <v>12002.4</v>
      </c>
      <c r="E4" s="19">
        <v>12002.4</v>
      </c>
      <c r="F4" s="19">
        <v>38320.080000000002</v>
      </c>
      <c r="G4" s="19">
        <v>32760</v>
      </c>
      <c r="H4" s="19">
        <v>9840</v>
      </c>
      <c r="I4" s="19"/>
      <c r="J4" s="19">
        <v>9840</v>
      </c>
      <c r="K4" s="19">
        <v>240</v>
      </c>
      <c r="L4" s="19"/>
      <c r="M4" s="19">
        <v>12006</v>
      </c>
      <c r="N4" s="30">
        <v>21513.095999999998</v>
      </c>
      <c r="O4">
        <v>2019</v>
      </c>
      <c r="P4" t="s">
        <v>64</v>
      </c>
      <c r="Q4" s="9">
        <v>1816.547123752179</v>
      </c>
    </row>
    <row r="5" spans="1:17" x14ac:dyDescent="0.35">
      <c r="A5" t="s">
        <v>445</v>
      </c>
      <c r="B5" s="19">
        <v>67042.774658027367</v>
      </c>
      <c r="C5" s="19">
        <v>71841.183585313178</v>
      </c>
      <c r="D5" s="19">
        <v>50651.83585313175</v>
      </c>
      <c r="E5" s="19">
        <v>50651.83585313175</v>
      </c>
      <c r="F5" s="19">
        <v>65003.37796976242</v>
      </c>
      <c r="G5" s="19">
        <v>45703.887688984876</v>
      </c>
      <c r="H5" s="19"/>
      <c r="I5" s="19">
        <v>29543.77537796976</v>
      </c>
      <c r="J5" s="19">
        <v>23780.74082073434</v>
      </c>
      <c r="K5" s="19"/>
      <c r="L5" s="19">
        <v>19659.896328293737</v>
      </c>
      <c r="M5" s="19"/>
      <c r="N5" s="30">
        <v>47097.700903927689</v>
      </c>
      <c r="O5">
        <v>2019</v>
      </c>
      <c r="P5" t="s">
        <v>66</v>
      </c>
      <c r="Q5" s="9">
        <v>5037.3426291926335</v>
      </c>
    </row>
    <row r="6" spans="1:17" x14ac:dyDescent="0.35">
      <c r="A6" t="s">
        <v>10</v>
      </c>
      <c r="B6" s="19">
        <v>28693.57</v>
      </c>
      <c r="C6" s="19">
        <v>33928.980000000003</v>
      </c>
      <c r="D6" s="19">
        <v>9854.51</v>
      </c>
      <c r="E6" s="19">
        <v>9854.51</v>
      </c>
      <c r="F6" s="19">
        <v>28693.57</v>
      </c>
      <c r="G6" s="19">
        <v>17959.95</v>
      </c>
      <c r="H6" s="19">
        <v>12188.43</v>
      </c>
      <c r="I6" s="19">
        <v>12188.43</v>
      </c>
      <c r="J6" s="19">
        <v>12188.43</v>
      </c>
      <c r="K6" s="19">
        <v>2190.85</v>
      </c>
      <c r="L6" s="19">
        <v>12188.43</v>
      </c>
      <c r="M6" s="19"/>
      <c r="N6" s="30">
        <v>16357.241818181816</v>
      </c>
      <c r="O6">
        <v>2020</v>
      </c>
      <c r="P6" t="s">
        <v>66</v>
      </c>
      <c r="Q6" s="9">
        <v>1113.3721403358106</v>
      </c>
    </row>
    <row r="7" spans="1:17" x14ac:dyDescent="0.35">
      <c r="A7" t="s">
        <v>11</v>
      </c>
      <c r="B7" s="19">
        <v>4350</v>
      </c>
      <c r="C7" s="19">
        <v>5391</v>
      </c>
      <c r="D7" s="19">
        <v>3030.4285714285716</v>
      </c>
      <c r="E7" s="19">
        <v>3881.1428571428573</v>
      </c>
      <c r="F7" s="19">
        <v>4350</v>
      </c>
      <c r="G7" s="19">
        <v>3881.1428571428573</v>
      </c>
      <c r="H7" s="19">
        <v>3030.4285714285716</v>
      </c>
      <c r="I7" s="19">
        <v>3881.1428571428573</v>
      </c>
      <c r="J7" s="19">
        <v>3030.4285714285716</v>
      </c>
      <c r="K7" s="19">
        <v>2654.1428571428573</v>
      </c>
      <c r="L7" s="19"/>
      <c r="M7" s="19">
        <v>3881.14</v>
      </c>
      <c r="N7" s="30">
        <v>3760.0906493506495</v>
      </c>
      <c r="O7">
        <v>2019</v>
      </c>
      <c r="P7" t="s">
        <v>66</v>
      </c>
      <c r="Q7" s="9">
        <v>855.7608851869029</v>
      </c>
    </row>
    <row r="8" spans="1:17" x14ac:dyDescent="0.35">
      <c r="A8" t="s">
        <v>12</v>
      </c>
      <c r="B8" s="19">
        <v>9452.5853167774221</v>
      </c>
      <c r="C8" s="19">
        <v>28720.192740462258</v>
      </c>
      <c r="D8" s="19">
        <v>4501.6988846318236</v>
      </c>
      <c r="E8" s="19">
        <v>4501.6988846318236</v>
      </c>
      <c r="F8" s="19">
        <v>23570.082867808636</v>
      </c>
      <c r="G8" s="19">
        <v>10373.291678801197</v>
      </c>
      <c r="H8" s="19">
        <v>4951.3542135500784</v>
      </c>
      <c r="I8" s="19">
        <v>7406.5711789468114</v>
      </c>
      <c r="J8" s="19">
        <v>2446.2732179260734</v>
      </c>
      <c r="K8" s="19">
        <v>18.910955873175567</v>
      </c>
      <c r="L8" s="19">
        <v>3928.3471446347726</v>
      </c>
      <c r="M8" s="19">
        <v>6394.1762324585125</v>
      </c>
      <c r="N8" s="30">
        <v>8855.4319430418818</v>
      </c>
      <c r="O8">
        <v>2019</v>
      </c>
      <c r="P8" t="s">
        <v>66</v>
      </c>
      <c r="Q8" s="9">
        <v>527.53417454467149</v>
      </c>
    </row>
    <row r="9" spans="1:17" x14ac:dyDescent="0.35">
      <c r="A9" t="s">
        <v>14</v>
      </c>
      <c r="B9" s="19">
        <v>11152.243764705881</v>
      </c>
      <c r="C9" s="19">
        <v>18315.523764705882</v>
      </c>
      <c r="D9" s="19">
        <v>4623.8823529411766</v>
      </c>
      <c r="E9" s="19">
        <v>4635.0635294117646</v>
      </c>
      <c r="F9" s="19">
        <v>4623.8823529411766</v>
      </c>
      <c r="G9" s="19">
        <v>7682.9689411764712</v>
      </c>
      <c r="H9" s="19">
        <v>4623.8823529411766</v>
      </c>
      <c r="I9" s="19"/>
      <c r="J9" s="19">
        <v>4623.8823529411766</v>
      </c>
      <c r="K9" s="19"/>
      <c r="L9" s="19">
        <v>4623.8823529411766</v>
      </c>
      <c r="M9" s="19">
        <v>4623.8823529411766</v>
      </c>
      <c r="N9" s="30">
        <v>6952.9094117647055</v>
      </c>
      <c r="O9">
        <v>2019</v>
      </c>
      <c r="P9" t="s">
        <v>66</v>
      </c>
      <c r="Q9" s="9">
        <v>820.14928855859421</v>
      </c>
    </row>
    <row r="10" spans="1:17" x14ac:dyDescent="0.35">
      <c r="A10" t="s">
        <v>15</v>
      </c>
      <c r="B10" s="19">
        <v>40332.199999999997</v>
      </c>
      <c r="C10" s="19">
        <v>68600.559615384613</v>
      </c>
      <c r="D10" s="19">
        <v>29923.9</v>
      </c>
      <c r="E10" s="19">
        <v>18169.011664643192</v>
      </c>
      <c r="F10" s="19">
        <v>40332.199999999997</v>
      </c>
      <c r="G10" s="19">
        <v>33827</v>
      </c>
      <c r="H10" s="19">
        <v>33827</v>
      </c>
      <c r="I10" s="19">
        <v>33827</v>
      </c>
      <c r="J10" s="19">
        <v>18248.400000000001</v>
      </c>
      <c r="K10" s="19">
        <v>6691.2</v>
      </c>
      <c r="L10" s="19">
        <v>22628.400000000001</v>
      </c>
      <c r="M10" s="19">
        <v>10736.234165470978</v>
      </c>
      <c r="N10" s="30">
        <v>29761.925453791569</v>
      </c>
      <c r="O10">
        <v>2019</v>
      </c>
      <c r="P10" t="s">
        <v>65</v>
      </c>
      <c r="Q10" s="9">
        <v>7970.7969680064125</v>
      </c>
    </row>
    <row r="11" spans="1:17" x14ac:dyDescent="0.35">
      <c r="A11" t="s">
        <v>16</v>
      </c>
      <c r="B11" s="19">
        <v>6021.5567010309278</v>
      </c>
      <c r="C11" s="19">
        <v>14628.896907216495</v>
      </c>
      <c r="D11" s="19">
        <v>5416.7938144329901</v>
      </c>
      <c r="E11" s="19">
        <v>5416.7938144329901</v>
      </c>
      <c r="F11" s="19">
        <v>5416.7938144329901</v>
      </c>
      <c r="G11" s="19">
        <v>5416.7938144329901</v>
      </c>
      <c r="H11" s="19">
        <v>5416.7938144329901</v>
      </c>
      <c r="I11" s="19">
        <v>5416.7938144329901</v>
      </c>
      <c r="J11" s="19">
        <v>5416.7938144329901</v>
      </c>
      <c r="K11" s="19">
        <v>2010.2783505154639</v>
      </c>
      <c r="L11" s="19">
        <v>5416.7938144329901</v>
      </c>
      <c r="M11" s="19">
        <v>5416.7938144329901</v>
      </c>
      <c r="N11" s="30">
        <v>5950.9896907216498</v>
      </c>
      <c r="O11">
        <v>2019</v>
      </c>
      <c r="P11" t="s">
        <v>65</v>
      </c>
      <c r="Q11" s="9">
        <v>583.11020358403914</v>
      </c>
    </row>
    <row r="12" spans="1:17" x14ac:dyDescent="0.35">
      <c r="A12" t="s">
        <v>62</v>
      </c>
      <c r="B12" s="19">
        <v>25106.732307692309</v>
      </c>
      <c r="C12" s="19">
        <v>37170.581538461534</v>
      </c>
      <c r="D12" s="19">
        <v>5825.1178021978039</v>
      </c>
      <c r="E12" s="19">
        <v>6741.5821036106872</v>
      </c>
      <c r="F12" s="19">
        <v>24675.147076923073</v>
      </c>
      <c r="G12" s="19">
        <v>8329.7848138958016</v>
      </c>
      <c r="H12" s="19">
        <v>5825.1178021978039</v>
      </c>
      <c r="I12" s="19">
        <v>8329.7848138958016</v>
      </c>
      <c r="J12" s="19">
        <v>5825.1178021978039</v>
      </c>
      <c r="K12" s="19"/>
      <c r="L12" s="19">
        <v>8329.7848138958016</v>
      </c>
      <c r="M12" s="19">
        <v>6275.9016210635054</v>
      </c>
      <c r="N12" s="30">
        <v>12948.604772366538</v>
      </c>
      <c r="O12">
        <v>2019</v>
      </c>
      <c r="P12" t="s">
        <v>64</v>
      </c>
      <c r="Q12" s="9">
        <v>1305.0022135408724</v>
      </c>
    </row>
    <row r="13" spans="1:17" ht="16" thickBot="1" x14ac:dyDescent="0.4">
      <c r="A13" s="21" t="s">
        <v>17</v>
      </c>
      <c r="B13" s="22">
        <v>26265.357142857141</v>
      </c>
      <c r="C13" s="22">
        <v>31958.714285714286</v>
      </c>
      <c r="D13" s="22">
        <v>10845.357142857143</v>
      </c>
      <c r="E13" s="22">
        <v>10845.357142857143</v>
      </c>
      <c r="F13" s="22">
        <v>26265.357142857141</v>
      </c>
      <c r="G13" s="22">
        <v>17704.857142857141</v>
      </c>
      <c r="H13" s="22">
        <v>9005.4285714285706</v>
      </c>
      <c r="I13" s="22">
        <v>7477.7857142857147</v>
      </c>
      <c r="J13" s="22">
        <v>9005.4285714285706</v>
      </c>
      <c r="K13" s="22">
        <v>300</v>
      </c>
      <c r="L13" s="22">
        <v>14688.857142857143</v>
      </c>
      <c r="M13" s="22"/>
      <c r="N13" s="31">
        <v>14942.045454545454</v>
      </c>
      <c r="O13" s="21">
        <v>2019</v>
      </c>
      <c r="P13" s="21" t="s">
        <v>67</v>
      </c>
      <c r="Q13" s="9">
        <v>3894.6696302985792</v>
      </c>
    </row>
    <row r="14" spans="1:17" ht="16" thickTop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7EDE-551D-8241-B2C3-80E685533AA2}">
  <dimension ref="A2:R35"/>
  <sheetViews>
    <sheetView topLeftCell="A15" zoomScale="130" zoomScaleNormal="130" workbookViewId="0">
      <selection activeCell="J11" sqref="J11"/>
    </sheetView>
  </sheetViews>
  <sheetFormatPr defaultColWidth="10.6640625" defaultRowHeight="15.5" x14ac:dyDescent="0.35"/>
  <cols>
    <col min="1" max="1" width="10.83203125" style="1"/>
    <col min="2" max="2" width="34.6640625" bestFit="1" customWidth="1"/>
    <col min="3" max="4" width="11.5" bestFit="1" customWidth="1"/>
    <col min="7" max="7" width="11.5" bestFit="1" customWidth="1"/>
    <col min="10" max="10" width="14.1640625" customWidth="1"/>
    <col min="17" max="17" width="15.83203125" customWidth="1"/>
  </cols>
  <sheetData>
    <row r="2" spans="1:18" x14ac:dyDescent="0.35">
      <c r="B2" s="37" t="s">
        <v>71</v>
      </c>
    </row>
    <row r="3" spans="1:18" ht="62.5" thickBot="1" x14ac:dyDescent="0.4">
      <c r="A3" s="23" t="s">
        <v>19</v>
      </c>
      <c r="B3" s="24" t="s">
        <v>20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21</v>
      </c>
      <c r="H3" s="25" t="s">
        <v>22</v>
      </c>
      <c r="I3" s="25" t="s">
        <v>23</v>
      </c>
      <c r="J3" s="25" t="s">
        <v>24</v>
      </c>
      <c r="K3" s="25" t="s">
        <v>4</v>
      </c>
      <c r="L3" s="25" t="s">
        <v>5</v>
      </c>
      <c r="M3" s="25" t="s">
        <v>25</v>
      </c>
      <c r="N3" s="25" t="s">
        <v>35</v>
      </c>
      <c r="O3" s="25" t="s">
        <v>69</v>
      </c>
      <c r="P3" s="26" t="s">
        <v>18</v>
      </c>
      <c r="Q3" s="25" t="s">
        <v>68</v>
      </c>
    </row>
    <row r="4" spans="1:18" ht="16" thickTop="1" x14ac:dyDescent="0.35">
      <c r="A4" s="1">
        <v>1</v>
      </c>
      <c r="B4" t="s">
        <v>627</v>
      </c>
      <c r="C4" s="19">
        <f>ESA_USD!C4/(_xlfn.XLOOKUP($B4,'PPP conversion factor'!$A:$A,'PPP conversion factor'!$AH:$AH,,0))</f>
        <v>0</v>
      </c>
      <c r="D4" s="19">
        <f>ESA_USD!D4/(_xlfn.XLOOKUP($B4,'PPP conversion factor'!$A:$A,'PPP conversion factor'!$AH:$AH,,0))</f>
        <v>24477.906795498722</v>
      </c>
      <c r="E4" s="19">
        <f>ESA_USD!E4/(_xlfn.XLOOKUP($B4,'PPP conversion factor'!$A:$A,'PPP conversion factor'!$AH:$AH,,0))</f>
        <v>6907.2970747994841</v>
      </c>
      <c r="F4" s="19">
        <f>ESA_USD!F4/(_xlfn.XLOOKUP($B4,'PPP conversion factor'!$A:$A,'PPP conversion factor'!$AH:$AH,,0))</f>
        <v>6907.2970747994841</v>
      </c>
      <c r="G4" s="19">
        <f>ESA_USD!G4/(_xlfn.XLOOKUP($B4,'PPP conversion factor'!$A:$A,'PPP conversion factor'!$AH:$AH,,0))</f>
        <v>0</v>
      </c>
      <c r="H4" s="19">
        <f>ESA_USD!H4/(_xlfn.XLOOKUP($B4,'PPP conversion factor'!$A:$A,'PPP conversion factor'!$AH:$AH,,0))</f>
        <v>6907.2970747994841</v>
      </c>
      <c r="I4" s="19">
        <f>ESA_USD!I4/(_xlfn.XLOOKUP($B4,'PPP conversion factor'!$A:$A,'PPP conversion factor'!$AH:$AH,,0))</f>
        <v>6907.2970747994841</v>
      </c>
      <c r="J4" s="19">
        <f>ESA_USD!J4/(_xlfn.XLOOKUP($B4,'PPP conversion factor'!$A:$A,'PPP conversion factor'!$AH:$AH,,0))</f>
        <v>6907.2970747994841</v>
      </c>
      <c r="K4" s="19">
        <f>ESA_USD!K4/(_xlfn.XLOOKUP($B4,'PPP conversion factor'!$A:$A,'PPP conversion factor'!$AH:$AH,,0))</f>
        <v>0</v>
      </c>
      <c r="L4" s="19">
        <f>ESA_USD!L4/(_xlfn.XLOOKUP($B4,'PPP conversion factor'!$A:$A,'PPP conversion factor'!$AH:$AH,,0))</f>
        <v>0</v>
      </c>
      <c r="M4" s="19">
        <f>ESA_USD!M4/(_xlfn.XLOOKUP($B4,'PPP conversion factor'!$A:$A,'PPP conversion factor'!$AH:$AH,,0))</f>
        <v>0</v>
      </c>
      <c r="N4" s="19">
        <f>ESA_USD!N4/(_xlfn.XLOOKUP($B4,'PPP conversion factor'!$A:$A,'PPP conversion factor'!$AH:$AH,,0))</f>
        <v>0</v>
      </c>
      <c r="O4" s="30">
        <f>AVERAGEIF(C4:N4,"&gt;0")</f>
        <v>9835.7320282493583</v>
      </c>
      <c r="P4">
        <v>2021</v>
      </c>
      <c r="Q4" t="s">
        <v>66</v>
      </c>
      <c r="R4" s="9"/>
    </row>
    <row r="5" spans="1:18" x14ac:dyDescent="0.35">
      <c r="A5" s="1">
        <v>2</v>
      </c>
      <c r="B5" t="s">
        <v>7</v>
      </c>
      <c r="C5" s="19">
        <f>ESA_USD!C5/(_xlfn.XLOOKUP($B5,'PPP conversion factor'!$A:$A,'PPP conversion factor'!$AH:$AH,,0))</f>
        <v>112170.16779877317</v>
      </c>
      <c r="D5" s="19">
        <f>ESA_USD!D5/(_xlfn.XLOOKUP($B5,'PPP conversion factor'!$A:$A,'PPP conversion factor'!$AH:$AH,,0))</f>
        <v>148843.33946105826</v>
      </c>
      <c r="E5" s="19">
        <f>ESA_USD!E5/(_xlfn.XLOOKUP($B5,'PPP conversion factor'!$A:$A,'PPP conversion factor'!$AH:$AH,,0))</f>
        <v>52753.428514124666</v>
      </c>
      <c r="F5" s="19">
        <f>ESA_USD!F5/(_xlfn.XLOOKUP($B5,'PPP conversion factor'!$A:$A,'PPP conversion factor'!$AH:$AH,,0))</f>
        <v>52753.428514124666</v>
      </c>
      <c r="G5" s="19">
        <f>ESA_USD!G5/(_xlfn.XLOOKUP($B5,'PPP conversion factor'!$A:$A,'PPP conversion factor'!$AH:$AH,,0))</f>
        <v>0</v>
      </c>
      <c r="H5" s="19">
        <f>ESA_USD!H5/(_xlfn.XLOOKUP($B5,'PPP conversion factor'!$A:$A,'PPP conversion factor'!$AH:$AH,,0))</f>
        <v>88394.401071194443</v>
      </c>
      <c r="I5" s="19">
        <f>ESA_USD!I5/(_xlfn.XLOOKUP($B5,'PPP conversion factor'!$A:$A,'PPP conversion factor'!$AH:$AH,,0))</f>
        <v>0</v>
      </c>
      <c r="J5" s="19">
        <f>ESA_USD!J5/(_xlfn.XLOOKUP($B5,'PPP conversion factor'!$A:$A,'PPP conversion factor'!$AH:$AH,,0))</f>
        <v>62398.063894465748</v>
      </c>
      <c r="K5" s="19">
        <f>ESA_USD!K5/(_xlfn.XLOOKUP($B5,'PPP conversion factor'!$A:$A,'PPP conversion factor'!$AH:$AH,,0))</f>
        <v>0</v>
      </c>
      <c r="L5" s="19">
        <f>ESA_USD!L5/(_xlfn.XLOOKUP($B5,'PPP conversion factor'!$A:$A,'PPP conversion factor'!$AH:$AH,,0))</f>
        <v>4798.2692218088569</v>
      </c>
      <c r="M5" s="19">
        <f>ESA_USD!M5/(_xlfn.XLOOKUP($B5,'PPP conversion factor'!$A:$A,'PPP conversion factor'!$AH:$AH,,0))</f>
        <v>62398.063894465748</v>
      </c>
      <c r="N5" s="19">
        <f>ESA_USD!N5/(_xlfn.XLOOKUP($B5,'PPP conversion factor'!$A:$A,'PPP conversion factor'!$AH:$AH,,0))</f>
        <v>0</v>
      </c>
      <c r="O5" s="30">
        <f t="shared" ref="O5:O15" si="0">AVERAGEIF(C5:N5,"&gt;0")</f>
        <v>73063.64529625194</v>
      </c>
      <c r="P5">
        <v>2020</v>
      </c>
      <c r="Q5" t="s">
        <v>66</v>
      </c>
    </row>
    <row r="6" spans="1:18" x14ac:dyDescent="0.35">
      <c r="A6" s="1">
        <v>3</v>
      </c>
      <c r="B6" t="s">
        <v>8</v>
      </c>
      <c r="C6" s="19">
        <f>ESA_USD!C6/(_xlfn.XLOOKUP($B6,'PPP conversion factor'!$A:$A,'PPP conversion factor'!$AH:$AH,,0))</f>
        <v>95124.213511519061</v>
      </c>
      <c r="D6" s="19">
        <f>ESA_USD!D6/(_xlfn.XLOOKUP($B6,'PPP conversion factor'!$A:$A,'PPP conversion factor'!$AH:$AH,,0))</f>
        <v>123621.50164805629</v>
      </c>
      <c r="E6" s="19">
        <f>ESA_USD!E6/(_xlfn.XLOOKUP($B6,'PPP conversion factor'!$A:$A,'PPP conversion factor'!$AH:$AH,,0))</f>
        <v>29794.271312864072</v>
      </c>
      <c r="F6" s="19">
        <f>ESA_USD!F6/(_xlfn.XLOOKUP($B6,'PPP conversion factor'!$A:$A,'PPP conversion factor'!$AH:$AH,,0))</f>
        <v>29794.271312864072</v>
      </c>
      <c r="G6" s="19">
        <f>ESA_USD!G6/(_xlfn.XLOOKUP($B6,'PPP conversion factor'!$A:$A,'PPP conversion factor'!$AH:$AH,,0))</f>
        <v>95124.213511519061</v>
      </c>
      <c r="H6" s="19">
        <f>ESA_USD!H6/(_xlfn.XLOOKUP($B6,'PPP conversion factor'!$A:$A,'PPP conversion factor'!$AH:$AH,,0))</f>
        <v>81322.096264865948</v>
      </c>
      <c r="I6" s="19">
        <f>ESA_USD!I6/(_xlfn.XLOOKUP($B6,'PPP conversion factor'!$A:$A,'PPP conversion factor'!$AH:$AH,,0))</f>
        <v>24426.417193109919</v>
      </c>
      <c r="J6" s="19">
        <f>ESA_USD!J6/(_xlfn.XLOOKUP($B6,'PPP conversion factor'!$A:$A,'PPP conversion factor'!$AH:$AH,,0))</f>
        <v>0</v>
      </c>
      <c r="K6" s="19">
        <f>ESA_USD!K6/(_xlfn.XLOOKUP($B6,'PPP conversion factor'!$A:$A,'PPP conversion factor'!$AH:$AH,,0))</f>
        <v>24426.417193109919</v>
      </c>
      <c r="L6" s="19">
        <f>ESA_USD!L6/(_xlfn.XLOOKUP($B6,'PPP conversion factor'!$A:$A,'PPP conversion factor'!$AH:$AH,,0))</f>
        <v>595.76627300268092</v>
      </c>
      <c r="M6" s="19">
        <f>ESA_USD!M6/(_xlfn.XLOOKUP($B6,'PPP conversion factor'!$A:$A,'PPP conversion factor'!$AH:$AH,,0))</f>
        <v>0</v>
      </c>
      <c r="N6" s="19">
        <f>ESA_USD!N6/(_xlfn.XLOOKUP($B6,'PPP conversion factor'!$A:$A,'PPP conversion factor'!$AH:$AH,,0))</f>
        <v>29803.207806959115</v>
      </c>
      <c r="O6" s="30">
        <f t="shared" si="0"/>
        <v>53403.237602787012</v>
      </c>
      <c r="P6">
        <v>2019</v>
      </c>
      <c r="Q6" t="s">
        <v>64</v>
      </c>
    </row>
    <row r="7" spans="1:18" x14ac:dyDescent="0.35">
      <c r="A7" s="1">
        <v>4</v>
      </c>
      <c r="B7" t="s">
        <v>445</v>
      </c>
      <c r="C7" s="19">
        <f>ESA_USD!C7/(_xlfn.XLOOKUP($B7,'PPP conversion factor'!$A:$A,'PPP conversion factor'!$AH:$AH,,0))</f>
        <v>105612.20950638567</v>
      </c>
      <c r="D7" s="19">
        <f>ESA_USD!D7/(_xlfn.XLOOKUP($B7,'PPP conversion factor'!$A:$A,'PPP conversion factor'!$AH:$AH,,0))</f>
        <v>113171.12352077071</v>
      </c>
      <c r="E7" s="19">
        <f>ESA_USD!E7/(_xlfn.XLOOKUP($B7,'PPP conversion factor'!$A:$A,'PPP conversion factor'!$AH:$AH,,0))</f>
        <v>79791.630452208483</v>
      </c>
      <c r="F7" s="19">
        <f>ESA_USD!F7/(_xlfn.XLOOKUP($B7,'PPP conversion factor'!$A:$A,'PPP conversion factor'!$AH:$AH,,0))</f>
        <v>79791.630452208483</v>
      </c>
      <c r="G7" s="19">
        <f>ESA_USD!G7/(_xlfn.XLOOKUP($B7,'PPP conversion factor'!$A:$A,'PPP conversion factor'!$AH:$AH,,0))</f>
        <v>102399.55622038571</v>
      </c>
      <c r="H7" s="19">
        <f>ESA_USD!H7/(_xlfn.XLOOKUP($B7,'PPP conversion factor'!$A:$A,'PPP conversion factor'!$AH:$AH,,0))</f>
        <v>71997.147887843937</v>
      </c>
      <c r="I7" s="19">
        <f>ESA_USD!I7/(_xlfn.XLOOKUP($B7,'PPP conversion factor'!$A:$A,'PPP conversion factor'!$AH:$AH,,0))</f>
        <v>0</v>
      </c>
      <c r="J7" s="19">
        <f>ESA_USD!J7/(_xlfn.XLOOKUP($B7,'PPP conversion factor'!$A:$A,'PPP conversion factor'!$AH:$AH,,0))</f>
        <v>46540.188868125042</v>
      </c>
      <c r="K7" s="19">
        <f>ESA_USD!K7/(_xlfn.XLOOKUP($B7,'PPP conversion factor'!$A:$A,'PPP conversion factor'!$AH:$AH,,0))</f>
        <v>37461.70403279594</v>
      </c>
      <c r="L7" s="19">
        <f>ESA_USD!L7/(_xlfn.XLOOKUP($B7,'PPP conversion factor'!$A:$A,'PPP conversion factor'!$AH:$AH,,0))</f>
        <v>0</v>
      </c>
      <c r="M7" s="19">
        <f>ESA_USD!M7/(_xlfn.XLOOKUP($B7,'PPP conversion factor'!$A:$A,'PPP conversion factor'!$AH:$AH,,0))</f>
        <v>30970.154509393829</v>
      </c>
      <c r="N7" s="19">
        <f>ESA_USD!N7/(_xlfn.XLOOKUP($B7,'PPP conversion factor'!$A:$A,'PPP conversion factor'!$AH:$AH,,0))</f>
        <v>0</v>
      </c>
      <c r="O7" s="30">
        <f t="shared" si="0"/>
        <v>74192.81616112421</v>
      </c>
      <c r="P7">
        <v>2019</v>
      </c>
      <c r="Q7" t="s">
        <v>66</v>
      </c>
    </row>
    <row r="8" spans="1:18" x14ac:dyDescent="0.35">
      <c r="A8" s="1">
        <v>5</v>
      </c>
      <c r="B8" t="s">
        <v>10</v>
      </c>
      <c r="C8" s="19">
        <f>ESA_USD!C8/(_xlfn.XLOOKUP($B8,'PPP conversion factor'!$A:$A,'PPP conversion factor'!$AH:$AH,,0))</f>
        <v>54839.551174625471</v>
      </c>
      <c r="D8" s="19">
        <f>ESA_USD!D8/(_xlfn.XLOOKUP($B8,'PPP conversion factor'!$A:$A,'PPP conversion factor'!$AH:$AH,,0))</f>
        <v>64845.539785145047</v>
      </c>
      <c r="E8" s="19">
        <f>ESA_USD!E8/(_xlfn.XLOOKUP($B8,'PPP conversion factor'!$A:$A,'PPP conversion factor'!$AH:$AH,,0))</f>
        <v>18834.076953333395</v>
      </c>
      <c r="F8" s="19">
        <f>ESA_USD!F8/(_xlfn.XLOOKUP($B8,'PPP conversion factor'!$A:$A,'PPP conversion factor'!$AH:$AH,,0))</f>
        <v>18834.076953333395</v>
      </c>
      <c r="G8" s="19">
        <f>ESA_USD!G8/(_xlfn.XLOOKUP($B8,'PPP conversion factor'!$A:$A,'PPP conversion factor'!$AH:$AH,,0))</f>
        <v>54839.551174625471</v>
      </c>
      <c r="H8" s="19">
        <f>ESA_USD!H8/(_xlfn.XLOOKUP($B8,'PPP conversion factor'!$A:$A,'PPP conversion factor'!$AH:$AH,,0))</f>
        <v>34325.30692830187</v>
      </c>
      <c r="I8" s="19">
        <f>ESA_USD!I8/(_xlfn.XLOOKUP($B8,'PPP conversion factor'!$A:$A,'PPP conversion factor'!$AH:$AH,,0))</f>
        <v>23294.697408629891</v>
      </c>
      <c r="J8" s="19">
        <f>ESA_USD!J8/(_xlfn.XLOOKUP($B8,'PPP conversion factor'!$A:$A,'PPP conversion factor'!$AH:$AH,,0))</f>
        <v>23294.697408629891</v>
      </c>
      <c r="K8" s="19">
        <f>ESA_USD!K8/(_xlfn.XLOOKUP($B8,'PPP conversion factor'!$A:$A,'PPP conversion factor'!$AH:$AH,,0))</f>
        <v>23294.697408629891</v>
      </c>
      <c r="L8" s="19">
        <f>ESA_USD!L8/(_xlfn.XLOOKUP($B8,'PPP conversion factor'!$A:$A,'PPP conversion factor'!$AH:$AH,,0))</f>
        <v>4187.1830758922024</v>
      </c>
      <c r="M8" s="19">
        <f>ESA_USD!M8/(_xlfn.XLOOKUP($B8,'PPP conversion factor'!$A:$A,'PPP conversion factor'!$AH:$AH,,0))</f>
        <v>23294.697408629891</v>
      </c>
      <c r="N8" s="19">
        <f>ESA_USD!N8/(_xlfn.XLOOKUP($B8,'PPP conversion factor'!$A:$A,'PPP conversion factor'!$AH:$AH,,0))</f>
        <v>0</v>
      </c>
      <c r="O8" s="30">
        <f t="shared" si="0"/>
        <v>31262.188698161488</v>
      </c>
      <c r="P8">
        <v>2020</v>
      </c>
      <c r="Q8" t="s">
        <v>66</v>
      </c>
    </row>
    <row r="9" spans="1:18" x14ac:dyDescent="0.35">
      <c r="A9" s="1">
        <v>6</v>
      </c>
      <c r="B9" t="s">
        <v>11</v>
      </c>
      <c r="C9" s="19">
        <f>ESA_USD!C9/(_xlfn.XLOOKUP($B9,'PPP conversion factor'!$A:$A,'PPP conversion factor'!$AH:$AH,,0))</f>
        <v>11726.995028598807</v>
      </c>
      <c r="D9" s="19">
        <f>ESA_USD!D9/(_xlfn.XLOOKUP($B9,'PPP conversion factor'!$A:$A,'PPP conversion factor'!$AH:$AH,,0))</f>
        <v>14533.386252684177</v>
      </c>
      <c r="E9" s="19">
        <f>ESA_USD!E9/(_xlfn.XLOOKUP($B9,'PPP conversion factor'!$A:$A,'PPP conversion factor'!$AH:$AH,,0))</f>
        <v>8169.61397509578</v>
      </c>
      <c r="F9" s="19">
        <f>ESA_USD!F9/(_xlfn.XLOOKUP($B9,'PPP conversion factor'!$A:$A,'PPP conversion factor'!$AH:$AH,,0))</f>
        <v>10463.021377240473</v>
      </c>
      <c r="G9" s="19">
        <f>ESA_USD!G9/(_xlfn.XLOOKUP($B9,'PPP conversion factor'!$A:$A,'PPP conversion factor'!$AH:$AH,,0))</f>
        <v>11726.995028598807</v>
      </c>
      <c r="H9" s="19">
        <f>ESA_USD!H9/(_xlfn.XLOOKUP($B9,'PPP conversion factor'!$A:$A,'PPP conversion factor'!$AH:$AH,,0))</f>
        <v>10463.021377240473</v>
      </c>
      <c r="I9" s="19">
        <f>ESA_USD!I9/(_xlfn.XLOOKUP($B9,'PPP conversion factor'!$A:$A,'PPP conversion factor'!$AH:$AH,,0))</f>
        <v>8169.61397509578</v>
      </c>
      <c r="J9" s="19">
        <f>ESA_USD!J9/(_xlfn.XLOOKUP($B9,'PPP conversion factor'!$A:$A,'PPP conversion factor'!$AH:$AH,,0))</f>
        <v>10463.021377240473</v>
      </c>
      <c r="K9" s="19">
        <f>ESA_USD!K9/(_xlfn.XLOOKUP($B9,'PPP conversion factor'!$A:$A,'PPP conversion factor'!$AH:$AH,,0))</f>
        <v>8169.61397509578</v>
      </c>
      <c r="L9" s="19">
        <f>ESA_USD!L9/(_xlfn.XLOOKUP($B9,'PPP conversion factor'!$A:$A,'PPP conversion factor'!$AH:$AH,,0))</f>
        <v>7155.2000208977752</v>
      </c>
      <c r="M9" s="19">
        <f>ESA_USD!M9/(_xlfn.XLOOKUP($B9,'PPP conversion factor'!$A:$A,'PPP conversion factor'!$AH:$AH,,0))</f>
        <v>0</v>
      </c>
      <c r="N9" s="19">
        <f>ESA_USD!N9/(_xlfn.XLOOKUP($B9,'PPP conversion factor'!$A:$A,'PPP conversion factor'!$AH:$AH,,0))</f>
        <v>10463.013674780683</v>
      </c>
      <c r="O9" s="30">
        <f t="shared" si="0"/>
        <v>10136.681460233545</v>
      </c>
      <c r="P9">
        <v>2019</v>
      </c>
      <c r="Q9" t="s">
        <v>66</v>
      </c>
    </row>
    <row r="10" spans="1:18" x14ac:dyDescent="0.35">
      <c r="A10" s="1">
        <v>7</v>
      </c>
      <c r="B10" t="s">
        <v>12</v>
      </c>
      <c r="C10" s="19">
        <f>ESA_USD!C10/(_xlfn.XLOOKUP($B10,'PPP conversion factor'!$A:$A,'PPP conversion factor'!$AH:$AH,,0))</f>
        <v>33533.188040160836</v>
      </c>
      <c r="D10" s="19">
        <f>ESA_USD!D10/(_xlfn.XLOOKUP($B10,'PPP conversion factor'!$A:$A,'PPP conversion factor'!$AH:$AH,,0))</f>
        <v>101885.31406389004</v>
      </c>
      <c r="E10" s="19">
        <f>ESA_USD!E10/(_xlfn.XLOOKUP($B10,'PPP conversion factor'!$A:$A,'PPP conversion factor'!$AH:$AH,,0))</f>
        <v>15969.844242570172</v>
      </c>
      <c r="F10" s="19">
        <f>ESA_USD!F10/(_xlfn.XLOOKUP($B10,'PPP conversion factor'!$A:$A,'PPP conversion factor'!$AH:$AH,,0))</f>
        <v>15969.844242570172</v>
      </c>
      <c r="G10" s="19">
        <f>ESA_USD!G10/(_xlfn.XLOOKUP($B10,'PPP conversion factor'!$A:$A,'PPP conversion factor'!$AH:$AH,,0))</f>
        <v>83615.222126115332</v>
      </c>
      <c r="H10" s="19">
        <f>ESA_USD!H10/(_xlfn.XLOOKUP($B10,'PPP conversion factor'!$A:$A,'PPP conversion factor'!$AH:$AH,,0))</f>
        <v>36799.407654462222</v>
      </c>
      <c r="I10" s="19">
        <f>ESA_USD!I10/(_xlfn.XLOOKUP($B10,'PPP conversion factor'!$A:$A,'PPP conversion factor'!$AH:$AH,,0))</f>
        <v>17565.003259131867</v>
      </c>
      <c r="J10" s="19">
        <f>ESA_USD!J10/(_xlfn.XLOOKUP($B10,'PPP conversion factor'!$A:$A,'PPP conversion factor'!$AH:$AH,,0))</f>
        <v>26274.922230602217</v>
      </c>
      <c r="K10" s="19">
        <f>ESA_USD!K10/(_xlfn.XLOOKUP($B10,'PPP conversion factor'!$A:$A,'PPP conversion factor'!$AH:$AH,,0))</f>
        <v>8678.1908933132509</v>
      </c>
      <c r="L10" s="19">
        <f>ESA_USD!L10/(_xlfn.XLOOKUP($B10,'PPP conversion factor'!$A:$A,'PPP conversion factor'!$AH:$AH,,0))</f>
        <v>67.086899304556937</v>
      </c>
      <c r="M10" s="19">
        <f>ESA_USD!M10/(_xlfn.XLOOKUP($B10,'PPP conversion factor'!$A:$A,'PPP conversion factor'!$AH:$AH,,0))</f>
        <v>13935.870354352555</v>
      </c>
      <c r="N10" s="19">
        <f>ESA_USD!N10/(_xlfn.XLOOKUP($B10,'PPP conversion factor'!$A:$A,'PPP conversion factor'!$AH:$AH,,0))</f>
        <v>22683.435989135047</v>
      </c>
      <c r="O10" s="30">
        <f t="shared" si="0"/>
        <v>31414.777499634027</v>
      </c>
      <c r="P10">
        <v>2019</v>
      </c>
      <c r="Q10" t="s">
        <v>66</v>
      </c>
    </row>
    <row r="11" spans="1:18" x14ac:dyDescent="0.35">
      <c r="A11" s="1">
        <v>8</v>
      </c>
      <c r="B11" t="s">
        <v>14</v>
      </c>
      <c r="C11" s="19">
        <f>ESA_USD!C11/(_xlfn.XLOOKUP($B11,'PPP conversion factor'!$A:$A,'PPP conversion factor'!$AH:$AH,,0))</f>
        <v>32253.631950514871</v>
      </c>
      <c r="D11" s="19">
        <f>ESA_USD!D11/(_xlfn.XLOOKUP($B11,'PPP conversion factor'!$A:$A,'PPP conversion factor'!$AH:$AH,,0))</f>
        <v>52970.700331827953</v>
      </c>
      <c r="E11" s="19">
        <f>ESA_USD!E11/(_xlfn.XLOOKUP($B11,'PPP conversion factor'!$A:$A,'PPP conversion factor'!$AH:$AH,,0))</f>
        <v>13372.824584970736</v>
      </c>
      <c r="F11" s="19">
        <f>ESA_USD!F11/(_xlfn.XLOOKUP($B11,'PPP conversion factor'!$A:$A,'PPP conversion factor'!$AH:$AH,,0))</f>
        <v>13405.161893790817</v>
      </c>
      <c r="G11" s="19">
        <f>ESA_USD!G11/(_xlfn.XLOOKUP($B11,'PPP conversion factor'!$A:$A,'PPP conversion factor'!$AH:$AH,,0))</f>
        <v>13372.824584970736</v>
      </c>
      <c r="H11" s="19">
        <f>ESA_USD!H11/(_xlfn.XLOOKUP($B11,'PPP conversion factor'!$A:$A,'PPP conversion factor'!$AH:$AH,,0))</f>
        <v>22220.071381525991</v>
      </c>
      <c r="I11" s="19">
        <f>ESA_USD!I11/(_xlfn.XLOOKUP($B11,'PPP conversion factor'!$A:$A,'PPP conversion factor'!$AH:$AH,,0))</f>
        <v>13372.824584970736</v>
      </c>
      <c r="J11" s="19">
        <f>ESA_USD!J11/(_xlfn.XLOOKUP($B11,'PPP conversion factor'!$A:$A,'PPP conversion factor'!$AH:$AH,,0))</f>
        <v>0</v>
      </c>
      <c r="K11" s="19">
        <f>ESA_USD!K11/(_xlfn.XLOOKUP($B11,'PPP conversion factor'!$A:$A,'PPP conversion factor'!$AH:$AH,,0))</f>
        <v>13372.824584970736</v>
      </c>
      <c r="L11" s="19">
        <f>ESA_USD!L11/(_xlfn.XLOOKUP($B11,'PPP conversion factor'!$A:$A,'PPP conversion factor'!$AH:$AH,,0))</f>
        <v>0</v>
      </c>
      <c r="M11" s="19">
        <f>ESA_USD!M11/(_xlfn.XLOOKUP($B11,'PPP conversion factor'!$A:$A,'PPP conversion factor'!$AH:$AH,,0))</f>
        <v>13372.824584970736</v>
      </c>
      <c r="N11" s="19">
        <f>ESA_USD!N11/(_xlfn.XLOOKUP($B11,'PPP conversion factor'!$A:$A,'PPP conversion factor'!$AH:$AH,,0))</f>
        <v>13372.824584970736</v>
      </c>
      <c r="O11" s="30">
        <f t="shared" si="0"/>
        <v>20108.651306748408</v>
      </c>
      <c r="P11">
        <v>2019</v>
      </c>
      <c r="Q11" t="s">
        <v>66</v>
      </c>
    </row>
    <row r="12" spans="1:18" x14ac:dyDescent="0.35">
      <c r="A12" s="1">
        <v>9</v>
      </c>
      <c r="B12" t="s">
        <v>15</v>
      </c>
      <c r="C12" s="19">
        <f>ESA_USD!C12/(_xlfn.XLOOKUP($B12,'PPP conversion factor'!$A:$A,'PPP conversion factor'!$AH:$AH,,0))</f>
        <v>83689.676828313808</v>
      </c>
      <c r="D12" s="19">
        <f>ESA_USD!D12/(_xlfn.XLOOKUP($B12,'PPP conversion factor'!$A:$A,'PPP conversion factor'!$AH:$AH,,0))</f>
        <v>142346.77663140156</v>
      </c>
      <c r="E12" s="19">
        <f>ESA_USD!E12/(_xlfn.XLOOKUP($B12,'PPP conversion factor'!$A:$A,'PPP conversion factor'!$AH:$AH,,0))</f>
        <v>62092.360953351905</v>
      </c>
      <c r="F12" s="19">
        <f>ESA_USD!F12/(_xlfn.XLOOKUP($B12,'PPP conversion factor'!$A:$A,'PPP conversion factor'!$AH:$AH,,0))</f>
        <v>37700.86220200864</v>
      </c>
      <c r="G12" s="19">
        <f>ESA_USD!G12/(_xlfn.XLOOKUP($B12,'PPP conversion factor'!$A:$A,'PPP conversion factor'!$AH:$AH,,0))</f>
        <v>83689.676828313808</v>
      </c>
      <c r="H12" s="19">
        <f>ESA_USD!H12/(_xlfn.XLOOKUP($B12,'PPP conversion factor'!$A:$A,'PPP conversion factor'!$AH:$AH,,0))</f>
        <v>70191.328468850479</v>
      </c>
      <c r="I12" s="19">
        <f>ESA_USD!I12/(_xlfn.XLOOKUP($B12,'PPP conversion factor'!$A:$A,'PPP conversion factor'!$AH:$AH,,0))</f>
        <v>70191.328468850479</v>
      </c>
      <c r="J12" s="19">
        <f>ESA_USD!J12/(_xlfn.XLOOKUP($B12,'PPP conversion factor'!$A:$A,'PPP conversion factor'!$AH:$AH,,0))</f>
        <v>70191.328468850479</v>
      </c>
      <c r="K12" s="19">
        <f>ESA_USD!K12/(_xlfn.XLOOKUP($B12,'PPP conversion factor'!$A:$A,'PPP conversion factor'!$AH:$AH,,0))</f>
        <v>37865.593710082809</v>
      </c>
      <c r="L12" s="19">
        <f>ESA_USD!L12/(_xlfn.XLOOKUP($B12,'PPP conversion factor'!$A:$A,'PPP conversion factor'!$AH:$AH,,0))</f>
        <v>13884.300028106907</v>
      </c>
      <c r="M12" s="19">
        <f>ESA_USD!M12/(_xlfn.XLOOKUP($B12,'PPP conversion factor'!$A:$A,'PPP conversion factor'!$AH:$AH,,0))</f>
        <v>46954.133003947623</v>
      </c>
      <c r="N12" s="19">
        <f>ESA_USD!N12/(_xlfn.XLOOKUP($B12,'PPP conversion factor'!$A:$A,'PPP conversion factor'!$AH:$AH,,0))</f>
        <v>22277.782210277834</v>
      </c>
      <c r="O12" s="30">
        <f t="shared" si="0"/>
        <v>61756.262316863031</v>
      </c>
      <c r="P12">
        <v>2019</v>
      </c>
      <c r="Q12" t="s">
        <v>65</v>
      </c>
    </row>
    <row r="13" spans="1:18" x14ac:dyDescent="0.35">
      <c r="A13" s="1">
        <v>10</v>
      </c>
      <c r="B13" t="s">
        <v>16</v>
      </c>
      <c r="C13" s="19">
        <f>ESA_USD!C13/(_xlfn.XLOOKUP($B13,'PPP conversion factor'!$A:$A,'PPP conversion factor'!$AH:$AH,,0))</f>
        <v>12854.785066061662</v>
      </c>
      <c r="D13" s="19">
        <f>ESA_USD!D13/(_xlfn.XLOOKUP($B13,'PPP conversion factor'!$A:$A,'PPP conversion factor'!$AH:$AH,,0))</f>
        <v>31229.686081615186</v>
      </c>
      <c r="E13" s="19">
        <f>ESA_USD!E13/(_xlfn.XLOOKUP($B13,'PPP conversion factor'!$A:$A,'PPP conversion factor'!$AH:$AH,,0))</f>
        <v>11563.74068848127</v>
      </c>
      <c r="F13" s="19">
        <f>ESA_USD!F13/(_xlfn.XLOOKUP($B13,'PPP conversion factor'!$A:$A,'PPP conversion factor'!$AH:$AH,,0))</f>
        <v>11563.74068848127</v>
      </c>
      <c r="G13" s="19">
        <f>ESA_USD!G13/(_xlfn.XLOOKUP($B13,'PPP conversion factor'!$A:$A,'PPP conversion factor'!$AH:$AH,,0))</f>
        <v>11563.74068848127</v>
      </c>
      <c r="H13" s="19">
        <f>ESA_USD!H13/(_xlfn.XLOOKUP($B13,'PPP conversion factor'!$A:$A,'PPP conversion factor'!$AH:$AH,,0))</f>
        <v>11563.74068848127</v>
      </c>
      <c r="I13" s="19">
        <f>ESA_USD!I13/(_xlfn.XLOOKUP($B13,'PPP conversion factor'!$A:$A,'PPP conversion factor'!$AH:$AH,,0))</f>
        <v>11563.74068848127</v>
      </c>
      <c r="J13" s="19">
        <f>ESA_USD!J13/(_xlfn.XLOOKUP($B13,'PPP conversion factor'!$A:$A,'PPP conversion factor'!$AH:$AH,,0))</f>
        <v>11563.74068848127</v>
      </c>
      <c r="K13" s="19">
        <f>ESA_USD!K13/(_xlfn.XLOOKUP($B13,'PPP conversion factor'!$A:$A,'PPP conversion factor'!$AH:$AH,,0))</f>
        <v>11563.74068848127</v>
      </c>
      <c r="L13" s="19">
        <f>ESA_USD!L13/(_xlfn.XLOOKUP($B13,'PPP conversion factor'!$A:$A,'PPP conversion factor'!$AH:$AH,,0))</f>
        <v>4291.5308120255677</v>
      </c>
      <c r="M13" s="19">
        <f>ESA_USD!M13/(_xlfn.XLOOKUP($B13,'PPP conversion factor'!$A:$A,'PPP conversion factor'!$AH:$AH,,0))</f>
        <v>11563.74068848127</v>
      </c>
      <c r="N13" s="19">
        <f>ESA_USD!N13/(_xlfn.XLOOKUP($B13,'PPP conversion factor'!$A:$A,'PPP conversion factor'!$AH:$AH,,0))</f>
        <v>11563.74068848127</v>
      </c>
      <c r="O13" s="30">
        <f t="shared" si="0"/>
        <v>12704.139013002821</v>
      </c>
      <c r="P13">
        <v>2019</v>
      </c>
      <c r="Q13" t="s">
        <v>65</v>
      </c>
    </row>
    <row r="14" spans="1:18" x14ac:dyDescent="0.35">
      <c r="A14" s="1">
        <v>11</v>
      </c>
      <c r="B14" t="s">
        <v>62</v>
      </c>
      <c r="C14" s="19">
        <f>ESA_USD!C14/(_xlfn.XLOOKUP($B14,'PPP conversion factor'!$A:$A,'PPP conversion factor'!$AH:$AH,,0))</f>
        <v>53583.94689997458</v>
      </c>
      <c r="D14" s="19">
        <f>ESA_USD!D14/(_xlfn.XLOOKUP($B14,'PPP conversion factor'!$A:$A,'PPP conversion factor'!$AH:$AH,,0))</f>
        <v>79331.170738927991</v>
      </c>
      <c r="E14" s="19">
        <f>ESA_USD!E14/(_xlfn.XLOOKUP($B14,'PPP conversion factor'!$A:$A,'PPP conversion factor'!$AH:$AH,,0))</f>
        <v>12432.235273541795</v>
      </c>
      <c r="F14" s="19">
        <f>ESA_USD!F14/(_xlfn.XLOOKUP($B14,'PPP conversion factor'!$A:$A,'PPP conversion factor'!$AH:$AH,,0))</f>
        <v>14388.195685306906</v>
      </c>
      <c r="G14" s="19">
        <f>ESA_USD!G14/(_xlfn.XLOOKUP($B14,'PPP conversion factor'!$A:$A,'PPP conversion factor'!$AH:$AH,,0))</f>
        <v>52662.837780518734</v>
      </c>
      <c r="H14" s="19">
        <f>ESA_USD!H14/(_xlfn.XLOOKUP($B14,'PPP conversion factor'!$A:$A,'PPP conversion factor'!$AH:$AH,,0))</f>
        <v>17777.811213578552</v>
      </c>
      <c r="I14" s="19">
        <f>ESA_USD!I14/(_xlfn.XLOOKUP($B14,'PPP conversion factor'!$A:$A,'PPP conversion factor'!$AH:$AH,,0))</f>
        <v>12432.235273541795</v>
      </c>
      <c r="J14" s="19">
        <f>ESA_USD!J14/(_xlfn.XLOOKUP($B14,'PPP conversion factor'!$A:$A,'PPP conversion factor'!$AH:$AH,,0))</f>
        <v>17777.811213578552</v>
      </c>
      <c r="K14" s="19">
        <f>ESA_USD!K14/(_xlfn.XLOOKUP($B14,'PPP conversion factor'!$A:$A,'PPP conversion factor'!$AH:$AH,,0))</f>
        <v>12432.235273541795</v>
      </c>
      <c r="L14" s="19">
        <f>ESA_USD!L14/(_xlfn.XLOOKUP($B14,'PPP conversion factor'!$A:$A,'PPP conversion factor'!$AH:$AH,,0))</f>
        <v>0</v>
      </c>
      <c r="M14" s="19">
        <f>ESA_USD!M14/(_xlfn.XLOOKUP($B14,'PPP conversion factor'!$A:$A,'PPP conversion factor'!$AH:$AH,,0))</f>
        <v>17777.811213578552</v>
      </c>
      <c r="N14" s="19">
        <f>ESA_USD!N14/(_xlfn.XLOOKUP($B14,'PPP conversion factor'!$A:$A,'PPP conversion factor'!$AH:$AH,,0))</f>
        <v>13394.318905829812</v>
      </c>
      <c r="O14" s="30">
        <f t="shared" si="0"/>
        <v>27635.509951992644</v>
      </c>
      <c r="P14">
        <v>2019</v>
      </c>
      <c r="Q14" t="s">
        <v>64</v>
      </c>
    </row>
    <row r="15" spans="1:18" ht="16" thickBot="1" x14ac:dyDescent="0.4">
      <c r="A15" s="20">
        <v>12</v>
      </c>
      <c r="B15" s="21" t="s">
        <v>17</v>
      </c>
      <c r="C15" s="22">
        <f>ESA_USD!C15/(_xlfn.XLOOKUP($B15,'PPP conversion factor'!$A:$A,'PPP conversion factor'!$AH:$AH,,0))</f>
        <v>48966.604510812889</v>
      </c>
      <c r="D15" s="22">
        <f>ESA_USD!D15/(_xlfn.XLOOKUP($B15,'PPP conversion factor'!$A:$A,'PPP conversion factor'!$AH:$AH,,0))</f>
        <v>59580.751732828212</v>
      </c>
      <c r="E15" s="22">
        <f>ESA_USD!E15/(_xlfn.XLOOKUP($B15,'PPP conversion factor'!$A:$A,'PPP conversion factor'!$AH:$AH,,0))</f>
        <v>20219.040278202618</v>
      </c>
      <c r="F15" s="22">
        <f>ESA_USD!F15/(_xlfn.XLOOKUP($B15,'PPP conversion factor'!$A:$A,'PPP conversion factor'!$AH:$AH,,0))</f>
        <v>20219.040278202618</v>
      </c>
      <c r="G15" s="22">
        <f>ESA_USD!G15/(_xlfn.XLOOKUP($B15,'PPP conversion factor'!$A:$A,'PPP conversion factor'!$AH:$AH,,0))</f>
        <v>48966.604510812889</v>
      </c>
      <c r="H15" s="22">
        <f>ESA_USD!H15/(_xlfn.XLOOKUP($B15,'PPP conversion factor'!$A:$A,'PPP conversion factor'!$AH:$AH,,0))</f>
        <v>33007.232032650747</v>
      </c>
      <c r="I15" s="22">
        <f>ESA_USD!I15/(_xlfn.XLOOKUP($B15,'PPP conversion factor'!$A:$A,'PPP conversion factor'!$AH:$AH,,0))</f>
        <v>16788.854494119754</v>
      </c>
      <c r="J15" s="22">
        <f>ESA_USD!J15/(_xlfn.XLOOKUP($B15,'PPP conversion factor'!$A:$A,'PPP conversion factor'!$AH:$AH,,0))</f>
        <v>13940.864146506103</v>
      </c>
      <c r="K15" s="22">
        <f>ESA_USD!K15/(_xlfn.XLOOKUP($B15,'PPP conversion factor'!$A:$A,'PPP conversion factor'!$AH:$AH,,0))</f>
        <v>16788.854494119754</v>
      </c>
      <c r="L15" s="22">
        <f>ESA_USD!L15/(_xlfn.XLOOKUP($B15,'PPP conversion factor'!$A:$A,'PPP conversion factor'!$AH:$AH,,0))</f>
        <v>559.29113293016098</v>
      </c>
      <c r="M15" s="22">
        <f>ESA_USD!M15/(_xlfn.XLOOKUP($B15,'PPP conversion factor'!$A:$A,'PPP conversion factor'!$AH:$AH,,0))</f>
        <v>27384.4918429262</v>
      </c>
      <c r="N15" s="22">
        <f>ESA_USD!N15/(_xlfn.XLOOKUP($B15,'PPP conversion factor'!$A:$A,'PPP conversion factor'!$AH:$AH,,0))</f>
        <v>0</v>
      </c>
      <c r="O15" s="31">
        <f t="shared" si="0"/>
        <v>27856.511768555622</v>
      </c>
      <c r="P15" s="21">
        <v>2019</v>
      </c>
      <c r="Q15" s="21" t="s">
        <v>67</v>
      </c>
    </row>
    <row r="16" spans="1:18" ht="16" thickTop="1" x14ac:dyDescent="0.35">
      <c r="B16" s="10" t="s">
        <v>26</v>
      </c>
      <c r="C16" s="27">
        <f t="shared" ref="C16:O16" si="1">AVERAGEIF(C4:C15,"&gt;0")</f>
        <v>58577.724574158266</v>
      </c>
      <c r="D16" s="27">
        <f t="shared" si="1"/>
        <v>79736.433086975347</v>
      </c>
      <c r="E16" s="27">
        <f t="shared" si="1"/>
        <v>27658.363691962033</v>
      </c>
      <c r="F16" s="27">
        <f t="shared" si="1"/>
        <v>25982.547556244248</v>
      </c>
      <c r="G16" s="27">
        <f t="shared" si="1"/>
        <v>55796.122245434184</v>
      </c>
      <c r="H16" s="27">
        <f t="shared" si="1"/>
        <v>40414.071836982948</v>
      </c>
      <c r="I16" s="27">
        <f t="shared" si="1"/>
        <v>20471.201242073097</v>
      </c>
      <c r="J16" s="27">
        <f t="shared" si="1"/>
        <v>28935.193537127925</v>
      </c>
      <c r="K16" s="27">
        <f t="shared" si="1"/>
        <v>19405.387225414117</v>
      </c>
      <c r="L16" s="27">
        <f t="shared" si="1"/>
        <v>4442.3284329960888</v>
      </c>
      <c r="M16" s="27">
        <f t="shared" si="1"/>
        <v>27516.86527786071</v>
      </c>
      <c r="N16" s="27">
        <f t="shared" si="1"/>
        <v>17651.189122919215</v>
      </c>
      <c r="O16" s="32">
        <f t="shared" si="1"/>
        <v>36114.179425300339</v>
      </c>
    </row>
    <row r="17" spans="1:17" x14ac:dyDescent="0.35">
      <c r="B17" s="10" t="s">
        <v>29</v>
      </c>
      <c r="C17" s="27">
        <f t="shared" ref="C17:O17" si="2">MEDIAN(C4:C15)</f>
        <v>51275.275705393738</v>
      </c>
      <c r="D17" s="27">
        <f t="shared" si="2"/>
        <v>72088.355262036523</v>
      </c>
      <c r="E17" s="27">
        <f t="shared" si="2"/>
        <v>17401.960597951784</v>
      </c>
      <c r="F17" s="27">
        <f t="shared" si="2"/>
        <v>17401.960597951784</v>
      </c>
      <c r="G17" s="27">
        <f t="shared" si="2"/>
        <v>50814.721145665811</v>
      </c>
      <c r="H17" s="27">
        <f t="shared" si="2"/>
        <v>33666.269480476309</v>
      </c>
      <c r="I17" s="27">
        <f t="shared" si="2"/>
        <v>12902.529929256267</v>
      </c>
      <c r="J17" s="27">
        <f t="shared" si="2"/>
        <v>15859.337680042328</v>
      </c>
      <c r="K17" s="27">
        <f t="shared" si="2"/>
        <v>12902.529929256267</v>
      </c>
      <c r="L17" s="27">
        <f t="shared" si="2"/>
        <v>577.52870296642095</v>
      </c>
      <c r="M17" s="27">
        <f t="shared" si="2"/>
        <v>15856.840783965554</v>
      </c>
      <c r="N17" s="27">
        <f t="shared" si="2"/>
        <v>11013.377181630976</v>
      </c>
      <c r="O17" s="32">
        <f t="shared" si="2"/>
        <v>29559.350233358557</v>
      </c>
    </row>
    <row r="18" spans="1:17" x14ac:dyDescent="0.35">
      <c r="B18" s="10" t="s">
        <v>27</v>
      </c>
      <c r="C18" s="27">
        <f t="shared" ref="C18:N18" si="3">_xlfn.MINIFS(C4:C15,C4:C15,"&gt;0")</f>
        <v>11726.995028598807</v>
      </c>
      <c r="D18" s="27">
        <f t="shared" si="3"/>
        <v>14533.386252684177</v>
      </c>
      <c r="E18" s="27">
        <f t="shared" si="3"/>
        <v>6907.2970747994841</v>
      </c>
      <c r="F18" s="27">
        <f t="shared" si="3"/>
        <v>6907.2970747994841</v>
      </c>
      <c r="G18" s="27">
        <f t="shared" si="3"/>
        <v>11563.74068848127</v>
      </c>
      <c r="H18" s="27">
        <f t="shared" si="3"/>
        <v>6907.2970747994841</v>
      </c>
      <c r="I18" s="27">
        <f t="shared" si="3"/>
        <v>6907.2970747994841</v>
      </c>
      <c r="J18" s="27">
        <f t="shared" si="3"/>
        <v>6907.2970747994841</v>
      </c>
      <c r="K18" s="27">
        <f t="shared" si="3"/>
        <v>8169.61397509578</v>
      </c>
      <c r="L18" s="27">
        <f t="shared" si="3"/>
        <v>67.086899304556937</v>
      </c>
      <c r="M18" s="27">
        <f t="shared" si="3"/>
        <v>11563.74068848127</v>
      </c>
      <c r="N18" s="27">
        <f t="shared" si="3"/>
        <v>10463.013674780683</v>
      </c>
      <c r="O18" s="32"/>
    </row>
    <row r="19" spans="1:17" x14ac:dyDescent="0.35">
      <c r="B19" s="10" t="s">
        <v>28</v>
      </c>
      <c r="C19" s="27">
        <f t="shared" ref="C19:N19" si="4">MAX(C4:C15)</f>
        <v>112170.16779877317</v>
      </c>
      <c r="D19" s="27">
        <f t="shared" si="4"/>
        <v>148843.33946105826</v>
      </c>
      <c r="E19" s="27">
        <f t="shared" si="4"/>
        <v>79791.630452208483</v>
      </c>
      <c r="F19" s="27">
        <f t="shared" si="4"/>
        <v>79791.630452208483</v>
      </c>
      <c r="G19" s="27">
        <f t="shared" si="4"/>
        <v>102399.55622038571</v>
      </c>
      <c r="H19" s="27">
        <f t="shared" si="4"/>
        <v>88394.401071194443</v>
      </c>
      <c r="I19" s="27">
        <f t="shared" si="4"/>
        <v>70191.328468850479</v>
      </c>
      <c r="J19" s="27">
        <f t="shared" si="4"/>
        <v>70191.328468850479</v>
      </c>
      <c r="K19" s="27">
        <f t="shared" si="4"/>
        <v>37865.593710082809</v>
      </c>
      <c r="L19" s="27">
        <f t="shared" si="4"/>
        <v>13884.300028106907</v>
      </c>
      <c r="M19" s="27">
        <f t="shared" si="4"/>
        <v>62398.063894465748</v>
      </c>
      <c r="N19" s="27">
        <f t="shared" si="4"/>
        <v>29803.207806959115</v>
      </c>
      <c r="O19" s="32"/>
    </row>
    <row r="20" spans="1:17" x14ac:dyDescent="0.35">
      <c r="B20" s="10" t="s">
        <v>30</v>
      </c>
      <c r="C20" s="12">
        <f>ESA_USD!C20</f>
        <v>11</v>
      </c>
      <c r="D20" s="12">
        <f>ESA_USD!D20</f>
        <v>12</v>
      </c>
      <c r="E20" s="12">
        <f>ESA_USD!E20</f>
        <v>12</v>
      </c>
      <c r="F20" s="12">
        <f>ESA_USD!F20</f>
        <v>12</v>
      </c>
      <c r="G20" s="12">
        <f>ESA_USD!G20</f>
        <v>10</v>
      </c>
      <c r="H20" s="12">
        <f>ESA_USD!H20</f>
        <v>12</v>
      </c>
      <c r="I20" s="12">
        <f>ESA_USD!I20</f>
        <v>10</v>
      </c>
      <c r="J20" s="12">
        <f>ESA_USD!J20</f>
        <v>10</v>
      </c>
      <c r="K20" s="12">
        <f>ESA_USD!K20</f>
        <v>10</v>
      </c>
      <c r="L20" s="12">
        <f>ESA_USD!L20</f>
        <v>8</v>
      </c>
      <c r="M20" s="12">
        <f>ESA_USD!M20</f>
        <v>9</v>
      </c>
      <c r="N20" s="12">
        <f>ESA_USD!N20</f>
        <v>7</v>
      </c>
      <c r="O20" s="12">
        <f>ESA_USD!O20</f>
        <v>12</v>
      </c>
    </row>
    <row r="21" spans="1:17" x14ac:dyDescent="0.35">
      <c r="B21" s="10" t="s">
        <v>31</v>
      </c>
      <c r="C21" s="27">
        <f t="shared" ref="C21:O21" si="5">STDEV(C4:C15)</f>
        <v>38058.690137874881</v>
      </c>
      <c r="D21" s="27">
        <f t="shared" si="5"/>
        <v>45957.070634136471</v>
      </c>
      <c r="E21" s="27">
        <f t="shared" si="5"/>
        <v>23956.592832562812</v>
      </c>
      <c r="F21" s="27">
        <f t="shared" si="5"/>
        <v>21434.383957264337</v>
      </c>
      <c r="G21" s="27">
        <f t="shared" si="5"/>
        <v>38393.788367774265</v>
      </c>
      <c r="H21" s="27">
        <f t="shared" si="5"/>
        <v>29634.573215158667</v>
      </c>
      <c r="I21" s="27">
        <f t="shared" si="5"/>
        <v>18453.445200505368</v>
      </c>
      <c r="J21" s="27">
        <f t="shared" si="5"/>
        <v>23439.677587566854</v>
      </c>
      <c r="K21" s="27">
        <f t="shared" si="5"/>
        <v>12538.783580515021</v>
      </c>
      <c r="L21" s="27">
        <f t="shared" si="5"/>
        <v>4246.5659080944479</v>
      </c>
      <c r="M21" s="27">
        <f t="shared" si="5"/>
        <v>19215.934937941256</v>
      </c>
      <c r="N21" s="27">
        <f t="shared" si="5"/>
        <v>10567.025891037527</v>
      </c>
      <c r="O21" s="32">
        <f t="shared" si="5"/>
        <v>23600.791157223317</v>
      </c>
    </row>
    <row r="22" spans="1:17" x14ac:dyDescent="0.35">
      <c r="B22" s="10" t="s">
        <v>32</v>
      </c>
      <c r="C22" s="13">
        <f>C21/SQRT(C20)</f>
        <v>11475.126836339128</v>
      </c>
      <c r="D22" s="13">
        <f t="shared" ref="D22:O22" si="6">D21/SQRT(D20)</f>
        <v>13266.663550892668</v>
      </c>
      <c r="E22" s="13">
        <f t="shared" si="6"/>
        <v>6915.6726603731995</v>
      </c>
      <c r="F22" s="13">
        <f t="shared" si="6"/>
        <v>6187.5736738201813</v>
      </c>
      <c r="G22" s="13">
        <f t="shared" si="6"/>
        <v>12141.181924464514</v>
      </c>
      <c r="H22" s="13">
        <f t="shared" si="6"/>
        <v>8554.7644115457661</v>
      </c>
      <c r="I22" s="13">
        <f t="shared" si="6"/>
        <v>5835.4917510699524</v>
      </c>
      <c r="J22" s="13">
        <f t="shared" si="6"/>
        <v>7412.2768796712107</v>
      </c>
      <c r="K22" s="13">
        <f t="shared" si="6"/>
        <v>3965.1115202348733</v>
      </c>
      <c r="L22" s="13">
        <f t="shared" si="6"/>
        <v>1501.3877751845964</v>
      </c>
      <c r="M22" s="13">
        <f t="shared" si="6"/>
        <v>6405.3116459804187</v>
      </c>
      <c r="N22" s="13">
        <f t="shared" si="6"/>
        <v>3993.9603721808585</v>
      </c>
      <c r="O22" s="34">
        <f t="shared" si="6"/>
        <v>6812.9615638555115</v>
      </c>
    </row>
    <row r="23" spans="1:17" x14ac:dyDescent="0.35">
      <c r="B23" s="10" t="s">
        <v>33</v>
      </c>
      <c r="C23" s="13">
        <f>C16-(1.96*C22)</f>
        <v>36086.475974933579</v>
      </c>
      <c r="D23" s="13">
        <f t="shared" ref="D23:O23" si="7">D16-(1.96*D22)</f>
        <v>53733.772527225716</v>
      </c>
      <c r="E23" s="13">
        <f t="shared" si="7"/>
        <v>14103.645277630561</v>
      </c>
      <c r="F23" s="13">
        <f t="shared" si="7"/>
        <v>13854.903155556693</v>
      </c>
      <c r="G23" s="13">
        <f t="shared" si="7"/>
        <v>31999.405673483736</v>
      </c>
      <c r="H23" s="13">
        <f t="shared" si="7"/>
        <v>23646.733590353248</v>
      </c>
      <c r="I23" s="13">
        <f t="shared" si="7"/>
        <v>9033.6374099759905</v>
      </c>
      <c r="J23" s="13">
        <f t="shared" si="7"/>
        <v>14407.130852972352</v>
      </c>
      <c r="K23" s="13">
        <f t="shared" si="7"/>
        <v>11633.768645753766</v>
      </c>
      <c r="L23" s="13">
        <f t="shared" si="7"/>
        <v>1499.6083936342798</v>
      </c>
      <c r="M23" s="13">
        <f t="shared" si="7"/>
        <v>14962.45445173909</v>
      </c>
      <c r="N23" s="13">
        <f t="shared" si="7"/>
        <v>9823.0267934447329</v>
      </c>
      <c r="O23" s="34">
        <f t="shared" si="7"/>
        <v>22760.774760143537</v>
      </c>
    </row>
    <row r="24" spans="1:17" ht="16" thickBot="1" x14ac:dyDescent="0.4">
      <c r="A24" s="20"/>
      <c r="B24" s="28" t="s">
        <v>34</v>
      </c>
      <c r="C24" s="29">
        <f>C16+(1.96*C22)</f>
        <v>81068.973173382954</v>
      </c>
      <c r="D24" s="29">
        <f t="shared" ref="D24:O24" si="8">D16+(1.96*D22)</f>
        <v>105739.09364672497</v>
      </c>
      <c r="E24" s="29">
        <f t="shared" si="8"/>
        <v>41213.082106293507</v>
      </c>
      <c r="F24" s="29">
        <f t="shared" si="8"/>
        <v>38110.191956931805</v>
      </c>
      <c r="G24" s="29">
        <f t="shared" si="8"/>
        <v>79592.838817384632</v>
      </c>
      <c r="H24" s="29">
        <f t="shared" si="8"/>
        <v>57181.410083612645</v>
      </c>
      <c r="I24" s="29">
        <f t="shared" si="8"/>
        <v>31908.765074170202</v>
      </c>
      <c r="J24" s="29">
        <f t="shared" si="8"/>
        <v>43463.256221283496</v>
      </c>
      <c r="K24" s="29">
        <f t="shared" si="8"/>
        <v>27177.00580507447</v>
      </c>
      <c r="L24" s="29">
        <f t="shared" si="8"/>
        <v>7385.0484723578975</v>
      </c>
      <c r="M24" s="29">
        <f t="shared" si="8"/>
        <v>40071.276103982331</v>
      </c>
      <c r="N24" s="29">
        <f t="shared" si="8"/>
        <v>25479.351452393697</v>
      </c>
      <c r="O24" s="35">
        <f t="shared" si="8"/>
        <v>49467.584090457138</v>
      </c>
      <c r="P24" s="21"/>
      <c r="Q24" s="21"/>
    </row>
    <row r="25" spans="1:17" ht="16" thickTop="1" x14ac:dyDescent="0.35"/>
    <row r="27" spans="1:17" x14ac:dyDescent="0.35">
      <c r="B27" s="36" t="s">
        <v>70</v>
      </c>
      <c r="C27" s="9">
        <f>C16/12</f>
        <v>4881.4770478465225</v>
      </c>
      <c r="D27" s="9">
        <f t="shared" ref="D27:O27" si="9">D16/12</f>
        <v>6644.7027572479456</v>
      </c>
      <c r="E27" s="9">
        <f t="shared" si="9"/>
        <v>2304.8636409968362</v>
      </c>
      <c r="F27" s="9">
        <f t="shared" si="9"/>
        <v>2165.2122963536872</v>
      </c>
      <c r="G27" s="9">
        <f t="shared" si="9"/>
        <v>4649.6768537861817</v>
      </c>
      <c r="H27" s="9">
        <f t="shared" si="9"/>
        <v>3367.8393197485789</v>
      </c>
      <c r="I27" s="9">
        <f t="shared" si="9"/>
        <v>1705.9334368394248</v>
      </c>
      <c r="J27" s="9">
        <f t="shared" si="9"/>
        <v>2411.2661280939938</v>
      </c>
      <c r="K27" s="9">
        <f t="shared" si="9"/>
        <v>1617.1156021178431</v>
      </c>
      <c r="L27" s="9">
        <f t="shared" si="9"/>
        <v>370.1940360830074</v>
      </c>
      <c r="M27" s="9">
        <f t="shared" si="9"/>
        <v>2293.0721064883924</v>
      </c>
      <c r="N27" s="9">
        <f t="shared" si="9"/>
        <v>1470.9324269099345</v>
      </c>
      <c r="O27" s="9">
        <f t="shared" si="9"/>
        <v>3009.5149521083617</v>
      </c>
    </row>
    <row r="28" spans="1:17" x14ac:dyDescent="0.35">
      <c r="B28" s="10" t="s">
        <v>33</v>
      </c>
      <c r="C28" s="9">
        <f>C23/12</f>
        <v>3007.2063312444648</v>
      </c>
      <c r="D28" s="9">
        <f t="shared" ref="D28:O29" si="10">D23/12</f>
        <v>4477.8143772688099</v>
      </c>
      <c r="E28" s="9">
        <f t="shared" si="10"/>
        <v>1175.3037731358802</v>
      </c>
      <c r="F28" s="9">
        <f t="shared" si="10"/>
        <v>1154.5752629630576</v>
      </c>
      <c r="G28" s="9">
        <f t="shared" si="10"/>
        <v>2666.6171394569778</v>
      </c>
      <c r="H28" s="9">
        <f t="shared" si="10"/>
        <v>1970.5611325294374</v>
      </c>
      <c r="I28" s="9">
        <f t="shared" si="10"/>
        <v>752.80311749799921</v>
      </c>
      <c r="J28" s="9">
        <f t="shared" si="10"/>
        <v>1200.5942377476961</v>
      </c>
      <c r="K28" s="9">
        <f t="shared" si="10"/>
        <v>969.48072047948051</v>
      </c>
      <c r="L28" s="9">
        <f t="shared" si="10"/>
        <v>124.96736613618998</v>
      </c>
      <c r="M28" s="9">
        <f t="shared" si="10"/>
        <v>1246.8712043115909</v>
      </c>
      <c r="N28" s="9">
        <f t="shared" si="10"/>
        <v>818.58556612039445</v>
      </c>
      <c r="O28" s="9">
        <f t="shared" si="10"/>
        <v>1896.7312300119613</v>
      </c>
    </row>
    <row r="29" spans="1:17" ht="16" thickBot="1" x14ac:dyDescent="0.4">
      <c r="B29" s="28" t="s">
        <v>34</v>
      </c>
      <c r="C29" s="9">
        <f>C24/12</f>
        <v>6755.7477644485798</v>
      </c>
      <c r="D29" s="9">
        <f t="shared" si="10"/>
        <v>8811.5911372270803</v>
      </c>
      <c r="E29" s="9">
        <f t="shared" si="10"/>
        <v>3434.4235088577921</v>
      </c>
      <c r="F29" s="9">
        <f t="shared" si="10"/>
        <v>3175.8493297443169</v>
      </c>
      <c r="G29" s="9">
        <f t="shared" si="10"/>
        <v>6632.736568115386</v>
      </c>
      <c r="H29" s="9">
        <f t="shared" si="10"/>
        <v>4765.1175069677201</v>
      </c>
      <c r="I29" s="9">
        <f t="shared" si="10"/>
        <v>2659.0637561808503</v>
      </c>
      <c r="J29" s="9">
        <f t="shared" si="10"/>
        <v>3621.9380184402912</v>
      </c>
      <c r="K29" s="9">
        <f t="shared" si="10"/>
        <v>2264.750483756206</v>
      </c>
      <c r="L29" s="9">
        <f t="shared" si="10"/>
        <v>615.42070602982483</v>
      </c>
      <c r="M29" s="9">
        <f t="shared" si="10"/>
        <v>3339.2730086651941</v>
      </c>
      <c r="N29" s="9">
        <f t="shared" si="10"/>
        <v>2123.2792876994749</v>
      </c>
      <c r="O29" s="9">
        <f t="shared" si="10"/>
        <v>4122.2986742047615</v>
      </c>
    </row>
    <row r="30" spans="1:17" ht="16" thickTop="1" x14ac:dyDescent="0.35"/>
    <row r="33" spans="5:5" x14ac:dyDescent="0.35">
      <c r="E33" s="9"/>
    </row>
    <row r="34" spans="5:5" x14ac:dyDescent="0.35">
      <c r="E34" s="9"/>
    </row>
    <row r="35" spans="5:5" x14ac:dyDescent="0.35">
      <c r="E3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CB8F-AC35-0B47-B1DB-B7CD8186F937}">
  <dimension ref="B4:S27"/>
  <sheetViews>
    <sheetView showGridLines="0" topLeftCell="C4" workbookViewId="0">
      <selection activeCell="C6" sqref="C6:C17"/>
    </sheetView>
  </sheetViews>
  <sheetFormatPr defaultColWidth="10.6640625" defaultRowHeight="15.5" x14ac:dyDescent="0.35"/>
  <cols>
    <col min="4" max="4" width="23.83203125" customWidth="1"/>
  </cols>
  <sheetData>
    <row r="4" spans="2:19" x14ac:dyDescent="0.35">
      <c r="B4" s="1"/>
      <c r="C4" s="37" t="s">
        <v>71</v>
      </c>
      <c r="D4" s="37"/>
    </row>
    <row r="5" spans="2:19" ht="62.5" thickBot="1" x14ac:dyDescent="0.4">
      <c r="B5" s="23" t="s">
        <v>19</v>
      </c>
      <c r="C5" s="24" t="s">
        <v>20</v>
      </c>
      <c r="D5" s="24" t="s">
        <v>72</v>
      </c>
      <c r="E5" s="25" t="s">
        <v>0</v>
      </c>
      <c r="F5" s="25" t="s">
        <v>1</v>
      </c>
      <c r="G5" s="25" t="s">
        <v>2</v>
      </c>
      <c r="H5" s="25" t="s">
        <v>3</v>
      </c>
      <c r="I5" s="25" t="s">
        <v>21</v>
      </c>
      <c r="J5" s="25" t="s">
        <v>22</v>
      </c>
      <c r="K5" s="25" t="s">
        <v>23</v>
      </c>
      <c r="L5" s="25" t="s">
        <v>24</v>
      </c>
      <c r="M5" s="25" t="s">
        <v>4</v>
      </c>
      <c r="N5" s="25" t="s">
        <v>5</v>
      </c>
      <c r="O5" s="25" t="s">
        <v>25</v>
      </c>
      <c r="P5" s="25" t="s">
        <v>35</v>
      </c>
      <c r="Q5" s="25" t="s">
        <v>69</v>
      </c>
      <c r="R5" s="26" t="s">
        <v>18</v>
      </c>
      <c r="S5" s="25" t="s">
        <v>68</v>
      </c>
    </row>
    <row r="6" spans="2:19" ht="16" thickTop="1" x14ac:dyDescent="0.35">
      <c r="B6" s="1">
        <v>1</v>
      </c>
      <c r="C6" t="s">
        <v>627</v>
      </c>
      <c r="D6" s="43">
        <f>_xlfn.XLOOKUP(C6,'GDP per capita 7 sept 2021'!A:A,'GDP per capita 7 sept 2021'!BL:BL,0,0)</f>
        <v>1156.1548636013904</v>
      </c>
      <c r="E6" s="19">
        <f>IFERROR(ESA_USD!C4/'Wage Index_ESA'!$D6,0)</f>
        <v>0</v>
      </c>
      <c r="F6" s="19">
        <f>IFERROR(ESA_USD!D4/'Wage Index_ESA'!$D6,0)</f>
        <v>10.966575844783526</v>
      </c>
      <c r="G6" s="19">
        <f>IFERROR(ESA_USD!E4/'Wage Index_ESA'!$D6,0)</f>
        <v>3.0946027324186725</v>
      </c>
      <c r="H6" s="19">
        <f>IFERROR(ESA_USD!F4/'Wage Index_ESA'!$D6,0)</f>
        <v>3.0946027324186725</v>
      </c>
      <c r="I6" s="19">
        <f>IFERROR(ESA_USD!G4/'Wage Index_ESA'!$D6,0)</f>
        <v>0</v>
      </c>
      <c r="J6" s="19">
        <f>IFERROR(ESA_USD!H4/'Wage Index_ESA'!$D6,0)</f>
        <v>3.0946027324186725</v>
      </c>
      <c r="K6" s="19">
        <f>IFERROR(ESA_USD!I4/'Wage Index_ESA'!$D6,0)</f>
        <v>3.0946027324186725</v>
      </c>
      <c r="L6" s="19">
        <f>IFERROR(ESA_USD!J4/'Wage Index_ESA'!$D6,0)</f>
        <v>3.0946027324186725</v>
      </c>
      <c r="M6" s="19">
        <f>IFERROR(ESA_USD!K4/'Wage Index_ESA'!$D6,0)</f>
        <v>0</v>
      </c>
      <c r="N6" s="19">
        <f>IFERROR(ESA_USD!L4/'Wage Index_ESA'!$D6,0)</f>
        <v>0</v>
      </c>
      <c r="O6" s="19">
        <f>IFERROR(ESA_USD!M4/'Wage Index_ESA'!$D6,0)</f>
        <v>0</v>
      </c>
      <c r="P6" s="19">
        <f>IFERROR(ESA_USD!N4/'Wage Index_ESA'!$D6,0)</f>
        <v>0</v>
      </c>
      <c r="Q6" s="30">
        <f>AVERAGEIF(E6:P6,"&gt;0")</f>
        <v>4.4065982511461472</v>
      </c>
      <c r="R6">
        <v>2021</v>
      </c>
      <c r="S6" t="s">
        <v>66</v>
      </c>
    </row>
    <row r="7" spans="2:19" x14ac:dyDescent="0.35">
      <c r="B7" s="1">
        <v>2</v>
      </c>
      <c r="C7" t="s">
        <v>7</v>
      </c>
      <c r="D7" s="43">
        <f>_xlfn.XLOOKUP(C7,'GDP per capita 7 sept 2021'!A:A,'GDP per capita 7 sept 2021'!BL:BL,0,0)</f>
        <v>6001.401121406795</v>
      </c>
      <c r="E7" s="19">
        <f>IFERROR(ESA_USD!C5/'Wage Index_ESA'!$D7,0)</f>
        <v>11.685878253827369</v>
      </c>
      <c r="F7" s="19">
        <f>IFERROR(ESA_USD!D5/'Wage Index_ESA'!$D7,0)</f>
        <v>15.506486064595597</v>
      </c>
      <c r="G7" s="19">
        <f>IFERROR(ESA_USD!E5/'Wage Index_ESA'!$D7,0)</f>
        <v>5.4958475607699731</v>
      </c>
      <c r="H7" s="19">
        <f>IFERROR(ESA_USD!F5/'Wage Index_ESA'!$D7,0)</f>
        <v>5.4958475607699731</v>
      </c>
      <c r="I7" s="19">
        <f>IFERROR(ESA_USD!G5/'Wage Index_ESA'!$D7,0)</f>
        <v>0</v>
      </c>
      <c r="J7" s="19">
        <f>IFERROR(ESA_USD!H5/'Wage Index_ESA'!$D7,0)</f>
        <v>9.2089209591898609</v>
      </c>
      <c r="K7" s="19">
        <f>IFERROR(ESA_USD!I5/'Wage Index_ESA'!$D7,0)</f>
        <v>0</v>
      </c>
      <c r="L7" s="19">
        <f>IFERROR(ESA_USD!J5/'Wage Index_ESA'!$D7,0)</f>
        <v>6.5006248297084497</v>
      </c>
      <c r="M7" s="19">
        <f>IFERROR(ESA_USD!K5/'Wage Index_ESA'!$D7,0)</f>
        <v>0</v>
      </c>
      <c r="N7" s="19">
        <f>IFERROR(ESA_USD!L5/'Wage Index_ESA'!$D7,0)</f>
        <v>0.4998832671422514</v>
      </c>
      <c r="O7" s="19">
        <f>IFERROR(ESA_USD!M5/'Wage Index_ESA'!$D7,0)</f>
        <v>6.5006248297084497</v>
      </c>
      <c r="P7" s="19">
        <f>IFERROR(ESA_USD!N5/'Wage Index_ESA'!$D7,0)</f>
        <v>0</v>
      </c>
      <c r="Q7" s="30">
        <f>AVERAGEIF(E7:P7,"&gt;0")</f>
        <v>7.6117641657139909</v>
      </c>
      <c r="R7">
        <v>2020</v>
      </c>
      <c r="S7" t="s">
        <v>66</v>
      </c>
    </row>
    <row r="8" spans="2:19" x14ac:dyDescent="0.35">
      <c r="B8" s="1">
        <v>3</v>
      </c>
      <c r="C8" t="s">
        <v>8</v>
      </c>
      <c r="D8" s="43">
        <f>_xlfn.XLOOKUP(C8,'GDP per capita 7 sept 2021'!A:A,'GDP per capita 7 sept 2021'!BL:BL,0,0)</f>
        <v>1816.547123752179</v>
      </c>
      <c r="E8" s="19">
        <f>IFERROR(ESA_USD!C6/'Wage Index_ESA'!$D8,0)</f>
        <v>21.095010142565279</v>
      </c>
      <c r="F8" s="19">
        <f>IFERROR(ESA_USD!D6/'Wage Index_ESA'!$D8,0)</f>
        <v>27.414648014820191</v>
      </c>
      <c r="G8" s="19">
        <f>IFERROR(ESA_USD!E6/'Wage Index_ESA'!$D8,0)</f>
        <v>6.6072604685356993</v>
      </c>
      <c r="H8" s="19">
        <f>IFERROR(ESA_USD!F6/'Wage Index_ESA'!$D8,0)</f>
        <v>6.6072604685356993</v>
      </c>
      <c r="I8" s="19">
        <f>IFERROR(ESA_USD!G6/'Wage Index_ESA'!$D8,0)</f>
        <v>21.095010142565279</v>
      </c>
      <c r="J8" s="19">
        <f>IFERROR(ESA_USD!H6/'Wage Index_ESA'!$D8,0)</f>
        <v>18.03421423625521</v>
      </c>
      <c r="K8" s="19">
        <f>IFERROR(ESA_USD!I6/'Wage Index_ESA'!$D8,0)</f>
        <v>5.4168702101572421</v>
      </c>
      <c r="L8" s="19">
        <f>IFERROR(ESA_USD!J6/'Wage Index_ESA'!$D8,0)</f>
        <v>0</v>
      </c>
      <c r="M8" s="19">
        <f>IFERROR(ESA_USD!K6/'Wage Index_ESA'!$D8,0)</f>
        <v>5.4168702101572421</v>
      </c>
      <c r="N8" s="19">
        <f>IFERROR(ESA_USD!L6/'Wage Index_ESA'!$D8,0)</f>
        <v>0.13211878561359128</v>
      </c>
      <c r="O8" s="19">
        <f>IFERROR(ESA_USD!M6/'Wage Index_ESA'!$D8,0)</f>
        <v>0</v>
      </c>
      <c r="P8" s="19">
        <f>IFERROR(ESA_USD!N6/'Wage Index_ESA'!$D8,0)</f>
        <v>6.6092422503199035</v>
      </c>
      <c r="Q8" s="30">
        <f t="shared" ref="Q8:Q17" si="0">AVERAGEIF(E8:P8,"&gt;0")</f>
        <v>11.842850492952534</v>
      </c>
      <c r="R8">
        <v>2019</v>
      </c>
      <c r="S8" t="s">
        <v>64</v>
      </c>
    </row>
    <row r="9" spans="2:19" x14ac:dyDescent="0.35">
      <c r="B9" s="1">
        <v>4</v>
      </c>
      <c r="C9" t="s">
        <v>445</v>
      </c>
      <c r="D9" s="43">
        <f>_xlfn.XLOOKUP(C9,'GDP per capita 7 sept 2021'!A:A,'GDP per capita 7 sept 2021'!BL:BL,0,0)</f>
        <v>5037.3426291926335</v>
      </c>
      <c r="E9" s="19">
        <f>IFERROR(ESA_USD!C7/'Wage Index_ESA'!$D9,0)</f>
        <v>13.309155162386231</v>
      </c>
      <c r="F9" s="19">
        <f>IFERROR(ESA_USD!D7/'Wage Index_ESA'!$D9,0)</f>
        <v>14.261722672779083</v>
      </c>
      <c r="G9" s="19">
        <f>IFERROR(ESA_USD!E7/'Wage Index_ESA'!$D9,0)</f>
        <v>10.055269133291025</v>
      </c>
      <c r="H9" s="19">
        <f>IFERROR(ESA_USD!F7/'Wage Index_ESA'!$D9,0)</f>
        <v>10.055269133291025</v>
      </c>
      <c r="I9" s="19">
        <f>IFERROR(ESA_USD!G7/'Wage Index_ESA'!$D9,0)</f>
        <v>12.904299499710806</v>
      </c>
      <c r="J9" s="19">
        <f>IFERROR(ESA_USD!H7/'Wage Index_ESA'!$D9,0)</f>
        <v>9.0730154871974875</v>
      </c>
      <c r="K9" s="19">
        <f>IFERROR(ESA_USD!I7/'Wage Index_ESA'!$D9,0)</f>
        <v>0</v>
      </c>
      <c r="L9" s="19">
        <f>IFERROR(ESA_USD!J7/'Wage Index_ESA'!$D9,0)</f>
        <v>5.8649525261109599</v>
      </c>
      <c r="M9" s="19">
        <f>IFERROR(ESA_USD!K7/'Wage Index_ESA'!$D9,0)</f>
        <v>4.720890074643548</v>
      </c>
      <c r="N9" s="19">
        <f>IFERROR(ESA_USD!L7/'Wage Index_ESA'!$D9,0)</f>
        <v>0</v>
      </c>
      <c r="O9" s="19">
        <f>IFERROR(ESA_USD!M7/'Wage Index_ESA'!$D9,0)</f>
        <v>3.902830872444496</v>
      </c>
      <c r="P9" s="19">
        <f>IFERROR(ESA_USD!N7/'Wage Index_ESA'!$D9,0)</f>
        <v>0</v>
      </c>
      <c r="Q9" s="30">
        <f t="shared" si="0"/>
        <v>9.34971161798385</v>
      </c>
      <c r="R9">
        <v>2019</v>
      </c>
      <c r="S9" t="s">
        <v>66</v>
      </c>
    </row>
    <row r="10" spans="2:19" x14ac:dyDescent="0.35">
      <c r="B10" s="1">
        <v>5</v>
      </c>
      <c r="C10" t="s">
        <v>10</v>
      </c>
      <c r="D10" s="43">
        <f>_xlfn.XLOOKUP(C10,'GDP per capita 7 sept 2021'!A:A,'GDP per capita 7 sept 2021'!BL:BL,0,0)</f>
        <v>1113.3721403358106</v>
      </c>
      <c r="E10" s="19">
        <f>IFERROR(ESA_USD!C8/'Wage Index_ESA'!$D10,0)</f>
        <v>25.77176934869734</v>
      </c>
      <c r="F10" s="19">
        <f>IFERROR(ESA_USD!D8/'Wage Index_ESA'!$D10,0)</f>
        <v>30.474069514409159</v>
      </c>
      <c r="G10" s="19">
        <f>IFERROR(ESA_USD!E8/'Wage Index_ESA'!$D10,0)</f>
        <v>8.8510477700903536</v>
      </c>
      <c r="H10" s="19">
        <f>IFERROR(ESA_USD!F8/'Wage Index_ESA'!$D10,0)</f>
        <v>8.8510477700903536</v>
      </c>
      <c r="I10" s="19">
        <f>IFERROR(ESA_USD!G8/'Wage Index_ESA'!$D10,0)</f>
        <v>25.77176934869734</v>
      </c>
      <c r="J10" s="19">
        <f>IFERROR(ESA_USD!H8/'Wage Index_ESA'!$D10,0)</f>
        <v>16.131129340620106</v>
      </c>
      <c r="K10" s="19">
        <f>IFERROR(ESA_USD!I8/'Wage Index_ESA'!$D10,0)</f>
        <v>10.947310030879501</v>
      </c>
      <c r="L10" s="19">
        <f>IFERROR(ESA_USD!J8/'Wage Index_ESA'!$D10,0)</f>
        <v>10.947310030879501</v>
      </c>
      <c r="M10" s="19">
        <f>IFERROR(ESA_USD!K8/'Wage Index_ESA'!$D10,0)</f>
        <v>10.947310030879501</v>
      </c>
      <c r="N10" s="19">
        <f>IFERROR(ESA_USD!L8/'Wage Index_ESA'!$D10,0)</f>
        <v>1.9677607518894851</v>
      </c>
      <c r="O10" s="19">
        <f>IFERROR(ESA_USD!M8/'Wage Index_ESA'!$D10,0)</f>
        <v>10.947310030879501</v>
      </c>
      <c r="P10" s="19">
        <f>IFERROR(ESA_USD!N8/'Wage Index_ESA'!$D10,0)</f>
        <v>0</v>
      </c>
      <c r="Q10" s="30">
        <f t="shared" si="0"/>
        <v>14.691621269819285</v>
      </c>
      <c r="R10">
        <v>2020</v>
      </c>
      <c r="S10" t="s">
        <v>66</v>
      </c>
    </row>
    <row r="11" spans="2:19" x14ac:dyDescent="0.35">
      <c r="B11" s="1">
        <v>6</v>
      </c>
      <c r="C11" t="s">
        <v>11</v>
      </c>
      <c r="D11" s="43">
        <f>_xlfn.XLOOKUP(C11,'GDP per capita 7 sept 2021'!A:A,'GDP per capita 7 sept 2021'!BL:BL,0,0)</f>
        <v>855.7608851869029</v>
      </c>
      <c r="E11" s="19">
        <f>IFERROR(ESA_USD!C9/'Wage Index_ESA'!$D11,0)</f>
        <v>5.0831956394570854</v>
      </c>
      <c r="F11" s="19">
        <f>IFERROR(ESA_USD!D9/'Wage Index_ESA'!$D11,0)</f>
        <v>6.2996569407616425</v>
      </c>
      <c r="G11" s="19">
        <f>IFERROR(ESA_USD!E9/'Wage Index_ESA'!$D11,0)</f>
        <v>3.541209494246409</v>
      </c>
      <c r="H11" s="19">
        <f>IFERROR(ESA_USD!F9/'Wage Index_ESA'!$D11,0)</f>
        <v>4.5353122867904796</v>
      </c>
      <c r="I11" s="19">
        <f>IFERROR(ESA_USD!G9/'Wage Index_ESA'!$D11,0)</f>
        <v>5.0831956394570854</v>
      </c>
      <c r="J11" s="19">
        <f>IFERROR(ESA_USD!H9/'Wage Index_ESA'!$D11,0)</f>
        <v>4.5353122867904796</v>
      </c>
      <c r="K11" s="19">
        <f>IFERROR(ESA_USD!I9/'Wage Index_ESA'!$D11,0)</f>
        <v>3.541209494246409</v>
      </c>
      <c r="L11" s="19">
        <f>IFERROR(ESA_USD!J9/'Wage Index_ESA'!$D11,0)</f>
        <v>4.5353122867904796</v>
      </c>
      <c r="M11" s="19">
        <f>IFERROR(ESA_USD!K9/'Wage Index_ESA'!$D11,0)</f>
        <v>3.541209494246409</v>
      </c>
      <c r="N11" s="19">
        <f>IFERROR(ESA_USD!L9/'Wage Index_ESA'!$D11,0)</f>
        <v>3.1015005512470668</v>
      </c>
      <c r="O11" s="19">
        <f>IFERROR(ESA_USD!M9/'Wage Index_ESA'!$D11,0)</f>
        <v>0</v>
      </c>
      <c r="P11" s="19">
        <f>IFERROR(ESA_USD!N9/'Wage Index_ESA'!$D11,0)</f>
        <v>4.5353089480741309</v>
      </c>
      <c r="Q11" s="30">
        <f t="shared" si="0"/>
        <v>4.393856642009788</v>
      </c>
      <c r="R11">
        <v>2019</v>
      </c>
      <c r="S11" t="s">
        <v>66</v>
      </c>
    </row>
    <row r="12" spans="2:19" x14ac:dyDescent="0.35">
      <c r="B12" s="1">
        <v>7</v>
      </c>
      <c r="C12" t="s">
        <v>12</v>
      </c>
      <c r="D12" s="43">
        <f>_xlfn.XLOOKUP(C12,'GDP per capita 7 sept 2021'!A:A,'GDP per capita 7 sept 2021'!BL:BL,0,0)</f>
        <v>527.53417454467149</v>
      </c>
      <c r="E12" s="19">
        <f>IFERROR(ESA_USD!C10/'Wage Index_ESA'!$D12,0)</f>
        <v>17.918432156430804</v>
      </c>
      <c r="F12" s="19">
        <f>IFERROR(ESA_USD!D10/'Wage Index_ESA'!$D12,0)</f>
        <v>54.442335921177822</v>
      </c>
      <c r="G12" s="19">
        <f>IFERROR(ESA_USD!E10/'Wage Index_ESA'!$D12,0)</f>
        <v>8.5334734731022071</v>
      </c>
      <c r="H12" s="19">
        <f>IFERROR(ESA_USD!F10/'Wage Index_ESA'!$D12,0)</f>
        <v>8.5334734731022071</v>
      </c>
      <c r="I12" s="19">
        <f>IFERROR(ESA_USD!G10/'Wage Index_ESA'!$D12,0)</f>
        <v>44.679726935515767</v>
      </c>
      <c r="J12" s="19">
        <f>IFERROR(ESA_USD!H10/'Wage Index_ESA'!$D12,0)</f>
        <v>19.663733989849391</v>
      </c>
      <c r="K12" s="19">
        <f>IFERROR(ESA_USD!I10/'Wage Index_ESA'!$D12,0)</f>
        <v>9.3858454152732786</v>
      </c>
      <c r="L12" s="19">
        <f>IFERROR(ESA_USD!J10/'Wage Index_ESA'!$D12,0)</f>
        <v>14.039983637722838</v>
      </c>
      <c r="M12" s="19">
        <f>IFERROR(ESA_USD!K10/'Wage Index_ESA'!$D12,0)</f>
        <v>4.6371843493125651</v>
      </c>
      <c r="N12" s="19">
        <f>IFERROR(ESA_USD!L10/'Wage Index_ESA'!$D12,0)</f>
        <v>3.5847830881284813E-2</v>
      </c>
      <c r="O12" s="19">
        <f>IFERROR(ESA_USD!M10/'Wage Index_ESA'!$D12,0)</f>
        <v>7.4466211559192947</v>
      </c>
      <c r="P12" s="19">
        <f>IFERROR(ESA_USD!N10/'Wage Index_ESA'!$D12,0)</f>
        <v>12.120875842740412</v>
      </c>
      <c r="Q12" s="30">
        <f t="shared" si="0"/>
        <v>16.786461181752326</v>
      </c>
      <c r="R12">
        <v>2019</v>
      </c>
      <c r="S12" t="s">
        <v>66</v>
      </c>
    </row>
    <row r="13" spans="2:19" x14ac:dyDescent="0.35">
      <c r="B13" s="1">
        <v>8</v>
      </c>
      <c r="C13" t="s">
        <v>14</v>
      </c>
      <c r="D13" s="43">
        <f>_xlfn.XLOOKUP(C13,'GDP per capita 7 sept 2021'!A:A,'GDP per capita 7 sept 2021'!BL:BL,0,0)</f>
        <v>820.14928855859421</v>
      </c>
      <c r="E13" s="19">
        <f>IFERROR(ESA_USD!C11/'Wage Index_ESA'!$D13,0)</f>
        <v>13.597821665255433</v>
      </c>
      <c r="F13" s="19">
        <f>IFERROR(ESA_USD!D11/'Wage Index_ESA'!$D13,0)</f>
        <v>22.331938855784742</v>
      </c>
      <c r="G13" s="19">
        <f>IFERROR(ESA_USD!E11/'Wage Index_ESA'!$D13,0)</f>
        <v>5.6378544948415579</v>
      </c>
      <c r="H13" s="19">
        <f>IFERROR(ESA_USD!F11/'Wage Index_ESA'!$D13,0)</f>
        <v>5.6514875938719058</v>
      </c>
      <c r="I13" s="19">
        <f>IFERROR(ESA_USD!G11/'Wage Index_ESA'!$D13,0)</f>
        <v>5.6378544948415579</v>
      </c>
      <c r="J13" s="19">
        <f>IFERROR(ESA_USD!H11/'Wage Index_ESA'!$D13,0)</f>
        <v>9.3677688298422197</v>
      </c>
      <c r="K13" s="19">
        <f>IFERROR(ESA_USD!I11/'Wage Index_ESA'!$D13,0)</f>
        <v>5.6378544948415579</v>
      </c>
      <c r="L13" s="19">
        <f>IFERROR(ESA_USD!J11/'Wage Index_ESA'!$D13,0)</f>
        <v>0</v>
      </c>
      <c r="M13" s="19">
        <f>IFERROR(ESA_USD!K11/'Wage Index_ESA'!$D13,0)</f>
        <v>5.6378544948415579</v>
      </c>
      <c r="N13" s="19">
        <f>IFERROR(ESA_USD!L11/'Wage Index_ESA'!$D13,0)</f>
        <v>0</v>
      </c>
      <c r="O13" s="19">
        <f>IFERROR(ESA_USD!M11/'Wage Index_ESA'!$D13,0)</f>
        <v>5.6378544948415579</v>
      </c>
      <c r="P13" s="19">
        <f>IFERROR(ESA_USD!N11/'Wage Index_ESA'!$D13,0)</f>
        <v>5.6378544948415579</v>
      </c>
      <c r="Q13" s="30">
        <f t="shared" si="0"/>
        <v>8.4776143913803654</v>
      </c>
      <c r="R13">
        <v>2019</v>
      </c>
      <c r="S13" t="s">
        <v>66</v>
      </c>
    </row>
    <row r="14" spans="2:19" x14ac:dyDescent="0.35">
      <c r="B14" s="1">
        <v>9</v>
      </c>
      <c r="C14" t="s">
        <v>15</v>
      </c>
      <c r="D14" s="43">
        <f>_xlfn.XLOOKUP(C14,'GDP per capita 7 sept 2021'!A:A,'GDP per capita 7 sept 2021'!BL:BL,0,0)</f>
        <v>7970.7969680064125</v>
      </c>
      <c r="E14" s="19">
        <f>IFERROR(ESA_USD!C12/'Wage Index_ESA'!$D14,0)</f>
        <v>5.0599959027795363</v>
      </c>
      <c r="F14" s="19">
        <f>IFERROR(ESA_USD!D12/'Wage Index_ESA'!$D14,0)</f>
        <v>8.6064868909265915</v>
      </c>
      <c r="G14" s="19">
        <f>IFERROR(ESA_USD!E12/'Wage Index_ESA'!$D14,0)</f>
        <v>3.7541917226232284</v>
      </c>
      <c r="H14" s="19">
        <f>IFERROR(ESA_USD!F12/'Wage Index_ESA'!$D14,0)</f>
        <v>2.279447304651077</v>
      </c>
      <c r="I14" s="19">
        <f>IFERROR(ESA_USD!G12/'Wage Index_ESA'!$D14,0)</f>
        <v>5.0599959027795363</v>
      </c>
      <c r="J14" s="19">
        <f>IFERROR(ESA_USD!H12/'Wage Index_ESA'!$D14,0)</f>
        <v>4.2438667219572297</v>
      </c>
      <c r="K14" s="19">
        <f>IFERROR(ESA_USD!I12/'Wage Index_ESA'!$D14,0)</f>
        <v>4.2438667219572297</v>
      </c>
      <c r="L14" s="19">
        <f>IFERROR(ESA_USD!J12/'Wage Index_ESA'!$D14,0)</f>
        <v>4.2438667219572297</v>
      </c>
      <c r="M14" s="19">
        <f>IFERROR(ESA_USD!K12/'Wage Index_ESA'!$D14,0)</f>
        <v>2.2894072039780151</v>
      </c>
      <c r="N14" s="19">
        <f>IFERROR(ESA_USD!L12/'Wage Index_ESA'!$D14,0)</f>
        <v>0.83946436308156847</v>
      </c>
      <c r="O14" s="19">
        <f>IFERROR(ESA_USD!M12/'Wage Index_ESA'!$D14,0)</f>
        <v>2.8389131087928869</v>
      </c>
      <c r="P14" s="19">
        <f>IFERROR(ESA_USD!N12/'Wage Index_ESA'!$D14,0)</f>
        <v>1.3469461345665454</v>
      </c>
      <c r="Q14" s="30">
        <f t="shared" si="0"/>
        <v>3.7338707250042233</v>
      </c>
      <c r="R14">
        <v>2019</v>
      </c>
      <c r="S14" t="s">
        <v>65</v>
      </c>
    </row>
    <row r="15" spans="2:19" x14ac:dyDescent="0.35">
      <c r="B15" s="1">
        <v>10</v>
      </c>
      <c r="C15" t="s">
        <v>16</v>
      </c>
      <c r="D15" s="43">
        <f>_xlfn.XLOOKUP(C15,'GDP per capita 7 sept 2021'!A:A,'GDP per capita 7 sept 2021'!BL:BL,0,0)</f>
        <v>583.11020358403914</v>
      </c>
      <c r="E15" s="19">
        <f>IFERROR(ESA_USD!C13/'Wage Index_ESA'!$D15,0)</f>
        <v>10.326618646046532</v>
      </c>
      <c r="F15" s="19">
        <f>IFERROR(ESA_USD!D13/'Wage Index_ESA'!$D15,0)</f>
        <v>25.087705235307453</v>
      </c>
      <c r="G15" s="19">
        <f>IFERROR(ESA_USD!E13/'Wage Index_ESA'!$D15,0)</f>
        <v>9.2894855571710284</v>
      </c>
      <c r="H15" s="19">
        <f>IFERROR(ESA_USD!F13/'Wage Index_ESA'!$D15,0)</f>
        <v>9.2894855571710284</v>
      </c>
      <c r="I15" s="19">
        <f>IFERROR(ESA_USD!G13/'Wage Index_ESA'!$D15,0)</f>
        <v>9.2894855571710284</v>
      </c>
      <c r="J15" s="19">
        <f>IFERROR(ESA_USD!H13/'Wage Index_ESA'!$D15,0)</f>
        <v>9.2894855571710284</v>
      </c>
      <c r="K15" s="19">
        <f>IFERROR(ESA_USD!I13/'Wage Index_ESA'!$D15,0)</f>
        <v>9.2894855571710284</v>
      </c>
      <c r="L15" s="19">
        <f>IFERROR(ESA_USD!J13/'Wage Index_ESA'!$D15,0)</f>
        <v>9.2894855571710284</v>
      </c>
      <c r="M15" s="19">
        <f>IFERROR(ESA_USD!K13/'Wage Index_ESA'!$D15,0)</f>
        <v>9.2894855571710284</v>
      </c>
      <c r="N15" s="19">
        <f>IFERROR(ESA_USD!L13/'Wage Index_ESA'!$D15,0)</f>
        <v>3.4475101587306356</v>
      </c>
      <c r="O15" s="19">
        <f>IFERROR(ESA_USD!M13/'Wage Index_ESA'!$D15,0)</f>
        <v>9.2894855571710284</v>
      </c>
      <c r="P15" s="19">
        <f>IFERROR(ESA_USD!N13/'Wage Index_ESA'!$D15,0)</f>
        <v>9.2894855571710284</v>
      </c>
      <c r="Q15" s="30">
        <f t="shared" si="0"/>
        <v>10.205600337885326</v>
      </c>
      <c r="R15">
        <v>2019</v>
      </c>
      <c r="S15" t="s">
        <v>65</v>
      </c>
    </row>
    <row r="16" spans="2:19" x14ac:dyDescent="0.35">
      <c r="B16" s="1">
        <v>11</v>
      </c>
      <c r="C16" t="s">
        <v>62</v>
      </c>
      <c r="D16" s="43">
        <f>_xlfn.XLOOKUP(C16,'GDP per capita 7 sept 2021'!A:A,'GDP per capita 7 sept 2021'!BL:BL,0,0)</f>
        <v>1305.0022135408724</v>
      </c>
      <c r="E16" s="19">
        <f>IFERROR(ESA_USD!C14/'Wage Index_ESA'!$D16,0)</f>
        <v>19.238842698641882</v>
      </c>
      <c r="F16" s="19">
        <f>IFERROR(ESA_USD!D14/'Wage Index_ESA'!$D16,0)</f>
        <v>28.483155930905522</v>
      </c>
      <c r="G16" s="19">
        <f>IFERROR(ESA_USD!E14/'Wage Index_ESA'!$D16,0)</f>
        <v>4.4636842311496681</v>
      </c>
      <c r="H16" s="19">
        <f>IFERROR(ESA_USD!F14/'Wage Index_ESA'!$D16,0)</f>
        <v>5.1659545352943894</v>
      </c>
      <c r="I16" s="19">
        <f>IFERROR(ESA_USD!G14/'Wage Index_ESA'!$D16,0)</f>
        <v>18.908126607672035</v>
      </c>
      <c r="J16" s="19">
        <f>IFERROR(ESA_USD!H14/'Wage Index_ESA'!$D16,0)</f>
        <v>6.3829660420992953</v>
      </c>
      <c r="K16" s="19">
        <f>IFERROR(ESA_USD!I14/'Wage Index_ESA'!$D16,0)</f>
        <v>4.4636842311496681</v>
      </c>
      <c r="L16" s="19">
        <f>IFERROR(ESA_USD!J14/'Wage Index_ESA'!$D16,0)</f>
        <v>6.3829660420992953</v>
      </c>
      <c r="M16" s="19">
        <f>IFERROR(ESA_USD!K14/'Wage Index_ESA'!$D16,0)</f>
        <v>4.4636842311496681</v>
      </c>
      <c r="N16" s="19">
        <f>IFERROR(ESA_USD!L14/'Wage Index_ESA'!$D16,0)</f>
        <v>0</v>
      </c>
      <c r="O16" s="19">
        <f>IFERROR(ESA_USD!M14/'Wage Index_ESA'!$D16,0)</f>
        <v>6.3829660420992953</v>
      </c>
      <c r="P16" s="19">
        <f>IFERROR(ESA_USD!N14/'Wage Index_ESA'!$D16,0)</f>
        <v>4.8091118589255526</v>
      </c>
      <c r="Q16" s="30">
        <f t="shared" si="0"/>
        <v>9.9222856773805699</v>
      </c>
      <c r="R16">
        <v>2019</v>
      </c>
      <c r="S16" t="s">
        <v>64</v>
      </c>
    </row>
    <row r="17" spans="2:19" ht="16" thickBot="1" x14ac:dyDescent="0.4">
      <c r="B17" s="20">
        <v>12</v>
      </c>
      <c r="C17" s="21" t="s">
        <v>17</v>
      </c>
      <c r="D17" s="44">
        <f>_xlfn.XLOOKUP(C17,'GDP per capita 7 sept 2021'!A:A,'GDP per capita 7 sept 2021'!BL:BL,0,0)</f>
        <v>3894.6696302985792</v>
      </c>
      <c r="E17" s="22">
        <f>IFERROR(ESA_USD!C15/'Wage Index_ESA'!$D17,0)</f>
        <v>6.7439242955360879</v>
      </c>
      <c r="F17" s="22">
        <f>IFERROR(ESA_USD!D15/'Wage Index_ESA'!$D17,0)</f>
        <v>8.2057574375735225</v>
      </c>
      <c r="G17" s="22">
        <f>IFERROR(ESA_USD!E15/'Wage Index_ESA'!$D17,0)</f>
        <v>2.784666781101456</v>
      </c>
      <c r="H17" s="22">
        <f>IFERROR(ESA_USD!F15/'Wage Index_ESA'!$D17,0)</f>
        <v>2.784666781101456</v>
      </c>
      <c r="I17" s="22">
        <f>IFERROR(ESA_USD!G15/'Wage Index_ESA'!$D17,0)</f>
        <v>6.7439242955360879</v>
      </c>
      <c r="J17" s="22">
        <f>IFERROR(ESA_USD!H15/'Wage Index_ESA'!$D17,0)</f>
        <v>4.5459201481743712</v>
      </c>
      <c r="K17" s="22">
        <f>IFERROR(ESA_USD!I15/'Wage Index_ESA'!$D17,0)</f>
        <v>2.312244535806284</v>
      </c>
      <c r="L17" s="22">
        <f>IFERROR(ESA_USD!J15/'Wage Index_ESA'!$D17,0)</f>
        <v>1.9200051414148935</v>
      </c>
      <c r="M17" s="22">
        <f>IFERROR(ESA_USD!K15/'Wage Index_ESA'!$D17,0)</f>
        <v>2.312244535806284</v>
      </c>
      <c r="N17" s="22">
        <f>IFERROR(ESA_USD!L15/'Wage Index_ESA'!$D17,0)</f>
        <v>7.7028356311957827E-2</v>
      </c>
      <c r="O17" s="22">
        <f>IFERROR(ESA_USD!M15/'Wage Index_ESA'!$D17,0)</f>
        <v>3.7715284060514893</v>
      </c>
      <c r="P17" s="22">
        <f>IFERROR(ESA_USD!N15/'Wage Index_ESA'!$D17,0)</f>
        <v>0</v>
      </c>
      <c r="Q17" s="31">
        <f t="shared" si="0"/>
        <v>3.8365373376739895</v>
      </c>
      <c r="R17" s="21">
        <v>2019</v>
      </c>
      <c r="S17" s="21" t="s">
        <v>67</v>
      </c>
    </row>
    <row r="18" spans="2:19" ht="16" thickTop="1" x14ac:dyDescent="0.35">
      <c r="B18" s="1"/>
      <c r="C18" s="10" t="s">
        <v>26</v>
      </c>
      <c r="D18" s="36"/>
      <c r="E18" s="27">
        <f t="shared" ref="E18:Q18" si="1">AVERAGEIF(E6:E17,"&gt;0")</f>
        <v>13.620967628329417</v>
      </c>
      <c r="F18" s="27">
        <f t="shared" si="1"/>
        <v>21.006711610318735</v>
      </c>
      <c r="G18" s="27">
        <f t="shared" si="1"/>
        <v>6.009049451611773</v>
      </c>
      <c r="H18" s="27">
        <f t="shared" si="1"/>
        <v>6.0286545997573553</v>
      </c>
      <c r="I18" s="27">
        <f t="shared" si="1"/>
        <v>15.517338842394654</v>
      </c>
      <c r="J18" s="27">
        <f t="shared" si="1"/>
        <v>9.464244694297113</v>
      </c>
      <c r="K18" s="27">
        <f t="shared" si="1"/>
        <v>5.8332973423900878</v>
      </c>
      <c r="L18" s="27">
        <f t="shared" si="1"/>
        <v>6.6819109506273335</v>
      </c>
      <c r="M18" s="27">
        <f t="shared" si="1"/>
        <v>5.325614018218582</v>
      </c>
      <c r="N18" s="27">
        <f t="shared" si="1"/>
        <v>1.2626392581122303</v>
      </c>
      <c r="O18" s="27">
        <f t="shared" si="1"/>
        <v>6.3020149442119999</v>
      </c>
      <c r="P18" s="27">
        <f t="shared" si="1"/>
        <v>6.3355464409484474</v>
      </c>
      <c r="Q18" s="32">
        <f t="shared" si="1"/>
        <v>8.7715643408918673</v>
      </c>
    </row>
    <row r="19" spans="2:19" x14ac:dyDescent="0.35">
      <c r="B19" s="1"/>
      <c r="C19" s="10" t="s">
        <v>29</v>
      </c>
      <c r="D19" s="36"/>
      <c r="E19" s="27">
        <f t="shared" ref="E19:Q19" si="2">MEDIAN(E6:E17)</f>
        <v>12.497516708106801</v>
      </c>
      <c r="F19" s="27">
        <f t="shared" si="2"/>
        <v>18.91921246019017</v>
      </c>
      <c r="G19" s="27">
        <f t="shared" si="2"/>
        <v>5.5668510278057655</v>
      </c>
      <c r="H19" s="27">
        <f t="shared" si="2"/>
        <v>5.5736675773209399</v>
      </c>
      <c r="I19" s="27">
        <f t="shared" si="2"/>
        <v>8.0167049263535581</v>
      </c>
      <c r="J19" s="27">
        <f t="shared" si="2"/>
        <v>9.1409682231936742</v>
      </c>
      <c r="K19" s="27">
        <f t="shared" si="2"/>
        <v>4.3537754765534489</v>
      </c>
      <c r="L19" s="27">
        <f t="shared" si="2"/>
        <v>5.2001324064507202</v>
      </c>
      <c r="M19" s="27">
        <f t="shared" si="2"/>
        <v>4.5504342902311166</v>
      </c>
      <c r="N19" s="27">
        <f t="shared" si="2"/>
        <v>0.10457357096277456</v>
      </c>
      <c r="O19" s="27">
        <f t="shared" si="2"/>
        <v>4.7703426836430269</v>
      </c>
      <c r="P19" s="27">
        <f t="shared" si="2"/>
        <v>2.9411275413203382</v>
      </c>
      <c r="Q19" s="32">
        <f t="shared" si="2"/>
        <v>8.9136630046821068</v>
      </c>
    </row>
    <row r="20" spans="2:19" x14ac:dyDescent="0.35">
      <c r="B20" s="1"/>
      <c r="C20" s="10" t="s">
        <v>27</v>
      </c>
      <c r="D20" s="36"/>
      <c r="E20" s="27">
        <f t="shared" ref="E20:P20" si="3">_xlfn.MINIFS(E6:E17,E6:E17,"&gt;0")</f>
        <v>5.0599959027795363</v>
      </c>
      <c r="F20" s="27">
        <f t="shared" si="3"/>
        <v>6.2996569407616425</v>
      </c>
      <c r="G20" s="27">
        <f t="shared" si="3"/>
        <v>2.784666781101456</v>
      </c>
      <c r="H20" s="27">
        <f t="shared" si="3"/>
        <v>2.279447304651077</v>
      </c>
      <c r="I20" s="27">
        <f t="shared" si="3"/>
        <v>5.0599959027795363</v>
      </c>
      <c r="J20" s="27">
        <f t="shared" si="3"/>
        <v>3.0946027324186725</v>
      </c>
      <c r="K20" s="27">
        <f t="shared" si="3"/>
        <v>2.312244535806284</v>
      </c>
      <c r="L20" s="27">
        <f t="shared" si="3"/>
        <v>1.9200051414148935</v>
      </c>
      <c r="M20" s="27">
        <f t="shared" si="3"/>
        <v>2.2894072039780151</v>
      </c>
      <c r="N20" s="27">
        <f t="shared" si="3"/>
        <v>3.5847830881284813E-2</v>
      </c>
      <c r="O20" s="27">
        <f t="shared" si="3"/>
        <v>2.8389131087928869</v>
      </c>
      <c r="P20" s="27">
        <f t="shared" si="3"/>
        <v>1.3469461345665454</v>
      </c>
      <c r="Q20" s="32"/>
    </row>
    <row r="21" spans="2:19" x14ac:dyDescent="0.35">
      <c r="B21" s="1"/>
      <c r="C21" s="10" t="s">
        <v>28</v>
      </c>
      <c r="D21" s="36"/>
      <c r="E21" s="27">
        <f t="shared" ref="E21:P21" si="4">MAX(E6:E17)</f>
        <v>25.77176934869734</v>
      </c>
      <c r="F21" s="27">
        <f t="shared" si="4"/>
        <v>54.442335921177822</v>
      </c>
      <c r="G21" s="27">
        <f t="shared" si="4"/>
        <v>10.055269133291025</v>
      </c>
      <c r="H21" s="27">
        <f t="shared" si="4"/>
        <v>10.055269133291025</v>
      </c>
      <c r="I21" s="27">
        <f t="shared" si="4"/>
        <v>44.679726935515767</v>
      </c>
      <c r="J21" s="27">
        <f t="shared" si="4"/>
        <v>19.663733989849391</v>
      </c>
      <c r="K21" s="27">
        <f t="shared" si="4"/>
        <v>10.947310030879501</v>
      </c>
      <c r="L21" s="27">
        <f t="shared" si="4"/>
        <v>14.039983637722838</v>
      </c>
      <c r="M21" s="27">
        <f t="shared" si="4"/>
        <v>10.947310030879501</v>
      </c>
      <c r="N21" s="27">
        <f t="shared" si="4"/>
        <v>3.4475101587306356</v>
      </c>
      <c r="O21" s="27">
        <f t="shared" si="4"/>
        <v>10.947310030879501</v>
      </c>
      <c r="P21" s="27">
        <f t="shared" si="4"/>
        <v>12.120875842740412</v>
      </c>
      <c r="Q21" s="32"/>
    </row>
    <row r="22" spans="2:19" x14ac:dyDescent="0.35">
      <c r="B22" s="1"/>
      <c r="C22" s="10" t="s">
        <v>30</v>
      </c>
      <c r="D22" s="36"/>
      <c r="E22" s="12">
        <f>ESA_USD!C20</f>
        <v>11</v>
      </c>
      <c r="F22" s="12">
        <f>ESA_USD!D20</f>
        <v>12</v>
      </c>
      <c r="G22" s="12">
        <f>ESA_USD!E20</f>
        <v>12</v>
      </c>
      <c r="H22" s="12">
        <f>ESA_USD!F20</f>
        <v>12</v>
      </c>
      <c r="I22" s="12">
        <f>ESA_USD!G20</f>
        <v>10</v>
      </c>
      <c r="J22" s="12">
        <f>ESA_USD!H20</f>
        <v>12</v>
      </c>
      <c r="K22" s="12">
        <f>ESA_USD!I20</f>
        <v>10</v>
      </c>
      <c r="L22" s="12">
        <f>ESA_USD!J20</f>
        <v>10</v>
      </c>
      <c r="M22" s="12">
        <f>ESA_USD!K20</f>
        <v>10</v>
      </c>
      <c r="N22" s="12">
        <f>ESA_USD!L20</f>
        <v>8</v>
      </c>
      <c r="O22" s="12">
        <f>ESA_USD!M20</f>
        <v>9</v>
      </c>
      <c r="P22" s="12">
        <f>ESA_USD!N20</f>
        <v>7</v>
      </c>
      <c r="Q22" s="12">
        <f>ESA_USD!O20</f>
        <v>12</v>
      </c>
    </row>
    <row r="23" spans="2:19" x14ac:dyDescent="0.35">
      <c r="B23" s="1"/>
      <c r="C23" s="10" t="s">
        <v>31</v>
      </c>
      <c r="D23" s="36"/>
      <c r="E23" s="27">
        <f t="shared" ref="E23:Q23" si="5">STDEV(E6:E17)</f>
        <v>7.5785250390378041</v>
      </c>
      <c r="F23" s="27">
        <f t="shared" si="5"/>
        <v>13.596191259762868</v>
      </c>
      <c r="G23" s="27">
        <f t="shared" si="5"/>
        <v>2.6075983118868709</v>
      </c>
      <c r="H23" s="27">
        <f t="shared" si="5"/>
        <v>2.663056724682237</v>
      </c>
      <c r="I23" s="27">
        <f t="shared" si="5"/>
        <v>12.926145462482552</v>
      </c>
      <c r="J23" s="27">
        <f t="shared" si="5"/>
        <v>5.6244810962761633</v>
      </c>
      <c r="K23" s="27">
        <f t="shared" si="5"/>
        <v>3.5316348348914675</v>
      </c>
      <c r="L23" s="27">
        <f t="shared" si="5"/>
        <v>4.2686346339608239</v>
      </c>
      <c r="M23" s="27">
        <f t="shared" si="5"/>
        <v>3.2718834758088948</v>
      </c>
      <c r="N23" s="27">
        <f t="shared" si="5"/>
        <v>1.273979558387935</v>
      </c>
      <c r="O23" s="27">
        <f t="shared" si="5"/>
        <v>3.6408432091617597</v>
      </c>
      <c r="P23" s="27">
        <f t="shared" si="5"/>
        <v>4.1591846193428221</v>
      </c>
      <c r="Q23" s="32">
        <f t="shared" si="5"/>
        <v>4.2833181946077401</v>
      </c>
    </row>
    <row r="24" spans="2:19" x14ac:dyDescent="0.35">
      <c r="B24" s="1"/>
      <c r="C24" s="10" t="s">
        <v>32</v>
      </c>
      <c r="D24" s="36"/>
      <c r="E24" s="13">
        <f>E23/SQRT(E22)</f>
        <v>2.285011274436537</v>
      </c>
      <c r="F24" s="13">
        <f t="shared" ref="F24:Q24" si="6">F23/SQRT(F22)</f>
        <v>3.9248823418888645</v>
      </c>
      <c r="G24" s="13">
        <f t="shared" si="6"/>
        <v>0.7527487936531494</v>
      </c>
      <c r="H24" s="13">
        <f t="shared" si="6"/>
        <v>0.76875825843126633</v>
      </c>
      <c r="I24" s="13">
        <f t="shared" si="6"/>
        <v>4.0876061028095432</v>
      </c>
      <c r="J24" s="13">
        <f t="shared" si="6"/>
        <v>1.6236478374935022</v>
      </c>
      <c r="K24" s="13">
        <f t="shared" si="6"/>
        <v>1.116800994224973</v>
      </c>
      <c r="L24" s="13">
        <f t="shared" si="6"/>
        <v>1.349860794239534</v>
      </c>
      <c r="M24" s="13">
        <f t="shared" si="6"/>
        <v>1.0346604022224535</v>
      </c>
      <c r="N24" s="13">
        <f t="shared" si="6"/>
        <v>0.45041979241457597</v>
      </c>
      <c r="O24" s="13">
        <f t="shared" si="6"/>
        <v>1.21361440305392</v>
      </c>
      <c r="P24" s="13">
        <f t="shared" si="6"/>
        <v>1.5720240227979931</v>
      </c>
      <c r="Q24" s="34">
        <f t="shared" si="6"/>
        <v>1.2364874563408004</v>
      </c>
    </row>
    <row r="25" spans="2:19" x14ac:dyDescent="0.35">
      <c r="B25" s="1"/>
      <c r="C25" s="10" t="s">
        <v>33</v>
      </c>
      <c r="D25" s="36"/>
      <c r="E25" s="13">
        <f>E18-(1.96*E24)</f>
        <v>9.1423455304338042</v>
      </c>
      <c r="F25" s="13">
        <f t="shared" ref="F25:Q25" si="7">F18-(1.96*F24)</f>
        <v>13.31394222021656</v>
      </c>
      <c r="G25" s="13">
        <f t="shared" si="7"/>
        <v>4.5336618160516</v>
      </c>
      <c r="H25" s="13">
        <f t="shared" si="7"/>
        <v>4.5218884132320731</v>
      </c>
      <c r="I25" s="13">
        <f t="shared" si="7"/>
        <v>7.5056308808879493</v>
      </c>
      <c r="J25" s="13">
        <f t="shared" si="7"/>
        <v>6.2818949328098483</v>
      </c>
      <c r="K25" s="13">
        <f t="shared" si="7"/>
        <v>3.6443673937091408</v>
      </c>
      <c r="L25" s="13">
        <f t="shared" si="7"/>
        <v>4.0361837939178464</v>
      </c>
      <c r="M25" s="13">
        <f t="shared" si="7"/>
        <v>3.2976796298625732</v>
      </c>
      <c r="N25" s="13">
        <f t="shared" si="7"/>
        <v>0.37981646497966148</v>
      </c>
      <c r="O25" s="13">
        <f t="shared" si="7"/>
        <v>3.9233307142263167</v>
      </c>
      <c r="P25" s="13">
        <f t="shared" si="7"/>
        <v>3.2543793562643808</v>
      </c>
      <c r="Q25" s="34">
        <f t="shared" si="7"/>
        <v>6.3480489264638988</v>
      </c>
    </row>
    <row r="26" spans="2:19" ht="16" thickBot="1" x14ac:dyDescent="0.4">
      <c r="B26" s="20"/>
      <c r="C26" s="28" t="s">
        <v>34</v>
      </c>
      <c r="D26" s="38"/>
      <c r="E26" s="29">
        <f>E18+(1.96*E24)</f>
        <v>18.09958972622503</v>
      </c>
      <c r="F26" s="29">
        <f t="shared" ref="F26:Q26" si="8">F18+(1.96*F24)</f>
        <v>28.69948100042091</v>
      </c>
      <c r="G26" s="29">
        <f t="shared" si="8"/>
        <v>7.4844370871719459</v>
      </c>
      <c r="H26" s="29">
        <f t="shared" si="8"/>
        <v>7.5354207862826375</v>
      </c>
      <c r="I26" s="29">
        <f t="shared" si="8"/>
        <v>23.529046803901359</v>
      </c>
      <c r="J26" s="29">
        <f t="shared" si="8"/>
        <v>12.646594455784378</v>
      </c>
      <c r="K26" s="29">
        <f t="shared" si="8"/>
        <v>8.0222272910710348</v>
      </c>
      <c r="L26" s="29">
        <f t="shared" si="8"/>
        <v>9.3276381073368206</v>
      </c>
      <c r="M26" s="29">
        <f t="shared" si="8"/>
        <v>7.3535484065745909</v>
      </c>
      <c r="N26" s="29">
        <f t="shared" si="8"/>
        <v>2.1454620512447993</v>
      </c>
      <c r="O26" s="29">
        <f t="shared" si="8"/>
        <v>8.6806991741976827</v>
      </c>
      <c r="P26" s="29">
        <f t="shared" si="8"/>
        <v>9.4167135256325132</v>
      </c>
      <c r="Q26" s="35">
        <f t="shared" si="8"/>
        <v>11.195079755319835</v>
      </c>
      <c r="R26" s="21"/>
      <c r="S26" s="21"/>
    </row>
    <row r="27" spans="2:19" ht="16" thickTop="1" x14ac:dyDescent="0.3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61ED-BED0-9347-A803-05015294FD68}">
  <dimension ref="D8:O27"/>
  <sheetViews>
    <sheetView showGridLines="0" zoomScale="60" zoomScaleNormal="60" workbookViewId="0">
      <selection activeCell="H10" sqref="H10"/>
    </sheetView>
  </sheetViews>
  <sheetFormatPr defaultColWidth="10.83203125" defaultRowHeight="14.5" x14ac:dyDescent="0.35"/>
  <cols>
    <col min="1" max="3" width="10.83203125" style="39"/>
    <col min="4" max="6" width="18.5" style="48" customWidth="1"/>
    <col min="7" max="7" width="15" style="48" bestFit="1" customWidth="1"/>
    <col min="8" max="8" width="13.33203125" style="39" customWidth="1"/>
    <col min="9" max="9" width="8.33203125" style="39" bestFit="1" customWidth="1"/>
    <col min="10" max="10" width="14.83203125" style="39" customWidth="1"/>
    <col min="11" max="16384" width="10.83203125" style="39"/>
  </cols>
  <sheetData>
    <row r="8" spans="4:15" ht="15" thickBot="1" x14ac:dyDescent="0.4">
      <c r="D8" s="45"/>
      <c r="E8" s="118" t="s">
        <v>668</v>
      </c>
      <c r="F8" s="118"/>
      <c r="G8" s="118"/>
      <c r="H8" s="119" t="s">
        <v>669</v>
      </c>
      <c r="I8" s="119"/>
      <c r="J8" s="119"/>
      <c r="K8" s="118" t="s">
        <v>670</v>
      </c>
      <c r="L8" s="118"/>
      <c r="M8" s="118"/>
      <c r="N8" s="45"/>
      <c r="O8" s="45"/>
    </row>
    <row r="9" spans="4:15" ht="36.5" thickBot="1" x14ac:dyDescent="0.4">
      <c r="D9" s="45" t="s">
        <v>671</v>
      </c>
      <c r="E9" s="45" t="s">
        <v>672</v>
      </c>
      <c r="F9" s="45" t="s">
        <v>673</v>
      </c>
      <c r="G9" s="45" t="s">
        <v>674</v>
      </c>
      <c r="H9" s="45" t="s">
        <v>672</v>
      </c>
      <c r="I9" s="45" t="s">
        <v>673</v>
      </c>
      <c r="J9" s="45" t="s">
        <v>674</v>
      </c>
      <c r="K9" s="45" t="s">
        <v>672</v>
      </c>
      <c r="L9" s="45" t="s">
        <v>673</v>
      </c>
      <c r="M9" s="45" t="s">
        <v>674</v>
      </c>
      <c r="N9" s="45" t="s">
        <v>675</v>
      </c>
      <c r="O9" s="45" t="s">
        <v>676</v>
      </c>
    </row>
    <row r="10" spans="4:15" ht="15.5" x14ac:dyDescent="0.35">
      <c r="D10" s="46" t="s">
        <v>116</v>
      </c>
      <c r="E10" s="46"/>
      <c r="F10" s="46"/>
      <c r="G10" s="46"/>
    </row>
    <row r="11" spans="4:15" ht="15.5" x14ac:dyDescent="0.35">
      <c r="D11" s="46" t="s">
        <v>15</v>
      </c>
      <c r="E11" s="46"/>
      <c r="F11" s="46"/>
      <c r="G11" s="46"/>
    </row>
    <row r="12" spans="4:15" ht="15.5" x14ac:dyDescent="0.35">
      <c r="D12" s="46" t="s">
        <v>199</v>
      </c>
      <c r="E12" s="46"/>
      <c r="F12" s="46"/>
      <c r="G12" s="46"/>
    </row>
    <row r="13" spans="4:15" ht="15.5" x14ac:dyDescent="0.35">
      <c r="D13" s="46" t="s">
        <v>677</v>
      </c>
      <c r="E13" s="46"/>
      <c r="F13" s="46"/>
      <c r="G13" s="46"/>
    </row>
    <row r="14" spans="4:15" ht="15.5" x14ac:dyDescent="0.35">
      <c r="D14" s="46" t="s">
        <v>17</v>
      </c>
      <c r="E14" s="46"/>
      <c r="F14" s="46"/>
      <c r="G14" s="46"/>
    </row>
    <row r="15" spans="4:15" ht="15.5" x14ac:dyDescent="0.35">
      <c r="D15" s="46" t="s">
        <v>10</v>
      </c>
      <c r="E15" s="46"/>
      <c r="F15" s="46"/>
      <c r="G15" s="46"/>
    </row>
    <row r="16" spans="4:15" ht="15.5" x14ac:dyDescent="0.35">
      <c r="D16" s="46" t="s">
        <v>406</v>
      </c>
      <c r="E16" s="46"/>
      <c r="F16" s="46"/>
      <c r="G16" s="46"/>
    </row>
    <row r="17" spans="4:15" ht="15.5" x14ac:dyDescent="0.35">
      <c r="D17" s="46" t="s">
        <v>16</v>
      </c>
      <c r="E17" s="46"/>
      <c r="F17" s="46"/>
      <c r="G17" s="46"/>
    </row>
    <row r="18" spans="4:15" ht="15.5" x14ac:dyDescent="0.35">
      <c r="D18" s="46" t="s">
        <v>438</v>
      </c>
      <c r="E18" s="46"/>
      <c r="F18" s="46"/>
      <c r="G18" s="46"/>
    </row>
    <row r="19" spans="4:15" ht="15.5" x14ac:dyDescent="0.35">
      <c r="D19" s="46" t="s">
        <v>434</v>
      </c>
      <c r="E19" s="46"/>
      <c r="F19" s="46"/>
      <c r="G19" s="46"/>
    </row>
    <row r="20" spans="4:15" ht="15.5" x14ac:dyDescent="0.35">
      <c r="D20" s="46" t="s">
        <v>445</v>
      </c>
      <c r="E20" s="46"/>
      <c r="F20" s="46"/>
      <c r="G20" s="46"/>
    </row>
    <row r="21" spans="4:15" ht="15.5" x14ac:dyDescent="0.35">
      <c r="D21" s="46" t="s">
        <v>13</v>
      </c>
      <c r="E21" s="46"/>
      <c r="F21" s="46"/>
      <c r="G21" s="46"/>
    </row>
    <row r="22" spans="4:15" ht="15.5" x14ac:dyDescent="0.35">
      <c r="D22" s="46" t="s">
        <v>7</v>
      </c>
      <c r="E22" s="46"/>
      <c r="F22" s="46"/>
      <c r="G22" s="46"/>
    </row>
    <row r="23" spans="4:15" ht="15.5" x14ac:dyDescent="0.35">
      <c r="D23" s="46" t="s">
        <v>591</v>
      </c>
      <c r="E23" s="46"/>
      <c r="F23" s="46"/>
      <c r="G23" s="46"/>
    </row>
    <row r="24" spans="4:15" ht="15.5" x14ac:dyDescent="0.35">
      <c r="D24" s="46" t="s">
        <v>62</v>
      </c>
      <c r="E24" s="46"/>
      <c r="F24" s="46"/>
      <c r="G24" s="46"/>
    </row>
    <row r="25" spans="4:15" ht="15.5" x14ac:dyDescent="0.35">
      <c r="D25" s="46" t="s">
        <v>627</v>
      </c>
      <c r="E25" s="46"/>
      <c r="F25" s="46"/>
      <c r="G25" s="46"/>
    </row>
    <row r="26" spans="4:15" ht="16" thickBot="1" x14ac:dyDescent="0.4">
      <c r="D26" s="47" t="s">
        <v>678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4:15" ht="15" thickTop="1" x14ac:dyDescent="0.35"/>
  </sheetData>
  <mergeCells count="3">
    <mergeCell ref="E8:G8"/>
    <mergeCell ref="H8:J8"/>
    <mergeCell ref="K8:M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6074-B286-E44E-BE23-38BD8B0B26B5}">
  <dimension ref="C8:E23"/>
  <sheetViews>
    <sheetView topLeftCell="A18" zoomScale="180" zoomScaleNormal="180" workbookViewId="0">
      <selection activeCell="H14" sqref="H14"/>
    </sheetView>
  </sheetViews>
  <sheetFormatPr defaultColWidth="10.6640625" defaultRowHeight="15.5" x14ac:dyDescent="0.35"/>
  <cols>
    <col min="3" max="3" width="20.33203125" bestFit="1" customWidth="1"/>
    <col min="4" max="4" width="8.1640625" bestFit="1" customWidth="1"/>
  </cols>
  <sheetData>
    <row r="8" spans="3:5" ht="16" thickBot="1" x14ac:dyDescent="0.4"/>
    <row r="9" spans="3:5" ht="16" thickBot="1" x14ac:dyDescent="0.4">
      <c r="C9" s="14" t="s">
        <v>36</v>
      </c>
      <c r="D9" s="15">
        <v>2019</v>
      </c>
    </row>
    <row r="10" spans="3:5" ht="16" thickBot="1" x14ac:dyDescent="0.4">
      <c r="C10" s="16" t="s">
        <v>37</v>
      </c>
      <c r="D10" s="17" t="s">
        <v>51</v>
      </c>
      <c r="E10">
        <f>D10/14</f>
        <v>93060.642857142855</v>
      </c>
    </row>
    <row r="11" spans="3:5" ht="16" thickBot="1" x14ac:dyDescent="0.4">
      <c r="C11" s="16" t="s">
        <v>38</v>
      </c>
      <c r="D11" s="17" t="s">
        <v>52</v>
      </c>
      <c r="E11">
        <f t="shared" ref="E11:E23" si="0">D11/14</f>
        <v>70131.642857142855</v>
      </c>
    </row>
    <row r="12" spans="3:5" ht="16" thickBot="1" x14ac:dyDescent="0.4">
      <c r="C12" s="16" t="s">
        <v>39</v>
      </c>
      <c r="D12" s="17" t="s">
        <v>53</v>
      </c>
      <c r="E12">
        <f t="shared" si="0"/>
        <v>32982.785714285717</v>
      </c>
    </row>
    <row r="13" spans="3:5" ht="16" thickBot="1" x14ac:dyDescent="0.4">
      <c r="C13" s="16" t="s">
        <v>40</v>
      </c>
      <c r="D13" s="17" t="s">
        <v>54</v>
      </c>
      <c r="E13">
        <f t="shared" si="0"/>
        <v>21244.857142857141</v>
      </c>
    </row>
    <row r="14" spans="3:5" ht="16" thickBot="1" x14ac:dyDescent="0.4">
      <c r="C14" s="16" t="s">
        <v>41</v>
      </c>
      <c r="D14" s="17" t="s">
        <v>55</v>
      </c>
      <c r="E14">
        <f t="shared" si="0"/>
        <v>16283.214285714286</v>
      </c>
    </row>
    <row r="15" spans="3:5" ht="16" thickBot="1" x14ac:dyDescent="0.4">
      <c r="C15" s="16" t="s">
        <v>42</v>
      </c>
      <c r="D15" s="17" t="s">
        <v>56</v>
      </c>
      <c r="E15">
        <f t="shared" si="0"/>
        <v>13758.785714285714</v>
      </c>
    </row>
    <row r="16" spans="3:5" ht="16" thickBot="1" x14ac:dyDescent="0.4">
      <c r="C16" s="16" t="s">
        <v>43</v>
      </c>
      <c r="D16" s="17" t="s">
        <v>57</v>
      </c>
      <c r="E16">
        <f t="shared" si="0"/>
        <v>39012.857142857145</v>
      </c>
    </row>
    <row r="17" spans="3:5" ht="16" thickBot="1" x14ac:dyDescent="0.4">
      <c r="C17" s="16" t="s">
        <v>44</v>
      </c>
      <c r="D17" s="17" t="s">
        <v>57</v>
      </c>
      <c r="E17">
        <f t="shared" si="0"/>
        <v>39012.857142857145</v>
      </c>
    </row>
    <row r="18" spans="3:5" ht="25.5" thickBot="1" x14ac:dyDescent="0.4">
      <c r="C18" s="16" t="s">
        <v>45</v>
      </c>
      <c r="D18" s="17" t="s">
        <v>57</v>
      </c>
      <c r="E18">
        <f t="shared" si="0"/>
        <v>39012.857142857145</v>
      </c>
    </row>
    <row r="19" spans="3:5" ht="25.5" thickBot="1" x14ac:dyDescent="0.4">
      <c r="C19" s="16" t="s">
        <v>46</v>
      </c>
      <c r="D19" s="17" t="s">
        <v>58</v>
      </c>
      <c r="E19">
        <f t="shared" si="0"/>
        <v>62639.785714285717</v>
      </c>
    </row>
    <row r="20" spans="3:5" ht="16" thickBot="1" x14ac:dyDescent="0.4">
      <c r="C20" s="16" t="s">
        <v>47</v>
      </c>
      <c r="D20" s="17" t="s">
        <v>57</v>
      </c>
      <c r="E20">
        <f t="shared" si="0"/>
        <v>39012.857142857145</v>
      </c>
    </row>
    <row r="21" spans="3:5" ht="16" thickBot="1" x14ac:dyDescent="0.4">
      <c r="C21" s="16" t="s">
        <v>48</v>
      </c>
      <c r="D21" s="17" t="s">
        <v>59</v>
      </c>
      <c r="E21">
        <f t="shared" si="0"/>
        <v>55266.428571428572</v>
      </c>
    </row>
    <row r="22" spans="3:5" ht="25.5" thickBot="1" x14ac:dyDescent="0.4">
      <c r="C22" s="16" t="s">
        <v>49</v>
      </c>
      <c r="D22" s="17" t="s">
        <v>60</v>
      </c>
      <c r="E22">
        <f t="shared" si="0"/>
        <v>18101.928571428572</v>
      </c>
    </row>
    <row r="23" spans="3:5" ht="25.5" thickBot="1" x14ac:dyDescent="0.4">
      <c r="C23" s="16" t="s">
        <v>50</v>
      </c>
      <c r="D23" s="17" t="s">
        <v>61</v>
      </c>
      <c r="E23">
        <f t="shared" si="0"/>
        <v>3000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C42A-96E6-B746-AC36-0E2DC28209EC}">
  <sheetPr filterMode="1"/>
  <dimension ref="A1:AI268"/>
  <sheetViews>
    <sheetView tabSelected="1" topLeftCell="A149" workbookViewId="0">
      <selection activeCell="A174" sqref="A174"/>
    </sheetView>
  </sheetViews>
  <sheetFormatPr defaultColWidth="11.5" defaultRowHeight="14.5" x14ac:dyDescent="0.35"/>
  <cols>
    <col min="1" max="1" width="44" style="39" bestFit="1" customWidth="1"/>
    <col min="2" max="2" width="25.6640625" style="39" bestFit="1" customWidth="1"/>
    <col min="3" max="3" width="58.6640625" style="39" bestFit="1" customWidth="1"/>
    <col min="4" max="4" width="14.1640625" style="39" bestFit="1" customWidth="1"/>
    <col min="5" max="34" width="11.5" style="39" bestFit="1" customWidth="1"/>
    <col min="35" max="35" width="12" style="39" customWidth="1"/>
    <col min="36" max="256" width="8.83203125" style="39" customWidth="1"/>
    <col min="257" max="16384" width="11.5" style="39"/>
  </cols>
  <sheetData>
    <row r="1" spans="1:35" x14ac:dyDescent="0.35">
      <c r="A1" s="39" t="s">
        <v>68</v>
      </c>
      <c r="B1" s="39" t="s">
        <v>73</v>
      </c>
    </row>
    <row r="2" spans="1:35" x14ac:dyDescent="0.35">
      <c r="A2" s="39" t="s">
        <v>74</v>
      </c>
      <c r="B2" s="40">
        <v>44119</v>
      </c>
    </row>
    <row r="4" spans="1:35" x14ac:dyDescent="0.35">
      <c r="A4" s="39" t="s">
        <v>75</v>
      </c>
      <c r="B4" s="39" t="s">
        <v>76</v>
      </c>
      <c r="C4" s="39" t="s">
        <v>77</v>
      </c>
      <c r="D4" s="39" t="s">
        <v>78</v>
      </c>
      <c r="E4" s="39" t="s">
        <v>79</v>
      </c>
      <c r="F4" s="39" t="s">
        <v>80</v>
      </c>
      <c r="G4" s="39" t="s">
        <v>81</v>
      </c>
      <c r="H4" s="39" t="s">
        <v>82</v>
      </c>
      <c r="I4" s="39" t="s">
        <v>83</v>
      </c>
      <c r="J4" s="39" t="s">
        <v>84</v>
      </c>
      <c r="K4" s="39" t="s">
        <v>85</v>
      </c>
      <c r="L4" s="39" t="s">
        <v>86</v>
      </c>
      <c r="M4" s="39" t="s">
        <v>87</v>
      </c>
      <c r="N4" s="39" t="s">
        <v>88</v>
      </c>
      <c r="O4" s="39" t="s">
        <v>89</v>
      </c>
      <c r="P4" s="39" t="s">
        <v>90</v>
      </c>
      <c r="Q4" s="39" t="s">
        <v>91</v>
      </c>
      <c r="R4" s="39" t="s">
        <v>92</v>
      </c>
      <c r="S4" s="39" t="s">
        <v>93</v>
      </c>
      <c r="T4" s="39" t="s">
        <v>94</v>
      </c>
      <c r="U4" s="39" t="s">
        <v>95</v>
      </c>
      <c r="V4" s="39" t="s">
        <v>96</v>
      </c>
      <c r="W4" s="39" t="s">
        <v>97</v>
      </c>
      <c r="X4" s="39" t="s">
        <v>98</v>
      </c>
      <c r="Y4" s="39" t="s">
        <v>99</v>
      </c>
      <c r="Z4" s="39" t="s">
        <v>100</v>
      </c>
      <c r="AA4" s="39" t="s">
        <v>101</v>
      </c>
      <c r="AB4" s="39" t="s">
        <v>102</v>
      </c>
      <c r="AC4" s="39" t="s">
        <v>103</v>
      </c>
      <c r="AD4" s="39" t="s">
        <v>104</v>
      </c>
      <c r="AE4" s="39" t="s">
        <v>105</v>
      </c>
      <c r="AF4" s="39" t="s">
        <v>106</v>
      </c>
      <c r="AG4" s="39" t="s">
        <v>107</v>
      </c>
      <c r="AH4" s="39" t="s">
        <v>108</v>
      </c>
      <c r="AI4" s="39" t="s">
        <v>109</v>
      </c>
    </row>
    <row r="5" spans="1:35" x14ac:dyDescent="0.35">
      <c r="A5" s="39" t="s">
        <v>110</v>
      </c>
      <c r="B5" s="39" t="s">
        <v>111</v>
      </c>
      <c r="C5" s="39" t="s">
        <v>112</v>
      </c>
      <c r="D5" s="39" t="s">
        <v>113</v>
      </c>
      <c r="E5" s="39">
        <v>0.52800638822417878</v>
      </c>
      <c r="F5" s="39">
        <v>0.53939766499985142</v>
      </c>
      <c r="G5" s="39">
        <v>0.54738042739036874</v>
      </c>
      <c r="H5" s="39">
        <v>0.56303273755525707</v>
      </c>
      <c r="I5" s="39">
        <v>0.58600803145792735</v>
      </c>
      <c r="J5" s="39">
        <v>0.5933193317022234</v>
      </c>
      <c r="K5" s="39">
        <v>0.60176300066594413</v>
      </c>
      <c r="L5" s="39">
        <v>0.61348301351840218</v>
      </c>
      <c r="M5" s="39">
        <v>0.64650704710963125</v>
      </c>
      <c r="N5" s="39">
        <v>0.6513255528360391</v>
      </c>
      <c r="O5" s="39">
        <v>0.64376207622499448</v>
      </c>
      <c r="P5" s="39">
        <v>0.66540465993012288</v>
      </c>
      <c r="Q5" s="39">
        <v>0.68470035466930168</v>
      </c>
      <c r="R5" s="39">
        <v>0.68632050614118989</v>
      </c>
      <c r="S5" s="39">
        <v>0.68283685725017318</v>
      </c>
      <c r="T5" s="39">
        <v>0.68427949688622347</v>
      </c>
      <c r="U5" s="39">
        <v>0.68374210861848594</v>
      </c>
      <c r="V5" s="39">
        <v>0.70547248562767595</v>
      </c>
      <c r="W5" s="39">
        <v>0.72711686631609496</v>
      </c>
      <c r="X5" s="39">
        <v>0.73407846076430727</v>
      </c>
      <c r="Y5" s="39">
        <v>0.72071027154665368</v>
      </c>
      <c r="Z5" s="39">
        <v>0.72789978048654747</v>
      </c>
      <c r="AA5" s="39">
        <v>0.73620187503665357</v>
      </c>
      <c r="AB5" s="39">
        <v>0.71795586101169828</v>
      </c>
      <c r="AC5" s="39">
        <v>0.73119708279657547</v>
      </c>
      <c r="AD5" s="39">
        <v>0.76107146353694966</v>
      </c>
      <c r="AE5" s="39">
        <v>0.75700815829484924</v>
      </c>
      <c r="AF5" s="39">
        <v>0.75457522323011739</v>
      </c>
    </row>
    <row r="6" spans="1:35" x14ac:dyDescent="0.35">
      <c r="A6" s="39" t="s">
        <v>114</v>
      </c>
      <c r="B6" s="39" t="s">
        <v>115</v>
      </c>
      <c r="C6" s="39" t="s">
        <v>112</v>
      </c>
      <c r="D6" s="39" t="s">
        <v>113</v>
      </c>
      <c r="Q6" s="39">
        <v>0.20458798186811425</v>
      </c>
      <c r="R6" s="39">
        <v>0.2055097948187237</v>
      </c>
      <c r="S6" s="39">
        <v>0.22841215831389935</v>
      </c>
      <c r="T6" s="39">
        <v>0.23657778147574079</v>
      </c>
      <c r="U6" s="39">
        <v>0.2447049668806133</v>
      </c>
      <c r="V6" s="39">
        <v>0.29274194439097417</v>
      </c>
      <c r="W6" s="39">
        <v>0.2865538450757279</v>
      </c>
      <c r="X6" s="39">
        <v>0.28826622526011186</v>
      </c>
      <c r="Y6" s="39">
        <v>0.31761415715360919</v>
      </c>
      <c r="Z6" s="39">
        <v>0.34784756347866658</v>
      </c>
      <c r="AA6" s="39">
        <v>0.33522042883568187</v>
      </c>
      <c r="AB6" s="39">
        <v>0.31613038612246624</v>
      </c>
      <c r="AC6" s="39">
        <v>0.29663157419085479</v>
      </c>
      <c r="AD6" s="39">
        <v>0.27713547536580863</v>
      </c>
      <c r="AE6" s="39">
        <v>0.25703672516051623</v>
      </c>
      <c r="AF6" s="39">
        <v>0.25256940183521498</v>
      </c>
      <c r="AG6" s="39">
        <v>0.23380054690409244</v>
      </c>
      <c r="AH6" s="39">
        <v>0.21892486244907569</v>
      </c>
    </row>
    <row r="7" spans="1:35" x14ac:dyDescent="0.35">
      <c r="A7" s="39" t="s">
        <v>116</v>
      </c>
      <c r="B7" s="39" t="s">
        <v>117</v>
      </c>
      <c r="C7" s="39" t="s">
        <v>112</v>
      </c>
      <c r="D7" s="39" t="s">
        <v>113</v>
      </c>
      <c r="E7" s="39">
        <v>0.35528367618803142</v>
      </c>
      <c r="F7" s="39">
        <v>0.32134832184551543</v>
      </c>
      <c r="G7" s="39">
        <v>0.26142148925527553</v>
      </c>
      <c r="H7" s="39">
        <v>0.23326854377519404</v>
      </c>
      <c r="I7" s="39">
        <v>0.17339677744338966</v>
      </c>
      <c r="J7" s="39">
        <v>0.18429939613233862</v>
      </c>
      <c r="K7" s="39">
        <v>0.21659900036433261</v>
      </c>
      <c r="L7" s="39">
        <v>0.20170426287928001</v>
      </c>
      <c r="M7" s="39">
        <v>0.16207066974364182</v>
      </c>
      <c r="N7" s="39">
        <v>0.14786274470304278</v>
      </c>
      <c r="O7" s="39">
        <v>0.20823785911961676</v>
      </c>
      <c r="P7" s="39">
        <v>0.19139860494351549</v>
      </c>
      <c r="Q7" s="39">
        <v>0.23150971612208535</v>
      </c>
      <c r="R7" s="39">
        <v>0.25717636743913047</v>
      </c>
      <c r="S7" s="39">
        <v>0.29843785956231761</v>
      </c>
      <c r="T7" s="39">
        <v>0.39496332671584611</v>
      </c>
      <c r="U7" s="39">
        <v>0.48692504852615281</v>
      </c>
      <c r="V7" s="39">
        <v>0.5182303542982396</v>
      </c>
      <c r="W7" s="39">
        <v>0.62033535957245434</v>
      </c>
      <c r="X7" s="39">
        <v>0.4847096895580954</v>
      </c>
      <c r="Y7" s="39">
        <v>0.54461003828330778</v>
      </c>
      <c r="Z7" s="39">
        <v>0.68777227436048938</v>
      </c>
      <c r="AA7" s="39">
        <v>0.6879967229079702</v>
      </c>
      <c r="AB7" s="39">
        <v>0.68400884632981318</v>
      </c>
      <c r="AC7" s="39">
        <v>0.66123178464329257</v>
      </c>
      <c r="AD7" s="39">
        <v>0.56789644723802379</v>
      </c>
      <c r="AE7" s="39">
        <v>0.49358881663677806</v>
      </c>
      <c r="AF7" s="39">
        <v>0.56023361937008065</v>
      </c>
      <c r="AG7" s="39">
        <v>0.46351861530557947</v>
      </c>
      <c r="AH7" s="39">
        <v>0.42910956206150991</v>
      </c>
      <c r="AI7" s="39">
        <v>0.44757364459520499</v>
      </c>
    </row>
    <row r="8" spans="1:35" x14ac:dyDescent="0.35">
      <c r="A8" s="39" t="s">
        <v>118</v>
      </c>
      <c r="B8" s="39" t="s">
        <v>119</v>
      </c>
      <c r="C8" s="39" t="s">
        <v>112</v>
      </c>
      <c r="D8" s="39" t="s">
        <v>113</v>
      </c>
      <c r="E8" s="39">
        <v>0.29231517992813627</v>
      </c>
      <c r="F8" s="39">
        <v>0.21287267448860486</v>
      </c>
      <c r="G8" s="39">
        <v>0.13300596943157073</v>
      </c>
      <c r="H8" s="39">
        <v>0.21553688536186552</v>
      </c>
      <c r="I8" s="39">
        <v>0.30920684355751593</v>
      </c>
      <c r="J8" s="39">
        <v>0.33956512723222304</v>
      </c>
      <c r="K8" s="39">
        <v>0.33899059926077496</v>
      </c>
      <c r="L8" s="39">
        <v>0.26406077825692642</v>
      </c>
      <c r="M8" s="39">
        <v>0.26937712825921606</v>
      </c>
      <c r="N8" s="39">
        <v>0.29762223880953587</v>
      </c>
      <c r="O8" s="39">
        <v>0.29171516221079313</v>
      </c>
      <c r="P8" s="39">
        <v>0.29796579501379089</v>
      </c>
      <c r="Q8" s="39">
        <v>0.30573108396982962</v>
      </c>
      <c r="R8" s="39">
        <v>0.36962403047057085</v>
      </c>
      <c r="S8" s="39">
        <v>0.43770350214560061</v>
      </c>
      <c r="T8" s="39">
        <v>0.45586346403234695</v>
      </c>
      <c r="U8" s="39">
        <v>0.4532561244369594</v>
      </c>
      <c r="V8" s="39">
        <v>0.49410855685598698</v>
      </c>
      <c r="W8" s="39">
        <v>0.53115718698572256</v>
      </c>
      <c r="X8" s="39">
        <v>0.46637580999318895</v>
      </c>
      <c r="Y8" s="39">
        <v>0.42493746026915802</v>
      </c>
      <c r="Z8" s="39">
        <v>0.43468290630313455</v>
      </c>
      <c r="AA8" s="39">
        <v>0.40352564474273134</v>
      </c>
      <c r="AB8" s="39">
        <v>0.41746952867847492</v>
      </c>
      <c r="AC8" s="39">
        <v>0.40665528670619738</v>
      </c>
      <c r="AD8" s="39">
        <v>0.3389477837615823</v>
      </c>
      <c r="AE8" s="39">
        <v>0.34358736354918662</v>
      </c>
      <c r="AF8" s="39">
        <v>0.34755061169491774</v>
      </c>
      <c r="AG8" s="39">
        <v>0.38198548589215409</v>
      </c>
      <c r="AH8" s="39">
        <v>0.36928792112712511</v>
      </c>
    </row>
    <row r="9" spans="1:35" x14ac:dyDescent="0.35">
      <c r="A9" s="39" t="s">
        <v>120</v>
      </c>
      <c r="B9" s="39" t="s">
        <v>121</v>
      </c>
      <c r="C9" s="39" t="s">
        <v>112</v>
      </c>
      <c r="D9" s="39" t="s">
        <v>113</v>
      </c>
    </row>
    <row r="10" spans="1:35" x14ac:dyDescent="0.35">
      <c r="A10" s="39" t="s">
        <v>122</v>
      </c>
      <c r="B10" s="39" t="s">
        <v>123</v>
      </c>
      <c r="C10" s="39" t="s">
        <v>112</v>
      </c>
      <c r="D10" s="39" t="s">
        <v>113</v>
      </c>
    </row>
    <row r="11" spans="1:35" x14ac:dyDescent="0.35">
      <c r="A11" s="39" t="s">
        <v>124</v>
      </c>
      <c r="B11" s="39" t="s">
        <v>125</v>
      </c>
      <c r="C11" s="39" t="s">
        <v>112</v>
      </c>
      <c r="D11" s="39" t="s">
        <v>113</v>
      </c>
      <c r="E11" s="39">
        <v>0.31790171494370201</v>
      </c>
      <c r="F11" s="39">
        <v>0.30999610604207301</v>
      </c>
      <c r="G11" s="39">
        <v>0.30856527671067013</v>
      </c>
      <c r="H11" s="39">
        <v>0.30527600871540994</v>
      </c>
      <c r="I11" s="39">
        <v>0.29810897996741487</v>
      </c>
      <c r="J11" s="39">
        <v>0.30339582938913645</v>
      </c>
      <c r="K11" s="39">
        <v>0.31514068075040591</v>
      </c>
      <c r="L11" s="39">
        <v>0.30684832865542361</v>
      </c>
      <c r="M11" s="39">
        <v>0.29040506851201092</v>
      </c>
      <c r="N11" s="39">
        <v>0.31044287968448742</v>
      </c>
      <c r="O11" s="39">
        <v>0.33845218072325939</v>
      </c>
      <c r="P11" s="39">
        <v>0.32340720214634172</v>
      </c>
      <c r="Q11" s="39">
        <v>0.33037659407803405</v>
      </c>
      <c r="R11" s="39">
        <v>0.3375620247800436</v>
      </c>
      <c r="S11" s="39">
        <v>0.35665761759507147</v>
      </c>
      <c r="T11" s="39">
        <v>0.40304532081656091</v>
      </c>
      <c r="U11" s="39">
        <v>0.43800332672223008</v>
      </c>
      <c r="V11" s="39">
        <v>0.48000813438137513</v>
      </c>
      <c r="W11" s="39">
        <v>0.5581136901702437</v>
      </c>
      <c r="X11" s="39">
        <v>0.46979392692056637</v>
      </c>
      <c r="Y11" s="39">
        <v>0.5223849218099742</v>
      </c>
      <c r="Z11" s="39">
        <v>0.57906286500602322</v>
      </c>
      <c r="AA11" s="39">
        <v>0.59298151118808984</v>
      </c>
      <c r="AB11" s="39">
        <v>0.60267282879376993</v>
      </c>
      <c r="AC11" s="39">
        <v>0.59430010063945271</v>
      </c>
      <c r="AD11" s="39">
        <v>0.59572080919903336</v>
      </c>
      <c r="AE11" s="39">
        <v>0.59625652876737645</v>
      </c>
      <c r="AF11" s="39">
        <v>0.60498079854343367</v>
      </c>
      <c r="AG11" s="39">
        <v>0.63953765489455405</v>
      </c>
      <c r="AH11" s="39">
        <v>0.61663493199948261</v>
      </c>
    </row>
    <row r="12" spans="1:35" x14ac:dyDescent="0.35">
      <c r="A12" s="39" t="s">
        <v>126</v>
      </c>
      <c r="B12" s="39" t="s">
        <v>127</v>
      </c>
      <c r="C12" s="39" t="s">
        <v>112</v>
      </c>
      <c r="D12" s="39" t="s">
        <v>113</v>
      </c>
      <c r="E12" s="39">
        <v>0.60223301838976562</v>
      </c>
      <c r="F12" s="39">
        <v>0.71643058009017313</v>
      </c>
      <c r="G12" s="39">
        <v>0.78259640410525944</v>
      </c>
      <c r="H12" s="39">
        <v>0.73106047046039335</v>
      </c>
      <c r="I12" s="39">
        <v>0.73543466052960305</v>
      </c>
      <c r="J12" s="39">
        <v>0.74312989499077897</v>
      </c>
      <c r="K12" s="39">
        <v>0.72938540524516005</v>
      </c>
      <c r="L12" s="39">
        <v>0.71369480117780404</v>
      </c>
      <c r="M12" s="39">
        <v>0.69371638944958003</v>
      </c>
      <c r="N12" s="39">
        <v>0.67128386351004299</v>
      </c>
      <c r="O12" s="39">
        <v>0.66341649838805905</v>
      </c>
      <c r="P12" s="39">
        <v>0.64206380436316801</v>
      </c>
      <c r="Q12" s="39">
        <v>0.25798633134386201</v>
      </c>
      <c r="R12" s="39">
        <v>0.30383217786409666</v>
      </c>
      <c r="S12" s="39">
        <v>0.35020977346022669</v>
      </c>
      <c r="T12" s="39">
        <v>0.37658922247318849</v>
      </c>
      <c r="U12" s="39">
        <v>0.39587477526453679</v>
      </c>
      <c r="V12" s="39">
        <v>0.43726272989780418</v>
      </c>
      <c r="W12" s="39">
        <v>0.51831978196950967</v>
      </c>
      <c r="X12" s="39">
        <v>0.50353646113983674</v>
      </c>
      <c r="Y12" s="39">
        <v>0.57501949821497722</v>
      </c>
      <c r="Z12" s="39">
        <v>0.66497842690268361</v>
      </c>
      <c r="AA12" s="39">
        <v>0.6660775566870889</v>
      </c>
      <c r="AB12" s="39">
        <v>0.64973486844591866</v>
      </c>
      <c r="AC12" s="39">
        <v>0.62664811171234913</v>
      </c>
      <c r="AD12" s="39">
        <v>0.68584550843712921</v>
      </c>
      <c r="AE12" s="39">
        <v>0.62981703351482898</v>
      </c>
      <c r="AF12" s="39">
        <v>0.61927231866696253</v>
      </c>
      <c r="AG12" s="39">
        <v>0.50183102544424996</v>
      </c>
      <c r="AH12" s="39">
        <v>0.43605212078165406</v>
      </c>
    </row>
    <row r="13" spans="1:35" x14ac:dyDescent="0.35">
      <c r="A13" s="39" t="s">
        <v>128</v>
      </c>
      <c r="B13" s="39" t="s">
        <v>129</v>
      </c>
      <c r="C13" s="39" t="s">
        <v>112</v>
      </c>
      <c r="D13" s="39" t="s">
        <v>113</v>
      </c>
      <c r="E13" s="39">
        <v>0.22994556417021239</v>
      </c>
      <c r="F13" s="39">
        <v>0.23087715625503138</v>
      </c>
      <c r="G13" s="39">
        <v>0.23861352027181409</v>
      </c>
      <c r="H13" s="39">
        <v>0.24126958547627639</v>
      </c>
      <c r="I13" s="39">
        <v>0.24536219883191768</v>
      </c>
      <c r="J13" s="39">
        <v>0.25099176410476176</v>
      </c>
      <c r="K13" s="39">
        <v>0.25322222272171496</v>
      </c>
      <c r="L13" s="39">
        <v>0.24734363216045899</v>
      </c>
      <c r="M13" s="39">
        <v>0.26329830921819625</v>
      </c>
      <c r="N13" s="39">
        <v>0.24485830517903326</v>
      </c>
      <c r="O13" s="39">
        <v>0.23425893957660873</v>
      </c>
      <c r="P13" s="39">
        <v>0.23179058216451556</v>
      </c>
      <c r="Q13" s="39">
        <v>0.22610980547447806</v>
      </c>
      <c r="R13" s="39">
        <v>0.23002097322937262</v>
      </c>
      <c r="S13" s="39">
        <v>0.25827836024085288</v>
      </c>
      <c r="T13" s="39">
        <v>0.30130629191752267</v>
      </c>
      <c r="U13" s="39">
        <v>0.33658901767231986</v>
      </c>
      <c r="V13" s="39">
        <v>0.4157082700432268</v>
      </c>
      <c r="W13" s="39">
        <v>0.48320766848216845</v>
      </c>
      <c r="X13" s="39">
        <v>0.41398091268996673</v>
      </c>
      <c r="Y13" s="39">
        <v>0.42875569932783103</v>
      </c>
      <c r="Z13" s="39">
        <v>0.43932782217512228</v>
      </c>
      <c r="AA13" s="39">
        <v>0.3931756868955954</v>
      </c>
      <c r="AB13" s="39">
        <v>0.39022478290184426</v>
      </c>
      <c r="AC13" s="39">
        <v>0.39715805265137177</v>
      </c>
      <c r="AD13" s="39">
        <v>0.36182653593557518</v>
      </c>
      <c r="AE13" s="39">
        <v>0.3355522192552034</v>
      </c>
      <c r="AF13" s="39">
        <v>0.32311042907388271</v>
      </c>
      <c r="AG13" s="39">
        <v>0.32427912877923648</v>
      </c>
      <c r="AH13" s="39">
        <v>0.32509525480891777</v>
      </c>
    </row>
    <row r="14" spans="1:35" x14ac:dyDescent="0.35">
      <c r="A14" s="39" t="s">
        <v>130</v>
      </c>
      <c r="B14" s="39" t="s">
        <v>131</v>
      </c>
      <c r="C14" s="39" t="s">
        <v>112</v>
      </c>
      <c r="D14" s="39" t="s">
        <v>113</v>
      </c>
    </row>
    <row r="15" spans="1:35" x14ac:dyDescent="0.35">
      <c r="A15" s="39" t="s">
        <v>132</v>
      </c>
      <c r="B15" s="39" t="s">
        <v>133</v>
      </c>
      <c r="C15" s="39" t="s">
        <v>112</v>
      </c>
      <c r="D15" s="39" t="s">
        <v>113</v>
      </c>
      <c r="E15" s="39">
        <v>0.65135244806058512</v>
      </c>
      <c r="F15" s="39">
        <v>0.64646590206678145</v>
      </c>
      <c r="G15" s="39">
        <v>0.64762069093154073</v>
      </c>
      <c r="H15" s="39">
        <v>0.64410065482738887</v>
      </c>
      <c r="I15" s="39">
        <v>0.65110036883868883</v>
      </c>
      <c r="J15" s="39">
        <v>0.65305377709762213</v>
      </c>
      <c r="K15" s="39">
        <v>0.66040385739507768</v>
      </c>
      <c r="L15" s="39">
        <v>0.66107245358627398</v>
      </c>
      <c r="M15" s="39">
        <v>0.66750893490285179</v>
      </c>
      <c r="N15" s="39">
        <v>0.66790250752746294</v>
      </c>
      <c r="O15" s="39">
        <v>0.64549343397722592</v>
      </c>
      <c r="P15" s="39">
        <v>0.64101157199528147</v>
      </c>
      <c r="Q15" s="39">
        <v>0.63545682151969252</v>
      </c>
      <c r="R15" s="39">
        <v>0.61786241636182959</v>
      </c>
      <c r="S15" s="39">
        <v>0.61154020482625926</v>
      </c>
      <c r="T15" s="39">
        <v>0.61951975583758145</v>
      </c>
      <c r="U15" s="39">
        <v>0.60377750137785913</v>
      </c>
      <c r="V15" s="39">
        <v>0.60996629099727773</v>
      </c>
      <c r="W15" s="39">
        <v>0.62453606874892964</v>
      </c>
      <c r="X15" s="39">
        <v>0.63089321956863698</v>
      </c>
      <c r="Y15" s="39">
        <v>0.63309292915808879</v>
      </c>
      <c r="Z15" s="39">
        <v>0.62643580966525558</v>
      </c>
      <c r="AA15" s="39">
        <v>0.67724863688151105</v>
      </c>
      <c r="AB15" s="39">
        <v>0.68682025980066297</v>
      </c>
      <c r="AC15" s="39">
        <v>0.7091537228337037</v>
      </c>
      <c r="AD15" s="39">
        <v>0.75538564611364434</v>
      </c>
      <c r="AE15" s="39">
        <v>0.76297892464531858</v>
      </c>
      <c r="AF15" s="39">
        <v>0.77537077444571112</v>
      </c>
      <c r="AG15" s="39">
        <v>0.77389329538546292</v>
      </c>
      <c r="AH15" s="39">
        <v>0.77971409178933337</v>
      </c>
    </row>
    <row r="16" spans="1:35" x14ac:dyDescent="0.35">
      <c r="A16" s="39" t="s">
        <v>134</v>
      </c>
      <c r="B16" s="39" t="s">
        <v>135</v>
      </c>
      <c r="C16" s="39" t="s">
        <v>112</v>
      </c>
      <c r="D16" s="39" t="s">
        <v>113</v>
      </c>
      <c r="E16" s="39">
        <v>1.0507110427087341</v>
      </c>
      <c r="F16" s="39">
        <v>1.0583164586767129</v>
      </c>
      <c r="G16" s="39">
        <v>1.021616550026917</v>
      </c>
      <c r="H16" s="39">
        <v>0.92234822934232719</v>
      </c>
      <c r="I16" s="39">
        <v>0.89998893116568668</v>
      </c>
      <c r="J16" s="39">
        <v>0.97322468072468082</v>
      </c>
      <c r="K16" s="39">
        <v>0.99562443095599384</v>
      </c>
      <c r="L16" s="39">
        <v>1.0237157614650179</v>
      </c>
      <c r="M16" s="39">
        <v>0.88194465169911151</v>
      </c>
      <c r="N16" s="39">
        <v>0.81272715879182855</v>
      </c>
      <c r="O16" s="39">
        <v>0.82372919675940459</v>
      </c>
      <c r="P16" s="39">
        <v>0.71247558226897068</v>
      </c>
      <c r="Q16" s="39">
        <v>0.69929363750523232</v>
      </c>
      <c r="R16" s="39">
        <v>0.78860920209668017</v>
      </c>
      <c r="S16" s="39">
        <v>0.97223075828709637</v>
      </c>
      <c r="T16" s="39">
        <v>1.0437197413922716</v>
      </c>
      <c r="U16" s="39">
        <v>1.051162773285415</v>
      </c>
      <c r="V16" s="39">
        <v>1.120766271492502</v>
      </c>
      <c r="W16" s="39">
        <v>1.3241477170993734</v>
      </c>
      <c r="X16" s="39">
        <v>1.0612973052569576</v>
      </c>
      <c r="Y16" s="39">
        <v>1.3236642297190171</v>
      </c>
      <c r="Z16" s="39">
        <v>1.4897485950902101</v>
      </c>
      <c r="AA16" s="39">
        <v>1.5880748607960404</v>
      </c>
      <c r="AB16" s="39">
        <v>1.4846855442700317</v>
      </c>
      <c r="AC16" s="39">
        <v>1.3334150371798403</v>
      </c>
      <c r="AD16" s="39">
        <v>1.2264572759796988</v>
      </c>
      <c r="AE16" s="39">
        <v>1.0553581307322755</v>
      </c>
      <c r="AF16" s="39">
        <v>1.1055313372049174</v>
      </c>
      <c r="AG16" s="39">
        <v>1.1246073947755988</v>
      </c>
      <c r="AH16" s="39">
        <v>1.0297604062365897</v>
      </c>
    </row>
    <row r="17" spans="1:34" x14ac:dyDescent="0.35">
      <c r="A17" s="39" t="s">
        <v>136</v>
      </c>
      <c r="B17" s="39" t="s">
        <v>137</v>
      </c>
      <c r="C17" s="39" t="s">
        <v>112</v>
      </c>
      <c r="D17" s="39" t="s">
        <v>113</v>
      </c>
      <c r="E17" s="39">
        <v>1.1154629069345274</v>
      </c>
      <c r="F17" s="39">
        <v>1.0890111962286388</v>
      </c>
      <c r="G17" s="39">
        <v>1.1706348610067618</v>
      </c>
      <c r="H17" s="39">
        <v>1.1101502425174494</v>
      </c>
      <c r="I17" s="39">
        <v>1.1347897843633297</v>
      </c>
      <c r="J17" s="39">
        <v>1.2820786133478912</v>
      </c>
      <c r="K17" s="39">
        <v>1.2158708084221472</v>
      </c>
      <c r="L17" s="39">
        <v>1.0506460705829292</v>
      </c>
      <c r="M17" s="39">
        <v>1.0257681191640728</v>
      </c>
      <c r="N17" s="39">
        <v>0.98434476880460264</v>
      </c>
      <c r="O17" s="39">
        <v>0.83589460106873048</v>
      </c>
      <c r="P17" s="39">
        <v>0.82574765100671144</v>
      </c>
      <c r="Q17" s="39">
        <v>0.84678806700545828</v>
      </c>
      <c r="R17" s="39">
        <v>1.0035428893905192</v>
      </c>
      <c r="S17" s="39">
        <v>1.091227961261485</v>
      </c>
      <c r="T17" s="39">
        <v>1.096802636487999</v>
      </c>
      <c r="U17" s="39">
        <v>1.0802446368084306</v>
      </c>
      <c r="V17" s="39">
        <v>1.1895442102381604</v>
      </c>
      <c r="W17" s="39">
        <v>1.2515365460670866</v>
      </c>
      <c r="X17" s="39">
        <v>1.1710475131981106</v>
      </c>
      <c r="Y17" s="39">
        <v>1.1146727062832289</v>
      </c>
      <c r="Z17" s="39">
        <v>1.1557210374551723</v>
      </c>
      <c r="AA17" s="39">
        <v>1.0454255290329619</v>
      </c>
      <c r="AB17" s="39">
        <v>1.0583167797875122</v>
      </c>
      <c r="AC17" s="39">
        <v>1.0597909320759129</v>
      </c>
      <c r="AD17" s="39">
        <v>0.8856996203379609</v>
      </c>
      <c r="AE17" s="39">
        <v>0.85949093788163722</v>
      </c>
      <c r="AF17" s="39">
        <v>0.87027248791764855</v>
      </c>
      <c r="AG17" s="39">
        <v>0.9059952331952934</v>
      </c>
      <c r="AH17" s="39">
        <v>0.85056329885490056</v>
      </c>
    </row>
    <row r="18" spans="1:34" x14ac:dyDescent="0.35">
      <c r="A18" s="39" t="s">
        <v>138</v>
      </c>
      <c r="B18" s="39" t="s">
        <v>139</v>
      </c>
      <c r="C18" s="39" t="s">
        <v>112</v>
      </c>
      <c r="D18" s="39" t="s">
        <v>113</v>
      </c>
      <c r="E18" s="39">
        <v>0.2308447708870949</v>
      </c>
      <c r="F18" s="39">
        <v>0.2232012730426382</v>
      </c>
      <c r="G18" s="39">
        <v>0.16005967765636572</v>
      </c>
      <c r="H18" s="39">
        <v>0.16175684602277163</v>
      </c>
      <c r="I18" s="39">
        <v>0.16459654613364236</v>
      </c>
      <c r="J18" s="39">
        <v>0.16836287657118768</v>
      </c>
      <c r="K18" s="39">
        <v>0.16985656141888747</v>
      </c>
      <c r="L18" s="39">
        <v>0.19687473862464491</v>
      </c>
      <c r="M18" s="39">
        <v>0.19858530657090334</v>
      </c>
      <c r="N18" s="39">
        <v>0.18779989846774936</v>
      </c>
      <c r="O18" s="39">
        <v>0.19029274933766302</v>
      </c>
      <c r="P18" s="39">
        <v>0.18341634708184151</v>
      </c>
      <c r="Q18" s="39">
        <v>0.18025360319690495</v>
      </c>
      <c r="R18" s="39">
        <v>0.18735949115137041</v>
      </c>
      <c r="S18" s="39">
        <v>0.19922618649605067</v>
      </c>
      <c r="T18" s="39">
        <v>0.23040004085539773</v>
      </c>
      <c r="U18" s="39">
        <v>0.2634550985447045</v>
      </c>
      <c r="V18" s="39">
        <v>0.32209683659571614</v>
      </c>
      <c r="W18" s="39">
        <v>0.42228837522328749</v>
      </c>
      <c r="X18" s="39">
        <v>0.34741611006888284</v>
      </c>
      <c r="Y18" s="39">
        <v>0.39143482439628757</v>
      </c>
      <c r="Z18" s="39">
        <v>0.48563984416475248</v>
      </c>
      <c r="AA18" s="39">
        <v>0.46975978947948321</v>
      </c>
      <c r="AB18" s="39">
        <v>0.45818732451906313</v>
      </c>
      <c r="AC18" s="39">
        <v>0.4523829524346526</v>
      </c>
      <c r="AD18" s="39">
        <v>0.36819940336556123</v>
      </c>
      <c r="AE18" s="39">
        <v>0.2700391475842201</v>
      </c>
      <c r="AF18" s="39">
        <v>0.29367397559013242</v>
      </c>
      <c r="AG18" s="39">
        <v>0.32587534617336472</v>
      </c>
      <c r="AH18" s="39">
        <v>0.31955507358651886</v>
      </c>
    </row>
    <row r="19" spans="1:34" x14ac:dyDescent="0.35">
      <c r="A19" s="39" t="s">
        <v>140</v>
      </c>
      <c r="B19" s="39" t="s">
        <v>141</v>
      </c>
      <c r="C19" s="39" t="s">
        <v>112</v>
      </c>
      <c r="D19" s="39" t="s">
        <v>113</v>
      </c>
      <c r="E19" s="39">
        <v>0.41545212455839359</v>
      </c>
      <c r="F19" s="39">
        <v>0.39467054825433218</v>
      </c>
      <c r="G19" s="39">
        <v>0.35441223853465192</v>
      </c>
      <c r="H19" s="39">
        <v>0.3200173603180107</v>
      </c>
      <c r="I19" s="39">
        <v>0.32108363743565693</v>
      </c>
      <c r="J19" s="39">
        <v>0.36937756569162106</v>
      </c>
      <c r="K19" s="39">
        <v>0.3424942102494104</v>
      </c>
      <c r="L19" s="39">
        <v>0.383017612495618</v>
      </c>
      <c r="M19" s="39">
        <v>0.33217242035051803</v>
      </c>
      <c r="N19" s="39">
        <v>0.29907039469021579</v>
      </c>
      <c r="O19" s="39">
        <v>0.25890518393497441</v>
      </c>
      <c r="P19" s="39">
        <v>0.25004384702767507</v>
      </c>
      <c r="Q19" s="39">
        <v>0.22185544501728716</v>
      </c>
      <c r="R19" s="39">
        <v>0.20962498100873439</v>
      </c>
      <c r="S19" s="39">
        <v>0.22712742278914261</v>
      </c>
      <c r="T19" s="39">
        <v>0.26644692619364196</v>
      </c>
      <c r="U19" s="39">
        <v>0.27965637059641663</v>
      </c>
      <c r="V19" s="39">
        <v>0.28037598976597644</v>
      </c>
      <c r="W19" s="39">
        <v>0.31171282322137267</v>
      </c>
      <c r="X19" s="39">
        <v>0.32935158065306824</v>
      </c>
      <c r="Y19" s="39">
        <v>0.3532674049768722</v>
      </c>
      <c r="Z19" s="39">
        <v>0.36596534456471241</v>
      </c>
      <c r="AA19" s="39">
        <v>0.36537326337979209</v>
      </c>
      <c r="AB19" s="39">
        <v>0.34680360541738525</v>
      </c>
      <c r="AC19" s="39">
        <v>0.35372361408099001</v>
      </c>
      <c r="AD19" s="39">
        <v>0.36303819315304559</v>
      </c>
      <c r="AE19" s="39">
        <v>0.35409388019458587</v>
      </c>
      <c r="AF19" s="39">
        <v>0.37875942293532477</v>
      </c>
      <c r="AG19" s="39">
        <v>0.34862629821514401</v>
      </c>
      <c r="AH19" s="39">
        <v>0.3337275630767525</v>
      </c>
    </row>
    <row r="20" spans="1:34" x14ac:dyDescent="0.35">
      <c r="A20" s="39" t="s">
        <v>142</v>
      </c>
      <c r="B20" s="39" t="s">
        <v>143</v>
      </c>
      <c r="C20" s="39" t="s">
        <v>112</v>
      </c>
      <c r="D20" s="39" t="s">
        <v>113</v>
      </c>
      <c r="E20" s="39">
        <v>1.104352969579913</v>
      </c>
      <c r="F20" s="39">
        <v>1.0754589486119315</v>
      </c>
      <c r="G20" s="39">
        <v>1.1550476787954829</v>
      </c>
      <c r="H20" s="39">
        <v>1.0904570895522387</v>
      </c>
      <c r="I20" s="39">
        <v>1.1270798167349891</v>
      </c>
      <c r="J20" s="39">
        <v>1.2681704980842912</v>
      </c>
      <c r="K20" s="39">
        <v>1.2107804560260587</v>
      </c>
      <c r="L20" s="39">
        <v>1.0462257555254848</v>
      </c>
      <c r="M20" s="39">
        <v>1.0398055123360748</v>
      </c>
      <c r="N20" s="39">
        <v>0.99227359897720002</v>
      </c>
      <c r="O20" s="39">
        <v>0.82898194214114618</v>
      </c>
      <c r="P20" s="39">
        <v>0.79843221476510073</v>
      </c>
      <c r="Q20" s="39">
        <v>0.82185206098249575</v>
      </c>
      <c r="R20" s="39">
        <v>0.98992212189616258</v>
      </c>
      <c r="S20" s="39">
        <v>1.1039632480754904</v>
      </c>
      <c r="T20" s="39">
        <v>1.1090511130456411</v>
      </c>
      <c r="U20" s="39">
        <v>1.098136996612721</v>
      </c>
      <c r="V20" s="39">
        <v>1.2043347933205584</v>
      </c>
      <c r="W20" s="39">
        <v>1.2698696352717154</v>
      </c>
      <c r="X20" s="39">
        <v>1.179899972214504</v>
      </c>
      <c r="Y20" s="39">
        <v>1.1072360629612621</v>
      </c>
      <c r="Z20" s="39">
        <v>1.1564675392667678</v>
      </c>
      <c r="AA20" s="39">
        <v>1.0563327239329197</v>
      </c>
      <c r="AB20" s="39">
        <v>1.0703793028489945</v>
      </c>
      <c r="AC20" s="39">
        <v>1.0616709137868503</v>
      </c>
      <c r="AD20" s="39">
        <v>0.88701386447062391</v>
      </c>
      <c r="AE20" s="39">
        <v>0.86400403684633142</v>
      </c>
      <c r="AF20" s="39">
        <v>0.87310685798941323</v>
      </c>
      <c r="AG20" s="39">
        <v>0.9089322670611758</v>
      </c>
      <c r="AH20" s="39">
        <v>0.84547752615686145</v>
      </c>
    </row>
    <row r="21" spans="1:34" x14ac:dyDescent="0.35">
      <c r="A21" s="39" t="s">
        <v>144</v>
      </c>
      <c r="B21" s="39" t="s">
        <v>145</v>
      </c>
      <c r="C21" s="39" t="s">
        <v>112</v>
      </c>
      <c r="D21" s="39" t="s">
        <v>113</v>
      </c>
      <c r="E21" s="39">
        <v>0.31612837847951003</v>
      </c>
      <c r="F21" s="39">
        <v>0.29735206539824588</v>
      </c>
      <c r="G21" s="39">
        <v>0.24099137325134778</v>
      </c>
      <c r="H21" s="39">
        <v>0.29843120944955442</v>
      </c>
      <c r="I21" s="39">
        <v>0.1989504815892949</v>
      </c>
      <c r="J21" s="39">
        <v>0.24947638228298238</v>
      </c>
      <c r="K21" s="39">
        <v>0.25556194798261134</v>
      </c>
      <c r="L21" s="39">
        <v>0.22826375445775982</v>
      </c>
      <c r="M21" s="39">
        <v>0.23500265804361306</v>
      </c>
      <c r="N21" s="39">
        <v>0.3292766869100312</v>
      </c>
      <c r="O21" s="39">
        <v>0.29061469760568576</v>
      </c>
      <c r="P21" s="39">
        <v>0.2816482171159741</v>
      </c>
      <c r="Q21" s="39">
        <v>0.30196763196292276</v>
      </c>
      <c r="R21" s="39">
        <v>0.36640890636734186</v>
      </c>
      <c r="S21" s="39">
        <v>0.3955635265036454</v>
      </c>
      <c r="T21" s="39">
        <v>0.40070473834168746</v>
      </c>
      <c r="U21" s="39">
        <v>0.40055681532637932</v>
      </c>
      <c r="V21" s="39">
        <v>0.42724392911510461</v>
      </c>
      <c r="W21" s="39">
        <v>0.47739572986711409</v>
      </c>
      <c r="X21" s="39">
        <v>0.46073170434847427</v>
      </c>
      <c r="Y21" s="39">
        <v>0.43844418830161741</v>
      </c>
      <c r="Z21" s="39">
        <v>0.46776495143160318</v>
      </c>
      <c r="AA21" s="39">
        <v>0.4583318160347683</v>
      </c>
      <c r="AB21" s="39">
        <v>0.468672618135204</v>
      </c>
      <c r="AC21" s="39">
        <v>0.45577905426308024</v>
      </c>
      <c r="AD21" s="39">
        <v>0.3730032664503628</v>
      </c>
      <c r="AE21" s="39">
        <v>0.36184921034867545</v>
      </c>
      <c r="AF21" s="39">
        <v>0.37332490152387804</v>
      </c>
      <c r="AG21" s="39">
        <v>0.38352109640903309</v>
      </c>
      <c r="AH21" s="39">
        <v>0.3561893522068133</v>
      </c>
    </row>
    <row r="22" spans="1:34" x14ac:dyDescent="0.35">
      <c r="A22" s="39" t="s">
        <v>146</v>
      </c>
      <c r="B22" s="39" t="s">
        <v>147</v>
      </c>
      <c r="C22" s="39" t="s">
        <v>112</v>
      </c>
      <c r="D22" s="39" t="s">
        <v>113</v>
      </c>
      <c r="E22" s="39">
        <v>0.59667302018443447</v>
      </c>
      <c r="F22" s="39">
        <v>0.53491785133698611</v>
      </c>
      <c r="G22" s="39">
        <v>0.37286103056582198</v>
      </c>
      <c r="H22" s="39">
        <v>0.36646425542434746</v>
      </c>
      <c r="I22" s="39">
        <v>0.28782308828048975</v>
      </c>
      <c r="J22" s="39">
        <v>0.33479905813343086</v>
      </c>
      <c r="K22" s="39">
        <v>0.32192552831018878</v>
      </c>
      <c r="L22" s="39">
        <v>0.28168260966024938</v>
      </c>
      <c r="M22" s="39">
        <v>0.29746326811816293</v>
      </c>
      <c r="N22" s="39">
        <v>0.32751454061614033</v>
      </c>
      <c r="O22" s="39">
        <v>0.27628431249069985</v>
      </c>
      <c r="P22" s="39">
        <v>0.27338128035829906</v>
      </c>
      <c r="Q22" s="39">
        <v>0.29169690681473803</v>
      </c>
      <c r="R22" s="39">
        <v>0.34853053142841978</v>
      </c>
      <c r="S22" s="39">
        <v>0.37372705393709227</v>
      </c>
      <c r="T22" s="39">
        <v>0.37657242952937625</v>
      </c>
      <c r="U22" s="39">
        <v>0.36626751048010281</v>
      </c>
      <c r="V22" s="39">
        <v>0.39885091475245826</v>
      </c>
      <c r="W22" s="39">
        <v>0.45708288131213753</v>
      </c>
      <c r="X22" s="39">
        <v>0.44055061704291021</v>
      </c>
      <c r="Y22" s="39">
        <v>0.43128576656322837</v>
      </c>
      <c r="Z22" s="39">
        <v>0.47345671522203781</v>
      </c>
      <c r="AA22" s="39">
        <v>0.46807502513258964</v>
      </c>
      <c r="AB22" s="39">
        <v>0.46786685826510283</v>
      </c>
      <c r="AC22" s="39">
        <v>0.46850128136713121</v>
      </c>
      <c r="AD22" s="39">
        <v>0.38127784695780886</v>
      </c>
      <c r="AE22" s="39">
        <v>0.36313643642755994</v>
      </c>
      <c r="AF22" s="39">
        <v>0.35951914814457148</v>
      </c>
      <c r="AG22" s="39">
        <v>0.37590226098676294</v>
      </c>
      <c r="AH22" s="39">
        <v>0.33978533306785164</v>
      </c>
    </row>
    <row r="23" spans="1:34" x14ac:dyDescent="0.35">
      <c r="A23" s="39" t="s">
        <v>148</v>
      </c>
      <c r="B23" s="39" t="s">
        <v>149</v>
      </c>
      <c r="C23" s="39" t="s">
        <v>112</v>
      </c>
      <c r="D23" s="39" t="s">
        <v>113</v>
      </c>
      <c r="E23" s="39">
        <v>0.41160776414921618</v>
      </c>
      <c r="F23" s="39">
        <v>0.37693170292657702</v>
      </c>
      <c r="G23" s="39">
        <v>0.35799362733776657</v>
      </c>
      <c r="H23" s="39">
        <v>0.34932533038016406</v>
      </c>
      <c r="I23" s="39">
        <v>0.33519191972033918</v>
      </c>
      <c r="J23" s="39">
        <v>0.35089021516390295</v>
      </c>
      <c r="K23" s="39">
        <v>0.35302492154157211</v>
      </c>
      <c r="L23" s="39">
        <v>0.34504363816276812</v>
      </c>
      <c r="M23" s="39">
        <v>0.33611054797162776</v>
      </c>
      <c r="N23" s="39">
        <v>0.32468783774854409</v>
      </c>
      <c r="O23" s="39">
        <v>0.31397207010271116</v>
      </c>
      <c r="P23" s="39">
        <v>0.29579268973432543</v>
      </c>
      <c r="Q23" s="39">
        <v>0.28424350398716353</v>
      </c>
      <c r="R23" s="39">
        <v>0.29289374845184629</v>
      </c>
      <c r="S23" s="39">
        <v>0.29331317356770514</v>
      </c>
      <c r="T23" s="39">
        <v>0.28477636141168133</v>
      </c>
      <c r="U23" s="39">
        <v>0.26798959091231245</v>
      </c>
      <c r="V23" s="39">
        <v>0.27022281697624673</v>
      </c>
      <c r="W23" s="39">
        <v>0.28777892512002767</v>
      </c>
      <c r="X23" s="39">
        <v>0.30406806436037259</v>
      </c>
      <c r="Y23" s="39">
        <v>0.32026704111800386</v>
      </c>
      <c r="Z23" s="39">
        <v>0.32881221439329694</v>
      </c>
      <c r="AA23" s="39">
        <v>0.30062243745215161</v>
      </c>
      <c r="AB23" s="39">
        <v>0.31233788630682457</v>
      </c>
      <c r="AC23" s="39">
        <v>0.33220164787704787</v>
      </c>
      <c r="AD23" s="39">
        <v>0.35113246042542862</v>
      </c>
      <c r="AE23" s="39">
        <v>0.36414134880024052</v>
      </c>
      <c r="AF23" s="39">
        <v>0.37584234091183472</v>
      </c>
      <c r="AG23" s="39">
        <v>0.37357356726662028</v>
      </c>
      <c r="AH23" s="39">
        <v>0.3748406261736496</v>
      </c>
    </row>
    <row r="24" spans="1:34" x14ac:dyDescent="0.35">
      <c r="A24" s="39" t="s">
        <v>150</v>
      </c>
      <c r="B24" s="39" t="s">
        <v>151</v>
      </c>
      <c r="C24" s="39" t="s">
        <v>112</v>
      </c>
      <c r="D24" s="39" t="s">
        <v>113</v>
      </c>
      <c r="E24" s="39">
        <v>0.31398884683746769</v>
      </c>
      <c r="F24" s="39">
        <v>0.17595631421212418</v>
      </c>
      <c r="G24" s="39">
        <v>0.17547429750313195</v>
      </c>
      <c r="H24" s="39">
        <v>0.18204353510053553</v>
      </c>
      <c r="I24" s="39">
        <v>0.15675221416598986</v>
      </c>
      <c r="J24" s="39">
        <v>0.29219301095507438</v>
      </c>
      <c r="K24" s="39">
        <v>0.21503342698869926</v>
      </c>
      <c r="L24" s="39">
        <v>0.23682641654723349</v>
      </c>
      <c r="M24" s="39">
        <v>0.29467903003647639</v>
      </c>
      <c r="N24" s="39">
        <v>0.28577322618843504</v>
      </c>
      <c r="O24" s="39">
        <v>0.2523572114615269</v>
      </c>
      <c r="P24" s="39">
        <v>0.25437080995566669</v>
      </c>
      <c r="Q24" s="39">
        <v>0.2687970444898512</v>
      </c>
      <c r="R24" s="39">
        <v>0.3234499342358268</v>
      </c>
      <c r="S24" s="39">
        <v>0.36872069527393564</v>
      </c>
      <c r="T24" s="39">
        <v>0.37894561758827389</v>
      </c>
      <c r="U24" s="39">
        <v>0.3969557349481409</v>
      </c>
      <c r="V24" s="39">
        <v>0.45984228774807001</v>
      </c>
      <c r="W24" s="39">
        <v>0.50682821959064328</v>
      </c>
      <c r="X24" s="39">
        <v>0.49230918019723108</v>
      </c>
      <c r="Y24" s="39">
        <v>0.45788916337185731</v>
      </c>
      <c r="Z24" s="39">
        <v>0.49845144001646563</v>
      </c>
      <c r="AA24" s="39">
        <v>0.45519986486856107</v>
      </c>
      <c r="AB24" s="39">
        <v>0.46145963966336523</v>
      </c>
      <c r="AC24" s="39">
        <v>0.44853539509936913</v>
      </c>
      <c r="AD24" s="39">
        <v>0.38456105461597767</v>
      </c>
      <c r="AE24" s="39">
        <v>0.37945655759816344</v>
      </c>
      <c r="AF24" s="39">
        <v>0.38997550350330623</v>
      </c>
      <c r="AG24" s="39">
        <v>0.41694572715412248</v>
      </c>
      <c r="AH24" s="39">
        <v>0.39646304919639491</v>
      </c>
    </row>
    <row r="25" spans="1:34" x14ac:dyDescent="0.35">
      <c r="A25" s="39" t="s">
        <v>152</v>
      </c>
      <c r="B25" s="39" t="s">
        <v>153</v>
      </c>
      <c r="C25" s="39" t="s">
        <v>112</v>
      </c>
      <c r="D25" s="39" t="s">
        <v>113</v>
      </c>
      <c r="E25" s="39">
        <v>0.31735047336691224</v>
      </c>
      <c r="F25" s="39">
        <v>0.30119073696950266</v>
      </c>
      <c r="G25" s="39">
        <v>0.28407686404320215</v>
      </c>
      <c r="H25" s="39">
        <v>0.2691053641031011</v>
      </c>
      <c r="I25" s="39">
        <v>0.28279523885402924</v>
      </c>
      <c r="J25" s="39">
        <v>0.28000829590896009</v>
      </c>
      <c r="K25" s="39">
        <v>0.27551438033363829</v>
      </c>
      <c r="L25" s="39">
        <v>0.27336746529832712</v>
      </c>
      <c r="M25" s="39">
        <v>0.25124696499326593</v>
      </c>
      <c r="N25" s="39">
        <v>0.25425029963076462</v>
      </c>
      <c r="O25" s="39">
        <v>0.32327644786794679</v>
      </c>
      <c r="P25" s="39">
        <v>0.30569675437536969</v>
      </c>
      <c r="Q25" s="39">
        <v>0.31121167893755586</v>
      </c>
      <c r="R25" s="39">
        <v>0.33182167019207448</v>
      </c>
      <c r="S25" s="39">
        <v>0.35863719666728455</v>
      </c>
      <c r="T25" s="39">
        <v>0.39557399827389894</v>
      </c>
      <c r="U25" s="39">
        <v>0.41790569709164094</v>
      </c>
      <c r="V25" s="39">
        <v>0.4413040298374814</v>
      </c>
      <c r="W25" s="39">
        <v>0.48208151783402126</v>
      </c>
      <c r="X25" s="39">
        <v>0.41626671953787764</v>
      </c>
      <c r="Y25" s="39">
        <v>0.44209019212007711</v>
      </c>
      <c r="Z25" s="39">
        <v>0.47520877040447074</v>
      </c>
      <c r="AA25" s="39">
        <v>0.46678006331971278</v>
      </c>
      <c r="AB25" s="39">
        <v>0.48052392741467026</v>
      </c>
      <c r="AC25" s="39">
        <v>0.48901116911401066</v>
      </c>
      <c r="AD25" s="39">
        <v>0.49662526617658775</v>
      </c>
      <c r="AE25" s="39">
        <v>0.50500273070436963</v>
      </c>
      <c r="AF25" s="39">
        <v>0.49765348592971276</v>
      </c>
      <c r="AG25" s="39">
        <v>0.50685161963958769</v>
      </c>
      <c r="AH25" s="39">
        <v>0.50123789518085371</v>
      </c>
    </row>
    <row r="26" spans="1:34" x14ac:dyDescent="0.35">
      <c r="A26" s="39" t="s">
        <v>154</v>
      </c>
      <c r="B26" s="39" t="s">
        <v>155</v>
      </c>
      <c r="C26" s="39" t="s">
        <v>112</v>
      </c>
      <c r="D26" s="39" t="s">
        <v>113</v>
      </c>
      <c r="E26" s="39">
        <v>0.98049905745013299</v>
      </c>
      <c r="F26" s="39">
        <v>0.97267249706195202</v>
      </c>
      <c r="G26" s="39">
        <v>0.98814200355972803</v>
      </c>
      <c r="H26" s="39">
        <v>0.95704804667116194</v>
      </c>
      <c r="I26" s="39">
        <v>0.95749771455846999</v>
      </c>
      <c r="J26" s="39">
        <v>0.94535844264104196</v>
      </c>
      <c r="K26" s="39">
        <v>0.93749720931342595</v>
      </c>
      <c r="L26" s="39">
        <v>0.93937068235952903</v>
      </c>
      <c r="M26" s="39">
        <v>0.95724034405687297</v>
      </c>
      <c r="N26" s="39">
        <v>0.99033414880686199</v>
      </c>
      <c r="O26" s="39">
        <v>0.97760991138275599</v>
      </c>
      <c r="P26" s="39">
        <v>0.96000839448321096</v>
      </c>
      <c r="Q26" s="39">
        <v>0.98249241374320195</v>
      </c>
      <c r="R26" s="39">
        <v>0.97571704645510804</v>
      </c>
      <c r="S26" s="39">
        <v>0.96148700909917795</v>
      </c>
      <c r="T26" s="39">
        <v>0.97959322680988803</v>
      </c>
      <c r="U26" s="39">
        <v>0.95869171567810296</v>
      </c>
      <c r="V26" s="39">
        <v>0.96113064375615798</v>
      </c>
      <c r="W26" s="39">
        <v>0.95682972322957804</v>
      </c>
      <c r="X26" s="39">
        <v>0.93974750661705997</v>
      </c>
      <c r="Y26" s="39">
        <v>0.92527554376864896</v>
      </c>
      <c r="Z26" s="39">
        <v>0.89856344461440996</v>
      </c>
      <c r="AA26" s="39">
        <v>0.91523545980453502</v>
      </c>
      <c r="AB26" s="39">
        <v>0.903084576129913</v>
      </c>
      <c r="AC26" s="39">
        <v>0.90426665544509899</v>
      </c>
      <c r="AD26" s="39">
        <v>0.93631327152252197</v>
      </c>
      <c r="AE26" s="39">
        <v>0.92412018775939897</v>
      </c>
      <c r="AF26" s="39">
        <v>0.90140676498413097</v>
      </c>
      <c r="AG26" s="39">
        <v>0.886610490342989</v>
      </c>
      <c r="AH26" s="39">
        <v>0.88374529245141598</v>
      </c>
    </row>
    <row r="27" spans="1:34" x14ac:dyDescent="0.35">
      <c r="A27" s="39" t="s">
        <v>156</v>
      </c>
      <c r="B27" s="39" t="s">
        <v>157</v>
      </c>
      <c r="C27" s="39" t="s">
        <v>112</v>
      </c>
      <c r="D27" s="39" t="s">
        <v>113</v>
      </c>
      <c r="I27" s="39">
        <v>0.40706372452976664</v>
      </c>
      <c r="J27" s="39">
        <v>0.49057661948218478</v>
      </c>
      <c r="K27" s="39">
        <v>0.38054445357890021</v>
      </c>
      <c r="L27" s="39">
        <v>0.36686604145407709</v>
      </c>
      <c r="M27" s="39">
        <v>0.35184964103553562</v>
      </c>
      <c r="N27" s="39">
        <v>0.36020474077774395</v>
      </c>
      <c r="O27" s="39">
        <v>0.32265372352590954</v>
      </c>
      <c r="P27" s="39">
        <v>0.32219968396509241</v>
      </c>
      <c r="Q27" s="39">
        <v>0.34443591622553948</v>
      </c>
      <c r="R27" s="39">
        <v>0.41404348319046508</v>
      </c>
      <c r="S27" s="39">
        <v>0.45398447940051556</v>
      </c>
      <c r="T27" s="39">
        <v>0.4599924522903166</v>
      </c>
      <c r="U27" s="39">
        <v>0.46137540851814834</v>
      </c>
      <c r="V27" s="39">
        <v>0.51213530748751923</v>
      </c>
      <c r="W27" s="39">
        <v>0.5638532962604681</v>
      </c>
      <c r="X27" s="39">
        <v>0.52169115376520425</v>
      </c>
      <c r="Y27" s="39">
        <v>0.49553611616418908</v>
      </c>
      <c r="Z27" s="39">
        <v>0.51045493511650009</v>
      </c>
      <c r="AA27" s="39">
        <v>0.46376178418652342</v>
      </c>
      <c r="AB27" s="39">
        <v>0.46578985378802723</v>
      </c>
      <c r="AC27" s="39">
        <v>0.46615579841444105</v>
      </c>
      <c r="AD27" s="39">
        <v>0.39348335681834817</v>
      </c>
      <c r="AE27" s="39">
        <v>0.38450169838615067</v>
      </c>
      <c r="AF27" s="39">
        <v>0.39123894820816291</v>
      </c>
      <c r="AG27" s="39">
        <v>0.40664540780675196</v>
      </c>
      <c r="AH27" s="39">
        <v>0.38458651808872302</v>
      </c>
    </row>
    <row r="28" spans="1:34" x14ac:dyDescent="0.35">
      <c r="A28" s="39" t="s">
        <v>158</v>
      </c>
      <c r="B28" s="39" t="s">
        <v>159</v>
      </c>
      <c r="C28" s="39" t="s">
        <v>112</v>
      </c>
      <c r="D28" s="39" t="s">
        <v>113</v>
      </c>
      <c r="E28" s="39">
        <v>0.40611787426840201</v>
      </c>
      <c r="F28" s="39">
        <v>0.33057182954326797</v>
      </c>
      <c r="G28" s="39">
        <v>0.33840198033448887</v>
      </c>
      <c r="H28" s="39">
        <v>0.34188344518108099</v>
      </c>
      <c r="I28" s="39">
        <v>0.34767944201342987</v>
      </c>
      <c r="J28" s="39">
        <v>0.35564742779813319</v>
      </c>
      <c r="K28" s="39">
        <v>0.3588065250594023</v>
      </c>
      <c r="L28" s="39">
        <v>0.30314451686326876</v>
      </c>
      <c r="M28" s="39">
        <v>0.29794666820398891</v>
      </c>
      <c r="N28" s="39">
        <v>0.22650872539397704</v>
      </c>
      <c r="O28" s="39">
        <v>0.2197330399143346</v>
      </c>
      <c r="P28" s="39">
        <v>0.19915670407724459</v>
      </c>
      <c r="Q28" s="39">
        <v>0.22046924658742154</v>
      </c>
      <c r="R28" s="39">
        <v>0.2470093924271804</v>
      </c>
      <c r="S28" s="39">
        <v>0.28018466866520975</v>
      </c>
      <c r="T28" s="39">
        <v>0.32417249619726879</v>
      </c>
      <c r="U28" s="39">
        <v>0.34993321962123586</v>
      </c>
      <c r="V28" s="39">
        <v>0.38446716734052933</v>
      </c>
      <c r="W28" s="39">
        <v>0.45927452518139744</v>
      </c>
      <c r="X28" s="39">
        <v>0.38085552397308631</v>
      </c>
      <c r="Y28" s="39">
        <v>0.39281433222171869</v>
      </c>
      <c r="Z28" s="39">
        <v>0.39407682778248243</v>
      </c>
      <c r="AA28" s="39">
        <v>0.38403879613831715</v>
      </c>
      <c r="AB28" s="39">
        <v>0.42108271841530287</v>
      </c>
      <c r="AC28" s="39">
        <v>0.43883485390173615</v>
      </c>
      <c r="AD28" s="39">
        <v>0.32975036535343277</v>
      </c>
      <c r="AE28" s="39">
        <v>0.28335196117727834</v>
      </c>
      <c r="AF28" s="39">
        <v>0.31519061393917458</v>
      </c>
      <c r="AG28" s="39">
        <v>0.32745942699410291</v>
      </c>
      <c r="AH28" s="39">
        <v>0.33411209733981734</v>
      </c>
    </row>
    <row r="29" spans="1:34" x14ac:dyDescent="0.35">
      <c r="A29" s="39" t="s">
        <v>160</v>
      </c>
      <c r="B29" s="39" t="s">
        <v>161</v>
      </c>
      <c r="C29" s="39" t="s">
        <v>112</v>
      </c>
      <c r="D29" s="39" t="s">
        <v>113</v>
      </c>
      <c r="E29" s="39">
        <v>0.65881064534317502</v>
      </c>
      <c r="F29" s="39">
        <v>0.61699408770845499</v>
      </c>
      <c r="G29" s="39">
        <v>0.62732014291559501</v>
      </c>
      <c r="H29" s="39">
        <v>0.62292182528591999</v>
      </c>
      <c r="I29" s="39">
        <v>0.63178059042923995</v>
      </c>
      <c r="J29" s="39">
        <v>0.65641861215516994</v>
      </c>
      <c r="K29" s="39">
        <v>0.65730955497747501</v>
      </c>
      <c r="L29" s="39">
        <v>0.63662773095369996</v>
      </c>
      <c r="M29" s="39">
        <v>0.63900440212140996</v>
      </c>
      <c r="N29" s="39">
        <v>0.61583471822358005</v>
      </c>
      <c r="O29" s="39">
        <v>0.60523585755537002</v>
      </c>
      <c r="P29" s="39">
        <v>0.59044350221071995</v>
      </c>
      <c r="Q29" s="39">
        <v>0.59117148880876502</v>
      </c>
      <c r="R29" s="39">
        <v>0.56438815556545496</v>
      </c>
      <c r="S29" s="39">
        <v>0.56066709702291995</v>
      </c>
      <c r="T29" s="39">
        <v>0.55909214890835002</v>
      </c>
      <c r="U29" s="39">
        <v>0.56847682130805499</v>
      </c>
      <c r="V29" s="39">
        <v>0.57878898361049003</v>
      </c>
      <c r="W29" s="39">
        <v>0.58299402624332497</v>
      </c>
      <c r="X29" s="39">
        <v>0.56276936314202497</v>
      </c>
      <c r="Y29" s="39">
        <v>0.56463341711982995</v>
      </c>
      <c r="Z29" s="39">
        <v>0.575614154338835</v>
      </c>
      <c r="AA29" s="39">
        <v>0.61951076984405495</v>
      </c>
      <c r="AB29" s="39">
        <v>0.63214421272277999</v>
      </c>
      <c r="AC29" s="39">
        <v>0.65624201297759999</v>
      </c>
      <c r="AD29" s="39">
        <v>0.65926253795624001</v>
      </c>
      <c r="AE29" s="39">
        <v>0.671137154102325</v>
      </c>
      <c r="AF29" s="39">
        <v>0.68753254413604503</v>
      </c>
      <c r="AG29" s="39">
        <v>0.67032759692385002</v>
      </c>
      <c r="AH29" s="39">
        <v>0.66004274316147504</v>
      </c>
    </row>
    <row r="30" spans="1:34" x14ac:dyDescent="0.35">
      <c r="A30" s="39" t="s">
        <v>162</v>
      </c>
      <c r="B30" s="39" t="s">
        <v>163</v>
      </c>
      <c r="C30" s="39" t="s">
        <v>112</v>
      </c>
      <c r="D30" s="39" t="s">
        <v>113</v>
      </c>
      <c r="E30" s="39">
        <v>0.911165394758089</v>
      </c>
      <c r="F30" s="39">
        <v>0.938036604207515</v>
      </c>
      <c r="G30" s="39">
        <v>0.94294305762222497</v>
      </c>
      <c r="H30" s="39">
        <v>0.96898331801978199</v>
      </c>
      <c r="I30" s="39">
        <v>0.96731532249676</v>
      </c>
      <c r="J30" s="39">
        <v>0.98703772486729402</v>
      </c>
      <c r="K30" s="39">
        <v>1.25391875138204</v>
      </c>
      <c r="L30" s="39">
        <v>1.2822639916929499</v>
      </c>
      <c r="M30" s="39">
        <v>1.3027551402519799</v>
      </c>
      <c r="N30" s="39">
        <v>1.31904341362883</v>
      </c>
      <c r="O30" s="39">
        <v>1.2355437814813199</v>
      </c>
      <c r="P30" s="39">
        <v>1.1924708064239</v>
      </c>
      <c r="Q30" s="39">
        <v>1.2746284712334299</v>
      </c>
      <c r="R30" s="39">
        <v>1.28673747153994</v>
      </c>
      <c r="S30" s="39">
        <v>1.3117966888934101</v>
      </c>
      <c r="T30" s="39">
        <v>1.3581981919541899</v>
      </c>
      <c r="U30" s="39">
        <v>1.3891910673332599</v>
      </c>
      <c r="V30" s="39">
        <v>1.4322134062054499</v>
      </c>
      <c r="W30" s="39">
        <v>1.4341831399978899</v>
      </c>
      <c r="X30" s="39">
        <v>1.4280815270529601</v>
      </c>
      <c r="Y30" s="39">
        <v>1.4264391914372101</v>
      </c>
      <c r="Z30" s="39">
        <v>1.3967968225479099</v>
      </c>
      <c r="AA30" s="39">
        <v>1.4592481851577801</v>
      </c>
      <c r="AB30" s="39">
        <v>1.4417594671249401</v>
      </c>
      <c r="AC30" s="39">
        <v>1.4317272901535001</v>
      </c>
      <c r="AD30" s="39">
        <v>1.41924369335175</v>
      </c>
    </row>
    <row r="31" spans="1:34" x14ac:dyDescent="0.35">
      <c r="A31" s="39" t="s">
        <v>164</v>
      </c>
      <c r="B31" s="39" t="s">
        <v>165</v>
      </c>
      <c r="C31" s="39" t="s">
        <v>112</v>
      </c>
      <c r="D31" s="39" t="s">
        <v>113</v>
      </c>
      <c r="E31" s="39">
        <v>0.29859193451759097</v>
      </c>
      <c r="F31" s="39">
        <v>0.30118824037625813</v>
      </c>
      <c r="G31" s="39">
        <v>0.30600663193903088</v>
      </c>
      <c r="H31" s="39">
        <v>0.29129624573800844</v>
      </c>
      <c r="I31" s="39">
        <v>0.28420416653774266</v>
      </c>
      <c r="J31" s="39">
        <v>0.29855910782132994</v>
      </c>
      <c r="K31" s="39">
        <v>0.30945956269656522</v>
      </c>
      <c r="L31" s="39">
        <v>0.31057140264488325</v>
      </c>
      <c r="M31" s="39">
        <v>0.31350706726549604</v>
      </c>
      <c r="N31" s="39">
        <v>0.30003698031450177</v>
      </c>
      <c r="O31" s="39">
        <v>0.29019577170837713</v>
      </c>
      <c r="P31" s="39">
        <v>0.27073939710842754</v>
      </c>
      <c r="Q31" s="39">
        <v>0.25251959978974198</v>
      </c>
      <c r="R31" s="39">
        <v>0.2467716863591537</v>
      </c>
      <c r="S31" s="39">
        <v>0.25039950191191535</v>
      </c>
      <c r="T31" s="39">
        <v>0.25311223843813863</v>
      </c>
      <c r="U31" s="39">
        <v>0.28114573376886515</v>
      </c>
      <c r="V31" s="39">
        <v>0.29998450546997529</v>
      </c>
      <c r="W31" s="39">
        <v>0.35231151408553391</v>
      </c>
      <c r="X31" s="39">
        <v>0.35179470069308977</v>
      </c>
      <c r="Y31" s="39">
        <v>0.37844368114983828</v>
      </c>
      <c r="Z31" s="39">
        <v>0.42971197493708368</v>
      </c>
      <c r="AA31" s="39">
        <v>0.44073544431871348</v>
      </c>
      <c r="AB31" s="39">
        <v>0.43898650085184227</v>
      </c>
      <c r="AC31" s="39">
        <v>0.43672293899028214</v>
      </c>
      <c r="AD31" s="39">
        <v>0.42557129811619537</v>
      </c>
      <c r="AE31" s="39">
        <v>0.41023328921901886</v>
      </c>
      <c r="AF31" s="39">
        <v>0.39782106617597685</v>
      </c>
      <c r="AG31" s="39">
        <v>0.40052830488596669</v>
      </c>
      <c r="AH31" s="39">
        <v>0.39093605919701591</v>
      </c>
    </row>
    <row r="32" spans="1:34" x14ac:dyDescent="0.35">
      <c r="A32" s="39" t="s">
        <v>166</v>
      </c>
      <c r="B32" s="39" t="s">
        <v>167</v>
      </c>
      <c r="C32" s="39" t="s">
        <v>112</v>
      </c>
      <c r="D32" s="39" t="s">
        <v>113</v>
      </c>
      <c r="E32" s="39">
        <v>0.46264494181953197</v>
      </c>
      <c r="F32" s="39">
        <v>0.57531622434858498</v>
      </c>
      <c r="G32" s="39">
        <v>0.37553180717466189</v>
      </c>
      <c r="H32" s="39">
        <v>0.38303557597900934</v>
      </c>
      <c r="I32" s="39">
        <v>0.45387793463497728</v>
      </c>
      <c r="J32" s="39">
        <v>0.58685948379336283</v>
      </c>
      <c r="K32" s="39">
        <v>0.6233171093463008</v>
      </c>
      <c r="L32" s="39">
        <v>0.61547041850573281</v>
      </c>
      <c r="M32" s="39">
        <v>0.59319347598969319</v>
      </c>
      <c r="N32" s="39">
        <v>0.4039030454597366</v>
      </c>
      <c r="O32" s="39">
        <v>0.41384412838576551</v>
      </c>
      <c r="P32" s="39">
        <v>0.34087879251051867</v>
      </c>
      <c r="Q32" s="39">
        <v>0.29570070155488964</v>
      </c>
      <c r="R32" s="39">
        <v>0.31549032214893075</v>
      </c>
      <c r="S32" s="39">
        <v>0.34823766565818465</v>
      </c>
      <c r="T32" s="39">
        <v>0.4359318499514459</v>
      </c>
      <c r="U32" s="39">
        <v>0.50560377316048821</v>
      </c>
      <c r="V32" s="39">
        <v>0.58550382183656724</v>
      </c>
      <c r="W32" s="39">
        <v>0.6633501130591013</v>
      </c>
      <c r="X32" s="39">
        <v>0.64796431693149448</v>
      </c>
      <c r="Y32" s="39">
        <v>0.78927250693601636</v>
      </c>
      <c r="Z32" s="39">
        <v>0.8806889134693926</v>
      </c>
      <c r="AA32" s="39">
        <v>0.82213118978313438</v>
      </c>
      <c r="AB32" s="39">
        <v>0.78905259604733091</v>
      </c>
      <c r="AC32" s="39">
        <v>0.77059118989878872</v>
      </c>
      <c r="AD32" s="39">
        <v>0.59779798476788903</v>
      </c>
      <c r="AE32" s="39">
        <v>0.61097060538361359</v>
      </c>
      <c r="AF32" s="39">
        <v>0.68357364795348119</v>
      </c>
      <c r="AG32" s="39">
        <v>0.60246512898390181</v>
      </c>
      <c r="AH32" s="39">
        <v>0.57128720725329696</v>
      </c>
    </row>
    <row r="33" spans="1:35" x14ac:dyDescent="0.35">
      <c r="A33" s="39" t="s">
        <v>168</v>
      </c>
      <c r="B33" s="39" t="s">
        <v>169</v>
      </c>
      <c r="C33" s="39" t="s">
        <v>112</v>
      </c>
      <c r="D33" s="39" t="s">
        <v>113</v>
      </c>
      <c r="E33" s="39">
        <v>0.80495486302432262</v>
      </c>
      <c r="F33" s="39">
        <v>0.81362505019146825</v>
      </c>
      <c r="G33" s="39">
        <v>0.81696992754242503</v>
      </c>
      <c r="H33" s="39">
        <v>0.83480717557272921</v>
      </c>
      <c r="I33" s="39">
        <v>0.83541580905267743</v>
      </c>
      <c r="J33" s="39">
        <v>0.82657303826663364</v>
      </c>
      <c r="K33" s="39">
        <v>0.83231496031187302</v>
      </c>
      <c r="L33" s="39">
        <v>0.82570800854365345</v>
      </c>
      <c r="M33" s="39">
        <v>0.8875815795751405</v>
      </c>
      <c r="N33" s="39">
        <v>0.91373923177888927</v>
      </c>
      <c r="O33" s="39">
        <v>0.88691940849177497</v>
      </c>
      <c r="P33" s="39">
        <v>0.88745718275670504</v>
      </c>
      <c r="Q33" s="39">
        <v>0.88156967513196505</v>
      </c>
      <c r="R33" s="39">
        <v>0.87515441511319003</v>
      </c>
      <c r="S33" s="39">
        <v>0.90187917533265505</v>
      </c>
      <c r="T33" s="39">
        <v>0.93295304514189503</v>
      </c>
      <c r="U33" s="39">
        <v>0.94417745975995504</v>
      </c>
      <c r="V33" s="39">
        <v>0.99704570743279997</v>
      </c>
      <c r="W33" s="39">
        <v>0.99427814637990497</v>
      </c>
      <c r="X33" s="39">
        <v>0.97013011435221996</v>
      </c>
      <c r="Y33" s="39">
        <v>0.99557035944914496</v>
      </c>
      <c r="Z33" s="39">
        <v>1.0094435214996349</v>
      </c>
      <c r="AA33" s="39">
        <v>1.0613685846328751</v>
      </c>
      <c r="AB33" s="39">
        <v>1.07280492782593</v>
      </c>
      <c r="AC33" s="39">
        <v>1.08655905723572</v>
      </c>
      <c r="AD33" s="39">
        <v>1.065389752388</v>
      </c>
      <c r="AE33" s="39">
        <v>1.059434056282045</v>
      </c>
      <c r="AF33" s="39">
        <v>1.1015025377273551</v>
      </c>
      <c r="AG33" s="39">
        <v>1.105982830560055</v>
      </c>
      <c r="AH33" s="39">
        <v>1.114279348699635</v>
      </c>
    </row>
    <row r="34" spans="1:35" x14ac:dyDescent="0.35">
      <c r="A34" s="39" t="s">
        <v>170</v>
      </c>
      <c r="B34" s="39" t="s">
        <v>171</v>
      </c>
      <c r="C34" s="39" t="s">
        <v>112</v>
      </c>
      <c r="D34" s="39" t="s">
        <v>113</v>
      </c>
      <c r="E34" s="39">
        <v>0.24336672473229407</v>
      </c>
      <c r="F34" s="39">
        <v>0.23996713935665895</v>
      </c>
      <c r="G34" s="39">
        <v>0.25311827734544201</v>
      </c>
      <c r="H34" s="39">
        <v>0.24192247161702193</v>
      </c>
      <c r="I34" s="39">
        <v>0.2286140086991901</v>
      </c>
      <c r="J34" s="39">
        <v>0.24822889162175957</v>
      </c>
      <c r="K34" s="39">
        <v>0.25604427020073123</v>
      </c>
      <c r="L34" s="39">
        <v>0.25954362486812904</v>
      </c>
      <c r="M34" s="39">
        <v>0.2011775215348823</v>
      </c>
      <c r="N34" s="39">
        <v>0.21851268200490323</v>
      </c>
      <c r="O34" s="39">
        <v>0.27111282723139968</v>
      </c>
      <c r="P34" s="39">
        <v>0.24099517296604733</v>
      </c>
      <c r="Q34" s="39">
        <v>0.23827663025070647</v>
      </c>
      <c r="R34" s="39">
        <v>0.25510853658878718</v>
      </c>
      <c r="S34" s="39">
        <v>0.29674197582169332</v>
      </c>
      <c r="T34" s="39">
        <v>0.3470811820665477</v>
      </c>
      <c r="U34" s="39">
        <v>0.38835201568330985</v>
      </c>
      <c r="V34" s="39">
        <v>0.40318709810607056</v>
      </c>
      <c r="W34" s="39">
        <v>0.47396575131587421</v>
      </c>
      <c r="X34" s="39">
        <v>0.35704383778694831</v>
      </c>
      <c r="Y34" s="39">
        <v>0.43934518432002345</v>
      </c>
      <c r="Z34" s="39">
        <v>0.56062231610467439</v>
      </c>
      <c r="AA34" s="39">
        <v>0.54098293662223829</v>
      </c>
      <c r="AB34" s="39">
        <v>0.53397367906082638</v>
      </c>
      <c r="AC34" s="39">
        <v>0.51278402792156041</v>
      </c>
      <c r="AD34" s="39">
        <v>0.49830068284029966</v>
      </c>
      <c r="AE34" s="39">
        <v>0.48241107493006807</v>
      </c>
      <c r="AF34" s="39">
        <v>0.46842901424750816</v>
      </c>
      <c r="AG34" s="39">
        <v>0.51167021116737266</v>
      </c>
      <c r="AH34" s="39">
        <v>0.48067365924411887</v>
      </c>
    </row>
    <row r="35" spans="1:35" x14ac:dyDescent="0.35">
      <c r="A35" s="39" t="s">
        <v>172</v>
      </c>
      <c r="B35" s="39" t="s">
        <v>173</v>
      </c>
      <c r="C35" s="39" t="s">
        <v>112</v>
      </c>
      <c r="D35" s="39" t="s">
        <v>113</v>
      </c>
      <c r="E35" s="39">
        <v>0.37468794667111532</v>
      </c>
      <c r="F35" s="39">
        <v>0.30353394209015921</v>
      </c>
      <c r="G35" s="39">
        <v>0.28456660058598338</v>
      </c>
      <c r="H35" s="39">
        <v>0.25566116700785996</v>
      </c>
      <c r="I35" s="39">
        <v>0.27456216597893462</v>
      </c>
      <c r="J35" s="39">
        <v>0.28106839024929448</v>
      </c>
      <c r="K35" s="39">
        <v>0.27299648759807621</v>
      </c>
      <c r="L35" s="39">
        <v>0.2945594841905893</v>
      </c>
      <c r="M35" s="39">
        <v>0.28327574821896023</v>
      </c>
      <c r="N35" s="39">
        <v>0.2874657456723177</v>
      </c>
      <c r="O35" s="39">
        <v>0.2663559804730396</v>
      </c>
      <c r="P35" s="39">
        <v>0.26151294953556903</v>
      </c>
      <c r="Q35" s="39">
        <v>0.26180472528439008</v>
      </c>
      <c r="R35" s="39">
        <v>0.27645750048732504</v>
      </c>
      <c r="S35" s="39">
        <v>0.2869458287524691</v>
      </c>
      <c r="T35" s="39">
        <v>0.30285654697628117</v>
      </c>
      <c r="U35" s="39">
        <v>0.3016372600857064</v>
      </c>
      <c r="V35" s="39">
        <v>0.33137442378382287</v>
      </c>
      <c r="W35" s="39">
        <v>0.32596175136148781</v>
      </c>
      <c r="X35" s="39">
        <v>0.30457671708972989</v>
      </c>
      <c r="Y35" s="39">
        <v>0.33736924879697022</v>
      </c>
      <c r="Z35" s="39">
        <v>0.3513312437100588</v>
      </c>
      <c r="AA35" s="39">
        <v>0.32089270776434214</v>
      </c>
      <c r="AB35" s="39">
        <v>0.309489480482943</v>
      </c>
      <c r="AC35" s="39">
        <v>0.30603348573519035</v>
      </c>
      <c r="AD35" s="39">
        <v>0.2897306989512361</v>
      </c>
      <c r="AE35" s="39">
        <v>0.28024351492002414</v>
      </c>
      <c r="AF35" s="39">
        <v>0.29496111414894749</v>
      </c>
      <c r="AG35" s="39">
        <v>0.27927200131784413</v>
      </c>
    </row>
    <row r="36" spans="1:35" x14ac:dyDescent="0.35">
      <c r="A36" s="39" t="s">
        <v>15</v>
      </c>
      <c r="B36" s="39" t="s">
        <v>174</v>
      </c>
      <c r="C36" s="39" t="s">
        <v>112</v>
      </c>
      <c r="D36" s="39" t="s">
        <v>113</v>
      </c>
      <c r="E36" s="39">
        <v>0.51844302669848374</v>
      </c>
      <c r="F36" s="39">
        <v>0.48541734502410572</v>
      </c>
      <c r="G36" s="39">
        <v>0.48497677317561261</v>
      </c>
      <c r="H36" s="39">
        <v>0.46636686995871413</v>
      </c>
      <c r="I36" s="39">
        <v>0.45114253848046637</v>
      </c>
      <c r="J36" s="39">
        <v>0.45853255776953317</v>
      </c>
      <c r="K36" s="39">
        <v>0.43601887315796584</v>
      </c>
      <c r="L36" s="39">
        <v>0.40976017384799501</v>
      </c>
      <c r="M36" s="39">
        <v>0.38494727439001397</v>
      </c>
      <c r="N36" s="39">
        <v>0.39613163553380554</v>
      </c>
      <c r="O36" s="39">
        <v>0.40098262308937827</v>
      </c>
      <c r="P36" s="39">
        <v>0.37119646598088413</v>
      </c>
      <c r="Q36" s="39">
        <v>0.34132156667433072</v>
      </c>
      <c r="R36" s="39">
        <v>0.44234083377038924</v>
      </c>
      <c r="S36" s="39">
        <v>0.50012468382788899</v>
      </c>
      <c r="T36" s="39">
        <v>0.51430254860497415</v>
      </c>
      <c r="U36" s="39">
        <v>0.4697489740073279</v>
      </c>
      <c r="V36" s="39">
        <v>0.45637270725161105</v>
      </c>
      <c r="W36" s="39">
        <v>0.42158165460971153</v>
      </c>
      <c r="X36" s="39">
        <v>0.42499910490240805</v>
      </c>
      <c r="Y36" s="39">
        <v>0.48192562725197247</v>
      </c>
      <c r="Z36" s="39">
        <v>0.48192562725197247</v>
      </c>
      <c r="AA36" s="39">
        <v>0.48192562725197247</v>
      </c>
      <c r="AB36" s="39">
        <v>0.48192562725197247</v>
      </c>
      <c r="AC36" s="39">
        <v>0.48192562725197247</v>
      </c>
      <c r="AD36" s="39">
        <v>0.48192562725197247</v>
      </c>
      <c r="AE36" s="39">
        <v>0.48192562725197247</v>
      </c>
      <c r="AF36" s="39">
        <v>0.48192562725197247</v>
      </c>
      <c r="AG36" s="39">
        <v>0.48192562725197247</v>
      </c>
      <c r="AH36" s="39">
        <v>0.48192562725197247</v>
      </c>
      <c r="AI36" s="39">
        <v>0.48192562725197247</v>
      </c>
    </row>
    <row r="37" spans="1:35" x14ac:dyDescent="0.35">
      <c r="A37" s="39" t="s">
        <v>175</v>
      </c>
      <c r="B37" s="39" t="s">
        <v>176</v>
      </c>
      <c r="C37" s="39" t="s">
        <v>112</v>
      </c>
      <c r="D37" s="39" t="s">
        <v>113</v>
      </c>
      <c r="E37" s="39">
        <v>0.80779653365779935</v>
      </c>
      <c r="F37" s="39">
        <v>0.7511723857269319</v>
      </c>
      <c r="G37" s="39">
        <v>0.80453797763609602</v>
      </c>
      <c r="H37" s="39">
        <v>0.70943097030843061</v>
      </c>
      <c r="I37" s="39">
        <v>0.44073846808770351</v>
      </c>
      <c r="J37" s="39">
        <v>0.52769361411468008</v>
      </c>
      <c r="K37" s="39">
        <v>0.48772475547662375</v>
      </c>
      <c r="L37" s="39">
        <v>0.4236762887345456</v>
      </c>
      <c r="M37" s="39">
        <v>0.41278261769547442</v>
      </c>
      <c r="N37" s="39">
        <v>0.40581757208597347</v>
      </c>
      <c r="O37" s="39">
        <v>0.37246749039659882</v>
      </c>
      <c r="P37" s="39">
        <v>0.35550856532147768</v>
      </c>
      <c r="Q37" s="39">
        <v>0.35934416792708829</v>
      </c>
      <c r="R37" s="39">
        <v>0.42873058005383002</v>
      </c>
      <c r="S37" s="39">
        <v>0.43891637208789647</v>
      </c>
      <c r="T37" s="39">
        <v>0.44417244858403954</v>
      </c>
      <c r="U37" s="39">
        <v>0.4494000635634276</v>
      </c>
      <c r="V37" s="39">
        <v>0.48625562325915339</v>
      </c>
      <c r="W37" s="39">
        <v>0.54658050060840069</v>
      </c>
      <c r="X37" s="39">
        <v>0.51813140982259331</v>
      </c>
      <c r="Y37" s="39">
        <v>0.50934506884189845</v>
      </c>
      <c r="Z37" s="39">
        <v>0.54485329513777447</v>
      </c>
      <c r="AA37" s="39">
        <v>0.51341839832890901</v>
      </c>
      <c r="AB37" s="39">
        <v>0.51497744219667518</v>
      </c>
      <c r="AC37" s="39">
        <v>0.58924743177926897</v>
      </c>
      <c r="AD37" s="39">
        <v>0.47956382235970801</v>
      </c>
      <c r="AE37" s="39">
        <v>0.47257027359738751</v>
      </c>
      <c r="AF37" s="39">
        <v>0.49397374145111222</v>
      </c>
      <c r="AG37" s="39">
        <v>0.49831392151729287</v>
      </c>
      <c r="AH37" s="39">
        <v>0.47550213715040507</v>
      </c>
    </row>
    <row r="38" spans="1:35" x14ac:dyDescent="0.35">
      <c r="A38" s="39" t="s">
        <v>177</v>
      </c>
      <c r="B38" s="39" t="s">
        <v>178</v>
      </c>
      <c r="C38" s="39" t="s">
        <v>112</v>
      </c>
      <c r="D38" s="39" t="s">
        <v>113</v>
      </c>
      <c r="E38" s="39">
        <v>1.0643932122043196</v>
      </c>
      <c r="F38" s="39">
        <v>1.0805332984201799</v>
      </c>
      <c r="G38" s="39">
        <v>1.0160196905766525</v>
      </c>
      <c r="H38" s="39">
        <v>0.94184171769630265</v>
      </c>
      <c r="I38" s="39">
        <v>0.88384299941417699</v>
      </c>
      <c r="J38" s="39">
        <v>0.880800058292043</v>
      </c>
      <c r="K38" s="39">
        <v>0.88580271360469387</v>
      </c>
      <c r="L38" s="39">
        <v>0.86736458182868692</v>
      </c>
      <c r="M38" s="39">
        <v>0.79907381193124372</v>
      </c>
      <c r="N38" s="39">
        <v>0.80151443763882335</v>
      </c>
      <c r="O38" s="39">
        <v>0.82657262137229814</v>
      </c>
      <c r="P38" s="39">
        <v>0.78843750000000001</v>
      </c>
      <c r="Q38" s="39">
        <v>0.78336392021920609</v>
      </c>
      <c r="R38" s="39">
        <v>0.87526871743630008</v>
      </c>
      <c r="S38" s="39">
        <v>0.94788162951575705</v>
      </c>
      <c r="T38" s="39">
        <v>1.0015217032513615</v>
      </c>
      <c r="U38" s="39">
        <v>1.0629257757404795</v>
      </c>
      <c r="V38" s="39">
        <v>1.1290634019178847</v>
      </c>
      <c r="W38" s="39">
        <v>1.1568791002811623</v>
      </c>
      <c r="X38" s="39">
        <v>1.0509894147493659</v>
      </c>
      <c r="Y38" s="39">
        <v>1.185631067449292</v>
      </c>
      <c r="Z38" s="39">
        <v>1.2530222762925358</v>
      </c>
      <c r="AA38" s="39">
        <v>1.2456180560654462</v>
      </c>
      <c r="AB38" s="39">
        <v>1.1885842658443422</v>
      </c>
      <c r="AC38" s="39">
        <v>1.1123338763846156</v>
      </c>
      <c r="AD38" s="39">
        <v>0.97569076164591928</v>
      </c>
      <c r="AE38" s="39">
        <v>0.91054348208735625</v>
      </c>
      <c r="AF38" s="39">
        <v>0.92833636410371223</v>
      </c>
      <c r="AG38" s="39">
        <v>0.92482447016506086</v>
      </c>
      <c r="AH38" s="39">
        <v>0.89975050644401455</v>
      </c>
    </row>
    <row r="39" spans="1:35" x14ac:dyDescent="0.35">
      <c r="A39" s="39" t="s">
        <v>179</v>
      </c>
      <c r="B39" s="39" t="s">
        <v>180</v>
      </c>
      <c r="C39" s="39" t="s">
        <v>112</v>
      </c>
      <c r="D39" s="39" t="s">
        <v>113</v>
      </c>
    </row>
    <row r="40" spans="1:35" x14ac:dyDescent="0.35">
      <c r="A40" s="39" t="s">
        <v>181</v>
      </c>
      <c r="B40" s="39" t="s">
        <v>182</v>
      </c>
      <c r="C40" s="39" t="s">
        <v>112</v>
      </c>
      <c r="D40" s="39" t="s">
        <v>113</v>
      </c>
      <c r="E40" s="39">
        <v>1.3930010077742585</v>
      </c>
      <c r="F40" s="39">
        <v>1.3759456066945608</v>
      </c>
      <c r="G40" s="39">
        <v>1.4010311477741431</v>
      </c>
      <c r="H40" s="39">
        <v>1.332715213860314</v>
      </c>
      <c r="I40" s="39">
        <v>1.4263983329677561</v>
      </c>
      <c r="J40" s="39">
        <v>1.6278350951374205</v>
      </c>
      <c r="K40" s="39">
        <v>1.5290631067961167</v>
      </c>
      <c r="L40" s="39">
        <v>1.2707999724385033</v>
      </c>
      <c r="M40" s="39">
        <v>1.2606042212718995</v>
      </c>
      <c r="N40" s="39">
        <v>1.2001304753028892</v>
      </c>
      <c r="O40" s="39">
        <v>1.0588684272856466</v>
      </c>
      <c r="P40" s="39">
        <v>1.0478709409812752</v>
      </c>
      <c r="Q40" s="39">
        <v>1.0969844732452201</v>
      </c>
      <c r="R40" s="39">
        <v>1.2750605183040025</v>
      </c>
      <c r="S40" s="39">
        <v>1.3617539203860072</v>
      </c>
      <c r="T40" s="39">
        <v>1.3544394474783166</v>
      </c>
      <c r="U40" s="39">
        <v>1.2767411070346149</v>
      </c>
      <c r="V40" s="39">
        <v>1.2776791069643452</v>
      </c>
      <c r="W40" s="39">
        <v>1.3784959837503463</v>
      </c>
      <c r="X40" s="39">
        <v>1.3497362374781727</v>
      </c>
      <c r="Y40" s="39">
        <v>1.4048087724844414</v>
      </c>
      <c r="Z40" s="39">
        <v>1.5736845279676628</v>
      </c>
      <c r="AA40" s="39">
        <v>1.4440593055093094</v>
      </c>
      <c r="AB40" s="39">
        <v>1.4159801234704774</v>
      </c>
      <c r="AC40" s="39">
        <v>1.3990716965291041</v>
      </c>
      <c r="AD40" s="39">
        <v>1.2837489299193994</v>
      </c>
      <c r="AE40" s="39">
        <v>1.2199034285365806</v>
      </c>
      <c r="AF40" s="39">
        <v>1.1982593536047659</v>
      </c>
      <c r="AG40" s="39">
        <v>1.1940759804339309</v>
      </c>
      <c r="AH40" s="39">
        <v>1.1550159744408945</v>
      </c>
    </row>
    <row r="41" spans="1:35" x14ac:dyDescent="0.35">
      <c r="A41" s="39" t="s">
        <v>183</v>
      </c>
      <c r="B41" s="39" t="s">
        <v>184</v>
      </c>
      <c r="C41" s="39" t="s">
        <v>112</v>
      </c>
      <c r="D41" s="39" t="s">
        <v>113</v>
      </c>
    </row>
    <row r="42" spans="1:35" x14ac:dyDescent="0.35">
      <c r="A42" s="39" t="s">
        <v>185</v>
      </c>
      <c r="B42" s="39" t="s">
        <v>186</v>
      </c>
      <c r="C42" s="39" t="s">
        <v>112</v>
      </c>
      <c r="D42" s="39" t="s">
        <v>113</v>
      </c>
      <c r="E42" s="39">
        <v>0.55296645457527061</v>
      </c>
      <c r="F42" s="39">
        <v>0.56608587709753166</v>
      </c>
      <c r="G42" s="39">
        <v>0.59582900601246624</v>
      </c>
      <c r="H42" s="39">
        <v>0.57770125194843758</v>
      </c>
      <c r="I42" s="39">
        <v>0.61262767623399494</v>
      </c>
      <c r="J42" s="39">
        <v>0.69469473498500389</v>
      </c>
      <c r="K42" s="39">
        <v>0.66775967691076243</v>
      </c>
      <c r="L42" s="39">
        <v>0.6651793303283966</v>
      </c>
      <c r="M42" s="39">
        <v>0.60546051836885439</v>
      </c>
      <c r="N42" s="39">
        <v>0.55226835174338618</v>
      </c>
      <c r="O42" s="39">
        <v>0.53120492872898473</v>
      </c>
      <c r="P42" s="39">
        <v>0.45871397454877622</v>
      </c>
      <c r="Q42" s="39">
        <v>0.43029353644729584</v>
      </c>
      <c r="R42" s="39">
        <v>0.44021956175875032</v>
      </c>
      <c r="S42" s="39">
        <v>0.52442601676701728</v>
      </c>
      <c r="T42" s="39">
        <v>0.59612249728681987</v>
      </c>
      <c r="U42" s="39">
        <v>0.60077265946914338</v>
      </c>
      <c r="V42" s="39">
        <v>0.61990651608282443</v>
      </c>
      <c r="W42" s="39">
        <v>0.65153347905393888</v>
      </c>
      <c r="X42" s="39">
        <v>0.63175471271880912</v>
      </c>
      <c r="Y42" s="39">
        <v>0.70521819534454933</v>
      </c>
      <c r="Z42" s="39">
        <v>0.71953738260271771</v>
      </c>
      <c r="AA42" s="39">
        <v>0.71376976812403936</v>
      </c>
      <c r="AB42" s="39">
        <v>0.70603611015883216</v>
      </c>
      <c r="AC42" s="39">
        <v>0.64384159819652109</v>
      </c>
      <c r="AD42" s="39">
        <v>0.59829715404258499</v>
      </c>
      <c r="AE42" s="39">
        <v>0.60561797017846453</v>
      </c>
      <c r="AF42" s="39">
        <v>0.63385069287631535</v>
      </c>
      <c r="AG42" s="39">
        <v>0.64303021970841601</v>
      </c>
      <c r="AH42" s="39">
        <v>0.59218676671642023</v>
      </c>
    </row>
    <row r="43" spans="1:35" x14ac:dyDescent="0.35">
      <c r="A43" s="39" t="s">
        <v>187</v>
      </c>
      <c r="B43" s="39" t="s">
        <v>188</v>
      </c>
      <c r="C43" s="39" t="s">
        <v>112</v>
      </c>
      <c r="D43" s="39" t="s">
        <v>113</v>
      </c>
      <c r="E43" s="39">
        <v>0.32360073762986613</v>
      </c>
      <c r="F43" s="39">
        <v>0.30426684294529616</v>
      </c>
      <c r="G43" s="39">
        <v>0.29004222717553846</v>
      </c>
      <c r="H43" s="39">
        <v>0.25920719074841736</v>
      </c>
      <c r="I43" s="39">
        <v>0.28485466713562602</v>
      </c>
      <c r="J43" s="39">
        <v>0.32732402131599986</v>
      </c>
      <c r="K43" s="39">
        <v>0.3438382828357377</v>
      </c>
      <c r="L43" s="39">
        <v>0.34450376167916963</v>
      </c>
      <c r="M43" s="39">
        <v>0.33806503301722651</v>
      </c>
      <c r="N43" s="39">
        <v>0.32905828436554124</v>
      </c>
      <c r="O43" s="39">
        <v>0.32849423247155374</v>
      </c>
      <c r="P43" s="39">
        <v>0.32806258687857703</v>
      </c>
      <c r="Q43" s="39">
        <v>0.32491153268131329</v>
      </c>
      <c r="R43" s="39">
        <v>0.32729866386350132</v>
      </c>
      <c r="S43" s="39">
        <v>0.34089101576771697</v>
      </c>
      <c r="T43" s="39">
        <v>0.34695338980352802</v>
      </c>
      <c r="U43" s="39">
        <v>0.35968633520808435</v>
      </c>
      <c r="V43" s="39">
        <v>0.39557340585785344</v>
      </c>
      <c r="W43" s="39">
        <v>0.45791484827101908</v>
      </c>
      <c r="X43" s="39">
        <v>0.46128038149457212</v>
      </c>
      <c r="Y43" s="39">
        <v>0.49174111556129269</v>
      </c>
      <c r="Z43" s="39">
        <v>0.54545658232303651</v>
      </c>
      <c r="AA43" s="39">
        <v>0.56413160372775217</v>
      </c>
      <c r="AB43" s="39">
        <v>0.5913110156314616</v>
      </c>
      <c r="AC43" s="39">
        <v>0.61185172042153702</v>
      </c>
      <c r="AD43" s="39">
        <v>0.62154913848301085</v>
      </c>
      <c r="AE43" s="39">
        <v>0.60032165582458574</v>
      </c>
      <c r="AF43" s="39">
        <v>0.61901686508613063</v>
      </c>
      <c r="AG43" s="39">
        <v>0.63941000092655231</v>
      </c>
      <c r="AH43" s="39">
        <v>0.61137249881382516</v>
      </c>
    </row>
    <row r="44" spans="1:35" x14ac:dyDescent="0.35">
      <c r="A44" s="39" t="s">
        <v>189</v>
      </c>
      <c r="B44" s="39" t="s">
        <v>190</v>
      </c>
      <c r="C44" s="39" t="s">
        <v>112</v>
      </c>
      <c r="D44" s="39" t="s">
        <v>113</v>
      </c>
      <c r="E44" s="39">
        <v>0.44076742190408752</v>
      </c>
      <c r="F44" s="39">
        <v>0.41420501464164472</v>
      </c>
      <c r="G44" s="39">
        <v>0.43151803738989269</v>
      </c>
      <c r="H44" s="39">
        <v>0.41828381298461731</v>
      </c>
      <c r="I44" s="39">
        <v>0.3057576711672722</v>
      </c>
      <c r="J44" s="39">
        <v>0.36989871679707481</v>
      </c>
      <c r="K44" s="39">
        <v>0.37210162807561453</v>
      </c>
      <c r="L44" s="39">
        <v>0.34047955662194729</v>
      </c>
      <c r="M44" s="39">
        <v>0.34522791441231637</v>
      </c>
      <c r="N44" s="39">
        <v>0.32864678369472683</v>
      </c>
      <c r="O44" s="39">
        <v>0.28423418426091851</v>
      </c>
      <c r="P44" s="39">
        <v>0.29012281498430575</v>
      </c>
      <c r="Q44" s="39">
        <v>0.32040466230694581</v>
      </c>
      <c r="R44" s="39">
        <v>0.3953417066696972</v>
      </c>
      <c r="S44" s="39">
        <v>0.41129555666305939</v>
      </c>
      <c r="T44" s="39">
        <v>0.40468710973151556</v>
      </c>
      <c r="U44" s="39">
        <v>0.40314969311607735</v>
      </c>
      <c r="V44" s="39">
        <v>0.44090215623683932</v>
      </c>
      <c r="W44" s="39">
        <v>0.50223140969576285</v>
      </c>
      <c r="X44" s="39">
        <v>0.48378367807413092</v>
      </c>
      <c r="Y44" s="39">
        <v>0.48094255938838015</v>
      </c>
      <c r="Z44" s="39">
        <v>0.50272952215899214</v>
      </c>
      <c r="AA44" s="39">
        <v>0.47343530538672618</v>
      </c>
      <c r="AB44" s="39">
        <v>0.50059082385573095</v>
      </c>
      <c r="AC44" s="39">
        <v>0.4992722798948836</v>
      </c>
      <c r="AD44" s="39">
        <v>0.42393992647457074</v>
      </c>
      <c r="AE44" s="39">
        <v>0.42593392238736694</v>
      </c>
      <c r="AF44" s="39">
        <v>0.43699763641537248</v>
      </c>
      <c r="AG44" s="39">
        <v>0.44731889135482711</v>
      </c>
      <c r="AH44" s="39">
        <v>0.41906726075383288</v>
      </c>
    </row>
    <row r="45" spans="1:35" x14ac:dyDescent="0.35">
      <c r="A45" s="39" t="s">
        <v>191</v>
      </c>
      <c r="B45" s="39" t="s">
        <v>192</v>
      </c>
      <c r="C45" s="39" t="s">
        <v>112</v>
      </c>
      <c r="D45" s="39" t="s">
        <v>113</v>
      </c>
      <c r="E45" s="39">
        <v>0.51020900396784052</v>
      </c>
      <c r="F45" s="39">
        <v>0.57207823460402996</v>
      </c>
      <c r="G45" s="39">
        <v>0.52903704474904789</v>
      </c>
      <c r="H45" s="39">
        <v>0.76335126227534145</v>
      </c>
      <c r="I45" s="39">
        <v>0.50055560218710493</v>
      </c>
      <c r="J45" s="39">
        <v>0.4310912954298694</v>
      </c>
      <c r="K45" s="39">
        <v>0.44221971252179343</v>
      </c>
      <c r="L45" s="39">
        <v>0.42569053538841434</v>
      </c>
      <c r="M45" s="39">
        <v>0.39461232654313988</v>
      </c>
      <c r="N45" s="39">
        <v>0.39356574193854832</v>
      </c>
      <c r="O45" s="39">
        <v>0.33475449690016928</v>
      </c>
      <c r="P45" s="39">
        <v>0.32280477881234748</v>
      </c>
      <c r="Q45" s="39">
        <v>0.34036980044513521</v>
      </c>
      <c r="R45" s="39">
        <v>0.40152158024706286</v>
      </c>
      <c r="S45" s="39">
        <v>0.43870207126273936</v>
      </c>
      <c r="T45" s="39">
        <v>0.42929970990207755</v>
      </c>
      <c r="U45" s="39">
        <v>0.43445576044142736</v>
      </c>
      <c r="V45" s="39">
        <v>0.46602148153667228</v>
      </c>
      <c r="W45" s="39">
        <v>0.52159911314499408</v>
      </c>
      <c r="X45" s="39">
        <v>0.49900075305511615</v>
      </c>
      <c r="Y45" s="39">
        <v>0.47970539377233523</v>
      </c>
      <c r="Z45" s="39">
        <v>0.50654172134700659</v>
      </c>
      <c r="AA45" s="39">
        <v>0.47437266853385807</v>
      </c>
      <c r="AB45" s="39">
        <v>0.48812148827919682</v>
      </c>
      <c r="AC45" s="39">
        <v>0.48428517206582672</v>
      </c>
      <c r="AD45" s="39">
        <v>0.40714395065577014</v>
      </c>
      <c r="AE45" s="39">
        <v>0.40067754355260227</v>
      </c>
      <c r="AF45" s="39">
        <v>0.40092776265487512</v>
      </c>
      <c r="AG45" s="39">
        <v>0.41601121195981611</v>
      </c>
      <c r="AH45" s="39">
        <v>0.39376470515978024</v>
      </c>
    </row>
    <row r="46" spans="1:35" x14ac:dyDescent="0.35">
      <c r="A46" s="39" t="s">
        <v>193</v>
      </c>
      <c r="B46" s="39" t="s">
        <v>194</v>
      </c>
      <c r="C46" s="39" t="s">
        <v>112</v>
      </c>
      <c r="D46" s="39" t="s">
        <v>113</v>
      </c>
      <c r="E46" s="39">
        <v>0.30600224080926558</v>
      </c>
      <c r="F46" s="39">
        <v>0.33273985655896038</v>
      </c>
      <c r="G46" s="39">
        <v>0.31069548951360793</v>
      </c>
      <c r="H46" s="39">
        <v>0.45642766656107803</v>
      </c>
      <c r="I46" s="39">
        <v>0.2528052448104357</v>
      </c>
      <c r="J46" s="39">
        <v>0.23841671924929145</v>
      </c>
      <c r="K46" s="39">
        <v>0.24191593924582019</v>
      </c>
      <c r="L46" s="39">
        <v>0.26591188157742113</v>
      </c>
      <c r="M46" s="39">
        <v>0.27276818327999941</v>
      </c>
      <c r="N46" s="39">
        <v>0.21289984185408908</v>
      </c>
      <c r="O46" s="39">
        <v>0.90635738675147537</v>
      </c>
      <c r="P46" s="39">
        <v>0.35302083142623669</v>
      </c>
      <c r="Q46" s="39">
        <v>0.39611118297878867</v>
      </c>
      <c r="R46" s="39">
        <v>0.37718618346894178</v>
      </c>
      <c r="S46" s="39">
        <v>0.39646921857624384</v>
      </c>
      <c r="T46" s="39">
        <v>0.42091220827022541</v>
      </c>
      <c r="U46" s="39">
        <v>0.46855433018303838</v>
      </c>
      <c r="V46" s="39">
        <v>0.49731816223540493</v>
      </c>
      <c r="W46" s="39">
        <v>0.5429641764010924</v>
      </c>
      <c r="X46" s="39">
        <v>0.49371343020016278</v>
      </c>
      <c r="Y46" s="39">
        <v>0.52692010956486135</v>
      </c>
      <c r="Z46" s="39">
        <v>0.52692010956486135</v>
      </c>
      <c r="AA46" s="39">
        <v>0.52692010956486135</v>
      </c>
      <c r="AB46" s="39">
        <v>0.52692010956486135</v>
      </c>
      <c r="AC46" s="39">
        <v>0.52692010956486135</v>
      </c>
      <c r="AD46" s="39">
        <v>0.52692010956486135</v>
      </c>
      <c r="AE46" s="39">
        <v>0.52692010956486135</v>
      </c>
      <c r="AF46" s="39">
        <v>0.52692010956486135</v>
      </c>
      <c r="AG46" s="39">
        <v>0.52692010956486135</v>
      </c>
      <c r="AH46" s="39">
        <v>0.52692010956486135</v>
      </c>
      <c r="AI46" s="39">
        <v>0.52692010956486135</v>
      </c>
    </row>
    <row r="47" spans="1:35" x14ac:dyDescent="0.35">
      <c r="A47" s="39" t="s">
        <v>195</v>
      </c>
      <c r="B47" s="39" t="s">
        <v>196</v>
      </c>
      <c r="C47" s="39" t="s">
        <v>112</v>
      </c>
      <c r="D47" s="39" t="s">
        <v>113</v>
      </c>
      <c r="E47" s="39">
        <v>0.36750534841941535</v>
      </c>
      <c r="F47" s="39">
        <v>0.33800189138128528</v>
      </c>
      <c r="G47" s="39">
        <v>0.34668654002278915</v>
      </c>
      <c r="H47" s="39">
        <v>0.22375161185168718</v>
      </c>
      <c r="I47" s="39">
        <v>0.21373501871011538</v>
      </c>
      <c r="J47" s="39">
        <v>0.24076331402888801</v>
      </c>
      <c r="K47" s="39">
        <v>0.27220870671876435</v>
      </c>
      <c r="L47" s="39">
        <v>0.24617425328459056</v>
      </c>
      <c r="M47" s="39">
        <v>0.19695556805722772</v>
      </c>
      <c r="N47" s="39">
        <v>0.24064404517461041</v>
      </c>
      <c r="O47" s="39">
        <v>0.29930379515294542</v>
      </c>
      <c r="P47" s="39">
        <v>0.24485219460899665</v>
      </c>
      <c r="Q47" s="39">
        <v>0.24909850099230088</v>
      </c>
      <c r="R47" s="39">
        <v>0.28080913696275966</v>
      </c>
      <c r="S47" s="39">
        <v>0.35139954601276618</v>
      </c>
      <c r="T47" s="39">
        <v>0.41411193858724155</v>
      </c>
      <c r="U47" s="39">
        <v>0.48055729656411167</v>
      </c>
      <c r="V47" s="39">
        <v>0.5163134388249343</v>
      </c>
      <c r="W47" s="39">
        <v>0.67770581219437565</v>
      </c>
      <c r="X47" s="39">
        <v>0.50627930086935602</v>
      </c>
      <c r="Y47" s="39">
        <v>0.57654631000937162</v>
      </c>
      <c r="Z47" s="39">
        <v>0.65623789690950163</v>
      </c>
      <c r="AA47" s="39">
        <v>0.61916063620288497</v>
      </c>
      <c r="AB47" s="39">
        <v>0.64011373263696913</v>
      </c>
      <c r="AC47" s="39">
        <v>0.6375704910661899</v>
      </c>
      <c r="AD47" s="39">
        <v>0.52772814535821611</v>
      </c>
      <c r="AE47" s="39">
        <v>0.53429342324507734</v>
      </c>
      <c r="AF47" s="39">
        <v>0.51265055705529794</v>
      </c>
      <c r="AG47" s="39">
        <v>0.63629858473091283</v>
      </c>
      <c r="AH47" s="39">
        <v>0.58550668199658651</v>
      </c>
    </row>
    <row r="48" spans="1:35" x14ac:dyDescent="0.35">
      <c r="A48" s="39" t="s">
        <v>197</v>
      </c>
      <c r="B48" s="39" t="s">
        <v>198</v>
      </c>
      <c r="C48" s="39" t="s">
        <v>112</v>
      </c>
      <c r="D48" s="39" t="s">
        <v>113</v>
      </c>
      <c r="E48" s="39">
        <v>0.3467891500909549</v>
      </c>
      <c r="F48" s="39">
        <v>0.33801474288440414</v>
      </c>
      <c r="G48" s="39">
        <v>0.37734038015072191</v>
      </c>
      <c r="H48" s="39">
        <v>0.39783522642050534</v>
      </c>
      <c r="I48" s="39">
        <v>0.45263459741013906</v>
      </c>
      <c r="J48" s="39">
        <v>0.4771390081060819</v>
      </c>
      <c r="K48" s="39">
        <v>0.48221303388833814</v>
      </c>
      <c r="L48" s="39">
        <v>0.50312705412265035</v>
      </c>
      <c r="M48" s="39">
        <v>0.45660210646682503</v>
      </c>
      <c r="N48" s="39">
        <v>0.41135284080294066</v>
      </c>
      <c r="O48" s="39">
        <v>0.37673247902419377</v>
      </c>
      <c r="P48" s="39">
        <v>0.35648385913296421</v>
      </c>
      <c r="Q48" s="39">
        <v>0.34149317313816152</v>
      </c>
      <c r="R48" s="39">
        <v>0.31168636202131222</v>
      </c>
      <c r="S48" s="39">
        <v>0.35647004578084729</v>
      </c>
      <c r="T48" s="39">
        <v>0.41015805518756404</v>
      </c>
      <c r="U48" s="39">
        <v>0.41404079986457165</v>
      </c>
      <c r="V48" s="39">
        <v>0.48191445870307392</v>
      </c>
      <c r="W48" s="39">
        <v>0.53761714052239018</v>
      </c>
      <c r="X48" s="39">
        <v>0.50621466150453531</v>
      </c>
      <c r="Y48" s="39">
        <v>0.59046947727828303</v>
      </c>
      <c r="Z48" s="39">
        <v>0.63211844180929599</v>
      </c>
      <c r="AA48" s="39">
        <v>0.66981353612752725</v>
      </c>
      <c r="AB48" s="39">
        <v>0.64570234989318831</v>
      </c>
      <c r="AC48" s="39">
        <v>0.60976064336151714</v>
      </c>
      <c r="AD48" s="39">
        <v>0.46554881036595569</v>
      </c>
      <c r="AE48" s="39">
        <v>0.42081180336501045</v>
      </c>
      <c r="AF48" s="39">
        <v>0.44549000695557112</v>
      </c>
      <c r="AG48" s="39">
        <v>0.44892638656559941</v>
      </c>
      <c r="AH48" s="39">
        <v>0.41117987773958731</v>
      </c>
    </row>
    <row r="49" spans="1:35" x14ac:dyDescent="0.35">
      <c r="A49" s="39" t="s">
        <v>199</v>
      </c>
      <c r="B49" s="39" t="s">
        <v>200</v>
      </c>
      <c r="C49" s="39" t="s">
        <v>112</v>
      </c>
      <c r="D49" s="39" t="s">
        <v>113</v>
      </c>
      <c r="E49" s="39">
        <v>0.60740328710478675</v>
      </c>
      <c r="F49" s="39">
        <v>0.61307370291259455</v>
      </c>
      <c r="G49" s="39">
        <v>0.59563595781256995</v>
      </c>
      <c r="H49" s="39">
        <v>0.55930369228623589</v>
      </c>
      <c r="I49" s="39">
        <v>0.40745411335092224</v>
      </c>
      <c r="J49" s="39">
        <v>0.48084200187330756</v>
      </c>
      <c r="K49" s="39">
        <v>0.47548414077866075</v>
      </c>
      <c r="L49" s="39">
        <v>0.41345687174489337</v>
      </c>
      <c r="M49" s="39">
        <v>0.40994849999334176</v>
      </c>
      <c r="N49" s="39">
        <v>0.40971217761655582</v>
      </c>
      <c r="O49" s="39">
        <v>0.35843620581923002</v>
      </c>
      <c r="P49" s="39">
        <v>0.37006443575248943</v>
      </c>
      <c r="Q49" s="39">
        <v>0.39912452184333397</v>
      </c>
      <c r="R49" s="39">
        <v>0.49393323346185197</v>
      </c>
      <c r="S49" s="39">
        <v>0.54709174487294987</v>
      </c>
      <c r="T49" s="39">
        <v>0.53306496571084827</v>
      </c>
      <c r="U49" s="39">
        <v>0.53817339101923967</v>
      </c>
      <c r="V49" s="39">
        <v>0.59206814382423933</v>
      </c>
      <c r="W49" s="39">
        <v>0.6409009278623129</v>
      </c>
      <c r="X49" s="39">
        <v>0.60939753410601849</v>
      </c>
      <c r="Y49" s="39">
        <v>0.58435982081265025</v>
      </c>
      <c r="Z49" s="39">
        <v>0.58435982081265025</v>
      </c>
      <c r="AA49" s="39">
        <v>0.58435982081265025</v>
      </c>
      <c r="AB49" s="39">
        <v>0.58435982081265025</v>
      </c>
      <c r="AC49" s="39">
        <v>0.58435982081265025</v>
      </c>
      <c r="AD49" s="39">
        <v>0.58435982081265025</v>
      </c>
      <c r="AE49" s="39">
        <v>0.58435982081265025</v>
      </c>
      <c r="AF49" s="39">
        <v>0.58435982081265025</v>
      </c>
      <c r="AG49" s="39">
        <v>0.58435982081265025</v>
      </c>
      <c r="AH49" s="39">
        <v>0.58435982081265025</v>
      </c>
      <c r="AI49" s="39">
        <v>0.58435982081265025</v>
      </c>
    </row>
    <row r="50" spans="1:35" x14ac:dyDescent="0.35">
      <c r="A50" s="39" t="s">
        <v>201</v>
      </c>
      <c r="B50" s="39" t="s">
        <v>202</v>
      </c>
      <c r="C50" s="39" t="s">
        <v>112</v>
      </c>
      <c r="D50" s="39" t="s">
        <v>113</v>
      </c>
      <c r="E50" s="39">
        <v>0.80294771700472789</v>
      </c>
      <c r="F50" s="39">
        <v>0.79821254426940536</v>
      </c>
      <c r="G50" s="39">
        <v>0.78560153217358053</v>
      </c>
      <c r="H50" s="39">
        <v>0.96933026155108226</v>
      </c>
      <c r="I50" s="39">
        <v>0.66018158588351339</v>
      </c>
      <c r="J50" s="39">
        <v>0.67835322036254153</v>
      </c>
      <c r="K50" s="39">
        <v>0.65561818274689654</v>
      </c>
      <c r="L50" s="39">
        <v>0.56687774688493509</v>
      </c>
      <c r="M50" s="39">
        <v>0.52999316508697714</v>
      </c>
      <c r="N50" s="39">
        <v>0.53319089262079289</v>
      </c>
      <c r="O50" s="39">
        <v>0.44558993026158455</v>
      </c>
      <c r="P50" s="39">
        <v>0.44533043024855107</v>
      </c>
      <c r="Q50" s="39">
        <v>0.45939632768990751</v>
      </c>
      <c r="R50" s="39">
        <v>0.56749063865079685</v>
      </c>
      <c r="S50" s="39">
        <v>0.56946582911370647</v>
      </c>
      <c r="T50" s="39">
        <v>0.54319046546697936</v>
      </c>
      <c r="U50" s="39">
        <v>0.55652805377851255</v>
      </c>
      <c r="V50" s="39">
        <v>0.59937311556237127</v>
      </c>
      <c r="W50" s="39">
        <v>0.65155668311725268</v>
      </c>
      <c r="X50" s="39">
        <v>0.62657444882719704</v>
      </c>
      <c r="Y50" s="39">
        <v>0.59346408276321538</v>
      </c>
      <c r="Z50" s="39">
        <v>0.62685929032534571</v>
      </c>
      <c r="AA50" s="39">
        <v>0.59246271425737551</v>
      </c>
      <c r="AB50" s="39">
        <v>0.62421640109519383</v>
      </c>
      <c r="AC50" s="39">
        <v>0.62431550132035241</v>
      </c>
      <c r="AD50" s="39">
        <v>0.50764509805365265</v>
      </c>
      <c r="AE50" s="39">
        <v>0.49518293820244424</v>
      </c>
      <c r="AF50" s="39">
        <v>0.49564117741381536</v>
      </c>
      <c r="AG50" s="39">
        <v>0.51483996933032838</v>
      </c>
      <c r="AH50" s="39">
        <v>0.48249368421027833</v>
      </c>
    </row>
    <row r="51" spans="1:35" x14ac:dyDescent="0.35">
      <c r="A51" s="39" t="s">
        <v>203</v>
      </c>
      <c r="B51" s="39" t="s">
        <v>204</v>
      </c>
      <c r="C51" s="39" t="s">
        <v>112</v>
      </c>
      <c r="D51" s="39" t="s">
        <v>113</v>
      </c>
      <c r="E51" s="39">
        <v>0.3620342467746438</v>
      </c>
      <c r="F51" s="39">
        <v>0.429803598889545</v>
      </c>
      <c r="G51" s="39">
        <v>0.45781904290698056</v>
      </c>
      <c r="H51" s="39">
        <v>0.46701763738904717</v>
      </c>
      <c r="I51" s="39">
        <v>0.47869812855689081</v>
      </c>
      <c r="J51" s="39">
        <v>0.49696069721647945</v>
      </c>
      <c r="K51" s="39">
        <v>0.48644627564250631</v>
      </c>
      <c r="L51" s="39">
        <v>0.48939933228601462</v>
      </c>
      <c r="M51" s="39">
        <v>0.49085505129616624</v>
      </c>
      <c r="N51" s="39">
        <v>0.48527857770558314</v>
      </c>
      <c r="O51" s="39">
        <v>0.48142210263738927</v>
      </c>
      <c r="P51" s="39">
        <v>0.48454889213705415</v>
      </c>
      <c r="Q51" s="39">
        <v>0.47896566157242232</v>
      </c>
      <c r="R51" s="39">
        <v>0.46992845943938188</v>
      </c>
      <c r="S51" s="39">
        <v>0.47258607106615669</v>
      </c>
      <c r="T51" s="39">
        <v>0.47502846615633837</v>
      </c>
      <c r="U51" s="39">
        <v>0.48716940509954815</v>
      </c>
      <c r="V51" s="39">
        <v>0.51896059903062142</v>
      </c>
      <c r="W51" s="39">
        <v>0.5568128741001217</v>
      </c>
      <c r="X51" s="39">
        <v>0.55709421973171602</v>
      </c>
      <c r="Y51" s="39">
        <v>0.63982834292180069</v>
      </c>
      <c r="Z51" s="39">
        <v>0.68137317316079127</v>
      </c>
      <c r="AA51" s="39">
        <v>0.7034871829204804</v>
      </c>
      <c r="AB51" s="39">
        <v>0.71599018782360091</v>
      </c>
      <c r="AC51" s="39">
        <v>0.67510713654935428</v>
      </c>
      <c r="AD51" s="39">
        <v>0.68123086012341794</v>
      </c>
      <c r="AE51" s="39">
        <v>0.64782692604941017</v>
      </c>
      <c r="AF51" s="39">
        <v>0.61816522649433114</v>
      </c>
      <c r="AG51" s="39">
        <v>0.60947261957892274</v>
      </c>
      <c r="AH51" s="39">
        <v>0.59891016706096067</v>
      </c>
    </row>
    <row r="52" spans="1:35" x14ac:dyDescent="0.35">
      <c r="A52" s="39" t="s">
        <v>205</v>
      </c>
      <c r="B52" s="39" t="s">
        <v>206</v>
      </c>
      <c r="C52" s="39" t="s">
        <v>112</v>
      </c>
      <c r="D52" s="39" t="s">
        <v>113</v>
      </c>
    </row>
    <row r="53" spans="1:35" x14ac:dyDescent="0.35">
      <c r="A53" s="39" t="s">
        <v>207</v>
      </c>
      <c r="B53" s="39" t="s">
        <v>208</v>
      </c>
      <c r="C53" s="39" t="s">
        <v>112</v>
      </c>
      <c r="D53" s="39" t="s">
        <v>113</v>
      </c>
    </row>
    <row r="54" spans="1:35" x14ac:dyDescent="0.35">
      <c r="A54" s="39" t="s">
        <v>209</v>
      </c>
      <c r="B54" s="39" t="s">
        <v>210</v>
      </c>
      <c r="C54" s="39" t="s">
        <v>112</v>
      </c>
      <c r="D54" s="39" t="s">
        <v>113</v>
      </c>
      <c r="Z54" s="39">
        <v>0.74001211027859226</v>
      </c>
      <c r="AA54" s="39">
        <v>0.78651418899024572</v>
      </c>
      <c r="AB54" s="39">
        <v>0.7894214305131787</v>
      </c>
      <c r="AC54" s="39">
        <v>0.79821001883991616</v>
      </c>
      <c r="AD54" s="39">
        <v>0.79518383441690499</v>
      </c>
      <c r="AE54" s="39">
        <v>0.78825571017558094</v>
      </c>
      <c r="AF54" s="39">
        <v>0.76377458412554178</v>
      </c>
      <c r="AG54" s="39">
        <v>0.76545295769956978</v>
      </c>
    </row>
    <row r="55" spans="1:35" x14ac:dyDescent="0.35">
      <c r="A55" s="39" t="s">
        <v>211</v>
      </c>
      <c r="B55" s="39" t="s">
        <v>212</v>
      </c>
      <c r="C55" s="39" t="s">
        <v>112</v>
      </c>
      <c r="D55" s="39" t="s">
        <v>113</v>
      </c>
      <c r="U55" s="39">
        <v>1.1671300193389942</v>
      </c>
      <c r="V55" s="39">
        <v>1.1639595510215552</v>
      </c>
      <c r="W55" s="39">
        <v>1.1765464033726474</v>
      </c>
      <c r="X55" s="39">
        <v>1.1747416372950052</v>
      </c>
      <c r="Y55" s="39">
        <v>1.1588135322145421</v>
      </c>
      <c r="Z55" s="39">
        <v>1.1298906956201955</v>
      </c>
      <c r="AA55" s="39">
        <v>1.1589474056028284</v>
      </c>
      <c r="AB55" s="39">
        <v>1.1773648331263447</v>
      </c>
      <c r="AC55" s="39">
        <v>1.1890518640994048</v>
      </c>
      <c r="AD55" s="39">
        <v>1.1876069897150749</v>
      </c>
      <c r="AE55" s="39">
        <v>1.1775533820806563</v>
      </c>
      <c r="AF55" s="39">
        <v>1.168595733125285</v>
      </c>
      <c r="AG55" s="39">
        <v>1.1793141431196184</v>
      </c>
    </row>
    <row r="56" spans="1:35" x14ac:dyDescent="0.35">
      <c r="A56" s="39" t="s">
        <v>213</v>
      </c>
      <c r="B56" s="39" t="s">
        <v>214</v>
      </c>
      <c r="C56" s="39" t="s">
        <v>112</v>
      </c>
      <c r="D56" s="39" t="s">
        <v>113</v>
      </c>
      <c r="E56" s="39">
        <v>0.72363255370688473</v>
      </c>
      <c r="F56" s="39">
        <v>0.71707644430412254</v>
      </c>
      <c r="G56" s="39">
        <v>0.76768767826230122</v>
      </c>
      <c r="H56" s="39">
        <v>0.71003026269555003</v>
      </c>
      <c r="I56" s="39">
        <v>0.73966954167651788</v>
      </c>
      <c r="J56" s="39">
        <v>0.89432427786513324</v>
      </c>
      <c r="K56" s="39">
        <v>0.87567308510194597</v>
      </c>
      <c r="L56" s="39">
        <v>0.80081753388286769</v>
      </c>
      <c r="M56" s="39">
        <v>0.8045866605658597</v>
      </c>
      <c r="N56" s="39">
        <v>0.77750889290647685</v>
      </c>
      <c r="O56" s="39">
        <v>0.67561784365677957</v>
      </c>
      <c r="P56" s="39">
        <v>0.64802871895717751</v>
      </c>
      <c r="Q56" s="39">
        <v>0.68318261751199705</v>
      </c>
      <c r="R56" s="39">
        <v>0.83503490489037024</v>
      </c>
      <c r="S56" s="39">
        <v>0.91787729484401248</v>
      </c>
      <c r="T56" s="39">
        <v>0.89900261715573548</v>
      </c>
      <c r="U56" s="39">
        <v>0.89159679322395313</v>
      </c>
      <c r="V56" s="39">
        <v>0.95121239815517933</v>
      </c>
      <c r="W56" s="39">
        <v>1.0162846120631228</v>
      </c>
      <c r="X56" s="39">
        <v>0.94668691522083626</v>
      </c>
      <c r="Y56" s="39">
        <v>0.92757649557514787</v>
      </c>
      <c r="Z56" s="39">
        <v>0.97246788159977304</v>
      </c>
      <c r="AA56" s="39">
        <v>0.90819698021550044</v>
      </c>
      <c r="AB56" s="39">
        <v>0.91289203766001592</v>
      </c>
      <c r="AC56" s="39">
        <v>0.90303172951367616</v>
      </c>
      <c r="AD56" s="39">
        <v>0.73556383192060693</v>
      </c>
      <c r="AE56" s="39">
        <v>0.69322770230173791</v>
      </c>
      <c r="AF56" s="39">
        <v>0.69740151266814066</v>
      </c>
      <c r="AG56" s="39">
        <v>0.72198384233329704</v>
      </c>
      <c r="AH56" s="39">
        <v>0.67528234316419899</v>
      </c>
    </row>
    <row r="57" spans="1:35" x14ac:dyDescent="0.35">
      <c r="A57" s="39" t="s">
        <v>215</v>
      </c>
      <c r="B57" s="39" t="s">
        <v>216</v>
      </c>
      <c r="C57" s="39" t="s">
        <v>112</v>
      </c>
      <c r="D57" s="39" t="s">
        <v>113</v>
      </c>
      <c r="E57" s="39">
        <v>0.30950420542527712</v>
      </c>
      <c r="F57" s="39">
        <v>0.24833005394036028</v>
      </c>
      <c r="G57" s="39">
        <v>0.28444729395118501</v>
      </c>
      <c r="H57" s="39">
        <v>0.32605560319692661</v>
      </c>
      <c r="I57" s="39">
        <v>0.3632239708181344</v>
      </c>
      <c r="J57" s="39">
        <v>0.42099954785229843</v>
      </c>
      <c r="K57" s="39">
        <v>0.44551843419831128</v>
      </c>
      <c r="L57" s="39">
        <v>0.40719467105802781</v>
      </c>
      <c r="M57" s="39">
        <v>0.4332986072388883</v>
      </c>
      <c r="N57" s="39">
        <v>0.41161930273191161</v>
      </c>
      <c r="O57" s="39">
        <v>0.37121045199569896</v>
      </c>
      <c r="P57" s="39">
        <v>0.37649295267340949</v>
      </c>
      <c r="Q57" s="39">
        <v>0.44162917779013156</v>
      </c>
      <c r="R57" s="39">
        <v>0.50308468928356198</v>
      </c>
      <c r="S57" s="39">
        <v>0.56184172639475793</v>
      </c>
      <c r="T57" s="39">
        <v>0.6078494744838755</v>
      </c>
      <c r="U57" s="39">
        <v>0.63870665085237832</v>
      </c>
      <c r="V57" s="39">
        <v>0.70335172984719396</v>
      </c>
      <c r="W57" s="39">
        <v>0.81519198439522722</v>
      </c>
      <c r="X57" s="39">
        <v>0.71475219010648905</v>
      </c>
      <c r="Y57" s="39">
        <v>0.71539905488722788</v>
      </c>
      <c r="Z57" s="39">
        <v>0.75414601296909212</v>
      </c>
      <c r="AA57" s="39">
        <v>0.67923376324862716</v>
      </c>
      <c r="AB57" s="39">
        <v>0.65329023577052403</v>
      </c>
      <c r="AC57" s="39">
        <v>0.61198169336384445</v>
      </c>
      <c r="AD57" s="39">
        <v>0.52581976726459678</v>
      </c>
      <c r="AE57" s="39">
        <v>0.51463407881232481</v>
      </c>
      <c r="AF57" s="39">
        <v>0.52949240685023391</v>
      </c>
      <c r="AG57" s="39">
        <v>0.57061935350265869</v>
      </c>
      <c r="AH57" s="39">
        <v>0.5426058934470015</v>
      </c>
    </row>
    <row r="58" spans="1:35" x14ac:dyDescent="0.35">
      <c r="A58" s="39" t="s">
        <v>217</v>
      </c>
      <c r="B58" s="39" t="s">
        <v>218</v>
      </c>
      <c r="C58" s="39" t="s">
        <v>112</v>
      </c>
      <c r="D58" s="39" t="s">
        <v>113</v>
      </c>
      <c r="E58" s="39">
        <v>1.1480607674615664</v>
      </c>
      <c r="F58" s="39">
        <v>1.1145456688273423</v>
      </c>
      <c r="G58" s="39">
        <v>1.2193299937382593</v>
      </c>
      <c r="H58" s="39">
        <v>1.1688903347923814</v>
      </c>
      <c r="I58" s="39">
        <v>1.189819211763288</v>
      </c>
      <c r="J58" s="39">
        <v>1.3459355807288111</v>
      </c>
      <c r="K58" s="39">
        <v>1.2683714582791785</v>
      </c>
      <c r="L58" s="39">
        <v>1.0976877960748928</v>
      </c>
      <c r="M58" s="39">
        <v>1.0767211292653105</v>
      </c>
      <c r="N58" s="39">
        <v>1.01653419987215</v>
      </c>
      <c r="O58" s="39">
        <v>0.86867330016583755</v>
      </c>
      <c r="P58" s="39">
        <v>0.83182997762863542</v>
      </c>
      <c r="Q58" s="39">
        <v>0.85945511010728404</v>
      </c>
      <c r="R58" s="39">
        <v>1.0123205417607224</v>
      </c>
      <c r="S58" s="39">
        <v>1.0874807549043952</v>
      </c>
      <c r="T58" s="39">
        <v>1.0853388881979853</v>
      </c>
      <c r="U58" s="39">
        <v>1.0646066992849077</v>
      </c>
      <c r="V58" s="39">
        <v>1.1472406241445388</v>
      </c>
      <c r="W58" s="39">
        <v>1.2017006005566135</v>
      </c>
      <c r="X58" s="39">
        <v>1.125765490414004</v>
      </c>
      <c r="Y58" s="39">
        <v>1.0655021239196774</v>
      </c>
      <c r="Z58" s="39">
        <v>1.0964526859889232</v>
      </c>
      <c r="AA58" s="39">
        <v>1.0115025982108765</v>
      </c>
      <c r="AB58" s="39">
        <v>1.0287121483398647</v>
      </c>
      <c r="AC58" s="39">
        <v>1.0201746625709114</v>
      </c>
      <c r="AD58" s="39">
        <v>0.86275746495545846</v>
      </c>
      <c r="AE58" s="39">
        <v>0.83258269145635488</v>
      </c>
      <c r="AF58" s="39">
        <v>0.83659895140941332</v>
      </c>
      <c r="AG58" s="39">
        <v>0.87480150077333274</v>
      </c>
      <c r="AH58" s="39">
        <v>0.8252788475764693</v>
      </c>
    </row>
    <row r="59" spans="1:35" x14ac:dyDescent="0.35">
      <c r="A59" s="39" t="s">
        <v>219</v>
      </c>
      <c r="B59" s="39" t="s">
        <v>220</v>
      </c>
      <c r="C59" s="39" t="s">
        <v>112</v>
      </c>
      <c r="D59" s="39" t="s">
        <v>113</v>
      </c>
      <c r="Z59" s="39">
        <v>0.52650965907302572</v>
      </c>
      <c r="AA59" s="39">
        <v>0.55294305279148948</v>
      </c>
      <c r="AB59" s="39">
        <v>0.56353656976296562</v>
      </c>
      <c r="AC59" s="39">
        <v>0.57455770569645759</v>
      </c>
      <c r="AD59" s="39">
        <v>0.58126425973848184</v>
      </c>
      <c r="AE59" s="39">
        <v>0.59715539733488077</v>
      </c>
      <c r="AF59" s="39">
        <v>0.59657160183504954</v>
      </c>
      <c r="AG59" s="39">
        <v>0.5886857180615519</v>
      </c>
      <c r="AH59" s="39">
        <v>0.59304074317049293</v>
      </c>
    </row>
    <row r="60" spans="1:35" x14ac:dyDescent="0.35">
      <c r="A60" s="39" t="s">
        <v>221</v>
      </c>
      <c r="B60" s="39" t="s">
        <v>222</v>
      </c>
      <c r="C60" s="39" t="s">
        <v>112</v>
      </c>
      <c r="D60" s="39" t="s">
        <v>113</v>
      </c>
      <c r="E60" s="39">
        <v>0.64961147369205552</v>
      </c>
      <c r="F60" s="39">
        <v>0.67644851582418519</v>
      </c>
      <c r="G60" s="39">
        <v>0.69038253202756295</v>
      </c>
      <c r="H60" s="39">
        <v>0.69247887140487774</v>
      </c>
      <c r="I60" s="39">
        <v>0.72979999858274802</v>
      </c>
      <c r="J60" s="39">
        <v>0.72041557088045172</v>
      </c>
      <c r="K60" s="39">
        <v>0.73055710691524067</v>
      </c>
      <c r="L60" s="39">
        <v>0.72855066938981483</v>
      </c>
      <c r="M60" s="39">
        <v>0.73874108162934071</v>
      </c>
      <c r="N60" s="39">
        <v>0.74669470554480744</v>
      </c>
      <c r="O60" s="39">
        <v>0.73474386244588141</v>
      </c>
      <c r="P60" s="39">
        <v>0.73395816713370365</v>
      </c>
      <c r="Q60" s="39">
        <v>0.72824292952002956</v>
      </c>
      <c r="R60" s="39">
        <v>0.69266337747463325</v>
      </c>
      <c r="S60" s="39">
        <v>0.70008071954040363</v>
      </c>
      <c r="T60" s="39">
        <v>0.66909815029819997</v>
      </c>
      <c r="U60" s="39">
        <v>0.66481990148068881</v>
      </c>
      <c r="V60" s="39">
        <v>0.65730254868154803</v>
      </c>
      <c r="W60" s="39">
        <v>0.6544875527678814</v>
      </c>
      <c r="X60" s="39">
        <v>0.70152367298358509</v>
      </c>
      <c r="Y60" s="39">
        <v>0.6955011552254925</v>
      </c>
      <c r="Z60" s="39">
        <v>0.6927516725328221</v>
      </c>
      <c r="AA60" s="39">
        <v>0.68860689798990737</v>
      </c>
      <c r="AB60" s="39">
        <v>0.69154699643452955</v>
      </c>
      <c r="AC60" s="39">
        <v>0.67075199551052589</v>
      </c>
      <c r="AD60" s="39">
        <v>0.68190932273864813</v>
      </c>
      <c r="AE60" s="39">
        <v>0.67625805183693322</v>
      </c>
      <c r="AF60" s="39">
        <v>0.64353236445674067</v>
      </c>
      <c r="AG60" s="39">
        <v>0.65150227974211483</v>
      </c>
      <c r="AH60" s="39">
        <v>0.65567178968077777</v>
      </c>
    </row>
    <row r="61" spans="1:35" x14ac:dyDescent="0.35">
      <c r="A61" s="39" t="s">
        <v>223</v>
      </c>
      <c r="B61" s="39" t="s">
        <v>224</v>
      </c>
      <c r="C61" s="39" t="s">
        <v>112</v>
      </c>
      <c r="D61" s="39" t="s">
        <v>113</v>
      </c>
      <c r="E61" s="39">
        <v>1.4767157353844165</v>
      </c>
      <c r="F61" s="39">
        <v>1.4187371218635192</v>
      </c>
      <c r="G61" s="39">
        <v>1.4942885306737792</v>
      </c>
      <c r="H61" s="39">
        <v>1.366772467187958</v>
      </c>
      <c r="I61" s="39">
        <v>1.3854933496839921</v>
      </c>
      <c r="J61" s="39">
        <v>1.560450878195059</v>
      </c>
      <c r="K61" s="39">
        <v>1.5043206235880455</v>
      </c>
      <c r="L61" s="39">
        <v>1.3176538723597548</v>
      </c>
      <c r="M61" s="39">
        <v>1.2926589362464183</v>
      </c>
      <c r="N61" s="39">
        <v>1.2546340414552335</v>
      </c>
      <c r="O61" s="39">
        <v>1.0723671611139292</v>
      </c>
      <c r="P61" s="39">
        <v>1.0442020714182727</v>
      </c>
      <c r="Q61" s="39">
        <v>1.0844751542173863</v>
      </c>
      <c r="R61" s="39">
        <v>1.3141630614630295</v>
      </c>
      <c r="S61" s="39">
        <v>1.413346964664252</v>
      </c>
      <c r="T61" s="39">
        <v>1.4289779719521754</v>
      </c>
      <c r="U61" s="39">
        <v>1.3952236496939532</v>
      </c>
      <c r="V61" s="39">
        <v>1.5009892168929222</v>
      </c>
      <c r="W61" s="39">
        <v>1.5582526823718641</v>
      </c>
      <c r="X61" s="39">
        <v>1.4407468895148203</v>
      </c>
      <c r="Y61" s="39">
        <v>1.3488022474806969</v>
      </c>
      <c r="Z61" s="39">
        <v>1.390741884938693</v>
      </c>
      <c r="AA61" s="39">
        <v>1.3058554933261624</v>
      </c>
      <c r="AB61" s="39">
        <v>1.3095508958491286</v>
      </c>
      <c r="AC61" s="39">
        <v>1.3057848598952326</v>
      </c>
      <c r="AD61" s="39">
        <v>1.0855377732085534</v>
      </c>
      <c r="AE61" s="39">
        <v>1.0518223920583865</v>
      </c>
      <c r="AF61" s="39">
        <v>1.0377037030329883</v>
      </c>
      <c r="AG61" s="39">
        <v>1.0729186082152065</v>
      </c>
      <c r="AH61" s="39">
        <v>0.99986526393389541</v>
      </c>
    </row>
    <row r="62" spans="1:35" x14ac:dyDescent="0.35">
      <c r="A62" s="39" t="s">
        <v>225</v>
      </c>
      <c r="B62" s="39" t="s">
        <v>226</v>
      </c>
      <c r="C62" s="39" t="s">
        <v>112</v>
      </c>
      <c r="D62" s="39" t="s">
        <v>113</v>
      </c>
      <c r="E62" s="39">
        <v>0.35304043741056151</v>
      </c>
      <c r="F62" s="39">
        <v>0.36298249034006735</v>
      </c>
      <c r="G62" s="39">
        <v>0.37225720981831034</v>
      </c>
      <c r="H62" s="39">
        <v>0.3901389421177584</v>
      </c>
      <c r="I62" s="39">
        <v>0.41736053011773017</v>
      </c>
      <c r="J62" s="39">
        <v>0.43782245623805582</v>
      </c>
      <c r="K62" s="39">
        <v>0.44585585269975414</v>
      </c>
      <c r="L62" s="39">
        <v>0.44172688855376852</v>
      </c>
      <c r="M62" s="39">
        <v>0.44316000675160344</v>
      </c>
      <c r="N62" s="39">
        <v>0.42120726985149842</v>
      </c>
      <c r="O62" s="39">
        <v>0.43218866662733363</v>
      </c>
      <c r="P62" s="39">
        <v>0.43473908734477257</v>
      </c>
      <c r="Q62" s="39">
        <v>0.43777449445819716</v>
      </c>
      <c r="R62" s="39">
        <v>0.34458514336962343</v>
      </c>
      <c r="S62" s="39">
        <v>0.34300999597499415</v>
      </c>
      <c r="T62" s="39">
        <v>0.4838472617370026</v>
      </c>
      <c r="U62" s="39">
        <v>0.45395728238556327</v>
      </c>
      <c r="V62" s="39">
        <v>0.46617837313554239</v>
      </c>
      <c r="W62" s="39">
        <v>0.48495709593334663</v>
      </c>
      <c r="X62" s="39">
        <v>0.47814900655938664</v>
      </c>
      <c r="Y62" s="39">
        <v>0.48687291181436015</v>
      </c>
      <c r="Z62" s="39">
        <v>0.49821933782434169</v>
      </c>
      <c r="AA62" s="39">
        <v>0.51345525609979825</v>
      </c>
      <c r="AB62" s="39">
        <v>0.49976376760765889</v>
      </c>
      <c r="AC62" s="39">
        <v>0.49045046560802485</v>
      </c>
      <c r="AD62" s="39">
        <v>0.46954764862099435</v>
      </c>
      <c r="AE62" s="39">
        <v>0.45195190716946715</v>
      </c>
      <c r="AF62" s="39">
        <v>0.4546870377653679</v>
      </c>
      <c r="AG62" s="39">
        <v>0.44405735367908106</v>
      </c>
      <c r="AH62" s="39">
        <v>0.43175579025541327</v>
      </c>
    </row>
    <row r="63" spans="1:35" x14ac:dyDescent="0.35">
      <c r="A63" s="39" t="s">
        <v>227</v>
      </c>
      <c r="B63" s="39" t="s">
        <v>228</v>
      </c>
      <c r="C63" s="39" t="s">
        <v>112</v>
      </c>
      <c r="D63" s="39" t="s">
        <v>113</v>
      </c>
      <c r="E63" s="39">
        <v>0.34824153791248047</v>
      </c>
      <c r="F63" s="39">
        <v>0.25120857033006389</v>
      </c>
      <c r="G63" s="39">
        <v>0.25334331352793826</v>
      </c>
      <c r="H63" s="39">
        <v>0.26302116745685289</v>
      </c>
      <c r="I63" s="39">
        <v>0.22133999319720957</v>
      </c>
      <c r="J63" s="39">
        <v>0.20503556267207607</v>
      </c>
      <c r="K63" s="39">
        <v>0.21739654207843795</v>
      </c>
      <c r="L63" s="39">
        <v>0.21695365556237026</v>
      </c>
      <c r="M63" s="39">
        <v>0.20417030144043652</v>
      </c>
      <c r="N63" s="39">
        <v>0.19685648801595368</v>
      </c>
      <c r="O63" s="39">
        <v>0.20895029979607094</v>
      </c>
      <c r="P63" s="39">
        <v>0.19835478666483067</v>
      </c>
      <c r="Q63" s="39">
        <v>0.19171630855698402</v>
      </c>
      <c r="R63" s="39">
        <v>0.20992816858858196</v>
      </c>
      <c r="S63" s="39">
        <v>0.2464217987950893</v>
      </c>
      <c r="T63" s="39">
        <v>0.27293522474184828</v>
      </c>
      <c r="U63" s="39">
        <v>0.29539154446085564</v>
      </c>
      <c r="V63" s="39">
        <v>0.32088212564344137</v>
      </c>
      <c r="W63" s="39">
        <v>0.38941808897830532</v>
      </c>
      <c r="X63" s="39">
        <v>0.30522095618908318</v>
      </c>
      <c r="Y63" s="39">
        <v>0.34215367254195012</v>
      </c>
      <c r="Z63" s="39">
        <v>0.40412305945995153</v>
      </c>
      <c r="AA63" s="39">
        <v>0.42036250756390064</v>
      </c>
      <c r="AB63" s="39">
        <v>0.42120475457016904</v>
      </c>
      <c r="AC63" s="39">
        <v>0.42243666561224513</v>
      </c>
      <c r="AD63" s="39">
        <v>0.34770427191932085</v>
      </c>
      <c r="AE63" s="39">
        <v>0.33949903254388353</v>
      </c>
      <c r="AF63" s="39">
        <v>0.35013697960402712</v>
      </c>
      <c r="AG63" s="39">
        <v>0.35017721571366062</v>
      </c>
      <c r="AH63" s="39">
        <v>0.33403671652765704</v>
      </c>
    </row>
    <row r="64" spans="1:35" x14ac:dyDescent="0.35">
      <c r="A64" s="39" t="s">
        <v>229</v>
      </c>
      <c r="B64" s="39" t="s">
        <v>230</v>
      </c>
      <c r="C64" s="39" t="s">
        <v>112</v>
      </c>
      <c r="D64" s="39" t="s">
        <v>113</v>
      </c>
    </row>
    <row r="65" spans="1:34" x14ac:dyDescent="0.35">
      <c r="A65" s="39" t="s">
        <v>231</v>
      </c>
      <c r="B65" s="39" t="s">
        <v>232</v>
      </c>
      <c r="C65" s="39" t="s">
        <v>112</v>
      </c>
      <c r="D65" s="39" t="s">
        <v>113</v>
      </c>
    </row>
    <row r="66" spans="1:34" x14ac:dyDescent="0.35">
      <c r="A66" s="39" t="s">
        <v>233</v>
      </c>
      <c r="B66" s="39" t="s">
        <v>234</v>
      </c>
      <c r="C66" s="39" t="s">
        <v>112</v>
      </c>
      <c r="D66" s="39" t="s">
        <v>113</v>
      </c>
    </row>
    <row r="67" spans="1:34" x14ac:dyDescent="0.35">
      <c r="A67" s="39" t="s">
        <v>235</v>
      </c>
      <c r="B67" s="39" t="s">
        <v>236</v>
      </c>
      <c r="C67" s="39" t="s">
        <v>112</v>
      </c>
      <c r="D67" s="39" t="s">
        <v>113</v>
      </c>
    </row>
    <row r="68" spans="1:34" x14ac:dyDescent="0.35">
      <c r="A68" s="39" t="s">
        <v>237</v>
      </c>
      <c r="B68" s="39" t="s">
        <v>238</v>
      </c>
      <c r="C68" s="39" t="s">
        <v>112</v>
      </c>
      <c r="D68" s="39" t="s">
        <v>113</v>
      </c>
    </row>
    <row r="69" spans="1:34" x14ac:dyDescent="0.35">
      <c r="A69" s="39" t="s">
        <v>239</v>
      </c>
      <c r="B69" s="39" t="s">
        <v>240</v>
      </c>
      <c r="C69" s="39" t="s">
        <v>112</v>
      </c>
      <c r="D69" s="39" t="s">
        <v>113</v>
      </c>
      <c r="E69" s="39">
        <v>0.30839547281617419</v>
      </c>
      <c r="F69" s="39">
        <v>0.31886538398261033</v>
      </c>
      <c r="G69" s="39">
        <v>0.32517642033295946</v>
      </c>
      <c r="H69" s="39">
        <v>0.32604198784106153</v>
      </c>
      <c r="I69" s="39">
        <v>0.36713695036571986</v>
      </c>
      <c r="J69" s="39">
        <v>0.37837694688713358</v>
      </c>
      <c r="K69" s="39">
        <v>0.37711034247543973</v>
      </c>
      <c r="L69" s="39">
        <v>0.39669084414937567</v>
      </c>
      <c r="M69" s="39">
        <v>0.37743716949676032</v>
      </c>
      <c r="N69" s="39">
        <v>0.27421213676815409</v>
      </c>
      <c r="O69" s="39">
        <v>0.24752585237783889</v>
      </c>
      <c r="P69" s="39">
        <v>0.31088067259971902</v>
      </c>
      <c r="Q69" s="39">
        <v>0.34302560291258</v>
      </c>
      <c r="R69" s="39">
        <v>0.37244592813544097</v>
      </c>
      <c r="S69" s="39">
        <v>0.37813870290455398</v>
      </c>
      <c r="T69" s="39">
        <v>0.39507278650973798</v>
      </c>
      <c r="U69" s="39">
        <v>0.414149205324922</v>
      </c>
      <c r="V69" s="39">
        <v>0.43013751450839999</v>
      </c>
      <c r="W69" s="39">
        <v>0.480356461806623</v>
      </c>
      <c r="X69" s="39">
        <v>0.47984726328207</v>
      </c>
      <c r="Y69" s="39">
        <v>0.509728629582759</v>
      </c>
      <c r="Z69" s="39">
        <v>0.52757233381271396</v>
      </c>
      <c r="AA69" s="39">
        <v>0.551044821739197</v>
      </c>
      <c r="AB69" s="39">
        <v>0.54298925399780296</v>
      </c>
      <c r="AC69" s="39">
        <v>0.54443764686584495</v>
      </c>
      <c r="AD69" s="39">
        <v>0.55373710393905595</v>
      </c>
      <c r="AE69" s="39">
        <v>0.54920655488967896</v>
      </c>
      <c r="AF69" s="39">
        <v>0.53482097387313798</v>
      </c>
      <c r="AG69" s="39">
        <v>0.53199524238909601</v>
      </c>
      <c r="AH69" s="39">
        <v>0.52198348695614205</v>
      </c>
    </row>
    <row r="70" spans="1:34" x14ac:dyDescent="0.35">
      <c r="A70" s="39" t="s">
        <v>241</v>
      </c>
      <c r="B70" s="39" t="s">
        <v>242</v>
      </c>
      <c r="C70" s="39" t="s">
        <v>112</v>
      </c>
      <c r="D70" s="39" t="s">
        <v>113</v>
      </c>
      <c r="E70" s="39">
        <v>0.20617861995622477</v>
      </c>
      <c r="F70" s="39">
        <v>0.17155933217903591</v>
      </c>
      <c r="G70" s="39">
        <v>0.17974301822333882</v>
      </c>
      <c r="H70" s="39">
        <v>0.18988594031187336</v>
      </c>
      <c r="I70" s="39">
        <v>0.19923198870577757</v>
      </c>
      <c r="J70" s="39">
        <v>0.21616768221279622</v>
      </c>
      <c r="K70" s="39">
        <v>0.22730193532820581</v>
      </c>
      <c r="L70" s="39">
        <v>0.24566207584350971</v>
      </c>
      <c r="M70" s="39">
        <v>0.24885073865995691</v>
      </c>
      <c r="N70" s="39">
        <v>0.24734539803132852</v>
      </c>
      <c r="O70" s="39">
        <v>0.25033567246214239</v>
      </c>
      <c r="P70" s="39">
        <v>0.23136918962040637</v>
      </c>
      <c r="Q70" s="39">
        <v>0.20016322675418571</v>
      </c>
      <c r="R70" s="39">
        <v>0.17975401095534294</v>
      </c>
      <c r="S70" s="39">
        <v>0.15988794647302984</v>
      </c>
      <c r="T70" s="39">
        <v>0.16882758999874259</v>
      </c>
      <c r="U70" s="39">
        <v>0.18380904369151019</v>
      </c>
      <c r="V70" s="39">
        <v>0.20291346971022914</v>
      </c>
      <c r="W70" s="39">
        <v>0.23178704392462002</v>
      </c>
      <c r="X70" s="39">
        <v>0.25507747559403604</v>
      </c>
      <c r="Y70" s="39">
        <v>0.27774368143611494</v>
      </c>
      <c r="Z70" s="39">
        <v>0.28824505404699552</v>
      </c>
      <c r="AA70" s="39">
        <v>0.29142014884264578</v>
      </c>
      <c r="AB70" s="39">
        <v>0.2909070213984643</v>
      </c>
      <c r="AC70" s="39">
        <v>0.31009989524173132</v>
      </c>
      <c r="AD70" s="39">
        <v>0.31261684792095379</v>
      </c>
      <c r="AE70" s="39">
        <v>0.31494842055676509</v>
      </c>
      <c r="AF70" s="39">
        <v>0.22157276724987587</v>
      </c>
      <c r="AG70" s="39">
        <v>0.2191002610147357</v>
      </c>
      <c r="AH70" s="39">
        <v>0.24651746644681294</v>
      </c>
    </row>
    <row r="71" spans="1:34" x14ac:dyDescent="0.35">
      <c r="A71" s="39" t="s">
        <v>243</v>
      </c>
      <c r="B71" s="39" t="s">
        <v>244</v>
      </c>
      <c r="C71" s="39" t="s">
        <v>112</v>
      </c>
      <c r="D71" s="39" t="s">
        <v>113</v>
      </c>
    </row>
    <row r="72" spans="1:34" x14ac:dyDescent="0.35">
      <c r="A72" s="39" t="s">
        <v>245</v>
      </c>
      <c r="B72" s="39" t="s">
        <v>246</v>
      </c>
      <c r="C72" s="39" t="s">
        <v>112</v>
      </c>
      <c r="D72" s="39" t="s">
        <v>113</v>
      </c>
      <c r="G72" s="39">
        <v>0.23158405949402394</v>
      </c>
      <c r="H72" s="39">
        <v>0.19553886066345713</v>
      </c>
      <c r="I72" s="39">
        <v>0.19852028423319157</v>
      </c>
      <c r="J72" s="39">
        <v>0.20829964392382189</v>
      </c>
      <c r="K72" s="39">
        <v>0.22463695867588057</v>
      </c>
      <c r="L72" s="39">
        <v>0.20256527771753632</v>
      </c>
      <c r="M72" s="39">
        <v>0.21374799504206116</v>
      </c>
      <c r="N72" s="39">
        <v>0.19468152089631283</v>
      </c>
      <c r="O72" s="39">
        <v>0.20158149967548364</v>
      </c>
      <c r="P72" s="39">
        <v>0.19318553241657721</v>
      </c>
      <c r="Q72" s="39">
        <v>0.17897281641291071</v>
      </c>
      <c r="R72" s="39">
        <v>0.21538149460076669</v>
      </c>
      <c r="S72" s="39">
        <v>0.26346395388324934</v>
      </c>
      <c r="T72" s="39">
        <v>0.24670529862288407</v>
      </c>
      <c r="U72" s="39">
        <v>0.26661954997764553</v>
      </c>
      <c r="V72" s="39">
        <v>0.27856821927890146</v>
      </c>
      <c r="W72" s="39">
        <v>0.31718185444789204</v>
      </c>
      <c r="X72" s="39">
        <v>0.40765702394823933</v>
      </c>
      <c r="Y72" s="39">
        <v>0.33756811308144324</v>
      </c>
      <c r="Z72" s="39">
        <v>0.39526621096493009</v>
      </c>
      <c r="AA72" s="39">
        <v>0.41564717113437788</v>
      </c>
      <c r="AB72" s="39">
        <v>0.3961107347343733</v>
      </c>
      <c r="AC72" s="39">
        <v>0.39491296803521886</v>
      </c>
      <c r="AD72" s="39">
        <v>0.37896904058040198</v>
      </c>
      <c r="AE72" s="39">
        <v>0.37846153532588667</v>
      </c>
      <c r="AF72" s="39">
        <v>0.36284605961445976</v>
      </c>
    </row>
    <row r="73" spans="1:34" x14ac:dyDescent="0.35">
      <c r="A73" s="39" t="s">
        <v>247</v>
      </c>
      <c r="B73" s="39" t="s">
        <v>248</v>
      </c>
      <c r="C73" s="39" t="s">
        <v>112</v>
      </c>
      <c r="D73" s="39" t="s">
        <v>113</v>
      </c>
      <c r="E73" s="39">
        <v>1.0105664381325496</v>
      </c>
      <c r="F73" s="39">
        <v>1.0253819055244195</v>
      </c>
      <c r="G73" s="39">
        <v>1.085808548675443</v>
      </c>
      <c r="H73" s="39">
        <v>0.89194273761275988</v>
      </c>
      <c r="I73" s="39">
        <v>0.86188051173767222</v>
      </c>
      <c r="J73" s="39">
        <v>0.95166399786495859</v>
      </c>
      <c r="K73" s="39">
        <v>0.95042164718245103</v>
      </c>
      <c r="L73" s="39">
        <v>0.82264090909090914</v>
      </c>
      <c r="M73" s="39">
        <v>0.80614545049560082</v>
      </c>
      <c r="N73" s="39">
        <v>0.78756658853611772</v>
      </c>
      <c r="O73" s="39">
        <v>0.68140224801916349</v>
      </c>
      <c r="P73" s="39">
        <v>0.66883131991051448</v>
      </c>
      <c r="Q73" s="39">
        <v>0.69858083945040461</v>
      </c>
      <c r="R73" s="39">
        <v>0.85789390519187358</v>
      </c>
      <c r="S73" s="39">
        <v>0.95181276384405267</v>
      </c>
      <c r="T73" s="39">
        <v>0.95698047506529027</v>
      </c>
      <c r="U73" s="39">
        <v>0.92445866265211396</v>
      </c>
      <c r="V73" s="39">
        <v>1.0035203941965507</v>
      </c>
      <c r="W73" s="39">
        <v>1.063222498901421</v>
      </c>
      <c r="X73" s="39">
        <v>0.99748541261461521</v>
      </c>
      <c r="Y73" s="39">
        <v>0.96211357758972182</v>
      </c>
      <c r="Z73" s="39">
        <v>0.99273480859014684</v>
      </c>
      <c r="AA73" s="39">
        <v>0.89294836644987985</v>
      </c>
      <c r="AB73" s="39">
        <v>0.89595933537571848</v>
      </c>
      <c r="AC73" s="39">
        <v>0.87877403392710496</v>
      </c>
      <c r="AD73" s="39">
        <v>0.73704363653227212</v>
      </c>
      <c r="AE73" s="39">
        <v>0.71093365747541115</v>
      </c>
      <c r="AF73" s="39">
        <v>0.71181436865647185</v>
      </c>
      <c r="AG73" s="39">
        <v>0.74940066519529358</v>
      </c>
      <c r="AH73" s="39">
        <v>0.70151086524705764</v>
      </c>
    </row>
    <row r="74" spans="1:34" x14ac:dyDescent="0.35">
      <c r="A74" s="39" t="s">
        <v>249</v>
      </c>
      <c r="B74" s="39" t="s">
        <v>250</v>
      </c>
      <c r="C74" s="39" t="s">
        <v>112</v>
      </c>
      <c r="D74" s="39" t="s">
        <v>113</v>
      </c>
      <c r="H74" s="39">
        <v>0.462839375496163</v>
      </c>
      <c r="I74" s="39">
        <v>0.47335048486047898</v>
      </c>
      <c r="J74" s="39">
        <v>0.48461054287962241</v>
      </c>
      <c r="K74" s="39">
        <v>0.49145922746781118</v>
      </c>
      <c r="L74" s="39">
        <v>0.46171438232642026</v>
      </c>
      <c r="M74" s="39">
        <v>0.48440093447547</v>
      </c>
      <c r="N74" s="39">
        <v>0.49226149914821127</v>
      </c>
      <c r="O74" s="39">
        <v>0.43190269971436474</v>
      </c>
      <c r="P74" s="39">
        <v>0.43666994897502465</v>
      </c>
      <c r="Q74" s="39">
        <v>0.45798719035509083</v>
      </c>
      <c r="R74" s="39">
        <v>0.54912375790424572</v>
      </c>
      <c r="S74" s="39">
        <v>0.6137850931677018</v>
      </c>
      <c r="T74" s="39">
        <v>0.62595199602039542</v>
      </c>
      <c r="U74" s="39">
        <v>0.65414628026596411</v>
      </c>
      <c r="V74" s="39">
        <v>0.75520804817957843</v>
      </c>
      <c r="W74" s="39">
        <v>0.79838142668814993</v>
      </c>
      <c r="X74" s="39">
        <v>0.71772992497916088</v>
      </c>
      <c r="Y74" s="39">
        <v>0.6781848655710625</v>
      </c>
      <c r="Z74" s="39">
        <v>0.71119241492044039</v>
      </c>
      <c r="AA74" s="39">
        <v>0.66949413313189776</v>
      </c>
      <c r="AB74" s="39">
        <v>0.6936435385659816</v>
      </c>
      <c r="AC74" s="39">
        <v>0.69904274077328499</v>
      </c>
      <c r="AD74" s="39">
        <v>0.5960524132336158</v>
      </c>
      <c r="AE74" s="39">
        <v>0.5839396984460844</v>
      </c>
      <c r="AF74" s="39">
        <v>0.60282837715647164</v>
      </c>
      <c r="AG74" s="39">
        <v>0.63970652459764665</v>
      </c>
      <c r="AH74" s="39">
        <v>0.60961544168627357</v>
      </c>
    </row>
    <row r="75" spans="1:34" x14ac:dyDescent="0.35">
      <c r="A75" s="39" t="s">
        <v>11</v>
      </c>
      <c r="B75" s="39" t="s">
        <v>251</v>
      </c>
      <c r="C75" s="39" t="s">
        <v>112</v>
      </c>
      <c r="D75" s="39" t="s">
        <v>113</v>
      </c>
      <c r="E75" s="39">
        <v>0.62788424077242999</v>
      </c>
      <c r="F75" s="39">
        <v>0.7232528464332223</v>
      </c>
      <c r="G75" s="39">
        <v>0.60343699665328454</v>
      </c>
      <c r="H75" s="39">
        <v>0.43846163657668374</v>
      </c>
      <c r="I75" s="39">
        <v>0.32638256956780387</v>
      </c>
      <c r="J75" s="39">
        <v>0.33322421605536523</v>
      </c>
      <c r="K75" s="39">
        <v>0.32463535376500169</v>
      </c>
      <c r="L75" s="39">
        <v>0.31092889646921706</v>
      </c>
      <c r="M75" s="39">
        <v>0.28989419460714327</v>
      </c>
      <c r="N75" s="39">
        <v>0.26766040347893993</v>
      </c>
      <c r="O75" s="39">
        <v>0.25774449238801445</v>
      </c>
      <c r="P75" s="39">
        <v>0.23256763411536541</v>
      </c>
      <c r="Q75" s="39">
        <v>0.21510431358413029</v>
      </c>
      <c r="R75" s="39">
        <v>0.2370970699991469</v>
      </c>
      <c r="S75" s="39">
        <v>0.23882634855417481</v>
      </c>
      <c r="T75" s="39">
        <v>0.25354041037829994</v>
      </c>
      <c r="U75" s="39">
        <v>0.27359609167599791</v>
      </c>
      <c r="V75" s="39">
        <v>0.30830433341679442</v>
      </c>
      <c r="W75" s="39">
        <v>0.37490651096199157</v>
      </c>
      <c r="X75" s="39">
        <v>0.40981964982990782</v>
      </c>
      <c r="Y75" s="39">
        <v>0.33214648562891241</v>
      </c>
      <c r="Z75" s="39">
        <v>0.31237611108027358</v>
      </c>
      <c r="AA75" s="39">
        <v>0.38487098072619069</v>
      </c>
      <c r="AB75" s="39">
        <v>0.3891734422957393</v>
      </c>
      <c r="AC75" s="39">
        <v>0.37452942511915788</v>
      </c>
      <c r="AD75" s="39">
        <v>0.38648684333897421</v>
      </c>
      <c r="AE75" s="39">
        <v>0.3816904562653623</v>
      </c>
      <c r="AF75" s="39">
        <v>0.38016279998175984</v>
      </c>
      <c r="AG75" s="39">
        <v>0.35832339754199871</v>
      </c>
      <c r="AH75" s="39">
        <v>0.37093901629459097</v>
      </c>
    </row>
    <row r="76" spans="1:34" x14ac:dyDescent="0.35">
      <c r="A76" s="39" t="s">
        <v>252</v>
      </c>
      <c r="B76" s="39" t="s">
        <v>253</v>
      </c>
      <c r="C76" s="39" t="s">
        <v>112</v>
      </c>
      <c r="D76" s="39" t="s">
        <v>113</v>
      </c>
    </row>
    <row r="77" spans="1:34" x14ac:dyDescent="0.35">
      <c r="A77" s="39" t="s">
        <v>254</v>
      </c>
      <c r="B77" s="39" t="s">
        <v>255</v>
      </c>
      <c r="C77" s="39" t="s">
        <v>112</v>
      </c>
      <c r="D77" s="39" t="s">
        <v>113</v>
      </c>
    </row>
    <row r="78" spans="1:34" x14ac:dyDescent="0.35">
      <c r="A78" s="39" t="s">
        <v>256</v>
      </c>
      <c r="B78" s="39" t="s">
        <v>257</v>
      </c>
      <c r="C78" s="39" t="s">
        <v>112</v>
      </c>
      <c r="D78" s="39" t="s">
        <v>113</v>
      </c>
      <c r="E78" s="39">
        <v>1.564285492147411</v>
      </c>
      <c r="F78" s="39">
        <v>1.4528289957359211</v>
      </c>
      <c r="G78" s="39">
        <v>1.2939965489779666</v>
      </c>
      <c r="H78" s="39">
        <v>1.0090704694493597</v>
      </c>
      <c r="I78" s="39">
        <v>1.1006568013659648</v>
      </c>
      <c r="J78" s="39">
        <v>1.34375</v>
      </c>
      <c r="K78" s="39">
        <v>1.2858348433859694</v>
      </c>
      <c r="L78" s="39">
        <v>1.1333226434543582</v>
      </c>
      <c r="M78" s="39">
        <v>1.1031864708500221</v>
      </c>
      <c r="N78" s="39">
        <v>1.0569326656722777</v>
      </c>
      <c r="O78" s="39">
        <v>0.90635157545605316</v>
      </c>
      <c r="P78" s="39">
        <v>0.89710067114093961</v>
      </c>
      <c r="Q78" s="39">
        <v>0.93933088650479957</v>
      </c>
      <c r="R78" s="39">
        <v>1.1321636568848756</v>
      </c>
      <c r="S78" s="39">
        <v>1.2094536876086417</v>
      </c>
      <c r="T78" s="39">
        <v>1.2180375575177216</v>
      </c>
      <c r="U78" s="39">
        <v>1.1968561033747334</v>
      </c>
      <c r="V78" s="39">
        <v>1.2808486175745961</v>
      </c>
      <c r="W78" s="39">
        <v>1.3360553683902152</v>
      </c>
      <c r="X78" s="39">
        <v>1.2442900805779382</v>
      </c>
      <c r="Y78" s="39">
        <v>1.1918151331632434</v>
      </c>
      <c r="Z78" s="39">
        <v>1.2484346162681195</v>
      </c>
      <c r="AA78" s="39">
        <v>1.1672908505874786</v>
      </c>
      <c r="AB78" s="39">
        <v>1.2020792175426116</v>
      </c>
      <c r="AC78" s="39">
        <v>1.2036261171343769</v>
      </c>
      <c r="AD78" s="39">
        <v>1.0064825378634095</v>
      </c>
      <c r="AE78" s="39">
        <v>0.97450195546867646</v>
      </c>
      <c r="AF78" s="39">
        <v>0.97547517715764875</v>
      </c>
      <c r="AG78" s="39">
        <v>1.0131267025066659</v>
      </c>
      <c r="AH78" s="39">
        <v>0.9486012790509788</v>
      </c>
    </row>
    <row r="79" spans="1:34" x14ac:dyDescent="0.35">
      <c r="A79" s="39" t="s">
        <v>258</v>
      </c>
      <c r="B79" s="39" t="s">
        <v>259</v>
      </c>
      <c r="C79" s="39" t="s">
        <v>112</v>
      </c>
      <c r="D79" s="39" t="s">
        <v>113</v>
      </c>
      <c r="E79" s="39">
        <v>0.436844243134687</v>
      </c>
      <c r="F79" s="39">
        <v>0.44948740192519521</v>
      </c>
      <c r="G79" s="39">
        <v>0.4584921346427126</v>
      </c>
      <c r="H79" s="39">
        <v>0.46820577743712927</v>
      </c>
      <c r="I79" s="39">
        <v>0.48680792706436171</v>
      </c>
      <c r="J79" s="39">
        <v>0.5021502375871485</v>
      </c>
      <c r="K79" s="39">
        <v>0.50848651492638064</v>
      </c>
      <c r="L79" s="39">
        <v>0.50264454349880938</v>
      </c>
      <c r="M79" s="39">
        <v>0.38822302992662272</v>
      </c>
      <c r="N79" s="39">
        <v>0.41233314776273711</v>
      </c>
      <c r="O79" s="39">
        <v>0.35577549504905803</v>
      </c>
      <c r="P79" s="39">
        <v>0.33644755591770842</v>
      </c>
      <c r="Q79" s="39">
        <v>0.35623755639990262</v>
      </c>
      <c r="R79" s="39">
        <v>0.43521206328455375</v>
      </c>
      <c r="S79" s="39">
        <v>0.47399574816189549</v>
      </c>
      <c r="T79" s="39">
        <v>0.50321221358006263</v>
      </c>
      <c r="U79" s="39">
        <v>0.49486156523723945</v>
      </c>
      <c r="V79" s="39">
        <v>0.53340789517718312</v>
      </c>
      <c r="W79" s="39">
        <v>0.53584918432185291</v>
      </c>
      <c r="X79" s="39">
        <v>0.43938651427164543</v>
      </c>
      <c r="Y79" s="39">
        <v>0.4615225364835141</v>
      </c>
      <c r="Z79" s="39">
        <v>0.52903586271057557</v>
      </c>
      <c r="AA79" s="39">
        <v>0.51943761249169051</v>
      </c>
      <c r="AB79" s="39">
        <v>0.50760922945191811</v>
      </c>
      <c r="AC79" s="39">
        <v>0.49401920604998889</v>
      </c>
      <c r="AD79" s="39">
        <v>0.43430244145186075</v>
      </c>
      <c r="AE79" s="39">
        <v>0.44738062072176971</v>
      </c>
      <c r="AF79" s="39">
        <v>0.45430689662258017</v>
      </c>
      <c r="AG79" s="39">
        <v>0.4433999757006673</v>
      </c>
      <c r="AH79" s="39">
        <v>0.43112187757349474</v>
      </c>
    </row>
    <row r="80" spans="1:34" x14ac:dyDescent="0.35">
      <c r="A80" s="39" t="s">
        <v>260</v>
      </c>
      <c r="B80" s="39" t="s">
        <v>261</v>
      </c>
      <c r="C80" s="39" t="s">
        <v>112</v>
      </c>
      <c r="D80" s="39" t="s">
        <v>113</v>
      </c>
      <c r="E80" s="39">
        <v>1.2369365136730515</v>
      </c>
      <c r="F80" s="39">
        <v>1.1841541681199861</v>
      </c>
      <c r="G80" s="39">
        <v>1.2582230483271373</v>
      </c>
      <c r="H80" s="39">
        <v>1.1674635163307854</v>
      </c>
      <c r="I80" s="39">
        <v>1.1767982041587901</v>
      </c>
      <c r="J80" s="39">
        <v>1.2965672230253646</v>
      </c>
      <c r="K80" s="39">
        <v>1.2603731247595844</v>
      </c>
      <c r="L80" s="39">
        <v>1.0896145201168801</v>
      </c>
      <c r="M80" s="39">
        <v>1.0691494329553035</v>
      </c>
      <c r="N80" s="39">
        <v>1.0150447474962712</v>
      </c>
      <c r="O80" s="39">
        <v>0.85684632393587623</v>
      </c>
      <c r="P80" s="39">
        <v>0.8157118568232663</v>
      </c>
      <c r="Q80" s="39">
        <v>0.84761716544325238</v>
      </c>
      <c r="R80" s="39">
        <v>1.0506884875846501</v>
      </c>
      <c r="S80" s="39">
        <v>1.1621244102309412</v>
      </c>
      <c r="T80" s="39">
        <v>1.139731376694441</v>
      </c>
      <c r="U80" s="39">
        <v>1.1237837159703927</v>
      </c>
      <c r="V80" s="39">
        <v>1.2177607445934848</v>
      </c>
      <c r="W80" s="39">
        <v>1.2917445437234512</v>
      </c>
      <c r="X80" s="39">
        <v>1.1977438177271464</v>
      </c>
      <c r="Y80" s="39">
        <v>1.1311392755480576</v>
      </c>
      <c r="Z80" s="39">
        <v>1.1696043029903764</v>
      </c>
      <c r="AA80" s="39">
        <v>1.0848104089090844</v>
      </c>
      <c r="AB80" s="39">
        <v>1.0776513379406554</v>
      </c>
      <c r="AC80" s="39">
        <v>1.0714237335166314</v>
      </c>
      <c r="AD80" s="39">
        <v>0.89665609104393318</v>
      </c>
      <c r="AE80" s="39">
        <v>0.86293438814563073</v>
      </c>
      <c r="AF80" s="39">
        <v>0.86583058153176617</v>
      </c>
      <c r="AG80" s="39">
        <v>0.89327162930666604</v>
      </c>
      <c r="AH80" s="39">
        <v>0.81913181304313598</v>
      </c>
    </row>
    <row r="81" spans="1:34" x14ac:dyDescent="0.35">
      <c r="A81" s="39" t="s">
        <v>262</v>
      </c>
      <c r="B81" s="39" t="s">
        <v>263</v>
      </c>
      <c r="C81" s="39" t="s">
        <v>112</v>
      </c>
      <c r="D81" s="39" t="s">
        <v>113</v>
      </c>
    </row>
    <row r="82" spans="1:34" x14ac:dyDescent="0.35">
      <c r="A82" s="39" t="s">
        <v>264</v>
      </c>
      <c r="B82" s="39" t="s">
        <v>265</v>
      </c>
      <c r="C82" s="39" t="s">
        <v>112</v>
      </c>
      <c r="D82" s="39" t="s">
        <v>113</v>
      </c>
      <c r="E82" s="39">
        <v>0.86318540772295604</v>
      </c>
      <c r="F82" s="39">
        <v>0.87754332839997395</v>
      </c>
      <c r="G82" s="39">
        <v>0.88399248384516005</v>
      </c>
      <c r="H82" s="39">
        <v>0.88954449161920501</v>
      </c>
      <c r="I82" s="39">
        <v>0.89372200883332797</v>
      </c>
      <c r="J82" s="39">
        <v>0.89504325508869498</v>
      </c>
      <c r="K82" s="39">
        <v>0.89538229717096496</v>
      </c>
      <c r="L82" s="39">
        <v>0.88593605312303703</v>
      </c>
      <c r="M82" s="39">
        <v>0.90228122761013196</v>
      </c>
      <c r="N82" s="39">
        <v>0.88246094955396104</v>
      </c>
      <c r="O82" s="39">
        <v>0.87247785633990305</v>
      </c>
      <c r="P82" s="39">
        <v>0.86321825158313603</v>
      </c>
      <c r="Q82" s="39">
        <v>0.85057714090854397</v>
      </c>
      <c r="R82" s="39">
        <v>0.83202841410014305</v>
      </c>
      <c r="S82" s="39">
        <v>0.81826361105590995</v>
      </c>
      <c r="T82" s="39">
        <v>0.81018573681266504</v>
      </c>
      <c r="U82" s="39">
        <v>0.79727721108855598</v>
      </c>
      <c r="V82" s="39">
        <v>0.80106754850303397</v>
      </c>
      <c r="W82" s="39">
        <v>0.82511130344321004</v>
      </c>
      <c r="X82" s="39">
        <v>0.86277328092673999</v>
      </c>
      <c r="Y82" s="39">
        <v>0.883563144779138</v>
      </c>
      <c r="Z82" s="39">
        <v>0.87929396015344896</v>
      </c>
      <c r="AA82" s="39">
        <v>0.924196978818283</v>
      </c>
      <c r="AB82" s="39">
        <v>0.91404291889137501</v>
      </c>
      <c r="AC82" s="39">
        <v>0.92419779247049705</v>
      </c>
      <c r="AD82" s="39">
        <v>0.86640921779417401</v>
      </c>
      <c r="AE82" s="39">
        <v>0.89172877673537798</v>
      </c>
      <c r="AF82" s="39">
        <v>0.94047425027945497</v>
      </c>
      <c r="AG82" s="39">
        <v>1.0050346397969701</v>
      </c>
    </row>
    <row r="83" spans="1:34" x14ac:dyDescent="0.35">
      <c r="A83" s="39" t="s">
        <v>266</v>
      </c>
      <c r="B83" s="39" t="s">
        <v>267</v>
      </c>
      <c r="C83" s="39" t="s">
        <v>112</v>
      </c>
      <c r="D83" s="39" t="s">
        <v>113</v>
      </c>
      <c r="E83" s="39">
        <v>0.53856023105885575</v>
      </c>
      <c r="F83" s="39">
        <v>0.44562340541038165</v>
      </c>
      <c r="G83" s="39">
        <v>0.46535346380914711</v>
      </c>
      <c r="H83" s="39">
        <v>0.34240920252342433</v>
      </c>
      <c r="I83" s="39">
        <v>0.30938285789843817</v>
      </c>
      <c r="J83" s="39">
        <v>0.34157379390842679</v>
      </c>
      <c r="K83" s="39">
        <v>0.37168889060425092</v>
      </c>
      <c r="L83" s="39">
        <v>0.32327275730604005</v>
      </c>
      <c r="M83" s="39">
        <v>0.26001738741704999</v>
      </c>
      <c r="N83" s="39">
        <v>0.29273157246456422</v>
      </c>
      <c r="O83" s="39">
        <v>0.317164032276469</v>
      </c>
      <c r="P83" s="39">
        <v>0.28259143124981428</v>
      </c>
      <c r="Q83" s="39">
        <v>0.29508389992643491</v>
      </c>
      <c r="R83" s="39">
        <v>0.34666488829351089</v>
      </c>
      <c r="S83" s="39">
        <v>0.40022933547657624</v>
      </c>
      <c r="T83" s="39">
        <v>0.46685525362182473</v>
      </c>
      <c r="U83" s="39">
        <v>0.50221778806998829</v>
      </c>
      <c r="V83" s="39">
        <v>0.55617461127023826</v>
      </c>
      <c r="W83" s="39">
        <v>0.70346742391619754</v>
      </c>
      <c r="X83" s="39">
        <v>0.54242595833435447</v>
      </c>
      <c r="Y83" s="39">
        <v>0.59643542899955804</v>
      </c>
      <c r="Z83" s="39">
        <v>0.69121169579137853</v>
      </c>
      <c r="AA83" s="39">
        <v>0.63905673983472144</v>
      </c>
      <c r="AB83" s="39">
        <v>0.64068676411853343</v>
      </c>
      <c r="AC83" s="39">
        <v>0.62868025709917397</v>
      </c>
      <c r="AD83" s="39">
        <v>0.50237644779396951</v>
      </c>
      <c r="AE83" s="39">
        <v>0.48889310981491568</v>
      </c>
      <c r="AF83" s="39">
        <v>0.48180915944435665</v>
      </c>
      <c r="AG83" s="39">
        <v>0.52723318095169736</v>
      </c>
      <c r="AH83" s="39">
        <v>0.49511384699514255</v>
      </c>
    </row>
    <row r="84" spans="1:34" x14ac:dyDescent="0.35">
      <c r="A84" s="39" t="s">
        <v>268</v>
      </c>
      <c r="B84" s="39" t="s">
        <v>269</v>
      </c>
      <c r="C84" s="39" t="s">
        <v>112</v>
      </c>
      <c r="D84" s="39" t="s">
        <v>113</v>
      </c>
      <c r="E84" s="39">
        <v>1.1353533380681817</v>
      </c>
      <c r="F84" s="39">
        <v>1.1606984126984128</v>
      </c>
      <c r="G84" s="39">
        <v>1.1671112671112671</v>
      </c>
      <c r="H84" s="39">
        <v>1.0005188962207558</v>
      </c>
      <c r="I84" s="39">
        <v>1.0131450872359964</v>
      </c>
      <c r="J84" s="39">
        <v>1.1270538109515542</v>
      </c>
      <c r="K84" s="39">
        <v>1.1140998439937597</v>
      </c>
      <c r="L84" s="39">
        <v>1.1606270464963981</v>
      </c>
      <c r="M84" s="39">
        <v>1.1936518714806228</v>
      </c>
      <c r="N84" s="39">
        <v>1.1742743892574017</v>
      </c>
      <c r="O84" s="39">
        <v>1.0657406566802843</v>
      </c>
      <c r="P84" s="39">
        <v>0.99954656686339438</v>
      </c>
      <c r="Q84" s="39">
        <v>1.033988309352518</v>
      </c>
      <c r="R84" s="39">
        <v>1.1373697959183673</v>
      </c>
      <c r="S84" s="39">
        <v>1.2604595386305384</v>
      </c>
      <c r="T84" s="39">
        <v>1.2865799999999998</v>
      </c>
      <c r="U84" s="39">
        <v>1.2830321987120514</v>
      </c>
      <c r="V84" s="39">
        <v>1.4205202080832333</v>
      </c>
      <c r="W84" s="39">
        <v>1.2898731617647057</v>
      </c>
      <c r="X84" s="39">
        <v>1.1051425455678454</v>
      </c>
      <c r="Y84" s="39">
        <v>1.0843578442581179</v>
      </c>
      <c r="Z84" s="39">
        <v>1.1312382711865405</v>
      </c>
      <c r="AA84" s="39">
        <v>1.1083442656705074</v>
      </c>
      <c r="AB84" s="39">
        <v>1.0869014354361421</v>
      </c>
      <c r="AC84" s="39">
        <v>1.1492676498062475</v>
      </c>
      <c r="AD84" s="39">
        <v>1.0577798217021008</v>
      </c>
      <c r="AE84" s="39">
        <v>0.92984060795969603</v>
      </c>
      <c r="AF84" s="39">
        <v>0.87790182639541747</v>
      </c>
      <c r="AG84" s="39">
        <v>0.91667000028344114</v>
      </c>
      <c r="AH84" s="39">
        <v>0.8684156570836733</v>
      </c>
    </row>
    <row r="85" spans="1:34" x14ac:dyDescent="0.35">
      <c r="A85" s="39" t="s">
        <v>270</v>
      </c>
      <c r="B85" s="39" t="s">
        <v>271</v>
      </c>
      <c r="C85" s="39" t="s">
        <v>112</v>
      </c>
      <c r="D85" s="39" t="s">
        <v>113</v>
      </c>
      <c r="E85" s="39">
        <v>0.28174236581679463</v>
      </c>
      <c r="F85" s="39">
        <v>0.28322242968248085</v>
      </c>
      <c r="G85" s="39">
        <v>0.29171633897015092</v>
      </c>
      <c r="H85" s="39">
        <v>0.29502604597911131</v>
      </c>
      <c r="I85" s="39">
        <v>0.30003042300772481</v>
      </c>
      <c r="J85" s="39">
        <v>0.30691430448521767</v>
      </c>
      <c r="K85" s="39">
        <v>0.31140773109069003</v>
      </c>
      <c r="L85" s="39">
        <v>0.31418619875572562</v>
      </c>
      <c r="M85" s="39">
        <v>0.3101725616035797</v>
      </c>
      <c r="N85" s="39">
        <v>0.23031728200959936</v>
      </c>
      <c r="O85" s="39">
        <v>0.2415541106014519</v>
      </c>
      <c r="P85" s="39">
        <v>0.23748246198298359</v>
      </c>
      <c r="Q85" s="39">
        <v>0.2337852187369554</v>
      </c>
      <c r="R85" s="39">
        <v>0.24291420728176444</v>
      </c>
      <c r="S85" s="39">
        <v>0.28712064277925969</v>
      </c>
      <c r="T85" s="39">
        <v>0.3178063640399923</v>
      </c>
      <c r="U85" s="39">
        <v>0.34060325200724162</v>
      </c>
      <c r="V85" s="39">
        <v>0.38697210473918225</v>
      </c>
      <c r="W85" s="39">
        <v>0.46615818681862964</v>
      </c>
      <c r="X85" s="39">
        <v>0.40404603392437533</v>
      </c>
      <c r="Y85" s="39">
        <v>0.42745491641770694</v>
      </c>
      <c r="Z85" s="39">
        <v>0.48105267152353687</v>
      </c>
      <c r="AA85" s="39">
        <v>0.45000961762038272</v>
      </c>
      <c r="AB85" s="39">
        <v>0.43571844573374652</v>
      </c>
      <c r="AC85" s="39">
        <v>0.40941376266699836</v>
      </c>
      <c r="AD85" s="39">
        <v>0.33204811759178515</v>
      </c>
      <c r="AE85" s="39">
        <v>0.3159136082497761</v>
      </c>
      <c r="AF85" s="39">
        <v>0.32061035679593503</v>
      </c>
      <c r="AG85" s="39">
        <v>0.32362258588640663</v>
      </c>
      <c r="AH85" s="39">
        <v>0.30500240758413932</v>
      </c>
    </row>
    <row r="86" spans="1:34" x14ac:dyDescent="0.35">
      <c r="A86" s="39" t="s">
        <v>272</v>
      </c>
      <c r="B86" s="39" t="s">
        <v>273</v>
      </c>
      <c r="C86" s="39" t="s">
        <v>112</v>
      </c>
      <c r="D86" s="39" t="s">
        <v>113</v>
      </c>
      <c r="E86" s="39">
        <v>0.51630285996690484</v>
      </c>
      <c r="F86" s="39">
        <v>0.53133616698348907</v>
      </c>
      <c r="G86" s="39">
        <v>0.48624983489239354</v>
      </c>
      <c r="H86" s="39">
        <v>0.42140623286408785</v>
      </c>
      <c r="I86" s="39">
        <v>0.36448982065112656</v>
      </c>
      <c r="J86" s="39">
        <v>0.40717915406640698</v>
      </c>
      <c r="K86" s="39">
        <v>0.41004472293288191</v>
      </c>
      <c r="L86" s="39">
        <v>0.3844233700199175</v>
      </c>
      <c r="M86" s="39">
        <v>0.39414575886623271</v>
      </c>
      <c r="N86" s="39">
        <v>0.38402014405334955</v>
      </c>
      <c r="O86" s="39">
        <v>0.23382214632311799</v>
      </c>
      <c r="P86" s="39">
        <v>0.23465631342733628</v>
      </c>
      <c r="Q86" s="39">
        <v>0.25646675108117489</v>
      </c>
      <c r="R86" s="39">
        <v>0.29625027806249654</v>
      </c>
      <c r="S86" s="39">
        <v>0.31788917211117623</v>
      </c>
      <c r="T86" s="39">
        <v>0.35175811194844647</v>
      </c>
      <c r="U86" s="39">
        <v>0.3808038866676236</v>
      </c>
      <c r="V86" s="39">
        <v>0.4311255163183661</v>
      </c>
      <c r="W86" s="39">
        <v>0.44641502289549856</v>
      </c>
      <c r="X86" s="39">
        <v>0.38480759920853636</v>
      </c>
      <c r="Y86" s="39">
        <v>0.43692602371170214</v>
      </c>
      <c r="Z86" s="39">
        <v>0.45849083599786472</v>
      </c>
      <c r="AA86" s="39">
        <v>0.41978249086589786</v>
      </c>
      <c r="AB86" s="39">
        <v>0.44592456619325832</v>
      </c>
      <c r="AC86" s="39">
        <v>0.3613827184592695</v>
      </c>
      <c r="AD86" s="39">
        <v>0.34077313337458137</v>
      </c>
      <c r="AE86" s="39">
        <v>0.39496564018713493</v>
      </c>
      <c r="AF86" s="39">
        <v>0.40545905818748418</v>
      </c>
      <c r="AG86" s="39">
        <v>0.41420110847609531</v>
      </c>
      <c r="AH86" s="39">
        <v>0.39065701129765595</v>
      </c>
    </row>
    <row r="87" spans="1:34" x14ac:dyDescent="0.35">
      <c r="A87" s="39" t="s">
        <v>274</v>
      </c>
      <c r="B87" s="39" t="s">
        <v>275</v>
      </c>
      <c r="C87" s="39" t="s">
        <v>112</v>
      </c>
      <c r="D87" s="39" t="s">
        <v>113</v>
      </c>
    </row>
    <row r="88" spans="1:34" x14ac:dyDescent="0.35">
      <c r="A88" s="39" t="s">
        <v>276</v>
      </c>
      <c r="B88" s="39" t="s">
        <v>277</v>
      </c>
      <c r="C88" s="39" t="s">
        <v>112</v>
      </c>
      <c r="D88" s="39" t="s">
        <v>113</v>
      </c>
      <c r="E88" s="39">
        <v>0.69333848915851404</v>
      </c>
      <c r="F88" s="39">
        <v>0.73893846686263431</v>
      </c>
      <c r="G88" s="39">
        <v>0.76218133239582042</v>
      </c>
      <c r="H88" s="39">
        <v>0.70758852492295543</v>
      </c>
      <c r="I88" s="39">
        <v>0.68750588176701</v>
      </c>
      <c r="J88" s="39">
        <v>0.70281076802546705</v>
      </c>
      <c r="K88" s="39">
        <v>0.69204789715689341</v>
      </c>
      <c r="L88" s="39">
        <v>0.63255133117494211</v>
      </c>
      <c r="M88" s="39">
        <v>0.57234965070188215</v>
      </c>
      <c r="N88" s="39">
        <v>0.52423666708950056</v>
      </c>
      <c r="O88" s="39">
        <v>0.43291346115751778</v>
      </c>
      <c r="P88" s="39">
        <v>0.38657977846787966</v>
      </c>
      <c r="Q88" s="39">
        <v>0.37671065964248562</v>
      </c>
      <c r="R88" s="39">
        <v>0.42680550681333407</v>
      </c>
      <c r="S88" s="39">
        <v>0.43202552014106443</v>
      </c>
      <c r="T88" s="39">
        <v>0.32586883177152048</v>
      </c>
      <c r="U88" s="39">
        <v>0.30802039287754501</v>
      </c>
      <c r="V88" s="39">
        <v>0.41798615918864906</v>
      </c>
      <c r="W88" s="39">
        <v>0.43650044197304427</v>
      </c>
      <c r="X88" s="39">
        <v>0.4225603919722678</v>
      </c>
      <c r="Y88" s="39">
        <v>0.40661366693951229</v>
      </c>
      <c r="Z88" s="39">
        <v>0.37336875825534949</v>
      </c>
      <c r="AA88" s="39">
        <v>0.39937141743485277</v>
      </c>
      <c r="AB88" s="39">
        <v>0.42455107456405461</v>
      </c>
      <c r="AC88" s="39">
        <v>0.43625363380687676</v>
      </c>
      <c r="AD88" s="39">
        <v>0.42281598192814135</v>
      </c>
      <c r="AE88" s="39">
        <v>0.35262630455778987</v>
      </c>
      <c r="AF88" s="39">
        <v>0.35386471052936236</v>
      </c>
      <c r="AG88" s="39">
        <v>0.38449865921212006</v>
      </c>
      <c r="AH88" s="39">
        <v>0.39850491407114069</v>
      </c>
    </row>
    <row r="89" spans="1:34" x14ac:dyDescent="0.35">
      <c r="A89" s="39" t="s">
        <v>278</v>
      </c>
      <c r="B89" s="39" t="s">
        <v>279</v>
      </c>
      <c r="C89" s="39" t="s">
        <v>112</v>
      </c>
      <c r="D89" s="39" t="s">
        <v>113</v>
      </c>
      <c r="E89" s="39">
        <v>0.29951062779397641</v>
      </c>
      <c r="F89" s="39">
        <v>0.28295954369579873</v>
      </c>
      <c r="G89" s="39">
        <v>0.29093577735393616</v>
      </c>
      <c r="H89" s="39">
        <v>0.29164671635106537</v>
      </c>
      <c r="I89" s="39">
        <v>0.2818802458014173</v>
      </c>
      <c r="J89" s="39">
        <v>0.28816102993003156</v>
      </c>
      <c r="K89" s="39">
        <v>0.28370175302730477</v>
      </c>
      <c r="L89" s="39">
        <v>0.27817296939472558</v>
      </c>
      <c r="M89" s="39">
        <v>0.27026697819526924</v>
      </c>
      <c r="N89" s="39">
        <v>0.25963989544723615</v>
      </c>
      <c r="O89" s="39">
        <v>0.23132467648785701</v>
      </c>
      <c r="P89" s="39">
        <v>0.21243004910721353</v>
      </c>
      <c r="Q89" s="39">
        <v>0.19122778483456204</v>
      </c>
      <c r="R89" s="39">
        <v>0.16696710466903245</v>
      </c>
      <c r="S89" s="39">
        <v>0.29996675735924422</v>
      </c>
      <c r="T89" s="39">
        <v>0.31829096069490265</v>
      </c>
      <c r="U89" s="39">
        <v>0.31865168906454144</v>
      </c>
      <c r="V89" s="39">
        <v>0.36560042997282483</v>
      </c>
      <c r="W89" s="39">
        <v>0.41190076691140931</v>
      </c>
      <c r="X89" s="39">
        <v>0.35584774880293496</v>
      </c>
      <c r="Y89" s="39">
        <v>0.35346049812764568</v>
      </c>
      <c r="Z89" s="39">
        <v>0.34424491584389116</v>
      </c>
      <c r="AA89" s="39">
        <v>0.33766030614900039</v>
      </c>
      <c r="AB89" s="39">
        <v>0.33020007797833006</v>
      </c>
      <c r="AC89" s="39">
        <v>0.29966404049937939</v>
      </c>
      <c r="AD89" s="39">
        <v>0.31425013352499076</v>
      </c>
      <c r="AE89" s="39">
        <v>0.3306344276516614</v>
      </c>
      <c r="AF89" s="39">
        <v>0.32646859078522078</v>
      </c>
      <c r="AG89" s="39">
        <v>0.32463330483358399</v>
      </c>
      <c r="AH89" s="39">
        <v>0.32688036165912776</v>
      </c>
    </row>
    <row r="90" spans="1:34" x14ac:dyDescent="0.35">
      <c r="A90" s="39" t="s">
        <v>280</v>
      </c>
      <c r="B90" s="39" t="s">
        <v>281</v>
      </c>
      <c r="C90" s="39" t="s">
        <v>112</v>
      </c>
      <c r="D90" s="39" t="s">
        <v>113</v>
      </c>
      <c r="E90" s="39">
        <v>0.4327499513628057</v>
      </c>
      <c r="F90" s="39">
        <v>0.41981252519477036</v>
      </c>
      <c r="G90" s="39">
        <v>0.35730685218093922</v>
      </c>
      <c r="H90" s="39">
        <v>0.35782073252965002</v>
      </c>
      <c r="I90" s="39">
        <v>0.33766957438598605</v>
      </c>
      <c r="J90" s="39">
        <v>0.3414633466982831</v>
      </c>
      <c r="K90" s="39">
        <v>0.31993448631962929</v>
      </c>
      <c r="L90" s="39">
        <v>0.29327474526307534</v>
      </c>
      <c r="M90" s="39">
        <v>0.31009079215619645</v>
      </c>
      <c r="N90" s="39">
        <v>0.32893839873642661</v>
      </c>
      <c r="O90" s="39">
        <v>0.28731027715455276</v>
      </c>
      <c r="P90" s="39">
        <v>0.29154988051020786</v>
      </c>
      <c r="Q90" s="39">
        <v>0.30727884990534271</v>
      </c>
      <c r="R90" s="39">
        <v>0.34364538641377512</v>
      </c>
      <c r="S90" s="39">
        <v>0.36304953842750159</v>
      </c>
      <c r="T90" s="39">
        <v>0.37308184269320926</v>
      </c>
      <c r="U90" s="39">
        <v>0.35699166259279341</v>
      </c>
      <c r="V90" s="39">
        <v>0.39591349999425168</v>
      </c>
      <c r="W90" s="39">
        <v>0.46749689920843723</v>
      </c>
      <c r="X90" s="39">
        <v>0.42918768009031816</v>
      </c>
      <c r="Y90" s="39">
        <v>0.41645896961746254</v>
      </c>
      <c r="Z90" s="39">
        <v>0.48825666732401418</v>
      </c>
      <c r="AA90" s="39">
        <v>0.45481055801812476</v>
      </c>
      <c r="AB90" s="39">
        <v>0.46503173417962507</v>
      </c>
      <c r="AC90" s="39">
        <v>0.45165213204936744</v>
      </c>
      <c r="AD90" s="39">
        <v>0.37763283895612387</v>
      </c>
      <c r="AE90" s="39">
        <v>0.37842148465574504</v>
      </c>
      <c r="AF90" s="39">
        <v>0.38266732062557696</v>
      </c>
      <c r="AG90" s="39">
        <v>0.38992621232173053</v>
      </c>
      <c r="AH90" s="39">
        <v>0.33679840271886252</v>
      </c>
    </row>
    <row r="91" spans="1:34" x14ac:dyDescent="0.35">
      <c r="A91" s="39" t="s">
        <v>282</v>
      </c>
      <c r="B91" s="39" t="s">
        <v>283</v>
      </c>
      <c r="C91" s="39" t="s">
        <v>112</v>
      </c>
      <c r="D91" s="39" t="s">
        <v>113</v>
      </c>
      <c r="E91" s="39">
        <v>0.51374647358655989</v>
      </c>
      <c r="F91" s="39">
        <v>0.49664000777174544</v>
      </c>
      <c r="G91" s="39">
        <v>0.43770097963257643</v>
      </c>
      <c r="H91" s="39">
        <v>0.38891619924468135</v>
      </c>
      <c r="I91" s="39">
        <v>0.24183760538279667</v>
      </c>
      <c r="J91" s="39">
        <v>0.28370920847692588</v>
      </c>
      <c r="K91" s="39">
        <v>0.2740846383345597</v>
      </c>
      <c r="L91" s="39">
        <v>0.20510051622996855</v>
      </c>
      <c r="M91" s="39">
        <v>0.1373184344484556</v>
      </c>
      <c r="N91" s="39">
        <v>0.18049215970097079</v>
      </c>
      <c r="O91" s="39">
        <v>0.22375890533782933</v>
      </c>
      <c r="P91" s="39">
        <v>0.18720579622911759</v>
      </c>
      <c r="Q91" s="39">
        <v>0.19075481589725335</v>
      </c>
      <c r="R91" s="39">
        <v>0.22601411114071174</v>
      </c>
      <c r="S91" s="39">
        <v>0.28310975370500535</v>
      </c>
      <c r="T91" s="39">
        <v>0.39206321987675657</v>
      </c>
      <c r="U91" s="39">
        <v>0.43369239082405847</v>
      </c>
      <c r="V91" s="39">
        <v>0.47478656532163505</v>
      </c>
      <c r="W91" s="39">
        <v>0.59734053631892026</v>
      </c>
      <c r="X91" s="39">
        <v>0.44510136382319221</v>
      </c>
      <c r="Y91" s="39">
        <v>0.52444677116829963</v>
      </c>
      <c r="Z91" s="39">
        <v>0.631321750275326</v>
      </c>
      <c r="AA91" s="39">
        <v>0.57787559354833928</v>
      </c>
      <c r="AB91" s="39">
        <v>0.5865130450593784</v>
      </c>
      <c r="AC91" s="39">
        <v>0.57555666059899269</v>
      </c>
      <c r="AD91" s="39">
        <v>0.46931338133483985</v>
      </c>
      <c r="AE91" s="39">
        <v>0.45214413389268177</v>
      </c>
      <c r="AF91" s="39">
        <v>0.42871165639576186</v>
      </c>
      <c r="AG91" s="39">
        <v>0.48675921616827539</v>
      </c>
      <c r="AH91" s="39">
        <v>0.42075157501127469</v>
      </c>
    </row>
    <row r="92" spans="1:34" x14ac:dyDescent="0.35">
      <c r="A92" s="39" t="s">
        <v>284</v>
      </c>
      <c r="B92" s="39" t="s">
        <v>285</v>
      </c>
      <c r="C92" s="39" t="s">
        <v>112</v>
      </c>
      <c r="D92" s="39" t="s">
        <v>113</v>
      </c>
      <c r="E92" s="39">
        <v>0.72251074806534832</v>
      </c>
      <c r="F92" s="39">
        <v>0.72808188446438582</v>
      </c>
      <c r="G92" s="39">
        <v>0.78141401501608865</v>
      </c>
      <c r="H92" s="39">
        <v>0.7262455410225922</v>
      </c>
      <c r="I92" s="39">
        <v>0.7470463483146067</v>
      </c>
      <c r="J92" s="39">
        <v>0.84127959994116785</v>
      </c>
      <c r="K92" s="39">
        <v>0.85286947904869759</v>
      </c>
      <c r="L92" s="39">
        <v>0.78295769374766011</v>
      </c>
      <c r="M92" s="39">
        <v>0.74706329989622966</v>
      </c>
      <c r="N92" s="39">
        <v>0.71732367355636051</v>
      </c>
      <c r="O92" s="39">
        <v>0.61684355997788831</v>
      </c>
      <c r="P92" s="39">
        <v>0.59808859060402686</v>
      </c>
      <c r="Q92" s="39">
        <v>0.62391022021456799</v>
      </c>
      <c r="R92" s="39">
        <v>0.77407562076749437</v>
      </c>
      <c r="S92" s="39">
        <v>0.86310404767817228</v>
      </c>
      <c r="T92" s="39">
        <v>0.88170128093520705</v>
      </c>
      <c r="U92" s="39">
        <v>0.86976665412118925</v>
      </c>
      <c r="V92" s="39">
        <v>0.98421023816041608</v>
      </c>
      <c r="W92" s="39">
        <v>1.0369869635271716</v>
      </c>
      <c r="X92" s="39">
        <v>0.97770908585718264</v>
      </c>
      <c r="Y92" s="39">
        <v>0.95556429865345727</v>
      </c>
      <c r="Z92" s="39">
        <v>0.99139193940951131</v>
      </c>
      <c r="AA92" s="39">
        <v>0.8796975829649859</v>
      </c>
      <c r="AB92" s="39">
        <v>0.83818403229400695</v>
      </c>
      <c r="AC92" s="39">
        <v>0.81081342478027962</v>
      </c>
      <c r="AD92" s="39">
        <v>0.67531852496825906</v>
      </c>
      <c r="AE92" s="39">
        <v>0.65112403467614199</v>
      </c>
      <c r="AF92" s="39">
        <v>0.65076865724235411</v>
      </c>
      <c r="AG92" s="39">
        <v>0.66956814033254852</v>
      </c>
      <c r="AH92" s="39">
        <v>0.62365924941176376</v>
      </c>
    </row>
    <row r="93" spans="1:34" x14ac:dyDescent="0.35">
      <c r="A93" s="39" t="s">
        <v>286</v>
      </c>
      <c r="B93" s="39" t="s">
        <v>287</v>
      </c>
      <c r="C93" s="39" t="s">
        <v>112</v>
      </c>
      <c r="D93" s="39" t="s">
        <v>113</v>
      </c>
      <c r="E93" s="39">
        <v>0.61146984514855551</v>
      </c>
      <c r="F93" s="39">
        <v>0.63091821854900365</v>
      </c>
      <c r="G93" s="39">
        <v>0.64160638920879998</v>
      </c>
      <c r="H93" s="39">
        <v>0.63856125726481849</v>
      </c>
      <c r="I93" s="39">
        <v>0.64515963146084065</v>
      </c>
      <c r="J93" s="39">
        <v>0.65120270489222587</v>
      </c>
      <c r="K93" s="39">
        <v>0.65658758235189996</v>
      </c>
      <c r="L93" s="39">
        <v>0.65697689742025922</v>
      </c>
      <c r="M93" s="39">
        <v>0.66095513686949248</v>
      </c>
      <c r="N93" s="39">
        <v>0.65885510567890004</v>
      </c>
      <c r="O93" s="39">
        <v>0.66179978916933702</v>
      </c>
      <c r="P93" s="39">
        <v>0.66148085886637031</v>
      </c>
      <c r="Q93" s="39">
        <v>0.65360407042799995</v>
      </c>
      <c r="R93" s="39">
        <v>0.64119276400270364</v>
      </c>
      <c r="S93" s="39">
        <v>0.63706519175409626</v>
      </c>
      <c r="T93" s="39">
        <v>0.63305138529673699</v>
      </c>
      <c r="U93" s="39">
        <v>0.64307546186346665</v>
      </c>
      <c r="V93" s="39">
        <v>0.64077814739803696</v>
      </c>
      <c r="W93" s="39">
        <v>0.67787903965363328</v>
      </c>
      <c r="X93" s="39">
        <v>0.67268372669136289</v>
      </c>
      <c r="Y93" s="39">
        <v>0.66812530520639624</v>
      </c>
      <c r="Z93" s="39">
        <v>0.65592399349918884</v>
      </c>
      <c r="AA93" s="39">
        <v>0.66680510838826668</v>
      </c>
      <c r="AB93" s="39">
        <v>0.65528710683186664</v>
      </c>
      <c r="AC93" s="39">
        <v>0.64177310025250367</v>
      </c>
      <c r="AD93" s="39">
        <v>0.64277856438248138</v>
      </c>
      <c r="AE93" s="39">
        <v>0.64078675376044436</v>
      </c>
      <c r="AF93" s="39">
        <v>0.62604180088749628</v>
      </c>
      <c r="AG93" s="39">
        <v>0.60972878474369996</v>
      </c>
      <c r="AH93" s="39">
        <v>0.61068438354894816</v>
      </c>
    </row>
    <row r="94" spans="1:34" x14ac:dyDescent="0.35">
      <c r="A94" s="39" t="s">
        <v>288</v>
      </c>
      <c r="B94" s="39" t="s">
        <v>289</v>
      </c>
      <c r="C94" s="39" t="s">
        <v>112</v>
      </c>
      <c r="D94" s="39" t="s">
        <v>113</v>
      </c>
    </row>
    <row r="95" spans="1:34" x14ac:dyDescent="0.35">
      <c r="A95" s="39" t="s">
        <v>290</v>
      </c>
      <c r="B95" s="39" t="s">
        <v>291</v>
      </c>
      <c r="C95" s="39" t="s">
        <v>112</v>
      </c>
      <c r="D95" s="39" t="s">
        <v>113</v>
      </c>
      <c r="E95" s="39">
        <v>0.22305321269322526</v>
      </c>
      <c r="F95" s="39">
        <v>0.25591848468672673</v>
      </c>
      <c r="G95" s="39">
        <v>0.26492410999056204</v>
      </c>
      <c r="H95" s="39">
        <v>0.27188798748461335</v>
      </c>
      <c r="I95" s="39">
        <v>0.29142035076288081</v>
      </c>
      <c r="J95" s="39">
        <v>0.30700542636235845</v>
      </c>
      <c r="K95" s="39">
        <v>0.31319291543904321</v>
      </c>
      <c r="L95" s="39">
        <v>0.33481841309211208</v>
      </c>
      <c r="M95" s="39">
        <v>0.34380346381118942</v>
      </c>
      <c r="N95" s="39">
        <v>0.30823186718203727</v>
      </c>
      <c r="O95" s="39">
        <v>0.30640579990718386</v>
      </c>
      <c r="P95" s="39">
        <v>0.31867731432424223</v>
      </c>
      <c r="Q95" s="39">
        <v>0.33552359532599052</v>
      </c>
      <c r="R95" s="39">
        <v>0.33891963886684384</v>
      </c>
      <c r="S95" s="39">
        <v>0.34984366824141699</v>
      </c>
      <c r="T95" s="39">
        <v>0.37306792574098824</v>
      </c>
      <c r="U95" s="39">
        <v>0.3817583238041341</v>
      </c>
      <c r="V95" s="39">
        <v>0.39463123353448448</v>
      </c>
      <c r="W95" s="39">
        <v>0.42999577937497224</v>
      </c>
      <c r="X95" s="39">
        <v>0.40929306978090324</v>
      </c>
      <c r="Y95" s="39">
        <v>0.43086146106800122</v>
      </c>
      <c r="Z95" s="39">
        <v>0.46709642986740818</v>
      </c>
      <c r="AA95" s="39">
        <v>0.46567123967642843</v>
      </c>
      <c r="AB95" s="39">
        <v>0.47307219115430965</v>
      </c>
      <c r="AC95" s="39">
        <v>0.48716190804155218</v>
      </c>
      <c r="AD95" s="39">
        <v>0.4874813386612426</v>
      </c>
      <c r="AE95" s="39">
        <v>0.50759308902754252</v>
      </c>
      <c r="AF95" s="39">
        <v>0.5351997252137114</v>
      </c>
      <c r="AG95" s="39">
        <v>0.51722764396797138</v>
      </c>
      <c r="AH95" s="39">
        <v>0.51358653168651114</v>
      </c>
    </row>
    <row r="96" spans="1:34" x14ac:dyDescent="0.35">
      <c r="A96" s="39" t="s">
        <v>292</v>
      </c>
      <c r="B96" s="39" t="s">
        <v>293</v>
      </c>
      <c r="C96" s="39" t="s">
        <v>112</v>
      </c>
      <c r="D96" s="39" t="s">
        <v>113</v>
      </c>
    </row>
    <row r="97" spans="1:34" x14ac:dyDescent="0.35">
      <c r="A97" s="39" t="s">
        <v>294</v>
      </c>
      <c r="B97" s="39" t="s">
        <v>295</v>
      </c>
      <c r="C97" s="39" t="s">
        <v>112</v>
      </c>
      <c r="D97" s="39" t="s">
        <v>113</v>
      </c>
      <c r="E97" s="39">
        <v>0.39955404235833675</v>
      </c>
      <c r="F97" s="39">
        <v>0.32025762317302414</v>
      </c>
      <c r="G97" s="39">
        <v>0.3114554623093006</v>
      </c>
      <c r="H97" s="39">
        <v>0.34188193570486713</v>
      </c>
      <c r="I97" s="39">
        <v>0.36735375402567316</v>
      </c>
      <c r="J97" s="39">
        <v>0.3937184228402838</v>
      </c>
      <c r="K97" s="39">
        <v>0.40641542532316804</v>
      </c>
      <c r="L97" s="39">
        <v>0.39959709587387304</v>
      </c>
      <c r="M97" s="39">
        <v>0.38494117939556932</v>
      </c>
      <c r="N97" s="39">
        <v>0.35685424804204768</v>
      </c>
      <c r="O97" s="39">
        <v>0.36300153471460395</v>
      </c>
      <c r="P97" s="39">
        <v>0.34704981539287683</v>
      </c>
      <c r="Q97" s="39">
        <v>0.344443366053165</v>
      </c>
      <c r="R97" s="39">
        <v>0.34825070343326348</v>
      </c>
      <c r="S97" s="39">
        <v>0.35400965271977258</v>
      </c>
      <c r="T97" s="39">
        <v>0.36662097201400978</v>
      </c>
      <c r="U97" s="39">
        <v>0.37528875461193734</v>
      </c>
      <c r="V97" s="39">
        <v>0.40746590991426046</v>
      </c>
      <c r="W97" s="39">
        <v>0.43176828274739054</v>
      </c>
      <c r="X97" s="39">
        <v>0.44495753188346365</v>
      </c>
      <c r="Y97" s="39">
        <v>0.46577032720985601</v>
      </c>
      <c r="Z97" s="39">
        <v>0.49147485002435576</v>
      </c>
      <c r="AA97" s="39">
        <v>0.51325618144976737</v>
      </c>
      <c r="AB97" s="39">
        <v>0.49796120436060998</v>
      </c>
      <c r="AC97" s="39">
        <v>0.4937225574822281</v>
      </c>
      <c r="AD97" s="39">
        <v>0.49800641888856173</v>
      </c>
      <c r="AE97" s="39">
        <v>0.51443004839068274</v>
      </c>
      <c r="AF97" s="39">
        <v>0.51018300645288139</v>
      </c>
      <c r="AG97" s="39">
        <v>0.52235233485231081</v>
      </c>
      <c r="AH97" s="39">
        <v>0.54116955321214388</v>
      </c>
    </row>
    <row r="98" spans="1:34" x14ac:dyDescent="0.35">
      <c r="A98" s="39" t="s">
        <v>296</v>
      </c>
      <c r="B98" s="39" t="s">
        <v>297</v>
      </c>
      <c r="C98" s="39" t="s">
        <v>112</v>
      </c>
      <c r="D98" s="39" t="s">
        <v>113</v>
      </c>
    </row>
    <row r="99" spans="1:34" x14ac:dyDescent="0.35">
      <c r="A99" s="39" t="s">
        <v>298</v>
      </c>
      <c r="B99" s="39" t="s">
        <v>299</v>
      </c>
      <c r="C99" s="39" t="s">
        <v>112</v>
      </c>
      <c r="D99" s="39" t="s">
        <v>113</v>
      </c>
      <c r="E99" s="39">
        <v>0.73811521047688911</v>
      </c>
      <c r="F99" s="39">
        <v>0.7810957186249613</v>
      </c>
      <c r="G99" s="39">
        <v>0.84261019278576477</v>
      </c>
      <c r="H99" s="39">
        <v>0.89458043073184246</v>
      </c>
      <c r="I99" s="39">
        <v>0.93211123305104293</v>
      </c>
      <c r="J99" s="39">
        <v>0.94985124095579632</v>
      </c>
      <c r="K99" s="39">
        <v>0.98784461497690412</v>
      </c>
      <c r="L99" s="39">
        <v>1.0260022114830434</v>
      </c>
      <c r="M99" s="39">
        <v>1.026535596309474</v>
      </c>
      <c r="N99" s="39">
        <v>0.96895390983197416</v>
      </c>
      <c r="O99" s="39">
        <v>0.91163706567373703</v>
      </c>
      <c r="P99" s="39">
        <v>0.87539084140325185</v>
      </c>
      <c r="Q99" s="39">
        <v>0.83243344146392051</v>
      </c>
      <c r="R99" s="39">
        <v>0.76935155857974635</v>
      </c>
      <c r="S99" s="39">
        <v>0.72216869062207634</v>
      </c>
      <c r="T99" s="39">
        <v>0.70026441470507239</v>
      </c>
      <c r="U99" s="39">
        <v>0.67688712659283967</v>
      </c>
      <c r="V99" s="39">
        <v>0.67693372921541395</v>
      </c>
      <c r="W99" s="39">
        <v>0.67378768669935274</v>
      </c>
      <c r="X99" s="39">
        <v>0.66918703612677055</v>
      </c>
      <c r="Y99" s="39">
        <v>0.66178398964139296</v>
      </c>
      <c r="Z99" s="39">
        <v>0.67223012753650302</v>
      </c>
      <c r="AA99" s="39">
        <v>0.70319064570508483</v>
      </c>
      <c r="AB99" s="39">
        <v>0.7152628689589362</v>
      </c>
      <c r="AC99" s="39">
        <v>0.73592685964087523</v>
      </c>
      <c r="AD99" s="39">
        <v>0.75221925965434222</v>
      </c>
      <c r="AE99" s="39">
        <v>0.7642437323390181</v>
      </c>
      <c r="AF99" s="39">
        <v>0.77136902999310164</v>
      </c>
      <c r="AG99" s="39">
        <v>0.77652427898338328</v>
      </c>
      <c r="AH99" s="39">
        <v>0.78165517872501056</v>
      </c>
    </row>
    <row r="100" spans="1:34" x14ac:dyDescent="0.35">
      <c r="A100" s="39" t="s">
        <v>300</v>
      </c>
      <c r="B100" s="39" t="s">
        <v>301</v>
      </c>
      <c r="C100" s="39" t="s">
        <v>112</v>
      </c>
      <c r="D100" s="39" t="s">
        <v>113</v>
      </c>
      <c r="E100" s="39">
        <v>0.47858047791224462</v>
      </c>
      <c r="F100" s="39">
        <v>0.45213614225752063</v>
      </c>
      <c r="G100" s="39">
        <v>0.44319927668244058</v>
      </c>
      <c r="H100" s="39">
        <v>0.40513873535060851</v>
      </c>
      <c r="I100" s="39">
        <v>0.37297607982670061</v>
      </c>
      <c r="J100" s="39">
        <v>0.39628065455682376</v>
      </c>
      <c r="K100" s="39">
        <v>0.37254909748950671</v>
      </c>
      <c r="L100" s="39">
        <v>0.3837338365141133</v>
      </c>
      <c r="M100" s="39">
        <v>0.40648822486451403</v>
      </c>
      <c r="N100" s="39">
        <v>0.40672746495576584</v>
      </c>
      <c r="O100" s="39">
        <v>0.41695237790570588</v>
      </c>
      <c r="P100" s="39">
        <v>0.42303956288309408</v>
      </c>
      <c r="Q100" s="39">
        <v>0.41248188658936974</v>
      </c>
      <c r="R100" s="39">
        <v>0.40554210652972483</v>
      </c>
      <c r="S100" s="39">
        <v>0.40059807737875497</v>
      </c>
      <c r="T100" s="39">
        <v>0.40391142767052868</v>
      </c>
      <c r="U100" s="39">
        <v>0.41237838896887452</v>
      </c>
      <c r="V100" s="39">
        <v>0.42820020793477143</v>
      </c>
      <c r="W100" s="39">
        <v>0.45268595296924946</v>
      </c>
      <c r="X100" s="39">
        <v>0.48709664007180387</v>
      </c>
      <c r="Y100" s="39">
        <v>0.50400061987875222</v>
      </c>
      <c r="Z100" s="39">
        <v>0.53161221699053762</v>
      </c>
      <c r="AA100" s="39">
        <v>0.5317543378663433</v>
      </c>
      <c r="AB100" s="39">
        <v>0.50759811917894937</v>
      </c>
      <c r="AC100" s="39">
        <v>0.495454419301741</v>
      </c>
      <c r="AD100" s="39">
        <v>0.47729954153645449</v>
      </c>
      <c r="AE100" s="39">
        <v>0.4551143074077425</v>
      </c>
      <c r="AF100" s="39">
        <v>0.44115956904788584</v>
      </c>
      <c r="AG100" s="39">
        <v>0.43157649962679112</v>
      </c>
      <c r="AH100" s="39">
        <v>0.43164341867554112</v>
      </c>
    </row>
    <row r="101" spans="1:34" x14ac:dyDescent="0.35">
      <c r="A101" s="39" t="s">
        <v>302</v>
      </c>
      <c r="B101" s="39" t="s">
        <v>303</v>
      </c>
      <c r="C101" s="39" t="s">
        <v>112</v>
      </c>
      <c r="D101" s="39" t="s">
        <v>113</v>
      </c>
    </row>
    <row r="102" spans="1:34" x14ac:dyDescent="0.35">
      <c r="A102" s="39" t="s">
        <v>304</v>
      </c>
      <c r="B102" s="39" t="s">
        <v>305</v>
      </c>
      <c r="C102" s="39" t="s">
        <v>112</v>
      </c>
      <c r="D102" s="39" t="s">
        <v>113</v>
      </c>
      <c r="J102" s="39">
        <v>0.60965879133592171</v>
      </c>
      <c r="K102" s="39">
        <v>0.59937139698697872</v>
      </c>
      <c r="L102" s="39">
        <v>0.55595906801009642</v>
      </c>
      <c r="M102" s="39">
        <v>0.5742628591750617</v>
      </c>
      <c r="N102" s="39">
        <v>0.52678659534334826</v>
      </c>
      <c r="O102" s="39">
        <v>0.45732099497841916</v>
      </c>
      <c r="P102" s="39">
        <v>0.4642089393948331</v>
      </c>
      <c r="Q102" s="39">
        <v>0.49282465841825912</v>
      </c>
      <c r="R102" s="39">
        <v>0.59483761934866664</v>
      </c>
      <c r="S102" s="39">
        <v>0.66481649423421774</v>
      </c>
      <c r="T102" s="39">
        <v>0.68807368141811664</v>
      </c>
      <c r="U102" s="39">
        <v>0.67151353524294355</v>
      </c>
      <c r="V102" s="39">
        <v>0.72145937314647157</v>
      </c>
      <c r="W102" s="39">
        <v>0.78500069774204551</v>
      </c>
      <c r="X102" s="39">
        <v>0.7272936225490424</v>
      </c>
      <c r="Y102" s="39">
        <v>0.70405999777923423</v>
      </c>
      <c r="Z102" s="39">
        <v>0.70222570923075289</v>
      </c>
      <c r="AA102" s="39">
        <v>0.62631540607083569</v>
      </c>
      <c r="AB102" s="39">
        <v>0.62667438437902856</v>
      </c>
      <c r="AC102" s="39">
        <v>0.61645133802385621</v>
      </c>
      <c r="AD102" s="39">
        <v>0.51199948197810397</v>
      </c>
      <c r="AE102" s="39">
        <v>0.50005740625961503</v>
      </c>
      <c r="AF102" s="39">
        <v>0.5043040304596712</v>
      </c>
      <c r="AG102" s="39">
        <v>0.53212877733520458</v>
      </c>
      <c r="AH102" s="39">
        <v>0.49554694854111742</v>
      </c>
    </row>
    <row r="103" spans="1:34" x14ac:dyDescent="0.35">
      <c r="A103" s="39" t="s">
        <v>306</v>
      </c>
      <c r="B103" s="39" t="s">
        <v>307</v>
      </c>
      <c r="C103" s="39" t="s">
        <v>112</v>
      </c>
      <c r="D103" s="39" t="s">
        <v>113</v>
      </c>
      <c r="E103" s="39">
        <v>0.31825858029910997</v>
      </c>
      <c r="F103" s="39">
        <v>0.3389812970029572</v>
      </c>
      <c r="G103" s="39">
        <v>0.22744050919314332</v>
      </c>
      <c r="H103" s="39">
        <v>0.1954906123073534</v>
      </c>
      <c r="I103" s="39">
        <v>0.25086629096026436</v>
      </c>
      <c r="J103" s="39">
        <v>0.29019340624483464</v>
      </c>
      <c r="K103" s="39">
        <v>0.28280715851648258</v>
      </c>
      <c r="L103" s="39">
        <v>0.31085760193115869</v>
      </c>
      <c r="M103" s="39">
        <v>0.33551939175490664</v>
      </c>
      <c r="N103" s="39">
        <v>0.35918497777121344</v>
      </c>
      <c r="O103" s="39">
        <v>0.33153938637936892</v>
      </c>
      <c r="P103" s="39">
        <v>0.29821197768766255</v>
      </c>
      <c r="Q103" s="39">
        <v>0.28414063953848406</v>
      </c>
      <c r="R103" s="39">
        <v>0.23697245359610231</v>
      </c>
      <c r="S103" s="39">
        <v>0.28583995201495355</v>
      </c>
      <c r="T103" s="39">
        <v>0.3317584792099707</v>
      </c>
      <c r="U103" s="39">
        <v>0.34750531282949726</v>
      </c>
      <c r="V103" s="39">
        <v>0.40520687986375864</v>
      </c>
      <c r="W103" s="39">
        <v>0.43856488872723476</v>
      </c>
      <c r="X103" s="39">
        <v>0.42455726414718126</v>
      </c>
      <c r="Y103" s="39">
        <v>0.43568594651090059</v>
      </c>
      <c r="Z103" s="39">
        <v>0.45904484457126438</v>
      </c>
      <c r="AA103" s="39">
        <v>0.48411397614082136</v>
      </c>
      <c r="AB103" s="39">
        <v>0.48532863735943399</v>
      </c>
      <c r="AC103" s="39">
        <v>0.48394760317784452</v>
      </c>
      <c r="AD103" s="39">
        <v>0.47845249144640228</v>
      </c>
      <c r="AE103" s="39">
        <v>0.41840672878017493</v>
      </c>
      <c r="AF103" s="39">
        <v>0.43416864851383785</v>
      </c>
      <c r="AG103" s="39">
        <v>0.48004507175704952</v>
      </c>
      <c r="AH103" s="39">
        <v>0.41908406616958677</v>
      </c>
    </row>
    <row r="104" spans="1:34" x14ac:dyDescent="0.35">
      <c r="A104" s="39" t="s">
        <v>308</v>
      </c>
      <c r="B104" s="39" t="s">
        <v>309</v>
      </c>
      <c r="C104" s="39" t="s">
        <v>112</v>
      </c>
      <c r="D104" s="39" t="s">
        <v>113</v>
      </c>
      <c r="F104" s="39">
        <v>0.40315762360339868</v>
      </c>
      <c r="G104" s="39">
        <v>0.45316792486988583</v>
      </c>
      <c r="H104" s="39">
        <v>0.46127383498197622</v>
      </c>
      <c r="I104" s="39">
        <v>0.47195735989809906</v>
      </c>
      <c r="J104" s="39">
        <v>0.48986779799342489</v>
      </c>
      <c r="K104" s="39">
        <v>0.48471074710426099</v>
      </c>
      <c r="L104" s="39">
        <v>0.46797007535767593</v>
      </c>
      <c r="M104" s="39">
        <v>0.45626613968079544</v>
      </c>
      <c r="N104" s="39">
        <v>0.44085066233515413</v>
      </c>
      <c r="O104" s="39">
        <v>0.38998397472244589</v>
      </c>
      <c r="P104" s="39">
        <v>0.39928888694969233</v>
      </c>
      <c r="Q104" s="39">
        <v>0.45815469669394604</v>
      </c>
      <c r="R104" s="39">
        <v>0.54454729172155802</v>
      </c>
      <c r="S104" s="39">
        <v>0.63379120553915291</v>
      </c>
      <c r="T104" s="39">
        <v>0.65601916500695201</v>
      </c>
      <c r="U104" s="39">
        <v>0.62573946005038272</v>
      </c>
      <c r="V104" s="39">
        <v>0.73086820588392254</v>
      </c>
      <c r="W104" s="39">
        <v>0.76115765022226634</v>
      </c>
      <c r="X104" s="39">
        <v>0.63045589712847128</v>
      </c>
      <c r="Y104" s="39">
        <v>0.60750041717928993</v>
      </c>
      <c r="Z104" s="39">
        <v>0.61809870930839816</v>
      </c>
      <c r="AA104" s="39">
        <v>0.55806878149005013</v>
      </c>
      <c r="AB104" s="39">
        <v>0.55870462907083307</v>
      </c>
      <c r="AC104" s="39">
        <v>0.55638025236276534</v>
      </c>
      <c r="AD104" s="39">
        <v>0.47440936518307042</v>
      </c>
      <c r="AE104" s="39">
        <v>0.46904508211279161</v>
      </c>
      <c r="AF104" s="39">
        <v>0.48960199684197803</v>
      </c>
      <c r="AG104" s="39">
        <v>0.51144417524533181</v>
      </c>
      <c r="AH104" s="39">
        <v>0.48488076790752072</v>
      </c>
    </row>
    <row r="105" spans="1:34" x14ac:dyDescent="0.35">
      <c r="A105" s="39" t="s">
        <v>310</v>
      </c>
      <c r="B105" s="39" t="s">
        <v>311</v>
      </c>
      <c r="C105" s="39" t="s">
        <v>112</v>
      </c>
      <c r="D105" s="39" t="s">
        <v>113</v>
      </c>
    </row>
    <row r="106" spans="1:34" x14ac:dyDescent="0.35">
      <c r="A106" s="39" t="s">
        <v>312</v>
      </c>
      <c r="B106" s="39" t="s">
        <v>313</v>
      </c>
      <c r="C106" s="39" t="s">
        <v>112</v>
      </c>
      <c r="D106" s="39" t="s">
        <v>113</v>
      </c>
    </row>
    <row r="107" spans="1:34" x14ac:dyDescent="0.35">
      <c r="A107" s="39" t="s">
        <v>314</v>
      </c>
      <c r="B107" s="39" t="s">
        <v>315</v>
      </c>
      <c r="C107" s="39" t="s">
        <v>112</v>
      </c>
      <c r="D107" s="39" t="s">
        <v>113</v>
      </c>
    </row>
    <row r="108" spans="1:34" x14ac:dyDescent="0.35">
      <c r="A108" s="39" t="s">
        <v>316</v>
      </c>
      <c r="B108" s="39" t="s">
        <v>317</v>
      </c>
      <c r="C108" s="39" t="s">
        <v>112</v>
      </c>
      <c r="D108" s="39" t="s">
        <v>113</v>
      </c>
    </row>
    <row r="109" spans="1:34" x14ac:dyDescent="0.35">
      <c r="A109" s="39" t="s">
        <v>318</v>
      </c>
      <c r="B109" s="39" t="s">
        <v>319</v>
      </c>
      <c r="C109" s="39" t="s">
        <v>112</v>
      </c>
      <c r="D109" s="39" t="s">
        <v>113</v>
      </c>
      <c r="E109" s="39">
        <v>0.18983157668801129</v>
      </c>
      <c r="F109" s="39">
        <v>0.18871072316909548</v>
      </c>
      <c r="G109" s="39">
        <v>0.19019191001364832</v>
      </c>
      <c r="H109" s="39">
        <v>0.21530864993368551</v>
      </c>
      <c r="I109" s="39">
        <v>0.2194564757546662</v>
      </c>
      <c r="J109" s="39">
        <v>0.22696305431381417</v>
      </c>
      <c r="K109" s="39">
        <v>0.23253076291894034</v>
      </c>
      <c r="L109" s="39">
        <v>0.20716929007058996</v>
      </c>
      <c r="M109" s="39">
        <v>0.10432425765433341</v>
      </c>
      <c r="N109" s="39">
        <v>0.14966285786412556</v>
      </c>
      <c r="O109" s="39">
        <v>0.16446022272311844</v>
      </c>
      <c r="P109" s="39">
        <v>0.1509691470936822</v>
      </c>
      <c r="Q109" s="39">
        <v>0.1734324228487753</v>
      </c>
      <c r="R109" s="39">
        <v>0.19498573166541039</v>
      </c>
      <c r="S109" s="39">
        <v>0.1977691577327266</v>
      </c>
      <c r="T109" s="39">
        <v>0.20197685335018759</v>
      </c>
      <c r="U109" s="39">
        <v>0.2369804836144993</v>
      </c>
      <c r="V109" s="39">
        <v>0.25727822987393939</v>
      </c>
      <c r="W109" s="39">
        <v>0.28102036139776293</v>
      </c>
      <c r="X109" s="39">
        <v>0.28188959447400141</v>
      </c>
      <c r="Y109" s="39">
        <v>0.36708854045848621</v>
      </c>
      <c r="Z109" s="39">
        <v>0.4005222759347592</v>
      </c>
      <c r="AA109" s="39">
        <v>0.38031677847943546</v>
      </c>
      <c r="AB109" s="39">
        <v>0.35996419879478914</v>
      </c>
      <c r="AC109" s="39">
        <v>0.33971368535199459</v>
      </c>
      <c r="AD109" s="39">
        <v>0.32513204133375406</v>
      </c>
      <c r="AE109" s="39">
        <v>0.33949451886816084</v>
      </c>
      <c r="AF109" s="39">
        <v>0.35092421940954294</v>
      </c>
      <c r="AG109" s="39">
        <v>0.3345267667811046</v>
      </c>
      <c r="AH109" s="39">
        <v>0.33617723396545807</v>
      </c>
    </row>
    <row r="110" spans="1:34" x14ac:dyDescent="0.35">
      <c r="A110" s="39" t="s">
        <v>320</v>
      </c>
      <c r="B110" s="39" t="s">
        <v>321</v>
      </c>
      <c r="C110" s="39" t="s">
        <v>112</v>
      </c>
      <c r="D110" s="39" t="s">
        <v>113</v>
      </c>
    </row>
    <row r="111" spans="1:34" x14ac:dyDescent="0.35">
      <c r="A111" s="39" t="s">
        <v>322</v>
      </c>
      <c r="B111" s="39" t="s">
        <v>323</v>
      </c>
      <c r="C111" s="39" t="s">
        <v>112</v>
      </c>
      <c r="D111" s="39" t="s">
        <v>113</v>
      </c>
    </row>
    <row r="112" spans="1:34" x14ac:dyDescent="0.35">
      <c r="A112" s="39" t="s">
        <v>324</v>
      </c>
      <c r="B112" s="39" t="s">
        <v>325</v>
      </c>
      <c r="C112" s="39" t="s">
        <v>112</v>
      </c>
      <c r="D112" s="39" t="s">
        <v>113</v>
      </c>
      <c r="E112" s="39">
        <v>0.30587189461696074</v>
      </c>
      <c r="F112" s="39">
        <v>0.24636925525390643</v>
      </c>
      <c r="G112" s="39">
        <v>0.24366544635041401</v>
      </c>
      <c r="H112" s="39">
        <v>0.22020395702990819</v>
      </c>
      <c r="I112" s="39">
        <v>0.23686482464436692</v>
      </c>
      <c r="J112" s="39">
        <v>0.23741486451151864</v>
      </c>
      <c r="K112" s="39">
        <v>0.23640439470262359</v>
      </c>
      <c r="L112" s="39">
        <v>0.23640985905039225</v>
      </c>
      <c r="M112" s="39">
        <v>0.22306596254668204</v>
      </c>
      <c r="N112" s="39">
        <v>0.21998572441527614</v>
      </c>
      <c r="O112" s="39">
        <v>0.21154049401086364</v>
      </c>
      <c r="P112" s="39">
        <v>0.20466060060672586</v>
      </c>
      <c r="Q112" s="39">
        <v>0.2058841646268964</v>
      </c>
      <c r="R112" s="39">
        <v>0.22115844764994938</v>
      </c>
      <c r="S112" s="39">
        <v>0.2328631358328333</v>
      </c>
      <c r="T112" s="39">
        <v>0.24207063386072514</v>
      </c>
      <c r="U112" s="39">
        <v>0.24920600293020698</v>
      </c>
      <c r="V112" s="39">
        <v>0.29170016097670431</v>
      </c>
      <c r="W112" s="39">
        <v>0.27349711503076729</v>
      </c>
      <c r="X112" s="39">
        <v>0.28165722614748639</v>
      </c>
      <c r="Y112" s="39">
        <v>0.3204261676752615</v>
      </c>
      <c r="Z112" s="39">
        <v>0.32447959898549084</v>
      </c>
      <c r="AA112" s="39">
        <v>0.29702449160367106</v>
      </c>
      <c r="AB112" s="39">
        <v>0.28664100153170891</v>
      </c>
      <c r="AC112" s="39">
        <v>0.3007109328853993</v>
      </c>
      <c r="AD112" s="39">
        <v>0.29380545632938276</v>
      </c>
      <c r="AE112" s="39">
        <v>0.29667711439933503</v>
      </c>
      <c r="AF112" s="39">
        <v>0.3203448118942408</v>
      </c>
      <c r="AG112" s="39">
        <v>0.30162844770984898</v>
      </c>
      <c r="AH112" s="39">
        <v>0.29913007132593228</v>
      </c>
    </row>
    <row r="113" spans="1:34" x14ac:dyDescent="0.35">
      <c r="A113" s="39" t="s">
        <v>326</v>
      </c>
      <c r="B113" s="39" t="s">
        <v>327</v>
      </c>
      <c r="C113" s="39" t="s">
        <v>112</v>
      </c>
      <c r="D113" s="39" t="s">
        <v>113</v>
      </c>
    </row>
    <row r="114" spans="1:34" x14ac:dyDescent="0.35">
      <c r="A114" s="39" t="s">
        <v>328</v>
      </c>
      <c r="B114" s="39" t="s">
        <v>329</v>
      </c>
      <c r="C114" s="39" t="s">
        <v>112</v>
      </c>
      <c r="D114" s="39" t="s">
        <v>113</v>
      </c>
      <c r="E114" s="39">
        <v>1.0228448612739351</v>
      </c>
      <c r="F114" s="39">
        <v>0.98014196983141078</v>
      </c>
      <c r="G114" s="39">
        <v>1.0414926973067131</v>
      </c>
      <c r="H114" s="39">
        <v>0.92868356785672757</v>
      </c>
      <c r="I114" s="39">
        <v>0.93654652532391047</v>
      </c>
      <c r="J114" s="39">
        <v>1.0131641414141412</v>
      </c>
      <c r="K114" s="39">
        <v>1.0191469254032259</v>
      </c>
      <c r="L114" s="39">
        <v>0.9965735434574976</v>
      </c>
      <c r="M114" s="39">
        <v>0.96822922507569797</v>
      </c>
      <c r="N114" s="39">
        <v>0.97366503302791385</v>
      </c>
      <c r="O114" s="39">
        <v>0.86935231251151657</v>
      </c>
      <c r="P114" s="39">
        <v>0.86730738255033557</v>
      </c>
      <c r="Q114" s="39">
        <v>0.92414549218897046</v>
      </c>
      <c r="R114" s="39">
        <v>1.1343487584650114</v>
      </c>
      <c r="S114" s="39">
        <v>1.2317494412714178</v>
      </c>
      <c r="T114" s="39">
        <v>1.2581855490610618</v>
      </c>
      <c r="U114" s="39">
        <v>1.2287203613097477</v>
      </c>
      <c r="V114" s="39">
        <v>1.3123309608540925</v>
      </c>
      <c r="W114" s="39">
        <v>1.3833997363409991</v>
      </c>
      <c r="X114" s="39">
        <v>1.2509266462906363</v>
      </c>
      <c r="Y114" s="39">
        <v>1.1243502757852077</v>
      </c>
      <c r="Z114" s="39">
        <v>1.1559142660432762</v>
      </c>
      <c r="AA114" s="39">
        <v>1.0575340700551321</v>
      </c>
      <c r="AB114" s="39">
        <v>1.0771003256048806</v>
      </c>
      <c r="AC114" s="39">
        <v>1.0866493299278639</v>
      </c>
      <c r="AD114" s="39">
        <v>0.8977551762215441</v>
      </c>
      <c r="AE114" s="39">
        <v>0.87869262536402148</v>
      </c>
      <c r="AF114" s="39">
        <v>0.89368964902470738</v>
      </c>
      <c r="AG114" s="39">
        <v>0.93087322089882285</v>
      </c>
      <c r="AH114" s="39">
        <v>0.89143419373333199</v>
      </c>
    </row>
    <row r="115" spans="1:34" x14ac:dyDescent="0.35">
      <c r="A115" s="39" t="s">
        <v>330</v>
      </c>
      <c r="B115" s="39" t="s">
        <v>331</v>
      </c>
      <c r="C115" s="39" t="s">
        <v>112</v>
      </c>
      <c r="D115" s="39" t="s">
        <v>113</v>
      </c>
      <c r="E115" s="39">
        <v>0.30680341634688074</v>
      </c>
      <c r="H115" s="39">
        <v>0.123965640847003</v>
      </c>
      <c r="I115" s="39">
        <v>0.13889237408098715</v>
      </c>
      <c r="J115" s="39">
        <v>0.17850591128804397</v>
      </c>
      <c r="K115" s="39">
        <v>0.20813449290378586</v>
      </c>
      <c r="L115" s="39">
        <v>0.19265780359821477</v>
      </c>
      <c r="M115" s="39">
        <v>0.18049160377400034</v>
      </c>
      <c r="N115" s="39">
        <v>0.18212710839876295</v>
      </c>
      <c r="O115" s="39">
        <v>0.16199424654146433</v>
      </c>
      <c r="P115" s="39">
        <v>0.18210394065712837</v>
      </c>
      <c r="Q115" s="39">
        <v>0.16942843490258608</v>
      </c>
      <c r="R115" s="39">
        <v>0.18261246839716266</v>
      </c>
      <c r="S115" s="39">
        <v>0.2108707607000638</v>
      </c>
      <c r="T115" s="39">
        <v>0.23614650926327654</v>
      </c>
      <c r="U115" s="39">
        <v>0.25670737292503476</v>
      </c>
      <c r="V115" s="39">
        <v>0.30368821053591111</v>
      </c>
      <c r="W115" s="39">
        <v>0.35018995032237954</v>
      </c>
      <c r="X115" s="39">
        <v>0.34746290385742934</v>
      </c>
      <c r="Y115" s="39">
        <v>0.37953307007938808</v>
      </c>
      <c r="Z115" s="39">
        <v>0.43208903556122541</v>
      </c>
      <c r="AA115" s="39">
        <v>0.49704043536429227</v>
      </c>
      <c r="AB115" s="39">
        <v>0.39402808896774855</v>
      </c>
      <c r="AC115" s="39">
        <v>0.36660770323871039</v>
      </c>
      <c r="AD115" s="39">
        <v>0.36091831848859063</v>
      </c>
      <c r="AE115" s="39">
        <v>0.3749354403331977</v>
      </c>
      <c r="AF115" s="39">
        <v>0.37977179373330439</v>
      </c>
    </row>
    <row r="116" spans="1:34" x14ac:dyDescent="0.35">
      <c r="A116" s="39" t="s">
        <v>332</v>
      </c>
      <c r="B116" s="39" t="s">
        <v>333</v>
      </c>
      <c r="C116" s="39" t="s">
        <v>112</v>
      </c>
      <c r="D116" s="39" t="s">
        <v>113</v>
      </c>
      <c r="S116" s="39">
        <v>0.15237806243261023</v>
      </c>
      <c r="T116" s="39">
        <v>0.19304730630086003</v>
      </c>
      <c r="U116" s="39">
        <v>0.22180478939158388</v>
      </c>
      <c r="V116" s="39">
        <v>0.29058660444047474</v>
      </c>
      <c r="W116" s="39">
        <v>0.39017659162653689</v>
      </c>
      <c r="X116" s="39">
        <v>0.31778201713225468</v>
      </c>
      <c r="Y116" s="39">
        <v>0.36622426620598036</v>
      </c>
      <c r="Z116" s="39">
        <v>0.44729932475293843</v>
      </c>
      <c r="AA116" s="39">
        <v>0.45082564439878625</v>
      </c>
      <c r="AB116" s="39">
        <v>0.45551301357472129</v>
      </c>
      <c r="AC116" s="39">
        <v>0.47794123497467322</v>
      </c>
      <c r="AD116" s="39">
        <v>0.4801683808106425</v>
      </c>
      <c r="AE116" s="39">
        <v>0.48264381163414799</v>
      </c>
      <c r="AF116" s="39">
        <v>0.47441692320021661</v>
      </c>
      <c r="AG116" s="39">
        <v>0.53467373643447291</v>
      </c>
      <c r="AH116" s="39">
        <v>0.52550605934405159</v>
      </c>
    </row>
    <row r="117" spans="1:34" x14ac:dyDescent="0.35">
      <c r="A117" s="39" t="s">
        <v>334</v>
      </c>
      <c r="B117" s="39" t="s">
        <v>335</v>
      </c>
      <c r="C117" s="39" t="s">
        <v>112</v>
      </c>
      <c r="D117" s="39" t="s">
        <v>113</v>
      </c>
      <c r="E117" s="39">
        <v>1.1567448416197983</v>
      </c>
      <c r="F117" s="39">
        <v>1.1978630015780649</v>
      </c>
      <c r="G117" s="39">
        <v>1.2421068920635527</v>
      </c>
      <c r="H117" s="39">
        <v>1.0517682890750732</v>
      </c>
      <c r="I117" s="39">
        <v>1.0212212414432034</v>
      </c>
      <c r="J117" s="39">
        <v>1.1138813479936376</v>
      </c>
      <c r="K117" s="39">
        <v>1.116592</v>
      </c>
      <c r="L117" s="39">
        <v>1.0392778999299055</v>
      </c>
      <c r="M117" s="39">
        <v>1.0804121293773949</v>
      </c>
      <c r="N117" s="39">
        <v>1.0955452731930329</v>
      </c>
      <c r="O117" s="39">
        <v>1.0774119517655441</v>
      </c>
      <c r="P117" s="39">
        <v>0.90616951981327098</v>
      </c>
      <c r="Q117" s="39">
        <v>0.99393108572064448</v>
      </c>
      <c r="R117" s="39">
        <v>1.208586489199442</v>
      </c>
      <c r="S117" s="39">
        <v>1.3302340875060727</v>
      </c>
      <c r="T117" s="39">
        <v>1.5217224209571989</v>
      </c>
      <c r="U117" s="39">
        <v>1.4499215730977484</v>
      </c>
      <c r="V117" s="39">
        <v>1.6778161579892279</v>
      </c>
      <c r="W117" s="39">
        <v>1.3022141858986966</v>
      </c>
      <c r="X117" s="39">
        <v>0.98560521650231647</v>
      </c>
      <c r="Y117" s="39">
        <v>1.0863070310462579</v>
      </c>
      <c r="Z117" s="39">
        <v>1.1655652901535256</v>
      </c>
      <c r="AA117" s="39">
        <v>1.0950161350731873</v>
      </c>
      <c r="AB117" s="39">
        <v>1.1214896253886921</v>
      </c>
      <c r="AC117" s="39">
        <v>1.1865291626939485</v>
      </c>
      <c r="AD117" s="39">
        <v>1.0759417347826383</v>
      </c>
      <c r="AE117" s="39">
        <v>1.1591946154383794</v>
      </c>
      <c r="AF117" s="39">
        <v>1.2834381719727581</v>
      </c>
      <c r="AG117" s="39">
        <v>1.2636991154337274</v>
      </c>
      <c r="AH117" s="39">
        <v>1.1146070236194066</v>
      </c>
    </row>
    <row r="118" spans="1:34" x14ac:dyDescent="0.35">
      <c r="A118" s="39" t="s">
        <v>336</v>
      </c>
      <c r="B118" s="39" t="s">
        <v>337</v>
      </c>
      <c r="C118" s="39" t="s">
        <v>112</v>
      </c>
      <c r="D118" s="39" t="s">
        <v>113</v>
      </c>
      <c r="E118" s="39">
        <v>0.83583374665211785</v>
      </c>
      <c r="F118" s="39">
        <v>0.85920538809179059</v>
      </c>
      <c r="G118" s="39">
        <v>0.87245170997519428</v>
      </c>
      <c r="H118" s="39">
        <v>0.82266315677891244</v>
      </c>
      <c r="I118" s="39">
        <v>0.85196439839261406</v>
      </c>
      <c r="J118" s="39">
        <v>0.91008634144721556</v>
      </c>
      <c r="K118" s="39">
        <v>0.93252686656014039</v>
      </c>
      <c r="L118" s="39">
        <v>0.9185774337565954</v>
      </c>
      <c r="M118" s="39">
        <v>0.88096629036078</v>
      </c>
      <c r="N118" s="39">
        <v>0.84659298983018083</v>
      </c>
      <c r="O118" s="39">
        <v>0.84414220194736711</v>
      </c>
      <c r="P118" s="39">
        <v>0.81483272701333898</v>
      </c>
      <c r="Q118" s="39">
        <v>0.7308615813246655</v>
      </c>
      <c r="R118" s="39">
        <v>0.79683164620891067</v>
      </c>
      <c r="S118" s="39">
        <v>0.78930455153949119</v>
      </c>
      <c r="T118" s="39">
        <v>0.82824988301357039</v>
      </c>
      <c r="U118" s="39">
        <v>0.85086000269311912</v>
      </c>
      <c r="V118" s="39">
        <v>0.9076492782551544</v>
      </c>
      <c r="W118" s="39">
        <v>1.0778163322185061</v>
      </c>
      <c r="X118" s="39">
        <v>1.0083961040612364</v>
      </c>
      <c r="Y118" s="39">
        <v>1.064855207643806</v>
      </c>
      <c r="Z118" s="39">
        <v>1.1024651884834225</v>
      </c>
      <c r="AA118" s="39">
        <v>1.0257879124904059</v>
      </c>
      <c r="AB118" s="39">
        <v>1.0633683136737215</v>
      </c>
      <c r="AC118" s="39">
        <v>1.1013050860484779</v>
      </c>
      <c r="AD118" s="39">
        <v>1.0095940997384341</v>
      </c>
      <c r="AE118" s="39">
        <v>0.98619717576399235</v>
      </c>
      <c r="AF118" s="39">
        <v>1.0404242829221848</v>
      </c>
      <c r="AG118" s="39">
        <v>1.036223023971188</v>
      </c>
      <c r="AH118" s="39">
        <v>1.034307677146969</v>
      </c>
    </row>
    <row r="119" spans="1:34" x14ac:dyDescent="0.35">
      <c r="A119" s="39" t="s">
        <v>338</v>
      </c>
      <c r="B119" s="39" t="s">
        <v>339</v>
      </c>
      <c r="C119" s="39" t="s">
        <v>112</v>
      </c>
      <c r="D119" s="39" t="s">
        <v>113</v>
      </c>
      <c r="E119" s="39">
        <v>1.1194553975436328</v>
      </c>
      <c r="F119" s="39">
        <v>1.1251115966911192</v>
      </c>
      <c r="G119" s="39">
        <v>1.1556684996072271</v>
      </c>
      <c r="H119" s="39">
        <v>0.91852097945121203</v>
      </c>
      <c r="I119" s="39">
        <v>0.9087007684918349</v>
      </c>
      <c r="J119" s="39">
        <v>0.92443955782717213</v>
      </c>
      <c r="K119" s="39">
        <v>1.0027757560547119</v>
      </c>
      <c r="L119" s="39">
        <v>0.91459413369713505</v>
      </c>
      <c r="M119" s="39">
        <v>0.89199063231850118</v>
      </c>
      <c r="N119" s="39">
        <v>0.8592020029831664</v>
      </c>
      <c r="O119" s="39">
        <v>0.74171641791044773</v>
      </c>
      <c r="P119" s="39">
        <v>0.7303507829977629</v>
      </c>
      <c r="Q119" s="39">
        <v>0.77497553171466216</v>
      </c>
      <c r="R119" s="39">
        <v>0.94173250564334077</v>
      </c>
      <c r="S119" s="39">
        <v>1.0586503600695307</v>
      </c>
      <c r="T119" s="39">
        <v>1.0634734485760478</v>
      </c>
      <c r="U119" s="39">
        <v>1.0335403337096976</v>
      </c>
      <c r="V119" s="39">
        <v>1.108983027648508</v>
      </c>
      <c r="W119" s="39">
        <v>1.1479332063864069</v>
      </c>
      <c r="X119" s="39">
        <v>1.0705487635454292</v>
      </c>
      <c r="Y119" s="39">
        <v>1.0232662280091656</v>
      </c>
      <c r="Z119" s="39">
        <v>1.0546763872141205</v>
      </c>
      <c r="AA119" s="39">
        <v>0.960731269848074</v>
      </c>
      <c r="AB119" s="39">
        <v>0.97894179314342311</v>
      </c>
      <c r="AC119" s="39">
        <v>0.98131065109703286</v>
      </c>
      <c r="AD119" s="39">
        <v>0.81904027067587415</v>
      </c>
      <c r="AE119" s="39">
        <v>0.77498647822285849</v>
      </c>
      <c r="AF119" s="39">
        <v>0.77556566648823666</v>
      </c>
      <c r="AG119" s="39">
        <v>0.80623882479764652</v>
      </c>
      <c r="AH119" s="39">
        <v>0.75095133749803811</v>
      </c>
    </row>
    <row r="120" spans="1:34" x14ac:dyDescent="0.35">
      <c r="A120" s="39" t="s">
        <v>340</v>
      </c>
      <c r="B120" s="39" t="s">
        <v>341</v>
      </c>
      <c r="C120" s="39" t="s">
        <v>112</v>
      </c>
      <c r="D120" s="39" t="s">
        <v>113</v>
      </c>
      <c r="E120" s="39">
        <v>0.38176474730601623</v>
      </c>
      <c r="F120" s="39">
        <v>0.33243837409347055</v>
      </c>
      <c r="G120" s="39">
        <v>0.27648671323115315</v>
      </c>
      <c r="H120" s="39">
        <v>0.37786652326756232</v>
      </c>
      <c r="I120" s="39">
        <v>0.36586581117021028</v>
      </c>
      <c r="J120" s="39">
        <v>0.42246687466018951</v>
      </c>
      <c r="K120" s="39">
        <v>0.46801053191711672</v>
      </c>
      <c r="L120" s="39">
        <v>0.52899449927734443</v>
      </c>
      <c r="M120" s="39">
        <v>0.54907045582100955</v>
      </c>
      <c r="N120" s="39">
        <v>0.54104503187207653</v>
      </c>
      <c r="O120" s="39">
        <v>0.53253304394529022</v>
      </c>
      <c r="P120" s="39">
        <v>0.52521277144684242</v>
      </c>
      <c r="Q120" s="39">
        <v>0.53541764788414092</v>
      </c>
      <c r="R120" s="39">
        <v>0.49164931039653376</v>
      </c>
      <c r="S120" s="39">
        <v>0.51028445536861589</v>
      </c>
      <c r="T120" s="39">
        <v>0.54138671803377914</v>
      </c>
      <c r="U120" s="39">
        <v>0.54246999526560391</v>
      </c>
      <c r="V120" s="39">
        <v>0.56133781090613843</v>
      </c>
      <c r="W120" s="39">
        <v>0.592033695801923</v>
      </c>
      <c r="X120" s="39">
        <v>0.54177338029809585</v>
      </c>
      <c r="Y120" s="39">
        <v>0.59543404851730519</v>
      </c>
      <c r="Z120" s="39">
        <v>0.62641465185857015</v>
      </c>
      <c r="AA120" s="39">
        <v>0.6363424967450857</v>
      </c>
      <c r="AB120" s="39">
        <v>0.59099179691157278</v>
      </c>
      <c r="AC120" s="39">
        <v>0.56573737050133999</v>
      </c>
      <c r="AD120" s="39">
        <v>0.55822288677407927</v>
      </c>
      <c r="AE120" s="39">
        <v>0.5268291630587314</v>
      </c>
      <c r="AF120" s="39">
        <v>0.52812960246894025</v>
      </c>
      <c r="AG120" s="39">
        <v>0.53715504274841919</v>
      </c>
      <c r="AH120" s="39">
        <v>0.54910774220386072</v>
      </c>
    </row>
    <row r="121" spans="1:34" x14ac:dyDescent="0.35">
      <c r="A121" s="39" t="s">
        <v>342</v>
      </c>
      <c r="B121" s="39" t="s">
        <v>343</v>
      </c>
      <c r="C121" s="39" t="s">
        <v>112</v>
      </c>
      <c r="D121" s="39" t="s">
        <v>113</v>
      </c>
      <c r="E121" s="39">
        <v>0.28023475507739792</v>
      </c>
      <c r="F121" s="39">
        <v>0.27800299725438538</v>
      </c>
      <c r="G121" s="39">
        <v>0.28423054597116065</v>
      </c>
      <c r="H121" s="39">
        <v>0.27988990177772549</v>
      </c>
      <c r="I121" s="39">
        <v>0.2904326816225748</v>
      </c>
      <c r="J121" s="39">
        <v>0.2888800357030451</v>
      </c>
      <c r="K121" s="39">
        <v>0.28612216727599576</v>
      </c>
      <c r="L121" s="39">
        <v>0.28479988660226097</v>
      </c>
      <c r="M121" s="39">
        <v>0.29859292633259099</v>
      </c>
      <c r="N121" s="39">
        <v>0.29317282257331878</v>
      </c>
      <c r="O121" s="39">
        <v>0.28558181272916083</v>
      </c>
      <c r="P121" s="39">
        <v>0.28162325766325813</v>
      </c>
      <c r="Q121" s="39">
        <v>0.27979917742918192</v>
      </c>
      <c r="R121" s="39">
        <v>0.28060194549278422</v>
      </c>
      <c r="S121" s="39">
        <v>0.28169150265079973</v>
      </c>
      <c r="T121" s="39">
        <v>0.2786639384009873</v>
      </c>
      <c r="U121" s="39">
        <v>0.29928819453348804</v>
      </c>
      <c r="V121" s="39">
        <v>0.30617959575333714</v>
      </c>
      <c r="W121" s="39">
        <v>0.35965369417773002</v>
      </c>
      <c r="X121" s="39">
        <v>0.36686466394269435</v>
      </c>
      <c r="Y121" s="39">
        <v>0.39321478173044222</v>
      </c>
      <c r="Z121" s="39">
        <v>0.40976787117165636</v>
      </c>
      <c r="AA121" s="39">
        <v>0.42553774907555358</v>
      </c>
      <c r="AB121" s="39">
        <v>0.43384420200132962</v>
      </c>
      <c r="AC121" s="39">
        <v>0.44999743851137891</v>
      </c>
      <c r="AD121" s="39">
        <v>0.43996287063813522</v>
      </c>
      <c r="AE121" s="39">
        <v>0.44202766787837894</v>
      </c>
      <c r="AF121" s="39">
        <v>0.42300060601301553</v>
      </c>
      <c r="AG121" s="39">
        <v>0.420543300764255</v>
      </c>
      <c r="AH121" s="39">
        <v>0.41974347445089438</v>
      </c>
    </row>
    <row r="122" spans="1:34" x14ac:dyDescent="0.35">
      <c r="A122" s="39" t="s">
        <v>344</v>
      </c>
      <c r="B122" s="39" t="s">
        <v>345</v>
      </c>
      <c r="C122" s="39" t="s">
        <v>112</v>
      </c>
      <c r="D122" s="39" t="s">
        <v>113</v>
      </c>
      <c r="E122" s="39">
        <v>1.2964104908748728</v>
      </c>
      <c r="F122" s="39">
        <v>1.3873575330699957</v>
      </c>
      <c r="G122" s="39">
        <v>1.4667642574533382</v>
      </c>
      <c r="H122" s="39">
        <v>1.6412152758417882</v>
      </c>
      <c r="I122" s="39">
        <v>1.7528836742401266</v>
      </c>
      <c r="J122" s="39">
        <v>1.8556614848457786</v>
      </c>
      <c r="K122" s="39">
        <v>1.5678867723671184</v>
      </c>
      <c r="L122" s="39">
        <v>1.3927240891670367</v>
      </c>
      <c r="M122" s="39">
        <v>1.27234162405953</v>
      </c>
      <c r="N122" s="39">
        <v>1.4225291202983492</v>
      </c>
      <c r="O122" s="39">
        <v>1.4356900028302193</v>
      </c>
      <c r="P122" s="39">
        <v>1.2320104600634088</v>
      </c>
      <c r="Q122" s="39">
        <v>1.146634486553737</v>
      </c>
      <c r="R122" s="39">
        <v>1.2034148197026744</v>
      </c>
      <c r="S122" s="39">
        <v>1.2418831717393917</v>
      </c>
      <c r="T122" s="39">
        <v>1.1754134525876851</v>
      </c>
      <c r="U122" s="39">
        <v>1.0708304263224284</v>
      </c>
      <c r="V122" s="39">
        <v>1.0224256773684011</v>
      </c>
      <c r="W122" s="39">
        <v>1.1304796753080268</v>
      </c>
      <c r="X122" s="39">
        <v>1.2306288761046531</v>
      </c>
      <c r="Y122" s="39">
        <v>1.2721205971186449</v>
      </c>
      <c r="Z122" s="39">
        <v>1.3464264324860757</v>
      </c>
      <c r="AA122" s="39">
        <v>1.3068476856666129</v>
      </c>
      <c r="AB122" s="39">
        <v>1.0379833979070652</v>
      </c>
      <c r="AC122" s="39">
        <v>0.97269610635094916</v>
      </c>
      <c r="AD122" s="39">
        <v>0.85464555904690898</v>
      </c>
      <c r="AE122" s="39">
        <v>0.96975628882567178</v>
      </c>
      <c r="AF122" s="39">
        <v>0.9394899475331242</v>
      </c>
      <c r="AG122" s="39">
        <v>0.94735521676019696</v>
      </c>
      <c r="AH122" s="39">
        <v>0.93087110359813197</v>
      </c>
    </row>
    <row r="123" spans="1:34" x14ac:dyDescent="0.35">
      <c r="A123" s="39" t="s">
        <v>346</v>
      </c>
      <c r="B123" s="39" t="s">
        <v>347</v>
      </c>
      <c r="C123" s="39" t="s">
        <v>112</v>
      </c>
      <c r="D123" s="39" t="s">
        <v>113</v>
      </c>
      <c r="E123" s="39">
        <v>0.19919079932955208</v>
      </c>
      <c r="F123" s="39">
        <v>0.19999779281045701</v>
      </c>
      <c r="G123" s="39">
        <v>0.20669944409989796</v>
      </c>
      <c r="H123" s="39">
        <v>0.20900025437775563</v>
      </c>
      <c r="I123" s="39">
        <v>0.21254548958972283</v>
      </c>
      <c r="J123" s="39">
        <v>0.21742211161226618</v>
      </c>
      <c r="K123" s="39">
        <v>0.21934339677803993</v>
      </c>
      <c r="L123" s="39">
        <v>0.22341617212945553</v>
      </c>
      <c r="M123" s="39">
        <v>0.22489674670430804</v>
      </c>
      <c r="N123" s="39">
        <v>0.16452768327772019</v>
      </c>
      <c r="O123" s="39">
        <v>0.15891316508340725</v>
      </c>
      <c r="P123" s="39">
        <v>0.16592301917284058</v>
      </c>
      <c r="Q123" s="39">
        <v>0.16544081343143882</v>
      </c>
      <c r="R123" s="39">
        <v>0.18598426109003663</v>
      </c>
      <c r="S123" s="39">
        <v>0.23125965226497519</v>
      </c>
      <c r="T123" s="39">
        <v>0.2706389973231525</v>
      </c>
      <c r="U123" s="39">
        <v>0.33649978016382742</v>
      </c>
      <c r="V123" s="39">
        <v>0.38949923488656529</v>
      </c>
      <c r="W123" s="39">
        <v>0.4707204978592659</v>
      </c>
      <c r="X123" s="39">
        <v>0.39889166288145966</v>
      </c>
      <c r="Y123" s="39">
        <v>0.47180504372139054</v>
      </c>
      <c r="Z123" s="39">
        <v>0.55988028656247613</v>
      </c>
      <c r="AA123" s="39">
        <v>0.5622095649585569</v>
      </c>
      <c r="AB123" s="39">
        <v>0.5668542563406066</v>
      </c>
      <c r="AC123" s="39">
        <v>0.51795744404879129</v>
      </c>
      <c r="AD123" s="39">
        <v>0.45258002749248966</v>
      </c>
      <c r="AE123" s="39">
        <v>0.32389682950832943</v>
      </c>
      <c r="AF123" s="39">
        <v>0.37194199939606631</v>
      </c>
      <c r="AG123" s="39">
        <v>0.37528527608776824</v>
      </c>
      <c r="AH123" s="39">
        <v>0.3545874239851855</v>
      </c>
    </row>
    <row r="124" spans="1:34" x14ac:dyDescent="0.35">
      <c r="A124" s="39" t="s">
        <v>8</v>
      </c>
      <c r="B124" s="39" t="s">
        <v>348</v>
      </c>
      <c r="C124" s="39" t="s">
        <v>112</v>
      </c>
      <c r="D124" s="39" t="s">
        <v>113</v>
      </c>
      <c r="E124" s="39">
        <v>0.36496329469606287</v>
      </c>
      <c r="F124" s="39">
        <v>0.33093231562795056</v>
      </c>
      <c r="G124" s="39">
        <v>0.32847315474594002</v>
      </c>
      <c r="H124" s="39">
        <v>0.22402936278077215</v>
      </c>
      <c r="I124" s="39">
        <v>0.26560300816331317</v>
      </c>
      <c r="J124" s="39">
        <v>0.31533576361630222</v>
      </c>
      <c r="K124" s="39">
        <v>0.30426213767699672</v>
      </c>
      <c r="L124" s="39">
        <v>0.32413160778250116</v>
      </c>
      <c r="M124" s="39">
        <v>0.33345847007543061</v>
      </c>
      <c r="N124" s="39">
        <v>0.29399434059576235</v>
      </c>
      <c r="O124" s="39">
        <v>0.28162556910926478</v>
      </c>
      <c r="P124" s="39">
        <v>0.27140923563513786</v>
      </c>
      <c r="Q124" s="39">
        <v>0.26903944291084725</v>
      </c>
      <c r="R124" s="39">
        <v>0.2908967973588229</v>
      </c>
      <c r="S124" s="39">
        <v>0.2910469808864814</v>
      </c>
      <c r="T124" s="39">
        <v>0.31026942895133819</v>
      </c>
      <c r="U124" s="39">
        <v>0.3401532129230882</v>
      </c>
      <c r="V124" s="39">
        <v>0.38363458959716479</v>
      </c>
      <c r="W124" s="39">
        <v>0.42169379693752546</v>
      </c>
      <c r="X124" s="39">
        <v>0.41781859827878659</v>
      </c>
      <c r="Y124" s="39">
        <v>0.41163385795383628</v>
      </c>
      <c r="Z124" s="39">
        <v>0.39855650414994348</v>
      </c>
      <c r="AA124" s="39">
        <v>0.44929448940583772</v>
      </c>
      <c r="AB124" s="39">
        <v>0.43737326900373769</v>
      </c>
      <c r="AC124" s="39">
        <v>0.43549020667772753</v>
      </c>
      <c r="AD124" s="39">
        <v>0.3976479346566254</v>
      </c>
      <c r="AE124" s="39">
        <v>0.38801230646024509</v>
      </c>
      <c r="AF124" s="39">
        <v>0.38859478568929873</v>
      </c>
      <c r="AG124" s="39">
        <v>0.39692939261126875</v>
      </c>
      <c r="AH124" s="39">
        <v>0.40284254224461613</v>
      </c>
    </row>
    <row r="125" spans="1:34" x14ac:dyDescent="0.35">
      <c r="A125" s="39" t="s">
        <v>349</v>
      </c>
      <c r="B125" s="39" t="s">
        <v>350</v>
      </c>
      <c r="C125" s="39" t="s">
        <v>112</v>
      </c>
      <c r="D125" s="39" t="s">
        <v>113</v>
      </c>
      <c r="E125" s="39">
        <v>0.23923542982063187</v>
      </c>
      <c r="F125" s="39">
        <v>0.24145966119043644</v>
      </c>
      <c r="G125" s="39">
        <v>0.24702829673600873</v>
      </c>
      <c r="H125" s="39">
        <v>0.24991858599059052</v>
      </c>
      <c r="I125" s="39">
        <v>0.25376587102600695</v>
      </c>
      <c r="J125" s="39">
        <v>0.25968337356932097</v>
      </c>
      <c r="K125" s="39">
        <v>0.26202158327878394</v>
      </c>
      <c r="L125" s="39">
        <v>0.22668808914509922</v>
      </c>
      <c r="M125" s="39">
        <v>0.2043716853104566</v>
      </c>
      <c r="N125" s="39">
        <v>0.14749088806144217</v>
      </c>
      <c r="O125" s="39">
        <v>0.15003149086717243</v>
      </c>
      <c r="P125" s="39">
        <v>0.15521121773528038</v>
      </c>
      <c r="Q125" s="39">
        <v>0.16088984842730988</v>
      </c>
      <c r="R125" s="39">
        <v>0.17638369156126013</v>
      </c>
      <c r="S125" s="39">
        <v>0.18494613390250944</v>
      </c>
      <c r="T125" s="39">
        <v>0.19988110146057186</v>
      </c>
      <c r="U125" s="39">
        <v>0.21677040624544552</v>
      </c>
      <c r="V125" s="39">
        <v>0.26093798802153084</v>
      </c>
      <c r="W125" s="39">
        <v>0.319166890827629</v>
      </c>
      <c r="X125" s="39">
        <v>0.28091897446242436</v>
      </c>
      <c r="Y125" s="39">
        <v>0.28520318996064992</v>
      </c>
      <c r="Z125" s="39">
        <v>0.34084262488990308</v>
      </c>
      <c r="AA125" s="39">
        <v>0.32557379438721612</v>
      </c>
      <c r="AB125" s="39">
        <v>0.31720778789133347</v>
      </c>
      <c r="AC125" s="39">
        <v>0.29888425132530783</v>
      </c>
      <c r="AD125" s="39">
        <v>0.26598533410432484</v>
      </c>
      <c r="AE125" s="39">
        <v>0.23939856488287911</v>
      </c>
      <c r="AF125" s="39">
        <v>0.24625433000619026</v>
      </c>
      <c r="AG125" s="39">
        <v>0.24896666003377527</v>
      </c>
      <c r="AH125" s="39">
        <v>0.23934163752922336</v>
      </c>
    </row>
    <row r="126" spans="1:34" x14ac:dyDescent="0.35">
      <c r="A126" s="39" t="s">
        <v>351</v>
      </c>
      <c r="B126" s="39" t="s">
        <v>352</v>
      </c>
      <c r="C126" s="39" t="s">
        <v>112</v>
      </c>
      <c r="D126" s="39" t="s">
        <v>113</v>
      </c>
      <c r="H126" s="39">
        <v>0.22487151922609261</v>
      </c>
      <c r="I126" s="39">
        <v>0.3720795848112301</v>
      </c>
      <c r="J126" s="39">
        <v>0.40878528019505872</v>
      </c>
      <c r="K126" s="39">
        <v>0.38629299152348645</v>
      </c>
      <c r="L126" s="39">
        <v>0.35852696369406373</v>
      </c>
      <c r="M126" s="39">
        <v>0.30691295677717517</v>
      </c>
      <c r="N126" s="39">
        <v>0.30257534573333689</v>
      </c>
      <c r="O126" s="39">
        <v>0.27953396588226259</v>
      </c>
      <c r="P126" s="39">
        <v>0.2757646925154536</v>
      </c>
      <c r="Q126" s="39">
        <v>0.27389523923168246</v>
      </c>
      <c r="R126" s="39">
        <v>0.26946974838533294</v>
      </c>
      <c r="S126" s="39">
        <v>0.27250843140974779</v>
      </c>
      <c r="T126" s="39">
        <v>0.27511591329473184</v>
      </c>
      <c r="U126" s="39">
        <v>0.27866957189467861</v>
      </c>
      <c r="V126" s="39">
        <v>0.29242362544105005</v>
      </c>
      <c r="W126" s="39">
        <v>0.32215224236745121</v>
      </c>
      <c r="X126" s="39">
        <v>0.3209789254145613</v>
      </c>
      <c r="Y126" s="39">
        <v>0.32361909421857077</v>
      </c>
      <c r="Z126" s="39">
        <v>0.3378675253326352</v>
      </c>
      <c r="AA126" s="39">
        <v>0.33146300104218451</v>
      </c>
      <c r="AB126" s="39">
        <v>0.33275004704280342</v>
      </c>
      <c r="AC126" s="39">
        <v>0.3432905923471356</v>
      </c>
      <c r="AD126" s="39">
        <v>0.3431676095987487</v>
      </c>
      <c r="AE126" s="39">
        <v>0.34546344414146851</v>
      </c>
      <c r="AF126" s="39">
        <v>0.35262938039120323</v>
      </c>
      <c r="AG126" s="39">
        <v>0.3551690066196927</v>
      </c>
      <c r="AH126" s="39">
        <v>0.35949054672209019</v>
      </c>
    </row>
    <row r="127" spans="1:34" x14ac:dyDescent="0.35">
      <c r="A127" s="39" t="s">
        <v>353</v>
      </c>
      <c r="B127" s="39" t="s">
        <v>354</v>
      </c>
      <c r="C127" s="39" t="s">
        <v>112</v>
      </c>
      <c r="D127" s="39" t="s">
        <v>113</v>
      </c>
      <c r="E127" s="39">
        <v>0.43588873143360002</v>
      </c>
      <c r="F127" s="39">
        <v>0.50324220582814372</v>
      </c>
      <c r="G127" s="39">
        <v>0.4900375211885708</v>
      </c>
      <c r="H127" s="39">
        <v>0.46643405437428531</v>
      </c>
      <c r="I127" s="39">
        <v>0.52465542017986411</v>
      </c>
      <c r="J127" s="39">
        <v>0.52798900555142181</v>
      </c>
      <c r="K127" s="39">
        <v>0.6019576155571954</v>
      </c>
      <c r="L127" s="39">
        <v>0.5909966559701143</v>
      </c>
      <c r="M127" s="39">
        <v>0.53056759548722077</v>
      </c>
      <c r="N127" s="39">
        <v>0.56124931155794255</v>
      </c>
      <c r="O127" s="39">
        <v>0.50337591514304325</v>
      </c>
      <c r="P127" s="39">
        <v>0.46905358181410156</v>
      </c>
      <c r="Q127" s="39">
        <v>0.50902555829616425</v>
      </c>
      <c r="R127" s="39">
        <v>0.61230133647849527</v>
      </c>
      <c r="S127" s="39">
        <v>0.68764208776302038</v>
      </c>
      <c r="T127" s="39">
        <v>0.69603104082903922</v>
      </c>
      <c r="U127" s="39">
        <v>0.66447281418049997</v>
      </c>
      <c r="V127" s="39">
        <v>0.76326442736050615</v>
      </c>
      <c r="W127" s="39">
        <v>0.81294236279133714</v>
      </c>
      <c r="X127" s="39">
        <v>0.75143690761092652</v>
      </c>
      <c r="Y127" s="39">
        <v>0.88389249346200871</v>
      </c>
      <c r="Z127" s="39">
        <v>0.99187352417939756</v>
      </c>
      <c r="AA127" s="39">
        <v>0.97307577031013881</v>
      </c>
      <c r="AB127" s="39">
        <v>0.89287698851644137</v>
      </c>
      <c r="AC127" s="39">
        <v>0.85666411836787903</v>
      </c>
      <c r="AD127" s="39">
        <v>0.73103768655389678</v>
      </c>
      <c r="AE127" s="39">
        <v>0.71679309867088692</v>
      </c>
      <c r="AF127" s="39">
        <v>0.73218807642037487</v>
      </c>
      <c r="AG127" s="39">
        <v>0.73445907555252987</v>
      </c>
      <c r="AH127" s="39">
        <v>0.69850302519299279</v>
      </c>
    </row>
    <row r="128" spans="1:34" x14ac:dyDescent="0.35">
      <c r="A128" s="39" t="s">
        <v>355</v>
      </c>
      <c r="B128" s="39" t="s">
        <v>356</v>
      </c>
      <c r="C128" s="39" t="s">
        <v>112</v>
      </c>
      <c r="D128" s="39" t="s">
        <v>113</v>
      </c>
      <c r="E128" s="39">
        <v>0.54687463412333326</v>
      </c>
      <c r="F128" s="39">
        <v>0.54717381641434804</v>
      </c>
      <c r="G128" s="39">
        <v>0.56332173370913707</v>
      </c>
      <c r="H128" s="39">
        <v>0.5612401876742259</v>
      </c>
      <c r="I128" s="39">
        <v>0.58397379181654074</v>
      </c>
      <c r="J128" s="39">
        <v>0.57646180028949623</v>
      </c>
      <c r="K128" s="39">
        <v>0.569757453820674</v>
      </c>
      <c r="L128" s="39">
        <v>0.58821451824536397</v>
      </c>
      <c r="M128" s="39">
        <v>0.59795388138581174</v>
      </c>
      <c r="N128" s="39">
        <v>0.60583567485207068</v>
      </c>
      <c r="O128" s="39">
        <v>0.60330073943599904</v>
      </c>
      <c r="P128" s="39">
        <v>0.61358804822248914</v>
      </c>
      <c r="Q128" s="39">
        <v>0.61660968331213439</v>
      </c>
      <c r="R128" s="39">
        <v>0.61311371272743487</v>
      </c>
      <c r="S128" s="39">
        <v>0.62437545690482965</v>
      </c>
      <c r="T128" s="39">
        <v>0.60256075626500361</v>
      </c>
      <c r="U128" s="39">
        <v>0.64647701784180001</v>
      </c>
      <c r="V128" s="39">
        <v>0.6693812163972036</v>
      </c>
      <c r="W128" s="39">
        <v>0.67434089066792224</v>
      </c>
      <c r="X128" s="39">
        <v>0.69434656367315917</v>
      </c>
      <c r="Y128" s="39">
        <v>0.7019233110529185</v>
      </c>
      <c r="Z128" s="39">
        <v>0.72636811821548886</v>
      </c>
      <c r="AA128" s="39">
        <v>0.74672125003955925</v>
      </c>
      <c r="AB128" s="39">
        <v>0.75320261496084817</v>
      </c>
      <c r="AC128" s="39">
        <v>0.75369834899902222</v>
      </c>
      <c r="AD128" s="39">
        <v>0.7536715931362592</v>
      </c>
      <c r="AE128" s="39">
        <v>0.75467277456212956</v>
      </c>
      <c r="AF128" s="39">
        <v>0.75546829788773329</v>
      </c>
      <c r="AG128" s="39">
        <v>0.72706762294143334</v>
      </c>
      <c r="AH128" s="39">
        <v>0.72485597136085556</v>
      </c>
    </row>
    <row r="129" spans="1:35" x14ac:dyDescent="0.35">
      <c r="A129" s="39" t="s">
        <v>357</v>
      </c>
      <c r="B129" s="39" t="s">
        <v>358</v>
      </c>
      <c r="C129" s="39" t="s">
        <v>112</v>
      </c>
      <c r="D129" s="39" t="s">
        <v>113</v>
      </c>
      <c r="E129" s="39">
        <v>0.78762068497795867</v>
      </c>
      <c r="F129" s="39">
        <v>0.80500958887298013</v>
      </c>
      <c r="G129" s="39">
        <v>0.79663371805546657</v>
      </c>
      <c r="H129" s="39">
        <v>0.80375591214322206</v>
      </c>
      <c r="I129" s="39">
        <v>0.84988381977721073</v>
      </c>
      <c r="J129" s="39">
        <v>0.92735014197362797</v>
      </c>
      <c r="K129" s="39">
        <v>0.91026864441543909</v>
      </c>
      <c r="L129" s="39">
        <v>0.78746600616005635</v>
      </c>
      <c r="M129" s="39">
        <v>0.55298255009133457</v>
      </c>
      <c r="N129" s="39">
        <v>0.63499349775407554</v>
      </c>
      <c r="O129" s="39">
        <v>0.66070945214684862</v>
      </c>
      <c r="P129" s="39">
        <v>0.58706079133068412</v>
      </c>
      <c r="Q129" s="39">
        <v>0.61528090704905325</v>
      </c>
      <c r="R129" s="39">
        <v>0.66471178657446661</v>
      </c>
      <c r="S129" s="39">
        <v>0.69354302640310139</v>
      </c>
      <c r="T129" s="39">
        <v>0.77034202742714764</v>
      </c>
      <c r="U129" s="39">
        <v>0.80896956033810563</v>
      </c>
      <c r="V129" s="39">
        <v>0.82885769635600381</v>
      </c>
      <c r="W129" s="39">
        <v>0.71296242346172822</v>
      </c>
      <c r="X129" s="39">
        <v>0.64578232479462472</v>
      </c>
      <c r="Y129" s="39">
        <v>0.72737527950514724</v>
      </c>
      <c r="Z129" s="39">
        <v>0.7710834742934648</v>
      </c>
      <c r="AA129" s="39">
        <v>0.75890761482676705</v>
      </c>
      <c r="AB129" s="39">
        <v>0.79378829977981513</v>
      </c>
      <c r="AC129" s="39">
        <v>0.82802522752983776</v>
      </c>
      <c r="AD129" s="39">
        <v>0.75795636328274352</v>
      </c>
      <c r="AE129" s="39">
        <v>0.74023449169939437</v>
      </c>
      <c r="AF129" s="39">
        <v>0.77112245611073926</v>
      </c>
      <c r="AG129" s="39">
        <v>0.79125217264879599</v>
      </c>
      <c r="AH129" s="39">
        <v>0.73815459805252881</v>
      </c>
    </row>
    <row r="130" spans="1:35" x14ac:dyDescent="0.35">
      <c r="A130" s="39" t="s">
        <v>359</v>
      </c>
      <c r="B130" s="39" t="s">
        <v>360</v>
      </c>
      <c r="C130" s="39" t="s">
        <v>112</v>
      </c>
      <c r="D130" s="39" t="s">
        <v>113</v>
      </c>
      <c r="G130" s="39">
        <v>0.33557460211194684</v>
      </c>
      <c r="H130" s="39">
        <v>0.29494923166831921</v>
      </c>
      <c r="I130" s="39">
        <v>0.27640597161985725</v>
      </c>
      <c r="J130" s="39">
        <v>0.2825291866604816</v>
      </c>
      <c r="K130" s="39">
        <v>0.31941159556640353</v>
      </c>
      <c r="L130" s="39">
        <v>0.29534381886010219</v>
      </c>
      <c r="M130" s="39">
        <v>0.24076038797961943</v>
      </c>
      <c r="N130" s="39">
        <v>0.28063419261398159</v>
      </c>
      <c r="O130" s="39">
        <v>0.32824154367207298</v>
      </c>
      <c r="P130" s="39">
        <v>0.29650076809228665</v>
      </c>
      <c r="Q130" s="39">
        <v>0.30973862508760647</v>
      </c>
      <c r="R130" s="39">
        <v>0.32537148452990305</v>
      </c>
      <c r="S130" s="39">
        <v>0.35682171136699353</v>
      </c>
      <c r="T130" s="39">
        <v>0.42527599322119519</v>
      </c>
      <c r="U130" s="39">
        <v>0.48253229525110269</v>
      </c>
      <c r="V130" s="39">
        <v>0.50049790798636873</v>
      </c>
      <c r="W130" s="39">
        <v>0.61595033891336315</v>
      </c>
      <c r="X130" s="39">
        <v>0.47292437826028144</v>
      </c>
      <c r="Y130" s="39">
        <v>0.52155738594618983</v>
      </c>
      <c r="Z130" s="39">
        <v>0.62206306535264844</v>
      </c>
      <c r="AA130" s="39">
        <v>0.62867519939827443</v>
      </c>
      <c r="AB130" s="39">
        <v>0.63270661449230603</v>
      </c>
      <c r="AC130" s="39">
        <v>0.62872135379493677</v>
      </c>
      <c r="AD130" s="39">
        <v>0.63241870152114321</v>
      </c>
      <c r="AE130" s="39">
        <v>0.61883965062605761</v>
      </c>
      <c r="AF130" s="39">
        <v>0.58517636263916906</v>
      </c>
      <c r="AG130" s="39">
        <v>0.65791672743749996</v>
      </c>
      <c r="AH130" s="39">
        <v>0.61704370123222663</v>
      </c>
    </row>
    <row r="131" spans="1:35" x14ac:dyDescent="0.35">
      <c r="A131" s="39" t="s">
        <v>361</v>
      </c>
      <c r="B131" s="39" t="s">
        <v>362</v>
      </c>
      <c r="C131" s="39" t="s">
        <v>112</v>
      </c>
      <c r="D131" s="39" t="s">
        <v>113</v>
      </c>
    </row>
    <row r="132" spans="1:35" x14ac:dyDescent="0.35">
      <c r="A132" s="39" t="s">
        <v>363</v>
      </c>
      <c r="B132" s="39" t="s">
        <v>364</v>
      </c>
      <c r="C132" s="39" t="s">
        <v>112</v>
      </c>
      <c r="D132" s="39" t="s">
        <v>113</v>
      </c>
      <c r="E132" s="39">
        <v>0.19815158150441539</v>
      </c>
      <c r="F132" s="39">
        <v>0.21828144110790365</v>
      </c>
      <c r="G132" s="39">
        <v>0.22178716929090744</v>
      </c>
      <c r="H132" s="39">
        <v>0.24082436415400627</v>
      </c>
      <c r="I132" s="39">
        <v>0.25344408854241224</v>
      </c>
      <c r="J132" s="39">
        <v>0.26497636440168015</v>
      </c>
      <c r="K132" s="39">
        <v>0.25854925829457559</v>
      </c>
      <c r="L132" s="39">
        <v>0.22174624778615296</v>
      </c>
      <c r="M132" s="39">
        <v>0.15455103211374688</v>
      </c>
      <c r="N132" s="39">
        <v>0.1613034174763496</v>
      </c>
      <c r="O132" s="39">
        <v>0.17750680795950749</v>
      </c>
      <c r="P132" s="39">
        <v>0.16780057046552377</v>
      </c>
      <c r="Q132" s="39">
        <v>0.1550361854072099</v>
      </c>
      <c r="R132" s="39">
        <v>0.16514464828534331</v>
      </c>
      <c r="S132" s="39">
        <v>0.17683994359772801</v>
      </c>
      <c r="T132" s="39">
        <v>0.1850959156275894</v>
      </c>
      <c r="U132" s="39">
        <v>0.20877477714568315</v>
      </c>
      <c r="V132" s="39">
        <v>0.23110088814082799</v>
      </c>
      <c r="W132" s="39">
        <v>0.27102547739246063</v>
      </c>
      <c r="X132" s="39">
        <v>0.26808377296603236</v>
      </c>
      <c r="Y132" s="39">
        <v>0.29838097266212193</v>
      </c>
      <c r="Z132" s="39">
        <v>0.33206932108302867</v>
      </c>
      <c r="AA132" s="39">
        <v>0.32662370676184938</v>
      </c>
      <c r="AB132" s="39">
        <v>0.34515044191537747</v>
      </c>
      <c r="AC132" s="39">
        <v>0.34021423234121057</v>
      </c>
      <c r="AD132" s="39">
        <v>0.34606785004276558</v>
      </c>
      <c r="AE132" s="39">
        <v>0.33736826277105736</v>
      </c>
      <c r="AF132" s="39">
        <v>0.33396394972388704</v>
      </c>
      <c r="AG132" s="39">
        <v>0.32713468810891538</v>
      </c>
      <c r="AH132" s="39">
        <v>0.31100175110366146</v>
      </c>
    </row>
    <row r="133" spans="1:35" x14ac:dyDescent="0.35">
      <c r="A133" s="39" t="s">
        <v>365</v>
      </c>
      <c r="B133" s="39" t="s">
        <v>366</v>
      </c>
      <c r="C133" s="39" t="s">
        <v>112</v>
      </c>
      <c r="D133" s="39" t="s">
        <v>113</v>
      </c>
      <c r="E133" s="39">
        <v>0.26375946495906855</v>
      </c>
      <c r="F133" s="39">
        <v>0.28209829902344036</v>
      </c>
      <c r="G133" s="39">
        <v>0.29511141587445627</v>
      </c>
      <c r="H133" s="39">
        <v>0.35371066982985772</v>
      </c>
      <c r="I133" s="39">
        <v>0.38720506809522531</v>
      </c>
      <c r="J133" s="39">
        <v>0.43494964568355682</v>
      </c>
      <c r="K133" s="39">
        <v>0.44837968275172263</v>
      </c>
      <c r="L133" s="39">
        <v>0.50186264416710691</v>
      </c>
      <c r="M133" s="39">
        <v>0.52417335108551499</v>
      </c>
      <c r="N133" s="39">
        <v>0.52377638079811772</v>
      </c>
      <c r="O133" s="39">
        <v>0.50174075816976316</v>
      </c>
      <c r="P133" s="39">
        <v>0.48348359944112829</v>
      </c>
      <c r="Q133" s="39">
        <v>0.49937776321116478</v>
      </c>
      <c r="R133" s="39">
        <v>0.49802538106334521</v>
      </c>
      <c r="S133" s="39">
        <v>0.47898126117600859</v>
      </c>
      <c r="T133" s="39">
        <v>0.45957790176548119</v>
      </c>
      <c r="U133" s="39">
        <v>0.4500074312636968</v>
      </c>
      <c r="V133" s="39">
        <v>0.4519647863129333</v>
      </c>
      <c r="W133" s="39">
        <v>0.47673936802097572</v>
      </c>
      <c r="X133" s="39">
        <v>0.5217919429879011</v>
      </c>
      <c r="Y133" s="39">
        <v>0.51876614096525764</v>
      </c>
      <c r="Z133" s="39">
        <v>0.52321844541207485</v>
      </c>
      <c r="AA133" s="39">
        <v>0.53659721529339233</v>
      </c>
      <c r="AB133" s="39">
        <v>0.52970217424758936</v>
      </c>
      <c r="AC133" s="39">
        <v>0.51151897306297101</v>
      </c>
      <c r="AD133" s="39">
        <v>0.5073442402221604</v>
      </c>
      <c r="AE133" s="39">
        <v>0.49266076663203773</v>
      </c>
      <c r="AF133" s="39">
        <v>0.487413519027452</v>
      </c>
      <c r="AG133" s="39">
        <v>0.50216511907389971</v>
      </c>
      <c r="AH133" s="39">
        <v>0.50787237836374921</v>
      </c>
    </row>
    <row r="134" spans="1:35" x14ac:dyDescent="0.35">
      <c r="A134" s="39" t="s">
        <v>367</v>
      </c>
      <c r="B134" s="39" t="s">
        <v>368</v>
      </c>
      <c r="C134" s="39" t="s">
        <v>112</v>
      </c>
      <c r="D134" s="39" t="s">
        <v>113</v>
      </c>
      <c r="O134" s="39">
        <v>0.30887128448196299</v>
      </c>
      <c r="P134" s="39">
        <v>0.30441805978230302</v>
      </c>
      <c r="Q134" s="39">
        <v>0.29550416606727398</v>
      </c>
      <c r="R134" s="39">
        <v>0.335117812451041</v>
      </c>
      <c r="S134" s="39">
        <v>0.38134625226318902</v>
      </c>
      <c r="T134" s="39">
        <v>0.37163856336033901</v>
      </c>
      <c r="U134" s="39">
        <v>0.393673941079551</v>
      </c>
      <c r="V134" s="39">
        <v>0.42944809466314299</v>
      </c>
      <c r="W134" s="39">
        <v>0.49424210542055202</v>
      </c>
      <c r="X134" s="39">
        <v>0.477147142116848</v>
      </c>
      <c r="Y134" s="39">
        <v>0.50236515756197198</v>
      </c>
      <c r="Z134" s="39">
        <v>0.545838707946248</v>
      </c>
      <c r="AA134" s="39">
        <v>0.56039926454289701</v>
      </c>
      <c r="AB134" s="39">
        <v>0.53903488182800097</v>
      </c>
      <c r="AC134" s="39">
        <v>0.52186249940632701</v>
      </c>
      <c r="AD134" s="39">
        <v>0.54979163534734199</v>
      </c>
      <c r="AE134" s="39">
        <v>0.51819765629242898</v>
      </c>
      <c r="AF134" s="39">
        <v>0.46099355118409702</v>
      </c>
      <c r="AG134" s="39">
        <v>0.44202133040560598</v>
      </c>
      <c r="AH134" s="39">
        <v>0.41822130958956</v>
      </c>
    </row>
    <row r="135" spans="1:35" x14ac:dyDescent="0.35">
      <c r="A135" s="39" t="s">
        <v>369</v>
      </c>
      <c r="B135" s="39" t="s">
        <v>370</v>
      </c>
      <c r="C135" s="39" t="s">
        <v>112</v>
      </c>
      <c r="D135" s="39" t="s">
        <v>113</v>
      </c>
      <c r="N135" s="39">
        <v>0.39445577260691034</v>
      </c>
      <c r="O135" s="39">
        <v>0.39586246265880515</v>
      </c>
      <c r="P135" s="39">
        <v>0.35145317030539419</v>
      </c>
      <c r="Q135" s="39">
        <v>0.20976041156819292</v>
      </c>
      <c r="R135" s="39">
        <v>0.23367379865539922</v>
      </c>
      <c r="S135" s="39">
        <v>0.27469361139180692</v>
      </c>
      <c r="T135" s="39">
        <v>0.34030197555276215</v>
      </c>
      <c r="U135" s="39">
        <v>0.36012426704031358</v>
      </c>
      <c r="V135" s="39">
        <v>0.4050785182583907</v>
      </c>
      <c r="W135" s="39">
        <v>0.49951863601383945</v>
      </c>
      <c r="X135" s="39">
        <v>0.36142212865067092</v>
      </c>
      <c r="Y135" s="39">
        <v>0.40356889340573887</v>
      </c>
      <c r="Z135" s="39">
        <v>0.48372507929444131</v>
      </c>
      <c r="AA135" s="39">
        <v>0.53634426285773718</v>
      </c>
      <c r="AB135" s="39">
        <v>0.52160308038540526</v>
      </c>
      <c r="AC135" s="39">
        <v>0.45213608069458583</v>
      </c>
      <c r="AD135" s="39">
        <v>0.35498451980264412</v>
      </c>
      <c r="AE135" s="39">
        <v>0.36324576222282651</v>
      </c>
      <c r="AF135" s="39">
        <v>0.43486169288253412</v>
      </c>
      <c r="AG135" s="39">
        <v>0.51242089583715678</v>
      </c>
      <c r="AH135" s="39">
        <v>0.48621927485057492</v>
      </c>
    </row>
    <row r="136" spans="1:35" x14ac:dyDescent="0.35">
      <c r="A136" s="39" t="s">
        <v>371</v>
      </c>
      <c r="B136" s="39" t="s">
        <v>372</v>
      </c>
      <c r="C136" s="39" t="s">
        <v>112</v>
      </c>
      <c r="D136" s="39" t="s">
        <v>113</v>
      </c>
      <c r="E136" s="39">
        <v>0.60347307530393335</v>
      </c>
      <c r="F136" s="39">
        <v>0.61573476546972217</v>
      </c>
      <c r="G136" s="39">
        <v>0.61252165101531486</v>
      </c>
      <c r="H136" s="39">
        <v>0.60435465016806289</v>
      </c>
      <c r="I136" s="39">
        <v>0.60697794798897031</v>
      </c>
      <c r="J136" s="39">
        <v>0.62462494035567773</v>
      </c>
      <c r="K136" s="39">
        <v>0.61092112302828139</v>
      </c>
      <c r="L136" s="39">
        <v>0.61782348487648142</v>
      </c>
      <c r="M136" s="39">
        <v>0.62579461403321479</v>
      </c>
      <c r="N136" s="39">
        <v>0.63127706682030738</v>
      </c>
      <c r="O136" s="39">
        <v>0.64219681677654816</v>
      </c>
      <c r="P136" s="39">
        <v>0.62268103613755188</v>
      </c>
      <c r="Q136" s="39">
        <v>0.61550878895355554</v>
      </c>
      <c r="R136" s="39">
        <v>0.63585767284029993</v>
      </c>
      <c r="S136" s="39">
        <v>0.62357250747682214</v>
      </c>
      <c r="T136" s="39">
        <v>0.64644355841979995</v>
      </c>
      <c r="U136" s="39">
        <v>0.65993014897229263</v>
      </c>
      <c r="V136" s="39">
        <v>0.6657438450598111</v>
      </c>
      <c r="W136" s="39">
        <v>0.66958138873666662</v>
      </c>
      <c r="X136" s="39">
        <v>0.66663151522126662</v>
      </c>
      <c r="Y136" s="39">
        <v>0.68800090635614064</v>
      </c>
      <c r="Z136" s="39">
        <v>0.67766414748297776</v>
      </c>
      <c r="AA136" s="39">
        <v>0.69469005973250741</v>
      </c>
      <c r="AB136" s="39">
        <v>0.69527029991149991</v>
      </c>
      <c r="AC136" s="39">
        <v>0.71534368726942221</v>
      </c>
      <c r="AD136" s="39">
        <v>0.7448425116362406</v>
      </c>
      <c r="AE136" s="39">
        <v>0.72504145127755548</v>
      </c>
      <c r="AF136" s="39">
        <v>0.73917048948782593</v>
      </c>
      <c r="AG136" s="39">
        <v>0.72706443575779633</v>
      </c>
      <c r="AH136" s="39">
        <v>0.72169597924892592</v>
      </c>
    </row>
    <row r="137" spans="1:35" x14ac:dyDescent="0.35">
      <c r="A137" s="39" t="s">
        <v>373</v>
      </c>
      <c r="B137" s="39" t="s">
        <v>374</v>
      </c>
      <c r="C137" s="39" t="s">
        <v>112</v>
      </c>
      <c r="D137" s="39" t="s">
        <v>113</v>
      </c>
    </row>
    <row r="138" spans="1:35" x14ac:dyDescent="0.35">
      <c r="A138" s="39" t="s">
        <v>375</v>
      </c>
      <c r="B138" s="39" t="s">
        <v>376</v>
      </c>
      <c r="C138" s="39" t="s">
        <v>112</v>
      </c>
      <c r="D138" s="39" t="s">
        <v>113</v>
      </c>
    </row>
    <row r="139" spans="1:35" x14ac:dyDescent="0.35">
      <c r="A139" s="39" t="s">
        <v>377</v>
      </c>
      <c r="B139" s="39" t="s">
        <v>378</v>
      </c>
      <c r="C139" s="39" t="s">
        <v>112</v>
      </c>
      <c r="D139" s="39" t="s">
        <v>113</v>
      </c>
    </row>
    <row r="140" spans="1:35" x14ac:dyDescent="0.35">
      <c r="A140" s="39" t="s">
        <v>379</v>
      </c>
      <c r="B140" s="39" t="s">
        <v>380</v>
      </c>
      <c r="C140" s="39" t="s">
        <v>112</v>
      </c>
      <c r="D140" s="39" t="s">
        <v>113</v>
      </c>
    </row>
    <row r="141" spans="1:35" x14ac:dyDescent="0.35">
      <c r="A141" s="39" t="s">
        <v>381</v>
      </c>
      <c r="B141" s="39" t="s">
        <v>382</v>
      </c>
      <c r="C141" s="39" t="s">
        <v>112</v>
      </c>
      <c r="D141" s="39" t="s">
        <v>113</v>
      </c>
      <c r="E141" s="39">
        <v>0.24864351509656391</v>
      </c>
      <c r="F141" s="39">
        <v>0.25763692463389654</v>
      </c>
      <c r="G141" s="39">
        <v>0.26011662278729414</v>
      </c>
      <c r="H141" s="39">
        <v>0.25326724168374792</v>
      </c>
      <c r="I141" s="39">
        <v>0.2661417322994496</v>
      </c>
      <c r="J141" s="39">
        <v>0.27475361560441758</v>
      </c>
      <c r="K141" s="39">
        <v>0.27725274606388456</v>
      </c>
      <c r="L141" s="39">
        <v>0.2781552597950992</v>
      </c>
      <c r="M141" s="39">
        <v>0.27495456325959972</v>
      </c>
      <c r="N141" s="39">
        <v>0.25758458696994196</v>
      </c>
      <c r="O141" s="39">
        <v>0.24793063050894687</v>
      </c>
      <c r="P141" s="39">
        <v>0.2198451608138966</v>
      </c>
      <c r="Q141" s="39">
        <v>0.21856777102755906</v>
      </c>
      <c r="R141" s="39">
        <v>0.2312766733181382</v>
      </c>
      <c r="S141" s="39">
        <v>0.23372700427533355</v>
      </c>
      <c r="T141" s="39">
        <v>0.25200059052532336</v>
      </c>
      <c r="U141" s="39">
        <v>0.26323868232326031</v>
      </c>
      <c r="V141" s="39">
        <v>0.27458701934005164</v>
      </c>
      <c r="W141" s="39">
        <v>0.31994574538810877</v>
      </c>
      <c r="X141" s="39">
        <v>0.31685907575033667</v>
      </c>
      <c r="Y141" s="39">
        <v>0.34165935378352091</v>
      </c>
      <c r="Z141" s="39">
        <v>0.35534586853662636</v>
      </c>
      <c r="AA141" s="39">
        <v>0.32481467076788945</v>
      </c>
      <c r="AB141" s="39">
        <v>0.33268227582492549</v>
      </c>
      <c r="AC141" s="39">
        <v>0.33928243488609022</v>
      </c>
      <c r="AD141" s="39">
        <v>0.33257927563553857</v>
      </c>
      <c r="AE141" s="39">
        <v>0.31791744978298986</v>
      </c>
      <c r="AF141" s="39">
        <v>0.32398362125146934</v>
      </c>
      <c r="AG141" s="39">
        <v>0.30988107558798367</v>
      </c>
      <c r="AH141" s="39">
        <v>0.28289648863489703</v>
      </c>
    </row>
    <row r="142" spans="1:35" x14ac:dyDescent="0.35">
      <c r="A142" s="39" t="s">
        <v>383</v>
      </c>
      <c r="B142" s="39" t="s">
        <v>384</v>
      </c>
      <c r="C142" s="39" t="s">
        <v>112</v>
      </c>
      <c r="D142" s="39" t="s">
        <v>113</v>
      </c>
    </row>
    <row r="143" spans="1:35" x14ac:dyDescent="0.35">
      <c r="A143" s="39" t="s">
        <v>385</v>
      </c>
      <c r="B143" s="39" t="s">
        <v>386</v>
      </c>
      <c r="C143" s="39" t="s">
        <v>112</v>
      </c>
      <c r="D143" s="39" t="s">
        <v>113</v>
      </c>
    </row>
    <row r="144" spans="1:35" x14ac:dyDescent="0.35">
      <c r="A144" s="39" t="s">
        <v>10</v>
      </c>
      <c r="B144" s="39" t="s">
        <v>387</v>
      </c>
      <c r="C144" s="39" t="s">
        <v>112</v>
      </c>
      <c r="D144" s="39" t="s">
        <v>113</v>
      </c>
      <c r="E144" s="39">
        <v>0.43045098039960583</v>
      </c>
      <c r="F144" s="39">
        <v>0.45968320116712419</v>
      </c>
      <c r="G144" s="39">
        <v>0.495802813326925</v>
      </c>
      <c r="H144" s="39">
        <v>0.47047216808053066</v>
      </c>
      <c r="I144" s="39">
        <v>0.45683358957457754</v>
      </c>
      <c r="J144" s="39">
        <v>0.49417997193265967</v>
      </c>
      <c r="K144" s="39">
        <v>0.43399129646321494</v>
      </c>
      <c r="L144" s="39">
        <v>0.43395346405423396</v>
      </c>
      <c r="M144" s="39">
        <v>0.39317763295706276</v>
      </c>
      <c r="N144" s="39">
        <v>0.37922804485205824</v>
      </c>
      <c r="O144" s="39">
        <v>0.34712964246655953</v>
      </c>
      <c r="P144" s="39">
        <v>0.30523044412269573</v>
      </c>
      <c r="Q144" s="39">
        <v>0.28028049073280142</v>
      </c>
      <c r="R144" s="39">
        <v>0.39277502440449186</v>
      </c>
      <c r="S144" s="39">
        <v>0.49091301729941017</v>
      </c>
      <c r="T144" s="39">
        <v>0.51223457124203919</v>
      </c>
      <c r="U144" s="39">
        <v>0.51039855768395626</v>
      </c>
      <c r="V144" s="39">
        <v>0.45204841958277314</v>
      </c>
      <c r="W144" s="39">
        <v>0.42565760863295404</v>
      </c>
      <c r="X144" s="39">
        <v>0.41697691914627849</v>
      </c>
      <c r="Y144" s="39">
        <v>0.52322765933351867</v>
      </c>
      <c r="Z144" s="39">
        <v>0.52322765933351867</v>
      </c>
      <c r="AA144" s="39">
        <v>0.52322765933351867</v>
      </c>
      <c r="AB144" s="39">
        <v>0.52322765933351867</v>
      </c>
      <c r="AC144" s="39">
        <v>0.52322765933351867</v>
      </c>
      <c r="AD144" s="39">
        <v>0.52322765933351867</v>
      </c>
      <c r="AE144" s="39">
        <v>0.52322765933351867</v>
      </c>
      <c r="AF144" s="39">
        <v>0.52322765933351867</v>
      </c>
      <c r="AG144" s="39">
        <v>0.52322765933351867</v>
      </c>
      <c r="AH144" s="39">
        <v>0.52322765933351867</v>
      </c>
      <c r="AI144" s="39">
        <v>0.52322765933351867</v>
      </c>
    </row>
    <row r="145" spans="1:35" x14ac:dyDescent="0.35">
      <c r="A145" s="39" t="s">
        <v>388</v>
      </c>
      <c r="B145" s="39" t="s">
        <v>389</v>
      </c>
      <c r="C145" s="39" t="s">
        <v>112</v>
      </c>
      <c r="D145" s="39" t="s">
        <v>113</v>
      </c>
    </row>
    <row r="146" spans="1:35" x14ac:dyDescent="0.35">
      <c r="A146" s="39" t="s">
        <v>390</v>
      </c>
      <c r="B146" s="39" t="s">
        <v>391</v>
      </c>
      <c r="C146" s="39" t="s">
        <v>112</v>
      </c>
      <c r="D146" s="39" t="s">
        <v>113</v>
      </c>
      <c r="J146" s="39">
        <v>0.36620679168778508</v>
      </c>
      <c r="K146" s="39">
        <v>0.36513508847647819</v>
      </c>
      <c r="L146" s="39">
        <v>0.40048252050064737</v>
      </c>
      <c r="M146" s="39">
        <v>0.40794907207596026</v>
      </c>
      <c r="N146" s="39">
        <v>0.398068191627104</v>
      </c>
      <c r="O146" s="39">
        <v>0.38977643504531723</v>
      </c>
      <c r="P146" s="39">
        <v>0.37349244712990931</v>
      </c>
      <c r="Q146" s="39">
        <v>0.39516389593312673</v>
      </c>
      <c r="R146" s="39">
        <v>0.45621319796954318</v>
      </c>
      <c r="S146" s="39">
        <v>0.51467213114754096</v>
      </c>
      <c r="T146" s="39">
        <v>0.54131359621843511</v>
      </c>
      <c r="U146" s="39">
        <v>0.5606575479984941</v>
      </c>
      <c r="V146" s="39">
        <v>0.64406540777230437</v>
      </c>
      <c r="W146" s="39">
        <v>0.72124542660617597</v>
      </c>
      <c r="X146" s="39">
        <v>0.65185015290519877</v>
      </c>
      <c r="Y146" s="39">
        <v>0.59624720296713207</v>
      </c>
      <c r="Z146" s="39">
        <v>0.62890892072064808</v>
      </c>
      <c r="AA146" s="39">
        <v>0.58181717800561417</v>
      </c>
      <c r="AB146" s="39">
        <v>0.58853656944582455</v>
      </c>
      <c r="AC146" s="39">
        <v>0.58773608406749167</v>
      </c>
      <c r="AD146" s="39">
        <v>0.49435209870107738</v>
      </c>
      <c r="AE146" s="39">
        <v>0.48502871895490912</v>
      </c>
      <c r="AF146" s="39">
        <v>0.49917335112823619</v>
      </c>
      <c r="AG146" s="39">
        <v>0.53250419801568583</v>
      </c>
      <c r="AH146" s="39">
        <v>0.5091157370431364</v>
      </c>
    </row>
    <row r="147" spans="1:35" x14ac:dyDescent="0.35">
      <c r="A147" s="39" t="s">
        <v>392</v>
      </c>
      <c r="B147" s="39" t="s">
        <v>393</v>
      </c>
      <c r="C147" s="39" t="s">
        <v>112</v>
      </c>
      <c r="D147" s="39" t="s">
        <v>113</v>
      </c>
      <c r="E147" s="39">
        <v>1.168220666344761</v>
      </c>
      <c r="F147" s="39">
        <v>1.1260023626698168</v>
      </c>
      <c r="G147" s="39">
        <v>1.2128933500627352</v>
      </c>
      <c r="H147" s="39">
        <v>1.1668656716417911</v>
      </c>
      <c r="I147" s="39">
        <v>1.2231601157463226</v>
      </c>
      <c r="J147" s="39">
        <v>1.3333004926108374</v>
      </c>
      <c r="K147" s="39">
        <v>1.2722332247557002</v>
      </c>
      <c r="L147" s="39">
        <v>1.0981923770861524</v>
      </c>
      <c r="M147" s="39">
        <v>1.0718092909535453</v>
      </c>
      <c r="N147" s="39">
        <v>1.0202748774770936</v>
      </c>
      <c r="O147" s="39">
        <v>0.88031601252994296</v>
      </c>
      <c r="P147" s="39">
        <v>0.86195704697986586</v>
      </c>
      <c r="Q147" s="39">
        <v>0.90061735366083184</v>
      </c>
      <c r="R147" s="39">
        <v>1.0900338600451467</v>
      </c>
      <c r="S147" s="39">
        <v>1.1821107524211572</v>
      </c>
      <c r="T147" s="39">
        <v>1.1769220246238028</v>
      </c>
      <c r="U147" s="39">
        <v>1.1514214025843683</v>
      </c>
      <c r="V147" s="39">
        <v>1.262491103202847</v>
      </c>
      <c r="W147" s="39">
        <v>1.3183609198769592</v>
      </c>
      <c r="X147" s="39">
        <v>1.253316198944151</v>
      </c>
      <c r="Y147" s="39">
        <v>1.2251191105406574</v>
      </c>
      <c r="Z147" s="39">
        <v>1.2582086465052298</v>
      </c>
      <c r="AA147" s="39">
        <v>1.1651001605999149</v>
      </c>
      <c r="AB147" s="39">
        <v>1.1886650545827704</v>
      </c>
      <c r="AC147" s="39">
        <v>1.1730157162629973</v>
      </c>
      <c r="AD147" s="39">
        <v>0.97711555863236987</v>
      </c>
      <c r="AE147" s="39">
        <v>0.94241913135789412</v>
      </c>
      <c r="AF147" s="39">
        <v>0.95395023202117812</v>
      </c>
      <c r="AG147" s="39">
        <v>0.9988678577552933</v>
      </c>
      <c r="AH147" s="39">
        <v>0.94568392847842986</v>
      </c>
    </row>
    <row r="148" spans="1:35" x14ac:dyDescent="0.35">
      <c r="A148" s="39" t="s">
        <v>394</v>
      </c>
      <c r="B148" s="39" t="s">
        <v>395</v>
      </c>
      <c r="C148" s="39" t="s">
        <v>112</v>
      </c>
      <c r="D148" s="39" t="s">
        <v>113</v>
      </c>
      <c r="J148" s="39">
        <v>0.4229848830576155</v>
      </c>
      <c r="K148" s="39">
        <v>0.41936447166921903</v>
      </c>
      <c r="L148" s="39">
        <v>0.41374425356883621</v>
      </c>
      <c r="M148" s="39">
        <v>0.42069939235076848</v>
      </c>
      <c r="N148" s="39">
        <v>0.42555128513091522</v>
      </c>
      <c r="O148" s="39">
        <v>0.41798609501738121</v>
      </c>
      <c r="P148" s="39">
        <v>0.39542981867024851</v>
      </c>
      <c r="Q148" s="39">
        <v>0.41036266484765804</v>
      </c>
      <c r="R148" s="39">
        <v>0.46567457877259866</v>
      </c>
      <c r="S148" s="39">
        <v>0.51996357486665801</v>
      </c>
      <c r="T148" s="39">
        <v>0.54585189794648414</v>
      </c>
      <c r="U148" s="39">
        <v>0.61384248808628039</v>
      </c>
      <c r="V148" s="39">
        <v>0.77471481329503489</v>
      </c>
      <c r="W148" s="39">
        <v>0.8413097500365444</v>
      </c>
      <c r="X148" s="39">
        <v>0.72369752571587431</v>
      </c>
      <c r="Y148" s="39">
        <v>0.64478052295772648</v>
      </c>
      <c r="Z148" s="39">
        <v>0.69897706700006701</v>
      </c>
      <c r="AA148" s="39">
        <v>0.65053273161874292</v>
      </c>
      <c r="AB148" s="39">
        <v>0.66281673471248403</v>
      </c>
      <c r="AC148" s="39">
        <v>0.66012964015099107</v>
      </c>
      <c r="AD148" s="39">
        <v>0.55168863302209692</v>
      </c>
      <c r="AE148" s="39">
        <v>0.53602231264912603</v>
      </c>
      <c r="AF148" s="39">
        <v>0.54711024217058912</v>
      </c>
      <c r="AG148" s="39">
        <v>0.58102489500548982</v>
      </c>
      <c r="AH148" s="39">
        <v>0.55384769950588142</v>
      </c>
    </row>
    <row r="149" spans="1:35" x14ac:dyDescent="0.35">
      <c r="A149" s="39" t="s">
        <v>396</v>
      </c>
      <c r="B149" s="39" t="s">
        <v>397</v>
      </c>
      <c r="C149" s="39" t="s">
        <v>112</v>
      </c>
      <c r="D149" s="39" t="s">
        <v>113</v>
      </c>
      <c r="E149" s="39">
        <v>0.34592579059652284</v>
      </c>
      <c r="F149" s="39">
        <v>0.3743318515816611</v>
      </c>
      <c r="G149" s="39">
        <v>0.42196195239273615</v>
      </c>
      <c r="H149" s="39">
        <v>0.45182869836674155</v>
      </c>
      <c r="I149" s="39">
        <v>0.47263718780158659</v>
      </c>
      <c r="J149" s="39">
        <v>0.50038172664962099</v>
      </c>
      <c r="K149" s="39">
        <v>0.50237618249039839</v>
      </c>
      <c r="L149" s="39">
        <v>0.50141369959106619</v>
      </c>
      <c r="M149" s="39">
        <v>0.48579597226347826</v>
      </c>
      <c r="N149" s="39">
        <v>0.47213632226227681</v>
      </c>
      <c r="O149" s="39">
        <v>0.45218417981339415</v>
      </c>
      <c r="P149" s="39">
        <v>0.43586200085897553</v>
      </c>
      <c r="Q149" s="39">
        <v>0.42341086114246768</v>
      </c>
      <c r="R149" s="39">
        <v>0.41665959427095567</v>
      </c>
      <c r="S149" s="39">
        <v>0.41346877160518186</v>
      </c>
      <c r="T149" s="39">
        <v>0.42388471008953948</v>
      </c>
      <c r="U149" s="39">
        <v>0.4440869202871785</v>
      </c>
      <c r="V149" s="39">
        <v>0.46859802218455804</v>
      </c>
      <c r="W149" s="39">
        <v>0.50703494064670518</v>
      </c>
      <c r="X149" s="39">
        <v>0.50988689715607249</v>
      </c>
      <c r="Y149" s="39">
        <v>0.52692132027668759</v>
      </c>
      <c r="Z149" s="39">
        <v>0.55371366528781274</v>
      </c>
      <c r="AA149" s="39">
        <v>0.57138273669094242</v>
      </c>
      <c r="AB149" s="39">
        <v>0.58126129079342237</v>
      </c>
      <c r="AC149" s="39">
        <v>0.60856405747893361</v>
      </c>
      <c r="AD149" s="39">
        <v>0.64333418271059362</v>
      </c>
      <c r="AE149" s="39">
        <v>0.64012384064579175</v>
      </c>
      <c r="AF149" s="39">
        <v>0.64227713511942564</v>
      </c>
      <c r="AG149" s="39">
        <v>0.64588973459000432</v>
      </c>
      <c r="AH149" s="39">
        <v>0.65138987445692098</v>
      </c>
    </row>
    <row r="150" spans="1:35" x14ac:dyDescent="0.35">
      <c r="A150" s="39" t="s">
        <v>398</v>
      </c>
      <c r="B150" s="39" t="s">
        <v>399</v>
      </c>
      <c r="C150" s="39" t="s">
        <v>112</v>
      </c>
      <c r="D150" s="39" t="s">
        <v>113</v>
      </c>
    </row>
    <row r="151" spans="1:35" x14ac:dyDescent="0.35">
      <c r="A151" s="39" t="s">
        <v>400</v>
      </c>
      <c r="B151" s="39" t="s">
        <v>401</v>
      </c>
      <c r="C151" s="39" t="s">
        <v>112</v>
      </c>
      <c r="D151" s="39" t="s">
        <v>113</v>
      </c>
      <c r="E151" s="39">
        <v>0.47311653954296373</v>
      </c>
      <c r="F151" s="39">
        <v>0.45661427472487653</v>
      </c>
      <c r="G151" s="39">
        <v>0.4761427711062754</v>
      </c>
      <c r="H151" s="39">
        <v>0.44001972927501454</v>
      </c>
      <c r="I151" s="39">
        <v>0.43816692594021733</v>
      </c>
      <c r="J151" s="39">
        <v>0.49735039038924705</v>
      </c>
      <c r="K151" s="39">
        <v>0.48063473246025079</v>
      </c>
      <c r="L151" s="39">
        <v>0.43534478637993707</v>
      </c>
      <c r="M151" s="39">
        <v>0.42870117554450043</v>
      </c>
      <c r="N151" s="39">
        <v>0.41633685725967429</v>
      </c>
      <c r="O151" s="39">
        <v>0.37295695626722192</v>
      </c>
      <c r="P151" s="39">
        <v>0.34533104173407764</v>
      </c>
      <c r="Q151" s="39">
        <v>0.35286596972205697</v>
      </c>
      <c r="R151" s="39">
        <v>0.40301240466415023</v>
      </c>
      <c r="S151" s="39">
        <v>0.42887405957354985</v>
      </c>
      <c r="T151" s="39">
        <v>0.42101254435818836</v>
      </c>
      <c r="U151" s="39">
        <v>0.41824630229219723</v>
      </c>
      <c r="V151" s="39">
        <v>0.45302100715423022</v>
      </c>
      <c r="W151" s="39">
        <v>0.49100079983757139</v>
      </c>
      <c r="X151" s="39">
        <v>0.46941961743696864</v>
      </c>
      <c r="Y151" s="39">
        <v>0.44849490821843846</v>
      </c>
      <c r="Z151" s="39">
        <v>0.45393342563567535</v>
      </c>
      <c r="AA151" s="39">
        <v>0.43456826089105055</v>
      </c>
      <c r="AB151" s="39">
        <v>0.45136989570587233</v>
      </c>
      <c r="AC151" s="39">
        <v>0.47986184061832077</v>
      </c>
      <c r="AD151" s="39">
        <v>0.40929154341879803</v>
      </c>
      <c r="AE151" s="39">
        <v>0.40724312137834212</v>
      </c>
      <c r="AF151" s="39">
        <v>0.41513004137669729</v>
      </c>
      <c r="AG151" s="39">
        <v>0.42324184507650886</v>
      </c>
      <c r="AH151" s="39">
        <v>0.40940791652548369</v>
      </c>
    </row>
    <row r="152" spans="1:35" x14ac:dyDescent="0.35">
      <c r="A152" s="39" t="s">
        <v>402</v>
      </c>
      <c r="B152" s="39" t="s">
        <v>403</v>
      </c>
      <c r="C152" s="39" t="s">
        <v>112</v>
      </c>
      <c r="D152" s="39" t="s">
        <v>113</v>
      </c>
    </row>
    <row r="153" spans="1:35" x14ac:dyDescent="0.35">
      <c r="A153" s="39" t="s">
        <v>404</v>
      </c>
      <c r="B153" s="39" t="s">
        <v>405</v>
      </c>
      <c r="C153" s="39" t="s">
        <v>112</v>
      </c>
      <c r="D153" s="39" t="s">
        <v>113</v>
      </c>
      <c r="J153" s="39">
        <v>0.18635117953443403</v>
      </c>
      <c r="K153" s="39">
        <v>0.18800984202171936</v>
      </c>
      <c r="L153" s="39">
        <v>0.2070309205642448</v>
      </c>
      <c r="M153" s="39">
        <v>0.19279885108175046</v>
      </c>
      <c r="N153" s="39">
        <v>0.13555461983010586</v>
      </c>
      <c r="O153" s="39">
        <v>0.14290202276630284</v>
      </c>
      <c r="P153" s="39">
        <v>0.15146027547976032</v>
      </c>
      <c r="Q153" s="39">
        <v>0.1552345576257283</v>
      </c>
      <c r="R153" s="39">
        <v>0.17042001380499044</v>
      </c>
      <c r="S153" s="39">
        <v>0.20267280889811407</v>
      </c>
      <c r="T153" s="39">
        <v>0.21028865775663672</v>
      </c>
      <c r="U153" s="39">
        <v>0.22212954255317377</v>
      </c>
      <c r="V153" s="39">
        <v>0.27120394108904933</v>
      </c>
      <c r="W153" s="39">
        <v>0.33950334604589011</v>
      </c>
      <c r="X153" s="39">
        <v>0.32200846949939149</v>
      </c>
      <c r="Y153" s="39">
        <v>0.38109692890603747</v>
      </c>
      <c r="Z153" s="39">
        <v>0.42557494983559713</v>
      </c>
      <c r="AA153" s="39">
        <v>0.41364562427387175</v>
      </c>
      <c r="AB153" s="39">
        <v>0.39634556236464707</v>
      </c>
      <c r="AC153" s="39">
        <v>0.37711352036016915</v>
      </c>
      <c r="AD153" s="39">
        <v>0.29524600882425961</v>
      </c>
      <c r="AE153" s="39">
        <v>0.27147121213280101</v>
      </c>
      <c r="AF153" s="39">
        <v>0.30122717571707064</v>
      </c>
      <c r="AG153" s="39">
        <v>0.33430701309077382</v>
      </c>
      <c r="AH153" s="39">
        <v>0.33140590884368626</v>
      </c>
    </row>
    <row r="154" spans="1:35" x14ac:dyDescent="0.35">
      <c r="A154" s="39" t="s">
        <v>406</v>
      </c>
      <c r="B154" s="39" t="s">
        <v>407</v>
      </c>
      <c r="C154" s="39" t="s">
        <v>112</v>
      </c>
      <c r="D154" s="39" t="s">
        <v>113</v>
      </c>
      <c r="E154" s="39">
        <v>0.27943405223094825</v>
      </c>
      <c r="F154" s="39">
        <v>0.23883498444587245</v>
      </c>
      <c r="G154" s="39">
        <v>0.26342418179822918</v>
      </c>
      <c r="H154" s="39">
        <v>0.27566674996995477</v>
      </c>
      <c r="I154" s="39">
        <v>0.23406130480454049</v>
      </c>
      <c r="J154" s="39">
        <v>0.24568967649498438</v>
      </c>
      <c r="K154" s="39">
        <v>0.30349040568645402</v>
      </c>
      <c r="L154" s="39">
        <v>0.24869629276056762</v>
      </c>
      <c r="M154" s="39">
        <v>0.24437493853844561</v>
      </c>
      <c r="N154" s="39">
        <v>0.22360002440846621</v>
      </c>
      <c r="O154" s="39">
        <v>0.22657532832064914</v>
      </c>
      <c r="P154" s="39">
        <v>0.24576509055936527</v>
      </c>
      <c r="Q154" s="39">
        <v>0.27181033815537314</v>
      </c>
      <c r="R154" s="39">
        <v>0.2894342867706271</v>
      </c>
      <c r="S154" s="39">
        <v>0.21281794199399492</v>
      </c>
      <c r="T154" s="39">
        <v>0.22792677206417164</v>
      </c>
      <c r="U154" s="39">
        <v>0.22911767815843914</v>
      </c>
      <c r="V154" s="39">
        <v>0.28132863119115792</v>
      </c>
      <c r="W154" s="39">
        <v>0.32535642188037572</v>
      </c>
      <c r="X154" s="39">
        <v>0.30152607803595355</v>
      </c>
      <c r="Y154" s="39">
        <v>0.307487053895796</v>
      </c>
      <c r="Z154" s="39">
        <v>0.307487053895796</v>
      </c>
      <c r="AA154" s="39">
        <v>0.307487053895796</v>
      </c>
      <c r="AB154" s="39">
        <v>0.307487053895796</v>
      </c>
      <c r="AC154" s="39">
        <v>0.307487053895796</v>
      </c>
      <c r="AD154" s="39">
        <v>0.307487053895796</v>
      </c>
      <c r="AE154" s="39">
        <v>0.307487053895796</v>
      </c>
      <c r="AF154" s="39">
        <v>0.307487053895796</v>
      </c>
      <c r="AG154" s="39">
        <v>0.307487053895796</v>
      </c>
      <c r="AH154" s="39">
        <v>0.307487053895796</v>
      </c>
      <c r="AI154" s="39">
        <v>0.307487053895796</v>
      </c>
    </row>
    <row r="155" spans="1:35" x14ac:dyDescent="0.35">
      <c r="A155" s="39" t="s">
        <v>408</v>
      </c>
      <c r="B155" s="39" t="s">
        <v>409</v>
      </c>
      <c r="C155" s="39" t="s">
        <v>112</v>
      </c>
      <c r="D155" s="39" t="s">
        <v>113</v>
      </c>
      <c r="J155" s="39">
        <v>0.26079516905670008</v>
      </c>
      <c r="K155" s="39">
        <v>0.26803092316845623</v>
      </c>
      <c r="L155" s="39">
        <v>0.27429144346539674</v>
      </c>
      <c r="M155" s="39">
        <v>0.26815194861823449</v>
      </c>
      <c r="N155" s="39">
        <v>0.2716134299620705</v>
      </c>
      <c r="O155" s="39">
        <v>0.27107394643046812</v>
      </c>
      <c r="P155" s="39">
        <v>0.38488276519795589</v>
      </c>
      <c r="Q155" s="39">
        <v>0.364115843729582</v>
      </c>
      <c r="R155" s="39">
        <v>0.35914295364481014</v>
      </c>
      <c r="S155" s="39">
        <v>0.38459552283793902</v>
      </c>
      <c r="T155" s="39">
        <v>0.40713540366104373</v>
      </c>
      <c r="U155" s="39">
        <v>0.42428460391452266</v>
      </c>
      <c r="V155" s="39">
        <v>0.45499166533316404</v>
      </c>
      <c r="W155" s="39">
        <v>0.49562782889456486</v>
      </c>
      <c r="X155" s="39">
        <v>0.54739544601785783</v>
      </c>
      <c r="Y155" s="39">
        <v>0.55668256452802967</v>
      </c>
      <c r="Z155" s="39">
        <v>0.53839375916906718</v>
      </c>
      <c r="AA155" s="39">
        <v>0.53070366885355946</v>
      </c>
      <c r="AB155" s="39">
        <v>0.536643889437729</v>
      </c>
      <c r="AC155" s="39">
        <v>0.53143725122749086</v>
      </c>
      <c r="AD155" s="39">
        <v>0.53870555606868664</v>
      </c>
      <c r="AE155" s="39">
        <v>0.52893342661778786</v>
      </c>
      <c r="AF155" s="39">
        <v>0.53036848982926688</v>
      </c>
      <c r="AG155" s="39">
        <v>0.54528765242496424</v>
      </c>
      <c r="AH155" s="39">
        <v>0.54779018646099342</v>
      </c>
    </row>
    <row r="156" spans="1:35" x14ac:dyDescent="0.35">
      <c r="A156" s="39" t="s">
        <v>410</v>
      </c>
      <c r="B156" s="39" t="s">
        <v>411</v>
      </c>
      <c r="C156" s="39" t="s">
        <v>112</v>
      </c>
      <c r="D156" s="39" t="s">
        <v>113</v>
      </c>
    </row>
    <row r="157" spans="1:35" x14ac:dyDescent="0.35">
      <c r="A157" s="39" t="s">
        <v>412</v>
      </c>
      <c r="B157" s="39" t="s">
        <v>413</v>
      </c>
      <c r="C157" s="39" t="s">
        <v>112</v>
      </c>
      <c r="D157" s="39" t="s">
        <v>113</v>
      </c>
      <c r="E157" s="39">
        <v>0.47889035056531321</v>
      </c>
      <c r="F157" s="39">
        <v>0.53200106016432547</v>
      </c>
      <c r="G157" s="39">
        <v>0.58039613557788616</v>
      </c>
      <c r="H157" s="39">
        <v>0.66038612145333153</v>
      </c>
      <c r="I157" s="39">
        <v>0.64945305324286684</v>
      </c>
      <c r="J157" s="39">
        <v>0.46309125463438944</v>
      </c>
      <c r="K157" s="39">
        <v>0.48612535200147378</v>
      </c>
      <c r="L157" s="39">
        <v>0.54459619877502052</v>
      </c>
      <c r="M157" s="39">
        <v>0.53878820052539411</v>
      </c>
      <c r="N157" s="39">
        <v>0.58927136939877001</v>
      </c>
      <c r="O157" s="39">
        <v>0.64544047971572394</v>
      </c>
      <c r="P157" s="39">
        <v>0.67786679939629435</v>
      </c>
      <c r="Q157" s="39">
        <v>0.67871758492129242</v>
      </c>
      <c r="R157" s="39">
        <v>0.61618991565483361</v>
      </c>
      <c r="S157" s="39">
        <v>0.6192814105972001</v>
      </c>
      <c r="T157" s="39">
        <v>0.65396654401306675</v>
      </c>
      <c r="U157" s="39">
        <v>0.65673361347621839</v>
      </c>
      <c r="V157" s="39">
        <v>0.67478203180761698</v>
      </c>
      <c r="W157" s="39">
        <v>0.6711350710261732</v>
      </c>
      <c r="X157" s="39">
        <v>0.54972094572094565</v>
      </c>
      <c r="Y157" s="39">
        <v>0.60753743273187721</v>
      </c>
      <c r="Z157" s="39">
        <v>0.61763082272826064</v>
      </c>
      <c r="AA157" s="39">
        <v>0.59673548730020121</v>
      </c>
      <c r="AB157" s="39">
        <v>0.61731592546194802</v>
      </c>
      <c r="AC157" s="39">
        <v>0.6052524355839759</v>
      </c>
      <c r="AD157" s="39">
        <v>0.52534940656095597</v>
      </c>
      <c r="AE157" s="39">
        <v>0.45250282628147082</v>
      </c>
      <c r="AF157" s="39">
        <v>0.4687047790135524</v>
      </c>
      <c r="AG157" s="39">
        <v>0.47427030341451759</v>
      </c>
      <c r="AH157" s="39">
        <v>0.48323034116156899</v>
      </c>
    </row>
    <row r="158" spans="1:35" x14ac:dyDescent="0.35">
      <c r="A158" s="39" t="s">
        <v>414</v>
      </c>
      <c r="B158" s="39" t="s">
        <v>415</v>
      </c>
      <c r="C158" s="39" t="s">
        <v>112</v>
      </c>
      <c r="D158" s="39" t="s">
        <v>113</v>
      </c>
      <c r="E158" s="39">
        <v>0.83069184480397096</v>
      </c>
      <c r="F158" s="39">
        <v>0.84405080802336596</v>
      </c>
      <c r="G158" s="39">
        <v>0.85011670190502597</v>
      </c>
      <c r="H158" s="39">
        <v>0.85563458983109697</v>
      </c>
      <c r="I158" s="39">
        <v>0.85973376610296903</v>
      </c>
      <c r="J158" s="39">
        <v>0.86571517513621798</v>
      </c>
      <c r="K158" s="39">
        <v>0.873918465532324</v>
      </c>
      <c r="L158" s="39">
        <v>0.91703185031241596</v>
      </c>
      <c r="M158" s="39">
        <v>0.92731493666547804</v>
      </c>
      <c r="N158" s="39">
        <v>0.94261282744973995</v>
      </c>
      <c r="O158" s="39">
        <v>0.91780948440034105</v>
      </c>
      <c r="P158" s="39">
        <v>0.89521506063563305</v>
      </c>
      <c r="Q158" s="39">
        <v>0.91114551960473</v>
      </c>
      <c r="R158" s="39">
        <v>0.90688052908191297</v>
      </c>
      <c r="S158" s="39">
        <v>0.89083204324854404</v>
      </c>
      <c r="T158" s="39">
        <v>0.89585462319309805</v>
      </c>
      <c r="U158" s="39">
        <v>0.88538495132179296</v>
      </c>
      <c r="V158" s="39">
        <v>0.88749633592444299</v>
      </c>
      <c r="W158" s="39">
        <v>0.92906739958199802</v>
      </c>
      <c r="X158" s="39">
        <v>0.90082418930025399</v>
      </c>
      <c r="Y158" s="39">
        <v>0.88458474677686705</v>
      </c>
      <c r="Z158" s="39">
        <v>0.93859516440826896</v>
      </c>
      <c r="AA158" s="39">
        <v>0.98951591715647602</v>
      </c>
      <c r="AB158" s="39">
        <v>0.962370584607811</v>
      </c>
      <c r="AC158" s="39">
        <v>0.93813438051555398</v>
      </c>
      <c r="AD158" s="39">
        <v>0.91322480035891396</v>
      </c>
      <c r="AE158" s="39">
        <v>0.968782830522812</v>
      </c>
      <c r="AF158" s="39">
        <v>0.96978433205918402</v>
      </c>
      <c r="AG158" s="39">
        <v>0.95035096848331702</v>
      </c>
    </row>
    <row r="159" spans="1:35" x14ac:dyDescent="0.35">
      <c r="A159" s="39" t="s">
        <v>416</v>
      </c>
      <c r="B159" s="39" t="s">
        <v>417</v>
      </c>
      <c r="C159" s="39" t="s">
        <v>112</v>
      </c>
      <c r="D159" s="39" t="s">
        <v>113</v>
      </c>
    </row>
    <row r="160" spans="1:35" x14ac:dyDescent="0.35">
      <c r="A160" s="39" t="s">
        <v>418</v>
      </c>
      <c r="B160" s="39" t="s">
        <v>419</v>
      </c>
      <c r="C160" s="39" t="s">
        <v>112</v>
      </c>
      <c r="D160" s="39" t="s">
        <v>113</v>
      </c>
      <c r="E160" s="39">
        <v>0.42600605545344172</v>
      </c>
      <c r="F160" s="39">
        <v>0.46151708873779335</v>
      </c>
      <c r="G160" s="39">
        <v>0.2382881412696386</v>
      </c>
      <c r="H160" s="39">
        <v>0.27691779820328577</v>
      </c>
      <c r="I160" s="39">
        <v>0.36591336961983145</v>
      </c>
      <c r="J160" s="39">
        <v>0.4769301041105643</v>
      </c>
      <c r="K160" s="39">
        <v>0.46003783443872187</v>
      </c>
      <c r="L160" s="39">
        <v>0.37657367790012253</v>
      </c>
      <c r="M160" s="39">
        <v>0.3434395510818663</v>
      </c>
      <c r="N160" s="39">
        <v>0.33460911450795955</v>
      </c>
      <c r="O160" s="39">
        <v>0.30254308653246542</v>
      </c>
      <c r="P160" s="39">
        <v>0.30120378939158488</v>
      </c>
      <c r="Q160" s="39">
        <v>0.31103692721223375</v>
      </c>
      <c r="R160" s="39">
        <v>0.37042887758258952</v>
      </c>
      <c r="S160" s="39">
        <v>0.39018311868222949</v>
      </c>
      <c r="T160" s="39">
        <v>0.39147701034198323</v>
      </c>
      <c r="U160" s="39">
        <v>0.38745083144037107</v>
      </c>
      <c r="V160" s="39">
        <v>0.43670911487403258</v>
      </c>
      <c r="W160" s="39">
        <v>0.46011337830568433</v>
      </c>
      <c r="X160" s="39">
        <v>0.41601295798727683</v>
      </c>
      <c r="Y160" s="39">
        <v>0.40265903697995065</v>
      </c>
      <c r="Z160" s="39">
        <v>0.43611049442678851</v>
      </c>
      <c r="AA160" s="39">
        <v>0.39681223519382419</v>
      </c>
      <c r="AB160" s="39">
        <v>0.41179549517751801</v>
      </c>
      <c r="AC160" s="39">
        <v>0.40906689588853956</v>
      </c>
      <c r="AD160" s="39">
        <v>0.34995518389144009</v>
      </c>
      <c r="AE160" s="39">
        <v>0.34232810326816338</v>
      </c>
      <c r="AF160" s="39">
        <v>0.34972668395848933</v>
      </c>
      <c r="AG160" s="39">
        <v>0.36706178104496506</v>
      </c>
      <c r="AH160" s="39">
        <v>0.34202611120240156</v>
      </c>
    </row>
    <row r="161" spans="1:35" x14ac:dyDescent="0.35">
      <c r="A161" s="39" t="s">
        <v>420</v>
      </c>
      <c r="B161" s="39" t="s">
        <v>421</v>
      </c>
      <c r="C161" s="39" t="s">
        <v>112</v>
      </c>
      <c r="D161" s="39" t="s">
        <v>113</v>
      </c>
      <c r="E161" s="39">
        <v>0.4741697907764868</v>
      </c>
      <c r="F161" s="39">
        <v>0.41691222833028541</v>
      </c>
      <c r="G161" s="39">
        <v>0.43765169658857206</v>
      </c>
      <c r="H161" s="39">
        <v>0.41256361196073565</v>
      </c>
      <c r="I161" s="39">
        <v>0.28751847347383946</v>
      </c>
      <c r="J161" s="39">
        <v>0.36275983224840352</v>
      </c>
      <c r="K161" s="39">
        <v>0.34185632152278245</v>
      </c>
      <c r="L161" s="39">
        <v>0.31097407821595752</v>
      </c>
      <c r="M161" s="39">
        <v>0.30953070248433512</v>
      </c>
      <c r="N161" s="39">
        <v>0.28296624962591138</v>
      </c>
      <c r="O161" s="39">
        <v>0.23786808986594357</v>
      </c>
      <c r="P161" s="39">
        <v>0.23665130290373015</v>
      </c>
      <c r="Q161" s="39">
        <v>0.25362316179505334</v>
      </c>
      <c r="R161" s="39">
        <v>0.27592818021031995</v>
      </c>
      <c r="S161" s="39">
        <v>0.30624587653425955</v>
      </c>
      <c r="T161" s="39">
        <v>0.31989489497440543</v>
      </c>
      <c r="U161" s="39">
        <v>0.32793108249315506</v>
      </c>
      <c r="V161" s="39">
        <v>0.36397028327058956</v>
      </c>
      <c r="W161" s="39">
        <v>0.40991292393844381</v>
      </c>
      <c r="X161" s="39">
        <v>0.40369188401774464</v>
      </c>
      <c r="Y161" s="39">
        <v>0.3974314466440943</v>
      </c>
      <c r="Z161" s="39">
        <v>0.45854676750041379</v>
      </c>
      <c r="AA161" s="39">
        <v>0.44143432287241852</v>
      </c>
      <c r="AB161" s="39">
        <v>0.44404209999691635</v>
      </c>
      <c r="AC161" s="39">
        <v>0.44289271860870466</v>
      </c>
      <c r="AD161" s="39">
        <v>0.36970106836476047</v>
      </c>
      <c r="AE161" s="39">
        <v>0.3566539109943066</v>
      </c>
      <c r="AF161" s="39">
        <v>0.3694221786432284</v>
      </c>
      <c r="AG161" s="39">
        <v>0.38516032101072822</v>
      </c>
      <c r="AH161" s="39">
        <v>0.36749183709692956</v>
      </c>
    </row>
    <row r="162" spans="1:35" x14ac:dyDescent="0.35">
      <c r="A162" s="39" t="s">
        <v>422</v>
      </c>
      <c r="B162" s="39" t="s">
        <v>423</v>
      </c>
      <c r="C162" s="39" t="s">
        <v>112</v>
      </c>
      <c r="D162" s="39" t="s">
        <v>113</v>
      </c>
      <c r="E162" s="39">
        <v>0.77035898189386331</v>
      </c>
      <c r="F162" s="39">
        <v>0.75713997005795086</v>
      </c>
      <c r="G162" s="39">
        <v>0.7770041550408332</v>
      </c>
      <c r="H162" s="39">
        <v>0.65128855755146764</v>
      </c>
      <c r="I162" s="39">
        <v>0.66803593105415315</v>
      </c>
      <c r="J162" s="39">
        <v>0.70585639488785379</v>
      </c>
      <c r="K162" s="39">
        <v>0.6875723350150893</v>
      </c>
      <c r="L162" s="39">
        <v>0.63992269398921586</v>
      </c>
      <c r="M162" s="39">
        <v>0.64174987598021882</v>
      </c>
      <c r="N162" s="39">
        <v>0.62780594973975246</v>
      </c>
      <c r="O162" s="39">
        <v>0.56813352504995096</v>
      </c>
      <c r="P162" s="39">
        <v>0.56172221479445195</v>
      </c>
      <c r="Q162" s="39">
        <v>0.57602056798771506</v>
      </c>
      <c r="R162" s="39">
        <v>0.65383840404212135</v>
      </c>
      <c r="S162" s="39">
        <v>0.7059887849288341</v>
      </c>
      <c r="T162" s="39">
        <v>0.71226006092465866</v>
      </c>
      <c r="U162" s="39">
        <v>0.71798564519318786</v>
      </c>
      <c r="V162" s="39">
        <v>0.77840139296185595</v>
      </c>
      <c r="W162" s="39">
        <v>0.83719552217947868</v>
      </c>
      <c r="X162" s="39">
        <v>0.79036821788131417</v>
      </c>
      <c r="Y162" s="39">
        <v>0.7584440443057644</v>
      </c>
      <c r="Z162" s="39">
        <v>0.79920372492888081</v>
      </c>
      <c r="AA162" s="39">
        <v>0.74486333598107024</v>
      </c>
      <c r="AB162" s="39">
        <v>0.76700376284594896</v>
      </c>
      <c r="AC162" s="39">
        <v>0.77900892984432046</v>
      </c>
      <c r="AD162" s="39">
        <v>0.66519631572495619</v>
      </c>
      <c r="AE162" s="39">
        <v>0.64943925719449858</v>
      </c>
      <c r="AF162" s="39">
        <v>0.65549538698416299</v>
      </c>
      <c r="AG162" s="39">
        <v>0.69184535156487836</v>
      </c>
      <c r="AH162" s="39">
        <v>0.6443639809739069</v>
      </c>
    </row>
    <row r="163" spans="1:35" x14ac:dyDescent="0.35">
      <c r="A163" s="39" t="s">
        <v>424</v>
      </c>
      <c r="B163" s="39" t="s">
        <v>425</v>
      </c>
      <c r="C163" s="39" t="s">
        <v>112</v>
      </c>
      <c r="D163" s="39" t="s">
        <v>113</v>
      </c>
      <c r="O163" s="39">
        <v>0.20703109641792716</v>
      </c>
      <c r="P163" s="39">
        <v>0.13235354513957456</v>
      </c>
      <c r="Q163" s="39">
        <v>0.12168974919699835</v>
      </c>
      <c r="R163" s="39">
        <v>0.16206951949724988</v>
      </c>
      <c r="S163" s="39">
        <v>0.14030078319609399</v>
      </c>
      <c r="T163" s="39">
        <v>0.13590083619142118</v>
      </c>
      <c r="U163" s="39">
        <v>0.14113625116877479</v>
      </c>
      <c r="V163" s="39">
        <v>0.17079350258010834</v>
      </c>
      <c r="W163" s="39">
        <v>0.23988962543434578</v>
      </c>
      <c r="X163" s="39">
        <v>0.249443919535215</v>
      </c>
      <c r="Y163" s="39">
        <v>0.3018968493686906</v>
      </c>
      <c r="Z163" s="39">
        <v>0.33905887843743976</v>
      </c>
      <c r="AA163" s="39">
        <v>0.312785053342786</v>
      </c>
      <c r="AB163" s="39">
        <v>0.28940233777577462</v>
      </c>
      <c r="AC163" s="39">
        <v>0.29483694211082551</v>
      </c>
      <c r="AD163" s="39">
        <v>0.29150161080838238</v>
      </c>
      <c r="AE163" s="39">
        <v>0.28195484693196093</v>
      </c>
      <c r="AF163" s="39">
        <v>0.2724824692857401</v>
      </c>
      <c r="AG163" s="39">
        <v>0.27548908911583092</v>
      </c>
      <c r="AH163" s="39">
        <v>0.26288368157398861</v>
      </c>
    </row>
    <row r="164" spans="1:35" x14ac:dyDescent="0.35">
      <c r="A164" s="39" t="s">
        <v>426</v>
      </c>
      <c r="B164" s="39" t="s">
        <v>427</v>
      </c>
      <c r="C164" s="39" t="s">
        <v>112</v>
      </c>
      <c r="D164" s="39" t="s">
        <v>113</v>
      </c>
    </row>
    <row r="165" spans="1:35" x14ac:dyDescent="0.35">
      <c r="A165" s="39" t="s">
        <v>428</v>
      </c>
      <c r="B165" s="39" t="s">
        <v>429</v>
      </c>
      <c r="C165" s="39" t="s">
        <v>112</v>
      </c>
      <c r="D165" s="39" t="s">
        <v>113</v>
      </c>
      <c r="O165" s="39">
        <v>0.27099455020633972</v>
      </c>
      <c r="P165" s="39">
        <v>0.28193623766706699</v>
      </c>
      <c r="Q165" s="39">
        <v>0.29669757955647558</v>
      </c>
      <c r="R165" s="39">
        <v>0.38036609009050437</v>
      </c>
      <c r="S165" s="39">
        <v>0.43140843303286941</v>
      </c>
      <c r="T165" s="39">
        <v>0.44199700004458276</v>
      </c>
      <c r="U165" s="39">
        <v>0.42366806952633168</v>
      </c>
      <c r="V165" s="39">
        <v>0.48016988522638243</v>
      </c>
      <c r="W165" s="39">
        <v>0.53325642142597196</v>
      </c>
      <c r="X165" s="39">
        <v>0.51609315566503333</v>
      </c>
      <c r="Y165" s="39">
        <v>0.48971826489354836</v>
      </c>
      <c r="Z165" s="39">
        <v>0.50570082683046835</v>
      </c>
      <c r="AA165" s="39">
        <v>0.47509650988662216</v>
      </c>
      <c r="AB165" s="39">
        <v>0.48347072279632353</v>
      </c>
      <c r="AC165" s="39">
        <v>0.48065117109839245</v>
      </c>
      <c r="AD165" s="39">
        <v>0.3989169900177244</v>
      </c>
      <c r="AE165" s="39">
        <v>0.3889186239611202</v>
      </c>
      <c r="AF165" s="39">
        <v>0.39758387333298123</v>
      </c>
      <c r="AG165" s="39">
        <v>0.41674027317898676</v>
      </c>
      <c r="AH165" s="39">
        <v>0.38419068686320984</v>
      </c>
    </row>
    <row r="166" spans="1:35" x14ac:dyDescent="0.35">
      <c r="A166" s="39" t="s">
        <v>430</v>
      </c>
      <c r="B166" s="39" t="s">
        <v>431</v>
      </c>
      <c r="C166" s="39" t="s">
        <v>112</v>
      </c>
      <c r="D166" s="39" t="s">
        <v>113</v>
      </c>
      <c r="E166" s="39">
        <v>0.35034177986042997</v>
      </c>
      <c r="F166" s="39">
        <v>0.3448030544322947</v>
      </c>
      <c r="G166" s="39">
        <v>0.20575909401713613</v>
      </c>
      <c r="H166" s="39">
        <v>0.12105279473834324</v>
      </c>
      <c r="I166" s="39">
        <v>0.13981815369373934</v>
      </c>
      <c r="J166" s="39">
        <v>0.20192806029092755</v>
      </c>
      <c r="K166" s="39">
        <v>0.17974429011593754</v>
      </c>
      <c r="L166" s="39">
        <v>0.14924485157934278</v>
      </c>
      <c r="M166" s="39">
        <v>0.13598189202982583</v>
      </c>
      <c r="N166" s="39">
        <v>0.12230048402692813</v>
      </c>
      <c r="O166" s="39">
        <v>0.12716146774302267</v>
      </c>
      <c r="P166" s="39">
        <v>0.13480082525815992</v>
      </c>
      <c r="Q166" s="39">
        <v>0.13955103840091698</v>
      </c>
      <c r="R166" s="39">
        <v>0.14625899166220105</v>
      </c>
      <c r="S166" s="39">
        <v>0.16076534701238696</v>
      </c>
      <c r="T166" s="39">
        <v>0.18414214852817765</v>
      </c>
      <c r="U166" s="39">
        <v>0.22275266501664154</v>
      </c>
      <c r="V166" s="39">
        <v>0.24407456251897047</v>
      </c>
      <c r="W166" s="39">
        <v>0.29191612479563978</v>
      </c>
      <c r="X166" s="39">
        <v>0.23919391613295984</v>
      </c>
      <c r="Y166" s="39">
        <v>0.34864747230684368</v>
      </c>
      <c r="Z166" s="39">
        <v>0.42158855506905801</v>
      </c>
      <c r="AA166" s="39">
        <v>0.42550726752751217</v>
      </c>
      <c r="AB166" s="39">
        <v>0.41385158386492332</v>
      </c>
      <c r="AC166" s="39">
        <v>0.3761223940359969</v>
      </c>
      <c r="AD166" s="39">
        <v>0.36393895213248767</v>
      </c>
      <c r="AE166" s="39">
        <v>0.34071199308482458</v>
      </c>
      <c r="AF166" s="39">
        <v>0.3243886512080898</v>
      </c>
      <c r="AG166" s="39">
        <v>0.33902368329471844</v>
      </c>
      <c r="AH166" s="39">
        <v>0.33504307744349004</v>
      </c>
    </row>
    <row r="167" spans="1:35" x14ac:dyDescent="0.35">
      <c r="A167" s="39" t="s">
        <v>432</v>
      </c>
      <c r="B167" s="39" t="s">
        <v>433</v>
      </c>
      <c r="C167" s="39" t="s">
        <v>112</v>
      </c>
      <c r="D167" s="39" t="s">
        <v>113</v>
      </c>
    </row>
    <row r="168" spans="1:35" x14ac:dyDescent="0.35">
      <c r="A168" s="39" t="s">
        <v>434</v>
      </c>
      <c r="B168" s="39" t="s">
        <v>435</v>
      </c>
      <c r="C168" s="39" t="s">
        <v>112</v>
      </c>
      <c r="D168" s="39" t="s">
        <v>113</v>
      </c>
      <c r="E168" s="39">
        <v>0.89421010488734254</v>
      </c>
      <c r="F168" s="39">
        <v>0.90228693867772736</v>
      </c>
      <c r="G168" s="39">
        <v>0.67083883919777909</v>
      </c>
      <c r="H168" s="39">
        <v>0.6134967859185948</v>
      </c>
      <c r="I168" s="39">
        <v>0.57506043767518988</v>
      </c>
      <c r="J168" s="39">
        <v>0.57211093833330395</v>
      </c>
      <c r="K168" s="39">
        <v>0.7250866313118155</v>
      </c>
      <c r="L168" s="39">
        <v>0.76553575796786799</v>
      </c>
      <c r="M168" s="39">
        <v>0.77672662601030018</v>
      </c>
      <c r="N168" s="39">
        <v>0.71908660757641907</v>
      </c>
      <c r="O168" s="39">
        <v>0.6555966846788589</v>
      </c>
      <c r="P168" s="39">
        <v>0.5473113368705248</v>
      </c>
      <c r="Q168" s="39">
        <v>0.5219677894894712</v>
      </c>
      <c r="R168" s="39">
        <v>0.53301231963942941</v>
      </c>
      <c r="S168" s="39">
        <v>0.58355812939623053</v>
      </c>
      <c r="T168" s="39">
        <v>0.59525341687193101</v>
      </c>
      <c r="U168" s="39">
        <v>0.56610671988370043</v>
      </c>
      <c r="V168" s="39">
        <v>0.58298396951311326</v>
      </c>
      <c r="W168" s="39">
        <v>0.64301480373822872</v>
      </c>
      <c r="X168" s="39">
        <v>0.56803410051717218</v>
      </c>
      <c r="Y168" s="39">
        <v>0.49129553019608896</v>
      </c>
      <c r="Z168" s="39">
        <v>0.49129553019608896</v>
      </c>
      <c r="AA168" s="39">
        <v>0.49129553019608896</v>
      </c>
      <c r="AB168" s="39">
        <v>0.49129553019608896</v>
      </c>
      <c r="AC168" s="39">
        <v>0.49129553019608896</v>
      </c>
      <c r="AD168" s="39">
        <v>0.49129553019608896</v>
      </c>
      <c r="AE168" s="39">
        <v>0.49129553019608896</v>
      </c>
      <c r="AF168" s="39">
        <v>0.49129553019608896</v>
      </c>
      <c r="AG168" s="39">
        <v>0.49129553019608896</v>
      </c>
      <c r="AH168" s="39">
        <v>0.49129553019608896</v>
      </c>
      <c r="AI168" s="39">
        <v>0.49129553019608896</v>
      </c>
    </row>
    <row r="169" spans="1:35" x14ac:dyDescent="0.35">
      <c r="A169" s="39" t="s">
        <v>436</v>
      </c>
      <c r="B169" s="39" t="s">
        <v>437</v>
      </c>
      <c r="C169" s="39" t="s">
        <v>112</v>
      </c>
      <c r="D169" s="39" t="s">
        <v>113</v>
      </c>
      <c r="E169" s="39">
        <v>0.34798210567765514</v>
      </c>
      <c r="F169" s="39">
        <v>0.36657198110206501</v>
      </c>
      <c r="G169" s="39">
        <v>0.35685612391676602</v>
      </c>
      <c r="H169" s="39">
        <v>0.28104062510719335</v>
      </c>
      <c r="I169" s="39">
        <v>0.29883806872153024</v>
      </c>
      <c r="J169" s="39">
        <v>0.28665323155278344</v>
      </c>
      <c r="K169" s="39">
        <v>0.27115131800540287</v>
      </c>
      <c r="L169" s="39">
        <v>0.26996268117007238</v>
      </c>
      <c r="M169" s="39">
        <v>0.2547717452387025</v>
      </c>
      <c r="N169" s="39">
        <v>0.23671426104237758</v>
      </c>
      <c r="O169" s="39">
        <v>0.21593414642743297</v>
      </c>
      <c r="P169" s="39">
        <v>0.20899777982549789</v>
      </c>
      <c r="Q169" s="39">
        <v>0.20654214991766914</v>
      </c>
      <c r="R169" s="39">
        <v>0.21888703335688628</v>
      </c>
      <c r="S169" s="39">
        <v>0.23440942882576951</v>
      </c>
      <c r="T169" s="39">
        <v>0.26022284548918601</v>
      </c>
      <c r="U169" s="39">
        <v>0.29142255501450032</v>
      </c>
      <c r="V169" s="39">
        <v>0.31257326211539754</v>
      </c>
      <c r="W169" s="39">
        <v>0.36522955508067689</v>
      </c>
      <c r="X169" s="39">
        <v>0.33298834409678579</v>
      </c>
      <c r="Y169" s="39">
        <v>0.38209083933305182</v>
      </c>
      <c r="Z169" s="39">
        <v>0.42573477788526887</v>
      </c>
      <c r="AA169" s="39">
        <v>0.40975275786227833</v>
      </c>
      <c r="AB169" s="39">
        <v>0.40047977880967595</v>
      </c>
      <c r="AC169" s="39">
        <v>0.39047471812836732</v>
      </c>
      <c r="AD169" s="39">
        <v>0.36286104601937652</v>
      </c>
      <c r="AE169" s="39">
        <v>0.32698300891385501</v>
      </c>
      <c r="AF169" s="39">
        <v>0.3108239937480835</v>
      </c>
      <c r="AG169" s="39">
        <v>0.31016269386729445</v>
      </c>
      <c r="AH169" s="39">
        <v>0.31001280621358762</v>
      </c>
    </row>
    <row r="170" spans="1:35" x14ac:dyDescent="0.35">
      <c r="A170" s="39" t="s">
        <v>438</v>
      </c>
      <c r="B170" s="39" t="s">
        <v>439</v>
      </c>
      <c r="C170" s="39" t="s">
        <v>112</v>
      </c>
      <c r="D170" s="39" t="s">
        <v>113</v>
      </c>
      <c r="E170" s="39">
        <v>0.50665472375127729</v>
      </c>
      <c r="F170" s="39">
        <v>0.50524039911139063</v>
      </c>
      <c r="G170" s="39">
        <v>0.52341726894648521</v>
      </c>
      <c r="H170" s="39">
        <v>0.49247573850680926</v>
      </c>
      <c r="I170" s="39">
        <v>0.50485157355547261</v>
      </c>
      <c r="J170" s="39">
        <v>0.53841120470897263</v>
      </c>
      <c r="K170" s="39">
        <v>0.54804308964606552</v>
      </c>
      <c r="L170" s="39">
        <v>0.48271848962939695</v>
      </c>
      <c r="M170" s="39">
        <v>0.44811827234715562</v>
      </c>
      <c r="N170" s="39">
        <v>0.44846986069134986</v>
      </c>
      <c r="O170" s="39">
        <v>0.43523814105429792</v>
      </c>
      <c r="P170" s="39">
        <v>0.40771063610349373</v>
      </c>
      <c r="Q170" s="39">
        <v>0.41447554788229424</v>
      </c>
      <c r="R170" s="39">
        <v>0.4615408717697293</v>
      </c>
      <c r="S170" s="39">
        <v>0.48724482557236576</v>
      </c>
      <c r="T170" s="39">
        <v>0.45791526525466325</v>
      </c>
      <c r="U170" s="39">
        <v>0.45911864015621245</v>
      </c>
      <c r="V170" s="39">
        <v>0.49035392406523021</v>
      </c>
      <c r="W170" s="39">
        <v>0.55946490285032757</v>
      </c>
      <c r="X170" s="39">
        <v>0.49107183391639808</v>
      </c>
      <c r="Y170" s="39">
        <v>0.50962608792422459</v>
      </c>
      <c r="Z170" s="39">
        <v>0.50962608792422459</v>
      </c>
      <c r="AA170" s="39">
        <v>0.50962608792422459</v>
      </c>
      <c r="AB170" s="39">
        <v>0.50962608792422459</v>
      </c>
      <c r="AC170" s="39">
        <v>0.50962608792422459</v>
      </c>
      <c r="AD170" s="39">
        <v>0.50962608792422459</v>
      </c>
      <c r="AE170" s="39">
        <v>0.50962608792422459</v>
      </c>
      <c r="AF170" s="39">
        <v>0.50962608792422459</v>
      </c>
      <c r="AG170" s="39">
        <v>0.50962608792422459</v>
      </c>
      <c r="AH170" s="39">
        <v>0.50962608792422459</v>
      </c>
      <c r="AI170" s="39">
        <v>0.50962608792422459</v>
      </c>
    </row>
    <row r="171" spans="1:35" x14ac:dyDescent="0.35">
      <c r="A171" s="39" t="s">
        <v>16</v>
      </c>
      <c r="B171" s="39" t="s">
        <v>440</v>
      </c>
      <c r="C171" s="39" t="s">
        <v>112</v>
      </c>
      <c r="D171" s="39" t="s">
        <v>113</v>
      </c>
      <c r="E171" s="39">
        <v>0.53578758969842433</v>
      </c>
      <c r="F171" s="39">
        <v>0.58270504100606779</v>
      </c>
      <c r="G171" s="39">
        <v>0.50207820107317735</v>
      </c>
      <c r="H171" s="39">
        <v>0.51448815025260286</v>
      </c>
      <c r="I171" s="39">
        <v>0.32030092379817315</v>
      </c>
      <c r="J171" s="39">
        <v>0.31780567285423755</v>
      </c>
      <c r="K171" s="39">
        <v>0.47468697003828658</v>
      </c>
      <c r="L171" s="39">
        <v>0.52492139318840692</v>
      </c>
      <c r="M171" s="39">
        <v>0.32840619217285266</v>
      </c>
      <c r="N171" s="39">
        <v>0.3187213524115079</v>
      </c>
      <c r="O171" s="39">
        <v>0.30131299608180867</v>
      </c>
      <c r="P171" s="39">
        <v>0.30547650807222154</v>
      </c>
      <c r="Q171" s="39">
        <v>0.45913292447125903</v>
      </c>
      <c r="R171" s="39">
        <v>0.39143214953184391</v>
      </c>
      <c r="S171" s="39">
        <v>0.39168580127656211</v>
      </c>
      <c r="T171" s="39">
        <v>0.38685773816013791</v>
      </c>
      <c r="U171" s="39">
        <v>0.39219895386682352</v>
      </c>
      <c r="V171" s="39">
        <v>0.38639370529189832</v>
      </c>
      <c r="W171" s="39">
        <v>0.42266239979905529</v>
      </c>
      <c r="X171" s="39">
        <v>0.45053617256687228</v>
      </c>
      <c r="Y171" s="39">
        <v>0.46842920127296694</v>
      </c>
      <c r="Z171" s="39">
        <v>0.46842920127296694</v>
      </c>
      <c r="AA171" s="39">
        <v>0.46842920127296694</v>
      </c>
      <c r="AB171" s="39">
        <v>0.46842920127296694</v>
      </c>
      <c r="AC171" s="39">
        <v>0.46842920127296694</v>
      </c>
      <c r="AD171" s="39">
        <v>0.46842920127296694</v>
      </c>
      <c r="AE171" s="39">
        <v>0.46842920127296694</v>
      </c>
      <c r="AF171" s="39">
        <v>0.46842920127296694</v>
      </c>
      <c r="AG171" s="39">
        <v>0.46842920127296694</v>
      </c>
      <c r="AH171" s="39">
        <v>0.46842920127296694</v>
      </c>
      <c r="AI171" s="39">
        <v>0.46842920127296694</v>
      </c>
    </row>
    <row r="172" spans="1:35" x14ac:dyDescent="0.35">
      <c r="A172" s="39" t="s">
        <v>441</v>
      </c>
      <c r="B172" s="39" t="s">
        <v>442</v>
      </c>
      <c r="C172" s="39" t="s">
        <v>112</v>
      </c>
      <c r="D172" s="39" t="s">
        <v>113</v>
      </c>
      <c r="E172" s="39">
        <v>0.3581105949528075</v>
      </c>
      <c r="F172" s="39">
        <v>0.35298038196172021</v>
      </c>
      <c r="G172" s="39">
        <v>0.38160721072040171</v>
      </c>
      <c r="H172" s="39">
        <v>0.38351135358219723</v>
      </c>
      <c r="I172" s="39">
        <v>0.38279740265896584</v>
      </c>
      <c r="J172" s="39">
        <v>0.40659220157564191</v>
      </c>
      <c r="K172" s="39">
        <v>0.41269091425605375</v>
      </c>
      <c r="L172" s="39">
        <v>0.37482801041192421</v>
      </c>
      <c r="M172" s="39">
        <v>0.28872774343300805</v>
      </c>
      <c r="N172" s="39">
        <v>0.29409949672066055</v>
      </c>
      <c r="O172" s="39">
        <v>0.31314242611435267</v>
      </c>
      <c r="P172" s="39">
        <v>0.30157410492611847</v>
      </c>
      <c r="Q172" s="39">
        <v>0.30616716743109473</v>
      </c>
      <c r="R172" s="39">
        <v>0.31050111545663156</v>
      </c>
      <c r="S172" s="39">
        <v>0.32053064024730793</v>
      </c>
      <c r="T172" s="39">
        <v>0.33954975378939295</v>
      </c>
      <c r="U172" s="39">
        <v>0.35380436732160186</v>
      </c>
      <c r="V172" s="39">
        <v>0.38560849920727541</v>
      </c>
      <c r="W172" s="39">
        <v>0.43028960037491454</v>
      </c>
      <c r="X172" s="39">
        <v>0.37995217397541492</v>
      </c>
      <c r="Y172" s="39">
        <v>0.44081502642164788</v>
      </c>
      <c r="Z172" s="39">
        <v>0.47912889835881373</v>
      </c>
      <c r="AA172" s="39">
        <v>0.47061363670746242</v>
      </c>
      <c r="AB172" s="39">
        <v>0.46725055060552545</v>
      </c>
      <c r="AC172" s="39">
        <v>0.45998107611544808</v>
      </c>
      <c r="AD172" s="39">
        <v>0.40139051302342338</v>
      </c>
      <c r="AE172" s="39">
        <v>0.38431603047063861</v>
      </c>
      <c r="AF172" s="39">
        <v>0.38479837791585436</v>
      </c>
      <c r="AG172" s="39">
        <v>0.40349636559789348</v>
      </c>
      <c r="AH172" s="39">
        <v>0.38660844872069156</v>
      </c>
    </row>
    <row r="173" spans="1:35" x14ac:dyDescent="0.35">
      <c r="A173" s="39" t="s">
        <v>443</v>
      </c>
      <c r="B173" s="39" t="s">
        <v>444</v>
      </c>
      <c r="C173" s="39" t="s">
        <v>112</v>
      </c>
      <c r="D173" s="39" t="s">
        <v>113</v>
      </c>
    </row>
    <row r="174" spans="1:35" x14ac:dyDescent="0.35">
      <c r="A174" s="39" t="s">
        <v>445</v>
      </c>
      <c r="B174" s="39" t="s">
        <v>446</v>
      </c>
      <c r="C174" s="39" t="s">
        <v>112</v>
      </c>
      <c r="D174" s="39" t="s">
        <v>113</v>
      </c>
      <c r="E174" s="39">
        <v>0.55800959371798786</v>
      </c>
      <c r="F174" s="39">
        <v>0.53606831674434152</v>
      </c>
      <c r="G174" s="39">
        <v>0.55671914179416904</v>
      </c>
      <c r="H174" s="39">
        <v>0.5192835769884383</v>
      </c>
      <c r="I174" s="39">
        <v>0.54121750341304498</v>
      </c>
      <c r="J174" s="39">
        <v>0.55311625041348456</v>
      </c>
      <c r="K174" s="39">
        <v>0.52675456966526413</v>
      </c>
      <c r="L174" s="39">
        <v>0.51666796833322259</v>
      </c>
      <c r="M174" s="39">
        <v>0.46134555903884017</v>
      </c>
      <c r="N174" s="39">
        <v>0.43908536364719369</v>
      </c>
      <c r="O174" s="39">
        <v>0.41662632854299259</v>
      </c>
      <c r="P174" s="39">
        <v>0.36536150143843099</v>
      </c>
      <c r="Q174" s="39">
        <v>0.32341233556360299</v>
      </c>
      <c r="R174" s="39">
        <v>0.44746255579437649</v>
      </c>
      <c r="S174" s="39">
        <v>0.52268104133583448</v>
      </c>
      <c r="T174" s="39">
        <v>0.54328484115654863</v>
      </c>
      <c r="U174" s="39">
        <v>0.54184582850741048</v>
      </c>
      <c r="V174" s="39">
        <v>0.55865371772297812</v>
      </c>
      <c r="W174" s="39">
        <v>0.51832669074630799</v>
      </c>
      <c r="X174" s="39">
        <v>0.53642433493697095</v>
      </c>
      <c r="Y174" s="39">
        <v>0.63480136407877852</v>
      </c>
      <c r="Z174" s="39">
        <v>0.63480136407877852</v>
      </c>
      <c r="AA174" s="39">
        <v>0.63480136407877852</v>
      </c>
      <c r="AB174" s="39">
        <v>0.63480136407877852</v>
      </c>
      <c r="AC174" s="39">
        <v>0.63480136407877852</v>
      </c>
      <c r="AD174" s="39">
        <v>0.63480136407877852</v>
      </c>
      <c r="AE174" s="39">
        <v>0.63480136407877852</v>
      </c>
      <c r="AF174" s="39">
        <v>0.63480136407877852</v>
      </c>
      <c r="AG174" s="39">
        <v>0.63480136407877852</v>
      </c>
      <c r="AH174" s="39">
        <v>0.63480136407877852</v>
      </c>
      <c r="AI174" s="39">
        <v>0.63480136407877852</v>
      </c>
    </row>
    <row r="175" spans="1:35" x14ac:dyDescent="0.35">
      <c r="A175" s="39" t="s">
        <v>447</v>
      </c>
      <c r="B175" s="39" t="s">
        <v>448</v>
      </c>
      <c r="C175" s="39" t="s">
        <v>112</v>
      </c>
      <c r="D175" s="39" t="s">
        <v>113</v>
      </c>
    </row>
    <row r="176" spans="1:35" x14ac:dyDescent="0.35">
      <c r="A176" s="39" t="s">
        <v>449</v>
      </c>
      <c r="B176" s="39" t="s">
        <v>450</v>
      </c>
      <c r="C176" s="39" t="s">
        <v>112</v>
      </c>
      <c r="D176" s="39" t="s">
        <v>113</v>
      </c>
      <c r="E176" s="39">
        <v>0.58181771570331164</v>
      </c>
      <c r="F176" s="39">
        <v>0.52740412027196071</v>
      </c>
      <c r="G176" s="39">
        <v>0.52109636281574645</v>
      </c>
      <c r="H176" s="39">
        <v>0.33062915926686431</v>
      </c>
      <c r="I176" s="39">
        <v>0.27849471344459081</v>
      </c>
      <c r="J176" s="39">
        <v>0.31683508457061871</v>
      </c>
      <c r="K176" s="39">
        <v>0.32385598153977968</v>
      </c>
      <c r="L176" s="39">
        <v>0.29811567799287064</v>
      </c>
      <c r="M176" s="39">
        <v>0.30660347047429126</v>
      </c>
      <c r="N176" s="39">
        <v>0.29045239030277775</v>
      </c>
      <c r="O176" s="39">
        <v>0.25493882721519101</v>
      </c>
      <c r="P176" s="39">
        <v>0.25439627881882876</v>
      </c>
      <c r="Q176" s="39">
        <v>0.27072191483874908</v>
      </c>
      <c r="R176" s="39">
        <v>0.31731609468240124</v>
      </c>
      <c r="S176" s="39">
        <v>0.34010625500285263</v>
      </c>
      <c r="T176" s="39">
        <v>0.35991284904175247</v>
      </c>
      <c r="U176" s="39">
        <v>0.35790242151906876</v>
      </c>
      <c r="V176" s="39">
        <v>0.40587778346524106</v>
      </c>
      <c r="W176" s="39">
        <v>0.4683587261789644</v>
      </c>
      <c r="X176" s="39">
        <v>0.46004618976424977</v>
      </c>
      <c r="Y176" s="39">
        <v>0.449007261563583</v>
      </c>
      <c r="Z176" s="39">
        <v>0.47976153009981887</v>
      </c>
      <c r="AA176" s="39">
        <v>0.45748821342785373</v>
      </c>
      <c r="AB176" s="39">
        <v>0.4901540199889774</v>
      </c>
      <c r="AC176" s="39">
        <v>0.49429432675857377</v>
      </c>
      <c r="AD176" s="39">
        <v>0.42276784167344916</v>
      </c>
      <c r="AE176" s="39">
        <v>0.43358828482931805</v>
      </c>
      <c r="AF176" s="39">
        <v>0.44495769237676297</v>
      </c>
      <c r="AG176" s="39">
        <v>0.46666367482475418</v>
      </c>
      <c r="AH176" s="39">
        <v>0.43683077931799008</v>
      </c>
    </row>
    <row r="177" spans="1:34" x14ac:dyDescent="0.35">
      <c r="A177" s="39" t="s">
        <v>451</v>
      </c>
      <c r="B177" s="39" t="s">
        <v>452</v>
      </c>
      <c r="C177" s="39" t="s">
        <v>112</v>
      </c>
      <c r="D177" s="39" t="s">
        <v>113</v>
      </c>
      <c r="E177" s="39">
        <v>0.25642128721140484</v>
      </c>
      <c r="F177" s="39">
        <v>0.22465681845105304</v>
      </c>
      <c r="G177" s="39">
        <v>0.20427237167694046</v>
      </c>
      <c r="H177" s="39">
        <v>0.11827290321827727</v>
      </c>
      <c r="I177" s="39">
        <v>0.14378287113436802</v>
      </c>
      <c r="J177" s="39">
        <v>0.18354320828067794</v>
      </c>
      <c r="K177" s="39">
        <v>0.20051827362420252</v>
      </c>
      <c r="L177" s="39">
        <v>0.20417473418578999</v>
      </c>
      <c r="M177" s="39">
        <v>0.19735026262846933</v>
      </c>
      <c r="N177" s="39">
        <v>0.21030231031447796</v>
      </c>
      <c r="O177" s="39">
        <v>0.22912133711086236</v>
      </c>
      <c r="P177" s="39">
        <v>0.22564177696815013</v>
      </c>
      <c r="Q177" s="39">
        <v>0.24816388496559413</v>
      </c>
      <c r="R177" s="39">
        <v>0.24963054678481053</v>
      </c>
      <c r="S177" s="39">
        <v>0.28537708325221539</v>
      </c>
      <c r="T177" s="39">
        <v>0.33579356171244862</v>
      </c>
      <c r="U177" s="39">
        <v>0.41194125012979926</v>
      </c>
      <c r="V177" s="39">
        <v>0.43935762935189626</v>
      </c>
      <c r="W177" s="39">
        <v>0.49360653273078214</v>
      </c>
      <c r="X177" s="39">
        <v>0.39268053490228794</v>
      </c>
      <c r="Y177" s="39">
        <v>0.48742190738580021</v>
      </c>
      <c r="Z177" s="39">
        <v>0.51199602373032127</v>
      </c>
      <c r="AA177" s="39">
        <v>0.55127860680540686</v>
      </c>
      <c r="AB177" s="39">
        <v>0.57377468795853559</v>
      </c>
      <c r="AC177" s="39">
        <v>0.58518137323665587</v>
      </c>
      <c r="AD177" s="39">
        <v>0.50318149296658499</v>
      </c>
      <c r="AE177" s="39">
        <v>0.41568931810856757</v>
      </c>
      <c r="AF177" s="39">
        <v>0.37927267422814542</v>
      </c>
      <c r="AG177" s="39">
        <v>0.38522610935432866</v>
      </c>
      <c r="AH177" s="39">
        <v>0.41692539760967695</v>
      </c>
    </row>
    <row r="178" spans="1:34" x14ac:dyDescent="0.35">
      <c r="A178" s="39" t="s">
        <v>453</v>
      </c>
      <c r="B178" s="39" t="s">
        <v>454</v>
      </c>
      <c r="C178" s="39" t="s">
        <v>112</v>
      </c>
      <c r="D178" s="39" t="s">
        <v>113</v>
      </c>
      <c r="E178" s="39">
        <v>0.4049173031353549</v>
      </c>
      <c r="F178" s="39">
        <v>0.37948737987376086</v>
      </c>
      <c r="G178" s="39">
        <v>0.44507262688001398</v>
      </c>
      <c r="H178" s="39">
        <v>0.42763780755279573</v>
      </c>
      <c r="I178" s="39">
        <v>0.41097672192147178</v>
      </c>
      <c r="J178" s="39">
        <v>0.40734678378483136</v>
      </c>
      <c r="K178" s="39">
        <v>0.39140970564935856</v>
      </c>
      <c r="L178" s="39">
        <v>0.37710508180012914</v>
      </c>
      <c r="M178" s="39">
        <v>0.37965366787203764</v>
      </c>
      <c r="N178" s="39">
        <v>0.36627813471432003</v>
      </c>
      <c r="O178" s="39">
        <v>0.36198652459200559</v>
      </c>
      <c r="P178" s="39">
        <v>0.35856834283814693</v>
      </c>
      <c r="Q178" s="39">
        <v>0.34383225655080285</v>
      </c>
      <c r="R178" s="39">
        <v>0.33545536643371887</v>
      </c>
      <c r="S178" s="39">
        <v>0.33775570993346454</v>
      </c>
      <c r="T178" s="39">
        <v>0.34259649314965129</v>
      </c>
      <c r="U178" s="39">
        <v>0.34160457012746681</v>
      </c>
      <c r="V178" s="39">
        <v>0.34749069849426617</v>
      </c>
      <c r="W178" s="39">
        <v>0.37719447158296038</v>
      </c>
      <c r="X178" s="39">
        <v>0.37805440234554533</v>
      </c>
      <c r="Y178" s="39">
        <v>0.37775764732192085</v>
      </c>
      <c r="Z178" s="39">
        <v>0.38839823258422695</v>
      </c>
      <c r="AA178" s="39">
        <v>0.39757936093683571</v>
      </c>
      <c r="AB178" s="39">
        <v>0.39295429863780762</v>
      </c>
      <c r="AC178" s="39">
        <v>0.39137605255260816</v>
      </c>
      <c r="AD178" s="39">
        <v>0.38721228271468405</v>
      </c>
      <c r="AE178" s="39">
        <v>0.37013592657888617</v>
      </c>
      <c r="AF178" s="39">
        <v>0.35961886201445881</v>
      </c>
      <c r="AG178" s="39">
        <v>0.34662169191427811</v>
      </c>
      <c r="AH178" s="39">
        <v>0.33969726008974183</v>
      </c>
    </row>
    <row r="179" spans="1:34" x14ac:dyDescent="0.35">
      <c r="A179" s="39" t="s">
        <v>455</v>
      </c>
      <c r="B179" s="39" t="s">
        <v>456</v>
      </c>
      <c r="C179" s="39" t="s">
        <v>112</v>
      </c>
      <c r="D179" s="39" t="s">
        <v>113</v>
      </c>
      <c r="E179" s="39">
        <v>1.1123780709185527</v>
      </c>
      <c r="F179" s="39">
        <v>1.0806282413955681</v>
      </c>
      <c r="G179" s="39">
        <v>1.1513145363408521</v>
      </c>
      <c r="H179" s="39">
        <v>1.0818960607498813</v>
      </c>
      <c r="I179" s="39">
        <v>1.1032485773096017</v>
      </c>
      <c r="J179" s="39">
        <v>1.2501866593466922</v>
      </c>
      <c r="K179" s="39">
        <v>1.1853228758169936</v>
      </c>
      <c r="L179" s="39">
        <v>1.0266173480912582</v>
      </c>
      <c r="M179" s="39">
        <v>1.0064007998222617</v>
      </c>
      <c r="N179" s="39">
        <v>0.96564777327935225</v>
      </c>
      <c r="O179" s="39">
        <v>0.82017412935323397</v>
      </c>
      <c r="P179" s="39">
        <v>0.80957315436241617</v>
      </c>
      <c r="Q179" s="39">
        <v>0.84779126670431015</v>
      </c>
      <c r="R179" s="39">
        <v>1.0457279909706545</v>
      </c>
      <c r="S179" s="39">
        <v>1.1281561956791657</v>
      </c>
      <c r="T179" s="39">
        <v>1.1157057579902996</v>
      </c>
      <c r="U179" s="39">
        <v>1.0951812821477858</v>
      </c>
      <c r="V179" s="39">
        <v>1.1786120996441281</v>
      </c>
      <c r="W179" s="39">
        <v>1.2417972755236559</v>
      </c>
      <c r="X179" s="39">
        <v>1.1774492914698527</v>
      </c>
      <c r="Y179" s="39">
        <v>1.1303631628166824</v>
      </c>
      <c r="Z179" s="39">
        <v>1.1622421547702462</v>
      </c>
      <c r="AA179" s="39">
        <v>1.0592506459046247</v>
      </c>
      <c r="AB179" s="39">
        <v>1.0597573783039356</v>
      </c>
      <c r="AC179" s="39">
        <v>1.0730595962192324</v>
      </c>
      <c r="AD179" s="39">
        <v>0.89807902372090065</v>
      </c>
      <c r="AE179" s="39">
        <v>0.87997465519247264</v>
      </c>
      <c r="AF179" s="39">
        <v>0.87944098034588392</v>
      </c>
      <c r="AG179" s="39">
        <v>0.921530689771764</v>
      </c>
      <c r="AH179" s="39">
        <v>0.87871696330195936</v>
      </c>
    </row>
    <row r="180" spans="1:34" x14ac:dyDescent="0.35">
      <c r="A180" s="39" t="s">
        <v>457</v>
      </c>
      <c r="B180" s="39" t="s">
        <v>458</v>
      </c>
      <c r="C180" s="39" t="s">
        <v>112</v>
      </c>
      <c r="D180" s="39" t="s">
        <v>113</v>
      </c>
      <c r="E180" s="39">
        <v>1.5326742495646757</v>
      </c>
      <c r="F180" s="39">
        <v>1.4631558407502816</v>
      </c>
      <c r="G180" s="39">
        <v>1.4827929841499718</v>
      </c>
      <c r="H180" s="39">
        <v>1.2979687345822584</v>
      </c>
      <c r="I180" s="39">
        <v>1.275412463160281</v>
      </c>
      <c r="J180" s="39">
        <v>1.4342715304962748</v>
      </c>
      <c r="K180" s="39">
        <v>1.3937715898167384</v>
      </c>
      <c r="L180" s="39">
        <v>1.280779398874657</v>
      </c>
      <c r="M180" s="39">
        <v>1.2342487177108323</v>
      </c>
      <c r="N180" s="39">
        <v>1.190345035388245</v>
      </c>
      <c r="O180" s="39">
        <v>1.031965507055375</v>
      </c>
      <c r="P180" s="39">
        <v>1.0201757176062369</v>
      </c>
      <c r="Q180" s="39">
        <v>1.1343883864826274</v>
      </c>
      <c r="R180" s="39">
        <v>1.3004635462275078</v>
      </c>
      <c r="S180" s="39">
        <v>1.3550219558509375</v>
      </c>
      <c r="T180" s="39">
        <v>1.3977809856422199</v>
      </c>
      <c r="U180" s="39">
        <v>1.3707016668485803</v>
      </c>
      <c r="V180" s="39">
        <v>1.5238278997560435</v>
      </c>
      <c r="W180" s="39">
        <v>1.5707945035460993</v>
      </c>
      <c r="X180" s="39">
        <v>1.4431848035240051</v>
      </c>
      <c r="Y180" s="39">
        <v>1.5130477871225692</v>
      </c>
      <c r="Z180" s="39">
        <v>1.6205838344890857</v>
      </c>
      <c r="AA180" s="39">
        <v>1.553431027073485</v>
      </c>
      <c r="AB180" s="39">
        <v>1.5369104680851065</v>
      </c>
      <c r="AC180" s="39">
        <v>1.4723815921713825</v>
      </c>
      <c r="AD180" s="39">
        <v>1.2313550067169572</v>
      </c>
      <c r="AE180" s="39">
        <v>1.1955617364626367</v>
      </c>
      <c r="AF180" s="39">
        <v>1.1994923634898242</v>
      </c>
      <c r="AG180" s="39">
        <v>1.208371472486935</v>
      </c>
      <c r="AH180" s="39">
        <v>1.128498068181818</v>
      </c>
    </row>
    <row r="181" spans="1:34" x14ac:dyDescent="0.35">
      <c r="A181" s="39" t="s">
        <v>459</v>
      </c>
      <c r="B181" s="39" t="s">
        <v>460</v>
      </c>
      <c r="C181" s="39" t="s">
        <v>112</v>
      </c>
      <c r="D181" s="39" t="s">
        <v>113</v>
      </c>
      <c r="E181" s="39">
        <v>0.27398162761610539</v>
      </c>
      <c r="F181" s="39">
        <v>0.2693398471163484</v>
      </c>
      <c r="G181" s="39">
        <v>0.21939218178379263</v>
      </c>
      <c r="H181" s="39">
        <v>0.22207414760638333</v>
      </c>
      <c r="I181" s="39">
        <v>0.22325154974777145</v>
      </c>
      <c r="J181" s="39">
        <v>0.22871030905222492</v>
      </c>
      <c r="K181" s="39">
        <v>0.21907316085671572</v>
      </c>
      <c r="L181" s="39">
        <v>0.22301450994824654</v>
      </c>
      <c r="M181" s="39">
        <v>0.21135761130247618</v>
      </c>
      <c r="N181" s="39">
        <v>0.20683328974856216</v>
      </c>
      <c r="O181" s="39">
        <v>0.20793162129356596</v>
      </c>
      <c r="P181" s="39">
        <v>0.19773005248233877</v>
      </c>
      <c r="Q181" s="39">
        <v>0.19583580677779663</v>
      </c>
      <c r="R181" s="39">
        <v>0.1935151548065096</v>
      </c>
      <c r="S181" s="39">
        <v>0.20684089328053126</v>
      </c>
      <c r="T181" s="39">
        <v>0.21666887795664871</v>
      </c>
      <c r="U181" s="39">
        <v>0.22631820904242117</v>
      </c>
      <c r="V181" s="39">
        <v>0.24333644597643131</v>
      </c>
      <c r="W181" s="39">
        <v>0.27332294477471808</v>
      </c>
      <c r="X181" s="39">
        <v>0.26589477456606464</v>
      </c>
      <c r="Y181" s="39">
        <v>0.31215452324618842</v>
      </c>
      <c r="Z181" s="39">
        <v>0.34943017956731287</v>
      </c>
      <c r="AA181" s="39">
        <v>0.32096441121871844</v>
      </c>
      <c r="AB181" s="39">
        <v>0.30469701301509966</v>
      </c>
      <c r="AC181" s="39">
        <v>0.2866516468446092</v>
      </c>
      <c r="AD181" s="39">
        <v>0.30096236882147731</v>
      </c>
      <c r="AE181" s="39">
        <v>0.30087671037802899</v>
      </c>
      <c r="AF181" s="39">
        <v>0.29408010774827725</v>
      </c>
      <c r="AG181" s="39">
        <v>0.31195442416115848</v>
      </c>
      <c r="AH181" s="39">
        <v>0.30099224721405426</v>
      </c>
    </row>
    <row r="182" spans="1:34" x14ac:dyDescent="0.35">
      <c r="A182" s="39" t="s">
        <v>461</v>
      </c>
      <c r="B182" s="39" t="s">
        <v>462</v>
      </c>
      <c r="C182" s="39" t="s">
        <v>112</v>
      </c>
      <c r="D182" s="39" t="s">
        <v>113</v>
      </c>
      <c r="Y182" s="39">
        <v>0.79622899390028634</v>
      </c>
      <c r="Z182" s="39">
        <v>0.98467297280410826</v>
      </c>
      <c r="AA182" s="39">
        <v>1.2730212741578883</v>
      </c>
      <c r="AB182" s="39">
        <v>0.97330949838462388</v>
      </c>
      <c r="AC182" s="39">
        <v>0.80197969714347384</v>
      </c>
      <c r="AD182" s="39">
        <v>0.63446591450621515</v>
      </c>
      <c r="AE182" s="39">
        <v>0.69888899155646467</v>
      </c>
      <c r="AF182" s="39">
        <v>0.79673108129108516</v>
      </c>
      <c r="AG182" s="39">
        <v>0.83026963139996901</v>
      </c>
      <c r="AH182" s="39">
        <v>0.77789105465543562</v>
      </c>
    </row>
    <row r="183" spans="1:34" x14ac:dyDescent="0.35">
      <c r="A183" s="39" t="s">
        <v>463</v>
      </c>
      <c r="B183" s="39" t="s">
        <v>464</v>
      </c>
      <c r="C183" s="39" t="s">
        <v>112</v>
      </c>
      <c r="D183" s="39" t="s">
        <v>113</v>
      </c>
      <c r="E183" s="39">
        <v>0.91961393653260026</v>
      </c>
      <c r="F183" s="39">
        <v>0.8399139095205943</v>
      </c>
      <c r="G183" s="39">
        <v>0.7907757337303275</v>
      </c>
      <c r="H183" s="39">
        <v>0.82061335103146948</v>
      </c>
      <c r="I183" s="39">
        <v>0.89410586726906405</v>
      </c>
      <c r="J183" s="39">
        <v>0.97173286397449521</v>
      </c>
      <c r="K183" s="39">
        <v>1.0179089773830998</v>
      </c>
      <c r="L183" s="39">
        <v>0.91311857782260608</v>
      </c>
      <c r="M183" s="39">
        <v>0.76203115953471245</v>
      </c>
      <c r="N183" s="39">
        <v>0.7445430484197415</v>
      </c>
      <c r="O183" s="39">
        <v>0.63390506301321747</v>
      </c>
      <c r="P183" s="39">
        <v>0.61700652938221989</v>
      </c>
      <c r="Q183" s="39">
        <v>0.72401892651190303</v>
      </c>
      <c r="R183" s="39">
        <v>0.91427507023329668</v>
      </c>
      <c r="S183" s="39">
        <v>1.0135280672268907</v>
      </c>
      <c r="T183" s="39">
        <v>1.0807575864254031</v>
      </c>
      <c r="U183" s="39">
        <v>0.96081577070228907</v>
      </c>
      <c r="V183" s="39">
        <v>1.1062879400308665</v>
      </c>
      <c r="W183" s="39">
        <v>1.0478027693821608</v>
      </c>
      <c r="X183" s="39">
        <v>0.91863889062402404</v>
      </c>
      <c r="Y183" s="39">
        <v>1.0779921703593127</v>
      </c>
      <c r="Z183" s="39">
        <v>1.1738840600994711</v>
      </c>
      <c r="AA183" s="39">
        <v>1.2117328086823738</v>
      </c>
      <c r="AB183" s="39">
        <v>1.1858041204356746</v>
      </c>
      <c r="AC183" s="39">
        <v>1.1951967480574102</v>
      </c>
      <c r="AD183" s="39">
        <v>1.028935650900469</v>
      </c>
      <c r="AE183" s="39">
        <v>1.0028770818468178</v>
      </c>
      <c r="AF183" s="39">
        <v>1.0326896363883995</v>
      </c>
      <c r="AG183" s="39">
        <v>1.0032490154585996</v>
      </c>
      <c r="AH183" s="39">
        <v>0.95749518240961862</v>
      </c>
    </row>
    <row r="184" spans="1:34" x14ac:dyDescent="0.35">
      <c r="A184" s="39" t="s">
        <v>465</v>
      </c>
      <c r="B184" s="39" t="s">
        <v>466</v>
      </c>
      <c r="C184" s="39" t="s">
        <v>112</v>
      </c>
      <c r="D184" s="39" t="s">
        <v>113</v>
      </c>
    </row>
    <row r="185" spans="1:34" x14ac:dyDescent="0.35">
      <c r="A185" s="39" t="s">
        <v>467</v>
      </c>
      <c r="B185" s="39" t="s">
        <v>468</v>
      </c>
      <c r="C185" s="39" t="s">
        <v>112</v>
      </c>
      <c r="D185" s="39" t="s">
        <v>113</v>
      </c>
      <c r="E185" s="39">
        <v>0.28092985500950585</v>
      </c>
      <c r="F185" s="39">
        <v>0.24864752500969026</v>
      </c>
      <c r="G185" s="39">
        <v>0.24620227211416071</v>
      </c>
      <c r="H185" s="39">
        <v>0.22754239698347231</v>
      </c>
      <c r="I185" s="39">
        <v>0.22178154509562703</v>
      </c>
      <c r="J185" s="39">
        <v>0.2210415299416762</v>
      </c>
      <c r="K185" s="39">
        <v>0.23316411079153965</v>
      </c>
      <c r="L185" s="39">
        <v>0.22408819062982757</v>
      </c>
      <c r="M185" s="39">
        <v>0.19200597009726786</v>
      </c>
      <c r="N185" s="39">
        <v>0.21137007484542186</v>
      </c>
      <c r="O185" s="39">
        <v>0.24356506447068216</v>
      </c>
      <c r="P185" s="39">
        <v>0.22746449791004811</v>
      </c>
      <c r="Q185" s="39">
        <v>0.2344546920259909</v>
      </c>
      <c r="R185" s="39">
        <v>0.25399774655226631</v>
      </c>
      <c r="S185" s="39">
        <v>0.27950996779895709</v>
      </c>
      <c r="T185" s="39">
        <v>0.33196062606817689</v>
      </c>
      <c r="U185" s="39">
        <v>0.36612853814121193</v>
      </c>
      <c r="V185" s="39">
        <v>0.38601474013285303</v>
      </c>
      <c r="W185" s="39">
        <v>0.50644954399641606</v>
      </c>
      <c r="X185" s="39">
        <v>0.37631935914137066</v>
      </c>
      <c r="Y185" s="39">
        <v>0.41845728501813262</v>
      </c>
      <c r="Z185" s="39">
        <v>0.48074850955462156</v>
      </c>
      <c r="AA185" s="39">
        <v>0.49142107386892847</v>
      </c>
      <c r="AB185" s="39">
        <v>0.49587340131692587</v>
      </c>
      <c r="AC185" s="39">
        <v>0.51871538937324313</v>
      </c>
      <c r="AD185" s="39">
        <v>0.51516879674517035</v>
      </c>
      <c r="AE185" s="39">
        <v>0.50538634912865277</v>
      </c>
      <c r="AF185" s="39">
        <v>0.52026340493300127</v>
      </c>
      <c r="AG185" s="39">
        <v>0.56083694889285562</v>
      </c>
      <c r="AH185" s="39">
        <v>0.53262314299298574</v>
      </c>
    </row>
    <row r="186" spans="1:34" x14ac:dyDescent="0.35">
      <c r="A186" s="39" t="s">
        <v>469</v>
      </c>
      <c r="B186" s="39" t="s">
        <v>470</v>
      </c>
      <c r="C186" s="39" t="s">
        <v>112</v>
      </c>
      <c r="D186" s="39" t="s">
        <v>113</v>
      </c>
    </row>
    <row r="187" spans="1:34" x14ac:dyDescent="0.35">
      <c r="A187" s="39" t="s">
        <v>471</v>
      </c>
      <c r="B187" s="39" t="s">
        <v>472</v>
      </c>
      <c r="C187" s="39" t="s">
        <v>112</v>
      </c>
      <c r="D187" s="39" t="s">
        <v>113</v>
      </c>
      <c r="E187" s="39">
        <v>0.25433293355380171</v>
      </c>
      <c r="F187" s="39">
        <v>0.26702183631689241</v>
      </c>
      <c r="G187" s="39">
        <v>0.25970973196331065</v>
      </c>
      <c r="H187" s="39">
        <v>0.26423608688531852</v>
      </c>
      <c r="I187" s="39">
        <v>0.25171823973427654</v>
      </c>
      <c r="J187" s="39">
        <v>0.27236491181832417</v>
      </c>
      <c r="K187" s="39">
        <v>0.26639605364501873</v>
      </c>
      <c r="L187" s="39">
        <v>0.25561948843433568</v>
      </c>
      <c r="M187" s="39">
        <v>0.24553559284209389</v>
      </c>
      <c r="N187" s="39">
        <v>0.23643035917077901</v>
      </c>
      <c r="O187" s="39">
        <v>0.21632694413647935</v>
      </c>
      <c r="P187" s="39">
        <v>0.19810394860217967</v>
      </c>
      <c r="Q187" s="39">
        <v>0.19125383367427576</v>
      </c>
      <c r="R187" s="39">
        <v>0.20384946486574015</v>
      </c>
      <c r="S187" s="39">
        <v>0.216757765556156</v>
      </c>
      <c r="T187" s="39">
        <v>0.21986286662534874</v>
      </c>
      <c r="U187" s="39">
        <v>0.23376237661815907</v>
      </c>
      <c r="V187" s="39">
        <v>0.24107510114335473</v>
      </c>
      <c r="W187" s="39">
        <v>0.2595149109393971</v>
      </c>
      <c r="X187" s="39">
        <v>0.24762447181240357</v>
      </c>
      <c r="Y187" s="39">
        <v>0.25381386863621508</v>
      </c>
      <c r="Z187" s="39">
        <v>0.29171441219843658</v>
      </c>
      <c r="AA187" s="39">
        <v>0.29813319654579629</v>
      </c>
      <c r="AB187" s="39">
        <v>0.29459718317458372</v>
      </c>
      <c r="AC187" s="39">
        <v>0.29518372141133314</v>
      </c>
      <c r="AD187" s="39">
        <v>0.31023630002829289</v>
      </c>
      <c r="AE187" s="39">
        <v>0.3103004363488297</v>
      </c>
      <c r="AF187" s="39">
        <v>0.32046827265257505</v>
      </c>
      <c r="AG187" s="39">
        <v>0.30552843828622617</v>
      </c>
      <c r="AH187" s="39">
        <v>0.26299554450856705</v>
      </c>
    </row>
    <row r="188" spans="1:34" x14ac:dyDescent="0.35">
      <c r="A188" s="39" t="s">
        <v>473</v>
      </c>
      <c r="B188" s="39" t="s">
        <v>474</v>
      </c>
      <c r="C188" s="39" t="s">
        <v>112</v>
      </c>
      <c r="D188" s="39" t="s">
        <v>113</v>
      </c>
      <c r="E188" s="39">
        <v>0.51612237327475596</v>
      </c>
      <c r="F188" s="39">
        <v>0.50169955330613403</v>
      </c>
      <c r="G188" s="39">
        <v>0.51534658881955697</v>
      </c>
      <c r="H188" s="39">
        <v>0.52131424247821601</v>
      </c>
      <c r="I188" s="39">
        <v>0.52919692232063997</v>
      </c>
      <c r="J188" s="39">
        <v>0.52074752519384804</v>
      </c>
      <c r="K188" s="39">
        <v>0.50656472728241198</v>
      </c>
      <c r="L188" s="39">
        <v>0.50598930350981697</v>
      </c>
      <c r="M188" s="39">
        <v>0.50534883965017596</v>
      </c>
      <c r="N188" s="39">
        <v>0.502352845357106</v>
      </c>
      <c r="O188" s="39">
        <v>0.48523525656680799</v>
      </c>
      <c r="P188" s="39">
        <v>0.47970259722202602</v>
      </c>
      <c r="Q188" s="39">
        <v>0.48012558927329502</v>
      </c>
      <c r="R188" s="39">
        <v>0.47670469830879902</v>
      </c>
      <c r="S188" s="39">
        <v>0.47332894821676702</v>
      </c>
      <c r="T188" s="39">
        <v>0.46705574194722899</v>
      </c>
      <c r="U188" s="39">
        <v>0.46226750833567498</v>
      </c>
      <c r="V188" s="39">
        <v>0.47189521644584198</v>
      </c>
      <c r="W188" s="39">
        <v>0.49773549554541402</v>
      </c>
      <c r="X188" s="39">
        <v>0.52593429986406703</v>
      </c>
      <c r="Y188" s="39">
        <v>0.53334303793092397</v>
      </c>
      <c r="Z188" s="39">
        <v>0.55296015739440896</v>
      </c>
      <c r="AA188" s="39">
        <v>0.57401180267333995</v>
      </c>
      <c r="AB188" s="39">
        <v>0.57132041454315197</v>
      </c>
      <c r="AC188" s="39">
        <v>0.55884391069412198</v>
      </c>
      <c r="AD188" s="39">
        <v>0.53833818435668901</v>
      </c>
      <c r="AE188" s="39">
        <v>0.51544106006622303</v>
      </c>
      <c r="AF188" s="39">
        <v>0.49747046828269997</v>
      </c>
      <c r="AG188" s="39">
        <v>0.490612613252984</v>
      </c>
      <c r="AH188" s="39">
        <v>0.48015317991718398</v>
      </c>
    </row>
    <row r="189" spans="1:34" x14ac:dyDescent="0.35">
      <c r="A189" s="39" t="s">
        <v>475</v>
      </c>
      <c r="B189" s="39" t="s">
        <v>476</v>
      </c>
      <c r="C189" s="39" t="s">
        <v>112</v>
      </c>
      <c r="D189" s="39" t="s">
        <v>113</v>
      </c>
      <c r="E189" s="39">
        <v>0.35597799491587778</v>
      </c>
      <c r="F189" s="39">
        <v>0.43801662195120195</v>
      </c>
      <c r="G189" s="39">
        <v>0.45095710635664271</v>
      </c>
      <c r="H189" s="39">
        <v>0.40537183323531495</v>
      </c>
      <c r="I189" s="39">
        <v>0.45536416916847117</v>
      </c>
      <c r="J189" s="39">
        <v>0.49323592593729948</v>
      </c>
      <c r="K189" s="39">
        <v>0.48832122653655213</v>
      </c>
      <c r="L189" s="39">
        <v>0.4744662998991479</v>
      </c>
      <c r="M189" s="39">
        <v>0.44959515110880044</v>
      </c>
      <c r="N189" s="39">
        <v>0.39485842111224995</v>
      </c>
      <c r="O189" s="39">
        <v>0.38776212643759422</v>
      </c>
      <c r="P189" s="39">
        <v>0.3791893069291753</v>
      </c>
      <c r="Q189" s="39">
        <v>0.37267194391655062</v>
      </c>
      <c r="R189" s="39">
        <v>0.37659841156780005</v>
      </c>
      <c r="S189" s="39">
        <v>0.39721890722681175</v>
      </c>
      <c r="T189" s="39">
        <v>0.41287912340024263</v>
      </c>
      <c r="U189" s="39">
        <v>0.434345807133595</v>
      </c>
      <c r="V189" s="39">
        <v>0.44926445221895178</v>
      </c>
      <c r="W189" s="39">
        <v>0.47648241660357155</v>
      </c>
      <c r="X189" s="39">
        <v>0.46880859687913151</v>
      </c>
      <c r="Y189" s="39">
        <v>0.52231590511955683</v>
      </c>
      <c r="Z189" s="39">
        <v>0.56022124492863734</v>
      </c>
      <c r="AA189" s="39">
        <v>0.60634912958570286</v>
      </c>
      <c r="AB189" s="39">
        <v>0.59815642438301564</v>
      </c>
      <c r="AC189" s="39">
        <v>0.5797320329290595</v>
      </c>
      <c r="AD189" s="39">
        <v>0.53827583812286772</v>
      </c>
      <c r="AE189" s="39">
        <v>0.51650724489845334</v>
      </c>
      <c r="AF189" s="39">
        <v>0.53656033587737162</v>
      </c>
      <c r="AG189" s="39">
        <v>0.53051324513939946</v>
      </c>
      <c r="AH189" s="39">
        <v>0.52148772353211581</v>
      </c>
    </row>
    <row r="190" spans="1:34" x14ac:dyDescent="0.35">
      <c r="A190" s="39" t="s">
        <v>477</v>
      </c>
      <c r="B190" s="39" t="s">
        <v>478</v>
      </c>
      <c r="C190" s="39" t="s">
        <v>112</v>
      </c>
      <c r="D190" s="39" t="s">
        <v>113</v>
      </c>
      <c r="E190" s="39">
        <v>0.29762218503757637</v>
      </c>
      <c r="F190" s="39">
        <v>0.29678831938616856</v>
      </c>
      <c r="G190" s="39">
        <v>0.33733016481038824</v>
      </c>
      <c r="H190" s="39">
        <v>0.33117112563913548</v>
      </c>
      <c r="I190" s="39">
        <v>0.36613053722356265</v>
      </c>
      <c r="J190" s="39">
        <v>0.39623059557978019</v>
      </c>
      <c r="K190" s="39">
        <v>0.41090494314506582</v>
      </c>
      <c r="L190" s="39">
        <v>0.38169065583108647</v>
      </c>
      <c r="M190" s="39">
        <v>0.30046048634694689</v>
      </c>
      <c r="N190" s="39">
        <v>0.33025741360658756</v>
      </c>
      <c r="O190" s="39">
        <v>0.31190491233475742</v>
      </c>
      <c r="P190" s="39">
        <v>0.27936779978026188</v>
      </c>
      <c r="Q190" s="39">
        <v>0.28326071204328862</v>
      </c>
      <c r="R190" s="39">
        <v>0.2732093192932884</v>
      </c>
      <c r="S190" s="39">
        <v>0.27248605462130743</v>
      </c>
      <c r="T190" s="39">
        <v>0.28472370069909897</v>
      </c>
      <c r="U190" s="39">
        <v>0.31183543684657961</v>
      </c>
      <c r="V190" s="39">
        <v>0.34835665956899314</v>
      </c>
      <c r="W190" s="39">
        <v>0.3800258145730766</v>
      </c>
      <c r="X190" s="39">
        <v>0.361753148598075</v>
      </c>
      <c r="Y190" s="39">
        <v>0.39412781741830488</v>
      </c>
      <c r="Z190" s="39">
        <v>0.41783291694000485</v>
      </c>
      <c r="AA190" s="39">
        <v>0.4278829929064914</v>
      </c>
      <c r="AB190" s="39">
        <v>0.43409948748471844</v>
      </c>
      <c r="AC190" s="39">
        <v>0.42518182666476811</v>
      </c>
      <c r="AD190" s="39">
        <v>0.41757852941936363</v>
      </c>
      <c r="AE190" s="39">
        <v>0.39898129185708392</v>
      </c>
      <c r="AF190" s="39">
        <v>0.3845948622902341</v>
      </c>
      <c r="AG190" s="39">
        <v>0.37307266534488598</v>
      </c>
      <c r="AH190" s="39">
        <v>0.37565415382222417</v>
      </c>
    </row>
    <row r="191" spans="1:34" x14ac:dyDescent="0.35">
      <c r="A191" s="39" t="s">
        <v>479</v>
      </c>
      <c r="B191" s="39" t="s">
        <v>480</v>
      </c>
      <c r="C191" s="39" t="s">
        <v>112</v>
      </c>
      <c r="D191" s="39" t="s">
        <v>113</v>
      </c>
      <c r="O191" s="39">
        <v>0.77331236651737301</v>
      </c>
      <c r="P191" s="39">
        <v>0.76286005268122203</v>
      </c>
      <c r="Q191" s="39">
        <v>0.75502135520303804</v>
      </c>
      <c r="R191" s="39">
        <v>0.71953708378528103</v>
      </c>
      <c r="S191" s="39">
        <v>0.71575828028733501</v>
      </c>
      <c r="T191" s="39">
        <v>0.74628989168562498</v>
      </c>
      <c r="U191" s="39">
        <v>0.75354070265135897</v>
      </c>
      <c r="V191" s="39">
        <v>0.74556050021570497</v>
      </c>
      <c r="W191" s="39">
        <v>0.78810242979817102</v>
      </c>
      <c r="X191" s="39">
        <v>0.77261188896760802</v>
      </c>
      <c r="Y191" s="39">
        <v>0.76204987069623298</v>
      </c>
      <c r="Z191" s="39">
        <v>0.749237503264511</v>
      </c>
      <c r="AA191" s="39">
        <v>0.78896782403273502</v>
      </c>
      <c r="AB191" s="39">
        <v>0.832252434089917</v>
      </c>
      <c r="AC191" s="39">
        <v>0.85179259751998604</v>
      </c>
      <c r="AD191" s="39">
        <v>0.88287110279126402</v>
      </c>
      <c r="AE191" s="39">
        <v>0.92744845877576398</v>
      </c>
      <c r="AF191" s="39">
        <v>0.89994718737652502</v>
      </c>
      <c r="AG191" s="39">
        <v>0.857431946684166</v>
      </c>
    </row>
    <row r="192" spans="1:34" x14ac:dyDescent="0.35">
      <c r="A192" s="39" t="s">
        <v>481</v>
      </c>
      <c r="B192" s="39" t="s">
        <v>482</v>
      </c>
      <c r="C192" s="39" t="s">
        <v>112</v>
      </c>
      <c r="D192" s="39" t="s">
        <v>113</v>
      </c>
      <c r="E192" s="39">
        <v>0.76026360232470713</v>
      </c>
      <c r="F192" s="39">
        <v>0.78966212090265442</v>
      </c>
      <c r="G192" s="39">
        <v>0.78389682126121818</v>
      </c>
      <c r="H192" s="39">
        <v>0.73611112166496007</v>
      </c>
      <c r="I192" s="39">
        <v>0.7525361462391662</v>
      </c>
      <c r="J192" s="39">
        <v>0.64225977528736267</v>
      </c>
      <c r="K192" s="39">
        <v>0.65100614638909327</v>
      </c>
      <c r="L192" s="39">
        <v>0.6377211919497483</v>
      </c>
      <c r="M192" s="39">
        <v>0.50303903552697038</v>
      </c>
      <c r="N192" s="39">
        <v>0.44670985150632531</v>
      </c>
      <c r="O192" s="39">
        <v>0.45383165371250361</v>
      </c>
      <c r="P192" s="39">
        <v>0.38903268021741694</v>
      </c>
      <c r="Q192" s="39">
        <v>0.37343613359340933</v>
      </c>
      <c r="R192" s="39">
        <v>0.42309617228506624</v>
      </c>
      <c r="S192" s="39">
        <v>0.445407095434038</v>
      </c>
      <c r="T192" s="39">
        <v>0.50327282214687952</v>
      </c>
      <c r="U192" s="39">
        <v>0.5424771267218863</v>
      </c>
      <c r="V192" s="39">
        <v>0.56552045724043098</v>
      </c>
      <c r="W192" s="39">
        <v>0.65650581680764419</v>
      </c>
      <c r="X192" s="39">
        <v>0.60737619284593292</v>
      </c>
      <c r="Y192" s="39">
        <v>0.6686088961672122</v>
      </c>
      <c r="Z192" s="39">
        <v>0.78407144840567689</v>
      </c>
      <c r="AA192" s="39">
        <v>0.8704010784462084</v>
      </c>
      <c r="AB192" s="39">
        <v>0.82255272438833604</v>
      </c>
      <c r="AC192" s="39">
        <v>0.77616882068264004</v>
      </c>
      <c r="AD192" s="39">
        <v>0.65649345562179595</v>
      </c>
      <c r="AE192" s="39">
        <v>0.59624742807467923</v>
      </c>
      <c r="AF192" s="39">
        <v>0.61913267892509405</v>
      </c>
      <c r="AG192" s="39">
        <v>0.62740969821464132</v>
      </c>
      <c r="AH192" s="39">
        <v>0.62265317807847587</v>
      </c>
    </row>
    <row r="193" spans="1:34" x14ac:dyDescent="0.35">
      <c r="A193" s="39" t="s">
        <v>483</v>
      </c>
      <c r="B193" s="39" t="s">
        <v>484</v>
      </c>
      <c r="C193" s="39" t="s">
        <v>112</v>
      </c>
      <c r="D193" s="39" t="s">
        <v>113</v>
      </c>
      <c r="E193" s="39">
        <v>0.28040947719670817</v>
      </c>
      <c r="F193" s="39">
        <v>0.37801757535670416</v>
      </c>
      <c r="G193" s="39">
        <v>0.39778592913212529</v>
      </c>
      <c r="H193" s="39">
        <v>0.38136070542849271</v>
      </c>
      <c r="I193" s="39">
        <v>0.40910678928147137</v>
      </c>
      <c r="J193" s="39">
        <v>0.48060824742268049</v>
      </c>
      <c r="K193" s="39">
        <v>0.50191610103482809</v>
      </c>
      <c r="L193" s="39">
        <v>0.46153050955996711</v>
      </c>
      <c r="M193" s="39">
        <v>0.47621338550958164</v>
      </c>
      <c r="N193" s="39">
        <v>0.43801668725265314</v>
      </c>
      <c r="O193" s="39">
        <v>0.42163756011136422</v>
      </c>
      <c r="P193" s="39">
        <v>0.44867241505654754</v>
      </c>
      <c r="Q193" s="39">
        <v>0.44112622549019609</v>
      </c>
      <c r="R193" s="39">
        <v>0.46448741354040779</v>
      </c>
      <c r="S193" s="39">
        <v>0.50079451006124232</v>
      </c>
      <c r="T193" s="39">
        <v>0.57721990418791524</v>
      </c>
      <c r="U193" s="39">
        <v>0.59702468419695798</v>
      </c>
      <c r="V193" s="39">
        <v>0.67049532136276602</v>
      </c>
      <c r="W193" s="39">
        <v>0.76467001494271969</v>
      </c>
      <c r="X193" s="39">
        <v>0.59849331752187429</v>
      </c>
      <c r="Y193" s="39">
        <v>0.59815242264451307</v>
      </c>
      <c r="Z193" s="39">
        <v>0.60801404077224241</v>
      </c>
      <c r="AA193" s="39">
        <v>0.55156394902502692</v>
      </c>
      <c r="AB193" s="39">
        <v>0.55750332215402143</v>
      </c>
      <c r="AC193" s="39">
        <v>0.56019717863369789</v>
      </c>
      <c r="AD193" s="39">
        <v>0.46813715346862977</v>
      </c>
      <c r="AE193" s="39">
        <v>0.43953992086841837</v>
      </c>
      <c r="AF193" s="39">
        <v>0.45970311962532739</v>
      </c>
      <c r="AG193" s="39">
        <v>0.48565827726555361</v>
      </c>
      <c r="AH193" s="39">
        <v>0.45576470281814868</v>
      </c>
    </row>
    <row r="194" spans="1:34" x14ac:dyDescent="0.35">
      <c r="A194" s="39" t="s">
        <v>485</v>
      </c>
      <c r="B194" s="39" t="s">
        <v>486</v>
      </c>
      <c r="C194" s="39" t="s">
        <v>112</v>
      </c>
      <c r="D194" s="39" t="s">
        <v>113</v>
      </c>
    </row>
    <row r="195" spans="1:34" x14ac:dyDescent="0.35">
      <c r="A195" s="39" t="s">
        <v>487</v>
      </c>
      <c r="B195" s="39" t="s">
        <v>488</v>
      </c>
      <c r="C195" s="39" t="s">
        <v>112</v>
      </c>
      <c r="D195" s="39" t="s">
        <v>113</v>
      </c>
      <c r="E195" s="39">
        <v>0.64457978467306298</v>
      </c>
      <c r="F195" s="39">
        <v>0.64296831150318901</v>
      </c>
      <c r="G195" s="39">
        <v>0.644838345543713</v>
      </c>
      <c r="H195" s="39">
        <v>0.64179655755960296</v>
      </c>
      <c r="I195" s="39">
        <v>0.64834982565520105</v>
      </c>
      <c r="J195" s="39">
        <v>0.65265123743601094</v>
      </c>
      <c r="K195" s="39">
        <v>0.66598563265349398</v>
      </c>
      <c r="L195" s="39">
        <v>0.66341830184851702</v>
      </c>
      <c r="M195" s="39">
        <v>0.69775922903229104</v>
      </c>
      <c r="N195" s="39">
        <v>0.69795852278697601</v>
      </c>
      <c r="O195" s="39">
        <v>0.70519236318153899</v>
      </c>
      <c r="P195" s="39">
        <v>0.72804348502405702</v>
      </c>
      <c r="Q195" s="39">
        <v>0.73498131681991496</v>
      </c>
      <c r="R195" s="39">
        <v>0.75345651244588396</v>
      </c>
      <c r="S195" s="39">
        <v>0.72422289615888402</v>
      </c>
      <c r="T195" s="39">
        <v>0.74863065904182902</v>
      </c>
      <c r="U195" s="39">
        <v>0.76655441642119404</v>
      </c>
      <c r="V195" s="39">
        <v>0.77473760195600105</v>
      </c>
      <c r="W195" s="39">
        <v>0.809822664282845</v>
      </c>
      <c r="X195" s="39">
        <v>0.84374027479749503</v>
      </c>
      <c r="Y195" s="39">
        <v>0.85482315760058603</v>
      </c>
      <c r="Z195" s="39">
        <v>0.85717541246428897</v>
      </c>
      <c r="AA195" s="39">
        <v>0.85765760483111197</v>
      </c>
      <c r="AB195" s="39">
        <v>0.85953782591803896</v>
      </c>
      <c r="AC195" s="39">
        <v>0.86042176680707705</v>
      </c>
      <c r="AD195" s="39">
        <v>0.87498438215726304</v>
      </c>
      <c r="AE195" s="39">
        <v>0.89170179934851501</v>
      </c>
      <c r="AF195" s="39">
        <v>0.90527827664661698</v>
      </c>
      <c r="AG195" s="39">
        <v>0.90552297548509797</v>
      </c>
      <c r="AH195" s="39">
        <v>0.91447490072677795</v>
      </c>
    </row>
    <row r="196" spans="1:34" x14ac:dyDescent="0.35">
      <c r="A196" s="39" t="s">
        <v>489</v>
      </c>
      <c r="B196" s="39" t="s">
        <v>490</v>
      </c>
      <c r="C196" s="39" t="s">
        <v>112</v>
      </c>
      <c r="D196" s="39" t="s">
        <v>113</v>
      </c>
    </row>
    <row r="197" spans="1:34" x14ac:dyDescent="0.35">
      <c r="A197" s="39" t="s">
        <v>491</v>
      </c>
      <c r="B197" s="39" t="s">
        <v>492</v>
      </c>
      <c r="C197" s="39" t="s">
        <v>112</v>
      </c>
      <c r="D197" s="39" t="s">
        <v>113</v>
      </c>
      <c r="E197" s="39">
        <v>0.67055407115736188</v>
      </c>
      <c r="F197" s="39">
        <v>0.70452893020674345</v>
      </c>
      <c r="G197" s="39">
        <v>0.82159786159786152</v>
      </c>
      <c r="H197" s="39">
        <v>0.72350704400947508</v>
      </c>
      <c r="I197" s="39">
        <v>0.73616304347826089</v>
      </c>
      <c r="J197" s="39">
        <v>0.81928353456282332</v>
      </c>
      <c r="K197" s="39">
        <v>0.81806732518845859</v>
      </c>
      <c r="L197" s="39">
        <v>0.73339851343624918</v>
      </c>
      <c r="M197" s="39">
        <v>0.73107190560997337</v>
      </c>
      <c r="N197" s="39">
        <v>0.70385893884508843</v>
      </c>
      <c r="O197" s="39">
        <v>0.60887046250230337</v>
      </c>
      <c r="P197" s="39">
        <v>0.6002389261744967</v>
      </c>
      <c r="Q197" s="39">
        <v>0.63248729531338233</v>
      </c>
      <c r="R197" s="39">
        <v>0.75680474040632062</v>
      </c>
      <c r="S197" s="39">
        <v>0.84027812267196422</v>
      </c>
      <c r="T197" s="39">
        <v>0.82609003855241891</v>
      </c>
      <c r="U197" s="39">
        <v>0.80407602559277369</v>
      </c>
      <c r="V197" s="39">
        <v>0.88624281412537631</v>
      </c>
      <c r="W197" s="39">
        <v>0.93181192324593531</v>
      </c>
      <c r="X197" s="39">
        <v>0.87069463739927755</v>
      </c>
      <c r="Y197" s="39">
        <v>0.82472705546726621</v>
      </c>
      <c r="Z197" s="39">
        <v>0.86616869324838297</v>
      </c>
      <c r="AA197" s="39">
        <v>0.77785298363112443</v>
      </c>
      <c r="AB197" s="39">
        <v>0.77487868974602392</v>
      </c>
      <c r="AC197" s="39">
        <v>0.76800370716079258</v>
      </c>
      <c r="AD197" s="39">
        <v>0.64857116146831661</v>
      </c>
      <c r="AE197" s="39">
        <v>0.63213694062492221</v>
      </c>
      <c r="AF197" s="39">
        <v>0.64953052667294231</v>
      </c>
      <c r="AG197" s="39">
        <v>0.68319989823921523</v>
      </c>
      <c r="AH197" s="39">
        <v>0.63462002433725395</v>
      </c>
    </row>
    <row r="198" spans="1:34" x14ac:dyDescent="0.35">
      <c r="A198" s="39" t="s">
        <v>493</v>
      </c>
      <c r="B198" s="39" t="s">
        <v>494</v>
      </c>
      <c r="C198" s="39" t="s">
        <v>112</v>
      </c>
      <c r="D198" s="39" t="s">
        <v>113</v>
      </c>
      <c r="E198" s="39">
        <v>0.25524221055843394</v>
      </c>
      <c r="F198" s="39">
        <v>0.28667368264225701</v>
      </c>
      <c r="G198" s="39">
        <v>0.28243966665766979</v>
      </c>
      <c r="H198" s="39">
        <v>0.26630748213200367</v>
      </c>
      <c r="I198" s="39">
        <v>0.26879658841206294</v>
      </c>
      <c r="J198" s="39">
        <v>0.28375853220912628</v>
      </c>
      <c r="K198" s="39">
        <v>0.29632489356784586</v>
      </c>
      <c r="L198" s="39">
        <v>0.28449454771440724</v>
      </c>
      <c r="M198" s="39">
        <v>0.26125476945856396</v>
      </c>
      <c r="N198" s="39">
        <v>0.24916506113490461</v>
      </c>
      <c r="O198" s="39">
        <v>0.25001649736666343</v>
      </c>
      <c r="P198" s="39">
        <v>0.23668166482396533</v>
      </c>
      <c r="Q198" s="39">
        <v>0.19739862090735724</v>
      </c>
      <c r="R198" s="39">
        <v>0.19855408256876814</v>
      </c>
      <c r="S198" s="39">
        <v>0.23250923701065851</v>
      </c>
      <c r="T198" s="39">
        <v>0.24630776859509881</v>
      </c>
      <c r="U198" s="39">
        <v>0.28529491432862891</v>
      </c>
      <c r="V198" s="39">
        <v>0.35041693809648516</v>
      </c>
      <c r="W198" s="39">
        <v>0.4448369391038734</v>
      </c>
      <c r="X198" s="39">
        <v>0.40234063406549608</v>
      </c>
      <c r="Y198" s="39">
        <v>0.43589718475169326</v>
      </c>
      <c r="Z198" s="39">
        <v>0.5073869474323035</v>
      </c>
      <c r="AA198" s="39">
        <v>0.51716403822783141</v>
      </c>
      <c r="AB198" s="39">
        <v>0.53458725116325601</v>
      </c>
      <c r="AC198" s="39">
        <v>0.53414355276004388</v>
      </c>
      <c r="AD198" s="39">
        <v>0.47131644312173498</v>
      </c>
      <c r="AE198" s="39">
        <v>0.44217997937430098</v>
      </c>
      <c r="AF198" s="39">
        <v>0.45104230348773128</v>
      </c>
      <c r="AG198" s="39">
        <v>0.44139017575789008</v>
      </c>
      <c r="AH198" s="39">
        <v>0.40989197028323859</v>
      </c>
    </row>
    <row r="199" spans="1:34" x14ac:dyDescent="0.35">
      <c r="A199" s="39" t="s">
        <v>495</v>
      </c>
      <c r="B199" s="39" t="s">
        <v>496</v>
      </c>
      <c r="C199" s="39" t="s">
        <v>112</v>
      </c>
      <c r="D199" s="39" t="s">
        <v>113</v>
      </c>
      <c r="I199" s="39">
        <v>0.56854001051608904</v>
      </c>
      <c r="J199" s="39">
        <v>0.60021380375299405</v>
      </c>
      <c r="K199" s="39">
        <v>0.60483835026770105</v>
      </c>
      <c r="L199" s="39">
        <v>0.571789570360003</v>
      </c>
      <c r="M199" s="39">
        <v>0.53504971570030302</v>
      </c>
      <c r="N199" s="39">
        <v>0.51145680384188996</v>
      </c>
      <c r="O199" s="39">
        <v>0.55251358648198201</v>
      </c>
      <c r="P199" s="39">
        <v>0.55333140194517905</v>
      </c>
      <c r="Q199" s="39">
        <v>0.55281990763954902</v>
      </c>
      <c r="R199" s="39">
        <v>0.53120412271009698</v>
      </c>
      <c r="S199" s="39">
        <v>0.51146374193395505</v>
      </c>
      <c r="T199" s="39">
        <v>0.49964280724191401</v>
      </c>
      <c r="U199" s="39">
        <v>0.51282907643067099</v>
      </c>
      <c r="V199" s="39">
        <v>0.52537746378566996</v>
      </c>
      <c r="W199" s="39">
        <v>0.58885391070924897</v>
      </c>
      <c r="X199" s="39">
        <v>0.58573698575534106</v>
      </c>
      <c r="Y199" s="39">
        <v>0.65682724858459096</v>
      </c>
      <c r="Z199" s="39">
        <v>0.67201765050687001</v>
      </c>
      <c r="AA199" s="39">
        <v>0.61193669032312403</v>
      </c>
      <c r="AB199" s="39">
        <v>0.64711780264122598</v>
      </c>
      <c r="AC199" s="39">
        <v>0.608354215297364</v>
      </c>
      <c r="AD199" s="39">
        <v>0.54953545159436201</v>
      </c>
      <c r="AE199" s="39">
        <v>0.55945989311000699</v>
      </c>
      <c r="AF199" s="39">
        <v>0.56552749456804596</v>
      </c>
      <c r="AG199" s="39">
        <v>0.55198254145342895</v>
      </c>
    </row>
    <row r="200" spans="1:34" x14ac:dyDescent="0.35">
      <c r="A200" s="39" t="s">
        <v>497</v>
      </c>
      <c r="B200" s="39" t="s">
        <v>498</v>
      </c>
      <c r="C200" s="39" t="s">
        <v>112</v>
      </c>
      <c r="D200" s="39" t="s">
        <v>113</v>
      </c>
    </row>
    <row r="201" spans="1:34" x14ac:dyDescent="0.35">
      <c r="A201" s="39" t="s">
        <v>499</v>
      </c>
      <c r="B201" s="39" t="s">
        <v>500</v>
      </c>
      <c r="C201" s="39" t="s">
        <v>112</v>
      </c>
      <c r="D201" s="39" t="s">
        <v>113</v>
      </c>
    </row>
    <row r="202" spans="1:34" x14ac:dyDescent="0.35">
      <c r="A202" s="39" t="s">
        <v>501</v>
      </c>
      <c r="B202" s="39" t="s">
        <v>502</v>
      </c>
      <c r="C202" s="39" t="s">
        <v>112</v>
      </c>
      <c r="D202" s="39" t="s">
        <v>113</v>
      </c>
    </row>
    <row r="203" spans="1:34" x14ac:dyDescent="0.35">
      <c r="A203" s="39" t="s">
        <v>503</v>
      </c>
      <c r="B203" s="39" t="s">
        <v>504</v>
      </c>
      <c r="C203" s="39" t="s">
        <v>112</v>
      </c>
      <c r="D203" s="39" t="s">
        <v>113</v>
      </c>
      <c r="O203" s="39">
        <v>0.30959721829510162</v>
      </c>
      <c r="P203" s="39">
        <v>0.28795017481849172</v>
      </c>
      <c r="Q203" s="39">
        <v>0.29199592675858516</v>
      </c>
      <c r="R203" s="39">
        <v>0.33591230180694504</v>
      </c>
      <c r="S203" s="39">
        <v>0.36997898542054941</v>
      </c>
      <c r="T203" s="39">
        <v>0.46839046333186263</v>
      </c>
      <c r="U203" s="39">
        <v>0.49264695851953294</v>
      </c>
      <c r="V203" s="39">
        <v>0.53238821122802471</v>
      </c>
      <c r="W203" s="39">
        <v>0.64181857704873069</v>
      </c>
      <c r="X203" s="39">
        <v>0.482702424690717</v>
      </c>
      <c r="Y203" s="39">
        <v>0.51044386934602748</v>
      </c>
      <c r="Z203" s="39">
        <v>0.59135012574248347</v>
      </c>
      <c r="AA203" s="39">
        <v>0.60067189918769492</v>
      </c>
      <c r="AB203" s="39">
        <v>0.61528486209911271</v>
      </c>
      <c r="AC203" s="39">
        <v>0.64971925138117304</v>
      </c>
      <c r="AD203" s="39">
        <v>0.67807154341058506</v>
      </c>
      <c r="AE203" s="39">
        <v>0.68786222856123358</v>
      </c>
      <c r="AF203" s="39">
        <v>0.64449172753554118</v>
      </c>
      <c r="AG203" s="39">
        <v>0.71117430418645877</v>
      </c>
      <c r="AH203" s="39">
        <v>0.67137602495907422</v>
      </c>
    </row>
    <row r="204" spans="1:34" x14ac:dyDescent="0.35">
      <c r="A204" s="39" t="s">
        <v>505</v>
      </c>
      <c r="B204" s="39" t="s">
        <v>506</v>
      </c>
      <c r="C204" s="39" t="s">
        <v>112</v>
      </c>
      <c r="D204" s="39" t="s">
        <v>113</v>
      </c>
      <c r="E204" s="39">
        <v>0.31888017988166406</v>
      </c>
      <c r="F204" s="39">
        <v>0.26340291980597236</v>
      </c>
      <c r="G204" s="39">
        <v>0.24454218499449543</v>
      </c>
      <c r="H204" s="39">
        <v>0.24691040083626448</v>
      </c>
      <c r="I204" s="39">
        <v>0.26534969709522049</v>
      </c>
      <c r="J204" s="39">
        <v>0.30452907103618249</v>
      </c>
      <c r="K204" s="39">
        <v>0.28473183470033014</v>
      </c>
      <c r="L204" s="39">
        <v>0.28357917061279853</v>
      </c>
      <c r="M204" s="39">
        <v>0.33412473283268362</v>
      </c>
      <c r="N204" s="39">
        <v>0.28587483524522594</v>
      </c>
      <c r="O204" s="39">
        <v>0.28373039242181719</v>
      </c>
      <c r="P204" s="39">
        <v>0.27987377142030795</v>
      </c>
      <c r="Q204" s="39">
        <v>0.29597709320105248</v>
      </c>
      <c r="R204" s="39">
        <v>0.35480801776302712</v>
      </c>
      <c r="S204" s="39">
        <v>0.38909896052534548</v>
      </c>
      <c r="T204" s="39">
        <v>0.48092773915088716</v>
      </c>
      <c r="U204" s="39">
        <v>0.4988008729216411</v>
      </c>
      <c r="V204" s="39">
        <v>0.6108601270171472</v>
      </c>
      <c r="W204" s="39">
        <v>0.62179211320086147</v>
      </c>
      <c r="X204" s="39">
        <v>0.51346667788514733</v>
      </c>
      <c r="Y204" s="39">
        <v>0.48353165747057808</v>
      </c>
      <c r="Z204" s="39">
        <v>0.50844134700686872</v>
      </c>
      <c r="AA204" s="39">
        <v>0.45083470537237763</v>
      </c>
      <c r="AB204" s="39">
        <v>0.48265474812989267</v>
      </c>
      <c r="AC204" s="39">
        <v>0.48619725399949537</v>
      </c>
      <c r="AD204" s="39">
        <v>0.41501691249093542</v>
      </c>
      <c r="AE204" s="39">
        <v>0.39589618899792323</v>
      </c>
      <c r="AF204" s="39">
        <v>0.39746716261632814</v>
      </c>
      <c r="AG204" s="39">
        <v>0.42475059312373148</v>
      </c>
      <c r="AH204" s="39">
        <v>0.40001883422208645</v>
      </c>
    </row>
    <row r="205" spans="1:34" x14ac:dyDescent="0.35">
      <c r="A205" s="39" t="s">
        <v>507</v>
      </c>
      <c r="B205" s="39" t="s">
        <v>508</v>
      </c>
      <c r="C205" s="39" t="s">
        <v>112</v>
      </c>
      <c r="D205" s="39" t="s">
        <v>113</v>
      </c>
      <c r="E205" s="39">
        <v>0.4350744261891783</v>
      </c>
      <c r="F205" s="39">
        <v>0.44419625400787033</v>
      </c>
      <c r="G205" s="39">
        <v>0.45155839260226388</v>
      </c>
      <c r="H205" s="39">
        <v>0.45652506996351344</v>
      </c>
      <c r="I205" s="39">
        <v>0.46423297853937773</v>
      </c>
      <c r="J205" s="39">
        <v>0.47490585889910292</v>
      </c>
      <c r="K205" s="39">
        <v>0.47915853753706877</v>
      </c>
      <c r="L205" s="39">
        <v>0.48028020743301636</v>
      </c>
      <c r="M205" s="39">
        <v>0.33574435857805252</v>
      </c>
      <c r="N205" s="39">
        <v>0.22500572705117788</v>
      </c>
      <c r="O205" s="39">
        <v>0.25955933167436901</v>
      </c>
      <c r="P205" s="39">
        <v>0.28532111758656153</v>
      </c>
      <c r="Q205" s="39">
        <v>0.29580555023923444</v>
      </c>
      <c r="R205" s="39">
        <v>0.3214774859898345</v>
      </c>
      <c r="S205" s="39">
        <v>0.40113998611593199</v>
      </c>
      <c r="T205" s="39">
        <v>0.45028818005685112</v>
      </c>
      <c r="U205" s="39">
        <v>0.4640611967195028</v>
      </c>
      <c r="V205" s="39">
        <v>0.54667965818113584</v>
      </c>
      <c r="W205" s="39">
        <v>0.57704316196500205</v>
      </c>
      <c r="X205" s="39">
        <v>0.44161110130937231</v>
      </c>
      <c r="Y205" s="39">
        <v>0.52098241893578423</v>
      </c>
      <c r="Z205" s="39">
        <v>0.62771563151965637</v>
      </c>
      <c r="AA205" s="39">
        <v>0.63451319398958483</v>
      </c>
      <c r="AB205" s="39">
        <v>0.61266861617421187</v>
      </c>
      <c r="AC205" s="39">
        <v>0.54715632833223038</v>
      </c>
      <c r="AD205" s="39">
        <v>0.38666756375773947</v>
      </c>
      <c r="AE205" s="39">
        <v>0.3608188392072883</v>
      </c>
      <c r="AF205" s="39">
        <v>0.41222567309076702</v>
      </c>
      <c r="AG205" s="39">
        <v>0.39532069745213277</v>
      </c>
      <c r="AH205" s="39">
        <v>0.39699980073434799</v>
      </c>
    </row>
    <row r="206" spans="1:34" x14ac:dyDescent="0.35">
      <c r="A206" s="39" t="s">
        <v>14</v>
      </c>
      <c r="B206" s="39" t="s">
        <v>509</v>
      </c>
      <c r="C206" s="39" t="s">
        <v>112</v>
      </c>
      <c r="D206" s="39" t="s">
        <v>113</v>
      </c>
      <c r="E206" s="39">
        <v>0.60833352582611611</v>
      </c>
      <c r="F206" s="39">
        <v>0.45246265393139418</v>
      </c>
      <c r="G206" s="39">
        <v>0.443509659209814</v>
      </c>
      <c r="H206" s="39">
        <v>0.45811419046117019</v>
      </c>
      <c r="I206" s="39">
        <v>0.34462511468110635</v>
      </c>
      <c r="J206" s="39">
        <v>0.42844686454082903</v>
      </c>
      <c r="K206" s="39">
        <v>0.39879704923468157</v>
      </c>
      <c r="L206" s="39">
        <v>0.46123140647875599</v>
      </c>
      <c r="M206" s="39">
        <v>0.45016058534457143</v>
      </c>
      <c r="N206" s="39">
        <v>0.40042157621276642</v>
      </c>
      <c r="O206" s="39">
        <v>0.34496584831087146</v>
      </c>
      <c r="P206" s="39">
        <v>0.3003546131353711</v>
      </c>
      <c r="Q206" s="39">
        <v>0.26166480389546604</v>
      </c>
      <c r="R206" s="39">
        <v>0.27662755311715692</v>
      </c>
      <c r="S206" s="39">
        <v>0.28366968768589779</v>
      </c>
      <c r="T206" s="39">
        <v>0.31079351916431858</v>
      </c>
      <c r="U206" s="39">
        <v>0.35630625858553666</v>
      </c>
      <c r="V206" s="39">
        <v>0.39530139828186772</v>
      </c>
      <c r="W206" s="39">
        <v>0.44403354690893843</v>
      </c>
      <c r="X206" s="39">
        <v>0.45434083124802982</v>
      </c>
      <c r="Y206" s="39">
        <v>0.45173442671605468</v>
      </c>
      <c r="Z206" s="39">
        <v>0.46084663577194485</v>
      </c>
      <c r="AA206" s="39">
        <v>0.48712603395694998</v>
      </c>
      <c r="AB206" s="39">
        <v>0.46841624330875953</v>
      </c>
      <c r="AC206" s="39">
        <v>0.43567751035338692</v>
      </c>
      <c r="AD206" s="39">
        <v>0.41621313482789285</v>
      </c>
      <c r="AE206" s="39">
        <v>0.39565006193869179</v>
      </c>
      <c r="AF206" s="39">
        <v>0.39099734850751117</v>
      </c>
      <c r="AG206" s="39">
        <v>0.36607719369844816</v>
      </c>
      <c r="AH206" s="39">
        <v>0.34576706839763688</v>
      </c>
    </row>
    <row r="207" spans="1:34" x14ac:dyDescent="0.35">
      <c r="A207" s="39" t="s">
        <v>510</v>
      </c>
      <c r="B207" s="39" t="s">
        <v>511</v>
      </c>
      <c r="C207" s="39" t="s">
        <v>112</v>
      </c>
      <c r="D207" s="39" t="s">
        <v>113</v>
      </c>
    </row>
    <row r="208" spans="1:34" x14ac:dyDescent="0.35">
      <c r="A208" s="39" t="s">
        <v>512</v>
      </c>
      <c r="B208" s="39" t="s">
        <v>513</v>
      </c>
      <c r="C208" s="39" t="s">
        <v>112</v>
      </c>
      <c r="D208" s="39" t="s">
        <v>113</v>
      </c>
      <c r="E208" s="39">
        <v>0.22581907867711695</v>
      </c>
      <c r="F208" s="39">
        <v>0.2134901866863877</v>
      </c>
      <c r="G208" s="39">
        <v>0.20811418807333404</v>
      </c>
      <c r="H208" s="39">
        <v>0.19991400209607021</v>
      </c>
      <c r="I208" s="39">
        <v>0.19787752576331455</v>
      </c>
      <c r="J208" s="39">
        <v>0.20509008661735031</v>
      </c>
      <c r="K208" s="39">
        <v>0.21719818916800962</v>
      </c>
      <c r="L208" s="39">
        <v>0.22090340947312709</v>
      </c>
      <c r="M208" s="39">
        <v>0.1877565587089664</v>
      </c>
      <c r="N208" s="39">
        <v>0.21189992827021334</v>
      </c>
      <c r="O208" s="39">
        <v>0.22995804725412639</v>
      </c>
      <c r="P208" s="39">
        <v>0.22131695738941468</v>
      </c>
      <c r="Q208" s="39">
        <v>0.23084904550764504</v>
      </c>
      <c r="R208" s="39">
        <v>0.23189037405476748</v>
      </c>
      <c r="S208" s="39">
        <v>0.25077769902442237</v>
      </c>
      <c r="T208" s="39">
        <v>0.29243258731336236</v>
      </c>
      <c r="U208" s="39">
        <v>0.31686791789663016</v>
      </c>
      <c r="V208" s="39">
        <v>0.33438519773194125</v>
      </c>
      <c r="W208" s="39">
        <v>0.3857712573052347</v>
      </c>
      <c r="X208" s="39">
        <v>0.32269407249921334</v>
      </c>
      <c r="Y208" s="39">
        <v>0.37381348863520802</v>
      </c>
      <c r="Z208" s="39">
        <v>0.42302780151367197</v>
      </c>
      <c r="AA208" s="39">
        <v>0.4400524457295733</v>
      </c>
      <c r="AB208" s="39">
        <v>0.44439102808634401</v>
      </c>
      <c r="AC208" s="39">
        <v>0.43900814056396531</v>
      </c>
      <c r="AD208" s="39">
        <v>0.42434574762980265</v>
      </c>
      <c r="AE208" s="39">
        <v>0.43704538345336802</v>
      </c>
      <c r="AF208" s="39">
        <v>0.43974059422810929</v>
      </c>
      <c r="AG208" s="39">
        <v>0.47904410064874398</v>
      </c>
      <c r="AH208" s="39">
        <v>0.47312444654478397</v>
      </c>
    </row>
    <row r="209" spans="1:34" x14ac:dyDescent="0.35">
      <c r="A209" s="39" t="s">
        <v>514</v>
      </c>
      <c r="B209" s="39" t="s">
        <v>515</v>
      </c>
      <c r="C209" s="39" t="s">
        <v>112</v>
      </c>
      <c r="D209" s="39" t="s">
        <v>113</v>
      </c>
      <c r="E209" s="39">
        <v>0.42805684262474258</v>
      </c>
      <c r="F209" s="39">
        <v>0.35317758288627887</v>
      </c>
      <c r="G209" s="39">
        <v>0.20028268042235522</v>
      </c>
      <c r="H209" s="39">
        <v>0.23624150711352795</v>
      </c>
      <c r="I209" s="39">
        <v>0.32987121494109806</v>
      </c>
      <c r="J209" s="39">
        <v>0.32948792112667069</v>
      </c>
      <c r="K209" s="39">
        <v>0.19920156287942439</v>
      </c>
      <c r="L209" s="39">
        <v>0.22941384867414924</v>
      </c>
      <c r="M209" s="39">
        <v>0.20946232210598706</v>
      </c>
      <c r="N209" s="39">
        <v>0.19014884965426174</v>
      </c>
      <c r="O209" s="39">
        <v>0.20068553050737822</v>
      </c>
      <c r="P209" s="39">
        <v>0.19831547527072513</v>
      </c>
      <c r="Q209" s="39">
        <v>0.20598216655057613</v>
      </c>
      <c r="R209" s="39">
        <v>0.22376210837310176</v>
      </c>
      <c r="S209" s="39">
        <v>0.25504870308231481</v>
      </c>
      <c r="T209" s="39">
        <v>0.28444861968451129</v>
      </c>
      <c r="U209" s="39">
        <v>0.33877906720785445</v>
      </c>
      <c r="V209" s="39">
        <v>0.37904598982747983</v>
      </c>
      <c r="W209" s="39">
        <v>0.40973613652320212</v>
      </c>
      <c r="X209" s="39">
        <v>0.36086109612062245</v>
      </c>
      <c r="Y209" s="39">
        <v>0.44230852762102996</v>
      </c>
      <c r="Z209" s="39">
        <v>0.39139197523164249</v>
      </c>
      <c r="AA209" s="39">
        <v>0.35534064216208539</v>
      </c>
      <c r="AB209" s="39">
        <v>0.37170243447940721</v>
      </c>
      <c r="AC209" s="39">
        <v>0.36115309425063385</v>
      </c>
      <c r="AD209" s="39">
        <v>0.37832132996328077</v>
      </c>
      <c r="AE209" s="39">
        <v>0.29423211227511253</v>
      </c>
      <c r="AF209" s="39">
        <v>0.25486497768733174</v>
      </c>
      <c r="AG209" s="39">
        <v>0.14648983073132935</v>
      </c>
      <c r="AH209" s="39">
        <v>0.10709587520428891</v>
      </c>
    </row>
    <row r="210" spans="1:34" x14ac:dyDescent="0.35">
      <c r="A210" s="39" t="s">
        <v>516</v>
      </c>
      <c r="B210" s="39" t="s">
        <v>517</v>
      </c>
      <c r="C210" s="39" t="s">
        <v>112</v>
      </c>
      <c r="D210" s="39" t="s">
        <v>113</v>
      </c>
      <c r="E210" s="39">
        <v>0.65125062630712094</v>
      </c>
      <c r="F210" s="39">
        <v>0.60356690859081785</v>
      </c>
      <c r="G210" s="39">
        <v>0.62310019804585559</v>
      </c>
      <c r="H210" s="39">
        <v>0.56823691692853506</v>
      </c>
      <c r="I210" s="39">
        <v>0.37991605694690261</v>
      </c>
      <c r="J210" s="39">
        <v>0.44439919847946224</v>
      </c>
      <c r="K210" s="39">
        <v>0.44420778175751108</v>
      </c>
      <c r="L210" s="39">
        <v>0.39057118607387675</v>
      </c>
      <c r="M210" s="39">
        <v>0.39264216152072418</v>
      </c>
      <c r="N210" s="39">
        <v>0.37217979290508135</v>
      </c>
      <c r="O210" s="39">
        <v>0.3209076857344802</v>
      </c>
      <c r="P210" s="39">
        <v>0.31296942435931535</v>
      </c>
      <c r="Q210" s="39">
        <v>0.33472418994987718</v>
      </c>
      <c r="R210" s="39">
        <v>0.39610988250173307</v>
      </c>
      <c r="S210" s="39">
        <v>0.42661145937767275</v>
      </c>
      <c r="T210" s="39">
        <v>0.4246538971921639</v>
      </c>
      <c r="U210" s="39">
        <v>0.43238747754335571</v>
      </c>
      <c r="V210" s="39">
        <v>0.48383374563120168</v>
      </c>
      <c r="W210" s="39">
        <v>0.54114735548459569</v>
      </c>
      <c r="X210" s="39">
        <v>0.50427169353146839</v>
      </c>
      <c r="Y210" s="39">
        <v>0.48080209886145814</v>
      </c>
      <c r="Z210" s="39">
        <v>0.51199316456689525</v>
      </c>
      <c r="AA210" s="39">
        <v>0.48104353572614422</v>
      </c>
      <c r="AB210" s="39">
        <v>0.50053070312772063</v>
      </c>
      <c r="AC210" s="39">
        <v>0.49339692174511651</v>
      </c>
      <c r="AD210" s="39">
        <v>0.41033561217369341</v>
      </c>
      <c r="AE210" s="39">
        <v>0.4128508317230718</v>
      </c>
      <c r="AF210" s="39">
        <v>0.4250130358783718</v>
      </c>
      <c r="AG210" s="39">
        <v>0.43194491523176576</v>
      </c>
      <c r="AH210" s="39">
        <v>0.40922155821728895</v>
      </c>
    </row>
    <row r="211" spans="1:34" x14ac:dyDescent="0.35">
      <c r="A211" s="39" t="s">
        <v>518</v>
      </c>
      <c r="B211" s="39" t="s">
        <v>519</v>
      </c>
      <c r="C211" s="39" t="s">
        <v>112</v>
      </c>
      <c r="D211" s="39" t="s">
        <v>113</v>
      </c>
      <c r="E211" s="39">
        <v>0.497653547133943</v>
      </c>
      <c r="F211" s="39">
        <v>0.56756243686622054</v>
      </c>
      <c r="G211" s="39">
        <v>0.59663714633888765</v>
      </c>
      <c r="H211" s="39">
        <v>0.60788078366392995</v>
      </c>
      <c r="I211" s="39">
        <v>0.65140838716155425</v>
      </c>
      <c r="J211" s="39">
        <v>0.70921506892527164</v>
      </c>
      <c r="K211" s="39">
        <v>0.71066322615222699</v>
      </c>
      <c r="L211" s="39">
        <v>0.67059716861637331</v>
      </c>
      <c r="M211" s="39">
        <v>0.58053285842653501</v>
      </c>
      <c r="N211" s="39">
        <v>0.54479986849993389</v>
      </c>
      <c r="O211" s="39">
        <v>0.54416094697637529</v>
      </c>
      <c r="P211" s="39">
        <v>0.50305553574704076</v>
      </c>
      <c r="Q211" s="39">
        <v>0.4911234182737384</v>
      </c>
      <c r="R211" s="39">
        <v>0.48670683920045232</v>
      </c>
      <c r="S211" s="39">
        <v>0.50842862220455043</v>
      </c>
      <c r="T211" s="39">
        <v>0.51026367961589691</v>
      </c>
      <c r="U211" s="39">
        <v>0.52838537645014783</v>
      </c>
      <c r="V211" s="39">
        <v>0.57458644483923882</v>
      </c>
      <c r="W211" s="39">
        <v>0.59202909968316975</v>
      </c>
      <c r="X211" s="39">
        <v>0.58847759071584949</v>
      </c>
      <c r="Y211" s="39">
        <v>0.62736388749566707</v>
      </c>
      <c r="Z211" s="39">
        <v>0.67318949151217278</v>
      </c>
      <c r="AA211" s="39">
        <v>0.67685998668000635</v>
      </c>
      <c r="AB211" s="39">
        <v>0.68633974403497799</v>
      </c>
      <c r="AC211" s="39">
        <v>0.6818331536380412</v>
      </c>
      <c r="AD211" s="39">
        <v>0.63980201458147079</v>
      </c>
      <c r="AE211" s="39">
        <v>0.63576225435392975</v>
      </c>
      <c r="AF211" s="39">
        <v>0.64159598147828523</v>
      </c>
      <c r="AG211" s="39">
        <v>0.66154753084538842</v>
      </c>
      <c r="AH211" s="39">
        <v>0.64347998562139486</v>
      </c>
    </row>
    <row r="212" spans="1:34" x14ac:dyDescent="0.35">
      <c r="A212" s="39" t="s">
        <v>520</v>
      </c>
      <c r="B212" s="39" t="s">
        <v>521</v>
      </c>
      <c r="C212" s="39" t="s">
        <v>112</v>
      </c>
      <c r="D212" s="39" t="s">
        <v>113</v>
      </c>
      <c r="E212" s="39">
        <v>0.79380354777142126</v>
      </c>
      <c r="F212" s="39">
        <v>0.76706262770133338</v>
      </c>
      <c r="G212" s="39">
        <v>0.78688416895709845</v>
      </c>
      <c r="H212" s="39">
        <v>0.80201416053115737</v>
      </c>
      <c r="I212" s="39">
        <v>0.81334101966134176</v>
      </c>
      <c r="J212" s="39">
        <v>0.8225450689622068</v>
      </c>
      <c r="K212" s="39">
        <v>0.86514952896369735</v>
      </c>
      <c r="L212" s="39">
        <v>0.86711445949937316</v>
      </c>
      <c r="M212" s="39">
        <v>0.69893054665255416</v>
      </c>
      <c r="N212" s="39">
        <v>0.70854149248327447</v>
      </c>
      <c r="O212" s="39">
        <v>0.72940901833320171</v>
      </c>
      <c r="P212" s="39">
        <v>0.71388642784004364</v>
      </c>
      <c r="Q212" s="39">
        <v>0.61685127214237945</v>
      </c>
      <c r="R212" s="39">
        <v>0.55379121226868333</v>
      </c>
      <c r="S212" s="39">
        <v>0.57955935466528918</v>
      </c>
      <c r="T212" s="39">
        <v>0.58831350033945484</v>
      </c>
      <c r="U212" s="39">
        <v>0.58914787365755572</v>
      </c>
      <c r="V212" s="39">
        <v>0.60409775621747908</v>
      </c>
      <c r="W212" s="39">
        <v>0.6520501799671008</v>
      </c>
      <c r="X212" s="39">
        <v>0.66761795234345256</v>
      </c>
      <c r="Y212" s="39">
        <v>0.70404657187689879</v>
      </c>
      <c r="Z212" s="39">
        <v>0.8342640812476908</v>
      </c>
      <c r="AA212" s="39">
        <v>0.8929875000566565</v>
      </c>
      <c r="AB212" s="39">
        <v>0.90465238335935139</v>
      </c>
      <c r="AC212" s="39">
        <v>0.90096677808862013</v>
      </c>
      <c r="AD212" s="39">
        <v>0.85626837874091877</v>
      </c>
      <c r="AE212" s="39">
        <v>0.87445152143642335</v>
      </c>
      <c r="AF212" s="39">
        <v>0.8808212810987549</v>
      </c>
      <c r="AG212" s="39">
        <v>0.88297260675996481</v>
      </c>
      <c r="AH212" s="39">
        <v>0.86291652591742907</v>
      </c>
    </row>
    <row r="213" spans="1:34" x14ac:dyDescent="0.35">
      <c r="A213" s="39" t="s">
        <v>12</v>
      </c>
      <c r="B213" s="39" t="s">
        <v>522</v>
      </c>
      <c r="C213" s="39" t="s">
        <v>112</v>
      </c>
      <c r="D213" s="39" t="s">
        <v>113</v>
      </c>
      <c r="E213" s="39">
        <v>0.19369871571537428</v>
      </c>
      <c r="F213" s="39">
        <v>0.21978343982112025</v>
      </c>
      <c r="G213" s="39">
        <v>0.23132173471599721</v>
      </c>
      <c r="H213" s="39">
        <v>0.25201742076218853</v>
      </c>
      <c r="I213" s="39">
        <v>0.29848990966828698</v>
      </c>
      <c r="J213" s="39">
        <v>0.30343901472614937</v>
      </c>
      <c r="K213" s="39">
        <v>0.31671943872347347</v>
      </c>
      <c r="L213" s="39">
        <v>0.29864313779254609</v>
      </c>
      <c r="M213" s="39">
        <v>0.22945090359324574</v>
      </c>
      <c r="N213" s="39">
        <v>0.22972594938177751</v>
      </c>
      <c r="O213" s="39">
        <v>0.20013899439078342</v>
      </c>
      <c r="P213" s="39">
        <v>0.3586093770676555</v>
      </c>
      <c r="Q213" s="39">
        <v>0.32096346305840495</v>
      </c>
      <c r="R213" s="39">
        <v>0.31873272068221431</v>
      </c>
      <c r="S213" s="39">
        <v>0.30434493429534154</v>
      </c>
      <c r="T213" s="39">
        <v>0.32180409873156324</v>
      </c>
      <c r="U213" s="39">
        <v>0.34229428517116256</v>
      </c>
      <c r="V213" s="39">
        <v>0.3532189075252502</v>
      </c>
      <c r="W213" s="39">
        <v>0.38157484077210485</v>
      </c>
      <c r="X213" s="39">
        <v>0.35943603757446579</v>
      </c>
      <c r="Y213" s="39">
        <v>0.35432418323061771</v>
      </c>
      <c r="Z213" s="39">
        <v>0.37261776774017924</v>
      </c>
      <c r="AA213" s="39">
        <v>0.40295173780263777</v>
      </c>
      <c r="AB213" s="39">
        <v>0.4104282569178006</v>
      </c>
      <c r="AC213" s="39">
        <v>0.39979921141615987</v>
      </c>
      <c r="AD213" s="39">
        <v>0.37072708214052602</v>
      </c>
      <c r="AE213" s="39">
        <v>0.31404814079877008</v>
      </c>
      <c r="AF213" s="39">
        <v>0.30401723085848764</v>
      </c>
      <c r="AG213" s="39">
        <v>0.31364366188728221</v>
      </c>
      <c r="AH213" s="39">
        <v>0.28188746341256266</v>
      </c>
    </row>
    <row r="214" spans="1:34" x14ac:dyDescent="0.35">
      <c r="A214" s="39" t="s">
        <v>523</v>
      </c>
      <c r="B214" s="39" t="s">
        <v>524</v>
      </c>
      <c r="C214" s="39" t="s">
        <v>112</v>
      </c>
      <c r="D214" s="39" t="s">
        <v>113</v>
      </c>
      <c r="E214" s="39">
        <v>0.31350015864104802</v>
      </c>
      <c r="F214" s="39">
        <v>0.32574627615346502</v>
      </c>
      <c r="G214" s="39">
        <v>0.32939232927675999</v>
      </c>
      <c r="H214" s="39">
        <v>0.34941619056138701</v>
      </c>
      <c r="I214" s="39">
        <v>0.37565998455834698</v>
      </c>
      <c r="J214" s="39">
        <v>0.408154193469558</v>
      </c>
      <c r="K214" s="39">
        <v>0.42716931943885</v>
      </c>
      <c r="L214" s="39">
        <v>0.43415043582055401</v>
      </c>
      <c r="M214" s="39">
        <v>0.44747067794401002</v>
      </c>
      <c r="N214" s="39">
        <v>0.44549366521123202</v>
      </c>
      <c r="O214" s="39">
        <v>0.45002133641870001</v>
      </c>
      <c r="P214" s="39">
        <v>0.45496465225059202</v>
      </c>
      <c r="Q214" s="39">
        <v>0.45461052085728199</v>
      </c>
      <c r="R214" s="39">
        <v>0.45957264673348902</v>
      </c>
      <c r="S214" s="39">
        <v>0.45968029725912701</v>
      </c>
      <c r="T214" s="39">
        <v>0.46481932882690302</v>
      </c>
      <c r="U214" s="39">
        <v>0.47068700591099599</v>
      </c>
      <c r="V214" s="39">
        <v>0.47846014481700799</v>
      </c>
      <c r="W214" s="39">
        <v>0.48379614040965302</v>
      </c>
      <c r="X214" s="39">
        <v>0.47986206158566302</v>
      </c>
      <c r="Y214" s="39">
        <v>0.48689772169141399</v>
      </c>
      <c r="Z214" s="39">
        <v>0.50512027740478505</v>
      </c>
      <c r="AA214" s="39">
        <v>0.52412414550781306</v>
      </c>
      <c r="AB214" s="39">
        <v>0.51031726598739602</v>
      </c>
      <c r="AC214" s="39">
        <v>0.49619051814079301</v>
      </c>
      <c r="AD214" s="39">
        <v>0.48772457242012002</v>
      </c>
      <c r="AE214" s="39">
        <v>0.47346323728561401</v>
      </c>
      <c r="AF214" s="39">
        <v>0.46253019571304299</v>
      </c>
      <c r="AG214" s="39">
        <v>0.46124459537160201</v>
      </c>
      <c r="AH214" s="39">
        <v>0.45813835565348099</v>
      </c>
    </row>
    <row r="215" spans="1:34" x14ac:dyDescent="0.35">
      <c r="A215" s="39" t="s">
        <v>525</v>
      </c>
      <c r="B215" s="39" t="s">
        <v>526</v>
      </c>
      <c r="C215" s="39" t="s">
        <v>112</v>
      </c>
      <c r="D215" s="39" t="s">
        <v>113</v>
      </c>
      <c r="N215" s="39">
        <v>0.80406888331658644</v>
      </c>
      <c r="O215" s="39">
        <v>0.69757857073508567</v>
      </c>
      <c r="P215" s="39">
        <v>0.69301527080113745</v>
      </c>
      <c r="Q215" s="39">
        <v>0.73746242526898453</v>
      </c>
      <c r="R215" s="39">
        <v>0.87365699352900006</v>
      </c>
      <c r="S215" s="39">
        <v>0.95790109699057502</v>
      </c>
      <c r="T215" s="39">
        <v>0.93964269038951864</v>
      </c>
      <c r="U215" s="39">
        <v>0.93856393468395927</v>
      </c>
      <c r="V215" s="39">
        <v>0.97753657658779769</v>
      </c>
      <c r="W215" s="39">
        <v>1.0552234769389996</v>
      </c>
      <c r="X215" s="39">
        <v>1.0031893522823172</v>
      </c>
      <c r="Y215" s="39">
        <v>0.95981434363088691</v>
      </c>
      <c r="Z215" s="39">
        <v>0.98866494988864129</v>
      </c>
      <c r="AA215" s="39">
        <v>0.91805361371689065</v>
      </c>
      <c r="AB215" s="39">
        <v>0.96457295925496489</v>
      </c>
      <c r="AC215" s="39">
        <v>0.91674965200803893</v>
      </c>
      <c r="AD215" s="39">
        <v>0.76711665000336626</v>
      </c>
      <c r="AE215" s="39">
        <v>0.7628196451356497</v>
      </c>
      <c r="AF215" s="39">
        <v>0.7712133921321509</v>
      </c>
      <c r="AG215" s="39">
        <v>0.79803548932700641</v>
      </c>
    </row>
    <row r="216" spans="1:34" x14ac:dyDescent="0.35">
      <c r="A216" s="39" t="s">
        <v>527</v>
      </c>
      <c r="B216" s="39" t="s">
        <v>528</v>
      </c>
      <c r="C216" s="39" t="s">
        <v>112</v>
      </c>
      <c r="D216" s="39" t="s">
        <v>113</v>
      </c>
    </row>
    <row r="217" spans="1:34" x14ac:dyDescent="0.35">
      <c r="A217" s="39" t="s">
        <v>529</v>
      </c>
      <c r="B217" s="39" t="s">
        <v>530</v>
      </c>
      <c r="C217" s="39" t="s">
        <v>112</v>
      </c>
      <c r="D217" s="39" t="s">
        <v>113</v>
      </c>
      <c r="J217" s="39">
        <v>0.45728122455693221</v>
      </c>
      <c r="K217" s="39">
        <v>0.54774734298473748</v>
      </c>
      <c r="L217" s="39">
        <v>0.59108641814792717</v>
      </c>
      <c r="M217" s="39">
        <v>0.42862732151261518</v>
      </c>
      <c r="N217" s="39">
        <v>0.46482801772449345</v>
      </c>
      <c r="O217" s="39">
        <v>0.15192284003990666</v>
      </c>
      <c r="P217" s="39">
        <v>0.26636139743137199</v>
      </c>
      <c r="Q217" s="39">
        <v>0.31612309359019258</v>
      </c>
      <c r="R217" s="39">
        <v>0.39351371555744169</v>
      </c>
      <c r="S217" s="39">
        <v>0.41307045594211855</v>
      </c>
      <c r="T217" s="39">
        <v>0.40520438135144149</v>
      </c>
      <c r="U217" s="39">
        <v>0.42980134615890797</v>
      </c>
      <c r="V217" s="39">
        <v>0.52104122217282456</v>
      </c>
      <c r="W217" s="39">
        <v>0.56214421346169929</v>
      </c>
      <c r="X217" s="39">
        <v>0.49171793136349334</v>
      </c>
      <c r="Y217" s="39">
        <v>0.44783982404705847</v>
      </c>
      <c r="Z217" s="39">
        <v>0.495321541429181</v>
      </c>
      <c r="AA217" s="39">
        <v>0.4317482256702761</v>
      </c>
      <c r="AB217" s="39">
        <v>0.46175786597015461</v>
      </c>
      <c r="AC217" s="39">
        <v>0.45022234993773003</v>
      </c>
      <c r="AD217" s="39">
        <v>0.37428597944023323</v>
      </c>
      <c r="AE217" s="39">
        <v>0.36584844330047028</v>
      </c>
      <c r="AF217" s="39">
        <v>0.38006918644762522</v>
      </c>
      <c r="AG217" s="39">
        <v>0.41257893069637863</v>
      </c>
      <c r="AH217" s="39">
        <v>0.38982248125700525</v>
      </c>
    </row>
    <row r="218" spans="1:34" x14ac:dyDescent="0.35">
      <c r="A218" s="39" t="s">
        <v>531</v>
      </c>
      <c r="B218" s="39" t="s">
        <v>532</v>
      </c>
      <c r="C218" s="39" t="s">
        <v>112</v>
      </c>
      <c r="D218" s="39" t="s">
        <v>113</v>
      </c>
    </row>
    <row r="219" spans="1:34" x14ac:dyDescent="0.35">
      <c r="A219" s="39" t="s">
        <v>533</v>
      </c>
      <c r="B219" s="39" t="s">
        <v>534</v>
      </c>
      <c r="C219" s="39" t="s">
        <v>112</v>
      </c>
      <c r="D219" s="39" t="s">
        <v>113</v>
      </c>
      <c r="W219" s="39">
        <v>0.57360225005118348</v>
      </c>
      <c r="X219" s="39">
        <v>0.45444220911151179</v>
      </c>
      <c r="Y219" s="39">
        <v>0.50835263938764808</v>
      </c>
      <c r="Z219" s="39">
        <v>0.53309731652016723</v>
      </c>
      <c r="AA219" s="39">
        <v>0.77658274707122366</v>
      </c>
      <c r="AB219" s="39">
        <v>0.84767488614543729</v>
      </c>
      <c r="AC219" s="39">
        <v>0.88452807490390495</v>
      </c>
    </row>
    <row r="220" spans="1:34" x14ac:dyDescent="0.35">
      <c r="A220" s="39" t="s">
        <v>535</v>
      </c>
      <c r="B220" s="39" t="s">
        <v>536</v>
      </c>
      <c r="C220" s="39" t="s">
        <v>112</v>
      </c>
      <c r="D220" s="39" t="s">
        <v>113</v>
      </c>
    </row>
    <row r="221" spans="1:34" x14ac:dyDescent="0.35">
      <c r="A221" s="39" t="s">
        <v>537</v>
      </c>
      <c r="B221" s="39" t="s">
        <v>538</v>
      </c>
      <c r="C221" s="39" t="s">
        <v>112</v>
      </c>
      <c r="D221" s="39" t="s">
        <v>113</v>
      </c>
    </row>
    <row r="222" spans="1:34" x14ac:dyDescent="0.35">
      <c r="A222" s="39" t="s">
        <v>539</v>
      </c>
      <c r="B222" s="39" t="s">
        <v>540</v>
      </c>
      <c r="C222" s="39" t="s">
        <v>112</v>
      </c>
      <c r="D222" s="39" t="s">
        <v>113</v>
      </c>
      <c r="P222" s="39">
        <v>0.28486568842635124</v>
      </c>
      <c r="Q222" s="39">
        <v>0.30717164997013413</v>
      </c>
      <c r="R222" s="39">
        <v>0.33916560736044332</v>
      </c>
      <c r="S222" s="39">
        <v>0.35702304809209173</v>
      </c>
      <c r="T222" s="39">
        <v>0.38500495139938345</v>
      </c>
      <c r="U222" s="39">
        <v>0.3583531053209324</v>
      </c>
      <c r="V222" s="39">
        <v>0.35306314750440798</v>
      </c>
      <c r="W222" s="39">
        <v>0.40355997894563461</v>
      </c>
      <c r="X222" s="39">
        <v>0.39060203822759909</v>
      </c>
      <c r="Y222" s="39">
        <v>0.38051864801702728</v>
      </c>
      <c r="Z222" s="39">
        <v>0.42168959838346975</v>
      </c>
      <c r="AA222" s="39">
        <v>0.45371189138637275</v>
      </c>
      <c r="AB222" s="39">
        <v>0.47516504923502606</v>
      </c>
      <c r="AC222" s="39">
        <v>0.46701673586932596</v>
      </c>
      <c r="AD222" s="39">
        <v>0.41583564946664692</v>
      </c>
      <c r="AE222" s="39">
        <v>0.43969135649464575</v>
      </c>
      <c r="AF222" s="39">
        <v>0.46249657856864645</v>
      </c>
      <c r="AG222" s="39">
        <v>0.49559439571980973</v>
      </c>
      <c r="AH222" s="39">
        <v>0.48325494882544434</v>
      </c>
    </row>
    <row r="223" spans="1:34" x14ac:dyDescent="0.35">
      <c r="A223" s="39" t="s">
        <v>541</v>
      </c>
      <c r="B223" s="39" t="s">
        <v>542</v>
      </c>
      <c r="C223" s="39" t="s">
        <v>112</v>
      </c>
      <c r="D223" s="39" t="s">
        <v>113</v>
      </c>
      <c r="E223" s="39">
        <v>0.20519435875230299</v>
      </c>
      <c r="F223" s="39">
        <v>0.26464290198454599</v>
      </c>
      <c r="G223" s="39">
        <v>0.23269732325719403</v>
      </c>
      <c r="H223" s="39">
        <v>0.24564083592832323</v>
      </c>
      <c r="I223" s="39">
        <v>0.32846839782548432</v>
      </c>
      <c r="J223" s="39">
        <v>0.33135998277445472</v>
      </c>
      <c r="K223" s="39">
        <v>0.36320270856531667</v>
      </c>
      <c r="L223" s="39">
        <v>0.36328497928608244</v>
      </c>
      <c r="M223" s="39">
        <v>0.42220768695655247</v>
      </c>
      <c r="N223" s="39">
        <v>0.33417879699768954</v>
      </c>
      <c r="O223" s="39">
        <v>0.34232087411533713</v>
      </c>
      <c r="P223" s="39">
        <v>0.28300634338758573</v>
      </c>
      <c r="Q223" s="39">
        <v>0.33670649556362342</v>
      </c>
      <c r="R223" s="39">
        <v>0.36233716635340907</v>
      </c>
      <c r="S223" s="39">
        <v>0.3787671604959218</v>
      </c>
      <c r="T223" s="39">
        <v>0.42476417106791742</v>
      </c>
      <c r="U223" s="39">
        <v>0.46363773356547</v>
      </c>
      <c r="V223" s="39">
        <v>0.48029173409513659</v>
      </c>
      <c r="W223" s="39">
        <v>0.54425208347980325</v>
      </c>
      <c r="X223" s="39">
        <v>0.57515465408565025</v>
      </c>
      <c r="Y223" s="39">
        <v>0.60935562101946528</v>
      </c>
      <c r="Z223" s="39">
        <v>0.57085750298517446</v>
      </c>
      <c r="AA223" s="39">
        <v>0.58288899334994249</v>
      </c>
      <c r="AB223" s="39">
        <v>0.55914972767685456</v>
      </c>
      <c r="AC223" s="39">
        <v>0.5487445990244546</v>
      </c>
      <c r="AD223" s="39">
        <v>0.53271895063161823</v>
      </c>
      <c r="AE223" s="39">
        <v>0.38989625355145779</v>
      </c>
      <c r="AF223" s="39">
        <v>0.34432661658014607</v>
      </c>
      <c r="AG223" s="39">
        <v>0.35313218244564287</v>
      </c>
      <c r="AH223" s="39">
        <v>0.40310111955927991</v>
      </c>
    </row>
    <row r="224" spans="1:34" x14ac:dyDescent="0.35">
      <c r="A224" s="39" t="s">
        <v>543</v>
      </c>
      <c r="B224" s="39" t="s">
        <v>544</v>
      </c>
      <c r="C224" s="39" t="s">
        <v>112</v>
      </c>
      <c r="D224" s="39" t="s">
        <v>113</v>
      </c>
      <c r="G224" s="39">
        <v>0.40777849657135462</v>
      </c>
      <c r="H224" s="39">
        <v>0.41600843288826422</v>
      </c>
      <c r="I224" s="39">
        <v>0.46806264088266697</v>
      </c>
      <c r="J224" s="39">
        <v>0.55509803921568635</v>
      </c>
      <c r="K224" s="39">
        <v>0.55341698352344737</v>
      </c>
      <c r="L224" s="39">
        <v>0.51044409199048368</v>
      </c>
      <c r="M224" s="39">
        <v>0.5213882984673901</v>
      </c>
      <c r="N224" s="39">
        <v>0.52674834860430431</v>
      </c>
      <c r="O224" s="39">
        <v>0.47563755297586141</v>
      </c>
      <c r="P224" s="39">
        <v>0.46139060402684562</v>
      </c>
      <c r="Q224" s="39">
        <v>0.49079427818558258</v>
      </c>
      <c r="R224" s="39">
        <v>0.61505981941309251</v>
      </c>
      <c r="S224" s="39">
        <v>0.70151601688601939</v>
      </c>
      <c r="T224" s="39">
        <v>0.70229449073498318</v>
      </c>
      <c r="U224" s="39">
        <v>0.69660644837536068</v>
      </c>
      <c r="V224" s="39">
        <v>0.75874349849438816</v>
      </c>
      <c r="W224" s="39">
        <v>0.78721253845027095</v>
      </c>
      <c r="X224" s="39">
        <v>0.71556960266740766</v>
      </c>
      <c r="Y224" s="39">
        <v>0.66452997093443911</v>
      </c>
      <c r="Z224" s="39">
        <v>0.70397345047422877</v>
      </c>
      <c r="AA224" s="39">
        <v>0.64826692534037911</v>
      </c>
      <c r="AB224" s="39">
        <v>0.65208525878343859</v>
      </c>
      <c r="AC224" s="39">
        <v>0.64401247866583511</v>
      </c>
      <c r="AD224" s="39">
        <v>0.5450142691483707</v>
      </c>
      <c r="AE224" s="39">
        <v>0.55666531580577416</v>
      </c>
      <c r="AF224" s="39">
        <v>0.5679641566882363</v>
      </c>
      <c r="AG224" s="39">
        <v>0.59641509417725447</v>
      </c>
      <c r="AH224" s="39">
        <v>0.56554284970980306</v>
      </c>
    </row>
    <row r="225" spans="1:35" x14ac:dyDescent="0.35">
      <c r="A225" s="39" t="s">
        <v>545</v>
      </c>
      <c r="B225" s="39" t="s">
        <v>546</v>
      </c>
      <c r="C225" s="39" t="s">
        <v>112</v>
      </c>
      <c r="D225" s="39" t="s">
        <v>113</v>
      </c>
      <c r="E225" s="39">
        <v>0.7370338983050847</v>
      </c>
      <c r="F225" s="39">
        <v>0.57037391304347818</v>
      </c>
      <c r="G225" s="39">
        <v>0.58265919811320754</v>
      </c>
      <c r="H225" s="39">
        <v>0.56010582010582011</v>
      </c>
      <c r="I225" s="39">
        <v>0.59097488372093032</v>
      </c>
      <c r="J225" s="39">
        <v>0.78884957541447631</v>
      </c>
      <c r="K225" s="39">
        <v>0.75721671388101985</v>
      </c>
      <c r="L225" s="39">
        <v>0.68433073229291719</v>
      </c>
      <c r="M225" s="39">
        <v>0.69606030005770336</v>
      </c>
      <c r="N225" s="39">
        <v>0.67041001977587344</v>
      </c>
      <c r="O225" s="39">
        <v>0.56648837709857935</v>
      </c>
      <c r="P225" s="39">
        <v>0.55283810463968419</v>
      </c>
      <c r="Q225" s="39">
        <v>0.581831421446384</v>
      </c>
      <c r="R225" s="39">
        <v>0.70410274210343637</v>
      </c>
      <c r="S225" s="39">
        <v>0.75782386646736422</v>
      </c>
      <c r="T225" s="39">
        <v>0.75878000248725275</v>
      </c>
      <c r="U225" s="39">
        <v>0.76580102872914302</v>
      </c>
      <c r="V225" s="39">
        <v>0.86370243635368193</v>
      </c>
      <c r="W225" s="39">
        <v>0.92835652556027548</v>
      </c>
      <c r="X225" s="39">
        <v>0.89587941094748547</v>
      </c>
      <c r="Y225" s="39">
        <v>0.84428483141303368</v>
      </c>
      <c r="Z225" s="39">
        <v>0.86740174186455665</v>
      </c>
      <c r="AA225" s="39">
        <v>0.77964536634822201</v>
      </c>
      <c r="AB225" s="39">
        <v>0.78390732560932408</v>
      </c>
      <c r="AC225" s="39">
        <v>0.78441540353644124</v>
      </c>
      <c r="AD225" s="39">
        <v>0.6600477844934608</v>
      </c>
      <c r="AE225" s="39">
        <v>0.63843094383793941</v>
      </c>
      <c r="AF225" s="39">
        <v>0.64120703576470695</v>
      </c>
      <c r="AG225" s="39">
        <v>0.67238825970196026</v>
      </c>
      <c r="AH225" s="39">
        <v>0.63308970268235198</v>
      </c>
    </row>
    <row r="226" spans="1:35" x14ac:dyDescent="0.35">
      <c r="A226" s="39" t="s">
        <v>547</v>
      </c>
      <c r="B226" s="39" t="s">
        <v>548</v>
      </c>
      <c r="C226" s="39" t="s">
        <v>112</v>
      </c>
      <c r="D226" s="39" t="s">
        <v>113</v>
      </c>
      <c r="E226" s="39">
        <v>1.5005595728863961</v>
      </c>
      <c r="F226" s="39">
        <v>1.5377372467961967</v>
      </c>
      <c r="G226" s="39">
        <v>1.5770766509838934</v>
      </c>
      <c r="H226" s="39">
        <v>1.1782115784875502</v>
      </c>
      <c r="I226" s="39">
        <v>1.1938860808709175</v>
      </c>
      <c r="J226" s="39">
        <v>1.3130057617091668</v>
      </c>
      <c r="K226" s="39">
        <v>1.3812144348344764</v>
      </c>
      <c r="L226" s="39">
        <v>1.2224026509842958</v>
      </c>
      <c r="M226" s="39">
        <v>1.1819104642825695</v>
      </c>
      <c r="N226" s="39">
        <v>1.1262950232378002</v>
      </c>
      <c r="O226" s="39">
        <v>0.99984938115299804</v>
      </c>
      <c r="P226" s="39">
        <v>0.91006980279017535</v>
      </c>
      <c r="Q226" s="39">
        <v>0.96678220414702531</v>
      </c>
      <c r="R226" s="39">
        <v>1.1743757960995758</v>
      </c>
      <c r="S226" s="39">
        <v>1.2658679530269836</v>
      </c>
      <c r="T226" s="39">
        <v>1.2684404062571089</v>
      </c>
      <c r="U226" s="39">
        <v>1.2364079314738012</v>
      </c>
      <c r="V226" s="39">
        <v>1.3141587264011363</v>
      </c>
      <c r="W226" s="39">
        <v>1.3319455022682101</v>
      </c>
      <c r="X226" s="39">
        <v>1.1644103582534167</v>
      </c>
      <c r="Y226" s="39">
        <v>1.2512747500326331</v>
      </c>
      <c r="Z226" s="39">
        <v>1.3619747410633032</v>
      </c>
      <c r="AA226" s="39">
        <v>1.277453545926523</v>
      </c>
      <c r="AB226" s="39">
        <v>1.319883082082794</v>
      </c>
      <c r="AC226" s="39">
        <v>1.272030970216965</v>
      </c>
      <c r="AD226" s="39">
        <v>1.0494576216563662</v>
      </c>
      <c r="AE226" s="39">
        <v>1.0305403629801864</v>
      </c>
      <c r="AF226" s="39">
        <v>1.0199567135309358</v>
      </c>
      <c r="AG226" s="39">
        <v>1.0156709093317993</v>
      </c>
      <c r="AH226" s="39">
        <v>0.92467108645368867</v>
      </c>
    </row>
    <row r="227" spans="1:35" x14ac:dyDescent="0.35">
      <c r="A227" s="39" t="s">
        <v>17</v>
      </c>
      <c r="B227" s="39" t="s">
        <v>549</v>
      </c>
      <c r="C227" s="39" t="s">
        <v>112</v>
      </c>
      <c r="D227" s="39" t="s">
        <v>113</v>
      </c>
      <c r="E227" s="39">
        <v>0.38521594286719363</v>
      </c>
      <c r="F227" s="39">
        <v>0.37978133659725855</v>
      </c>
      <c r="G227" s="39">
        <v>0.39973345895338713</v>
      </c>
      <c r="H227" s="39">
        <v>0.40007223055679836</v>
      </c>
      <c r="I227" s="39">
        <v>0.40002342774607974</v>
      </c>
      <c r="J227" s="39">
        <v>0.44742709754543025</v>
      </c>
      <c r="K227" s="39">
        <v>0.39916137224899173</v>
      </c>
      <c r="L227" s="39">
        <v>0.40764187323978301</v>
      </c>
      <c r="M227" s="39">
        <v>0.36088140952810993</v>
      </c>
      <c r="N227" s="39">
        <v>0.33918929980175955</v>
      </c>
      <c r="O227" s="39">
        <v>0.3660994904528474</v>
      </c>
      <c r="P227" s="39">
        <v>0.31460324397871325</v>
      </c>
      <c r="Q227" s="39">
        <v>0.27550098819842139</v>
      </c>
      <c r="R227" s="39">
        <v>0.39951951484166059</v>
      </c>
      <c r="S227" s="39">
        <v>0.47324069126401019</v>
      </c>
      <c r="T227" s="39">
        <v>0.49675020733727293</v>
      </c>
      <c r="U227" s="39">
        <v>0.47110744507344016</v>
      </c>
      <c r="V227" s="39">
        <v>0.46305780335327729</v>
      </c>
      <c r="W227" s="39">
        <v>0.42776071895894541</v>
      </c>
      <c r="X227" s="39">
        <v>0.45431393461600605</v>
      </c>
      <c r="Y227" s="39">
        <v>0.53639327058214092</v>
      </c>
      <c r="Z227" s="39">
        <v>0.53639327058214092</v>
      </c>
      <c r="AA227" s="39">
        <v>0.53639327058214092</v>
      </c>
      <c r="AB227" s="39">
        <v>0.53639327058214092</v>
      </c>
      <c r="AC227" s="39">
        <v>0.53639327058214092</v>
      </c>
      <c r="AD227" s="39">
        <v>0.53639327058214092</v>
      </c>
      <c r="AE227" s="39">
        <v>0.53639327058214092</v>
      </c>
      <c r="AF227" s="39">
        <v>0.53639327058214092</v>
      </c>
      <c r="AG227" s="39">
        <v>0.53639327058214092</v>
      </c>
      <c r="AH227" s="39">
        <v>0.53639327058214092</v>
      </c>
      <c r="AI227" s="39">
        <v>0.53639327058214092</v>
      </c>
    </row>
    <row r="228" spans="1:35" x14ac:dyDescent="0.35">
      <c r="A228" s="39" t="s">
        <v>550</v>
      </c>
      <c r="B228" s="39" t="s">
        <v>551</v>
      </c>
      <c r="C228" s="39" t="s">
        <v>112</v>
      </c>
      <c r="D228" s="39" t="s">
        <v>113</v>
      </c>
    </row>
    <row r="229" spans="1:35" x14ac:dyDescent="0.35">
      <c r="A229" s="39" t="s">
        <v>13</v>
      </c>
      <c r="B229" s="39" t="s">
        <v>552</v>
      </c>
      <c r="C229" s="39" t="s">
        <v>112</v>
      </c>
      <c r="D229" s="39" t="s">
        <v>113</v>
      </c>
      <c r="E229" s="39">
        <v>0.59142388246097544</v>
      </c>
      <c r="F229" s="39">
        <v>0.56543229359166625</v>
      </c>
      <c r="G229" s="39">
        <v>0.59761779597210996</v>
      </c>
      <c r="H229" s="39">
        <v>0.60074284641003195</v>
      </c>
      <c r="I229" s="39">
        <v>0.60860033710223715</v>
      </c>
      <c r="J229" s="39">
        <v>0.62796333412660488</v>
      </c>
      <c r="K229" s="39">
        <v>0.5818086419230809</v>
      </c>
      <c r="L229" s="39">
        <v>0.5716572074912003</v>
      </c>
      <c r="M229" s="39">
        <v>0.56353728202584519</v>
      </c>
      <c r="N229" s="39">
        <v>0.55840966341195508</v>
      </c>
      <c r="O229" s="39">
        <v>0.53105094396266406</v>
      </c>
      <c r="P229" s="39">
        <v>0.5381131644245053</v>
      </c>
      <c r="Q229" s="39">
        <v>0.58668441370166791</v>
      </c>
      <c r="R229" s="39">
        <v>0.61920113294511636</v>
      </c>
      <c r="S229" s="39">
        <v>0.73817258045650358</v>
      </c>
      <c r="T229" s="39">
        <v>0.71915685195538182</v>
      </c>
      <c r="U229" s="39">
        <v>0.70557375023948943</v>
      </c>
      <c r="V229" s="39">
        <v>0.63276223398672904</v>
      </c>
      <c r="W229" s="39">
        <v>0.59357985741069763</v>
      </c>
      <c r="X229" s="39">
        <v>0.5218898667024835</v>
      </c>
      <c r="Y229" s="39">
        <v>0.55729116396969625</v>
      </c>
      <c r="Z229" s="39">
        <v>0.55729116396969625</v>
      </c>
      <c r="AA229" s="39">
        <v>0.55729116396969625</v>
      </c>
      <c r="AB229" s="39">
        <v>0.55729116396969625</v>
      </c>
      <c r="AC229" s="39">
        <v>0.55729116396969625</v>
      </c>
      <c r="AD229" s="39">
        <v>0.55729116396969625</v>
      </c>
      <c r="AE229" s="39">
        <v>0.55729116396969625</v>
      </c>
      <c r="AF229" s="39">
        <v>0.55729116396969625</v>
      </c>
      <c r="AG229" s="39">
        <v>0.55729116396969625</v>
      </c>
      <c r="AH229" s="39">
        <v>0.55729116396969625</v>
      </c>
      <c r="AI229" s="39">
        <v>0.55729116396969625</v>
      </c>
    </row>
    <row r="230" spans="1:35" x14ac:dyDescent="0.35">
      <c r="A230" s="39" t="s">
        <v>553</v>
      </c>
      <c r="B230" s="39" t="s">
        <v>554</v>
      </c>
      <c r="C230" s="39" t="s">
        <v>112</v>
      </c>
      <c r="D230" s="39" t="s">
        <v>113</v>
      </c>
    </row>
    <row r="231" spans="1:35" x14ac:dyDescent="0.35">
      <c r="A231" s="39" t="s">
        <v>555</v>
      </c>
      <c r="B231" s="39" t="s">
        <v>556</v>
      </c>
      <c r="C231" s="39" t="s">
        <v>112</v>
      </c>
      <c r="D231" s="39" t="s">
        <v>113</v>
      </c>
      <c r="Z231" s="39">
        <v>1.02840805053711</v>
      </c>
      <c r="AA231" s="39">
        <v>1.1017311811447099</v>
      </c>
      <c r="AB231" s="39">
        <v>1.0793150663375899</v>
      </c>
      <c r="AC231" s="39">
        <v>1.0793718099594101</v>
      </c>
      <c r="AD231" s="39">
        <v>1.08652007579803</v>
      </c>
      <c r="AE231" s="39">
        <v>1.0716539621353101</v>
      </c>
      <c r="AF231" s="39">
        <v>1.01790571212769</v>
      </c>
      <c r="AG231" s="39">
        <v>1.00321765778759</v>
      </c>
    </row>
    <row r="232" spans="1:35" x14ac:dyDescent="0.35">
      <c r="A232" s="39" t="s">
        <v>557</v>
      </c>
      <c r="B232" s="39" t="s">
        <v>558</v>
      </c>
      <c r="C232" s="39" t="s">
        <v>112</v>
      </c>
      <c r="D232" s="39" t="s">
        <v>113</v>
      </c>
      <c r="E232" s="39">
        <v>0.43481698734810931</v>
      </c>
      <c r="F232" s="39">
        <v>0.41839586850830307</v>
      </c>
      <c r="G232" s="39">
        <v>0.37971696402293914</v>
      </c>
      <c r="H232" s="39">
        <v>0.3421746528470469</v>
      </c>
      <c r="I232" s="39">
        <v>0.24526882419238885</v>
      </c>
      <c r="J232" s="39">
        <v>0.29081355471310139</v>
      </c>
      <c r="K232" s="39">
        <v>0.3105897220508046</v>
      </c>
      <c r="L232" s="39">
        <v>0.27772214145782187</v>
      </c>
      <c r="M232" s="39">
        <v>0.29004515075047482</v>
      </c>
      <c r="N232" s="39">
        <v>0.25321392322487069</v>
      </c>
      <c r="O232" s="39">
        <v>0.22551491369319035</v>
      </c>
      <c r="P232" s="39">
        <v>0.24390705822467304</v>
      </c>
      <c r="Q232" s="39">
        <v>0.25734604039122899</v>
      </c>
      <c r="R232" s="39">
        <v>0.30322763389494639</v>
      </c>
      <c r="S232" s="39">
        <v>0.3564767484755817</v>
      </c>
      <c r="T232" s="39">
        <v>0.42588365686523227</v>
      </c>
      <c r="U232" s="39">
        <v>0.45862767069187965</v>
      </c>
      <c r="V232" s="39">
        <v>0.50337236006819375</v>
      </c>
      <c r="W232" s="39">
        <v>0.57416405792570568</v>
      </c>
      <c r="X232" s="39">
        <v>0.48874248958894828</v>
      </c>
      <c r="Y232" s="39">
        <v>0.49050463644298442</v>
      </c>
      <c r="Z232" s="39">
        <v>0.54776039045775837</v>
      </c>
      <c r="AA232" s="39">
        <v>0.55890705026066667</v>
      </c>
      <c r="AB232" s="39">
        <v>0.62445830742108921</v>
      </c>
      <c r="AC232" s="39">
        <v>0.60836793379751153</v>
      </c>
      <c r="AD232" s="39">
        <v>0.42637044448291528</v>
      </c>
      <c r="AE232" s="39">
        <v>0.41660830520813841</v>
      </c>
      <c r="AF232" s="39">
        <v>0.41961897887891936</v>
      </c>
      <c r="AG232" s="39">
        <v>0.45004224341999993</v>
      </c>
      <c r="AH232" s="39">
        <v>0.43130680933046484</v>
      </c>
    </row>
    <row r="233" spans="1:35" x14ac:dyDescent="0.35">
      <c r="A233" s="39" t="s">
        <v>559</v>
      </c>
      <c r="B233" s="39" t="s">
        <v>560</v>
      </c>
      <c r="C233" s="39" t="s">
        <v>112</v>
      </c>
      <c r="D233" s="39" t="s">
        <v>113</v>
      </c>
    </row>
    <row r="234" spans="1:35" x14ac:dyDescent="0.35">
      <c r="A234" s="39" t="s">
        <v>561</v>
      </c>
      <c r="B234" s="39" t="s">
        <v>562</v>
      </c>
      <c r="C234" s="39" t="s">
        <v>112</v>
      </c>
      <c r="D234" s="39" t="s">
        <v>113</v>
      </c>
    </row>
    <row r="235" spans="1:35" x14ac:dyDescent="0.35">
      <c r="A235" s="39" t="s">
        <v>563</v>
      </c>
      <c r="B235" s="39" t="s">
        <v>564</v>
      </c>
      <c r="C235" s="39" t="s">
        <v>112</v>
      </c>
      <c r="D235" s="39" t="s">
        <v>113</v>
      </c>
      <c r="E235" s="39">
        <v>0.51765146397653683</v>
      </c>
      <c r="F235" s="39">
        <v>0.49615744921323091</v>
      </c>
      <c r="G235" s="39">
        <v>0.53379869789704848</v>
      </c>
      <c r="H235" s="39">
        <v>0.44747667375713107</v>
      </c>
      <c r="I235" s="39">
        <v>0.30353742197336048</v>
      </c>
      <c r="J235" s="39">
        <v>0.36734637680598597</v>
      </c>
      <c r="K235" s="39">
        <v>0.37095911139033266</v>
      </c>
      <c r="L235" s="39">
        <v>0.32612021297100036</v>
      </c>
      <c r="M235" s="39">
        <v>0.34954735220548017</v>
      </c>
      <c r="N235" s="39">
        <v>0.33384481635821778</v>
      </c>
      <c r="O235" s="39">
        <v>0.31076629148479801</v>
      </c>
      <c r="P235" s="39">
        <v>0.30018497317511156</v>
      </c>
      <c r="Q235" s="39">
        <v>0.32642172827257621</v>
      </c>
      <c r="R235" s="39">
        <v>0.37319638463958299</v>
      </c>
      <c r="S235" s="39">
        <v>0.39218566391410464</v>
      </c>
      <c r="T235" s="39">
        <v>0.40331112228215893</v>
      </c>
      <c r="U235" s="39">
        <v>0.3928828826066319</v>
      </c>
      <c r="V235" s="39">
        <v>0.4381709967188735</v>
      </c>
      <c r="W235" s="39">
        <v>0.51417919567565196</v>
      </c>
      <c r="X235" s="39">
        <v>0.4916094089752519</v>
      </c>
      <c r="Y235" s="39">
        <v>0.46668675961876477</v>
      </c>
      <c r="Z235" s="39">
        <v>0.4851472651216831</v>
      </c>
      <c r="AA235" s="39">
        <v>0.46596084744389599</v>
      </c>
      <c r="AB235" s="39">
        <v>0.48724732795081627</v>
      </c>
      <c r="AC235" s="39">
        <v>0.48249302095168012</v>
      </c>
      <c r="AD235" s="39">
        <v>0.40857133669887785</v>
      </c>
      <c r="AE235" s="39">
        <v>0.41098681032907558</v>
      </c>
      <c r="AF235" s="39">
        <v>0.41284587857828386</v>
      </c>
      <c r="AG235" s="39">
        <v>0.42723564991955659</v>
      </c>
      <c r="AH235" s="39">
        <v>0.40644573349172991</v>
      </c>
    </row>
    <row r="236" spans="1:35" x14ac:dyDescent="0.35">
      <c r="A236" s="39" t="s">
        <v>565</v>
      </c>
      <c r="B236" s="39" t="s">
        <v>566</v>
      </c>
      <c r="C236" s="39" t="s">
        <v>112</v>
      </c>
      <c r="D236" s="39" t="s">
        <v>113</v>
      </c>
      <c r="E236" s="39">
        <v>0.34996706622088569</v>
      </c>
      <c r="F236" s="39">
        <v>0.35893604412495728</v>
      </c>
      <c r="G236" s="39">
        <v>0.36838198848531778</v>
      </c>
      <c r="H236" s="39">
        <v>0.38443137174769509</v>
      </c>
      <c r="I236" s="39">
        <v>0.39663876672992088</v>
      </c>
      <c r="J236" s="39">
        <v>0.41466443032019012</v>
      </c>
      <c r="K236" s="39">
        <v>0.41674568510844939</v>
      </c>
      <c r="L236" s="39">
        <v>0.3456621641350357</v>
      </c>
      <c r="M236" s="39">
        <v>0.28011239041632374</v>
      </c>
      <c r="N236" s="39">
        <v>0.29423447699889194</v>
      </c>
      <c r="O236" s="39">
        <v>0.27492327525592219</v>
      </c>
      <c r="P236" s="39">
        <v>0.24752252044243889</v>
      </c>
      <c r="Q236" s="39">
        <v>0.25627654056332738</v>
      </c>
      <c r="R236" s="39">
        <v>0.26615363168104067</v>
      </c>
      <c r="S236" s="39">
        <v>0.27685009980934505</v>
      </c>
      <c r="T236" s="39">
        <v>0.28217318404417935</v>
      </c>
      <c r="U236" s="39">
        <v>0.3056317087890133</v>
      </c>
      <c r="V236" s="39">
        <v>0.33471997820114896</v>
      </c>
      <c r="W236" s="39">
        <v>0.35767444247106112</v>
      </c>
      <c r="X236" s="39">
        <v>0.34557160620138944</v>
      </c>
      <c r="Y236" s="39">
        <v>0.38470610904947028</v>
      </c>
      <c r="Z236" s="39">
        <v>0.40624817555291437</v>
      </c>
      <c r="AA236" s="39">
        <v>0.39409529317499215</v>
      </c>
      <c r="AB236" s="39">
        <v>0.40033718248925992</v>
      </c>
      <c r="AC236" s="39">
        <v>0.38448336183159076</v>
      </c>
      <c r="AD236" s="39">
        <v>0.36910100700357101</v>
      </c>
      <c r="AE236" s="39">
        <v>0.36069061023891391</v>
      </c>
      <c r="AF236" s="39">
        <v>0.37845585631272138</v>
      </c>
      <c r="AG236" s="39">
        <v>0.39406686807896885</v>
      </c>
      <c r="AH236" s="39">
        <v>0.40607828439784077</v>
      </c>
    </row>
    <row r="237" spans="1:35" x14ac:dyDescent="0.35">
      <c r="A237" s="39" t="s">
        <v>567</v>
      </c>
      <c r="B237" s="39" t="s">
        <v>568</v>
      </c>
      <c r="C237" s="39" t="s">
        <v>112</v>
      </c>
      <c r="D237" s="39" t="s">
        <v>113</v>
      </c>
      <c r="E237" s="39">
        <v>0.18840652105120489</v>
      </c>
      <c r="F237" s="39">
        <v>0.18910827758896648</v>
      </c>
      <c r="G237" s="39">
        <v>0.19615440881924248</v>
      </c>
      <c r="H237" s="39">
        <v>0.1976846368642064</v>
      </c>
      <c r="I237" s="39">
        <v>0.22731551383814527</v>
      </c>
      <c r="J237" s="39">
        <v>0.20569882789215235</v>
      </c>
      <c r="K237" s="39">
        <v>0.20549698610716144</v>
      </c>
      <c r="L237" s="39">
        <v>0.17543424897896104</v>
      </c>
      <c r="M237" s="39">
        <v>0.23599153201250067</v>
      </c>
      <c r="N237" s="39">
        <v>0.1846342454397342</v>
      </c>
      <c r="O237" s="39">
        <v>0.13203053322741029</v>
      </c>
      <c r="P237" s="39">
        <v>0.14807717458483266</v>
      </c>
      <c r="Q237" s="39">
        <v>0.14859695288119712</v>
      </c>
      <c r="R237" s="39">
        <v>0.16750639993012117</v>
      </c>
      <c r="S237" s="39">
        <v>0.19728420246029726</v>
      </c>
      <c r="T237" s="39">
        <v>0.19980986114673874</v>
      </c>
      <c r="U237" s="39">
        <v>0.22174802025230717</v>
      </c>
      <c r="V237" s="39">
        <v>0.26336264156325201</v>
      </c>
      <c r="W237" s="39">
        <v>0.33220090817868658</v>
      </c>
      <c r="X237" s="39">
        <v>0.30615327445107787</v>
      </c>
      <c r="Y237" s="39">
        <v>0.32191134067785798</v>
      </c>
      <c r="Z237" s="39">
        <v>0.33941699607186893</v>
      </c>
      <c r="AA237" s="39">
        <v>0.35242580744988494</v>
      </c>
      <c r="AB237" s="39">
        <v>0.34619879499399897</v>
      </c>
      <c r="AC237" s="39">
        <v>0.33428384279633022</v>
      </c>
      <c r="AD237" s="39">
        <v>0.31056264616212131</v>
      </c>
      <c r="AE237" s="39">
        <v>0.25911064147462382</v>
      </c>
      <c r="AF237" s="39">
        <v>0.26089454342212243</v>
      </c>
      <c r="AG237" s="39">
        <v>0.24965532690341599</v>
      </c>
      <c r="AH237" s="39">
        <v>0.24739534703500271</v>
      </c>
    </row>
    <row r="238" spans="1:35" x14ac:dyDescent="0.35">
      <c r="A238" s="39" t="s">
        <v>569</v>
      </c>
      <c r="B238" s="39" t="s">
        <v>570</v>
      </c>
      <c r="C238" s="39" t="s">
        <v>112</v>
      </c>
      <c r="D238" s="39" t="s">
        <v>113</v>
      </c>
      <c r="E238" s="39">
        <v>0.26766012326086991</v>
      </c>
      <c r="F238" s="39">
        <v>0.26847761946036841</v>
      </c>
      <c r="G238" s="39">
        <v>0.30901495288278591</v>
      </c>
      <c r="H238" s="39">
        <v>0.29542140693905922</v>
      </c>
      <c r="I238" s="39">
        <v>0.2817525227511522</v>
      </c>
      <c r="J238" s="39">
        <v>0.28821715100990175</v>
      </c>
      <c r="K238" s="39">
        <v>0.2907784160396133</v>
      </c>
      <c r="L238" s="39">
        <v>0.33233859660083298</v>
      </c>
      <c r="M238" s="39">
        <v>0.32630588483366119</v>
      </c>
      <c r="N238" s="39">
        <v>0.25966724324618168</v>
      </c>
      <c r="O238" s="39">
        <v>0.25384266739934158</v>
      </c>
      <c r="P238" s="39">
        <v>0.25100887545622108</v>
      </c>
      <c r="Q238" s="39">
        <v>0.26935616353245145</v>
      </c>
      <c r="R238" s="39">
        <v>0.30253475310656369</v>
      </c>
      <c r="S238" s="39">
        <v>0.28756599972830899</v>
      </c>
      <c r="T238" s="39">
        <v>0.29238122976751313</v>
      </c>
      <c r="U238" s="39">
        <v>0.32429605740265816</v>
      </c>
      <c r="V238" s="39">
        <v>0.35042758955248171</v>
      </c>
      <c r="W238" s="39">
        <v>0.45604516937214251</v>
      </c>
      <c r="X238" s="39">
        <v>0.44744401142419998</v>
      </c>
      <c r="Y238" s="39">
        <v>0.45248982461579995</v>
      </c>
      <c r="Z238" s="39">
        <v>0.50021939548756134</v>
      </c>
      <c r="AA238" s="39">
        <v>0.55362670338743858</v>
      </c>
      <c r="AB238" s="39">
        <v>0.57337175661859296</v>
      </c>
      <c r="AC238" s="39">
        <v>0.59018950960132632</v>
      </c>
      <c r="AD238" s="39">
        <v>0.46986097713803715</v>
      </c>
      <c r="AE238" s="39">
        <v>0.4607961041041943</v>
      </c>
      <c r="AF238" s="39">
        <v>0.46371561495156283</v>
      </c>
      <c r="AG238" s="39">
        <v>0.45846298054052859</v>
      </c>
    </row>
    <row r="239" spans="1:35" x14ac:dyDescent="0.35">
      <c r="A239" s="39" t="s">
        <v>571</v>
      </c>
      <c r="B239" s="39" t="s">
        <v>572</v>
      </c>
      <c r="C239" s="39" t="s">
        <v>112</v>
      </c>
      <c r="D239" s="39" t="s">
        <v>113</v>
      </c>
    </row>
    <row r="240" spans="1:35" x14ac:dyDescent="0.35">
      <c r="A240" s="39" t="s">
        <v>573</v>
      </c>
      <c r="B240" s="39" t="s">
        <v>574</v>
      </c>
      <c r="C240" s="39" t="s">
        <v>112</v>
      </c>
      <c r="D240" s="39" t="s">
        <v>113</v>
      </c>
      <c r="O240" s="39">
        <v>0.327300970427021</v>
      </c>
      <c r="P240" s="39">
        <v>0.35803952604821498</v>
      </c>
      <c r="Q240" s="39">
        <v>0.37145193820591998</v>
      </c>
      <c r="R240" s="39">
        <v>0.389443708454146</v>
      </c>
      <c r="S240" s="39">
        <v>0.33946755452760102</v>
      </c>
      <c r="T240" s="39">
        <v>0.33517539219751302</v>
      </c>
      <c r="U240" s="39">
        <v>0.33305961669530798</v>
      </c>
      <c r="V240" s="39">
        <v>0.35196094860002902</v>
      </c>
      <c r="W240" s="39">
        <v>0.37046642671424301</v>
      </c>
      <c r="X240" s="39">
        <v>0.37468235177651299</v>
      </c>
      <c r="Y240" s="39">
        <v>0.410486922762057</v>
      </c>
      <c r="Z240" s="39">
        <v>0.45453202700875001</v>
      </c>
      <c r="AA240" s="39">
        <v>0.43664579446148899</v>
      </c>
      <c r="AB240" s="39">
        <v>0.48729369600391798</v>
      </c>
      <c r="AC240" s="39">
        <v>0.452933233030273</v>
      </c>
      <c r="AD240" s="39">
        <v>0.45757380041426898</v>
      </c>
      <c r="AE240" s="39">
        <v>0.43242795316652799</v>
      </c>
      <c r="AF240" s="39">
        <v>0.408969540137466</v>
      </c>
      <c r="AG240" s="39">
        <v>0.392410744842215</v>
      </c>
      <c r="AH240" s="39">
        <v>0.39790022530333602</v>
      </c>
    </row>
    <row r="241" spans="1:35" x14ac:dyDescent="0.35">
      <c r="A241" s="39" t="s">
        <v>575</v>
      </c>
      <c r="B241" s="39" t="s">
        <v>576</v>
      </c>
      <c r="C241" s="39" t="s">
        <v>112</v>
      </c>
      <c r="D241" s="39" t="s">
        <v>113</v>
      </c>
    </row>
    <row r="242" spans="1:35" x14ac:dyDescent="0.35">
      <c r="A242" s="39" t="s">
        <v>577</v>
      </c>
      <c r="B242" s="39" t="s">
        <v>578</v>
      </c>
      <c r="C242" s="39" t="s">
        <v>112</v>
      </c>
      <c r="D242" s="39" t="s">
        <v>113</v>
      </c>
      <c r="E242" s="39">
        <v>0.51456992015097625</v>
      </c>
      <c r="F242" s="39">
        <v>0.5444939951259008</v>
      </c>
      <c r="G242" s="39">
        <v>0.55056611931934751</v>
      </c>
      <c r="H242" s="39">
        <v>0.52382853990685485</v>
      </c>
      <c r="I242" s="39">
        <v>0.6837571178823163</v>
      </c>
      <c r="J242" s="39">
        <v>0.67497409290116228</v>
      </c>
      <c r="K242" s="39">
        <v>0.71851625186689183</v>
      </c>
      <c r="L242" s="39">
        <v>0.68334027432029198</v>
      </c>
      <c r="M242" s="39">
        <v>0.58507926075337202</v>
      </c>
      <c r="N242" s="39">
        <v>0.57873943694977514</v>
      </c>
      <c r="O242" s="39">
        <v>0.56343632864708015</v>
      </c>
      <c r="P242" s="39">
        <v>0.47663726981429949</v>
      </c>
      <c r="Q242" s="39">
        <v>0.4574393222717309</v>
      </c>
      <c r="R242" s="39">
        <v>0.48749599220948303</v>
      </c>
      <c r="S242" s="39">
        <v>0.53945975926478473</v>
      </c>
      <c r="T242" s="39">
        <v>0.58870649462483626</v>
      </c>
      <c r="U242" s="39">
        <v>0.64632440798418034</v>
      </c>
      <c r="V242" s="39">
        <v>0.67018555589930595</v>
      </c>
      <c r="W242" s="39">
        <v>0.74245725781752947</v>
      </c>
      <c r="X242" s="39">
        <v>0.65578895295537232</v>
      </c>
      <c r="Y242" s="39">
        <v>0.72673423276793514</v>
      </c>
      <c r="Z242" s="39">
        <v>0.79290691086586429</v>
      </c>
      <c r="AA242" s="39">
        <v>0.86107587480004122</v>
      </c>
      <c r="AB242" s="39">
        <v>0.83340768465642512</v>
      </c>
      <c r="AC242" s="39">
        <v>0.78927840159485185</v>
      </c>
      <c r="AD242" s="39">
        <v>0.73860628516636806</v>
      </c>
      <c r="AE242" s="39">
        <v>0.65101581088459148</v>
      </c>
      <c r="AF242" s="39">
        <v>0.66715260082808414</v>
      </c>
      <c r="AG242" s="39">
        <v>0.68030606039439789</v>
      </c>
    </row>
    <row r="243" spans="1:35" x14ac:dyDescent="0.35">
      <c r="A243" s="39" t="s">
        <v>579</v>
      </c>
      <c r="B243" s="39" t="s">
        <v>580</v>
      </c>
      <c r="C243" s="39" t="s">
        <v>112</v>
      </c>
      <c r="D243" s="39" t="s">
        <v>113</v>
      </c>
    </row>
    <row r="244" spans="1:35" x14ac:dyDescent="0.35">
      <c r="A244" s="39" t="s">
        <v>581</v>
      </c>
      <c r="B244" s="39" t="s">
        <v>582</v>
      </c>
      <c r="C244" s="39" t="s">
        <v>112</v>
      </c>
      <c r="D244" s="39" t="s">
        <v>113</v>
      </c>
    </row>
    <row r="245" spans="1:35" x14ac:dyDescent="0.35">
      <c r="A245" s="39" t="s">
        <v>583</v>
      </c>
      <c r="B245" s="39" t="s">
        <v>584</v>
      </c>
      <c r="C245" s="39" t="s">
        <v>112</v>
      </c>
      <c r="D245" s="39" t="s">
        <v>113</v>
      </c>
      <c r="E245" s="39">
        <v>0.58787271346001879</v>
      </c>
      <c r="F245" s="39">
        <v>0.57758389888840944</v>
      </c>
      <c r="G245" s="39">
        <v>0.52566536457208002</v>
      </c>
      <c r="H245" s="39">
        <v>0.44377364924542245</v>
      </c>
      <c r="I245" s="39">
        <v>0.44448163751474284</v>
      </c>
      <c r="J245" s="39">
        <v>0.45175807502461079</v>
      </c>
      <c r="K245" s="39">
        <v>0.44752879306637355</v>
      </c>
      <c r="L245" s="39">
        <v>0.40761409433928697</v>
      </c>
      <c r="M245" s="39">
        <v>0.39266737776225807</v>
      </c>
      <c r="N245" s="39">
        <v>0.40369696539658989</v>
      </c>
      <c r="O245" s="39">
        <v>0.44236131637892945</v>
      </c>
      <c r="P245" s="39">
        <v>0.44971505901326925</v>
      </c>
      <c r="Q245" s="39">
        <v>0.41868326914750748</v>
      </c>
      <c r="R245" s="39">
        <v>0.45077453256795924</v>
      </c>
      <c r="S245" s="39">
        <v>0.47765887418110331</v>
      </c>
      <c r="T245" s="39">
        <v>0.5248883229705299</v>
      </c>
      <c r="U245" s="39">
        <v>0.51724597119805305</v>
      </c>
      <c r="V245" s="39">
        <v>0.56651176364944855</v>
      </c>
      <c r="W245" s="39">
        <v>0.69219513789338694</v>
      </c>
      <c r="X245" s="39">
        <v>0.49424724042797863</v>
      </c>
      <c r="Y245" s="39">
        <v>0.54647880574397933</v>
      </c>
      <c r="Z245" s="39">
        <v>0.61623061729779849</v>
      </c>
      <c r="AA245" s="39">
        <v>0.63723683935708597</v>
      </c>
      <c r="AB245" s="39">
        <v>0.67011762996840873</v>
      </c>
      <c r="AC245" s="39">
        <v>0.68255588759872377</v>
      </c>
      <c r="AD245" s="39">
        <v>0.66482856662678513</v>
      </c>
      <c r="AE245" s="39">
        <v>0.615793397748715</v>
      </c>
      <c r="AF245" s="39">
        <v>0.61397621418682646</v>
      </c>
      <c r="AG245" s="39">
        <v>0.63696862025286816</v>
      </c>
      <c r="AH245" s="39">
        <v>0.63374729773279104</v>
      </c>
    </row>
    <row r="246" spans="1:35" x14ac:dyDescent="0.35">
      <c r="A246" s="39" t="s">
        <v>585</v>
      </c>
      <c r="B246" s="39" t="s">
        <v>586</v>
      </c>
      <c r="C246" s="39" t="s">
        <v>112</v>
      </c>
      <c r="D246" s="39" t="s">
        <v>113</v>
      </c>
      <c r="E246" s="39">
        <v>0.45299686824281249</v>
      </c>
      <c r="F246" s="39">
        <v>0.44862065634844345</v>
      </c>
      <c r="G246" s="39">
        <v>0.48225031688670855</v>
      </c>
      <c r="H246" s="39">
        <v>0.43456871115738566</v>
      </c>
      <c r="I246" s="39">
        <v>0.4412674817521105</v>
      </c>
      <c r="J246" s="39">
        <v>0.48706188835613834</v>
      </c>
      <c r="K246" s="39">
        <v>0.48493770964568728</v>
      </c>
      <c r="L246" s="39">
        <v>0.43618378614439457</v>
      </c>
      <c r="M246" s="39">
        <v>0.43260995643422234</v>
      </c>
      <c r="N246" s="39">
        <v>0.42313685146644925</v>
      </c>
      <c r="O246" s="39">
        <v>0.36993465214225135</v>
      </c>
      <c r="P246" s="39">
        <v>0.35838492676095363</v>
      </c>
      <c r="Q246" s="39">
        <v>0.36518138067335026</v>
      </c>
      <c r="R246" s="39">
        <v>0.40620512038752038</v>
      </c>
      <c r="S246" s="39">
        <v>0.42292727787463508</v>
      </c>
      <c r="T246" s="39">
        <v>0.41018507052597192</v>
      </c>
      <c r="U246" s="39">
        <v>0.40297739789737042</v>
      </c>
      <c r="V246" s="39">
        <v>0.41621549730442553</v>
      </c>
      <c r="W246" s="39">
        <v>0.45155759772716825</v>
      </c>
      <c r="X246" s="39">
        <v>0.42131543912318448</v>
      </c>
      <c r="Y246" s="39">
        <v>0.40785623871362719</v>
      </c>
      <c r="Z246" s="39">
        <v>0.42359104785141494</v>
      </c>
      <c r="AA246" s="39">
        <v>0.40644296222005122</v>
      </c>
      <c r="AB246" s="39">
        <v>0.41270700683518613</v>
      </c>
      <c r="AC246" s="39">
        <v>0.41216283592506803</v>
      </c>
      <c r="AD246" s="39">
        <v>0.37827281369470639</v>
      </c>
      <c r="AE246" s="39">
        <v>0.35696716725937239</v>
      </c>
      <c r="AF246" s="39">
        <v>0.32825500322411139</v>
      </c>
      <c r="AG246" s="39">
        <v>0.31211276561169898</v>
      </c>
      <c r="AH246" s="39">
        <v>0.29617348463227505</v>
      </c>
    </row>
    <row r="247" spans="1:35" x14ac:dyDescent="0.35">
      <c r="A247" s="39" t="s">
        <v>587</v>
      </c>
      <c r="B247" s="39" t="s">
        <v>588</v>
      </c>
      <c r="C247" s="39" t="s">
        <v>112</v>
      </c>
      <c r="D247" s="39" t="s">
        <v>113</v>
      </c>
      <c r="E247" s="39">
        <v>0.45502637389597639</v>
      </c>
      <c r="F247" s="39">
        <v>0.43428571428571433</v>
      </c>
      <c r="G247" s="39">
        <v>0.42304347826086958</v>
      </c>
      <c r="H247" s="39">
        <v>0.43490909090909097</v>
      </c>
      <c r="I247" s="39">
        <v>0.32668918918918916</v>
      </c>
      <c r="J247" s="39">
        <v>0.38713973799126639</v>
      </c>
      <c r="K247" s="39">
        <v>0.38109336609336608</v>
      </c>
      <c r="L247" s="39">
        <v>0.3646082949308756</v>
      </c>
      <c r="M247" s="39">
        <v>0.49434215573456081</v>
      </c>
      <c r="N247" s="39">
        <v>0.46911413562559695</v>
      </c>
      <c r="O247" s="39">
        <v>0.45029590531030078</v>
      </c>
      <c r="P247" s="39">
        <v>0.33852317232375978</v>
      </c>
      <c r="Q247" s="39">
        <v>0.39228436836518044</v>
      </c>
      <c r="R247" s="39">
        <v>0.49127323605836504</v>
      </c>
      <c r="S247" s="39">
        <v>0.55621957207997197</v>
      </c>
      <c r="T247" s="39">
        <v>0.62115882703185477</v>
      </c>
      <c r="U247" s="39">
        <v>0.59000490024501218</v>
      </c>
      <c r="V247" s="39">
        <v>0.65407552383145295</v>
      </c>
      <c r="W247" s="39">
        <v>0.67611217825585856</v>
      </c>
      <c r="X247" s="39">
        <v>0.58307032258064517</v>
      </c>
      <c r="Y247" s="39">
        <v>0.61198762310354016</v>
      </c>
      <c r="Z247" s="39">
        <v>0.57682149253731341</v>
      </c>
      <c r="AA247" s="39">
        <v>0.56784855233853015</v>
      </c>
      <c r="AB247" s="39">
        <v>0.56218825506880976</v>
      </c>
      <c r="AC247" s="39">
        <v>0.50468540095956138</v>
      </c>
      <c r="AD247" s="39">
        <v>0.4272577205882353</v>
      </c>
      <c r="AE247" s="39">
        <v>0.41097215323995895</v>
      </c>
      <c r="AF247" s="39">
        <v>0.37637235821386472</v>
      </c>
      <c r="AG247" s="39">
        <v>0.33299436666390525</v>
      </c>
      <c r="AH247" s="39">
        <v>0.32439211815714336</v>
      </c>
    </row>
    <row r="248" spans="1:35" x14ac:dyDescent="0.35">
      <c r="A248" s="39" t="s">
        <v>589</v>
      </c>
      <c r="B248" s="39" t="s">
        <v>590</v>
      </c>
      <c r="C248" s="39" t="s">
        <v>112</v>
      </c>
      <c r="D248" s="39" t="s">
        <v>113</v>
      </c>
      <c r="E248" s="39">
        <v>0.64172951498651321</v>
      </c>
      <c r="F248" s="39">
        <v>0.63582540648986996</v>
      </c>
      <c r="G248" s="39">
        <v>0.62918837600030042</v>
      </c>
      <c r="H248" s="39">
        <v>0.58356059034587715</v>
      </c>
      <c r="I248" s="39">
        <v>0.58565227213470683</v>
      </c>
      <c r="J248" s="39">
        <v>0.61155963525248702</v>
      </c>
      <c r="K248" s="39">
        <v>0.71444738485174186</v>
      </c>
      <c r="L248" s="39">
        <v>0.65741662141411905</v>
      </c>
      <c r="M248" s="39">
        <v>0.56536478784642352</v>
      </c>
      <c r="N248" s="39">
        <v>0.60742267327239563</v>
      </c>
      <c r="O248" s="39">
        <v>0.60237125077141696</v>
      </c>
      <c r="P248" s="39">
        <v>0.55694241769825181</v>
      </c>
      <c r="Q248" s="39">
        <v>0.59501093318687381</v>
      </c>
      <c r="R248" s="39">
        <v>0.71303978128969447</v>
      </c>
      <c r="S248" s="39">
        <v>0.83141891098680687</v>
      </c>
      <c r="T248" s="39">
        <v>0.84981216147221073</v>
      </c>
      <c r="U248" s="39">
        <v>0.84691325912275606</v>
      </c>
      <c r="V248" s="39">
        <v>0.91526957170066103</v>
      </c>
      <c r="W248" s="39">
        <v>0.9317007899690154</v>
      </c>
      <c r="X248" s="39">
        <v>0.86567258099436117</v>
      </c>
      <c r="Y248" s="39">
        <v>1.0330051541069527</v>
      </c>
      <c r="Z248" s="39">
        <v>1.1448440143122021</v>
      </c>
      <c r="AA248" s="39">
        <v>1.1367239609076929</v>
      </c>
      <c r="AB248" s="39">
        <v>1.0636149770118555</v>
      </c>
      <c r="AC248" s="39">
        <v>1.0239828588897422</v>
      </c>
      <c r="AD248" s="39">
        <v>0.88350641493048621</v>
      </c>
      <c r="AE248" s="39">
        <v>0.87343906159627571</v>
      </c>
      <c r="AF248" s="39">
        <v>0.91516631840981</v>
      </c>
      <c r="AG248" s="39">
        <v>0.91454314468455622</v>
      </c>
      <c r="AH248" s="39">
        <v>0.90903025142709082</v>
      </c>
    </row>
    <row r="249" spans="1:35" x14ac:dyDescent="0.35">
      <c r="A249" s="39" t="s">
        <v>591</v>
      </c>
      <c r="B249" s="39" t="s">
        <v>592</v>
      </c>
      <c r="C249" s="39" t="s">
        <v>112</v>
      </c>
      <c r="D249" s="39" t="s">
        <v>113</v>
      </c>
      <c r="E249" s="39">
        <v>0.26299643123145211</v>
      </c>
      <c r="F249" s="39">
        <v>0.29006862998401606</v>
      </c>
      <c r="G249" s="39">
        <v>0.26175367065501814</v>
      </c>
      <c r="H249" s="39">
        <v>0.23377699220519821</v>
      </c>
      <c r="I249" s="39">
        <v>0.23875524481152144</v>
      </c>
      <c r="J249" s="39">
        <v>0.26305101163085848</v>
      </c>
      <c r="K249" s="39">
        <v>0.30544095094688456</v>
      </c>
      <c r="L249" s="39">
        <v>0.34306443245023344</v>
      </c>
      <c r="M249" s="39">
        <v>0.35685895474390494</v>
      </c>
      <c r="N249" s="39">
        <v>0.35018114494228808</v>
      </c>
      <c r="O249" s="39">
        <v>0.34484740414654141</v>
      </c>
      <c r="P249" s="39">
        <v>0.32302414439075949</v>
      </c>
      <c r="Q249" s="39">
        <v>0.30918393716631415</v>
      </c>
      <c r="R249" s="39">
        <v>0.30633470374498439</v>
      </c>
      <c r="S249" s="39">
        <v>0.30394096060515285</v>
      </c>
      <c r="T249" s="39">
        <v>0.30269757559450228</v>
      </c>
      <c r="U249" s="39">
        <v>0.27954662083150728</v>
      </c>
      <c r="V249" s="39">
        <v>0.29864280484248357</v>
      </c>
      <c r="W249" s="39">
        <v>0.35455881688334773</v>
      </c>
      <c r="X249" s="39">
        <v>0.34790450674411544</v>
      </c>
      <c r="Y249" s="39">
        <v>0.35601957564515796</v>
      </c>
      <c r="Z249" s="39">
        <v>0.35601957564515796</v>
      </c>
      <c r="AA249" s="39">
        <v>0.35601957564515796</v>
      </c>
      <c r="AB249" s="39">
        <v>0.35601957564515796</v>
      </c>
      <c r="AC249" s="39">
        <v>0.35601957564515796</v>
      </c>
      <c r="AD249" s="39">
        <v>0.35601957564515796</v>
      </c>
      <c r="AE249" s="39">
        <v>0.35601957564515796</v>
      </c>
      <c r="AF249" s="39">
        <v>0.35601957564515796</v>
      </c>
      <c r="AG249" s="39">
        <v>0.35601957564515796</v>
      </c>
      <c r="AH249" s="39">
        <v>0.35601957564515796</v>
      </c>
      <c r="AI249" s="39">
        <v>0.35601957564515796</v>
      </c>
    </row>
    <row r="250" spans="1:35" x14ac:dyDescent="0.35">
      <c r="A250" s="39" t="s">
        <v>593</v>
      </c>
      <c r="B250" s="39" t="s">
        <v>594</v>
      </c>
      <c r="C250" s="39" t="s">
        <v>112</v>
      </c>
      <c r="D250" s="39" t="s">
        <v>113</v>
      </c>
      <c r="E250" s="39">
        <v>0.59463805637023326</v>
      </c>
      <c r="F250" s="39">
        <v>0.42051878956425065</v>
      </c>
      <c r="G250" s="39">
        <v>0.34199307878241036</v>
      </c>
      <c r="H250" s="39">
        <v>0.347575404070324</v>
      </c>
      <c r="I250" s="39">
        <v>0.39629722106692122</v>
      </c>
      <c r="J250" s="39">
        <v>0.50203124786575481</v>
      </c>
      <c r="K250" s="39">
        <v>0.47467489686328201</v>
      </c>
      <c r="L250" s="39">
        <v>0.46049327226094738</v>
      </c>
      <c r="M250" s="39">
        <v>0.45591880596717355</v>
      </c>
      <c r="N250" s="39">
        <v>0.37890030167882316</v>
      </c>
      <c r="O250" s="39">
        <v>0.37098753914129218</v>
      </c>
      <c r="P250" s="39">
        <v>0.32547677912899431</v>
      </c>
      <c r="Q250" s="39">
        <v>0.31173197646030948</v>
      </c>
      <c r="R250" s="39">
        <v>0.29479824370653862</v>
      </c>
      <c r="S250" s="39">
        <v>0.33679386411343221</v>
      </c>
      <c r="T250" s="39">
        <v>0.34869482695092419</v>
      </c>
      <c r="U250" s="39">
        <v>0.33698311472676129</v>
      </c>
      <c r="V250" s="39">
        <v>0.37425540989209344</v>
      </c>
      <c r="W250" s="39">
        <v>0.39117049676379623</v>
      </c>
      <c r="X250" s="39">
        <v>0.39648091830040261</v>
      </c>
      <c r="Y250" s="39">
        <v>0.39381912774164957</v>
      </c>
      <c r="Z250" s="39">
        <v>0.36849306602633131</v>
      </c>
      <c r="AA250" s="39">
        <v>0.3923427273308972</v>
      </c>
      <c r="AB250" s="39">
        <v>0.40217468349265206</v>
      </c>
      <c r="AC250" s="39">
        <v>0.42306341849984014</v>
      </c>
      <c r="AD250" s="39">
        <v>0.39801274772250278</v>
      </c>
      <c r="AE250" s="39">
        <v>0.35200561190479002</v>
      </c>
      <c r="AF250" s="39">
        <v>0.36011915042300824</v>
      </c>
      <c r="AG250" s="39">
        <v>0.35314567617192905</v>
      </c>
      <c r="AH250" s="39">
        <v>0.34194033976868532</v>
      </c>
    </row>
    <row r="251" spans="1:35" x14ac:dyDescent="0.35">
      <c r="A251" s="39" t="s">
        <v>595</v>
      </c>
      <c r="B251" s="39" t="s">
        <v>596</v>
      </c>
      <c r="C251" s="39" t="s">
        <v>112</v>
      </c>
      <c r="D251" s="39" t="s">
        <v>113</v>
      </c>
      <c r="E251" s="39">
        <v>0.21488388342487835</v>
      </c>
      <c r="F251" s="39">
        <v>0.21581917201480538</v>
      </c>
      <c r="G251" s="39">
        <v>0.22304930889160146</v>
      </c>
      <c r="H251" s="39">
        <v>0.22553229425144575</v>
      </c>
      <c r="I251" s="39">
        <v>0.2293579577327855</v>
      </c>
      <c r="J251" s="39">
        <v>0.23475235946751505</v>
      </c>
      <c r="K251" s="39">
        <v>0.23672372592474272</v>
      </c>
      <c r="L251" s="39">
        <v>0.27001811843406159</v>
      </c>
      <c r="M251" s="39">
        <v>0.22731548202223903</v>
      </c>
      <c r="N251" s="39">
        <v>0.16929868265522419</v>
      </c>
      <c r="O251" s="39">
        <v>0.15479084854611655</v>
      </c>
      <c r="P251" s="39">
        <v>0.16847742573448168</v>
      </c>
      <c r="Q251" s="39">
        <v>0.17575570427569406</v>
      </c>
      <c r="R251" s="39">
        <v>0.18632530231665273</v>
      </c>
      <c r="S251" s="39">
        <v>0.20945997944641287</v>
      </c>
      <c r="T251" s="39">
        <v>0.26184084813240971</v>
      </c>
      <c r="U251" s="39">
        <v>0.29589583553414261</v>
      </c>
      <c r="V251" s="39">
        <v>0.35472522855251887</v>
      </c>
      <c r="W251" s="39">
        <v>0.42894904339310824</v>
      </c>
      <c r="X251" s="39">
        <v>0.32526177947343926</v>
      </c>
      <c r="Y251" s="39">
        <v>0.35961246497945842</v>
      </c>
      <c r="Z251" s="39">
        <v>0.40066156038301243</v>
      </c>
      <c r="AA251" s="39">
        <v>0.41263847293789269</v>
      </c>
      <c r="AB251" s="39">
        <v>0.37689861033685595</v>
      </c>
      <c r="AC251" s="39">
        <v>0.28897642751324004</v>
      </c>
      <c r="AD251" s="39">
        <v>0.20903127663538709</v>
      </c>
      <c r="AE251" s="39">
        <v>0.19624075524354337</v>
      </c>
      <c r="AF251" s="39">
        <v>0.22244530174037472</v>
      </c>
      <c r="AG251" s="39">
        <v>0.24521202511779083</v>
      </c>
      <c r="AH251" s="39">
        <v>0.27426531551199507</v>
      </c>
    </row>
    <row r="252" spans="1:35" x14ac:dyDescent="0.35">
      <c r="A252" s="39" t="s">
        <v>597</v>
      </c>
      <c r="B252" s="39" t="s">
        <v>598</v>
      </c>
      <c r="C252" s="39" t="s">
        <v>112</v>
      </c>
      <c r="D252" s="39" t="s">
        <v>113</v>
      </c>
    </row>
    <row r="253" spans="1:35" x14ac:dyDescent="0.35">
      <c r="A253" s="39" t="s">
        <v>599</v>
      </c>
      <c r="B253" s="39" t="s">
        <v>600</v>
      </c>
      <c r="C253" s="39" t="s">
        <v>112</v>
      </c>
      <c r="D253" s="39" t="s">
        <v>113</v>
      </c>
      <c r="E253" s="39">
        <v>0.50016212583062802</v>
      </c>
      <c r="F253" s="39">
        <v>0.56309863845837826</v>
      </c>
      <c r="G253" s="39">
        <v>0.58621305466948226</v>
      </c>
      <c r="H253" s="39">
        <v>0.64981845359232449</v>
      </c>
      <c r="I253" s="39">
        <v>0.69079283262703861</v>
      </c>
      <c r="J253" s="39">
        <v>0.75816658392353597</v>
      </c>
      <c r="K253" s="39">
        <v>0.74970350079051273</v>
      </c>
      <c r="L253" s="39">
        <v>0.7422260002675739</v>
      </c>
      <c r="M253" s="39">
        <v>0.74371891139255153</v>
      </c>
      <c r="N253" s="39">
        <v>0.70634276091886805</v>
      </c>
      <c r="O253" s="39">
        <v>0.67040056912963319</v>
      </c>
      <c r="P253" s="39">
        <v>0.62471096331821219</v>
      </c>
      <c r="Q253" s="39">
        <v>0.43394776223268189</v>
      </c>
      <c r="R253" s="39">
        <v>0.37415036578268407</v>
      </c>
      <c r="S253" s="39">
        <v>0.39423901746468415</v>
      </c>
      <c r="T253" s="39">
        <v>0.45136183253376011</v>
      </c>
      <c r="U253" s="39">
        <v>0.47458258282857008</v>
      </c>
      <c r="V253" s="39">
        <v>0.51867092123424652</v>
      </c>
      <c r="W253" s="39">
        <v>0.61575206531832571</v>
      </c>
      <c r="X253" s="39">
        <v>0.61121134162620971</v>
      </c>
      <c r="Y253" s="39">
        <v>0.71308600798941135</v>
      </c>
      <c r="Z253" s="39">
        <v>0.79080147524041378</v>
      </c>
      <c r="AA253" s="39">
        <v>0.83395477217090086</v>
      </c>
      <c r="AB253" s="39">
        <v>0.88727834606327138</v>
      </c>
      <c r="AC253" s="39">
        <v>0.83767607773497821</v>
      </c>
      <c r="AD253" s="39">
        <v>0.77228635062935003</v>
      </c>
      <c r="AE253" s="39">
        <v>0.74442591760163246</v>
      </c>
      <c r="AF253" s="39">
        <v>0.81229882677218201</v>
      </c>
      <c r="AG253" s="39">
        <v>0.78179761337049591</v>
      </c>
      <c r="AH253" s="39">
        <v>0.72101418770801917</v>
      </c>
    </row>
    <row r="254" spans="1:35" x14ac:dyDescent="0.35">
      <c r="A254" s="39" t="s">
        <v>601</v>
      </c>
      <c r="B254" s="39" t="s">
        <v>602</v>
      </c>
      <c r="C254" s="39" t="s">
        <v>112</v>
      </c>
      <c r="D254" s="39" t="s">
        <v>113</v>
      </c>
      <c r="E254" s="39">
        <v>1</v>
      </c>
      <c r="F254" s="39">
        <v>1</v>
      </c>
      <c r="G254" s="39">
        <v>1</v>
      </c>
      <c r="H254" s="39">
        <v>1</v>
      </c>
      <c r="I254" s="39">
        <v>1</v>
      </c>
      <c r="J254" s="39">
        <v>1</v>
      </c>
      <c r="K254" s="39">
        <v>1</v>
      </c>
      <c r="L254" s="39">
        <v>1</v>
      </c>
      <c r="M254" s="39">
        <v>1</v>
      </c>
      <c r="N254" s="39">
        <v>1</v>
      </c>
      <c r="O254" s="39">
        <v>1</v>
      </c>
      <c r="P254" s="39">
        <v>1</v>
      </c>
      <c r="Q254" s="39">
        <v>1</v>
      </c>
      <c r="R254" s="39">
        <v>1</v>
      </c>
      <c r="S254" s="39">
        <v>1</v>
      </c>
      <c r="T254" s="39">
        <v>1</v>
      </c>
      <c r="U254" s="39">
        <v>1</v>
      </c>
      <c r="V254" s="39">
        <v>1</v>
      </c>
      <c r="W254" s="39">
        <v>1</v>
      </c>
      <c r="X254" s="39">
        <v>1</v>
      </c>
      <c r="Y254" s="39">
        <v>1</v>
      </c>
      <c r="Z254" s="39">
        <v>1</v>
      </c>
      <c r="AA254" s="39">
        <v>1</v>
      </c>
      <c r="AB254" s="39">
        <v>1</v>
      </c>
      <c r="AC254" s="39">
        <v>1</v>
      </c>
      <c r="AD254" s="39">
        <v>1</v>
      </c>
      <c r="AE254" s="39">
        <v>1</v>
      </c>
      <c r="AF254" s="39">
        <v>1</v>
      </c>
      <c r="AG254" s="39">
        <v>1</v>
      </c>
      <c r="AH254" s="39">
        <v>1</v>
      </c>
    </row>
    <row r="255" spans="1:35" x14ac:dyDescent="0.35">
      <c r="A255" s="39" t="s">
        <v>603</v>
      </c>
      <c r="B255" s="39" t="s">
        <v>604</v>
      </c>
      <c r="C255" s="39" t="s">
        <v>112</v>
      </c>
      <c r="D255" s="39" t="s">
        <v>113</v>
      </c>
      <c r="E255" s="39">
        <v>0.26124795995226696</v>
      </c>
      <c r="F255" s="39">
        <v>0.25997727782095115</v>
      </c>
      <c r="G255" s="39">
        <v>0.27083423118598227</v>
      </c>
      <c r="H255" s="39">
        <v>0.27409437628405586</v>
      </c>
      <c r="I255" s="39">
        <v>0.27876504234977528</v>
      </c>
      <c r="J255" s="39">
        <v>0.285159329790873</v>
      </c>
      <c r="K255" s="39">
        <v>0.28769326209820861</v>
      </c>
      <c r="L255" s="39">
        <v>0.28417262563381585</v>
      </c>
      <c r="M255" s="39">
        <v>0.27388981390859757</v>
      </c>
      <c r="N255" s="39">
        <v>0.29494638815104057</v>
      </c>
      <c r="O255" s="39">
        <v>0.22386360592273891</v>
      </c>
      <c r="P255" s="39">
        <v>0.17424804078826175</v>
      </c>
      <c r="Q255" s="39">
        <v>0.14018295094380323</v>
      </c>
      <c r="R255" s="39">
        <v>0.13812615044975393</v>
      </c>
      <c r="S255" s="39">
        <v>0.14859430480494015</v>
      </c>
      <c r="T255" s="39">
        <v>0.16024973457564917</v>
      </c>
      <c r="U255" s="39">
        <v>0.17534479155182703</v>
      </c>
      <c r="V255" s="39">
        <v>0.2008078371703636</v>
      </c>
      <c r="W255" s="39">
        <v>0.23927318533868669</v>
      </c>
      <c r="X255" s="39">
        <v>0.25055841082706021</v>
      </c>
      <c r="Y255" s="39">
        <v>0.3189447606954714</v>
      </c>
      <c r="Z255" s="39">
        <v>0.3509319157773475</v>
      </c>
      <c r="AA255" s="39">
        <v>0.3740750649570353</v>
      </c>
      <c r="AB255" s="39">
        <v>0.38392101127199507</v>
      </c>
      <c r="AC255" s="39">
        <v>0.40469848949735521</v>
      </c>
      <c r="AD255" s="39">
        <v>0.41225971969314723</v>
      </c>
      <c r="AE255" s="39">
        <v>0.39792776725879592</v>
      </c>
      <c r="AF255" s="39">
        <v>0.28019966957976067</v>
      </c>
      <c r="AG255" s="39">
        <v>0.22112903764441069</v>
      </c>
      <c r="AH255" s="39">
        <v>0.2366437916733847</v>
      </c>
    </row>
    <row r="256" spans="1:35" x14ac:dyDescent="0.35">
      <c r="A256" s="39" t="s">
        <v>605</v>
      </c>
      <c r="B256" s="39" t="s">
        <v>606</v>
      </c>
      <c r="C256" s="39" t="s">
        <v>112</v>
      </c>
      <c r="D256" s="39" t="s">
        <v>113</v>
      </c>
      <c r="E256" s="39">
        <v>0.59766263917310369</v>
      </c>
      <c r="F256" s="39">
        <v>0.60601832231686292</v>
      </c>
      <c r="G256" s="39">
        <v>0.60753974031531111</v>
      </c>
      <c r="H256" s="39">
        <v>0.5863876509202185</v>
      </c>
      <c r="I256" s="39">
        <v>0.58773915512251851</v>
      </c>
      <c r="J256" s="39">
        <v>0.58321323129818514</v>
      </c>
      <c r="K256" s="39">
        <v>0.59314966262025925</v>
      </c>
      <c r="L256" s="39">
        <v>0.59101224115577411</v>
      </c>
      <c r="M256" s="39">
        <v>0.60320743037358138</v>
      </c>
      <c r="N256" s="39">
        <v>0.6054235352495333</v>
      </c>
      <c r="O256" s="39">
        <v>0.59089943806526657</v>
      </c>
      <c r="P256" s="39">
        <v>0.61695930162131851</v>
      </c>
      <c r="Q256" s="39">
        <v>0.61354062691210365</v>
      </c>
      <c r="R256" s="39">
        <v>0.58346872134955186</v>
      </c>
      <c r="S256" s="39">
        <v>0.59097881933537399</v>
      </c>
      <c r="T256" s="39">
        <v>0.59001786495054431</v>
      </c>
      <c r="U256" s="39">
        <v>0.58993272547594067</v>
      </c>
      <c r="V256" s="39">
        <v>0.62281339213020737</v>
      </c>
      <c r="W256" s="39">
        <v>0.61105102180936288</v>
      </c>
      <c r="X256" s="39">
        <v>0.60116476881305925</v>
      </c>
      <c r="Y256" s="39">
        <v>0.62060178522912213</v>
      </c>
      <c r="Z256" s="39">
        <v>0.60589600492406659</v>
      </c>
      <c r="AA256" s="39">
        <v>0.61109436882866663</v>
      </c>
      <c r="AB256" s="39">
        <v>0.60860978232489626</v>
      </c>
      <c r="AC256" s="39">
        <v>0.59104597126995928</v>
      </c>
      <c r="AD256" s="39">
        <v>0.59448317245200732</v>
      </c>
      <c r="AE256" s="39">
        <v>0.56796113650004076</v>
      </c>
      <c r="AF256" s="39">
        <v>0.58905279194867033</v>
      </c>
      <c r="AG256" s="39">
        <v>0.57688584606275928</v>
      </c>
      <c r="AH256" s="39">
        <v>0.57487463563294072</v>
      </c>
    </row>
    <row r="257" spans="1:35" x14ac:dyDescent="0.35">
      <c r="A257" s="39" t="s">
        <v>607</v>
      </c>
      <c r="B257" s="39" t="s">
        <v>608</v>
      </c>
      <c r="C257" s="39" t="s">
        <v>112</v>
      </c>
      <c r="D257" s="39" t="s">
        <v>113</v>
      </c>
      <c r="E257" s="39">
        <v>0.25782637780023243</v>
      </c>
      <c r="F257" s="39">
        <v>0.25009447555005454</v>
      </c>
      <c r="G257" s="39">
        <v>0.26040391840029675</v>
      </c>
      <c r="H257" s="39">
        <v>0.25226395825629844</v>
      </c>
      <c r="I257" s="39">
        <v>0.24599973860476296</v>
      </c>
      <c r="J257" s="39">
        <v>0.30713097062978789</v>
      </c>
      <c r="K257" s="39">
        <v>0.27540665686936971</v>
      </c>
      <c r="L257" s="39">
        <v>0.30972676685380268</v>
      </c>
      <c r="M257" s="39">
        <v>0.32490348290721333</v>
      </c>
      <c r="N257" s="39">
        <v>0.36540036439739643</v>
      </c>
      <c r="O257" s="39">
        <v>0.41212366482922058</v>
      </c>
      <c r="P257" s="39">
        <v>0.40922884963400441</v>
      </c>
      <c r="Q257" s="39">
        <v>0.33407239587143162</v>
      </c>
      <c r="R257" s="39">
        <v>0.3200630753438039</v>
      </c>
      <c r="S257" s="39">
        <v>0.3543411464853688</v>
      </c>
      <c r="T257" s="39">
        <v>0.40306425458516748</v>
      </c>
      <c r="U257" s="39">
        <v>0.44898203643348678</v>
      </c>
      <c r="V257" s="39">
        <v>0.50478304619988834</v>
      </c>
      <c r="W257" s="39">
        <v>0.64507413290459292</v>
      </c>
      <c r="X257" s="39">
        <v>0.69033144508598343</v>
      </c>
      <c r="Y257" s="39">
        <v>0.82586935463154942</v>
      </c>
      <c r="Z257" s="39">
        <v>0.62503965442419052</v>
      </c>
    </row>
    <row r="258" spans="1:35" x14ac:dyDescent="0.35">
      <c r="A258" s="39" t="s">
        <v>609</v>
      </c>
      <c r="B258" s="39" t="s">
        <v>610</v>
      </c>
      <c r="C258" s="39" t="s">
        <v>112</v>
      </c>
      <c r="D258" s="39" t="s">
        <v>113</v>
      </c>
    </row>
    <row r="259" spans="1:35" x14ac:dyDescent="0.35">
      <c r="A259" s="39" t="s">
        <v>611</v>
      </c>
      <c r="B259" s="39" t="s">
        <v>612</v>
      </c>
      <c r="C259" s="39" t="s">
        <v>112</v>
      </c>
      <c r="D259" s="39" t="s">
        <v>113</v>
      </c>
    </row>
    <row r="260" spans="1:35" x14ac:dyDescent="0.35">
      <c r="A260" s="39" t="s">
        <v>613</v>
      </c>
      <c r="B260" s="39" t="s">
        <v>614</v>
      </c>
      <c r="C260" s="39" t="s">
        <v>112</v>
      </c>
      <c r="D260" s="39" t="s">
        <v>113</v>
      </c>
      <c r="E260" s="39">
        <v>0.1037277125358147</v>
      </c>
      <c r="F260" s="39">
        <v>0.14065656575626964</v>
      </c>
      <c r="G260" s="39">
        <v>0.12991791926989754</v>
      </c>
      <c r="H260" s="39">
        <v>0.15687199307297744</v>
      </c>
      <c r="I260" s="39">
        <v>0.17436684273098149</v>
      </c>
      <c r="J260" s="39">
        <v>0.19850865078007665</v>
      </c>
      <c r="K260" s="39">
        <v>0.21200214410691751</v>
      </c>
      <c r="L260" s="39">
        <v>0.20978485004820555</v>
      </c>
      <c r="M260" s="39">
        <v>0.19881695621371798</v>
      </c>
      <c r="N260" s="39">
        <v>0.19719161580544473</v>
      </c>
      <c r="O260" s="39">
        <v>0.1962928566705601</v>
      </c>
      <c r="P260" s="39">
        <v>0.18965544923489322</v>
      </c>
      <c r="Q260" s="39">
        <v>0.18838351344464743</v>
      </c>
      <c r="R260" s="39">
        <v>0.19515919872979437</v>
      </c>
      <c r="S260" s="39">
        <v>0.20297573528250287</v>
      </c>
      <c r="T260" s="39">
        <v>0.23220637799527064</v>
      </c>
      <c r="U260" s="39">
        <v>0.24262844258081248</v>
      </c>
      <c r="V260" s="39">
        <v>0.25725236866804513</v>
      </c>
      <c r="W260" s="39">
        <v>0.30581553794671529</v>
      </c>
      <c r="X260" s="39">
        <v>0.30795609041241367</v>
      </c>
      <c r="Y260" s="39">
        <v>0.31279329374558584</v>
      </c>
      <c r="Z260" s="39">
        <v>0.33717307374389016</v>
      </c>
      <c r="AA260" s="39">
        <v>0.3441068100933839</v>
      </c>
      <c r="AB260" s="39">
        <v>0.35206362329041108</v>
      </c>
      <c r="AC260" s="39">
        <v>0.35338658187978766</v>
      </c>
      <c r="AD260" s="39">
        <v>0.34167219742057492</v>
      </c>
      <c r="AE260" s="39">
        <v>0.33351322207240353</v>
      </c>
      <c r="AF260" s="39">
        <v>0.33059051035802423</v>
      </c>
      <c r="AG260" s="39">
        <v>0.33051701988251903</v>
      </c>
      <c r="AH260" s="39">
        <v>0.32423357657882129</v>
      </c>
    </row>
    <row r="261" spans="1:35" x14ac:dyDescent="0.35">
      <c r="A261" s="39" t="s">
        <v>615</v>
      </c>
      <c r="B261" s="39" t="s">
        <v>616</v>
      </c>
      <c r="C261" s="39" t="s">
        <v>112</v>
      </c>
      <c r="D261" s="39" t="s">
        <v>113</v>
      </c>
      <c r="E261" s="39">
        <v>0.65297963145193316</v>
      </c>
      <c r="F261" s="39">
        <v>0.73020760414478048</v>
      </c>
      <c r="G261" s="39">
        <v>0.72269599523040429</v>
      </c>
      <c r="H261" s="39">
        <v>0.67190726826914238</v>
      </c>
      <c r="I261" s="39">
        <v>0.70323201424415449</v>
      </c>
      <c r="J261" s="39">
        <v>0.72742545457272967</v>
      </c>
      <c r="K261" s="39">
        <v>0.73174309986296238</v>
      </c>
      <c r="L261" s="39">
        <v>0.7156094727489859</v>
      </c>
      <c r="M261" s="39">
        <v>0.69545906524083589</v>
      </c>
      <c r="N261" s="39">
        <v>0.69811614866432159</v>
      </c>
      <c r="O261" s="39">
        <v>0.65433256853664723</v>
      </c>
      <c r="P261" s="39">
        <v>0.62907263669973057</v>
      </c>
      <c r="Q261" s="39">
        <v>0.66446873002867424</v>
      </c>
      <c r="R261" s="39">
        <v>0.74902287574567805</v>
      </c>
      <c r="S261" s="39">
        <v>0.81415536131669997</v>
      </c>
      <c r="T261" s="39">
        <v>0.8113576408368981</v>
      </c>
      <c r="U261" s="39">
        <v>0.80771019276290124</v>
      </c>
      <c r="V261" s="39">
        <v>0.89606370468176011</v>
      </c>
      <c r="W261" s="39">
        <v>0.95360285608963713</v>
      </c>
      <c r="X261" s="39">
        <v>0.91921755239484249</v>
      </c>
      <c r="Y261" s="39">
        <v>1.0270425255798064</v>
      </c>
      <c r="Z261" s="39">
        <v>1.1234150216706085</v>
      </c>
      <c r="AA261" s="39">
        <v>1.0689803756194511</v>
      </c>
      <c r="AB261" s="39">
        <v>1.0567278510360938</v>
      </c>
      <c r="AC261" s="39">
        <v>1.0303941632808633</v>
      </c>
      <c r="AD261" s="39">
        <v>0.94881235410715015</v>
      </c>
      <c r="AE261" s="39">
        <v>0.960363070365015</v>
      </c>
      <c r="AF261" s="39">
        <v>0.98758198252410467</v>
      </c>
      <c r="AG261" s="39">
        <v>0.96627711033740193</v>
      </c>
      <c r="AH261" s="39">
        <v>0.93406998266388808</v>
      </c>
    </row>
    <row r="262" spans="1:35" x14ac:dyDescent="0.35">
      <c r="A262" s="39" t="s">
        <v>617</v>
      </c>
      <c r="B262" s="39" t="s">
        <v>618</v>
      </c>
      <c r="C262" s="39" t="s">
        <v>112</v>
      </c>
      <c r="D262" s="39" t="s">
        <v>113</v>
      </c>
    </row>
    <row r="263" spans="1:35" x14ac:dyDescent="0.35">
      <c r="A263" s="39" t="s">
        <v>619</v>
      </c>
      <c r="B263" s="39" t="s">
        <v>620</v>
      </c>
      <c r="C263" s="39" t="s">
        <v>112</v>
      </c>
      <c r="D263" s="39" t="s">
        <v>113</v>
      </c>
      <c r="E263" s="39">
        <v>0.32218740858471961</v>
      </c>
      <c r="F263" s="39">
        <v>0.31855610677842794</v>
      </c>
      <c r="G263" s="39">
        <v>0.32874497807853731</v>
      </c>
      <c r="H263" s="39">
        <v>0.31040000696348247</v>
      </c>
      <c r="I263" s="39">
        <v>0.5179176668272939</v>
      </c>
      <c r="J263" s="39">
        <v>0.48364821317721357</v>
      </c>
      <c r="K263" s="39">
        <v>0.49249114850321069</v>
      </c>
      <c r="L263" s="39">
        <v>0.54950933133155155</v>
      </c>
      <c r="M263" s="39">
        <v>0.50193229092541325</v>
      </c>
      <c r="N263" s="39">
        <v>0.46507453596653336</v>
      </c>
      <c r="O263" s="39">
        <v>0.44221152794294077</v>
      </c>
      <c r="P263" s="39">
        <v>0.41075889371321561</v>
      </c>
      <c r="Q263" s="39">
        <v>0.40880104913047544</v>
      </c>
      <c r="R263" s="39">
        <v>0.45167036073640326</v>
      </c>
      <c r="S263" s="39">
        <v>0.52147791158249346</v>
      </c>
      <c r="T263" s="39">
        <v>0.53781248732901155</v>
      </c>
      <c r="U263" s="39">
        <v>0.5562107459617206</v>
      </c>
      <c r="V263" s="39">
        <v>0.57454851806823359</v>
      </c>
      <c r="W263" s="39">
        <v>0.60567703052402622</v>
      </c>
      <c r="X263" s="39">
        <v>0.59622151692549075</v>
      </c>
      <c r="Y263" s="39">
        <v>0.66524565270773506</v>
      </c>
      <c r="Z263" s="39">
        <v>0.69555504693585068</v>
      </c>
      <c r="AA263" s="39">
        <v>0.73389679663541496</v>
      </c>
      <c r="AB263" s="39">
        <v>0.7332935081685239</v>
      </c>
      <c r="AC263" s="39">
        <v>0.70687972251092313</v>
      </c>
      <c r="AD263" s="39">
        <v>0.69855922124579839</v>
      </c>
      <c r="AE263" s="39">
        <v>0.64847639703258597</v>
      </c>
      <c r="AF263" s="39">
        <v>0.65561694710113971</v>
      </c>
      <c r="AG263" s="39">
        <v>0.64571642675833862</v>
      </c>
      <c r="AH263" s="39">
        <v>0.63589761328002536</v>
      </c>
    </row>
    <row r="264" spans="1:35" x14ac:dyDescent="0.35">
      <c r="A264" s="39" t="s">
        <v>621</v>
      </c>
      <c r="B264" s="39" t="s">
        <v>622</v>
      </c>
      <c r="C264" s="39" t="s">
        <v>112</v>
      </c>
      <c r="D264" s="39" t="s">
        <v>113</v>
      </c>
      <c r="O264" s="39">
        <v>0.30546118406086303</v>
      </c>
      <c r="P264" s="39">
        <v>0.32275331191216206</v>
      </c>
      <c r="Q264" s="39">
        <v>0.30368211698710079</v>
      </c>
      <c r="R264" s="39">
        <v>0.32623765068557725</v>
      </c>
      <c r="S264" s="39">
        <v>0.39461809299343159</v>
      </c>
      <c r="T264" s="39">
        <v>0.37171331476232305</v>
      </c>
      <c r="U264" s="39">
        <v>0.36256376276099483</v>
      </c>
      <c r="V264" s="39">
        <v>0.39831836517704078</v>
      </c>
      <c r="W264" s="39">
        <v>0.44897090014968949</v>
      </c>
      <c r="X264" s="39">
        <v>0.42756725230332454</v>
      </c>
      <c r="Y264" s="39">
        <v>0.42227672868711924</v>
      </c>
      <c r="Z264" s="39">
        <v>0.45509270601336305</v>
      </c>
      <c r="AA264" s="39">
        <v>0.42427808682187079</v>
      </c>
      <c r="AB264" s="39">
        <v>0.44191919852529021</v>
      </c>
      <c r="AC264" s="39">
        <v>0.45120513312478272</v>
      </c>
      <c r="AD264" s="39">
        <v>0.37626542720477751</v>
      </c>
      <c r="AE264" s="39">
        <v>0.37566716532299538</v>
      </c>
      <c r="AF264" s="39">
        <v>0.38418130695215996</v>
      </c>
      <c r="AG264" s="39">
        <v>0.3963202399224055</v>
      </c>
      <c r="AH264" s="39">
        <v>0.37313576692621703</v>
      </c>
    </row>
    <row r="265" spans="1:35" x14ac:dyDescent="0.35">
      <c r="A265" s="39" t="s">
        <v>623</v>
      </c>
      <c r="B265" s="39" t="s">
        <v>624</v>
      </c>
      <c r="C265" s="39" t="s">
        <v>112</v>
      </c>
      <c r="D265" s="39" t="s">
        <v>113</v>
      </c>
      <c r="E265" s="39">
        <v>0.23313130297684884</v>
      </c>
      <c r="F265" s="39">
        <v>0.22278735871268959</v>
      </c>
      <c r="G265" s="39">
        <v>0.21940307843495896</v>
      </c>
      <c r="H265" s="39">
        <v>0.17115440695503806</v>
      </c>
      <c r="I265" s="39">
        <v>0.12189456427901016</v>
      </c>
      <c r="J265" s="39">
        <v>0.11546449013270113</v>
      </c>
      <c r="K265" s="39">
        <v>0.14721774851495359</v>
      </c>
      <c r="L265" s="39">
        <v>0.16255510022068051</v>
      </c>
      <c r="M265" s="39">
        <v>0.14025304523659937</v>
      </c>
      <c r="N265" s="39">
        <v>0.1609450346917235</v>
      </c>
      <c r="O265" s="39">
        <v>0.18728643468907297</v>
      </c>
      <c r="P265" s="39">
        <v>0.18037628805833453</v>
      </c>
      <c r="Q265" s="39">
        <v>0.18527677071149379</v>
      </c>
      <c r="R265" s="39">
        <v>0.1930888101868333</v>
      </c>
      <c r="S265" s="39">
        <v>0.21300697909972666</v>
      </c>
      <c r="T265" s="39">
        <v>0.23615569004608292</v>
      </c>
      <c r="U265" s="39">
        <v>0.25289690151730088</v>
      </c>
      <c r="V265" s="39">
        <v>0.27068852277345212</v>
      </c>
      <c r="W265" s="39">
        <v>0.31842201627250533</v>
      </c>
      <c r="X265" s="39">
        <v>0.28411896403177567</v>
      </c>
      <c r="Y265" s="39">
        <v>0.32070073960784962</v>
      </c>
      <c r="Z265" s="39">
        <v>0.38108868505265575</v>
      </c>
      <c r="AA265" s="39">
        <v>0.41433735153225271</v>
      </c>
      <c r="AB265" s="39">
        <v>0.43571742351282938</v>
      </c>
    </row>
    <row r="266" spans="1:35" x14ac:dyDescent="0.35">
      <c r="A266" s="39" t="s">
        <v>7</v>
      </c>
      <c r="B266" s="39" t="s">
        <v>625</v>
      </c>
      <c r="C266" s="39" t="s">
        <v>112</v>
      </c>
      <c r="D266" s="39" t="s">
        <v>113</v>
      </c>
      <c r="E266" s="39">
        <v>0.48902388170645311</v>
      </c>
      <c r="F266" s="39">
        <v>0.51259372653015678</v>
      </c>
      <c r="G266" s="39">
        <v>0.55592207895777801</v>
      </c>
      <c r="H266" s="39">
        <v>0.53549550073535401</v>
      </c>
      <c r="I266" s="39">
        <v>0.52863694515919701</v>
      </c>
      <c r="J266" s="39">
        <v>0.55866083173179837</v>
      </c>
      <c r="K266" s="39">
        <v>0.49942169223238897</v>
      </c>
      <c r="L266" s="39">
        <v>0.49466228107372529</v>
      </c>
      <c r="M266" s="39">
        <v>0.43947367855702696</v>
      </c>
      <c r="N266" s="39">
        <v>0.41955722089061287</v>
      </c>
      <c r="O266" s="39">
        <v>0.39306061729745256</v>
      </c>
      <c r="P266" s="39">
        <v>0.33373649443839964</v>
      </c>
      <c r="Q266" s="39">
        <v>0.30108880398932714</v>
      </c>
      <c r="R266" s="39">
        <v>0.4357529533768279</v>
      </c>
      <c r="S266" s="39">
        <v>0.52934887395325014</v>
      </c>
      <c r="T266" s="39">
        <v>0.54987796454229243</v>
      </c>
      <c r="U266" s="39">
        <v>0.5325905292739187</v>
      </c>
      <c r="V266" s="39">
        <v>0.54260811759975447</v>
      </c>
      <c r="W266" s="39">
        <v>0.4940113926915326</v>
      </c>
      <c r="X266" s="39">
        <v>0.51384893017171962</v>
      </c>
      <c r="Y266" s="39">
        <v>0.62522544303361471</v>
      </c>
      <c r="Z266" s="39">
        <v>0.62522544303361471</v>
      </c>
      <c r="AA266" s="39">
        <v>0.62522544303361471</v>
      </c>
      <c r="AB266" s="39">
        <v>0.62522544303361471</v>
      </c>
      <c r="AC266" s="39">
        <v>0.62522544303361471</v>
      </c>
      <c r="AD266" s="39">
        <v>0.62522544303361471</v>
      </c>
      <c r="AE266" s="39">
        <v>0.62522544303361471</v>
      </c>
      <c r="AF266" s="39">
        <v>0.62522544303361471</v>
      </c>
      <c r="AG266" s="39">
        <v>0.62522544303361471</v>
      </c>
      <c r="AH266" s="39">
        <v>0.62522544303361471</v>
      </c>
      <c r="AI266" s="39">
        <v>0.62522544303361471</v>
      </c>
    </row>
    <row r="267" spans="1:35" x14ac:dyDescent="0.35">
      <c r="A267" s="39" t="s">
        <v>62</v>
      </c>
      <c r="B267" s="39" t="s">
        <v>626</v>
      </c>
      <c r="C267" s="39" t="s">
        <v>112</v>
      </c>
      <c r="D267" s="39" t="s">
        <v>113</v>
      </c>
      <c r="E267" s="39">
        <v>0.27699708093734055</v>
      </c>
      <c r="F267" s="39">
        <v>0.27567488378546751</v>
      </c>
      <c r="G267" s="39">
        <v>0.25829182757293689</v>
      </c>
      <c r="H267" s="39">
        <v>0.24303505055967978</v>
      </c>
      <c r="I267" s="39">
        <v>0.29091959853389754</v>
      </c>
      <c r="J267" s="39">
        <v>0.28831191355448793</v>
      </c>
      <c r="K267" s="39">
        <v>0.25185969658367663</v>
      </c>
      <c r="L267" s="39">
        <v>0.28530560606231492</v>
      </c>
      <c r="M267" s="39">
        <v>0.23283441298303476</v>
      </c>
      <c r="N267" s="39">
        <v>0.2110532567125222</v>
      </c>
      <c r="O267" s="39">
        <v>0.21015591801843547</v>
      </c>
      <c r="P267" s="39">
        <v>0.2220417786800587</v>
      </c>
      <c r="Q267" s="39">
        <v>0.21423540935875732</v>
      </c>
      <c r="R267" s="39">
        <v>0.22987209288827667</v>
      </c>
      <c r="S267" s="39">
        <v>0.2654238919326351</v>
      </c>
      <c r="T267" s="39">
        <v>0.3214817307449177</v>
      </c>
      <c r="U267" s="39">
        <v>0.44276526181993009</v>
      </c>
      <c r="V267" s="39">
        <v>0.43850044424608864</v>
      </c>
      <c r="W267" s="39">
        <v>0.5085281795644393</v>
      </c>
      <c r="X267" s="39">
        <v>0.39545034866312601</v>
      </c>
      <c r="Y267" s="39">
        <v>0.46854951455067639</v>
      </c>
      <c r="Z267" s="39">
        <v>0.46854951455067639</v>
      </c>
      <c r="AA267" s="39">
        <v>0.46854951455067639</v>
      </c>
      <c r="AB267" s="39">
        <v>0.46854951455067639</v>
      </c>
      <c r="AC267" s="39">
        <v>0.46854951455067639</v>
      </c>
      <c r="AD267" s="39">
        <v>0.46854951455067639</v>
      </c>
      <c r="AE267" s="39">
        <v>0.46854951455067639</v>
      </c>
      <c r="AF267" s="39">
        <v>0.46854951455067639</v>
      </c>
      <c r="AG267" s="39">
        <v>0.46854951455067639</v>
      </c>
      <c r="AH267" s="39">
        <v>0.46854951455067639</v>
      </c>
      <c r="AI267" s="39">
        <v>0.46854951455067639</v>
      </c>
    </row>
    <row r="268" spans="1:35" x14ac:dyDescent="0.35">
      <c r="A268" s="39" t="s">
        <v>627</v>
      </c>
      <c r="B268" s="39" t="s">
        <v>628</v>
      </c>
      <c r="C268" s="39" t="s">
        <v>112</v>
      </c>
      <c r="D268" s="39" t="s">
        <v>113</v>
      </c>
      <c r="E268" s="39">
        <v>0.74399809809710804</v>
      </c>
      <c r="F268" s="39">
        <v>0.67088734372040804</v>
      </c>
      <c r="G268" s="39">
        <v>0.56325714010460104</v>
      </c>
      <c r="H268" s="39">
        <v>0.52936132043651396</v>
      </c>
      <c r="I268" s="39">
        <v>0.49810275619487099</v>
      </c>
      <c r="J268" s="39">
        <v>0.50269708942340796</v>
      </c>
      <c r="K268" s="39">
        <v>0.53801019034825204</v>
      </c>
      <c r="L268" s="39">
        <v>0.51366305811876201</v>
      </c>
      <c r="M268" s="39">
        <v>0.37055348388597298</v>
      </c>
      <c r="N268" s="39">
        <v>0.39452681775429999</v>
      </c>
      <c r="O268" s="39">
        <v>0.38832318632264901</v>
      </c>
      <c r="P268" s="39">
        <v>0.37949105632478197</v>
      </c>
      <c r="Q268" s="39">
        <v>0.38371696702501401</v>
      </c>
      <c r="R268" s="39">
        <v>0.40987714586254698</v>
      </c>
      <c r="S268" s="39">
        <v>0.42951167913702898</v>
      </c>
      <c r="T268" s="39">
        <v>0.43793263169531699</v>
      </c>
      <c r="U268" s="39">
        <v>0.41649263865070402</v>
      </c>
      <c r="V268" s="39">
        <v>0.40922680337936901</v>
      </c>
      <c r="W268" s="39">
        <v>0.40683471223187501</v>
      </c>
      <c r="X268" s="39">
        <v>0.50338476408522403</v>
      </c>
      <c r="Y268" s="39">
        <v>0.51797974826554904</v>
      </c>
      <c r="Z268" s="39">
        <v>0.51797974826554904</v>
      </c>
      <c r="AA268" s="39">
        <v>0.51797974826554904</v>
      </c>
      <c r="AB268" s="39">
        <v>0.51797974826554904</v>
      </c>
      <c r="AC268" s="39">
        <v>0.51797974826554904</v>
      </c>
      <c r="AD268" s="39">
        <v>0.51797974826554904</v>
      </c>
      <c r="AE268" s="39">
        <v>0.51797974826554904</v>
      </c>
      <c r="AF268" s="39">
        <v>0.51797974826554904</v>
      </c>
      <c r="AG268" s="39">
        <v>0.51797974826554904</v>
      </c>
      <c r="AH268" s="39">
        <v>0.51797974826554904</v>
      </c>
      <c r="AI268" s="39">
        <v>0.51797974826554904</v>
      </c>
    </row>
  </sheetData>
  <autoFilter ref="A4:AK268" xr:uid="{00000000-0009-0000-0000-000000000000}">
    <filterColumn colId="0">
      <filters>
        <filter val="Angola"/>
        <filter val="Botswana"/>
        <filter val="Comoros"/>
        <filter val="Congo, Dem. Rep."/>
        <filter val="Eswatini"/>
        <filter val="Lesotho"/>
        <filter val="Madagascar"/>
        <filter val="Malawi"/>
        <filter val="Mauritius"/>
        <filter val="Mozambique"/>
        <filter val="Namibia"/>
        <filter val="Seychelles"/>
        <filter val="South Africa"/>
        <filter val="Tanzania"/>
        <filter val="Zambia"/>
        <filter val="Zimbabwe"/>
      </filters>
    </filterColumn>
  </autoFilter>
  <pageMargins left="0.7" right="0.7" top="0.75" bottom="0.75" header="0.3" footer="0.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E579-293C-A449-8DD7-C7390E5BB8A1}">
  <dimension ref="B2:M16"/>
  <sheetViews>
    <sheetView showGridLines="0" zoomScale="42" workbookViewId="0">
      <selection activeCell="B4" sqref="B4:B15"/>
    </sheetView>
  </sheetViews>
  <sheetFormatPr defaultColWidth="10.6640625" defaultRowHeight="15.5" x14ac:dyDescent="0.35"/>
  <cols>
    <col min="2" max="2" width="14.83203125" bestFit="1" customWidth="1"/>
    <col min="3" max="3" width="17.1640625" customWidth="1"/>
    <col min="4" max="4" width="13.5" bestFit="1" customWidth="1"/>
    <col min="5" max="5" width="0" hidden="1" customWidth="1"/>
    <col min="6" max="6" width="15.5" customWidth="1"/>
    <col min="7" max="7" width="16.83203125" customWidth="1"/>
    <col min="8" max="8" width="17.5" customWidth="1"/>
    <col min="9" max="9" width="15.1640625" customWidth="1"/>
  </cols>
  <sheetData>
    <row r="2" spans="2:13" ht="21.5" thickBot="1" x14ac:dyDescent="0.55000000000000004">
      <c r="B2" s="122" t="s">
        <v>20</v>
      </c>
      <c r="C2" s="120" t="s">
        <v>710</v>
      </c>
      <c r="D2" s="120"/>
      <c r="E2" s="120"/>
      <c r="F2" s="120"/>
      <c r="G2" s="121" t="s">
        <v>711</v>
      </c>
      <c r="H2" s="121"/>
      <c r="I2" s="121"/>
    </row>
    <row r="3" spans="2:13" ht="41" thickTop="1" thickBot="1" x14ac:dyDescent="0.4">
      <c r="B3" s="123"/>
      <c r="C3" s="61" t="s">
        <v>1</v>
      </c>
      <c r="D3" s="61" t="s">
        <v>709</v>
      </c>
      <c r="E3" s="61" t="s">
        <v>3</v>
      </c>
      <c r="F3" s="61" t="s">
        <v>22</v>
      </c>
      <c r="G3" s="62" t="s">
        <v>1</v>
      </c>
      <c r="H3" s="62" t="s">
        <v>709</v>
      </c>
      <c r="I3" s="62" t="s">
        <v>22</v>
      </c>
    </row>
    <row r="4" spans="2:13" ht="21.5" thickTop="1" x14ac:dyDescent="0.5">
      <c r="B4" s="63" t="s">
        <v>11</v>
      </c>
      <c r="C4" s="64">
        <v>5391</v>
      </c>
      <c r="D4" s="64">
        <v>3030.4285714285716</v>
      </c>
      <c r="E4" s="64">
        <v>3881.1428571428573</v>
      </c>
      <c r="F4" s="64">
        <v>3881.1428571428573</v>
      </c>
      <c r="G4" s="65">
        <f>C4/$C$15</f>
        <v>5.7929967325453677E-2</v>
      </c>
      <c r="H4" s="65">
        <f>D4/$D$15</f>
        <v>9.1879097104766771E-2</v>
      </c>
      <c r="I4" s="65">
        <f>F4/$F$15</f>
        <v>7.0226047846147888E-2</v>
      </c>
    </row>
    <row r="5" spans="2:13" ht="21" x14ac:dyDescent="0.5">
      <c r="B5" s="63" t="s">
        <v>627</v>
      </c>
      <c r="C5" s="64">
        <v>12679.06</v>
      </c>
      <c r="D5" s="64">
        <v>3577.84</v>
      </c>
      <c r="E5" s="64">
        <v>3577.84</v>
      </c>
      <c r="F5" s="64">
        <v>3577.84</v>
      </c>
      <c r="G5" s="65">
        <f t="shared" ref="G5:G15" si="0">C5/$C$15</f>
        <v>0.13624513661982318</v>
      </c>
      <c r="H5" s="65">
        <f t="shared" ref="H5:H15" si="1">D5/$D$15</f>
        <v>0.10847597989427385</v>
      </c>
      <c r="I5" s="65">
        <f t="shared" ref="I5:I15" si="2">F5/$F$15</f>
        <v>6.4738035231928448E-2</v>
      </c>
    </row>
    <row r="6" spans="2:13" ht="21" x14ac:dyDescent="0.5">
      <c r="B6" s="63" t="s">
        <v>16</v>
      </c>
      <c r="C6" s="64">
        <v>14628.896907216495</v>
      </c>
      <c r="D6" s="64">
        <v>5416.7938144329901</v>
      </c>
      <c r="E6" s="64">
        <v>5416.7938144329901</v>
      </c>
      <c r="F6" s="64">
        <v>5416.7938144329901</v>
      </c>
      <c r="G6" s="65">
        <f t="shared" si="0"/>
        <v>0.15719746240817695</v>
      </c>
      <c r="H6" s="65">
        <f t="shared" si="1"/>
        <v>0.16423093735490127</v>
      </c>
      <c r="I6" s="65">
        <f t="shared" si="2"/>
        <v>9.8012373052695209E-2</v>
      </c>
    </row>
    <row r="7" spans="2:13" ht="21" x14ac:dyDescent="0.5">
      <c r="B7" s="63" t="s">
        <v>14</v>
      </c>
      <c r="C7" s="64">
        <v>18315.523764705882</v>
      </c>
      <c r="D7" s="64">
        <v>4623.8823529411766</v>
      </c>
      <c r="E7" s="64">
        <v>4635.0635294117646</v>
      </c>
      <c r="F7" s="64">
        <v>7682.9689411764712</v>
      </c>
      <c r="G7" s="65">
        <f t="shared" si="0"/>
        <v>0.19681277930587684</v>
      </c>
      <c r="H7" s="65">
        <f t="shared" si="1"/>
        <v>0.14019077687966333</v>
      </c>
      <c r="I7" s="65">
        <f t="shared" si="2"/>
        <v>0.13901692473662725</v>
      </c>
    </row>
    <row r="8" spans="2:13" ht="21" x14ac:dyDescent="0.5">
      <c r="B8" s="63" t="s">
        <v>12</v>
      </c>
      <c r="C8" s="64">
        <v>28720.192740462258</v>
      </c>
      <c r="D8" s="64">
        <v>4501.6988846318236</v>
      </c>
      <c r="E8" s="64">
        <v>4501.6988846318236</v>
      </c>
      <c r="F8" s="64">
        <v>10373.291678801197</v>
      </c>
      <c r="G8" s="65">
        <f t="shared" si="0"/>
        <v>0.30861803506505481</v>
      </c>
      <c r="H8" s="65">
        <f t="shared" si="1"/>
        <v>0.13648631512292239</v>
      </c>
      <c r="I8" s="65">
        <f t="shared" si="2"/>
        <v>0.18769607421609186</v>
      </c>
    </row>
    <row r="9" spans="2:13" ht="21" x14ac:dyDescent="0.5">
      <c r="B9" s="63" t="s">
        <v>17</v>
      </c>
      <c r="C9" s="64">
        <v>31958.714285714286</v>
      </c>
      <c r="D9" s="64">
        <v>10845.357142857143</v>
      </c>
      <c r="E9" s="64">
        <v>10845.357142857143</v>
      </c>
      <c r="F9" s="64">
        <v>17704.857142857141</v>
      </c>
      <c r="G9" s="65">
        <f t="shared" si="0"/>
        <v>0.34341815513539942</v>
      </c>
      <c r="H9" s="65">
        <f t="shared" si="1"/>
        <v>0.32881871279173763</v>
      </c>
      <c r="I9" s="65">
        <f t="shared" si="2"/>
        <v>0.32035464567743266</v>
      </c>
    </row>
    <row r="10" spans="2:13" ht="21" x14ac:dyDescent="0.5">
      <c r="B10" s="63" t="s">
        <v>10</v>
      </c>
      <c r="C10" s="64">
        <v>33928.980000000003</v>
      </c>
      <c r="D10" s="64">
        <v>9854.51</v>
      </c>
      <c r="E10" s="64">
        <v>9854.51</v>
      </c>
      <c r="F10" s="64">
        <v>17959.95</v>
      </c>
      <c r="G10" s="65">
        <f t="shared" si="0"/>
        <v>0.3645900023717254</v>
      </c>
      <c r="H10" s="65">
        <f t="shared" si="1"/>
        <v>0.29877737087961465</v>
      </c>
      <c r="I10" s="65">
        <f t="shared" si="2"/>
        <v>0.32497033849017098</v>
      </c>
    </row>
    <row r="11" spans="2:13" ht="21" x14ac:dyDescent="0.5">
      <c r="B11" s="63" t="s">
        <v>62</v>
      </c>
      <c r="C11" s="64">
        <v>37170.581538461534</v>
      </c>
      <c r="D11" s="64">
        <v>5825.1178021978039</v>
      </c>
      <c r="E11" s="64">
        <v>6741.5821036106872</v>
      </c>
      <c r="F11" s="64">
        <v>8329.7848138958016</v>
      </c>
      <c r="G11" s="65">
        <f t="shared" si="0"/>
        <v>0.39942321906718392</v>
      </c>
      <c r="H11" s="65">
        <f t="shared" si="1"/>
        <v>0.17661084944910493</v>
      </c>
      <c r="I11" s="65">
        <f t="shared" si="2"/>
        <v>0.15072051929554395</v>
      </c>
    </row>
    <row r="12" spans="2:13" ht="21" x14ac:dyDescent="0.5">
      <c r="B12" s="63" t="s">
        <v>8</v>
      </c>
      <c r="C12" s="64">
        <v>49800</v>
      </c>
      <c r="D12" s="64">
        <v>12002.4</v>
      </c>
      <c r="E12" s="64">
        <v>12002.4</v>
      </c>
      <c r="F12" s="64">
        <v>32760</v>
      </c>
      <c r="G12" s="69">
        <f t="shared" si="0"/>
        <v>0.53513492354064052</v>
      </c>
      <c r="H12" s="65">
        <f t="shared" si="1"/>
        <v>0.36389891696750898</v>
      </c>
      <c r="I12" s="69">
        <f t="shared" si="2"/>
        <v>0.59276491799464925</v>
      </c>
    </row>
    <row r="13" spans="2:13" ht="21" x14ac:dyDescent="0.5">
      <c r="B13" s="63" t="s">
        <v>15</v>
      </c>
      <c r="C13" s="64">
        <v>68600.559615384613</v>
      </c>
      <c r="D13" s="64">
        <v>29923.9</v>
      </c>
      <c r="E13" s="64">
        <v>18169.011664643192</v>
      </c>
      <c r="F13" s="64">
        <v>33827</v>
      </c>
      <c r="G13" s="69">
        <f t="shared" si="0"/>
        <v>0.73715974346634539</v>
      </c>
      <c r="H13" s="69">
        <f t="shared" si="1"/>
        <v>0.90725811516397081</v>
      </c>
      <c r="I13" s="69">
        <f t="shared" si="2"/>
        <v>0.6120713944140721</v>
      </c>
      <c r="M13" s="60"/>
    </row>
    <row r="14" spans="2:13" ht="21" x14ac:dyDescent="0.5">
      <c r="B14" s="63" t="s">
        <v>445</v>
      </c>
      <c r="C14" s="64">
        <v>71841.183585313178</v>
      </c>
      <c r="D14" s="64">
        <v>50651.83585313175</v>
      </c>
      <c r="E14" s="64">
        <v>50651.83585313175</v>
      </c>
      <c r="F14" s="64">
        <v>45703.887688984876</v>
      </c>
      <c r="G14" s="69">
        <f t="shared" si="0"/>
        <v>0.77198245552200184</v>
      </c>
      <c r="H14" s="69">
        <f t="shared" si="1"/>
        <v>1.5357052097389428</v>
      </c>
      <c r="I14" s="69">
        <f t="shared" si="2"/>
        <v>0.82697378626366858</v>
      </c>
    </row>
    <row r="15" spans="2:13" ht="21.5" thickBot="1" x14ac:dyDescent="0.55000000000000004">
      <c r="B15" s="66" t="s">
        <v>7</v>
      </c>
      <c r="C15" s="67">
        <v>93060.642857142855</v>
      </c>
      <c r="D15" s="67">
        <v>32982.785714285717</v>
      </c>
      <c r="E15" s="67">
        <v>32982.785714285717</v>
      </c>
      <c r="F15" s="67">
        <v>55266.428571428572</v>
      </c>
      <c r="G15" s="68">
        <f t="shared" si="0"/>
        <v>1</v>
      </c>
      <c r="H15" s="68">
        <f t="shared" si="1"/>
        <v>1</v>
      </c>
      <c r="I15" s="68">
        <f t="shared" si="2"/>
        <v>1</v>
      </c>
    </row>
    <row r="16" spans="2:13" ht="16" thickTop="1" x14ac:dyDescent="0.35"/>
  </sheetData>
  <sortState xmlns:xlrd2="http://schemas.microsoft.com/office/spreadsheetml/2017/richdata2" ref="B5:F15">
    <sortCondition ref="C4:C15"/>
    <sortCondition ref="D4:D15"/>
    <sortCondition ref="E4:E15"/>
    <sortCondition ref="F4:F15"/>
  </sortState>
  <mergeCells count="3">
    <mergeCell ref="C2:F2"/>
    <mergeCell ref="G2:I2"/>
    <mergeCell ref="B2:B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AD0E-D829-104D-8C9D-566A7956F250}">
  <dimension ref="A1:D14"/>
  <sheetViews>
    <sheetView showGridLines="0" workbookViewId="0">
      <selection activeCell="H21" sqref="H21"/>
    </sheetView>
  </sheetViews>
  <sheetFormatPr defaultColWidth="10.6640625" defaultRowHeight="15.5" x14ac:dyDescent="0.35"/>
  <cols>
    <col min="2" max="2" width="11.5" bestFit="1" customWidth="1"/>
  </cols>
  <sheetData>
    <row r="1" spans="1:4" ht="31.5" thickBot="1" x14ac:dyDescent="0.4">
      <c r="A1" s="24" t="s">
        <v>20</v>
      </c>
      <c r="B1" s="25" t="s">
        <v>1</v>
      </c>
      <c r="C1" s="25" t="s">
        <v>709</v>
      </c>
      <c r="D1" s="25" t="s">
        <v>22</v>
      </c>
    </row>
    <row r="2" spans="1:4" ht="16" thickTop="1" x14ac:dyDescent="0.35">
      <c r="A2" t="s">
        <v>11</v>
      </c>
      <c r="B2" s="19">
        <v>14533.386252684177</v>
      </c>
      <c r="C2" s="19">
        <v>8169.61397509578</v>
      </c>
      <c r="D2" s="19">
        <v>10463.021377240473</v>
      </c>
    </row>
    <row r="3" spans="1:4" x14ac:dyDescent="0.35">
      <c r="A3" t="s">
        <v>627</v>
      </c>
      <c r="B3" s="19">
        <v>24477.906795498722</v>
      </c>
      <c r="C3" s="19">
        <v>6907.2970747994841</v>
      </c>
      <c r="D3" s="19">
        <v>6907.2970747994841</v>
      </c>
    </row>
    <row r="4" spans="1:4" x14ac:dyDescent="0.35">
      <c r="A4" t="s">
        <v>16</v>
      </c>
      <c r="B4" s="19">
        <v>31229.686081615186</v>
      </c>
      <c r="C4" s="19">
        <v>11563.74068848127</v>
      </c>
      <c r="D4" s="19">
        <v>11563.74068848127</v>
      </c>
    </row>
    <row r="5" spans="1:4" x14ac:dyDescent="0.35">
      <c r="A5" t="s">
        <v>14</v>
      </c>
      <c r="B5" s="19">
        <v>52970.700331827953</v>
      </c>
      <c r="C5" s="19">
        <v>13372.824584970736</v>
      </c>
      <c r="D5" s="19">
        <v>22220.071381525991</v>
      </c>
    </row>
    <row r="6" spans="1:4" x14ac:dyDescent="0.35">
      <c r="A6" t="s">
        <v>17</v>
      </c>
      <c r="B6" s="19">
        <v>59580.751732828212</v>
      </c>
      <c r="C6" s="19">
        <v>20219.040278202618</v>
      </c>
      <c r="D6" s="19">
        <v>33007.232032650747</v>
      </c>
    </row>
    <row r="7" spans="1:4" x14ac:dyDescent="0.35">
      <c r="A7" t="s">
        <v>10</v>
      </c>
      <c r="B7" s="19">
        <v>64845.539785145047</v>
      </c>
      <c r="C7" s="19">
        <v>18834.076953333395</v>
      </c>
      <c r="D7" s="19">
        <v>34325.30692830187</v>
      </c>
    </row>
    <row r="8" spans="1:4" x14ac:dyDescent="0.35">
      <c r="A8" t="s">
        <v>62</v>
      </c>
      <c r="B8" s="19">
        <v>79331.170738927991</v>
      </c>
      <c r="C8" s="19">
        <v>12432.235273541795</v>
      </c>
      <c r="D8" s="19">
        <v>17777.811213578552</v>
      </c>
    </row>
    <row r="9" spans="1:4" x14ac:dyDescent="0.35">
      <c r="A9" t="s">
        <v>12</v>
      </c>
      <c r="B9" s="19">
        <v>101885.31406389004</v>
      </c>
      <c r="C9" s="19">
        <v>15969.844242570172</v>
      </c>
      <c r="D9" s="19">
        <v>36799.407654462222</v>
      </c>
    </row>
    <row r="10" spans="1:4" x14ac:dyDescent="0.35">
      <c r="A10" t="s">
        <v>445</v>
      </c>
      <c r="B10" s="19">
        <v>113171.12352077071</v>
      </c>
      <c r="C10" s="19">
        <v>79791.630452208483</v>
      </c>
      <c r="D10" s="19">
        <v>71997.147887843937</v>
      </c>
    </row>
    <row r="11" spans="1:4" x14ac:dyDescent="0.35">
      <c r="A11" t="s">
        <v>8</v>
      </c>
      <c r="B11" s="19">
        <v>123621.50164805629</v>
      </c>
      <c r="C11" s="19">
        <v>29794.271312864072</v>
      </c>
      <c r="D11" s="19">
        <v>81322.096264865948</v>
      </c>
    </row>
    <row r="12" spans="1:4" x14ac:dyDescent="0.35">
      <c r="A12" t="s">
        <v>15</v>
      </c>
      <c r="B12" s="19">
        <v>142346.77663140156</v>
      </c>
      <c r="C12" s="19">
        <v>62092.360953351905</v>
      </c>
      <c r="D12" s="19">
        <v>70191.328468850479</v>
      </c>
    </row>
    <row r="13" spans="1:4" ht="16" thickBot="1" x14ac:dyDescent="0.4">
      <c r="A13" s="21" t="s">
        <v>7</v>
      </c>
      <c r="B13" s="22">
        <v>148843.33946105826</v>
      </c>
      <c r="C13" s="22">
        <v>52753.428514124666</v>
      </c>
      <c r="D13" s="22">
        <v>88394.401071194443</v>
      </c>
    </row>
    <row r="14" spans="1:4" ht="16" thickTop="1" x14ac:dyDescent="0.35"/>
  </sheetData>
  <sortState xmlns:xlrd2="http://schemas.microsoft.com/office/spreadsheetml/2017/richdata2" ref="A2:D13">
    <sortCondition ref="B2:B13"/>
    <sortCondition ref="C2:C13"/>
    <sortCondition ref="D2:D13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8A3B-EFA8-F54B-B433-9173003DA9DE}">
  <dimension ref="A1:E14"/>
  <sheetViews>
    <sheetView zoomScale="60" zoomScaleNormal="60" workbookViewId="0">
      <selection activeCell="C20" sqref="C20"/>
    </sheetView>
  </sheetViews>
  <sheetFormatPr defaultColWidth="10.6640625" defaultRowHeight="15.5" x14ac:dyDescent="0.35"/>
  <cols>
    <col min="4" max="4" width="0" hidden="1" customWidth="1"/>
  </cols>
  <sheetData>
    <row r="1" spans="1:5" ht="31" x14ac:dyDescent="0.35">
      <c r="A1" s="5" t="s">
        <v>20</v>
      </c>
      <c r="B1" s="6" t="s">
        <v>1</v>
      </c>
      <c r="C1" s="6" t="s">
        <v>709</v>
      </c>
      <c r="D1" s="6" t="s">
        <v>3</v>
      </c>
      <c r="E1" s="6" t="s">
        <v>22</v>
      </c>
    </row>
    <row r="2" spans="1:5" x14ac:dyDescent="0.35">
      <c r="A2" t="s">
        <v>11</v>
      </c>
      <c r="B2" s="58">
        <v>6.2996569407616425</v>
      </c>
      <c r="C2" s="58">
        <v>3.541209494246409</v>
      </c>
      <c r="D2" s="58">
        <v>4.5353122867904796</v>
      </c>
      <c r="E2" s="58">
        <v>4.5353122867904796</v>
      </c>
    </row>
    <row r="3" spans="1:5" x14ac:dyDescent="0.35">
      <c r="A3" t="s">
        <v>17</v>
      </c>
      <c r="B3" s="58">
        <v>8.2057574375735225</v>
      </c>
      <c r="C3" s="58">
        <v>2.784666781101456</v>
      </c>
      <c r="D3" s="58">
        <v>2.784666781101456</v>
      </c>
      <c r="E3" s="58">
        <v>4.5459201481743712</v>
      </c>
    </row>
    <row r="4" spans="1:5" x14ac:dyDescent="0.35">
      <c r="A4" t="s">
        <v>15</v>
      </c>
      <c r="B4" s="58">
        <v>8.6064868909265915</v>
      </c>
      <c r="C4" s="58">
        <v>3.7541917226232284</v>
      </c>
      <c r="D4" s="58">
        <v>2.279447304651077</v>
      </c>
      <c r="E4" s="58">
        <v>4.2438667219572297</v>
      </c>
    </row>
    <row r="5" spans="1:5" x14ac:dyDescent="0.35">
      <c r="A5" t="s">
        <v>627</v>
      </c>
      <c r="B5" s="58">
        <v>10.966575844783526</v>
      </c>
      <c r="C5" s="58">
        <v>3.0946027324186725</v>
      </c>
      <c r="D5" s="58">
        <v>3.0946027324186725</v>
      </c>
      <c r="E5" s="58">
        <v>3.0946027324186725</v>
      </c>
    </row>
    <row r="6" spans="1:5" x14ac:dyDescent="0.35">
      <c r="A6" t="s">
        <v>445</v>
      </c>
      <c r="B6" s="58">
        <v>14.261722672779083</v>
      </c>
      <c r="C6" s="58">
        <v>10.055269133291025</v>
      </c>
      <c r="D6" s="58">
        <v>10.055269133291025</v>
      </c>
      <c r="E6" s="58">
        <v>9.0730154871974875</v>
      </c>
    </row>
    <row r="7" spans="1:5" x14ac:dyDescent="0.35">
      <c r="A7" t="s">
        <v>7</v>
      </c>
      <c r="B7" s="58">
        <v>15.506486064595597</v>
      </c>
      <c r="C7" s="58">
        <v>5.4958475607699731</v>
      </c>
      <c r="D7" s="58">
        <v>5.4958475607699731</v>
      </c>
      <c r="E7" s="58">
        <v>9.2089209591898609</v>
      </c>
    </row>
    <row r="8" spans="1:5" x14ac:dyDescent="0.35">
      <c r="A8" t="s">
        <v>14</v>
      </c>
      <c r="B8" s="58">
        <v>22.331938855784742</v>
      </c>
      <c r="C8" s="58">
        <v>5.6378544948415579</v>
      </c>
      <c r="D8" s="58">
        <v>5.6514875938719058</v>
      </c>
      <c r="E8" s="58">
        <v>9.3677688298422197</v>
      </c>
    </row>
    <row r="9" spans="1:5" x14ac:dyDescent="0.35">
      <c r="A9" t="s">
        <v>16</v>
      </c>
      <c r="B9" s="58">
        <v>25.087705235307453</v>
      </c>
      <c r="C9" s="58">
        <v>9.2894855571710284</v>
      </c>
      <c r="D9" s="58">
        <v>9.2894855571710284</v>
      </c>
      <c r="E9" s="58">
        <v>9.2894855571710284</v>
      </c>
    </row>
    <row r="10" spans="1:5" x14ac:dyDescent="0.35">
      <c r="A10" t="s">
        <v>8</v>
      </c>
      <c r="B10" s="58">
        <v>27.414648014820191</v>
      </c>
      <c r="C10" s="58">
        <v>6.6072604685356993</v>
      </c>
      <c r="D10" s="58">
        <v>6.6072604685356993</v>
      </c>
      <c r="E10" s="58">
        <v>18.03421423625521</v>
      </c>
    </row>
    <row r="11" spans="1:5" x14ac:dyDescent="0.35">
      <c r="A11" t="s">
        <v>62</v>
      </c>
      <c r="B11" s="58">
        <v>28.483155930905522</v>
      </c>
      <c r="C11" s="58">
        <v>4.4636842311496681</v>
      </c>
      <c r="D11" s="58">
        <v>5.1659545352943894</v>
      </c>
      <c r="E11" s="58">
        <v>6.3829660420992953</v>
      </c>
    </row>
    <row r="12" spans="1:5" x14ac:dyDescent="0.35">
      <c r="A12" t="s">
        <v>10</v>
      </c>
      <c r="B12" s="58">
        <v>30.474069514409159</v>
      </c>
      <c r="C12" s="58">
        <v>8.8510477700903536</v>
      </c>
      <c r="D12" s="58">
        <v>8.8510477700903536</v>
      </c>
      <c r="E12" s="58">
        <v>16.131129340620106</v>
      </c>
    </row>
    <row r="13" spans="1:5" ht="16" thickBot="1" x14ac:dyDescent="0.4">
      <c r="A13" s="21" t="s">
        <v>12</v>
      </c>
      <c r="B13" s="58">
        <v>54.442335921177822</v>
      </c>
      <c r="C13" s="58">
        <v>8.5334734731022071</v>
      </c>
      <c r="D13" s="58">
        <v>8.5334734731022071</v>
      </c>
      <c r="E13" s="58">
        <v>19.663733989849391</v>
      </c>
    </row>
    <row r="14" spans="1:5" ht="16" thickTop="1" x14ac:dyDescent="0.35"/>
  </sheetData>
  <sortState xmlns:xlrd2="http://schemas.microsoft.com/office/spreadsheetml/2017/richdata2" ref="A2:E13">
    <sortCondition ref="B2:B13"/>
    <sortCondition ref="C2:C13"/>
    <sortCondition ref="E2:E13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BD4A-EDD3-6A4E-828F-EF509D466F29}">
  <dimension ref="C4:E48"/>
  <sheetViews>
    <sheetView showGridLines="0" topLeftCell="A21" workbookViewId="0">
      <selection activeCell="G44" sqref="G44"/>
    </sheetView>
  </sheetViews>
  <sheetFormatPr defaultColWidth="10.6640625" defaultRowHeight="15.5" x14ac:dyDescent="0.35"/>
  <cols>
    <col min="3" max="3" width="30" style="71" customWidth="1"/>
    <col min="4" max="4" width="22.1640625" style="71" customWidth="1"/>
  </cols>
  <sheetData>
    <row r="4" spans="3:5" x14ac:dyDescent="0.35">
      <c r="C4" s="70" t="s">
        <v>712</v>
      </c>
      <c r="D4" s="70" t="s">
        <v>722</v>
      </c>
      <c r="E4" s="3" t="s">
        <v>713</v>
      </c>
    </row>
    <row r="5" spans="3:5" x14ac:dyDescent="0.35">
      <c r="C5" s="70" t="s">
        <v>714</v>
      </c>
      <c r="D5" s="70" t="s">
        <v>717</v>
      </c>
      <c r="E5" s="3">
        <v>1.9</v>
      </c>
    </row>
    <row r="6" spans="3:5" x14ac:dyDescent="0.35">
      <c r="C6" s="70" t="s">
        <v>715</v>
      </c>
      <c r="D6" s="70" t="s">
        <v>717</v>
      </c>
      <c r="E6" s="3">
        <v>1.5</v>
      </c>
    </row>
    <row r="7" spans="3:5" x14ac:dyDescent="0.35">
      <c r="C7" s="70" t="s">
        <v>716</v>
      </c>
      <c r="D7" s="70" t="s">
        <v>717</v>
      </c>
      <c r="E7" s="3">
        <v>0.9</v>
      </c>
    </row>
    <row r="8" spans="3:5" ht="31" x14ac:dyDescent="0.35">
      <c r="C8" s="70" t="s">
        <v>714</v>
      </c>
      <c r="D8" s="70" t="s">
        <v>718</v>
      </c>
      <c r="E8" s="3">
        <v>2.7</v>
      </c>
    </row>
    <row r="9" spans="3:5" ht="31" x14ac:dyDescent="0.35">
      <c r="C9" s="70" t="s">
        <v>715</v>
      </c>
      <c r="D9" s="70" t="s">
        <v>718</v>
      </c>
      <c r="E9" s="3">
        <v>2.2000000000000002</v>
      </c>
    </row>
    <row r="10" spans="3:5" ht="31" x14ac:dyDescent="0.35">
      <c r="C10" s="70" t="s">
        <v>716</v>
      </c>
      <c r="D10" s="70" t="s">
        <v>718</v>
      </c>
      <c r="E10" s="3">
        <v>1.3</v>
      </c>
    </row>
    <row r="11" spans="3:5" ht="31" x14ac:dyDescent="0.35">
      <c r="C11" s="70" t="s">
        <v>714</v>
      </c>
      <c r="D11" s="70" t="s">
        <v>719</v>
      </c>
      <c r="E11" s="3">
        <v>5.0999999999999996</v>
      </c>
    </row>
    <row r="12" spans="3:5" ht="31" x14ac:dyDescent="0.35">
      <c r="C12" s="70" t="s">
        <v>715</v>
      </c>
      <c r="D12" s="70" t="s">
        <v>719</v>
      </c>
      <c r="E12" s="3">
        <v>4.2</v>
      </c>
    </row>
    <row r="13" spans="3:5" ht="31" x14ac:dyDescent="0.35">
      <c r="C13" s="70" t="s">
        <v>716</v>
      </c>
      <c r="D13" s="70" t="s">
        <v>719</v>
      </c>
      <c r="E13" s="3">
        <v>2.4</v>
      </c>
    </row>
    <row r="14" spans="3:5" x14ac:dyDescent="0.35">
      <c r="C14" s="70" t="s">
        <v>714</v>
      </c>
      <c r="D14" s="70" t="s">
        <v>720</v>
      </c>
      <c r="E14" s="3">
        <v>7.8</v>
      </c>
    </row>
    <row r="15" spans="3:5" x14ac:dyDescent="0.35">
      <c r="C15" s="70" t="s">
        <v>715</v>
      </c>
      <c r="D15" s="70" t="s">
        <v>720</v>
      </c>
      <c r="E15" s="3">
        <v>6.4</v>
      </c>
    </row>
    <row r="16" spans="3:5" x14ac:dyDescent="0.35">
      <c r="C16" s="70" t="s">
        <v>716</v>
      </c>
      <c r="D16" s="70" t="s">
        <v>720</v>
      </c>
      <c r="E16" s="3">
        <v>3.7</v>
      </c>
    </row>
    <row r="17" spans="3:5" x14ac:dyDescent="0.35">
      <c r="C17" s="70" t="s">
        <v>714</v>
      </c>
      <c r="D17" s="70" t="s">
        <v>721</v>
      </c>
      <c r="E17" s="3">
        <v>4.4000000000000004</v>
      </c>
    </row>
    <row r="18" spans="3:5" x14ac:dyDescent="0.35">
      <c r="C18" s="70" t="s">
        <v>715</v>
      </c>
      <c r="D18" s="70" t="s">
        <v>721</v>
      </c>
      <c r="E18" s="3">
        <v>3.6</v>
      </c>
    </row>
    <row r="19" spans="3:5" x14ac:dyDescent="0.35">
      <c r="C19" s="70" t="s">
        <v>716</v>
      </c>
      <c r="D19" s="70" t="s">
        <v>721</v>
      </c>
      <c r="E19" s="3">
        <v>2.1</v>
      </c>
    </row>
    <row r="27" spans="3:5" ht="42" x14ac:dyDescent="0.5">
      <c r="C27" s="72" t="s">
        <v>722</v>
      </c>
      <c r="D27" s="75" t="s">
        <v>723</v>
      </c>
    </row>
    <row r="28" spans="3:5" ht="21" x14ac:dyDescent="0.5">
      <c r="C28" s="73" t="s">
        <v>721</v>
      </c>
      <c r="D28" s="76">
        <v>3.3666666666666667</v>
      </c>
    </row>
    <row r="29" spans="3:5" ht="21" x14ac:dyDescent="0.5">
      <c r="C29" s="73" t="s">
        <v>714</v>
      </c>
      <c r="D29" s="76">
        <v>4.4000000000000004</v>
      </c>
    </row>
    <row r="30" spans="3:5" ht="21" x14ac:dyDescent="0.5">
      <c r="C30" s="73" t="s">
        <v>715</v>
      </c>
      <c r="D30" s="76">
        <v>3.6</v>
      </c>
    </row>
    <row r="31" spans="3:5" ht="21" x14ac:dyDescent="0.5">
      <c r="C31" s="73" t="s">
        <v>716</v>
      </c>
      <c r="D31" s="76">
        <v>2.1</v>
      </c>
    </row>
    <row r="32" spans="3:5" ht="21" x14ac:dyDescent="0.5">
      <c r="C32" s="73" t="s">
        <v>717</v>
      </c>
      <c r="D32" s="76">
        <v>1.4333333333333333</v>
      </c>
    </row>
    <row r="33" spans="3:4" ht="21" x14ac:dyDescent="0.5">
      <c r="C33" s="73" t="s">
        <v>714</v>
      </c>
      <c r="D33" s="76">
        <v>1.9</v>
      </c>
    </row>
    <row r="34" spans="3:4" ht="21" x14ac:dyDescent="0.5">
      <c r="C34" s="73" t="s">
        <v>715</v>
      </c>
      <c r="D34" s="76">
        <v>1.5</v>
      </c>
    </row>
    <row r="35" spans="3:4" ht="21" x14ac:dyDescent="0.5">
      <c r="C35" s="73" t="s">
        <v>716</v>
      </c>
      <c r="D35" s="76">
        <v>0.9</v>
      </c>
    </row>
    <row r="36" spans="3:4" ht="42" x14ac:dyDescent="0.5">
      <c r="C36" s="73" t="s">
        <v>719</v>
      </c>
      <c r="D36" s="76">
        <v>3.9000000000000004</v>
      </c>
    </row>
    <row r="37" spans="3:4" ht="21" x14ac:dyDescent="0.5">
      <c r="C37" s="73" t="s">
        <v>714</v>
      </c>
      <c r="D37" s="76">
        <v>5.0999999999999996</v>
      </c>
    </row>
    <row r="38" spans="3:4" ht="21" x14ac:dyDescent="0.5">
      <c r="C38" s="73" t="s">
        <v>715</v>
      </c>
      <c r="D38" s="76">
        <v>4.2</v>
      </c>
    </row>
    <row r="39" spans="3:4" ht="21" x14ac:dyDescent="0.5">
      <c r="C39" s="73" t="s">
        <v>716</v>
      </c>
      <c r="D39" s="76">
        <v>2.4</v>
      </c>
    </row>
    <row r="40" spans="3:4" ht="42" x14ac:dyDescent="0.5">
      <c r="C40" s="73" t="s">
        <v>720</v>
      </c>
      <c r="D40" s="76">
        <v>5.9666666666666659</v>
      </c>
    </row>
    <row r="41" spans="3:4" ht="21" x14ac:dyDescent="0.5">
      <c r="C41" s="73" t="s">
        <v>714</v>
      </c>
      <c r="D41" s="76">
        <v>7.8</v>
      </c>
    </row>
    <row r="42" spans="3:4" ht="21" x14ac:dyDescent="0.5">
      <c r="C42" s="73" t="s">
        <v>715</v>
      </c>
      <c r="D42" s="76">
        <v>6.4</v>
      </c>
    </row>
    <row r="43" spans="3:4" ht="21" x14ac:dyDescent="0.5">
      <c r="C43" s="73" t="s">
        <v>716</v>
      </c>
      <c r="D43" s="76">
        <v>3.7</v>
      </c>
    </row>
    <row r="44" spans="3:4" ht="42" x14ac:dyDescent="0.5">
      <c r="C44" s="73" t="s">
        <v>718</v>
      </c>
      <c r="D44" s="76">
        <v>2.0666666666666669</v>
      </c>
    </row>
    <row r="45" spans="3:4" ht="21" x14ac:dyDescent="0.5">
      <c r="C45" s="73" t="s">
        <v>714</v>
      </c>
      <c r="D45" s="76">
        <v>2.7</v>
      </c>
    </row>
    <row r="46" spans="3:4" ht="21" x14ac:dyDescent="0.5">
      <c r="C46" s="73" t="s">
        <v>715</v>
      </c>
      <c r="D46" s="76">
        <v>2.2000000000000002</v>
      </c>
    </row>
    <row r="47" spans="3:4" ht="21.5" thickBot="1" x14ac:dyDescent="0.55000000000000004">
      <c r="C47" s="74" t="s">
        <v>716</v>
      </c>
      <c r="D47" s="77">
        <v>1.3</v>
      </c>
    </row>
    <row r="48" spans="3:4" ht="16" thickTop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82D4-F9AC-8C4F-B637-F16C49CB841A}">
  <sheetPr>
    <pageSetUpPr fitToPage="1"/>
  </sheetPr>
  <dimension ref="A1:ARZ1729"/>
  <sheetViews>
    <sheetView topLeftCell="M1" workbookViewId="0">
      <selection activeCell="W5" sqref="W5:Z17"/>
    </sheetView>
  </sheetViews>
  <sheetFormatPr defaultColWidth="11.5" defaultRowHeight="15.75" customHeight="1" x14ac:dyDescent="0.35"/>
  <cols>
    <col min="1" max="1" width="86.1640625" style="78" customWidth="1"/>
    <col min="2" max="3" width="26.6640625" style="78" customWidth="1"/>
    <col min="4" max="5" width="11.5" style="78" customWidth="1"/>
    <col min="6" max="6" width="12.6640625" style="78" customWidth="1"/>
    <col min="7" max="7" width="15.83203125" style="78" customWidth="1"/>
    <col min="8" max="8" width="25.5" style="78" customWidth="1"/>
    <col min="9" max="9" width="17.1640625" style="78" customWidth="1"/>
    <col min="10" max="10" width="42" style="78" customWidth="1"/>
    <col min="11" max="11" width="29.1640625" style="78" customWidth="1"/>
    <col min="12" max="12" width="19.5" style="78" customWidth="1"/>
    <col min="13" max="13" width="41" style="78" customWidth="1"/>
    <col min="14" max="14" width="18.33203125" style="78" customWidth="1"/>
    <col min="15" max="22" width="11.5" style="78" customWidth="1"/>
    <col min="23" max="23" width="55.33203125" style="103" bestFit="1" customWidth="1"/>
    <col min="24" max="1014" width="11.5" style="78" customWidth="1"/>
    <col min="1015" max="1170" width="11.5" style="78" hidden="1" customWidth="1"/>
    <col min="1171" max="16384" width="11.5" style="78"/>
  </cols>
  <sheetData>
    <row r="1" spans="1:1170" ht="15.75" customHeight="1" x14ac:dyDescent="0.35">
      <c r="A1" s="125" t="s">
        <v>813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79"/>
      <c r="P1" s="79"/>
      <c r="Q1" s="79"/>
      <c r="R1" s="79"/>
      <c r="S1" s="79"/>
      <c r="T1" s="79"/>
      <c r="U1" s="79"/>
      <c r="V1" s="79"/>
      <c r="W1" s="102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M1" s="79"/>
      <c r="HN1" s="79"/>
      <c r="HO1" s="79"/>
      <c r="HP1" s="79"/>
      <c r="HQ1" s="79"/>
      <c r="HR1" s="79"/>
      <c r="HS1" s="79"/>
      <c r="HT1" s="79"/>
      <c r="HU1" s="79"/>
      <c r="HV1" s="79"/>
      <c r="HW1" s="79"/>
      <c r="HX1" s="79"/>
      <c r="HY1" s="79"/>
      <c r="HZ1" s="79"/>
      <c r="IA1" s="79"/>
      <c r="IB1" s="79"/>
      <c r="IC1" s="79"/>
      <c r="ID1" s="79"/>
      <c r="IE1" s="79"/>
      <c r="IF1" s="79"/>
      <c r="IG1" s="79"/>
      <c r="IH1" s="79"/>
      <c r="II1" s="79"/>
      <c r="IJ1" s="79"/>
      <c r="IK1" s="79"/>
      <c r="IL1" s="79"/>
      <c r="IM1" s="79"/>
      <c r="IN1" s="79"/>
      <c r="IO1" s="79"/>
      <c r="IP1" s="79"/>
      <c r="IQ1" s="79"/>
      <c r="IR1" s="79"/>
      <c r="IS1" s="79"/>
      <c r="IT1" s="79"/>
      <c r="IU1" s="79"/>
      <c r="IV1" s="79"/>
      <c r="IW1" s="79"/>
      <c r="IX1" s="79"/>
      <c r="IY1" s="79"/>
      <c r="IZ1" s="79"/>
      <c r="JA1" s="79"/>
      <c r="JB1" s="79"/>
      <c r="JC1" s="79"/>
      <c r="JD1" s="79"/>
      <c r="JE1" s="79"/>
      <c r="JF1" s="79"/>
      <c r="JG1" s="79"/>
      <c r="JH1" s="79"/>
      <c r="JI1" s="79"/>
      <c r="JJ1" s="79"/>
      <c r="JK1" s="79"/>
      <c r="JL1" s="79"/>
      <c r="JM1" s="79"/>
      <c r="JN1" s="79"/>
      <c r="JO1" s="79"/>
      <c r="JP1" s="79"/>
      <c r="JQ1" s="79"/>
      <c r="JR1" s="79"/>
      <c r="JS1" s="79"/>
      <c r="JT1" s="79"/>
      <c r="JU1" s="79"/>
      <c r="JV1" s="79"/>
      <c r="JW1" s="79"/>
      <c r="JX1" s="79"/>
      <c r="JY1" s="79"/>
      <c r="JZ1" s="79"/>
      <c r="KA1" s="79"/>
      <c r="KB1" s="79"/>
      <c r="KC1" s="79"/>
      <c r="KD1" s="79"/>
      <c r="KE1" s="79"/>
      <c r="KF1" s="79"/>
      <c r="KG1" s="79"/>
      <c r="KH1" s="79"/>
      <c r="KI1" s="79"/>
      <c r="KJ1" s="79"/>
      <c r="KK1" s="79"/>
      <c r="KL1" s="79"/>
      <c r="KM1" s="79"/>
      <c r="KN1" s="79"/>
      <c r="KO1" s="79"/>
      <c r="KP1" s="79"/>
      <c r="KQ1" s="79"/>
      <c r="KR1" s="79"/>
      <c r="KS1" s="79"/>
      <c r="KT1" s="79"/>
      <c r="KU1" s="79"/>
      <c r="KV1" s="79"/>
      <c r="KW1" s="79"/>
      <c r="KX1" s="79"/>
      <c r="KY1" s="79"/>
      <c r="KZ1" s="79"/>
      <c r="LA1" s="79"/>
      <c r="LB1" s="79"/>
      <c r="LC1" s="79"/>
      <c r="LD1" s="79"/>
      <c r="LE1" s="79"/>
      <c r="LF1" s="79"/>
      <c r="LG1" s="79"/>
      <c r="LH1" s="79"/>
      <c r="LI1" s="79"/>
      <c r="LJ1" s="79"/>
      <c r="LK1" s="79"/>
      <c r="LL1" s="79"/>
      <c r="LM1" s="79"/>
      <c r="LN1" s="79"/>
      <c r="LO1" s="79"/>
      <c r="LP1" s="79"/>
      <c r="LQ1" s="79"/>
      <c r="LR1" s="79"/>
      <c r="LS1" s="79"/>
      <c r="LT1" s="79"/>
      <c r="LU1" s="79"/>
      <c r="LV1" s="79"/>
      <c r="LW1" s="79"/>
      <c r="LX1" s="79"/>
      <c r="LY1" s="79"/>
      <c r="LZ1" s="79"/>
      <c r="MA1" s="79"/>
      <c r="MB1" s="79"/>
      <c r="MC1" s="79"/>
      <c r="MD1" s="79"/>
      <c r="ME1" s="79"/>
      <c r="MF1" s="79"/>
      <c r="MG1" s="79"/>
      <c r="MH1" s="79"/>
      <c r="MI1" s="79"/>
      <c r="MJ1" s="79"/>
      <c r="MK1" s="79"/>
      <c r="ML1" s="79"/>
      <c r="MM1" s="79"/>
      <c r="MN1" s="79"/>
      <c r="MO1" s="79"/>
      <c r="MP1" s="79"/>
      <c r="MQ1" s="79"/>
      <c r="MR1" s="79"/>
      <c r="MS1" s="79"/>
      <c r="MT1" s="79"/>
      <c r="MU1" s="79"/>
      <c r="MV1" s="79"/>
      <c r="MW1" s="79"/>
      <c r="MX1" s="79"/>
      <c r="MY1" s="79"/>
      <c r="MZ1" s="79"/>
      <c r="NA1" s="79"/>
      <c r="NB1" s="79"/>
      <c r="NC1" s="79"/>
      <c r="ND1" s="79"/>
      <c r="NE1" s="79"/>
      <c r="NF1" s="79"/>
      <c r="NG1" s="79"/>
      <c r="NH1" s="79"/>
      <c r="NI1" s="79"/>
      <c r="NJ1" s="79"/>
      <c r="NK1" s="79"/>
      <c r="NL1" s="79"/>
      <c r="NM1" s="79"/>
      <c r="NN1" s="79"/>
      <c r="NO1" s="79"/>
      <c r="NP1" s="79"/>
      <c r="NQ1" s="79"/>
      <c r="NR1" s="79"/>
      <c r="NS1" s="79"/>
      <c r="NT1" s="79"/>
      <c r="NU1" s="79"/>
      <c r="NV1" s="79"/>
      <c r="NW1" s="79"/>
      <c r="NX1" s="79"/>
      <c r="NY1" s="79"/>
      <c r="NZ1" s="79"/>
      <c r="OA1" s="79"/>
      <c r="OB1" s="79"/>
      <c r="OC1" s="79"/>
      <c r="OD1" s="79"/>
      <c r="OE1" s="79"/>
      <c r="OF1" s="79"/>
      <c r="OG1" s="79"/>
      <c r="OH1" s="79"/>
      <c r="OI1" s="79"/>
      <c r="OJ1" s="79"/>
      <c r="OK1" s="79"/>
      <c r="OL1" s="79"/>
      <c r="OM1" s="79"/>
      <c r="ON1" s="79"/>
      <c r="OO1" s="79"/>
      <c r="OP1" s="79"/>
      <c r="OQ1" s="79"/>
      <c r="OR1" s="79"/>
      <c r="OS1" s="79"/>
      <c r="OT1" s="79"/>
      <c r="OU1" s="79"/>
      <c r="OV1" s="79"/>
      <c r="OW1" s="79"/>
      <c r="OX1" s="79"/>
      <c r="OY1" s="79"/>
      <c r="OZ1" s="79"/>
      <c r="PA1" s="79"/>
      <c r="PB1" s="79"/>
      <c r="PC1" s="79"/>
      <c r="PD1" s="79"/>
      <c r="PE1" s="79"/>
      <c r="PF1" s="79"/>
      <c r="PG1" s="79"/>
      <c r="PH1" s="79"/>
      <c r="PI1" s="79"/>
      <c r="PJ1" s="79"/>
      <c r="PK1" s="79"/>
      <c r="PL1" s="79"/>
      <c r="PM1" s="79"/>
      <c r="PN1" s="79"/>
      <c r="PO1" s="79"/>
      <c r="PP1" s="79"/>
      <c r="PQ1" s="79"/>
      <c r="PR1" s="79"/>
      <c r="PS1" s="79"/>
      <c r="PT1" s="79"/>
      <c r="PU1" s="79"/>
      <c r="PV1" s="79"/>
      <c r="PW1" s="79"/>
      <c r="PX1" s="79"/>
      <c r="PY1" s="79"/>
      <c r="PZ1" s="79"/>
      <c r="QA1" s="79"/>
      <c r="QB1" s="79"/>
      <c r="QC1" s="79"/>
      <c r="QD1" s="79"/>
      <c r="QE1" s="79"/>
      <c r="QF1" s="79"/>
      <c r="QG1" s="79"/>
      <c r="QH1" s="79"/>
      <c r="QI1" s="79"/>
      <c r="QJ1" s="79"/>
      <c r="QK1" s="79"/>
      <c r="QL1" s="79"/>
      <c r="QM1" s="79"/>
      <c r="QN1" s="79"/>
      <c r="QO1" s="79"/>
      <c r="QP1" s="79"/>
      <c r="QQ1" s="79"/>
      <c r="QR1" s="79"/>
      <c r="QS1" s="79"/>
      <c r="QT1" s="79"/>
      <c r="QU1" s="79"/>
      <c r="QV1" s="79"/>
      <c r="QW1" s="79"/>
      <c r="QX1" s="79"/>
      <c r="QY1" s="79"/>
      <c r="QZ1" s="79"/>
      <c r="RA1" s="79"/>
      <c r="RB1" s="79"/>
      <c r="RC1" s="79"/>
      <c r="RD1" s="79"/>
      <c r="RE1" s="79"/>
      <c r="RF1" s="79"/>
      <c r="RG1" s="79"/>
      <c r="RH1" s="79"/>
      <c r="RI1" s="79"/>
      <c r="RJ1" s="79"/>
      <c r="RK1" s="79"/>
      <c r="RL1" s="79"/>
      <c r="RM1" s="79"/>
      <c r="RN1" s="79"/>
      <c r="RO1" s="79"/>
      <c r="RP1" s="79"/>
      <c r="RQ1" s="79"/>
      <c r="RR1" s="79"/>
      <c r="RS1" s="79"/>
      <c r="RT1" s="79"/>
      <c r="RU1" s="79"/>
      <c r="RV1" s="79"/>
      <c r="RW1" s="79"/>
      <c r="RX1" s="79"/>
      <c r="RY1" s="79"/>
      <c r="RZ1" s="79"/>
      <c r="SA1" s="79"/>
      <c r="SB1" s="79"/>
      <c r="SC1" s="79"/>
      <c r="SD1" s="79"/>
      <c r="SE1" s="79"/>
      <c r="SF1" s="79"/>
      <c r="SG1" s="79"/>
      <c r="SH1" s="79"/>
      <c r="SI1" s="79"/>
      <c r="SJ1" s="79"/>
      <c r="SK1" s="79"/>
      <c r="SL1" s="79"/>
      <c r="SM1" s="79"/>
      <c r="SN1" s="79"/>
      <c r="SO1" s="79"/>
      <c r="SP1" s="79"/>
      <c r="SQ1" s="79"/>
      <c r="SR1" s="79"/>
      <c r="SS1" s="79"/>
      <c r="ST1" s="79"/>
      <c r="SU1" s="79"/>
      <c r="SV1" s="79"/>
      <c r="SW1" s="79"/>
      <c r="SX1" s="79"/>
      <c r="SY1" s="79"/>
      <c r="SZ1" s="79"/>
      <c r="TA1" s="79"/>
      <c r="TB1" s="79"/>
      <c r="TC1" s="79"/>
      <c r="TD1" s="79"/>
      <c r="TE1" s="79"/>
      <c r="TF1" s="79"/>
      <c r="TG1" s="79"/>
      <c r="TH1" s="79"/>
      <c r="TI1" s="79"/>
      <c r="TJ1" s="79"/>
      <c r="TK1" s="79"/>
      <c r="TL1" s="79"/>
      <c r="TM1" s="79"/>
      <c r="TN1" s="79"/>
      <c r="TO1" s="79"/>
      <c r="TP1" s="79"/>
      <c r="TQ1" s="79"/>
      <c r="TR1" s="79"/>
      <c r="TS1" s="79"/>
      <c r="TT1" s="79"/>
      <c r="TU1" s="79"/>
      <c r="TV1" s="79"/>
      <c r="TW1" s="79"/>
      <c r="TX1" s="79"/>
      <c r="TY1" s="79"/>
      <c r="TZ1" s="79"/>
      <c r="UA1" s="79"/>
      <c r="UB1" s="79"/>
      <c r="UC1" s="79"/>
      <c r="UD1" s="79"/>
      <c r="UE1" s="79"/>
      <c r="UF1" s="79"/>
      <c r="UG1" s="79"/>
      <c r="UH1" s="79"/>
      <c r="UI1" s="79"/>
      <c r="UJ1" s="79"/>
      <c r="UK1" s="79"/>
      <c r="UL1" s="79"/>
      <c r="UM1" s="79"/>
      <c r="UN1" s="79"/>
      <c r="UO1" s="79"/>
      <c r="UP1" s="79"/>
      <c r="UQ1" s="79"/>
      <c r="UR1" s="79"/>
      <c r="US1" s="79"/>
      <c r="UT1" s="79"/>
      <c r="UU1" s="79"/>
      <c r="UV1" s="79"/>
      <c r="UW1" s="79"/>
      <c r="UX1" s="79"/>
      <c r="UY1" s="79"/>
      <c r="UZ1" s="79"/>
      <c r="VA1" s="79"/>
      <c r="VB1" s="79"/>
      <c r="VC1" s="79"/>
      <c r="VD1" s="79"/>
      <c r="VE1" s="79"/>
      <c r="VF1" s="79"/>
      <c r="VG1" s="79"/>
      <c r="VH1" s="79"/>
      <c r="VI1" s="79"/>
      <c r="VJ1" s="79"/>
      <c r="VK1" s="79"/>
      <c r="VL1" s="79"/>
      <c r="VM1" s="79"/>
      <c r="VN1" s="79"/>
      <c r="VO1" s="79"/>
      <c r="VP1" s="79"/>
      <c r="VQ1" s="79"/>
      <c r="VR1" s="79"/>
      <c r="VS1" s="79"/>
      <c r="VT1" s="79"/>
      <c r="VU1" s="79"/>
      <c r="VV1" s="79"/>
      <c r="VW1" s="79"/>
      <c r="VX1" s="79"/>
      <c r="VY1" s="79"/>
      <c r="VZ1" s="79"/>
      <c r="WA1" s="79"/>
      <c r="WB1" s="79"/>
      <c r="WC1" s="79"/>
      <c r="WD1" s="79"/>
      <c r="WE1" s="79"/>
      <c r="WF1" s="79"/>
      <c r="WG1" s="79"/>
      <c r="WH1" s="79"/>
      <c r="WI1" s="79"/>
      <c r="WJ1" s="79"/>
      <c r="WK1" s="79"/>
      <c r="WL1" s="79"/>
      <c r="WM1" s="79"/>
      <c r="WN1" s="79"/>
      <c r="WO1" s="79"/>
      <c r="WP1" s="79"/>
      <c r="WQ1" s="79"/>
      <c r="WR1" s="79"/>
      <c r="WS1" s="79"/>
      <c r="WT1" s="79"/>
      <c r="WU1" s="79"/>
      <c r="WV1" s="79"/>
      <c r="WW1" s="79"/>
      <c r="WX1" s="79"/>
      <c r="WY1" s="79"/>
      <c r="WZ1" s="79"/>
      <c r="XA1" s="79"/>
      <c r="XB1" s="79"/>
      <c r="XC1" s="79"/>
      <c r="XD1" s="79"/>
      <c r="XE1" s="79"/>
      <c r="XF1" s="79"/>
      <c r="XG1" s="79"/>
      <c r="XH1" s="79"/>
      <c r="XI1" s="79"/>
      <c r="XJ1" s="79"/>
      <c r="XK1" s="79"/>
      <c r="XL1" s="79"/>
      <c r="XM1" s="79"/>
      <c r="XN1" s="79"/>
      <c r="XO1" s="79"/>
      <c r="XP1" s="79"/>
      <c r="XQ1" s="79"/>
      <c r="XR1" s="79"/>
      <c r="XS1" s="79"/>
      <c r="XT1" s="79"/>
      <c r="XU1" s="79"/>
      <c r="XV1" s="79"/>
      <c r="XW1" s="79"/>
      <c r="XX1" s="79"/>
      <c r="XY1" s="79"/>
      <c r="XZ1" s="79"/>
      <c r="YA1" s="79"/>
      <c r="YB1" s="79"/>
      <c r="YC1" s="79"/>
      <c r="YD1" s="79"/>
      <c r="YE1" s="79"/>
      <c r="YF1" s="79"/>
      <c r="YG1" s="79"/>
      <c r="YH1" s="79"/>
      <c r="YI1" s="79"/>
      <c r="YJ1" s="79"/>
      <c r="YK1" s="79"/>
      <c r="YL1" s="79"/>
      <c r="YM1" s="79"/>
      <c r="YN1" s="79"/>
      <c r="YO1" s="79"/>
      <c r="YP1" s="79"/>
      <c r="YQ1" s="79"/>
      <c r="YR1" s="79"/>
      <c r="YS1" s="79"/>
      <c r="YT1" s="79"/>
      <c r="YU1" s="79"/>
      <c r="YV1" s="79"/>
      <c r="YW1" s="79"/>
      <c r="YX1" s="79"/>
      <c r="YY1" s="79"/>
      <c r="YZ1" s="79"/>
      <c r="ZA1" s="79"/>
      <c r="ZB1" s="79"/>
      <c r="ZC1" s="79"/>
      <c r="ZD1" s="79"/>
      <c r="ZE1" s="79"/>
      <c r="ZF1" s="79"/>
      <c r="ZG1" s="79"/>
      <c r="ZH1" s="79"/>
      <c r="ZI1" s="79"/>
      <c r="ZJ1" s="79"/>
      <c r="ZK1" s="79"/>
      <c r="ZL1" s="79"/>
      <c r="ZM1" s="79"/>
      <c r="ZN1" s="79"/>
      <c r="ZO1" s="79"/>
      <c r="ZP1" s="79"/>
      <c r="ZQ1" s="79"/>
      <c r="ZR1" s="79"/>
      <c r="ZS1" s="79"/>
      <c r="ZT1" s="79"/>
      <c r="ZU1" s="79"/>
      <c r="ZV1" s="79"/>
      <c r="ZW1" s="79"/>
      <c r="ZX1" s="79"/>
      <c r="ZY1" s="79"/>
      <c r="ZZ1" s="79"/>
      <c r="AAA1" s="79"/>
      <c r="AAB1" s="79"/>
      <c r="AAC1" s="79"/>
      <c r="AAD1" s="79"/>
      <c r="AAE1" s="79"/>
      <c r="AAF1" s="79"/>
      <c r="AAG1" s="79"/>
      <c r="AAH1" s="79"/>
      <c r="AAI1" s="79"/>
      <c r="AAJ1" s="79"/>
      <c r="AAK1" s="79"/>
      <c r="AAL1" s="79"/>
      <c r="AAM1" s="79"/>
      <c r="AAN1" s="79"/>
      <c r="AAO1" s="79"/>
      <c r="AAP1" s="79"/>
      <c r="AAQ1" s="79"/>
      <c r="AAR1" s="79"/>
      <c r="AAS1" s="79"/>
      <c r="AAT1" s="79"/>
      <c r="AAU1" s="79"/>
      <c r="AAV1" s="79"/>
      <c r="AAW1" s="79"/>
      <c r="AAX1" s="79"/>
      <c r="AAY1" s="79"/>
      <c r="AAZ1" s="79"/>
      <c r="ABA1" s="79"/>
      <c r="ABB1" s="79"/>
      <c r="ABC1" s="79"/>
      <c r="ABD1" s="79"/>
      <c r="ABE1" s="79"/>
      <c r="ABF1" s="79"/>
      <c r="ABG1" s="79"/>
      <c r="ABH1" s="79"/>
      <c r="ABI1" s="79"/>
      <c r="ABJ1" s="79"/>
      <c r="ABK1" s="79"/>
      <c r="ABL1" s="79"/>
      <c r="ABM1" s="79"/>
      <c r="ABN1" s="79"/>
      <c r="ABO1" s="79"/>
      <c r="ABP1" s="79"/>
      <c r="ABQ1" s="79"/>
      <c r="ABR1" s="79"/>
      <c r="ABS1" s="79"/>
      <c r="ABT1" s="79"/>
      <c r="ABU1" s="79"/>
      <c r="ABV1" s="79"/>
      <c r="ABW1" s="79"/>
      <c r="ABX1" s="79"/>
      <c r="ABY1" s="79"/>
      <c r="ABZ1" s="79"/>
      <c r="ACA1" s="79"/>
      <c r="ACB1" s="79"/>
      <c r="ACC1" s="79"/>
      <c r="ACD1" s="79"/>
      <c r="ACE1" s="79"/>
      <c r="ACF1" s="79"/>
      <c r="ACG1" s="79"/>
      <c r="ACH1" s="79"/>
      <c r="ACI1" s="79"/>
      <c r="ACJ1" s="79"/>
      <c r="ACK1" s="79"/>
      <c r="ACL1" s="79"/>
      <c r="ACM1" s="79"/>
      <c r="ACN1" s="79"/>
      <c r="ACO1" s="79"/>
      <c r="ACP1" s="79"/>
      <c r="ACQ1" s="79"/>
      <c r="ACR1" s="79"/>
      <c r="ACS1" s="79"/>
      <c r="ACT1" s="79"/>
      <c r="ACU1" s="79"/>
      <c r="ACV1" s="79"/>
      <c r="ACW1" s="79"/>
      <c r="ACX1" s="79"/>
      <c r="ACY1" s="79"/>
      <c r="ACZ1" s="79"/>
      <c r="ADA1" s="79"/>
      <c r="ADB1" s="79"/>
      <c r="ADC1" s="79"/>
      <c r="ADD1" s="79"/>
      <c r="ADE1" s="79"/>
      <c r="ADF1" s="79"/>
      <c r="ADG1" s="79"/>
      <c r="ADH1" s="79"/>
      <c r="ADI1" s="79"/>
      <c r="ADJ1" s="79"/>
      <c r="ADK1" s="79"/>
      <c r="ADL1" s="79"/>
      <c r="ADM1" s="79"/>
      <c r="ADN1" s="79"/>
      <c r="ADO1" s="79"/>
      <c r="ADP1" s="79"/>
      <c r="ADQ1" s="79"/>
      <c r="ADR1" s="79"/>
      <c r="ADS1" s="79"/>
      <c r="ADT1" s="79"/>
      <c r="ADU1" s="79"/>
      <c r="ADV1" s="79"/>
      <c r="ADW1" s="79"/>
      <c r="ADX1" s="79"/>
      <c r="ADY1" s="79"/>
      <c r="ADZ1" s="79"/>
      <c r="AEA1" s="79"/>
      <c r="AEB1" s="79"/>
      <c r="AEC1" s="79"/>
      <c r="AED1" s="79"/>
      <c r="AEE1" s="79"/>
      <c r="AEF1" s="79"/>
      <c r="AEG1" s="79"/>
      <c r="AEH1" s="79"/>
      <c r="AEI1" s="79"/>
      <c r="AEJ1" s="79"/>
      <c r="AEK1" s="79"/>
      <c r="AEL1" s="79"/>
      <c r="AEM1" s="79"/>
      <c r="AEN1" s="79"/>
      <c r="AEO1" s="79"/>
      <c r="AEP1" s="79"/>
      <c r="AEQ1" s="79"/>
      <c r="AER1" s="79"/>
      <c r="AES1" s="79"/>
      <c r="AET1" s="79"/>
      <c r="AEU1" s="79"/>
      <c r="AEV1" s="79"/>
      <c r="AEW1" s="79"/>
      <c r="AEX1" s="79"/>
      <c r="AEY1" s="79"/>
      <c r="AEZ1" s="79"/>
      <c r="AFA1" s="79"/>
      <c r="AFB1" s="79"/>
      <c r="AFC1" s="79"/>
      <c r="AFD1" s="79"/>
      <c r="AFE1" s="79"/>
      <c r="AFF1" s="79"/>
      <c r="AFG1" s="79"/>
      <c r="AFH1" s="79"/>
      <c r="AFI1" s="79"/>
      <c r="AFJ1" s="79"/>
      <c r="AFK1" s="79"/>
      <c r="AFL1" s="79"/>
      <c r="AFM1" s="79"/>
      <c r="AFN1" s="79"/>
      <c r="AFO1" s="79"/>
      <c r="AFP1" s="79"/>
      <c r="AFQ1" s="79"/>
      <c r="AFR1" s="79"/>
      <c r="AFS1" s="79"/>
      <c r="AFT1" s="79"/>
      <c r="AFU1" s="79"/>
      <c r="AFV1" s="79"/>
      <c r="AFW1" s="79"/>
      <c r="AFX1" s="79"/>
      <c r="AFY1" s="79"/>
      <c r="AFZ1" s="79"/>
      <c r="AGA1" s="79"/>
      <c r="AGB1" s="79"/>
      <c r="AGC1" s="79"/>
      <c r="AGD1" s="79"/>
      <c r="AGE1" s="79"/>
      <c r="AGF1" s="79"/>
      <c r="AGG1" s="79"/>
      <c r="AGH1" s="79"/>
      <c r="AGI1" s="79"/>
      <c r="AGJ1" s="79"/>
      <c r="AGK1" s="79"/>
      <c r="AGL1" s="79"/>
      <c r="AGM1" s="79"/>
      <c r="AGN1" s="79"/>
      <c r="AGO1" s="79"/>
      <c r="AGP1" s="79"/>
      <c r="AGQ1" s="79"/>
      <c r="AGR1" s="79"/>
      <c r="AGS1" s="79"/>
      <c r="AGT1" s="79"/>
      <c r="AGU1" s="79"/>
      <c r="AGV1" s="79"/>
      <c r="AGW1" s="79"/>
      <c r="AGX1" s="79"/>
      <c r="AGY1" s="79"/>
      <c r="AGZ1" s="79"/>
      <c r="AHA1" s="79"/>
      <c r="AHB1" s="79"/>
      <c r="AHC1" s="79"/>
      <c r="AHD1" s="79"/>
      <c r="AHE1" s="79"/>
      <c r="AHF1" s="79"/>
      <c r="AHG1" s="79"/>
      <c r="AHH1" s="79"/>
      <c r="AHI1" s="79"/>
      <c r="AHJ1" s="79"/>
      <c r="AHK1" s="79"/>
      <c r="AHL1" s="79"/>
      <c r="AHM1" s="79"/>
      <c r="AHN1" s="79"/>
      <c r="AHO1" s="79"/>
      <c r="AHP1" s="79"/>
      <c r="AHQ1" s="79"/>
      <c r="AHR1" s="79"/>
      <c r="AHS1" s="79"/>
      <c r="AHT1" s="79"/>
      <c r="AHU1" s="79"/>
      <c r="AHV1" s="79"/>
      <c r="AHW1" s="79"/>
      <c r="AHX1" s="79"/>
      <c r="AHY1" s="79"/>
      <c r="AHZ1" s="79"/>
      <c r="AIA1" s="79"/>
      <c r="AIB1" s="79"/>
      <c r="AIC1" s="79"/>
      <c r="AID1" s="79"/>
      <c r="AIE1" s="79"/>
      <c r="AIF1" s="79"/>
      <c r="AIG1" s="79"/>
      <c r="AIH1" s="79"/>
      <c r="AII1" s="79"/>
      <c r="AIJ1" s="79"/>
      <c r="AIK1" s="79"/>
      <c r="AIL1" s="79"/>
      <c r="AIM1" s="79"/>
      <c r="AIN1" s="79"/>
      <c r="AIO1" s="79"/>
      <c r="AIP1" s="79"/>
      <c r="AIQ1" s="79"/>
      <c r="AIR1" s="79"/>
      <c r="AIS1" s="79"/>
      <c r="AIT1" s="79"/>
      <c r="AIU1" s="79"/>
      <c r="AIV1" s="79"/>
      <c r="AIW1" s="79"/>
      <c r="AIX1" s="79"/>
      <c r="AIY1" s="79"/>
      <c r="AIZ1" s="79"/>
      <c r="AJA1" s="79"/>
      <c r="AJB1" s="79"/>
      <c r="AJC1" s="79"/>
      <c r="AJD1" s="79"/>
      <c r="AJE1" s="79"/>
      <c r="AJF1" s="79"/>
      <c r="AJG1" s="79"/>
      <c r="AJH1" s="79"/>
      <c r="AJI1" s="79"/>
      <c r="AJJ1" s="79"/>
      <c r="AJK1" s="79"/>
      <c r="AJL1" s="79"/>
      <c r="AJM1" s="79"/>
      <c r="AJN1" s="79"/>
      <c r="AJO1" s="79"/>
      <c r="AJP1" s="79"/>
      <c r="AJQ1" s="79"/>
      <c r="AJR1" s="79"/>
      <c r="AJS1" s="79"/>
      <c r="AJT1" s="79"/>
      <c r="AJU1" s="79"/>
      <c r="AJV1" s="79"/>
      <c r="AJW1" s="79"/>
      <c r="AJX1" s="79"/>
      <c r="AJY1" s="79"/>
      <c r="AJZ1" s="79"/>
      <c r="AKA1" s="79"/>
      <c r="AKB1" s="79"/>
      <c r="AKC1" s="79"/>
      <c r="AKD1" s="79"/>
      <c r="AKE1" s="79"/>
      <c r="AKF1" s="79"/>
      <c r="AKG1" s="79"/>
      <c r="AKH1" s="79"/>
      <c r="AKI1" s="79"/>
      <c r="AKJ1" s="79"/>
      <c r="AKK1" s="79"/>
      <c r="AKL1" s="79"/>
      <c r="AKM1" s="79"/>
      <c r="AKN1" s="79"/>
      <c r="AKO1" s="79"/>
      <c r="AKP1" s="79"/>
      <c r="AKQ1" s="79"/>
      <c r="AKR1" s="79"/>
      <c r="AKS1" s="79"/>
      <c r="AKT1" s="79"/>
      <c r="AKU1" s="79"/>
      <c r="AKV1" s="79"/>
      <c r="AKW1" s="79"/>
      <c r="AKX1" s="79"/>
      <c r="AKY1" s="79"/>
      <c r="AKZ1" s="79"/>
      <c r="ALA1" s="79"/>
      <c r="ALB1" s="79"/>
      <c r="ALC1" s="79"/>
      <c r="ALD1" s="79"/>
      <c r="ALE1" s="79"/>
      <c r="ALF1" s="79"/>
      <c r="ALG1" s="79"/>
      <c r="ALH1" s="79"/>
      <c r="ALI1" s="79"/>
      <c r="ALJ1" s="79"/>
      <c r="ALK1" s="79"/>
      <c r="ALL1" s="79"/>
      <c r="ALM1" s="79"/>
      <c r="ALN1" s="79"/>
      <c r="ALO1" s="79"/>
      <c r="ALP1" s="79"/>
      <c r="ALQ1" s="79"/>
      <c r="ALR1" s="79"/>
      <c r="ALS1" s="79"/>
      <c r="ALT1" s="79"/>
      <c r="ALU1" s="79"/>
      <c r="ALV1" s="79"/>
      <c r="ALW1" s="79"/>
      <c r="ALX1" s="79"/>
      <c r="ALY1" s="79"/>
      <c r="ALZ1" s="79"/>
      <c r="AMA1" s="84">
        <v>70131.642857142899</v>
      </c>
      <c r="AMB1" s="84">
        <v>93060.642857142899</v>
      </c>
      <c r="AMC1" s="84">
        <v>70131.642857142899</v>
      </c>
      <c r="AMD1" s="84">
        <v>32982.785714285703</v>
      </c>
      <c r="AME1" s="84">
        <v>70131.642857142899</v>
      </c>
      <c r="AMF1" s="84">
        <v>32982.785714285703</v>
      </c>
      <c r="AMG1" s="84">
        <v>38320.080000000002</v>
      </c>
      <c r="AMH1" s="84">
        <v>38320.080000000002</v>
      </c>
      <c r="AMI1" s="84">
        <v>70131.642857142899</v>
      </c>
      <c r="AMJ1" s="84">
        <v>55266.428571428602</v>
      </c>
      <c r="AMK1" s="84">
        <v>38320.080000000002</v>
      </c>
      <c r="AML1" s="84">
        <v>9840</v>
      </c>
      <c r="AMM1" s="84">
        <v>70131.642857142899</v>
      </c>
      <c r="AMN1" s="84">
        <v>39012.857142857101</v>
      </c>
      <c r="AMO1" s="84">
        <v>38320.080000000002</v>
      </c>
      <c r="AMP1" s="84">
        <v>9840</v>
      </c>
      <c r="AMQ1" s="84">
        <v>70131.642857142899</v>
      </c>
      <c r="AMR1" s="84">
        <v>3000</v>
      </c>
      <c r="AMS1" s="84">
        <v>70131.642857142899</v>
      </c>
      <c r="AMT1" s="84">
        <v>39012.857142857101</v>
      </c>
      <c r="AMU1" s="84">
        <v>38320.080000000002</v>
      </c>
      <c r="AMV1" s="84">
        <v>12006</v>
      </c>
      <c r="AMW1" s="84">
        <v>70131.642857142899</v>
      </c>
      <c r="AMX1" s="84">
        <v>6001.4011214067996</v>
      </c>
      <c r="AMY1" s="84">
        <v>12679.06</v>
      </c>
      <c r="AMZ1" s="84">
        <v>3577.84</v>
      </c>
      <c r="ANA1" s="84">
        <v>12679.06</v>
      </c>
      <c r="ANB1" s="84">
        <v>3577.84</v>
      </c>
      <c r="ANC1" s="84">
        <v>49800</v>
      </c>
      <c r="AND1" s="84">
        <v>38320.080000000002</v>
      </c>
      <c r="ANE1" s="84">
        <v>12679.06</v>
      </c>
      <c r="ANF1" s="84">
        <v>3577.84</v>
      </c>
      <c r="ANG1" s="84">
        <v>12679.06</v>
      </c>
      <c r="ANH1" s="84">
        <v>3577.84</v>
      </c>
      <c r="ANI1" s="84">
        <v>12679.06</v>
      </c>
      <c r="ANJ1" s="84">
        <v>3577.84</v>
      </c>
      <c r="ANK1" s="84">
        <v>49800</v>
      </c>
      <c r="ANL1" s="84">
        <v>9840</v>
      </c>
      <c r="ANM1" s="84">
        <v>93060.642857142899</v>
      </c>
      <c r="ANN1" s="84">
        <v>3000</v>
      </c>
      <c r="ANO1" s="84">
        <v>93060.642857142899</v>
      </c>
      <c r="ANP1" s="84">
        <v>39012.857142857101</v>
      </c>
      <c r="ANQ1" s="84">
        <v>49800</v>
      </c>
      <c r="ANR1" s="84">
        <v>12006</v>
      </c>
      <c r="ANS1" s="84">
        <v>12679.06</v>
      </c>
      <c r="ANT1" s="84">
        <v>1156.1548636013899</v>
      </c>
      <c r="ANU1" s="84">
        <v>3577.84</v>
      </c>
      <c r="ANV1" s="84">
        <v>3577.84</v>
      </c>
      <c r="ANW1" s="84">
        <v>12002.4</v>
      </c>
      <c r="ANX1" s="84">
        <v>38320.080000000002</v>
      </c>
      <c r="ANY1" s="84">
        <v>3577.84</v>
      </c>
      <c r="ANZ1" s="84">
        <v>3577.84</v>
      </c>
      <c r="AOA1" s="84">
        <v>3577.84</v>
      </c>
      <c r="AOB1" s="84">
        <v>3577.84</v>
      </c>
      <c r="AOC1" s="84">
        <v>3577.84</v>
      </c>
      <c r="AOD1" s="84">
        <v>3577.84</v>
      </c>
      <c r="AOE1" s="84">
        <v>12002.4</v>
      </c>
      <c r="AOF1" s="84">
        <v>9840</v>
      </c>
      <c r="AOG1" s="84">
        <v>32982.785714285703</v>
      </c>
      <c r="AOH1" s="84">
        <v>3000</v>
      </c>
      <c r="AOI1" s="84">
        <v>32982.785714285703</v>
      </c>
      <c r="AOJ1" s="84">
        <v>39012.857142857101</v>
      </c>
      <c r="AOK1" s="84">
        <v>12002.4</v>
      </c>
      <c r="AOL1" s="84">
        <v>12006</v>
      </c>
      <c r="AOM1" s="84">
        <v>3577.84</v>
      </c>
      <c r="AON1" s="84">
        <v>1156.1548636013899</v>
      </c>
      <c r="AOO1" s="84">
        <v>12002.4</v>
      </c>
      <c r="AOP1" s="84">
        <v>38320.080000000002</v>
      </c>
      <c r="AOQ1" s="84">
        <v>3577.84</v>
      </c>
      <c r="AOR1" s="84">
        <v>3577.84</v>
      </c>
      <c r="AOS1" s="84">
        <v>3577.84</v>
      </c>
      <c r="AOT1" s="84">
        <v>3577.84</v>
      </c>
      <c r="AOU1" s="84">
        <v>3577.84</v>
      </c>
      <c r="AOV1" s="84">
        <v>3577.84</v>
      </c>
      <c r="AOW1" s="84">
        <v>12002.4</v>
      </c>
      <c r="AOX1" s="84">
        <v>9840</v>
      </c>
      <c r="AOY1" s="84">
        <v>32982.785714285703</v>
      </c>
      <c r="AOZ1" s="84">
        <v>3000</v>
      </c>
      <c r="APA1" s="84">
        <v>32982.785714285703</v>
      </c>
      <c r="APB1" s="84">
        <v>39012.857142857101</v>
      </c>
      <c r="APC1" s="84">
        <v>12002.4</v>
      </c>
      <c r="APD1" s="84">
        <v>12006</v>
      </c>
      <c r="APE1" s="84">
        <v>3577.84</v>
      </c>
      <c r="APF1" s="84">
        <v>1156.1548636013899</v>
      </c>
      <c r="APG1" s="84">
        <v>38320.080000000002</v>
      </c>
      <c r="APH1" s="84">
        <v>32760</v>
      </c>
      <c r="API1" s="84">
        <v>38320.080000000002</v>
      </c>
      <c r="APJ1" s="84">
        <v>9840</v>
      </c>
      <c r="APK1" s="84">
        <v>65003.377969762398</v>
      </c>
      <c r="APL1" s="84">
        <v>29543.7753779698</v>
      </c>
      <c r="APM1" s="84">
        <v>38320.080000000002</v>
      </c>
      <c r="APN1" s="84">
        <v>9840</v>
      </c>
      <c r="APO1" s="84">
        <v>38320.080000000002</v>
      </c>
      <c r="APP1" s="84">
        <v>240</v>
      </c>
      <c r="APQ1" s="84">
        <v>65003.377969762398</v>
      </c>
      <c r="APR1" s="84">
        <v>19659.8963282937</v>
      </c>
      <c r="APS1" s="84">
        <v>38320.080000000002</v>
      </c>
      <c r="APT1" s="84">
        <v>12006</v>
      </c>
      <c r="APU1" s="84">
        <v>38320.080000000002</v>
      </c>
      <c r="APV1" s="84">
        <v>1816.5471237521799</v>
      </c>
      <c r="APW1" s="84">
        <v>3577.84</v>
      </c>
      <c r="APX1" s="84">
        <v>3577.84</v>
      </c>
      <c r="APY1" s="84">
        <v>3577.84</v>
      </c>
      <c r="APZ1" s="84">
        <v>3577.84</v>
      </c>
      <c r="AQA1" s="84">
        <v>32760</v>
      </c>
      <c r="AQB1" s="84">
        <v>9840</v>
      </c>
      <c r="AQC1" s="84">
        <v>55266.428571428602</v>
      </c>
      <c r="AQD1" s="84">
        <v>3000</v>
      </c>
      <c r="AQE1" s="84">
        <v>55266.428571428602</v>
      </c>
      <c r="AQF1" s="84">
        <v>39012.857142857101</v>
      </c>
      <c r="AQG1" s="84">
        <v>32760</v>
      </c>
      <c r="AQH1" s="84">
        <v>12006</v>
      </c>
      <c r="AQI1" s="84">
        <v>3577.84</v>
      </c>
      <c r="AQJ1" s="84">
        <v>1156.1548636013899</v>
      </c>
      <c r="AQK1" s="84">
        <v>3577.84</v>
      </c>
      <c r="AQL1" s="84">
        <v>3577.84</v>
      </c>
      <c r="AQM1" s="84">
        <v>9840</v>
      </c>
      <c r="AQN1" s="84">
        <v>9840</v>
      </c>
      <c r="AQO1" s="84">
        <v>9840</v>
      </c>
      <c r="AQP1" s="84">
        <v>240</v>
      </c>
      <c r="AQQ1" s="84">
        <v>12188.43</v>
      </c>
      <c r="AQR1" s="84">
        <v>12188.43</v>
      </c>
      <c r="AQS1" s="84">
        <v>9840</v>
      </c>
      <c r="AQT1" s="84">
        <v>12006</v>
      </c>
      <c r="AQU1" s="84">
        <v>3577.84</v>
      </c>
      <c r="AQV1" s="84">
        <v>1156.1548636013899</v>
      </c>
      <c r="AQW1" s="84">
        <v>29543.7753779698</v>
      </c>
      <c r="AQX1" s="84">
        <v>23780.7408207343</v>
      </c>
      <c r="AQY1" s="84">
        <v>39012.857142857101</v>
      </c>
      <c r="AQZ1" s="84">
        <v>3000</v>
      </c>
      <c r="ARA1" s="84">
        <v>39012.857142857101</v>
      </c>
      <c r="ARB1" s="84">
        <v>39012.857142857101</v>
      </c>
      <c r="ARC1" s="84">
        <v>3881.1428571428601</v>
      </c>
      <c r="ARD1" s="84">
        <v>3881.14</v>
      </c>
      <c r="ARE1" s="84">
        <v>3577.84</v>
      </c>
      <c r="ARF1" s="84">
        <v>1156.1548636013899</v>
      </c>
      <c r="ARG1" s="84">
        <v>9840</v>
      </c>
      <c r="ARH1" s="84">
        <v>240</v>
      </c>
      <c r="ARI1" s="84">
        <v>23780.7408207343</v>
      </c>
      <c r="ARJ1" s="84">
        <v>19659.8963282937</v>
      </c>
      <c r="ARK1" s="84">
        <v>9840</v>
      </c>
      <c r="ARL1" s="84">
        <v>12006</v>
      </c>
      <c r="ARM1" s="84">
        <v>9840</v>
      </c>
      <c r="ARN1" s="84">
        <v>1816.5471237521799</v>
      </c>
      <c r="ARO1" s="84">
        <v>3000</v>
      </c>
      <c r="ARP1" s="84">
        <v>39012.857142857101</v>
      </c>
      <c r="ARQ1" s="84">
        <v>240</v>
      </c>
      <c r="ARR1" s="84">
        <v>12006</v>
      </c>
      <c r="ARS1" s="84">
        <v>3000</v>
      </c>
      <c r="ART1" s="84">
        <v>6001.4011214067996</v>
      </c>
      <c r="ARU1" s="84">
        <v>3928.3471446347698</v>
      </c>
      <c r="ARV1" s="84">
        <v>6394.1762324585097</v>
      </c>
      <c r="ARW1" s="84">
        <v>39012.857142857101</v>
      </c>
      <c r="ARX1" s="84">
        <v>6001.4011214067996</v>
      </c>
      <c r="ARY1" s="84">
        <v>12006</v>
      </c>
      <c r="ARZ1" s="84">
        <v>1816.5471237521799</v>
      </c>
    </row>
    <row r="2" spans="1:1170" ht="15.75" customHeight="1" x14ac:dyDescent="0.35">
      <c r="A2" s="125" t="s">
        <v>812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79"/>
      <c r="P2" s="79"/>
      <c r="Q2" s="79"/>
      <c r="R2" s="79"/>
      <c r="S2" s="79"/>
      <c r="T2" s="79"/>
      <c r="U2" s="79"/>
      <c r="V2" s="79"/>
      <c r="W2" s="102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84">
        <v>38320.080000000002</v>
      </c>
      <c r="AMB2" s="84">
        <v>49800</v>
      </c>
      <c r="AMC2" s="84">
        <v>38320.080000000002</v>
      </c>
      <c r="AMD2" s="84">
        <v>12002.4</v>
      </c>
      <c r="AME2" s="84">
        <v>38320.080000000002</v>
      </c>
      <c r="AMF2" s="84">
        <v>12002.4</v>
      </c>
      <c r="AMG2" s="84">
        <v>67042.774658027396</v>
      </c>
      <c r="AMH2" s="84">
        <v>65003.377969762398</v>
      </c>
      <c r="AMI2" s="84">
        <v>38320.080000000002</v>
      </c>
      <c r="AMJ2" s="84">
        <v>32760</v>
      </c>
      <c r="AMK2" s="84">
        <v>28693.57</v>
      </c>
      <c r="AML2" s="84">
        <v>12188.43</v>
      </c>
      <c r="AMM2" s="84">
        <v>67042.774658027396</v>
      </c>
      <c r="AMN2" s="84">
        <v>29543.7753779698</v>
      </c>
      <c r="AMO2" s="84">
        <v>67042.774658027396</v>
      </c>
      <c r="AMP2" s="84">
        <v>23780.7408207343</v>
      </c>
      <c r="AMQ2" s="84">
        <v>38320.080000000002</v>
      </c>
      <c r="AMR2" s="84">
        <v>240</v>
      </c>
      <c r="AMS2" s="84">
        <v>67042.774658027396</v>
      </c>
      <c r="AMT2" s="84">
        <v>19659.8963282937</v>
      </c>
      <c r="AMU2" s="84">
        <v>4350</v>
      </c>
      <c r="AMV2" s="84">
        <v>3881.14</v>
      </c>
      <c r="AMW2" s="84">
        <v>38320.080000000002</v>
      </c>
      <c r="AMX2" s="84">
        <v>1816.5471237521799</v>
      </c>
      <c r="AMY2" s="84">
        <v>93060.642857142899</v>
      </c>
      <c r="AMZ2" s="84">
        <v>32982.785714285703</v>
      </c>
      <c r="ANA2" s="84">
        <v>93060.642857142899</v>
      </c>
      <c r="ANB2" s="84">
        <v>32982.785714285703</v>
      </c>
      <c r="ANC2" s="84">
        <v>71841.183585313207</v>
      </c>
      <c r="AND2" s="84">
        <v>65003.377969762398</v>
      </c>
      <c r="ANE2" s="84">
        <v>93060.642857142899</v>
      </c>
      <c r="ANF2" s="84">
        <v>55266.428571428602</v>
      </c>
      <c r="ANG2" s="84">
        <v>49800</v>
      </c>
      <c r="ANH2" s="84">
        <v>9840</v>
      </c>
      <c r="ANI2" s="84">
        <v>93060.642857142899</v>
      </c>
      <c r="ANJ2" s="84">
        <v>39012.857142857101</v>
      </c>
      <c r="ANK2" s="84">
        <v>71841.183585313207</v>
      </c>
      <c r="ANL2" s="84">
        <v>23780.7408207343</v>
      </c>
      <c r="ANM2" s="84">
        <v>49800</v>
      </c>
      <c r="ANN2" s="84">
        <v>240</v>
      </c>
      <c r="ANO2" s="84">
        <v>71841.183585313207</v>
      </c>
      <c r="ANP2" s="84">
        <v>19659.8963282937</v>
      </c>
      <c r="ANQ2" s="84">
        <v>5391</v>
      </c>
      <c r="ANR2" s="84">
        <v>3881.14</v>
      </c>
      <c r="ANS2" s="84">
        <v>93060.642857142899</v>
      </c>
      <c r="ANT2" s="84">
        <v>6001.4011214067996</v>
      </c>
      <c r="ANU2" s="84">
        <v>32982.785714285703</v>
      </c>
      <c r="ANV2" s="84">
        <v>32982.785714285703</v>
      </c>
      <c r="ANW2" s="84">
        <v>50651.835853131699</v>
      </c>
      <c r="ANX2" s="84">
        <v>65003.377969762398</v>
      </c>
      <c r="ANY2" s="84">
        <v>32982.785714285703</v>
      </c>
      <c r="ANZ2" s="84">
        <v>55266.428571428602</v>
      </c>
      <c r="AOA2" s="84">
        <v>12002.4</v>
      </c>
      <c r="AOB2" s="84">
        <v>9840</v>
      </c>
      <c r="AOC2" s="84">
        <v>32982.785714285703</v>
      </c>
      <c r="AOD2" s="84">
        <v>39012.857142857101</v>
      </c>
      <c r="AOE2" s="84">
        <v>50651.835853131699</v>
      </c>
      <c r="AOF2" s="84">
        <v>23780.7408207343</v>
      </c>
      <c r="AOG2" s="84">
        <v>12002.4</v>
      </c>
      <c r="AOH2" s="84">
        <v>240</v>
      </c>
      <c r="AOI2" s="84">
        <v>50651.835853131699</v>
      </c>
      <c r="AOJ2" s="84">
        <v>19659.8963282937</v>
      </c>
      <c r="AOK2" s="84">
        <v>3030.4285714285702</v>
      </c>
      <c r="AOL2" s="84">
        <v>3881.14</v>
      </c>
      <c r="AOM2" s="84">
        <v>32982.785714285703</v>
      </c>
      <c r="AON2" s="84">
        <v>6001.4011214067996</v>
      </c>
      <c r="AOO2" s="84">
        <v>50651.835853131699</v>
      </c>
      <c r="AOP2" s="84">
        <v>65003.377969762398</v>
      </c>
      <c r="AOQ2" s="84">
        <v>32982.785714285703</v>
      </c>
      <c r="AOR2" s="84">
        <v>55266.428571428602</v>
      </c>
      <c r="AOS2" s="84">
        <v>12002.4</v>
      </c>
      <c r="AOT2" s="84">
        <v>9840</v>
      </c>
      <c r="AOU2" s="84">
        <v>32982.785714285703</v>
      </c>
      <c r="AOV2" s="84">
        <v>39012.857142857101</v>
      </c>
      <c r="AOW2" s="84">
        <v>50651.835853131699</v>
      </c>
      <c r="AOX2" s="84">
        <v>23780.7408207343</v>
      </c>
      <c r="AOY2" s="84">
        <v>12002.4</v>
      </c>
      <c r="AOZ2" s="84">
        <v>240</v>
      </c>
      <c r="APA2" s="84">
        <v>50651.835853131699</v>
      </c>
      <c r="APB2" s="84">
        <v>19659.8963282937</v>
      </c>
      <c r="APC2" s="84">
        <v>3881.1428571428601</v>
      </c>
      <c r="APD2" s="84">
        <v>3881.14</v>
      </c>
      <c r="APE2" s="84">
        <v>32982.785714285703</v>
      </c>
      <c r="APF2" s="84">
        <v>6001.4011214067996</v>
      </c>
      <c r="APG2" s="84">
        <v>65003.377969762398</v>
      </c>
      <c r="APH2" s="84">
        <v>45703.887688984898</v>
      </c>
      <c r="API2" s="84">
        <v>28693.57</v>
      </c>
      <c r="APJ2" s="84">
        <v>12188.43</v>
      </c>
      <c r="APK2" s="84">
        <v>28693.57</v>
      </c>
      <c r="APL2" s="84">
        <v>12188.43</v>
      </c>
      <c r="APM2" s="84">
        <v>65003.377969762398</v>
      </c>
      <c r="APN2" s="84">
        <v>23780.7408207343</v>
      </c>
      <c r="APO2" s="84">
        <v>28693.57</v>
      </c>
      <c r="APP2" s="84">
        <v>2190.85</v>
      </c>
      <c r="APQ2" s="84">
        <v>28693.57</v>
      </c>
      <c r="APR2" s="84">
        <v>12188.43</v>
      </c>
      <c r="APS2" s="84">
        <v>4350</v>
      </c>
      <c r="APT2" s="84">
        <v>3881.14</v>
      </c>
      <c r="APU2" s="84">
        <v>65003.377969762398</v>
      </c>
      <c r="APV2" s="84">
        <v>5037.3426291926298</v>
      </c>
      <c r="APW2" s="84">
        <v>32760</v>
      </c>
      <c r="APX2" s="84">
        <v>9840</v>
      </c>
      <c r="APY2" s="84">
        <v>55266.428571428602</v>
      </c>
      <c r="APZ2" s="84">
        <v>39012.857142857101</v>
      </c>
      <c r="AQA2" s="84">
        <v>45703.887688984898</v>
      </c>
      <c r="AQB2" s="84">
        <v>23780.7408207343</v>
      </c>
      <c r="AQC2" s="84">
        <v>32760</v>
      </c>
      <c r="AQD2" s="84">
        <v>240</v>
      </c>
      <c r="AQE2" s="84">
        <v>45703.887688984898</v>
      </c>
      <c r="AQF2" s="84">
        <v>19659.8963282937</v>
      </c>
      <c r="AQG2" s="84">
        <v>3881.1428571428601</v>
      </c>
      <c r="AQH2" s="84">
        <v>3881.14</v>
      </c>
      <c r="AQI2" s="84">
        <v>55266.428571428602</v>
      </c>
      <c r="AQJ2" s="84">
        <v>6001.4011214067996</v>
      </c>
      <c r="AQK2" s="84">
        <v>12188.43</v>
      </c>
      <c r="AQL2" s="84">
        <v>12188.43</v>
      </c>
      <c r="AQM2" s="84">
        <v>12188.43</v>
      </c>
      <c r="AQN2" s="84">
        <v>12188.43</v>
      </c>
      <c r="AQO2" s="84">
        <v>12188.43</v>
      </c>
      <c r="AQP2" s="84">
        <v>2190.85</v>
      </c>
      <c r="AQQ2" s="84">
        <v>4951.3542135500802</v>
      </c>
      <c r="AQR2" s="84">
        <v>3928.3471446347698</v>
      </c>
      <c r="AQS2" s="84">
        <v>3030.4285714285702</v>
      </c>
      <c r="AQT2" s="84">
        <v>3881.14</v>
      </c>
      <c r="AQU2" s="84">
        <v>9840</v>
      </c>
      <c r="AQV2" s="84">
        <v>1816.5471237521799</v>
      </c>
      <c r="AQW2" s="84">
        <v>12188.43</v>
      </c>
      <c r="AQX2" s="84">
        <v>12188.43</v>
      </c>
      <c r="AQY2" s="84">
        <v>12188.43</v>
      </c>
      <c r="AQZ2" s="84">
        <v>2190.85</v>
      </c>
      <c r="ARA2" s="84">
        <v>29543.7753779698</v>
      </c>
      <c r="ARB2" s="84">
        <v>19659.8963282937</v>
      </c>
      <c r="ARC2" s="84">
        <v>7406.5711789468096</v>
      </c>
      <c r="ARD2" s="84">
        <v>6394.1762324585097</v>
      </c>
      <c r="ARE2" s="84">
        <v>39012.857142857101</v>
      </c>
      <c r="ARF2" s="84">
        <v>6001.4011214067996</v>
      </c>
      <c r="ARG2" s="84">
        <v>12188.43</v>
      </c>
      <c r="ARH2" s="84">
        <v>2190.85</v>
      </c>
      <c r="ARI2" s="84">
        <v>12188.43</v>
      </c>
      <c r="ARJ2" s="84">
        <v>12188.43</v>
      </c>
      <c r="ARK2" s="84">
        <v>3030.4285714285702</v>
      </c>
      <c r="ARL2" s="84">
        <v>3881.14</v>
      </c>
      <c r="ARM2" s="84">
        <v>23780.7408207343</v>
      </c>
      <c r="ARN2" s="84">
        <v>5037.3426291926298</v>
      </c>
      <c r="ARO2" s="84">
        <v>2190.85</v>
      </c>
      <c r="ARP2" s="84">
        <v>12188.43</v>
      </c>
      <c r="ARQ2" s="84">
        <v>2654.1428571428601</v>
      </c>
      <c r="ARR2" s="84">
        <v>3881.14</v>
      </c>
      <c r="ARS2" s="84">
        <v>240</v>
      </c>
      <c r="ART2" s="84">
        <v>1816.5471237521799</v>
      </c>
      <c r="ARU2" s="84">
        <v>4623.8823529411802</v>
      </c>
      <c r="ARV2" s="84">
        <v>4623.8823529411802</v>
      </c>
      <c r="ARW2" s="84">
        <v>19659.8963282937</v>
      </c>
      <c r="ARX2" s="84">
        <v>5037.3426291926298</v>
      </c>
      <c r="ARY2" s="84">
        <v>3881.14</v>
      </c>
      <c r="ARZ2" s="84">
        <v>855.76088518690301</v>
      </c>
    </row>
    <row r="3" spans="1:1170" ht="15.75" customHeight="1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79"/>
      <c r="P3" s="79"/>
      <c r="Q3" s="79"/>
      <c r="R3" s="79"/>
      <c r="S3" s="79"/>
      <c r="T3" s="79"/>
      <c r="U3" s="79"/>
      <c r="V3" s="79"/>
      <c r="W3" s="102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IW3" s="79"/>
      <c r="IX3" s="79"/>
      <c r="IY3" s="79"/>
      <c r="IZ3" s="79"/>
      <c r="JA3" s="79"/>
      <c r="JB3" s="79"/>
      <c r="JC3" s="79"/>
      <c r="JD3" s="79"/>
      <c r="JE3" s="79"/>
      <c r="JF3" s="79"/>
      <c r="JG3" s="79"/>
      <c r="JH3" s="79"/>
      <c r="JI3" s="79"/>
      <c r="JJ3" s="79"/>
      <c r="JK3" s="79"/>
      <c r="JL3" s="79"/>
      <c r="JM3" s="79"/>
      <c r="JN3" s="79"/>
      <c r="JO3" s="79"/>
      <c r="JP3" s="79"/>
      <c r="JQ3" s="79"/>
      <c r="JR3" s="79"/>
      <c r="JS3" s="79"/>
      <c r="JT3" s="79"/>
      <c r="JU3" s="79"/>
      <c r="JV3" s="79"/>
      <c r="JW3" s="79"/>
      <c r="JX3" s="79"/>
      <c r="JY3" s="79"/>
      <c r="JZ3" s="79"/>
      <c r="KA3" s="79"/>
      <c r="KB3" s="79"/>
      <c r="KC3" s="79"/>
      <c r="KD3" s="79"/>
      <c r="KE3" s="79"/>
      <c r="KF3" s="79"/>
      <c r="KG3" s="79"/>
      <c r="KH3" s="79"/>
      <c r="KI3" s="79"/>
      <c r="KJ3" s="79"/>
      <c r="KK3" s="79"/>
      <c r="KL3" s="79"/>
      <c r="KM3" s="79"/>
      <c r="KN3" s="79"/>
      <c r="KO3" s="79"/>
      <c r="KP3" s="79"/>
      <c r="KQ3" s="79"/>
      <c r="KR3" s="79"/>
      <c r="KS3" s="79"/>
      <c r="KT3" s="79"/>
      <c r="KU3" s="79"/>
      <c r="KV3" s="79"/>
      <c r="KW3" s="79"/>
      <c r="KX3" s="79"/>
      <c r="KY3" s="79"/>
      <c r="KZ3" s="79"/>
      <c r="LA3" s="79"/>
      <c r="LB3" s="79"/>
      <c r="LC3" s="79"/>
      <c r="LD3" s="79"/>
      <c r="LE3" s="79"/>
      <c r="LF3" s="79"/>
      <c r="LG3" s="79"/>
      <c r="LH3" s="79"/>
      <c r="LI3" s="79"/>
      <c r="LJ3" s="79"/>
      <c r="LK3" s="79"/>
      <c r="LL3" s="79"/>
      <c r="LM3" s="79"/>
      <c r="LN3" s="79"/>
      <c r="LO3" s="79"/>
      <c r="LP3" s="79"/>
      <c r="LQ3" s="79"/>
      <c r="LR3" s="79"/>
      <c r="LS3" s="79"/>
      <c r="LT3" s="79"/>
      <c r="LU3" s="79"/>
      <c r="LV3" s="79"/>
      <c r="LW3" s="79"/>
      <c r="LX3" s="79"/>
      <c r="LY3" s="79"/>
      <c r="LZ3" s="79"/>
      <c r="MA3" s="79"/>
      <c r="MB3" s="79"/>
      <c r="MC3" s="79"/>
      <c r="MD3" s="79"/>
      <c r="ME3" s="79"/>
      <c r="MF3" s="79"/>
      <c r="MG3" s="79"/>
      <c r="MH3" s="79"/>
      <c r="MI3" s="79"/>
      <c r="MJ3" s="79"/>
      <c r="MK3" s="79"/>
      <c r="ML3" s="79"/>
      <c r="MM3" s="79"/>
      <c r="MN3" s="79"/>
      <c r="MO3" s="79"/>
      <c r="MP3" s="79"/>
      <c r="MQ3" s="79"/>
      <c r="MR3" s="79"/>
      <c r="MS3" s="79"/>
      <c r="MT3" s="79"/>
      <c r="MU3" s="79"/>
      <c r="MV3" s="79"/>
      <c r="MW3" s="79"/>
      <c r="MX3" s="79"/>
      <c r="MY3" s="79"/>
      <c r="MZ3" s="79"/>
      <c r="NA3" s="79"/>
      <c r="NB3" s="79"/>
      <c r="NC3" s="79"/>
      <c r="ND3" s="79"/>
      <c r="NE3" s="79"/>
      <c r="NF3" s="79"/>
      <c r="NG3" s="79"/>
      <c r="NH3" s="79"/>
      <c r="NI3" s="79"/>
      <c r="NJ3" s="79"/>
      <c r="NK3" s="79"/>
      <c r="NL3" s="79"/>
      <c r="NM3" s="79"/>
      <c r="NN3" s="79"/>
      <c r="NO3" s="79"/>
      <c r="NP3" s="79"/>
      <c r="NQ3" s="79"/>
      <c r="NR3" s="79"/>
      <c r="NS3" s="79"/>
      <c r="NT3" s="79"/>
      <c r="NU3" s="79"/>
      <c r="NV3" s="79"/>
      <c r="NW3" s="79"/>
      <c r="NX3" s="79"/>
      <c r="NY3" s="79"/>
      <c r="NZ3" s="79"/>
      <c r="OA3" s="79"/>
      <c r="OB3" s="79"/>
      <c r="OC3" s="79"/>
      <c r="OD3" s="79"/>
      <c r="OE3" s="79"/>
      <c r="OF3" s="79"/>
      <c r="OG3" s="79"/>
      <c r="OH3" s="79"/>
      <c r="OI3" s="79"/>
      <c r="OJ3" s="79"/>
      <c r="OK3" s="79"/>
      <c r="OL3" s="79"/>
      <c r="OM3" s="79"/>
      <c r="ON3" s="79"/>
      <c r="OO3" s="79"/>
      <c r="OP3" s="79"/>
      <c r="OQ3" s="79"/>
      <c r="OR3" s="79"/>
      <c r="OS3" s="79"/>
      <c r="OT3" s="79"/>
      <c r="OU3" s="79"/>
      <c r="OV3" s="79"/>
      <c r="OW3" s="79"/>
      <c r="OX3" s="79"/>
      <c r="OY3" s="79"/>
      <c r="OZ3" s="79"/>
      <c r="PA3" s="79"/>
      <c r="PB3" s="79"/>
      <c r="PC3" s="79"/>
      <c r="PD3" s="79"/>
      <c r="PE3" s="79"/>
      <c r="PF3" s="79"/>
      <c r="PG3" s="79"/>
      <c r="PH3" s="79"/>
      <c r="PI3" s="79"/>
      <c r="PJ3" s="79"/>
      <c r="PK3" s="79"/>
      <c r="PL3" s="79"/>
      <c r="PM3" s="79"/>
      <c r="PN3" s="79"/>
      <c r="PO3" s="79"/>
      <c r="PP3" s="79"/>
      <c r="PQ3" s="79"/>
      <c r="PR3" s="79"/>
      <c r="PS3" s="79"/>
      <c r="PT3" s="79"/>
      <c r="PU3" s="79"/>
      <c r="PV3" s="79"/>
      <c r="PW3" s="79"/>
      <c r="PX3" s="79"/>
      <c r="PY3" s="79"/>
      <c r="PZ3" s="79"/>
      <c r="QA3" s="79"/>
      <c r="QB3" s="79"/>
      <c r="QC3" s="79"/>
      <c r="QD3" s="79"/>
      <c r="QE3" s="79"/>
      <c r="QF3" s="79"/>
      <c r="QG3" s="79"/>
      <c r="QH3" s="79"/>
      <c r="QI3" s="79"/>
      <c r="QJ3" s="79"/>
      <c r="QK3" s="79"/>
      <c r="QL3" s="79"/>
      <c r="QM3" s="79"/>
      <c r="QN3" s="79"/>
      <c r="QO3" s="79"/>
      <c r="QP3" s="79"/>
      <c r="QQ3" s="79"/>
      <c r="QR3" s="79"/>
      <c r="QS3" s="79"/>
      <c r="QT3" s="79"/>
      <c r="QU3" s="79"/>
      <c r="QV3" s="79"/>
      <c r="QW3" s="79"/>
      <c r="QX3" s="79"/>
      <c r="QY3" s="79"/>
      <c r="QZ3" s="79"/>
      <c r="RA3" s="79"/>
      <c r="RB3" s="79"/>
      <c r="RC3" s="79"/>
      <c r="RD3" s="79"/>
      <c r="RE3" s="79"/>
      <c r="RF3" s="79"/>
      <c r="RG3" s="79"/>
      <c r="RH3" s="79"/>
      <c r="RI3" s="79"/>
      <c r="RJ3" s="79"/>
      <c r="RK3" s="79"/>
      <c r="RL3" s="79"/>
      <c r="RM3" s="79"/>
      <c r="RN3" s="79"/>
      <c r="RO3" s="79"/>
      <c r="RP3" s="79"/>
      <c r="RQ3" s="79"/>
      <c r="RR3" s="79"/>
      <c r="RS3" s="79"/>
      <c r="RT3" s="79"/>
      <c r="RU3" s="79"/>
      <c r="RV3" s="79"/>
      <c r="RW3" s="79"/>
      <c r="RX3" s="79"/>
      <c r="RY3" s="79"/>
      <c r="RZ3" s="79"/>
      <c r="SA3" s="79"/>
      <c r="SB3" s="79"/>
      <c r="SC3" s="79"/>
      <c r="SD3" s="79"/>
      <c r="SE3" s="79"/>
      <c r="SF3" s="79"/>
      <c r="SG3" s="79"/>
      <c r="SH3" s="79"/>
      <c r="SI3" s="79"/>
      <c r="SJ3" s="79"/>
      <c r="SK3" s="79"/>
      <c r="SL3" s="79"/>
      <c r="SM3" s="79"/>
      <c r="SN3" s="79"/>
      <c r="SO3" s="79"/>
      <c r="SP3" s="79"/>
      <c r="SQ3" s="79"/>
      <c r="SR3" s="79"/>
      <c r="SS3" s="79"/>
      <c r="ST3" s="79"/>
      <c r="SU3" s="79"/>
      <c r="SV3" s="79"/>
      <c r="SW3" s="79"/>
      <c r="SX3" s="79"/>
      <c r="SY3" s="79"/>
      <c r="SZ3" s="79"/>
      <c r="TA3" s="79"/>
      <c r="TB3" s="79"/>
      <c r="TC3" s="79"/>
      <c r="TD3" s="79"/>
      <c r="TE3" s="79"/>
      <c r="TF3" s="79"/>
      <c r="TG3" s="79"/>
      <c r="TH3" s="79"/>
      <c r="TI3" s="79"/>
      <c r="TJ3" s="79"/>
      <c r="TK3" s="79"/>
      <c r="TL3" s="79"/>
      <c r="TM3" s="79"/>
      <c r="TN3" s="79"/>
      <c r="TO3" s="79"/>
      <c r="TP3" s="79"/>
      <c r="TQ3" s="79"/>
      <c r="TR3" s="79"/>
      <c r="TS3" s="79"/>
      <c r="TT3" s="79"/>
      <c r="TU3" s="79"/>
      <c r="TV3" s="79"/>
      <c r="TW3" s="79"/>
      <c r="TX3" s="79"/>
      <c r="TY3" s="79"/>
      <c r="TZ3" s="79"/>
      <c r="UA3" s="79"/>
      <c r="UB3" s="79"/>
      <c r="UC3" s="79"/>
      <c r="UD3" s="79"/>
      <c r="UE3" s="79"/>
      <c r="UF3" s="79"/>
      <c r="UG3" s="79"/>
      <c r="UH3" s="79"/>
      <c r="UI3" s="79"/>
      <c r="UJ3" s="79"/>
      <c r="UK3" s="79"/>
      <c r="UL3" s="79"/>
      <c r="UM3" s="79"/>
      <c r="UN3" s="79"/>
      <c r="UO3" s="79"/>
      <c r="UP3" s="79"/>
      <c r="UQ3" s="79"/>
      <c r="UR3" s="79"/>
      <c r="US3" s="79"/>
      <c r="UT3" s="79"/>
      <c r="UU3" s="79"/>
      <c r="UV3" s="79"/>
      <c r="UW3" s="79"/>
      <c r="UX3" s="79"/>
      <c r="UY3" s="79"/>
      <c r="UZ3" s="79"/>
      <c r="VA3" s="79"/>
      <c r="VB3" s="79"/>
      <c r="VC3" s="79"/>
      <c r="VD3" s="79"/>
      <c r="VE3" s="79"/>
      <c r="VF3" s="79"/>
      <c r="VG3" s="79"/>
      <c r="VH3" s="79"/>
      <c r="VI3" s="79"/>
      <c r="VJ3" s="79"/>
      <c r="VK3" s="79"/>
      <c r="VL3" s="79"/>
      <c r="VM3" s="79"/>
      <c r="VN3" s="79"/>
      <c r="VO3" s="79"/>
      <c r="VP3" s="79"/>
      <c r="VQ3" s="79"/>
      <c r="VR3" s="79"/>
      <c r="VS3" s="79"/>
      <c r="VT3" s="79"/>
      <c r="VU3" s="79"/>
      <c r="VV3" s="79"/>
      <c r="VW3" s="79"/>
      <c r="VX3" s="79"/>
      <c r="VY3" s="79"/>
      <c r="VZ3" s="79"/>
      <c r="WA3" s="79"/>
      <c r="WB3" s="79"/>
      <c r="WC3" s="79"/>
      <c r="WD3" s="79"/>
      <c r="WE3" s="79"/>
      <c r="WF3" s="79"/>
      <c r="WG3" s="79"/>
      <c r="WH3" s="79"/>
      <c r="WI3" s="79"/>
      <c r="WJ3" s="79"/>
      <c r="WK3" s="79"/>
      <c r="WL3" s="79"/>
      <c r="WM3" s="79"/>
      <c r="WN3" s="79"/>
      <c r="WO3" s="79"/>
      <c r="WP3" s="79"/>
      <c r="WQ3" s="79"/>
      <c r="WR3" s="79"/>
      <c r="WS3" s="79"/>
      <c r="WT3" s="79"/>
      <c r="WU3" s="79"/>
      <c r="WV3" s="79"/>
      <c r="WW3" s="79"/>
      <c r="WX3" s="79"/>
      <c r="WY3" s="79"/>
      <c r="WZ3" s="79"/>
      <c r="XA3" s="79"/>
      <c r="XB3" s="79"/>
      <c r="XC3" s="79"/>
      <c r="XD3" s="79"/>
      <c r="XE3" s="79"/>
      <c r="XF3" s="79"/>
      <c r="XG3" s="79"/>
      <c r="XH3" s="79"/>
      <c r="XI3" s="79"/>
      <c r="XJ3" s="79"/>
      <c r="XK3" s="79"/>
      <c r="XL3" s="79"/>
      <c r="XM3" s="79"/>
      <c r="XN3" s="79"/>
      <c r="XO3" s="79"/>
      <c r="XP3" s="79"/>
      <c r="XQ3" s="79"/>
      <c r="XR3" s="79"/>
      <c r="XS3" s="79"/>
      <c r="XT3" s="79"/>
      <c r="XU3" s="79"/>
      <c r="XV3" s="79"/>
      <c r="XW3" s="79"/>
      <c r="XX3" s="79"/>
      <c r="XY3" s="79"/>
      <c r="XZ3" s="79"/>
      <c r="YA3" s="79"/>
      <c r="YB3" s="79"/>
      <c r="YC3" s="79"/>
      <c r="YD3" s="79"/>
      <c r="YE3" s="79"/>
      <c r="YF3" s="79"/>
      <c r="YG3" s="79"/>
      <c r="YH3" s="79"/>
      <c r="YI3" s="79"/>
      <c r="YJ3" s="79"/>
      <c r="YK3" s="79"/>
      <c r="YL3" s="79"/>
      <c r="YM3" s="79"/>
      <c r="YN3" s="79"/>
      <c r="YO3" s="79"/>
      <c r="YP3" s="79"/>
      <c r="YQ3" s="79"/>
      <c r="YR3" s="79"/>
      <c r="YS3" s="79"/>
      <c r="YT3" s="79"/>
      <c r="YU3" s="79"/>
      <c r="YV3" s="79"/>
      <c r="YW3" s="79"/>
      <c r="YX3" s="79"/>
      <c r="YY3" s="79"/>
      <c r="YZ3" s="79"/>
      <c r="ZA3" s="79"/>
      <c r="ZB3" s="79"/>
      <c r="ZC3" s="79"/>
      <c r="ZD3" s="79"/>
      <c r="ZE3" s="79"/>
      <c r="ZF3" s="79"/>
      <c r="ZG3" s="79"/>
      <c r="ZH3" s="79"/>
      <c r="ZI3" s="79"/>
      <c r="ZJ3" s="79"/>
      <c r="ZK3" s="79"/>
      <c r="ZL3" s="79"/>
      <c r="ZM3" s="79"/>
      <c r="ZN3" s="79"/>
      <c r="ZO3" s="79"/>
      <c r="ZP3" s="79"/>
      <c r="ZQ3" s="79"/>
      <c r="ZR3" s="79"/>
      <c r="ZS3" s="79"/>
      <c r="ZT3" s="79"/>
      <c r="ZU3" s="79"/>
      <c r="ZV3" s="79"/>
      <c r="ZW3" s="79"/>
      <c r="ZX3" s="79"/>
      <c r="ZY3" s="79"/>
      <c r="ZZ3" s="79"/>
      <c r="AAA3" s="79"/>
      <c r="AAB3" s="79"/>
      <c r="AAC3" s="79"/>
      <c r="AAD3" s="79"/>
      <c r="AAE3" s="79"/>
      <c r="AAF3" s="79"/>
      <c r="AAG3" s="79"/>
      <c r="AAH3" s="79"/>
      <c r="AAI3" s="79"/>
      <c r="AAJ3" s="79"/>
      <c r="AAK3" s="79"/>
      <c r="AAL3" s="79"/>
      <c r="AAM3" s="79"/>
      <c r="AAN3" s="79"/>
      <c r="AAO3" s="79"/>
      <c r="AAP3" s="79"/>
      <c r="AAQ3" s="79"/>
      <c r="AAR3" s="79"/>
      <c r="AAS3" s="79"/>
      <c r="AAT3" s="79"/>
      <c r="AAU3" s="79"/>
      <c r="AAV3" s="79"/>
      <c r="AAW3" s="79"/>
      <c r="AAX3" s="79"/>
      <c r="AAY3" s="79"/>
      <c r="AAZ3" s="79"/>
      <c r="ABA3" s="79"/>
      <c r="ABB3" s="79"/>
      <c r="ABC3" s="79"/>
      <c r="ABD3" s="79"/>
      <c r="ABE3" s="79"/>
      <c r="ABF3" s="79"/>
      <c r="ABG3" s="79"/>
      <c r="ABH3" s="79"/>
      <c r="ABI3" s="79"/>
      <c r="ABJ3" s="79"/>
      <c r="ABK3" s="79"/>
      <c r="ABL3" s="79"/>
      <c r="ABM3" s="79"/>
      <c r="ABN3" s="79"/>
      <c r="ABO3" s="79"/>
      <c r="ABP3" s="79"/>
      <c r="ABQ3" s="79"/>
      <c r="ABR3" s="79"/>
      <c r="ABS3" s="79"/>
      <c r="ABT3" s="79"/>
      <c r="ABU3" s="79"/>
      <c r="ABV3" s="79"/>
      <c r="ABW3" s="79"/>
      <c r="ABX3" s="79"/>
      <c r="ABY3" s="79"/>
      <c r="ABZ3" s="79"/>
      <c r="ACA3" s="79"/>
      <c r="ACB3" s="79"/>
      <c r="ACC3" s="79"/>
      <c r="ACD3" s="79"/>
      <c r="ACE3" s="79"/>
      <c r="ACF3" s="79"/>
      <c r="ACG3" s="79"/>
      <c r="ACH3" s="79"/>
      <c r="ACI3" s="79"/>
      <c r="ACJ3" s="79"/>
      <c r="ACK3" s="79"/>
      <c r="ACL3" s="79"/>
      <c r="ACM3" s="79"/>
      <c r="ACN3" s="79"/>
      <c r="ACO3" s="79"/>
      <c r="ACP3" s="79"/>
      <c r="ACQ3" s="79"/>
      <c r="ACR3" s="79"/>
      <c r="ACS3" s="79"/>
      <c r="ACT3" s="79"/>
      <c r="ACU3" s="79"/>
      <c r="ACV3" s="79"/>
      <c r="ACW3" s="79"/>
      <c r="ACX3" s="79"/>
      <c r="ACY3" s="79"/>
      <c r="ACZ3" s="79"/>
      <c r="ADA3" s="79"/>
      <c r="ADB3" s="79"/>
      <c r="ADC3" s="79"/>
      <c r="ADD3" s="79"/>
      <c r="ADE3" s="79"/>
      <c r="ADF3" s="79"/>
      <c r="ADG3" s="79"/>
      <c r="ADH3" s="79"/>
      <c r="ADI3" s="79"/>
      <c r="ADJ3" s="79"/>
      <c r="ADK3" s="79"/>
      <c r="ADL3" s="79"/>
      <c r="ADM3" s="79"/>
      <c r="ADN3" s="79"/>
      <c r="ADO3" s="79"/>
      <c r="ADP3" s="79"/>
      <c r="ADQ3" s="79"/>
      <c r="ADR3" s="79"/>
      <c r="ADS3" s="79"/>
      <c r="ADT3" s="79"/>
      <c r="ADU3" s="79"/>
      <c r="ADV3" s="79"/>
      <c r="ADW3" s="79"/>
      <c r="ADX3" s="79"/>
      <c r="ADY3" s="79"/>
      <c r="ADZ3" s="79"/>
      <c r="AEA3" s="79"/>
      <c r="AEB3" s="79"/>
      <c r="AEC3" s="79"/>
      <c r="AED3" s="79"/>
      <c r="AEE3" s="79"/>
      <c r="AEF3" s="79"/>
      <c r="AEG3" s="79"/>
      <c r="AEH3" s="79"/>
      <c r="AEI3" s="79"/>
      <c r="AEJ3" s="79"/>
      <c r="AEK3" s="79"/>
      <c r="AEL3" s="79"/>
      <c r="AEM3" s="79"/>
      <c r="AEN3" s="79"/>
      <c r="AEO3" s="79"/>
      <c r="AEP3" s="79"/>
      <c r="AEQ3" s="79"/>
      <c r="AER3" s="79"/>
      <c r="AES3" s="79"/>
      <c r="AET3" s="79"/>
      <c r="AEU3" s="79"/>
      <c r="AEV3" s="79"/>
      <c r="AEW3" s="79"/>
      <c r="AEX3" s="79"/>
      <c r="AEY3" s="79"/>
      <c r="AEZ3" s="79"/>
      <c r="AFA3" s="79"/>
      <c r="AFB3" s="79"/>
      <c r="AFC3" s="79"/>
      <c r="AFD3" s="79"/>
      <c r="AFE3" s="79"/>
      <c r="AFF3" s="79"/>
      <c r="AFG3" s="79"/>
      <c r="AFH3" s="79"/>
      <c r="AFI3" s="79"/>
      <c r="AFJ3" s="79"/>
      <c r="AFK3" s="79"/>
      <c r="AFL3" s="79"/>
      <c r="AFM3" s="79"/>
      <c r="AFN3" s="79"/>
      <c r="AFO3" s="79"/>
      <c r="AFP3" s="79"/>
      <c r="AFQ3" s="79"/>
      <c r="AFR3" s="79"/>
      <c r="AFS3" s="79"/>
      <c r="AFT3" s="79"/>
      <c r="AFU3" s="79"/>
      <c r="AFV3" s="79"/>
      <c r="AFW3" s="79"/>
      <c r="AFX3" s="79"/>
      <c r="AFY3" s="79"/>
      <c r="AFZ3" s="79"/>
      <c r="AGA3" s="79"/>
      <c r="AGB3" s="79"/>
      <c r="AGC3" s="79"/>
      <c r="AGD3" s="79"/>
      <c r="AGE3" s="79"/>
      <c r="AGF3" s="79"/>
      <c r="AGG3" s="79"/>
      <c r="AGH3" s="79"/>
      <c r="AGI3" s="79"/>
      <c r="AGJ3" s="79"/>
      <c r="AGK3" s="79"/>
      <c r="AGL3" s="79"/>
      <c r="AGM3" s="79"/>
      <c r="AGN3" s="79"/>
      <c r="AGO3" s="79"/>
      <c r="AGP3" s="79"/>
      <c r="AGQ3" s="79"/>
      <c r="AGR3" s="79"/>
      <c r="AGS3" s="79"/>
      <c r="AGT3" s="79"/>
      <c r="AGU3" s="79"/>
      <c r="AGV3" s="79"/>
      <c r="AGW3" s="79"/>
      <c r="AGX3" s="79"/>
      <c r="AGY3" s="79"/>
      <c r="AGZ3" s="79"/>
      <c r="AHA3" s="79"/>
      <c r="AHB3" s="79"/>
      <c r="AHC3" s="79"/>
      <c r="AHD3" s="79"/>
      <c r="AHE3" s="79"/>
      <c r="AHF3" s="79"/>
      <c r="AHG3" s="79"/>
      <c r="AHH3" s="79"/>
      <c r="AHI3" s="79"/>
      <c r="AHJ3" s="79"/>
      <c r="AHK3" s="79"/>
      <c r="AHL3" s="79"/>
      <c r="AHM3" s="79"/>
      <c r="AHN3" s="79"/>
      <c r="AHO3" s="79"/>
      <c r="AHP3" s="79"/>
      <c r="AHQ3" s="79"/>
      <c r="AHR3" s="79"/>
      <c r="AHS3" s="79"/>
      <c r="AHT3" s="79"/>
      <c r="AHU3" s="79"/>
      <c r="AHV3" s="79"/>
      <c r="AHW3" s="79"/>
      <c r="AHX3" s="79"/>
      <c r="AHY3" s="79"/>
      <c r="AHZ3" s="79"/>
      <c r="AIA3" s="79"/>
      <c r="AIB3" s="79"/>
      <c r="AIC3" s="79"/>
      <c r="AID3" s="79"/>
      <c r="AIE3" s="79"/>
      <c r="AIF3" s="79"/>
      <c r="AIG3" s="79"/>
      <c r="AIH3" s="79"/>
      <c r="AII3" s="79"/>
      <c r="AIJ3" s="79"/>
      <c r="AIK3" s="79"/>
      <c r="AIL3" s="79"/>
      <c r="AIM3" s="79"/>
      <c r="AIN3" s="79"/>
      <c r="AIO3" s="79"/>
      <c r="AIP3" s="79"/>
      <c r="AIQ3" s="79"/>
      <c r="AIR3" s="79"/>
      <c r="AIS3" s="79"/>
      <c r="AIT3" s="79"/>
      <c r="AIU3" s="79"/>
      <c r="AIV3" s="79"/>
      <c r="AIW3" s="79"/>
      <c r="AIX3" s="79"/>
      <c r="AIY3" s="79"/>
      <c r="AIZ3" s="79"/>
      <c r="AJA3" s="79"/>
      <c r="AJB3" s="79"/>
      <c r="AJC3" s="79"/>
      <c r="AJD3" s="79"/>
      <c r="AJE3" s="79"/>
      <c r="AJF3" s="79"/>
      <c r="AJG3" s="79"/>
      <c r="AJH3" s="79"/>
      <c r="AJI3" s="79"/>
      <c r="AJJ3" s="79"/>
      <c r="AJK3" s="79"/>
      <c r="AJL3" s="79"/>
      <c r="AJM3" s="79"/>
      <c r="AJN3" s="79"/>
      <c r="AJO3" s="79"/>
      <c r="AJP3" s="79"/>
      <c r="AJQ3" s="79"/>
      <c r="AJR3" s="79"/>
      <c r="AJS3" s="79"/>
      <c r="AJT3" s="79"/>
      <c r="AJU3" s="79"/>
      <c r="AJV3" s="79"/>
      <c r="AJW3" s="79"/>
      <c r="AJX3" s="79"/>
      <c r="AJY3" s="79"/>
      <c r="AJZ3" s="79"/>
      <c r="AKA3" s="79"/>
      <c r="AKB3" s="79"/>
      <c r="AKC3" s="79"/>
      <c r="AKD3" s="79"/>
      <c r="AKE3" s="79"/>
      <c r="AKF3" s="79"/>
      <c r="AKG3" s="79"/>
      <c r="AKH3" s="79"/>
      <c r="AKI3" s="79"/>
      <c r="AKJ3" s="79"/>
      <c r="AKK3" s="79"/>
      <c r="AKL3" s="79"/>
      <c r="AKM3" s="79"/>
      <c r="AKN3" s="79"/>
      <c r="AKO3" s="79"/>
      <c r="AKP3" s="79"/>
      <c r="AKQ3" s="79"/>
      <c r="AKR3" s="79"/>
      <c r="AKS3" s="79"/>
      <c r="AKT3" s="79"/>
      <c r="AKU3" s="79"/>
      <c r="AKV3" s="79"/>
      <c r="AKW3" s="79"/>
      <c r="AKX3" s="79"/>
      <c r="AKY3" s="79"/>
      <c r="AKZ3" s="79"/>
      <c r="ALA3" s="79"/>
      <c r="ALB3" s="79"/>
      <c r="ALC3" s="79"/>
      <c r="ALD3" s="79"/>
      <c r="ALE3" s="79"/>
      <c r="ALF3" s="79"/>
      <c r="ALG3" s="79"/>
      <c r="ALH3" s="79"/>
      <c r="ALI3" s="79"/>
      <c r="ALJ3" s="79"/>
      <c r="ALK3" s="79"/>
      <c r="ALL3" s="79"/>
      <c r="ALM3" s="79"/>
      <c r="ALN3" s="79"/>
      <c r="ALO3" s="79"/>
      <c r="ALP3" s="79"/>
      <c r="ALQ3" s="79"/>
      <c r="ALR3" s="79"/>
      <c r="ALS3" s="79"/>
      <c r="ALT3" s="79"/>
      <c r="ALU3" s="79"/>
      <c r="ALV3" s="79"/>
      <c r="ALW3" s="79"/>
      <c r="ALX3" s="79"/>
      <c r="ALY3" s="79"/>
      <c r="ALZ3" s="79"/>
      <c r="AMA3" s="84">
        <v>67042.774658027396</v>
      </c>
      <c r="AMB3" s="84">
        <v>71841.183585313207</v>
      </c>
      <c r="AMC3" s="84">
        <v>67042.774658027396</v>
      </c>
      <c r="AMD3" s="84">
        <v>50651.835853131699</v>
      </c>
      <c r="AME3" s="84">
        <v>67042.774658027396</v>
      </c>
      <c r="AMF3" s="84">
        <v>50651.835853131699</v>
      </c>
      <c r="AMG3" s="84">
        <v>28693.57</v>
      </c>
      <c r="AMH3" s="84">
        <v>28693.57</v>
      </c>
      <c r="AMI3" s="84">
        <v>67042.774658027396</v>
      </c>
      <c r="AMJ3" s="84">
        <v>45703.887688984898</v>
      </c>
      <c r="AMK3" s="84">
        <v>4350</v>
      </c>
      <c r="AML3" s="84">
        <v>3030.4285714285702</v>
      </c>
      <c r="AMM3" s="84">
        <v>28693.57</v>
      </c>
      <c r="AMN3" s="84">
        <v>12188.43</v>
      </c>
      <c r="AMO3" s="84">
        <v>28693.57</v>
      </c>
      <c r="AMP3" s="84">
        <v>12188.43</v>
      </c>
      <c r="AMQ3" s="84">
        <v>28693.57</v>
      </c>
      <c r="AMR3" s="84">
        <v>2190.85</v>
      </c>
      <c r="AMS3" s="84">
        <v>28693.57</v>
      </c>
      <c r="AMT3" s="84">
        <v>12188.43</v>
      </c>
      <c r="AMU3" s="84">
        <v>9452.5853167774203</v>
      </c>
      <c r="AMV3" s="84">
        <v>6394.1762324585097</v>
      </c>
      <c r="AMW3" s="84">
        <v>67042.774658027396</v>
      </c>
      <c r="AMX3" s="84">
        <v>5037.3426291926298</v>
      </c>
      <c r="AMY3" s="84">
        <v>49800</v>
      </c>
      <c r="AMZ3" s="84">
        <v>12002.4</v>
      </c>
      <c r="ANA3" s="84">
        <v>49800</v>
      </c>
      <c r="ANB3" s="84">
        <v>12002.4</v>
      </c>
      <c r="ANC3" s="84">
        <v>33928.980000000003</v>
      </c>
      <c r="AND3" s="84">
        <v>28693.57</v>
      </c>
      <c r="ANE3" s="84">
        <v>49800</v>
      </c>
      <c r="ANF3" s="84">
        <v>32760</v>
      </c>
      <c r="ANG3" s="84">
        <v>33928.980000000003</v>
      </c>
      <c r="ANH3" s="84">
        <v>12188.43</v>
      </c>
      <c r="ANI3" s="84">
        <v>71841.183585313207</v>
      </c>
      <c r="ANJ3" s="84">
        <v>29543.7753779698</v>
      </c>
      <c r="ANK3" s="84">
        <v>33928.980000000003</v>
      </c>
      <c r="ANL3" s="84">
        <v>12188.43</v>
      </c>
      <c r="ANM3" s="84">
        <v>33928.980000000003</v>
      </c>
      <c r="ANN3" s="84">
        <v>2190.85</v>
      </c>
      <c r="ANO3" s="84">
        <v>33928.980000000003</v>
      </c>
      <c r="ANP3" s="84">
        <v>12188.43</v>
      </c>
      <c r="ANQ3" s="84">
        <v>28720.192740462298</v>
      </c>
      <c r="ANR3" s="84">
        <v>6394.1762324585097</v>
      </c>
      <c r="ANS3" s="84">
        <v>49800</v>
      </c>
      <c r="ANT3" s="84">
        <v>1816.5471237521799</v>
      </c>
      <c r="ANU3" s="84">
        <v>12002.4</v>
      </c>
      <c r="ANV3" s="84">
        <v>12002.4</v>
      </c>
      <c r="ANW3" s="84">
        <v>9854.51</v>
      </c>
      <c r="ANX3" s="84">
        <v>28693.57</v>
      </c>
      <c r="ANY3" s="84">
        <v>12002.4</v>
      </c>
      <c r="ANZ3" s="84">
        <v>32760</v>
      </c>
      <c r="AOA3" s="84">
        <v>9854.51</v>
      </c>
      <c r="AOB3" s="84">
        <v>12188.43</v>
      </c>
      <c r="AOC3" s="84">
        <v>50651.835853131699</v>
      </c>
      <c r="AOD3" s="84">
        <v>29543.7753779698</v>
      </c>
      <c r="AOE3" s="84">
        <v>9854.51</v>
      </c>
      <c r="AOF3" s="84">
        <v>12188.43</v>
      </c>
      <c r="AOG3" s="84">
        <v>9854.51</v>
      </c>
      <c r="AOH3" s="84">
        <v>2190.85</v>
      </c>
      <c r="AOI3" s="84">
        <v>9854.51</v>
      </c>
      <c r="AOJ3" s="84">
        <v>12188.43</v>
      </c>
      <c r="AOK3" s="84">
        <v>4501.69888463182</v>
      </c>
      <c r="AOL3" s="84">
        <v>6394.1762324585097</v>
      </c>
      <c r="AOM3" s="84">
        <v>12002.4</v>
      </c>
      <c r="AON3" s="84">
        <v>1816.5471237521799</v>
      </c>
      <c r="AOO3" s="84">
        <v>9854.51</v>
      </c>
      <c r="AOP3" s="84">
        <v>28693.57</v>
      </c>
      <c r="AOQ3" s="84">
        <v>12002.4</v>
      </c>
      <c r="AOR3" s="84">
        <v>32760</v>
      </c>
      <c r="AOS3" s="84">
        <v>9854.51</v>
      </c>
      <c r="AOT3" s="84">
        <v>12188.43</v>
      </c>
      <c r="AOU3" s="84">
        <v>50651.835853131699</v>
      </c>
      <c r="AOV3" s="84">
        <v>29543.7753779698</v>
      </c>
      <c r="AOW3" s="84">
        <v>9854.51</v>
      </c>
      <c r="AOX3" s="84">
        <v>12188.43</v>
      </c>
      <c r="AOY3" s="84">
        <v>9854.51</v>
      </c>
      <c r="AOZ3" s="84">
        <v>2190.85</v>
      </c>
      <c r="APA3" s="84">
        <v>9854.51</v>
      </c>
      <c r="APB3" s="84">
        <v>12188.43</v>
      </c>
      <c r="APC3" s="84">
        <v>4501.69888463182</v>
      </c>
      <c r="APD3" s="84">
        <v>6394.1762324585097</v>
      </c>
      <c r="APE3" s="84">
        <v>12002.4</v>
      </c>
      <c r="APF3" s="84">
        <v>1816.5471237521799</v>
      </c>
      <c r="APG3" s="84">
        <v>28693.57</v>
      </c>
      <c r="APH3" s="84">
        <v>17959.95</v>
      </c>
      <c r="API3" s="84">
        <v>4350</v>
      </c>
      <c r="APJ3" s="84">
        <v>3030.4285714285702</v>
      </c>
      <c r="APK3" s="84">
        <v>4350</v>
      </c>
      <c r="APL3" s="84">
        <v>3881.1428571428601</v>
      </c>
      <c r="APM3" s="84">
        <v>28693.57</v>
      </c>
      <c r="APN3" s="84">
        <v>12188.43</v>
      </c>
      <c r="APO3" s="84">
        <v>4350</v>
      </c>
      <c r="APP3" s="84">
        <v>2654.1428571428601</v>
      </c>
      <c r="APQ3" s="84">
        <v>23570.0828678086</v>
      </c>
      <c r="APR3" s="84">
        <v>3928.3471446347698</v>
      </c>
      <c r="APS3" s="84">
        <v>23570.0828678086</v>
      </c>
      <c r="APT3" s="84">
        <v>6394.1762324585097</v>
      </c>
      <c r="APU3" s="84">
        <v>28693.57</v>
      </c>
      <c r="APV3" s="84">
        <v>1113.3721403358099</v>
      </c>
      <c r="APW3" s="84">
        <v>17959.95</v>
      </c>
      <c r="APX3" s="84">
        <v>12188.43</v>
      </c>
      <c r="APY3" s="84">
        <v>45703.887688984898</v>
      </c>
      <c r="APZ3" s="84">
        <v>29543.7753779698</v>
      </c>
      <c r="AQA3" s="84">
        <v>17959.95</v>
      </c>
      <c r="AQB3" s="84">
        <v>12188.43</v>
      </c>
      <c r="AQC3" s="84">
        <v>17959.95</v>
      </c>
      <c r="AQD3" s="84">
        <v>2190.85</v>
      </c>
      <c r="AQE3" s="84">
        <v>17959.95</v>
      </c>
      <c r="AQF3" s="84">
        <v>12188.43</v>
      </c>
      <c r="AQG3" s="84">
        <v>10373.291678801201</v>
      </c>
      <c r="AQH3" s="84">
        <v>6394.1762324585097</v>
      </c>
      <c r="AQI3" s="84">
        <v>32760</v>
      </c>
      <c r="AQJ3" s="84">
        <v>1816.5471237521799</v>
      </c>
      <c r="AQK3" s="84">
        <v>3030.4285714285702</v>
      </c>
      <c r="AQL3" s="84">
        <v>3881.1428571428601</v>
      </c>
      <c r="AQM3" s="84">
        <v>3030.4285714285702</v>
      </c>
      <c r="AQN3" s="84">
        <v>3030.4285714285702</v>
      </c>
      <c r="AQO3" s="84">
        <v>3030.4285714285702</v>
      </c>
      <c r="AQP3" s="84">
        <v>2654.1428571428601</v>
      </c>
      <c r="AQQ3" s="84">
        <v>4623.8823529411802</v>
      </c>
      <c r="AQR3" s="84">
        <v>4623.8823529411802</v>
      </c>
      <c r="AQS3" s="84">
        <v>4951.3542135500802</v>
      </c>
      <c r="AQT3" s="84">
        <v>6394.1762324585097</v>
      </c>
      <c r="AQU3" s="84">
        <v>12188.43</v>
      </c>
      <c r="AQV3" s="84">
        <v>1113.3721403358099</v>
      </c>
      <c r="AQW3" s="84">
        <v>3881.1428571428601</v>
      </c>
      <c r="AQX3" s="84">
        <v>3030.4285714285702</v>
      </c>
      <c r="AQY3" s="84">
        <v>3881.1428571428601</v>
      </c>
      <c r="AQZ3" s="84">
        <v>2654.1428571428601</v>
      </c>
      <c r="ARA3" s="84">
        <v>12188.43</v>
      </c>
      <c r="ARB3" s="84">
        <v>12188.43</v>
      </c>
      <c r="ARC3" s="84">
        <v>33827</v>
      </c>
      <c r="ARD3" s="84">
        <v>10736.234165471</v>
      </c>
      <c r="ARE3" s="84">
        <v>29543.7753779698</v>
      </c>
      <c r="ARF3" s="84">
        <v>5037.3426291926298</v>
      </c>
      <c r="ARG3" s="84">
        <v>3030.4285714285702</v>
      </c>
      <c r="ARH3" s="84">
        <v>2654.1428571428601</v>
      </c>
      <c r="ARI3" s="84">
        <v>2446.2732179260702</v>
      </c>
      <c r="ARJ3" s="84">
        <v>3928.3471446347698</v>
      </c>
      <c r="ARK3" s="84">
        <v>2446.2732179260702</v>
      </c>
      <c r="ARL3" s="84">
        <v>6394.1762324585097</v>
      </c>
      <c r="ARM3" s="84">
        <v>12188.43</v>
      </c>
      <c r="ARN3" s="84">
        <v>1113.3721403358099</v>
      </c>
      <c r="ARO3" s="84">
        <v>18.910955873175599</v>
      </c>
      <c r="ARP3" s="84">
        <v>3928.3471446347698</v>
      </c>
      <c r="ARQ3" s="84">
        <v>18.910955873175599</v>
      </c>
      <c r="ARR3" s="84">
        <v>6394.1762324585097</v>
      </c>
      <c r="ARS3" s="84">
        <v>2190.85</v>
      </c>
      <c r="ART3" s="84">
        <v>1113.3721403358099</v>
      </c>
      <c r="ARU3" s="84">
        <v>22628.400000000001</v>
      </c>
      <c r="ARV3" s="84">
        <v>10736.234165471</v>
      </c>
      <c r="ARW3" s="84">
        <v>12188.43</v>
      </c>
      <c r="ARX3" s="84">
        <v>1113.3721403358099</v>
      </c>
      <c r="ARY3" s="84">
        <v>6394.1762324585097</v>
      </c>
      <c r="ARZ3" s="84">
        <v>527.53417454467103</v>
      </c>
    </row>
    <row r="4" spans="1:1170" ht="16.5" customHeight="1" thickBot="1" x14ac:dyDescent="0.4">
      <c r="A4" s="126" t="s">
        <v>811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79"/>
      <c r="P4" s="79"/>
      <c r="Q4" s="79"/>
      <c r="R4" s="79"/>
      <c r="S4" s="79"/>
      <c r="T4" s="79"/>
      <c r="U4" s="79"/>
      <c r="V4" s="79"/>
      <c r="W4" s="102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  <c r="IV4" s="79"/>
      <c r="IW4" s="79"/>
      <c r="IX4" s="79"/>
      <c r="IY4" s="79"/>
      <c r="IZ4" s="79"/>
      <c r="JA4" s="79"/>
      <c r="JB4" s="79"/>
      <c r="JC4" s="79"/>
      <c r="JD4" s="79"/>
      <c r="JE4" s="79"/>
      <c r="JF4" s="79"/>
      <c r="JG4" s="79"/>
      <c r="JH4" s="79"/>
      <c r="JI4" s="79"/>
      <c r="JJ4" s="79"/>
      <c r="JK4" s="79"/>
      <c r="JL4" s="79"/>
      <c r="JM4" s="79"/>
      <c r="JN4" s="79"/>
      <c r="JO4" s="79"/>
      <c r="JP4" s="79"/>
      <c r="JQ4" s="79"/>
      <c r="JR4" s="79"/>
      <c r="JS4" s="79"/>
      <c r="JT4" s="79"/>
      <c r="JU4" s="79"/>
      <c r="JV4" s="79"/>
      <c r="JW4" s="79"/>
      <c r="JX4" s="79"/>
      <c r="JY4" s="79"/>
      <c r="JZ4" s="79"/>
      <c r="KA4" s="79"/>
      <c r="KB4" s="79"/>
      <c r="KC4" s="79"/>
      <c r="KD4" s="79"/>
      <c r="KE4" s="79"/>
      <c r="KF4" s="79"/>
      <c r="KG4" s="79"/>
      <c r="KH4" s="79"/>
      <c r="KI4" s="79"/>
      <c r="KJ4" s="79"/>
      <c r="KK4" s="79"/>
      <c r="KL4" s="79"/>
      <c r="KM4" s="79"/>
      <c r="KN4" s="79"/>
      <c r="KO4" s="79"/>
      <c r="KP4" s="79"/>
      <c r="KQ4" s="79"/>
      <c r="KR4" s="79"/>
      <c r="KS4" s="79"/>
      <c r="KT4" s="79"/>
      <c r="KU4" s="79"/>
      <c r="KV4" s="79"/>
      <c r="KW4" s="79"/>
      <c r="KX4" s="79"/>
      <c r="KY4" s="79"/>
      <c r="KZ4" s="79"/>
      <c r="LA4" s="79"/>
      <c r="LB4" s="79"/>
      <c r="LC4" s="79"/>
      <c r="LD4" s="79"/>
      <c r="LE4" s="79"/>
      <c r="LF4" s="79"/>
      <c r="LG4" s="79"/>
      <c r="LH4" s="79"/>
      <c r="LI4" s="79"/>
      <c r="LJ4" s="79"/>
      <c r="LK4" s="79"/>
      <c r="LL4" s="79"/>
      <c r="LM4" s="79"/>
      <c r="LN4" s="79"/>
      <c r="LO4" s="79"/>
      <c r="LP4" s="79"/>
      <c r="LQ4" s="79"/>
      <c r="LR4" s="79"/>
      <c r="LS4" s="79"/>
      <c r="LT4" s="79"/>
      <c r="LU4" s="79"/>
      <c r="LV4" s="79"/>
      <c r="LW4" s="79"/>
      <c r="LX4" s="79"/>
      <c r="LY4" s="79"/>
      <c r="LZ4" s="79"/>
      <c r="MA4" s="79"/>
      <c r="MB4" s="79"/>
      <c r="MC4" s="79"/>
      <c r="MD4" s="79"/>
      <c r="ME4" s="79"/>
      <c r="MF4" s="79"/>
      <c r="MG4" s="79"/>
      <c r="MH4" s="79"/>
      <c r="MI4" s="79"/>
      <c r="MJ4" s="79"/>
      <c r="MK4" s="79"/>
      <c r="ML4" s="79"/>
      <c r="MM4" s="79"/>
      <c r="MN4" s="79"/>
      <c r="MO4" s="79"/>
      <c r="MP4" s="79"/>
      <c r="MQ4" s="79"/>
      <c r="MR4" s="79"/>
      <c r="MS4" s="79"/>
      <c r="MT4" s="79"/>
      <c r="MU4" s="79"/>
      <c r="MV4" s="79"/>
      <c r="MW4" s="79"/>
      <c r="MX4" s="79"/>
      <c r="MY4" s="79"/>
      <c r="MZ4" s="79"/>
      <c r="NA4" s="79"/>
      <c r="NB4" s="79"/>
      <c r="NC4" s="79"/>
      <c r="ND4" s="79"/>
      <c r="NE4" s="79"/>
      <c r="NF4" s="79"/>
      <c r="NG4" s="79"/>
      <c r="NH4" s="79"/>
      <c r="NI4" s="79"/>
      <c r="NJ4" s="79"/>
      <c r="NK4" s="79"/>
      <c r="NL4" s="79"/>
      <c r="NM4" s="79"/>
      <c r="NN4" s="79"/>
      <c r="NO4" s="79"/>
      <c r="NP4" s="79"/>
      <c r="NQ4" s="79"/>
      <c r="NR4" s="79"/>
      <c r="NS4" s="79"/>
      <c r="NT4" s="79"/>
      <c r="NU4" s="79"/>
      <c r="NV4" s="79"/>
      <c r="NW4" s="79"/>
      <c r="NX4" s="79"/>
      <c r="NY4" s="79"/>
      <c r="NZ4" s="79"/>
      <c r="OA4" s="79"/>
      <c r="OB4" s="79"/>
      <c r="OC4" s="79"/>
      <c r="OD4" s="79"/>
      <c r="OE4" s="79"/>
      <c r="OF4" s="79"/>
      <c r="OG4" s="79"/>
      <c r="OH4" s="79"/>
      <c r="OI4" s="79"/>
      <c r="OJ4" s="79"/>
      <c r="OK4" s="79"/>
      <c r="OL4" s="79"/>
      <c r="OM4" s="79"/>
      <c r="ON4" s="79"/>
      <c r="OO4" s="79"/>
      <c r="OP4" s="79"/>
      <c r="OQ4" s="79"/>
      <c r="OR4" s="79"/>
      <c r="OS4" s="79"/>
      <c r="OT4" s="79"/>
      <c r="OU4" s="79"/>
      <c r="OV4" s="79"/>
      <c r="OW4" s="79"/>
      <c r="OX4" s="79"/>
      <c r="OY4" s="79"/>
      <c r="OZ4" s="79"/>
      <c r="PA4" s="79"/>
      <c r="PB4" s="79"/>
      <c r="PC4" s="79"/>
      <c r="PD4" s="79"/>
      <c r="PE4" s="79"/>
      <c r="PF4" s="79"/>
      <c r="PG4" s="79"/>
      <c r="PH4" s="79"/>
      <c r="PI4" s="79"/>
      <c r="PJ4" s="79"/>
      <c r="PK4" s="79"/>
      <c r="PL4" s="79"/>
      <c r="PM4" s="79"/>
      <c r="PN4" s="79"/>
      <c r="PO4" s="79"/>
      <c r="PP4" s="79"/>
      <c r="PQ4" s="79"/>
      <c r="PR4" s="79"/>
      <c r="PS4" s="79"/>
      <c r="PT4" s="79"/>
      <c r="PU4" s="79"/>
      <c r="PV4" s="79"/>
      <c r="PW4" s="79"/>
      <c r="PX4" s="79"/>
      <c r="PY4" s="79"/>
      <c r="PZ4" s="79"/>
      <c r="QA4" s="79"/>
      <c r="QB4" s="79"/>
      <c r="QC4" s="79"/>
      <c r="QD4" s="79"/>
      <c r="QE4" s="79"/>
      <c r="QF4" s="79"/>
      <c r="QG4" s="79"/>
      <c r="QH4" s="79"/>
      <c r="QI4" s="79"/>
      <c r="QJ4" s="79"/>
      <c r="QK4" s="79"/>
      <c r="QL4" s="79"/>
      <c r="QM4" s="79"/>
      <c r="QN4" s="79"/>
      <c r="QO4" s="79"/>
      <c r="QP4" s="79"/>
      <c r="QQ4" s="79"/>
      <c r="QR4" s="79"/>
      <c r="QS4" s="79"/>
      <c r="QT4" s="79"/>
      <c r="QU4" s="79"/>
      <c r="QV4" s="79"/>
      <c r="QW4" s="79"/>
      <c r="QX4" s="79"/>
      <c r="QY4" s="79"/>
      <c r="QZ4" s="79"/>
      <c r="RA4" s="79"/>
      <c r="RB4" s="79"/>
      <c r="RC4" s="79"/>
      <c r="RD4" s="79"/>
      <c r="RE4" s="79"/>
      <c r="RF4" s="79"/>
      <c r="RG4" s="79"/>
      <c r="RH4" s="79"/>
      <c r="RI4" s="79"/>
      <c r="RJ4" s="79"/>
      <c r="RK4" s="79"/>
      <c r="RL4" s="79"/>
      <c r="RM4" s="79"/>
      <c r="RN4" s="79"/>
      <c r="RO4" s="79"/>
      <c r="RP4" s="79"/>
      <c r="RQ4" s="79"/>
      <c r="RR4" s="79"/>
      <c r="RS4" s="79"/>
      <c r="RT4" s="79"/>
      <c r="RU4" s="79"/>
      <c r="RV4" s="79"/>
      <c r="RW4" s="79"/>
      <c r="RX4" s="79"/>
      <c r="RY4" s="79"/>
      <c r="RZ4" s="79"/>
      <c r="SA4" s="79"/>
      <c r="SB4" s="79"/>
      <c r="SC4" s="79"/>
      <c r="SD4" s="79"/>
      <c r="SE4" s="79"/>
      <c r="SF4" s="79"/>
      <c r="SG4" s="79"/>
      <c r="SH4" s="79"/>
      <c r="SI4" s="79"/>
      <c r="SJ4" s="79"/>
      <c r="SK4" s="79"/>
      <c r="SL4" s="79"/>
      <c r="SM4" s="79"/>
      <c r="SN4" s="79"/>
      <c r="SO4" s="79"/>
      <c r="SP4" s="79"/>
      <c r="SQ4" s="79"/>
      <c r="SR4" s="79"/>
      <c r="SS4" s="79"/>
      <c r="ST4" s="79"/>
      <c r="SU4" s="79"/>
      <c r="SV4" s="79"/>
      <c r="SW4" s="79"/>
      <c r="SX4" s="79"/>
      <c r="SY4" s="79"/>
      <c r="SZ4" s="79"/>
      <c r="TA4" s="79"/>
      <c r="TB4" s="79"/>
      <c r="TC4" s="79"/>
      <c r="TD4" s="79"/>
      <c r="TE4" s="79"/>
      <c r="TF4" s="79"/>
      <c r="TG4" s="79"/>
      <c r="TH4" s="79"/>
      <c r="TI4" s="79"/>
      <c r="TJ4" s="79"/>
      <c r="TK4" s="79"/>
      <c r="TL4" s="79"/>
      <c r="TM4" s="79"/>
      <c r="TN4" s="79"/>
      <c r="TO4" s="79"/>
      <c r="TP4" s="79"/>
      <c r="TQ4" s="79"/>
      <c r="TR4" s="79"/>
      <c r="TS4" s="79"/>
      <c r="TT4" s="79"/>
      <c r="TU4" s="79"/>
      <c r="TV4" s="79"/>
      <c r="TW4" s="79"/>
      <c r="TX4" s="79"/>
      <c r="TY4" s="79"/>
      <c r="TZ4" s="79"/>
      <c r="UA4" s="79"/>
      <c r="UB4" s="79"/>
      <c r="UC4" s="79"/>
      <c r="UD4" s="79"/>
      <c r="UE4" s="79"/>
      <c r="UF4" s="79"/>
      <c r="UG4" s="79"/>
      <c r="UH4" s="79"/>
      <c r="UI4" s="79"/>
      <c r="UJ4" s="79"/>
      <c r="UK4" s="79"/>
      <c r="UL4" s="79"/>
      <c r="UM4" s="79"/>
      <c r="UN4" s="79"/>
      <c r="UO4" s="79"/>
      <c r="UP4" s="79"/>
      <c r="UQ4" s="79"/>
      <c r="UR4" s="79"/>
      <c r="US4" s="79"/>
      <c r="UT4" s="79"/>
      <c r="UU4" s="79"/>
      <c r="UV4" s="79"/>
      <c r="UW4" s="79"/>
      <c r="UX4" s="79"/>
      <c r="UY4" s="79"/>
      <c r="UZ4" s="79"/>
      <c r="VA4" s="79"/>
      <c r="VB4" s="79"/>
      <c r="VC4" s="79"/>
      <c r="VD4" s="79"/>
      <c r="VE4" s="79"/>
      <c r="VF4" s="79"/>
      <c r="VG4" s="79"/>
      <c r="VH4" s="79"/>
      <c r="VI4" s="79"/>
      <c r="VJ4" s="79"/>
      <c r="VK4" s="79"/>
      <c r="VL4" s="79"/>
      <c r="VM4" s="79"/>
      <c r="VN4" s="79"/>
      <c r="VO4" s="79"/>
      <c r="VP4" s="79"/>
      <c r="VQ4" s="79"/>
      <c r="VR4" s="79"/>
      <c r="VS4" s="79"/>
      <c r="VT4" s="79"/>
      <c r="VU4" s="79"/>
      <c r="VV4" s="79"/>
      <c r="VW4" s="79"/>
      <c r="VX4" s="79"/>
      <c r="VY4" s="79"/>
      <c r="VZ4" s="79"/>
      <c r="WA4" s="79"/>
      <c r="WB4" s="79"/>
      <c r="WC4" s="79"/>
      <c r="WD4" s="79"/>
      <c r="WE4" s="79"/>
      <c r="WF4" s="79"/>
      <c r="WG4" s="79"/>
      <c r="WH4" s="79"/>
      <c r="WI4" s="79"/>
      <c r="WJ4" s="79"/>
      <c r="WK4" s="79"/>
      <c r="WL4" s="79"/>
      <c r="WM4" s="79"/>
      <c r="WN4" s="79"/>
      <c r="WO4" s="79"/>
      <c r="WP4" s="79"/>
      <c r="WQ4" s="79"/>
      <c r="WR4" s="79"/>
      <c r="WS4" s="79"/>
      <c r="WT4" s="79"/>
      <c r="WU4" s="79"/>
      <c r="WV4" s="79"/>
      <c r="WW4" s="79"/>
      <c r="WX4" s="79"/>
      <c r="WY4" s="79"/>
      <c r="WZ4" s="79"/>
      <c r="XA4" s="79"/>
      <c r="XB4" s="79"/>
      <c r="XC4" s="79"/>
      <c r="XD4" s="79"/>
      <c r="XE4" s="79"/>
      <c r="XF4" s="79"/>
      <c r="XG4" s="79"/>
      <c r="XH4" s="79"/>
      <c r="XI4" s="79"/>
      <c r="XJ4" s="79"/>
      <c r="XK4" s="79"/>
      <c r="XL4" s="79"/>
      <c r="XM4" s="79"/>
      <c r="XN4" s="79"/>
      <c r="XO4" s="79"/>
      <c r="XP4" s="79"/>
      <c r="XQ4" s="79"/>
      <c r="XR4" s="79"/>
      <c r="XS4" s="79"/>
      <c r="XT4" s="79"/>
      <c r="XU4" s="79"/>
      <c r="XV4" s="79"/>
      <c r="XW4" s="79"/>
      <c r="XX4" s="79"/>
      <c r="XY4" s="79"/>
      <c r="XZ4" s="79"/>
      <c r="YA4" s="79"/>
      <c r="YB4" s="79"/>
      <c r="YC4" s="79"/>
      <c r="YD4" s="79"/>
      <c r="YE4" s="79"/>
      <c r="YF4" s="79"/>
      <c r="YG4" s="79"/>
      <c r="YH4" s="79"/>
      <c r="YI4" s="79"/>
      <c r="YJ4" s="79"/>
      <c r="YK4" s="79"/>
      <c r="YL4" s="79"/>
      <c r="YM4" s="79"/>
      <c r="YN4" s="79"/>
      <c r="YO4" s="79"/>
      <c r="YP4" s="79"/>
      <c r="YQ4" s="79"/>
      <c r="YR4" s="79"/>
      <c r="YS4" s="79"/>
      <c r="YT4" s="79"/>
      <c r="YU4" s="79"/>
      <c r="YV4" s="79"/>
      <c r="YW4" s="79"/>
      <c r="YX4" s="79"/>
      <c r="YY4" s="79"/>
      <c r="YZ4" s="79"/>
      <c r="ZA4" s="79"/>
      <c r="ZB4" s="79"/>
      <c r="ZC4" s="79"/>
      <c r="ZD4" s="79"/>
      <c r="ZE4" s="79"/>
      <c r="ZF4" s="79"/>
      <c r="ZG4" s="79"/>
      <c r="ZH4" s="79"/>
      <c r="ZI4" s="79"/>
      <c r="ZJ4" s="79"/>
      <c r="ZK4" s="79"/>
      <c r="ZL4" s="79"/>
      <c r="ZM4" s="79"/>
      <c r="ZN4" s="79"/>
      <c r="ZO4" s="79"/>
      <c r="ZP4" s="79"/>
      <c r="ZQ4" s="79"/>
      <c r="ZR4" s="79"/>
      <c r="ZS4" s="79"/>
      <c r="ZT4" s="79"/>
      <c r="ZU4" s="79"/>
      <c r="ZV4" s="79"/>
      <c r="ZW4" s="79"/>
      <c r="ZX4" s="79"/>
      <c r="ZY4" s="79"/>
      <c r="ZZ4" s="79"/>
      <c r="AAA4" s="79"/>
      <c r="AAB4" s="79"/>
      <c r="AAC4" s="79"/>
      <c r="AAD4" s="79"/>
      <c r="AAE4" s="79"/>
      <c r="AAF4" s="79"/>
      <c r="AAG4" s="79"/>
      <c r="AAH4" s="79"/>
      <c r="AAI4" s="79"/>
      <c r="AAJ4" s="79"/>
      <c r="AAK4" s="79"/>
      <c r="AAL4" s="79"/>
      <c r="AAM4" s="79"/>
      <c r="AAN4" s="79"/>
      <c r="AAO4" s="79"/>
      <c r="AAP4" s="79"/>
      <c r="AAQ4" s="79"/>
      <c r="AAR4" s="79"/>
      <c r="AAS4" s="79"/>
      <c r="AAT4" s="79"/>
      <c r="AAU4" s="79"/>
      <c r="AAV4" s="79"/>
      <c r="AAW4" s="79"/>
      <c r="AAX4" s="79"/>
      <c r="AAY4" s="79"/>
      <c r="AAZ4" s="79"/>
      <c r="ABA4" s="79"/>
      <c r="ABB4" s="79"/>
      <c r="ABC4" s="79"/>
      <c r="ABD4" s="79"/>
      <c r="ABE4" s="79"/>
      <c r="ABF4" s="79"/>
      <c r="ABG4" s="79"/>
      <c r="ABH4" s="79"/>
      <c r="ABI4" s="79"/>
      <c r="ABJ4" s="79"/>
      <c r="ABK4" s="79"/>
      <c r="ABL4" s="79"/>
      <c r="ABM4" s="79"/>
      <c r="ABN4" s="79"/>
      <c r="ABO4" s="79"/>
      <c r="ABP4" s="79"/>
      <c r="ABQ4" s="79"/>
      <c r="ABR4" s="79"/>
      <c r="ABS4" s="79"/>
      <c r="ABT4" s="79"/>
      <c r="ABU4" s="79"/>
      <c r="ABV4" s="79"/>
      <c r="ABW4" s="79"/>
      <c r="ABX4" s="79"/>
      <c r="ABY4" s="79"/>
      <c r="ABZ4" s="79"/>
      <c r="ACA4" s="79"/>
      <c r="ACB4" s="79"/>
      <c r="ACC4" s="79"/>
      <c r="ACD4" s="79"/>
      <c r="ACE4" s="79"/>
      <c r="ACF4" s="79"/>
      <c r="ACG4" s="79"/>
      <c r="ACH4" s="79"/>
      <c r="ACI4" s="79"/>
      <c r="ACJ4" s="79"/>
      <c r="ACK4" s="79"/>
      <c r="ACL4" s="79"/>
      <c r="ACM4" s="79"/>
      <c r="ACN4" s="79"/>
      <c r="ACO4" s="79"/>
      <c r="ACP4" s="79"/>
      <c r="ACQ4" s="79"/>
      <c r="ACR4" s="79"/>
      <c r="ACS4" s="79"/>
      <c r="ACT4" s="79"/>
      <c r="ACU4" s="79"/>
      <c r="ACV4" s="79"/>
      <c r="ACW4" s="79"/>
      <c r="ACX4" s="79"/>
      <c r="ACY4" s="79"/>
      <c r="ACZ4" s="79"/>
      <c r="ADA4" s="79"/>
      <c r="ADB4" s="79"/>
      <c r="ADC4" s="79"/>
      <c r="ADD4" s="79"/>
      <c r="ADE4" s="79"/>
      <c r="ADF4" s="79"/>
      <c r="ADG4" s="79"/>
      <c r="ADH4" s="79"/>
      <c r="ADI4" s="79"/>
      <c r="ADJ4" s="79"/>
      <c r="ADK4" s="79"/>
      <c r="ADL4" s="79"/>
      <c r="ADM4" s="79"/>
      <c r="ADN4" s="79"/>
      <c r="ADO4" s="79"/>
      <c r="ADP4" s="79"/>
      <c r="ADQ4" s="79"/>
      <c r="ADR4" s="79"/>
      <c r="ADS4" s="79"/>
      <c r="ADT4" s="79"/>
      <c r="ADU4" s="79"/>
      <c r="ADV4" s="79"/>
      <c r="ADW4" s="79"/>
      <c r="ADX4" s="79"/>
      <c r="ADY4" s="79"/>
      <c r="ADZ4" s="79"/>
      <c r="AEA4" s="79"/>
      <c r="AEB4" s="79"/>
      <c r="AEC4" s="79"/>
      <c r="AED4" s="79"/>
      <c r="AEE4" s="79"/>
      <c r="AEF4" s="79"/>
      <c r="AEG4" s="79"/>
      <c r="AEH4" s="79"/>
      <c r="AEI4" s="79"/>
      <c r="AEJ4" s="79"/>
      <c r="AEK4" s="79"/>
      <c r="AEL4" s="79"/>
      <c r="AEM4" s="79"/>
      <c r="AEN4" s="79"/>
      <c r="AEO4" s="79"/>
      <c r="AEP4" s="79"/>
      <c r="AEQ4" s="79"/>
      <c r="AER4" s="79"/>
      <c r="AES4" s="79"/>
      <c r="AET4" s="79"/>
      <c r="AEU4" s="79"/>
      <c r="AEV4" s="79"/>
      <c r="AEW4" s="79"/>
      <c r="AEX4" s="79"/>
      <c r="AEY4" s="79"/>
      <c r="AEZ4" s="79"/>
      <c r="AFA4" s="79"/>
      <c r="AFB4" s="79"/>
      <c r="AFC4" s="79"/>
      <c r="AFD4" s="79"/>
      <c r="AFE4" s="79"/>
      <c r="AFF4" s="79"/>
      <c r="AFG4" s="79"/>
      <c r="AFH4" s="79"/>
      <c r="AFI4" s="79"/>
      <c r="AFJ4" s="79"/>
      <c r="AFK4" s="79"/>
      <c r="AFL4" s="79"/>
      <c r="AFM4" s="79"/>
      <c r="AFN4" s="79"/>
      <c r="AFO4" s="79"/>
      <c r="AFP4" s="79"/>
      <c r="AFQ4" s="79"/>
      <c r="AFR4" s="79"/>
      <c r="AFS4" s="79"/>
      <c r="AFT4" s="79"/>
      <c r="AFU4" s="79"/>
      <c r="AFV4" s="79"/>
      <c r="AFW4" s="79"/>
      <c r="AFX4" s="79"/>
      <c r="AFY4" s="79"/>
      <c r="AFZ4" s="79"/>
      <c r="AGA4" s="79"/>
      <c r="AGB4" s="79"/>
      <c r="AGC4" s="79"/>
      <c r="AGD4" s="79"/>
      <c r="AGE4" s="79"/>
      <c r="AGF4" s="79"/>
      <c r="AGG4" s="79"/>
      <c r="AGH4" s="79"/>
      <c r="AGI4" s="79"/>
      <c r="AGJ4" s="79"/>
      <c r="AGK4" s="79"/>
      <c r="AGL4" s="79"/>
      <c r="AGM4" s="79"/>
      <c r="AGN4" s="79"/>
      <c r="AGO4" s="79"/>
      <c r="AGP4" s="79"/>
      <c r="AGQ4" s="79"/>
      <c r="AGR4" s="79"/>
      <c r="AGS4" s="79"/>
      <c r="AGT4" s="79"/>
      <c r="AGU4" s="79"/>
      <c r="AGV4" s="79"/>
      <c r="AGW4" s="79"/>
      <c r="AGX4" s="79"/>
      <c r="AGY4" s="79"/>
      <c r="AGZ4" s="79"/>
      <c r="AHA4" s="79"/>
      <c r="AHB4" s="79"/>
      <c r="AHC4" s="79"/>
      <c r="AHD4" s="79"/>
      <c r="AHE4" s="79"/>
      <c r="AHF4" s="79"/>
      <c r="AHG4" s="79"/>
      <c r="AHH4" s="79"/>
      <c r="AHI4" s="79"/>
      <c r="AHJ4" s="79"/>
      <c r="AHK4" s="79"/>
      <c r="AHL4" s="79"/>
      <c r="AHM4" s="79"/>
      <c r="AHN4" s="79"/>
      <c r="AHO4" s="79"/>
      <c r="AHP4" s="79"/>
      <c r="AHQ4" s="79"/>
      <c r="AHR4" s="79"/>
      <c r="AHS4" s="79"/>
      <c r="AHT4" s="79"/>
      <c r="AHU4" s="79"/>
      <c r="AHV4" s="79"/>
      <c r="AHW4" s="79"/>
      <c r="AHX4" s="79"/>
      <c r="AHY4" s="79"/>
      <c r="AHZ4" s="79"/>
      <c r="AIA4" s="79"/>
      <c r="AIB4" s="79"/>
      <c r="AIC4" s="79"/>
      <c r="AID4" s="79"/>
      <c r="AIE4" s="79"/>
      <c r="AIF4" s="79"/>
      <c r="AIG4" s="79"/>
      <c r="AIH4" s="79"/>
      <c r="AII4" s="79"/>
      <c r="AIJ4" s="79"/>
      <c r="AIK4" s="79"/>
      <c r="AIL4" s="79"/>
      <c r="AIM4" s="79"/>
      <c r="AIN4" s="79"/>
      <c r="AIO4" s="79"/>
      <c r="AIP4" s="79"/>
      <c r="AIQ4" s="79"/>
      <c r="AIR4" s="79"/>
      <c r="AIS4" s="79"/>
      <c r="AIT4" s="79"/>
      <c r="AIU4" s="79"/>
      <c r="AIV4" s="79"/>
      <c r="AIW4" s="79"/>
      <c r="AIX4" s="79"/>
      <c r="AIY4" s="79"/>
      <c r="AIZ4" s="79"/>
      <c r="AJA4" s="79"/>
      <c r="AJB4" s="79"/>
      <c r="AJC4" s="79"/>
      <c r="AJD4" s="79"/>
      <c r="AJE4" s="79"/>
      <c r="AJF4" s="79"/>
      <c r="AJG4" s="79"/>
      <c r="AJH4" s="79"/>
      <c r="AJI4" s="79"/>
      <c r="AJJ4" s="79"/>
      <c r="AJK4" s="79"/>
      <c r="AJL4" s="79"/>
      <c r="AJM4" s="79"/>
      <c r="AJN4" s="79"/>
      <c r="AJO4" s="79"/>
      <c r="AJP4" s="79"/>
      <c r="AJQ4" s="79"/>
      <c r="AJR4" s="79"/>
      <c r="AJS4" s="79"/>
      <c r="AJT4" s="79"/>
      <c r="AJU4" s="79"/>
      <c r="AJV4" s="79"/>
      <c r="AJW4" s="79"/>
      <c r="AJX4" s="79"/>
      <c r="AJY4" s="79"/>
      <c r="AJZ4" s="79"/>
      <c r="AKA4" s="79"/>
      <c r="AKB4" s="79"/>
      <c r="AKC4" s="79"/>
      <c r="AKD4" s="79"/>
      <c r="AKE4" s="79"/>
      <c r="AKF4" s="79"/>
      <c r="AKG4" s="79"/>
      <c r="AKH4" s="79"/>
      <c r="AKI4" s="79"/>
      <c r="AKJ4" s="79"/>
      <c r="AKK4" s="79"/>
      <c r="AKL4" s="79"/>
      <c r="AKM4" s="79"/>
      <c r="AKN4" s="79"/>
      <c r="AKO4" s="79"/>
      <c r="AKP4" s="79"/>
      <c r="AKQ4" s="79"/>
      <c r="AKR4" s="79"/>
      <c r="AKS4" s="79"/>
      <c r="AKT4" s="79"/>
      <c r="AKU4" s="79"/>
      <c r="AKV4" s="79"/>
      <c r="AKW4" s="79"/>
      <c r="AKX4" s="79"/>
      <c r="AKY4" s="79"/>
      <c r="AKZ4" s="79"/>
      <c r="ALA4" s="79"/>
      <c r="ALB4" s="79"/>
      <c r="ALC4" s="79"/>
      <c r="ALD4" s="79"/>
      <c r="ALE4" s="79"/>
      <c r="ALF4" s="79"/>
      <c r="ALG4" s="79"/>
      <c r="ALH4" s="79"/>
      <c r="ALI4" s="79"/>
      <c r="ALJ4" s="79"/>
      <c r="ALK4" s="79"/>
      <c r="ALL4" s="79"/>
      <c r="ALM4" s="79"/>
      <c r="ALN4" s="79"/>
      <c r="ALO4" s="79"/>
      <c r="ALP4" s="79"/>
      <c r="ALQ4" s="79"/>
      <c r="ALR4" s="79"/>
      <c r="ALS4" s="79"/>
      <c r="ALT4" s="79"/>
      <c r="ALU4" s="79"/>
      <c r="ALV4" s="79"/>
      <c r="ALW4" s="79"/>
      <c r="ALX4" s="79"/>
      <c r="ALY4" s="79"/>
      <c r="ALZ4" s="79"/>
      <c r="AMA4" s="84">
        <v>28693.57</v>
      </c>
      <c r="AMB4" s="84">
        <v>33928.980000000003</v>
      </c>
      <c r="AMC4" s="84">
        <v>28693.57</v>
      </c>
      <c r="AMD4" s="84">
        <v>9854.51</v>
      </c>
      <c r="AME4" s="84">
        <v>28693.57</v>
      </c>
      <c r="AMF4" s="84">
        <v>9854.51</v>
      </c>
      <c r="AMG4" s="84">
        <v>4350</v>
      </c>
      <c r="AMH4" s="84">
        <v>4350</v>
      </c>
      <c r="AMI4" s="84">
        <v>28693.57</v>
      </c>
      <c r="AMJ4" s="84">
        <v>17959.95</v>
      </c>
      <c r="AMK4" s="84">
        <v>9452.5853167774203</v>
      </c>
      <c r="AML4" s="84">
        <v>4951.3542135500802</v>
      </c>
      <c r="AMM4" s="84">
        <v>4350</v>
      </c>
      <c r="AMN4" s="84">
        <v>3881.1428571428601</v>
      </c>
      <c r="AMO4" s="84">
        <v>4350</v>
      </c>
      <c r="AMP4" s="84">
        <v>3030.4285714285702</v>
      </c>
      <c r="AMQ4" s="84">
        <v>4350</v>
      </c>
      <c r="AMR4" s="84">
        <v>2654.1428571428601</v>
      </c>
      <c r="AMS4" s="84">
        <v>9452.5853167774203</v>
      </c>
      <c r="AMT4" s="84">
        <v>3928.3471446347698</v>
      </c>
      <c r="AMU4" s="84">
        <v>11152.2437647059</v>
      </c>
      <c r="AMV4" s="84">
        <v>4623.8823529411802</v>
      </c>
      <c r="AMW4" s="84">
        <v>28693.57</v>
      </c>
      <c r="AMX4" s="84">
        <v>1113.3721403358099</v>
      </c>
      <c r="AMY4" s="84">
        <v>71841.183585313207</v>
      </c>
      <c r="AMZ4" s="84">
        <v>50651.835853131699</v>
      </c>
      <c r="ANA4" s="84">
        <v>71841.183585313207</v>
      </c>
      <c r="ANB4" s="84">
        <v>50651.835853131699</v>
      </c>
      <c r="ANC4" s="84">
        <v>5391</v>
      </c>
      <c r="AND4" s="84">
        <v>4350</v>
      </c>
      <c r="ANE4" s="84">
        <v>71841.183585313207</v>
      </c>
      <c r="ANF4" s="84">
        <v>45703.887688984898</v>
      </c>
      <c r="ANG4" s="84">
        <v>5391</v>
      </c>
      <c r="ANH4" s="84">
        <v>3030.4285714285702</v>
      </c>
      <c r="ANI4" s="84">
        <v>33928.980000000003</v>
      </c>
      <c r="ANJ4" s="84">
        <v>12188.43</v>
      </c>
      <c r="ANK4" s="84">
        <v>5391</v>
      </c>
      <c r="ANL4" s="84">
        <v>3030.4285714285702</v>
      </c>
      <c r="ANM4" s="84">
        <v>5391</v>
      </c>
      <c r="ANN4" s="84">
        <v>2654.1428571428601</v>
      </c>
      <c r="ANO4" s="84">
        <v>28720.192740462298</v>
      </c>
      <c r="ANP4" s="84">
        <v>3928.3471446347698</v>
      </c>
      <c r="ANQ4" s="84">
        <v>18315.5237647059</v>
      </c>
      <c r="ANR4" s="84">
        <v>4623.8823529411802</v>
      </c>
      <c r="ANS4" s="84">
        <v>71841.183585313207</v>
      </c>
      <c r="ANT4" s="84">
        <v>5037.3426291926298</v>
      </c>
      <c r="ANU4" s="84">
        <v>50651.835853131699</v>
      </c>
      <c r="ANV4" s="84">
        <v>50651.835853131699</v>
      </c>
      <c r="ANW4" s="84">
        <v>3030.4285714285702</v>
      </c>
      <c r="ANX4" s="84">
        <v>4350</v>
      </c>
      <c r="ANY4" s="84">
        <v>50651.835853131699</v>
      </c>
      <c r="ANZ4" s="84">
        <v>45703.887688984898</v>
      </c>
      <c r="AOA4" s="84">
        <v>3030.4285714285702</v>
      </c>
      <c r="AOB4" s="84">
        <v>3030.4285714285702</v>
      </c>
      <c r="AOC4" s="84">
        <v>9854.51</v>
      </c>
      <c r="AOD4" s="84">
        <v>12188.43</v>
      </c>
      <c r="AOE4" s="84">
        <v>3030.4285714285702</v>
      </c>
      <c r="AOF4" s="84">
        <v>3030.4285714285702</v>
      </c>
      <c r="AOG4" s="84">
        <v>3030.4285714285702</v>
      </c>
      <c r="AOH4" s="84">
        <v>2654.1428571428601</v>
      </c>
      <c r="AOI4" s="84">
        <v>4501.69888463182</v>
      </c>
      <c r="AOJ4" s="84">
        <v>3928.3471446347698</v>
      </c>
      <c r="AOK4" s="84">
        <v>4623.8823529411802</v>
      </c>
      <c r="AOL4" s="84">
        <v>4623.8823529411802</v>
      </c>
      <c r="AOM4" s="84">
        <v>50651.835853131699</v>
      </c>
      <c r="AON4" s="84">
        <v>5037.3426291926298</v>
      </c>
      <c r="AOO4" s="84">
        <v>3881.1428571428601</v>
      </c>
      <c r="AOP4" s="84">
        <v>4350</v>
      </c>
      <c r="AOQ4" s="84">
        <v>50651.835853131699</v>
      </c>
      <c r="AOR4" s="84">
        <v>45703.887688984898</v>
      </c>
      <c r="AOS4" s="84">
        <v>3881.1428571428601</v>
      </c>
      <c r="AOT4" s="84">
        <v>3030.4285714285702</v>
      </c>
      <c r="AOU4" s="84">
        <v>9854.51</v>
      </c>
      <c r="AOV4" s="84">
        <v>12188.43</v>
      </c>
      <c r="AOW4" s="84">
        <v>3881.1428571428601</v>
      </c>
      <c r="AOX4" s="84">
        <v>3030.4285714285702</v>
      </c>
      <c r="AOY4" s="84">
        <v>3881.1428571428601</v>
      </c>
      <c r="AOZ4" s="84">
        <v>2654.1428571428601</v>
      </c>
      <c r="APA4" s="84">
        <v>4501.69888463182</v>
      </c>
      <c r="APB4" s="84">
        <v>3928.3471446347698</v>
      </c>
      <c r="APC4" s="84">
        <v>4635.0635294117601</v>
      </c>
      <c r="APD4" s="84">
        <v>4623.8823529411802</v>
      </c>
      <c r="APE4" s="84">
        <v>50651.835853131699</v>
      </c>
      <c r="APF4" s="84">
        <v>5037.3426291926298</v>
      </c>
      <c r="APG4" s="84">
        <v>4350</v>
      </c>
      <c r="APH4" s="84">
        <v>3881.1428571428601</v>
      </c>
      <c r="API4" s="84">
        <v>23570.0828678086</v>
      </c>
      <c r="APJ4" s="84">
        <v>4951.3542135500802</v>
      </c>
      <c r="APK4" s="84">
        <v>23570.0828678086</v>
      </c>
      <c r="APL4" s="84">
        <v>7406.5711789468096</v>
      </c>
      <c r="APM4" s="84">
        <v>4350</v>
      </c>
      <c r="APN4" s="84">
        <v>3030.4285714285702</v>
      </c>
      <c r="APO4" s="84">
        <v>23570.0828678086</v>
      </c>
      <c r="APP4" s="84">
        <v>18.910955873175599</v>
      </c>
      <c r="APQ4" s="84">
        <v>4623.8823529411802</v>
      </c>
      <c r="APR4" s="84">
        <v>4623.8823529411802</v>
      </c>
      <c r="APS4" s="84">
        <v>4623.8823529411802</v>
      </c>
      <c r="APT4" s="84">
        <v>4623.8823529411802</v>
      </c>
      <c r="APU4" s="84">
        <v>4350</v>
      </c>
      <c r="APV4" s="84">
        <v>855.76088518690301</v>
      </c>
      <c r="APW4" s="84">
        <v>3881.1428571428601</v>
      </c>
      <c r="APX4" s="84">
        <v>3030.4285714285702</v>
      </c>
      <c r="APY4" s="84">
        <v>17959.95</v>
      </c>
      <c r="APZ4" s="84">
        <v>12188.43</v>
      </c>
      <c r="AQA4" s="84">
        <v>3881.1428571428601</v>
      </c>
      <c r="AQB4" s="84">
        <v>3030.4285714285702</v>
      </c>
      <c r="AQC4" s="84">
        <v>3881.1428571428601</v>
      </c>
      <c r="AQD4" s="84">
        <v>2654.1428571428601</v>
      </c>
      <c r="AQE4" s="84">
        <v>10373.291678801201</v>
      </c>
      <c r="AQF4" s="84">
        <v>3928.3471446347698</v>
      </c>
      <c r="AQG4" s="84">
        <v>7682.9689411764703</v>
      </c>
      <c r="AQH4" s="84">
        <v>4623.8823529411802</v>
      </c>
      <c r="AQI4" s="84">
        <v>45703.887688984898</v>
      </c>
      <c r="AQJ4" s="84">
        <v>5037.3426291926298</v>
      </c>
      <c r="AQK4" s="84">
        <v>4951.3542135500802</v>
      </c>
      <c r="AQL4" s="84">
        <v>7406.5711789468096</v>
      </c>
      <c r="AQM4" s="84">
        <v>4951.3542135500802</v>
      </c>
      <c r="AQN4" s="84">
        <v>2446.2732179260702</v>
      </c>
      <c r="AQO4" s="84">
        <v>4951.3542135500802</v>
      </c>
      <c r="AQP4" s="84">
        <v>18.910955873175599</v>
      </c>
      <c r="AQQ4" s="84">
        <v>33827</v>
      </c>
      <c r="AQR4" s="84">
        <v>22628.400000000001</v>
      </c>
      <c r="AQS4" s="84">
        <v>4623.8823529411802</v>
      </c>
      <c r="AQT4" s="84">
        <v>4623.8823529411802</v>
      </c>
      <c r="AQU4" s="84">
        <v>3030.4285714285702</v>
      </c>
      <c r="AQV4" s="84">
        <v>855.76088518690301</v>
      </c>
      <c r="AQW4" s="84">
        <v>7406.5711789468096</v>
      </c>
      <c r="AQX4" s="84">
        <v>2446.2732179260702</v>
      </c>
      <c r="AQY4" s="84">
        <v>7406.5711789468096</v>
      </c>
      <c r="AQZ4" s="84">
        <v>18.910955873175599</v>
      </c>
      <c r="ARA4" s="84">
        <v>7406.5711789468096</v>
      </c>
      <c r="ARB4" s="84">
        <v>3928.3471446347698</v>
      </c>
      <c r="ARC4" s="84">
        <v>5416.7938144329901</v>
      </c>
      <c r="ARD4" s="84">
        <v>5416.7938144329901</v>
      </c>
      <c r="ARE4" s="84">
        <v>12188.43</v>
      </c>
      <c r="ARF4" s="84">
        <v>1113.3721403358099</v>
      </c>
      <c r="ARG4" s="84">
        <v>2446.2732179260702</v>
      </c>
      <c r="ARH4" s="84">
        <v>18.910955873175599</v>
      </c>
      <c r="ARI4" s="84">
        <v>4623.8823529411802</v>
      </c>
      <c r="ARJ4" s="84">
        <v>4623.8823529411802</v>
      </c>
      <c r="ARK4" s="84">
        <v>4623.8823529411802</v>
      </c>
      <c r="ARL4" s="84">
        <v>4623.8823529411802</v>
      </c>
      <c r="ARM4" s="84">
        <v>3030.4285714285702</v>
      </c>
      <c r="ARN4" s="84">
        <v>855.76088518690301</v>
      </c>
      <c r="ARO4" s="84">
        <v>6691.2</v>
      </c>
      <c r="ARP4" s="84">
        <v>22628.400000000001</v>
      </c>
      <c r="ARQ4" s="84">
        <v>6691.2</v>
      </c>
      <c r="ARR4" s="84">
        <v>10736.234165471</v>
      </c>
      <c r="ARS4" s="84">
        <v>2654.1428571428601</v>
      </c>
      <c r="ART4" s="84">
        <v>855.76088518690301</v>
      </c>
      <c r="ARU4" s="84">
        <v>5416.7938144329901</v>
      </c>
      <c r="ARV4" s="84">
        <v>5416.7938144329901</v>
      </c>
      <c r="ARW4" s="84">
        <v>3928.3471446347698</v>
      </c>
      <c r="ARX4" s="84">
        <v>527.53417454467103</v>
      </c>
      <c r="ARY4" s="84">
        <v>4623.8823529411802</v>
      </c>
      <c r="ARZ4" s="84">
        <v>820.14928855859398</v>
      </c>
    </row>
    <row r="5" spans="1:1170" ht="15.75" customHeight="1" x14ac:dyDescent="0.35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79"/>
      <c r="P5" s="79"/>
      <c r="Q5" s="79"/>
      <c r="R5" s="79"/>
      <c r="S5" s="79"/>
      <c r="T5" s="79"/>
      <c r="U5" s="79"/>
      <c r="V5" s="79"/>
      <c r="W5" s="107" t="s">
        <v>808</v>
      </c>
      <c r="X5" s="108" t="s">
        <v>807</v>
      </c>
      <c r="Y5" s="108" t="s">
        <v>30</v>
      </c>
      <c r="Z5" s="108" t="s">
        <v>806</v>
      </c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  <c r="EN5" s="79"/>
      <c r="EO5" s="79"/>
      <c r="EP5" s="79"/>
      <c r="EQ5" s="79"/>
      <c r="ER5" s="79"/>
      <c r="ES5" s="79"/>
      <c r="ET5" s="79"/>
      <c r="EU5" s="79"/>
      <c r="EV5" s="79"/>
      <c r="EW5" s="79"/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/>
      <c r="FJ5" s="79"/>
      <c r="FK5" s="79"/>
      <c r="FL5" s="79"/>
      <c r="FM5" s="79"/>
      <c r="FN5" s="79"/>
      <c r="FO5" s="79"/>
      <c r="FP5" s="79"/>
      <c r="FQ5" s="79"/>
      <c r="FR5" s="79"/>
      <c r="FS5" s="79"/>
      <c r="FT5" s="79"/>
      <c r="FU5" s="79"/>
      <c r="FV5" s="79"/>
      <c r="FW5" s="79"/>
      <c r="FX5" s="79"/>
      <c r="FY5" s="79"/>
      <c r="FZ5" s="79"/>
      <c r="GA5" s="79"/>
      <c r="GB5" s="79"/>
      <c r="GC5" s="79"/>
      <c r="GD5" s="79"/>
      <c r="GE5" s="79"/>
      <c r="GF5" s="79"/>
      <c r="GG5" s="79"/>
      <c r="GH5" s="79"/>
      <c r="GI5" s="79"/>
      <c r="GJ5" s="79"/>
      <c r="GK5" s="79"/>
      <c r="GL5" s="79"/>
      <c r="GM5" s="79"/>
      <c r="GN5" s="79"/>
      <c r="GO5" s="79"/>
      <c r="GP5" s="79"/>
      <c r="GQ5" s="79"/>
      <c r="GR5" s="79"/>
      <c r="GS5" s="79"/>
      <c r="GT5" s="79"/>
      <c r="GU5" s="79"/>
      <c r="GV5" s="79"/>
      <c r="GW5" s="79"/>
      <c r="GX5" s="79"/>
      <c r="GY5" s="79"/>
      <c r="GZ5" s="79"/>
      <c r="HA5" s="79"/>
      <c r="HB5" s="79"/>
      <c r="HC5" s="79"/>
      <c r="HD5" s="79"/>
      <c r="HE5" s="79"/>
      <c r="HF5" s="79"/>
      <c r="HG5" s="79"/>
      <c r="HH5" s="79"/>
      <c r="HI5" s="79"/>
      <c r="HJ5" s="79"/>
      <c r="HK5" s="79"/>
      <c r="HL5" s="79"/>
      <c r="HM5" s="79"/>
      <c r="HN5" s="79"/>
      <c r="HO5" s="79"/>
      <c r="HP5" s="79"/>
      <c r="HQ5" s="79"/>
      <c r="HR5" s="79"/>
      <c r="HS5" s="79"/>
      <c r="HT5" s="79"/>
      <c r="HU5" s="79"/>
      <c r="HV5" s="79"/>
      <c r="HW5" s="79"/>
      <c r="HX5" s="79"/>
      <c r="HY5" s="79"/>
      <c r="HZ5" s="79"/>
      <c r="IA5" s="79"/>
      <c r="IB5" s="79"/>
      <c r="IC5" s="79"/>
      <c r="ID5" s="79"/>
      <c r="IE5" s="79"/>
      <c r="IF5" s="79"/>
      <c r="IG5" s="79"/>
      <c r="IH5" s="79"/>
      <c r="II5" s="79"/>
      <c r="IJ5" s="79"/>
      <c r="IK5" s="79"/>
      <c r="IL5" s="79"/>
      <c r="IM5" s="79"/>
      <c r="IN5" s="79"/>
      <c r="IO5" s="79"/>
      <c r="IP5" s="79"/>
      <c r="IQ5" s="79"/>
      <c r="IR5" s="79"/>
      <c r="IS5" s="79"/>
      <c r="IT5" s="79"/>
      <c r="IU5" s="79"/>
      <c r="IV5" s="79"/>
      <c r="IW5" s="79"/>
      <c r="IX5" s="79"/>
      <c r="IY5" s="79"/>
      <c r="IZ5" s="79"/>
      <c r="JA5" s="79"/>
      <c r="JB5" s="79"/>
      <c r="JC5" s="79"/>
      <c r="JD5" s="79"/>
      <c r="JE5" s="79"/>
      <c r="JF5" s="79"/>
      <c r="JG5" s="79"/>
      <c r="JH5" s="79"/>
      <c r="JI5" s="79"/>
      <c r="JJ5" s="79"/>
      <c r="JK5" s="79"/>
      <c r="JL5" s="79"/>
      <c r="JM5" s="79"/>
      <c r="JN5" s="79"/>
      <c r="JO5" s="79"/>
      <c r="JP5" s="79"/>
      <c r="JQ5" s="79"/>
      <c r="JR5" s="79"/>
      <c r="JS5" s="79"/>
      <c r="JT5" s="79"/>
      <c r="JU5" s="79"/>
      <c r="JV5" s="79"/>
      <c r="JW5" s="79"/>
      <c r="JX5" s="79"/>
      <c r="JY5" s="79"/>
      <c r="JZ5" s="79"/>
      <c r="KA5" s="79"/>
      <c r="KB5" s="79"/>
      <c r="KC5" s="79"/>
      <c r="KD5" s="79"/>
      <c r="KE5" s="79"/>
      <c r="KF5" s="79"/>
      <c r="KG5" s="79"/>
      <c r="KH5" s="79"/>
      <c r="KI5" s="79"/>
      <c r="KJ5" s="79"/>
      <c r="KK5" s="79"/>
      <c r="KL5" s="79"/>
      <c r="KM5" s="79"/>
      <c r="KN5" s="79"/>
      <c r="KO5" s="79"/>
      <c r="KP5" s="79"/>
      <c r="KQ5" s="79"/>
      <c r="KR5" s="79"/>
      <c r="KS5" s="79"/>
      <c r="KT5" s="79"/>
      <c r="KU5" s="79"/>
      <c r="KV5" s="79"/>
      <c r="KW5" s="79"/>
      <c r="KX5" s="79"/>
      <c r="KY5" s="79"/>
      <c r="KZ5" s="79"/>
      <c r="LA5" s="79"/>
      <c r="LB5" s="79"/>
      <c r="LC5" s="79"/>
      <c r="LD5" s="79"/>
      <c r="LE5" s="79"/>
      <c r="LF5" s="79"/>
      <c r="LG5" s="79"/>
      <c r="LH5" s="79"/>
      <c r="LI5" s="79"/>
      <c r="LJ5" s="79"/>
      <c r="LK5" s="79"/>
      <c r="LL5" s="79"/>
      <c r="LM5" s="79"/>
      <c r="LN5" s="79"/>
      <c r="LO5" s="79"/>
      <c r="LP5" s="79"/>
      <c r="LQ5" s="79"/>
      <c r="LR5" s="79"/>
      <c r="LS5" s="79"/>
      <c r="LT5" s="79"/>
      <c r="LU5" s="79"/>
      <c r="LV5" s="79"/>
      <c r="LW5" s="79"/>
      <c r="LX5" s="79"/>
      <c r="LY5" s="79"/>
      <c r="LZ5" s="79"/>
      <c r="MA5" s="79"/>
      <c r="MB5" s="79"/>
      <c r="MC5" s="79"/>
      <c r="MD5" s="79"/>
      <c r="ME5" s="79"/>
      <c r="MF5" s="79"/>
      <c r="MG5" s="79"/>
      <c r="MH5" s="79"/>
      <c r="MI5" s="79"/>
      <c r="MJ5" s="79"/>
      <c r="MK5" s="79"/>
      <c r="ML5" s="79"/>
      <c r="MM5" s="79"/>
      <c r="MN5" s="79"/>
      <c r="MO5" s="79"/>
      <c r="MP5" s="79"/>
      <c r="MQ5" s="79"/>
      <c r="MR5" s="79"/>
      <c r="MS5" s="79"/>
      <c r="MT5" s="79"/>
      <c r="MU5" s="79"/>
      <c r="MV5" s="79"/>
      <c r="MW5" s="79"/>
      <c r="MX5" s="79"/>
      <c r="MY5" s="79"/>
      <c r="MZ5" s="79"/>
      <c r="NA5" s="79"/>
      <c r="NB5" s="79"/>
      <c r="NC5" s="79"/>
      <c r="ND5" s="79"/>
      <c r="NE5" s="79"/>
      <c r="NF5" s="79"/>
      <c r="NG5" s="79"/>
      <c r="NH5" s="79"/>
      <c r="NI5" s="79"/>
      <c r="NJ5" s="79"/>
      <c r="NK5" s="79"/>
      <c r="NL5" s="79"/>
      <c r="NM5" s="79"/>
      <c r="NN5" s="79"/>
      <c r="NO5" s="79"/>
      <c r="NP5" s="79"/>
      <c r="NQ5" s="79"/>
      <c r="NR5" s="79"/>
      <c r="NS5" s="79"/>
      <c r="NT5" s="79"/>
      <c r="NU5" s="79"/>
      <c r="NV5" s="79"/>
      <c r="NW5" s="79"/>
      <c r="NX5" s="79"/>
      <c r="NY5" s="79"/>
      <c r="NZ5" s="79"/>
      <c r="OA5" s="79"/>
      <c r="OB5" s="79"/>
      <c r="OC5" s="79"/>
      <c r="OD5" s="79"/>
      <c r="OE5" s="79"/>
      <c r="OF5" s="79"/>
      <c r="OG5" s="79"/>
      <c r="OH5" s="79"/>
      <c r="OI5" s="79"/>
      <c r="OJ5" s="79"/>
      <c r="OK5" s="79"/>
      <c r="OL5" s="79"/>
      <c r="OM5" s="79"/>
      <c r="ON5" s="79"/>
      <c r="OO5" s="79"/>
      <c r="OP5" s="79"/>
      <c r="OQ5" s="79"/>
      <c r="OR5" s="79"/>
      <c r="OS5" s="79"/>
      <c r="OT5" s="79"/>
      <c r="OU5" s="79"/>
      <c r="OV5" s="79"/>
      <c r="OW5" s="79"/>
      <c r="OX5" s="79"/>
      <c r="OY5" s="79"/>
      <c r="OZ5" s="79"/>
      <c r="PA5" s="79"/>
      <c r="PB5" s="79"/>
      <c r="PC5" s="79"/>
      <c r="PD5" s="79"/>
      <c r="PE5" s="79"/>
      <c r="PF5" s="79"/>
      <c r="PG5" s="79"/>
      <c r="PH5" s="79"/>
      <c r="PI5" s="79"/>
      <c r="PJ5" s="79"/>
      <c r="PK5" s="79"/>
      <c r="PL5" s="79"/>
      <c r="PM5" s="79"/>
      <c r="PN5" s="79"/>
      <c r="PO5" s="79"/>
      <c r="PP5" s="79"/>
      <c r="PQ5" s="79"/>
      <c r="PR5" s="79"/>
      <c r="PS5" s="79"/>
      <c r="PT5" s="79"/>
      <c r="PU5" s="79"/>
      <c r="PV5" s="79"/>
      <c r="PW5" s="79"/>
      <c r="PX5" s="79"/>
      <c r="PY5" s="79"/>
      <c r="PZ5" s="79"/>
      <c r="QA5" s="79"/>
      <c r="QB5" s="79"/>
      <c r="QC5" s="79"/>
      <c r="QD5" s="79"/>
      <c r="QE5" s="79"/>
      <c r="QF5" s="79"/>
      <c r="QG5" s="79"/>
      <c r="QH5" s="79"/>
      <c r="QI5" s="79"/>
      <c r="QJ5" s="79"/>
      <c r="QK5" s="79"/>
      <c r="QL5" s="79"/>
      <c r="QM5" s="79"/>
      <c r="QN5" s="79"/>
      <c r="QO5" s="79"/>
      <c r="QP5" s="79"/>
      <c r="QQ5" s="79"/>
      <c r="QR5" s="79"/>
      <c r="QS5" s="79"/>
      <c r="QT5" s="79"/>
      <c r="QU5" s="79"/>
      <c r="QV5" s="79"/>
      <c r="QW5" s="79"/>
      <c r="QX5" s="79"/>
      <c r="QY5" s="79"/>
      <c r="QZ5" s="79"/>
      <c r="RA5" s="79"/>
      <c r="RB5" s="79"/>
      <c r="RC5" s="79"/>
      <c r="RD5" s="79"/>
      <c r="RE5" s="79"/>
      <c r="RF5" s="79"/>
      <c r="RG5" s="79"/>
      <c r="RH5" s="79"/>
      <c r="RI5" s="79"/>
      <c r="RJ5" s="79"/>
      <c r="RK5" s="79"/>
      <c r="RL5" s="79"/>
      <c r="RM5" s="79"/>
      <c r="RN5" s="79"/>
      <c r="RO5" s="79"/>
      <c r="RP5" s="79"/>
      <c r="RQ5" s="79"/>
      <c r="RR5" s="79"/>
      <c r="RS5" s="79"/>
      <c r="RT5" s="79"/>
      <c r="RU5" s="79"/>
      <c r="RV5" s="79"/>
      <c r="RW5" s="79"/>
      <c r="RX5" s="79"/>
      <c r="RY5" s="79"/>
      <c r="RZ5" s="79"/>
      <c r="SA5" s="79"/>
      <c r="SB5" s="79"/>
      <c r="SC5" s="79"/>
      <c r="SD5" s="79"/>
      <c r="SE5" s="79"/>
      <c r="SF5" s="79"/>
      <c r="SG5" s="79"/>
      <c r="SH5" s="79"/>
      <c r="SI5" s="79"/>
      <c r="SJ5" s="79"/>
      <c r="SK5" s="79"/>
      <c r="SL5" s="79"/>
      <c r="SM5" s="79"/>
      <c r="SN5" s="79"/>
      <c r="SO5" s="79"/>
      <c r="SP5" s="79"/>
      <c r="SQ5" s="79"/>
      <c r="SR5" s="79"/>
      <c r="SS5" s="79"/>
      <c r="ST5" s="79"/>
      <c r="SU5" s="79"/>
      <c r="SV5" s="79"/>
      <c r="SW5" s="79"/>
      <c r="SX5" s="79"/>
      <c r="SY5" s="79"/>
      <c r="SZ5" s="79"/>
      <c r="TA5" s="79"/>
      <c r="TB5" s="79"/>
      <c r="TC5" s="79"/>
      <c r="TD5" s="79"/>
      <c r="TE5" s="79"/>
      <c r="TF5" s="79"/>
      <c r="TG5" s="79"/>
      <c r="TH5" s="79"/>
      <c r="TI5" s="79"/>
      <c r="TJ5" s="79"/>
      <c r="TK5" s="79"/>
      <c r="TL5" s="79"/>
      <c r="TM5" s="79"/>
      <c r="TN5" s="79"/>
      <c r="TO5" s="79"/>
      <c r="TP5" s="79"/>
      <c r="TQ5" s="79"/>
      <c r="TR5" s="79"/>
      <c r="TS5" s="79"/>
      <c r="TT5" s="79"/>
      <c r="TU5" s="79"/>
      <c r="TV5" s="79"/>
      <c r="TW5" s="79"/>
      <c r="TX5" s="79"/>
      <c r="TY5" s="79"/>
      <c r="TZ5" s="79"/>
      <c r="UA5" s="79"/>
      <c r="UB5" s="79"/>
      <c r="UC5" s="79"/>
      <c r="UD5" s="79"/>
      <c r="UE5" s="79"/>
      <c r="UF5" s="79"/>
      <c r="UG5" s="79"/>
      <c r="UH5" s="79"/>
      <c r="UI5" s="79"/>
      <c r="UJ5" s="79"/>
      <c r="UK5" s="79"/>
      <c r="UL5" s="79"/>
      <c r="UM5" s="79"/>
      <c r="UN5" s="79"/>
      <c r="UO5" s="79"/>
      <c r="UP5" s="79"/>
      <c r="UQ5" s="79"/>
      <c r="UR5" s="79"/>
      <c r="US5" s="79"/>
      <c r="UT5" s="79"/>
      <c r="UU5" s="79"/>
      <c r="UV5" s="79"/>
      <c r="UW5" s="79"/>
      <c r="UX5" s="79"/>
      <c r="UY5" s="79"/>
      <c r="UZ5" s="79"/>
      <c r="VA5" s="79"/>
      <c r="VB5" s="79"/>
      <c r="VC5" s="79"/>
      <c r="VD5" s="79"/>
      <c r="VE5" s="79"/>
      <c r="VF5" s="79"/>
      <c r="VG5" s="79"/>
      <c r="VH5" s="79"/>
      <c r="VI5" s="79"/>
      <c r="VJ5" s="79"/>
      <c r="VK5" s="79"/>
      <c r="VL5" s="79"/>
      <c r="VM5" s="79"/>
      <c r="VN5" s="79"/>
      <c r="VO5" s="79"/>
      <c r="VP5" s="79"/>
      <c r="VQ5" s="79"/>
      <c r="VR5" s="79"/>
      <c r="VS5" s="79"/>
      <c r="VT5" s="79"/>
      <c r="VU5" s="79"/>
      <c r="VV5" s="79"/>
      <c r="VW5" s="79"/>
      <c r="VX5" s="79"/>
      <c r="VY5" s="79"/>
      <c r="VZ5" s="79"/>
      <c r="WA5" s="79"/>
      <c r="WB5" s="79"/>
      <c r="WC5" s="79"/>
      <c r="WD5" s="79"/>
      <c r="WE5" s="79"/>
      <c r="WF5" s="79"/>
      <c r="WG5" s="79"/>
      <c r="WH5" s="79"/>
      <c r="WI5" s="79"/>
      <c r="WJ5" s="79"/>
      <c r="WK5" s="79"/>
      <c r="WL5" s="79"/>
      <c r="WM5" s="79"/>
      <c r="WN5" s="79"/>
      <c r="WO5" s="79"/>
      <c r="WP5" s="79"/>
      <c r="WQ5" s="79"/>
      <c r="WR5" s="79"/>
      <c r="WS5" s="79"/>
      <c r="WT5" s="79"/>
      <c r="WU5" s="79"/>
      <c r="WV5" s="79"/>
      <c r="WW5" s="79"/>
      <c r="WX5" s="79"/>
      <c r="WY5" s="79"/>
      <c r="WZ5" s="79"/>
      <c r="XA5" s="79"/>
      <c r="XB5" s="79"/>
      <c r="XC5" s="79"/>
      <c r="XD5" s="79"/>
      <c r="XE5" s="79"/>
      <c r="XF5" s="79"/>
      <c r="XG5" s="79"/>
      <c r="XH5" s="79"/>
      <c r="XI5" s="79"/>
      <c r="XJ5" s="79"/>
      <c r="XK5" s="79"/>
      <c r="XL5" s="79"/>
      <c r="XM5" s="79"/>
      <c r="XN5" s="79"/>
      <c r="XO5" s="79"/>
      <c r="XP5" s="79"/>
      <c r="XQ5" s="79"/>
      <c r="XR5" s="79"/>
      <c r="XS5" s="79"/>
      <c r="XT5" s="79"/>
      <c r="XU5" s="79"/>
      <c r="XV5" s="79"/>
      <c r="XW5" s="79"/>
      <c r="XX5" s="79"/>
      <c r="XY5" s="79"/>
      <c r="XZ5" s="79"/>
      <c r="YA5" s="79"/>
      <c r="YB5" s="79"/>
      <c r="YC5" s="79"/>
      <c r="YD5" s="79"/>
      <c r="YE5" s="79"/>
      <c r="YF5" s="79"/>
      <c r="YG5" s="79"/>
      <c r="YH5" s="79"/>
      <c r="YI5" s="79"/>
      <c r="YJ5" s="79"/>
      <c r="YK5" s="79"/>
      <c r="YL5" s="79"/>
      <c r="YM5" s="79"/>
      <c r="YN5" s="79"/>
      <c r="YO5" s="79"/>
      <c r="YP5" s="79"/>
      <c r="YQ5" s="79"/>
      <c r="YR5" s="79"/>
      <c r="YS5" s="79"/>
      <c r="YT5" s="79"/>
      <c r="YU5" s="79"/>
      <c r="YV5" s="79"/>
      <c r="YW5" s="79"/>
      <c r="YX5" s="79"/>
      <c r="YY5" s="79"/>
      <c r="YZ5" s="79"/>
      <c r="ZA5" s="79"/>
      <c r="ZB5" s="79"/>
      <c r="ZC5" s="79"/>
      <c r="ZD5" s="79"/>
      <c r="ZE5" s="79"/>
      <c r="ZF5" s="79"/>
      <c r="ZG5" s="79"/>
      <c r="ZH5" s="79"/>
      <c r="ZI5" s="79"/>
      <c r="ZJ5" s="79"/>
      <c r="ZK5" s="79"/>
      <c r="ZL5" s="79"/>
      <c r="ZM5" s="79"/>
      <c r="ZN5" s="79"/>
      <c r="ZO5" s="79"/>
      <c r="ZP5" s="79"/>
      <c r="ZQ5" s="79"/>
      <c r="ZR5" s="79"/>
      <c r="ZS5" s="79"/>
      <c r="ZT5" s="79"/>
      <c r="ZU5" s="79"/>
      <c r="ZV5" s="79"/>
      <c r="ZW5" s="79"/>
      <c r="ZX5" s="79"/>
      <c r="ZY5" s="79"/>
      <c r="ZZ5" s="79"/>
      <c r="AAA5" s="79"/>
      <c r="AAB5" s="79"/>
      <c r="AAC5" s="79"/>
      <c r="AAD5" s="79"/>
      <c r="AAE5" s="79"/>
      <c r="AAF5" s="79"/>
      <c r="AAG5" s="79"/>
      <c r="AAH5" s="79"/>
      <c r="AAI5" s="79"/>
      <c r="AAJ5" s="79"/>
      <c r="AAK5" s="79"/>
      <c r="AAL5" s="79"/>
      <c r="AAM5" s="79"/>
      <c r="AAN5" s="79"/>
      <c r="AAO5" s="79"/>
      <c r="AAP5" s="79"/>
      <c r="AAQ5" s="79"/>
      <c r="AAR5" s="79"/>
      <c r="AAS5" s="79"/>
      <c r="AAT5" s="79"/>
      <c r="AAU5" s="79"/>
      <c r="AAV5" s="79"/>
      <c r="AAW5" s="79"/>
      <c r="AAX5" s="79"/>
      <c r="AAY5" s="79"/>
      <c r="AAZ5" s="79"/>
      <c r="ABA5" s="79"/>
      <c r="ABB5" s="79"/>
      <c r="ABC5" s="79"/>
      <c r="ABD5" s="79"/>
      <c r="ABE5" s="79"/>
      <c r="ABF5" s="79"/>
      <c r="ABG5" s="79"/>
      <c r="ABH5" s="79"/>
      <c r="ABI5" s="79"/>
      <c r="ABJ5" s="79"/>
      <c r="ABK5" s="79"/>
      <c r="ABL5" s="79"/>
      <c r="ABM5" s="79"/>
      <c r="ABN5" s="79"/>
      <c r="ABO5" s="79"/>
      <c r="ABP5" s="79"/>
      <c r="ABQ5" s="79"/>
      <c r="ABR5" s="79"/>
      <c r="ABS5" s="79"/>
      <c r="ABT5" s="79"/>
      <c r="ABU5" s="79"/>
      <c r="ABV5" s="79"/>
      <c r="ABW5" s="79"/>
      <c r="ABX5" s="79"/>
      <c r="ABY5" s="79"/>
      <c r="ABZ5" s="79"/>
      <c r="ACA5" s="79"/>
      <c r="ACB5" s="79"/>
      <c r="ACC5" s="79"/>
      <c r="ACD5" s="79"/>
      <c r="ACE5" s="79"/>
      <c r="ACF5" s="79"/>
      <c r="ACG5" s="79"/>
      <c r="ACH5" s="79"/>
      <c r="ACI5" s="79"/>
      <c r="ACJ5" s="79"/>
      <c r="ACK5" s="79"/>
      <c r="ACL5" s="79"/>
      <c r="ACM5" s="79"/>
      <c r="ACN5" s="79"/>
      <c r="ACO5" s="79"/>
      <c r="ACP5" s="79"/>
      <c r="ACQ5" s="79"/>
      <c r="ACR5" s="79"/>
      <c r="ACS5" s="79"/>
      <c r="ACT5" s="79"/>
      <c r="ACU5" s="79"/>
      <c r="ACV5" s="79"/>
      <c r="ACW5" s="79"/>
      <c r="ACX5" s="79"/>
      <c r="ACY5" s="79"/>
      <c r="ACZ5" s="79"/>
      <c r="ADA5" s="79"/>
      <c r="ADB5" s="79"/>
      <c r="ADC5" s="79"/>
      <c r="ADD5" s="79"/>
      <c r="ADE5" s="79"/>
      <c r="ADF5" s="79"/>
      <c r="ADG5" s="79"/>
      <c r="ADH5" s="79"/>
      <c r="ADI5" s="79"/>
      <c r="ADJ5" s="79"/>
      <c r="ADK5" s="79"/>
      <c r="ADL5" s="79"/>
      <c r="ADM5" s="79"/>
      <c r="ADN5" s="79"/>
      <c r="ADO5" s="79"/>
      <c r="ADP5" s="79"/>
      <c r="ADQ5" s="79"/>
      <c r="ADR5" s="79"/>
      <c r="ADS5" s="79"/>
      <c r="ADT5" s="79"/>
      <c r="ADU5" s="79"/>
      <c r="ADV5" s="79"/>
      <c r="ADW5" s="79"/>
      <c r="ADX5" s="79"/>
      <c r="ADY5" s="79"/>
      <c r="ADZ5" s="79"/>
      <c r="AEA5" s="79"/>
      <c r="AEB5" s="79"/>
      <c r="AEC5" s="79"/>
      <c r="AED5" s="79"/>
      <c r="AEE5" s="79"/>
      <c r="AEF5" s="79"/>
      <c r="AEG5" s="79"/>
      <c r="AEH5" s="79"/>
      <c r="AEI5" s="79"/>
      <c r="AEJ5" s="79"/>
      <c r="AEK5" s="79"/>
      <c r="AEL5" s="79"/>
      <c r="AEM5" s="79"/>
      <c r="AEN5" s="79"/>
      <c r="AEO5" s="79"/>
      <c r="AEP5" s="79"/>
      <c r="AEQ5" s="79"/>
      <c r="AER5" s="79"/>
      <c r="AES5" s="79"/>
      <c r="AET5" s="79"/>
      <c r="AEU5" s="79"/>
      <c r="AEV5" s="79"/>
      <c r="AEW5" s="79"/>
      <c r="AEX5" s="79"/>
      <c r="AEY5" s="79"/>
      <c r="AEZ5" s="79"/>
      <c r="AFA5" s="79"/>
      <c r="AFB5" s="79"/>
      <c r="AFC5" s="79"/>
      <c r="AFD5" s="79"/>
      <c r="AFE5" s="79"/>
      <c r="AFF5" s="79"/>
      <c r="AFG5" s="79"/>
      <c r="AFH5" s="79"/>
      <c r="AFI5" s="79"/>
      <c r="AFJ5" s="79"/>
      <c r="AFK5" s="79"/>
      <c r="AFL5" s="79"/>
      <c r="AFM5" s="79"/>
      <c r="AFN5" s="79"/>
      <c r="AFO5" s="79"/>
      <c r="AFP5" s="79"/>
      <c r="AFQ5" s="79"/>
      <c r="AFR5" s="79"/>
      <c r="AFS5" s="79"/>
      <c r="AFT5" s="79"/>
      <c r="AFU5" s="79"/>
      <c r="AFV5" s="79"/>
      <c r="AFW5" s="79"/>
      <c r="AFX5" s="79"/>
      <c r="AFY5" s="79"/>
      <c r="AFZ5" s="79"/>
      <c r="AGA5" s="79"/>
      <c r="AGB5" s="79"/>
      <c r="AGC5" s="79"/>
      <c r="AGD5" s="79"/>
      <c r="AGE5" s="79"/>
      <c r="AGF5" s="79"/>
      <c r="AGG5" s="79"/>
      <c r="AGH5" s="79"/>
      <c r="AGI5" s="79"/>
      <c r="AGJ5" s="79"/>
      <c r="AGK5" s="79"/>
      <c r="AGL5" s="79"/>
      <c r="AGM5" s="79"/>
      <c r="AGN5" s="79"/>
      <c r="AGO5" s="79"/>
      <c r="AGP5" s="79"/>
      <c r="AGQ5" s="79"/>
      <c r="AGR5" s="79"/>
      <c r="AGS5" s="79"/>
      <c r="AGT5" s="79"/>
      <c r="AGU5" s="79"/>
      <c r="AGV5" s="79"/>
      <c r="AGW5" s="79"/>
      <c r="AGX5" s="79"/>
      <c r="AGY5" s="79"/>
      <c r="AGZ5" s="79"/>
      <c r="AHA5" s="79"/>
      <c r="AHB5" s="79"/>
      <c r="AHC5" s="79"/>
      <c r="AHD5" s="79"/>
      <c r="AHE5" s="79"/>
      <c r="AHF5" s="79"/>
      <c r="AHG5" s="79"/>
      <c r="AHH5" s="79"/>
      <c r="AHI5" s="79"/>
      <c r="AHJ5" s="79"/>
      <c r="AHK5" s="79"/>
      <c r="AHL5" s="79"/>
      <c r="AHM5" s="79"/>
      <c r="AHN5" s="79"/>
      <c r="AHO5" s="79"/>
      <c r="AHP5" s="79"/>
      <c r="AHQ5" s="79"/>
      <c r="AHR5" s="79"/>
      <c r="AHS5" s="79"/>
      <c r="AHT5" s="79"/>
      <c r="AHU5" s="79"/>
      <c r="AHV5" s="79"/>
      <c r="AHW5" s="79"/>
      <c r="AHX5" s="79"/>
      <c r="AHY5" s="79"/>
      <c r="AHZ5" s="79"/>
      <c r="AIA5" s="79"/>
      <c r="AIB5" s="79"/>
      <c r="AIC5" s="79"/>
      <c r="AID5" s="79"/>
      <c r="AIE5" s="79"/>
      <c r="AIF5" s="79"/>
      <c r="AIG5" s="79"/>
      <c r="AIH5" s="79"/>
      <c r="AII5" s="79"/>
      <c r="AIJ5" s="79"/>
      <c r="AIK5" s="79"/>
      <c r="AIL5" s="79"/>
      <c r="AIM5" s="79"/>
      <c r="AIN5" s="79"/>
      <c r="AIO5" s="79"/>
      <c r="AIP5" s="79"/>
      <c r="AIQ5" s="79"/>
      <c r="AIR5" s="79"/>
      <c r="AIS5" s="79"/>
      <c r="AIT5" s="79"/>
      <c r="AIU5" s="79"/>
      <c r="AIV5" s="79"/>
      <c r="AIW5" s="79"/>
      <c r="AIX5" s="79"/>
      <c r="AIY5" s="79"/>
      <c r="AIZ5" s="79"/>
      <c r="AJA5" s="79"/>
      <c r="AJB5" s="79"/>
      <c r="AJC5" s="79"/>
      <c r="AJD5" s="79"/>
      <c r="AJE5" s="79"/>
      <c r="AJF5" s="79"/>
      <c r="AJG5" s="79"/>
      <c r="AJH5" s="79"/>
      <c r="AJI5" s="79"/>
      <c r="AJJ5" s="79"/>
      <c r="AJK5" s="79"/>
      <c r="AJL5" s="79"/>
      <c r="AJM5" s="79"/>
      <c r="AJN5" s="79"/>
      <c r="AJO5" s="79"/>
      <c r="AJP5" s="79"/>
      <c r="AJQ5" s="79"/>
      <c r="AJR5" s="79"/>
      <c r="AJS5" s="79"/>
      <c r="AJT5" s="79"/>
      <c r="AJU5" s="79"/>
      <c r="AJV5" s="79"/>
      <c r="AJW5" s="79"/>
      <c r="AJX5" s="79"/>
      <c r="AJY5" s="79"/>
      <c r="AJZ5" s="79"/>
      <c r="AKA5" s="79"/>
      <c r="AKB5" s="79"/>
      <c r="AKC5" s="79"/>
      <c r="AKD5" s="79"/>
      <c r="AKE5" s="79"/>
      <c r="AKF5" s="79"/>
      <c r="AKG5" s="79"/>
      <c r="AKH5" s="79"/>
      <c r="AKI5" s="79"/>
      <c r="AKJ5" s="79"/>
      <c r="AKK5" s="79"/>
      <c r="AKL5" s="79"/>
      <c r="AKM5" s="79"/>
      <c r="AKN5" s="79"/>
      <c r="AKO5" s="79"/>
      <c r="AKP5" s="79"/>
      <c r="AKQ5" s="79"/>
      <c r="AKR5" s="79"/>
      <c r="AKS5" s="79"/>
      <c r="AKT5" s="79"/>
      <c r="AKU5" s="79"/>
      <c r="AKV5" s="79"/>
      <c r="AKW5" s="79"/>
      <c r="AKX5" s="79"/>
      <c r="AKY5" s="79"/>
      <c r="AKZ5" s="79"/>
      <c r="ALA5" s="79"/>
      <c r="ALB5" s="79"/>
      <c r="ALC5" s="79"/>
      <c r="ALD5" s="79"/>
      <c r="ALE5" s="79"/>
      <c r="ALF5" s="79"/>
      <c r="ALG5" s="79"/>
      <c r="ALH5" s="79"/>
      <c r="ALI5" s="79"/>
      <c r="ALJ5" s="79"/>
      <c r="ALK5" s="79"/>
      <c r="ALL5" s="79"/>
      <c r="ALM5" s="79"/>
      <c r="ALN5" s="79"/>
      <c r="ALO5" s="79"/>
      <c r="ALP5" s="79"/>
      <c r="ALQ5" s="79"/>
      <c r="ALR5" s="79"/>
      <c r="ALS5" s="79"/>
      <c r="ALT5" s="79"/>
      <c r="ALU5" s="79"/>
      <c r="ALV5" s="79"/>
      <c r="ALW5" s="79"/>
      <c r="ALX5" s="79"/>
      <c r="ALY5" s="79"/>
      <c r="ALZ5" s="79"/>
      <c r="AMA5" s="84">
        <v>4350</v>
      </c>
      <c r="AMB5" s="84">
        <v>5391</v>
      </c>
      <c r="AMC5" s="84">
        <v>4350</v>
      </c>
      <c r="AMD5" s="84">
        <v>3030.4285714285702</v>
      </c>
      <c r="AME5" s="84">
        <v>4350</v>
      </c>
      <c r="AMF5" s="84">
        <v>3881.1428571428601</v>
      </c>
      <c r="AMG5" s="84">
        <v>9452.5853167774203</v>
      </c>
      <c r="AMH5" s="84">
        <v>23570.0828678086</v>
      </c>
      <c r="AMI5" s="84">
        <v>4350</v>
      </c>
      <c r="AMJ5" s="84">
        <v>3881.1428571428601</v>
      </c>
      <c r="AMK5" s="84">
        <v>11152.2437647059</v>
      </c>
      <c r="AML5" s="84">
        <v>4623.8823529411802</v>
      </c>
      <c r="AMM5" s="84">
        <v>9452.5853167774203</v>
      </c>
      <c r="AMN5" s="84">
        <v>7406.5711789468096</v>
      </c>
      <c r="AMO5" s="84">
        <v>9452.5853167774203</v>
      </c>
      <c r="AMP5" s="84">
        <v>2446.2732179260702</v>
      </c>
      <c r="AMQ5" s="84">
        <v>9452.5853167774203</v>
      </c>
      <c r="AMR5" s="84">
        <v>18.910955873175599</v>
      </c>
      <c r="AMS5" s="84">
        <v>11152.2437647059</v>
      </c>
      <c r="AMT5" s="84">
        <v>4623.8823529411802</v>
      </c>
      <c r="AMU5" s="84">
        <v>40332.199999999997</v>
      </c>
      <c r="AMV5" s="84">
        <v>10736.234165471</v>
      </c>
      <c r="AMW5" s="84">
        <v>4350</v>
      </c>
      <c r="AMX5" s="84">
        <v>855.76088518690301</v>
      </c>
      <c r="AMY5" s="84">
        <v>33928.980000000003</v>
      </c>
      <c r="AMZ5" s="84">
        <v>9854.51</v>
      </c>
      <c r="ANA5" s="84">
        <v>33928.980000000003</v>
      </c>
      <c r="ANB5" s="84">
        <v>9854.51</v>
      </c>
      <c r="ANC5" s="84">
        <v>28720.192740462298</v>
      </c>
      <c r="AND5" s="84">
        <v>23570.0828678086</v>
      </c>
      <c r="ANE5" s="84">
        <v>33928.980000000003</v>
      </c>
      <c r="ANF5" s="84">
        <v>17959.95</v>
      </c>
      <c r="ANG5" s="84">
        <v>28720.192740462298</v>
      </c>
      <c r="ANH5" s="84">
        <v>4951.3542135500802</v>
      </c>
      <c r="ANI5" s="84">
        <v>5391</v>
      </c>
      <c r="ANJ5" s="84">
        <v>3881.1428571428601</v>
      </c>
      <c r="ANK5" s="84">
        <v>28720.192740462298</v>
      </c>
      <c r="ANL5" s="84">
        <v>2446.2732179260702</v>
      </c>
      <c r="ANM5" s="84">
        <v>28720.192740462298</v>
      </c>
      <c r="ANN5" s="84">
        <v>18.910955873175599</v>
      </c>
      <c r="ANO5" s="84">
        <v>18315.5237647059</v>
      </c>
      <c r="ANP5" s="84">
        <v>4623.8823529411802</v>
      </c>
      <c r="ANQ5" s="84">
        <v>68600.559615384598</v>
      </c>
      <c r="ANR5" s="84">
        <v>10736.234165471</v>
      </c>
      <c r="ANS5" s="84">
        <v>33928.980000000003</v>
      </c>
      <c r="ANT5" s="84">
        <v>1113.3721403358099</v>
      </c>
      <c r="ANU5" s="84">
        <v>9854.51</v>
      </c>
      <c r="ANV5" s="84">
        <v>9854.51</v>
      </c>
      <c r="ANW5" s="84">
        <v>4501.69888463182</v>
      </c>
      <c r="ANX5" s="84">
        <v>23570.0828678086</v>
      </c>
      <c r="ANY5" s="84">
        <v>9854.51</v>
      </c>
      <c r="ANZ5" s="84">
        <v>17959.95</v>
      </c>
      <c r="AOA5" s="84">
        <v>4501.69888463182</v>
      </c>
      <c r="AOB5" s="84">
        <v>4951.3542135500802</v>
      </c>
      <c r="AOC5" s="84">
        <v>3030.4285714285702</v>
      </c>
      <c r="AOD5" s="84">
        <v>3881.1428571428601</v>
      </c>
      <c r="AOE5" s="84">
        <v>4501.69888463182</v>
      </c>
      <c r="AOF5" s="84">
        <v>2446.2732179260702</v>
      </c>
      <c r="AOG5" s="84">
        <v>4501.69888463182</v>
      </c>
      <c r="AOH5" s="84">
        <v>18.910955873175599</v>
      </c>
      <c r="AOI5" s="84">
        <v>4623.8823529411802</v>
      </c>
      <c r="AOJ5" s="84">
        <v>4623.8823529411802</v>
      </c>
      <c r="AOK5" s="84">
        <v>29923.9</v>
      </c>
      <c r="AOL5" s="84">
        <v>10736.234165471</v>
      </c>
      <c r="AOM5" s="84">
        <v>9854.51</v>
      </c>
      <c r="AON5" s="84">
        <v>1113.3721403358099</v>
      </c>
      <c r="AOO5" s="84">
        <v>4501.69888463182</v>
      </c>
      <c r="AOP5" s="84">
        <v>23570.0828678086</v>
      </c>
      <c r="AOQ5" s="84">
        <v>9854.51</v>
      </c>
      <c r="AOR5" s="84">
        <v>17959.95</v>
      </c>
      <c r="AOS5" s="84">
        <v>4501.69888463182</v>
      </c>
      <c r="AOT5" s="84">
        <v>4951.3542135500802</v>
      </c>
      <c r="AOU5" s="84">
        <v>3881.1428571428601</v>
      </c>
      <c r="AOV5" s="84">
        <v>3881.1428571428601</v>
      </c>
      <c r="AOW5" s="84">
        <v>4501.69888463182</v>
      </c>
      <c r="AOX5" s="84">
        <v>2446.2732179260702</v>
      </c>
      <c r="AOY5" s="84">
        <v>4501.69888463182</v>
      </c>
      <c r="AOZ5" s="84">
        <v>18.910955873175599</v>
      </c>
      <c r="APA5" s="84">
        <v>4635.0635294117601</v>
      </c>
      <c r="APB5" s="84">
        <v>4623.8823529411802</v>
      </c>
      <c r="APC5" s="84">
        <v>18169.0116646432</v>
      </c>
      <c r="APD5" s="84">
        <v>10736.234165471</v>
      </c>
      <c r="APE5" s="84">
        <v>9854.51</v>
      </c>
      <c r="APF5" s="84">
        <v>1113.3721403358099</v>
      </c>
      <c r="APG5" s="84">
        <v>23570.0828678086</v>
      </c>
      <c r="APH5" s="84">
        <v>10373.291678801201</v>
      </c>
      <c r="API5" s="84">
        <v>4623.8823529411802</v>
      </c>
      <c r="APJ5" s="84">
        <v>4623.8823529411802</v>
      </c>
      <c r="APK5" s="84">
        <v>40332.199999999997</v>
      </c>
      <c r="APL5" s="84">
        <v>33827</v>
      </c>
      <c r="APM5" s="84">
        <v>23570.0828678086</v>
      </c>
      <c r="APN5" s="84">
        <v>2446.2732179260702</v>
      </c>
      <c r="APO5" s="84">
        <v>40332.199999999997</v>
      </c>
      <c r="APP5" s="84">
        <v>6691.2</v>
      </c>
      <c r="APQ5" s="84">
        <v>40332.199999999997</v>
      </c>
      <c r="APR5" s="84">
        <v>22628.400000000001</v>
      </c>
      <c r="APS5" s="84">
        <v>40332.199999999997</v>
      </c>
      <c r="APT5" s="84">
        <v>10736.234165471</v>
      </c>
      <c r="APU5" s="84">
        <v>23570.0828678086</v>
      </c>
      <c r="APV5" s="84">
        <v>527.53417454467103</v>
      </c>
      <c r="APW5" s="84">
        <v>10373.291678801201</v>
      </c>
      <c r="APX5" s="84">
        <v>4951.3542135500802</v>
      </c>
      <c r="APY5" s="84">
        <v>3881.1428571428601</v>
      </c>
      <c r="APZ5" s="84">
        <v>3881.1428571428601</v>
      </c>
      <c r="AQA5" s="84">
        <v>10373.291678801201</v>
      </c>
      <c r="AQB5" s="84">
        <v>2446.2732179260702</v>
      </c>
      <c r="AQC5" s="84">
        <v>10373.291678801201</v>
      </c>
      <c r="AQD5" s="84">
        <v>18.910955873175599</v>
      </c>
      <c r="AQE5" s="84">
        <v>7682.9689411764703</v>
      </c>
      <c r="AQF5" s="84">
        <v>4623.8823529411802</v>
      </c>
      <c r="AQG5" s="84">
        <v>33827</v>
      </c>
      <c r="AQH5" s="84">
        <v>10736.234165471</v>
      </c>
      <c r="AQI5" s="84">
        <v>17959.95</v>
      </c>
      <c r="AQJ5" s="84">
        <v>1113.3721403358099</v>
      </c>
      <c r="AQK5" s="84">
        <v>33827</v>
      </c>
      <c r="AQL5" s="84">
        <v>33827</v>
      </c>
      <c r="AQM5" s="84">
        <v>4623.8823529411802</v>
      </c>
      <c r="AQN5" s="84">
        <v>4623.8823529411802</v>
      </c>
      <c r="AQO5" s="84">
        <v>33827</v>
      </c>
      <c r="AQP5" s="84">
        <v>6691.2</v>
      </c>
      <c r="AQQ5" s="84">
        <v>5416.7938144329901</v>
      </c>
      <c r="AQR5" s="84">
        <v>5416.7938144329901</v>
      </c>
      <c r="AQS5" s="84">
        <v>33827</v>
      </c>
      <c r="AQT5" s="84">
        <v>10736.234165471</v>
      </c>
      <c r="AQU5" s="84">
        <v>4951.3542135500802</v>
      </c>
      <c r="AQV5" s="84">
        <v>527.53417454467103</v>
      </c>
      <c r="AQW5" s="84">
        <v>33827</v>
      </c>
      <c r="AQX5" s="84">
        <v>18248.400000000001</v>
      </c>
      <c r="AQY5" s="84">
        <v>33827</v>
      </c>
      <c r="AQZ5" s="84">
        <v>6691.2</v>
      </c>
      <c r="ARA5" s="84">
        <v>33827</v>
      </c>
      <c r="ARB5" s="84">
        <v>22628.400000000001</v>
      </c>
      <c r="ARC5" s="84">
        <v>8329.7848138957997</v>
      </c>
      <c r="ARD5" s="84">
        <v>6275.90162106351</v>
      </c>
      <c r="ARE5" s="84">
        <v>3881.1428571428601</v>
      </c>
      <c r="ARF5" s="84">
        <v>855.76088518690301</v>
      </c>
      <c r="ARG5" s="84">
        <v>18248.400000000001</v>
      </c>
      <c r="ARH5" s="84">
        <v>6691.2</v>
      </c>
      <c r="ARI5" s="84">
        <v>18248.400000000001</v>
      </c>
      <c r="ARJ5" s="84">
        <v>22628.400000000001</v>
      </c>
      <c r="ARK5" s="84">
        <v>18248.400000000001</v>
      </c>
      <c r="ARL5" s="84">
        <v>10736.234165471</v>
      </c>
      <c r="ARM5" s="84">
        <v>2446.2732179260702</v>
      </c>
      <c r="ARN5" s="84">
        <v>527.53417454467103</v>
      </c>
      <c r="ARO5" s="84">
        <v>2010.27835051546</v>
      </c>
      <c r="ARP5" s="84">
        <v>5416.7938144329901</v>
      </c>
      <c r="ARQ5" s="84">
        <v>2010.27835051546</v>
      </c>
      <c r="ARR5" s="84">
        <v>5416.7938144329901</v>
      </c>
      <c r="ARS5" s="84">
        <v>18.910955873175599</v>
      </c>
      <c r="ART5" s="84">
        <v>527.53417454467103</v>
      </c>
      <c r="ARU5" s="84">
        <v>8329.7848138957997</v>
      </c>
      <c r="ARV5" s="84">
        <v>6275.90162106351</v>
      </c>
      <c r="ARW5" s="84">
        <v>4623.8823529411802</v>
      </c>
      <c r="ARX5" s="84">
        <v>820.14928855859398</v>
      </c>
      <c r="ARY5" s="84">
        <v>10736.234165471</v>
      </c>
      <c r="ARZ5" s="84">
        <v>7970.7969680064098</v>
      </c>
    </row>
    <row r="6" spans="1:1170" ht="15.75" customHeight="1" x14ac:dyDescent="0.35">
      <c r="A6" s="100" t="s">
        <v>807</v>
      </c>
      <c r="B6" s="100" t="s">
        <v>0</v>
      </c>
      <c r="C6" s="100" t="s">
        <v>1</v>
      </c>
      <c r="D6" s="100" t="s">
        <v>2</v>
      </c>
      <c r="E6" s="100" t="s">
        <v>3</v>
      </c>
      <c r="F6" s="100" t="s">
        <v>21</v>
      </c>
      <c r="G6" s="100" t="s">
        <v>22</v>
      </c>
      <c r="H6" s="100" t="s">
        <v>23</v>
      </c>
      <c r="I6" s="100" t="s">
        <v>24</v>
      </c>
      <c r="J6" s="100" t="s">
        <v>4</v>
      </c>
      <c r="K6" s="100" t="s">
        <v>5</v>
      </c>
      <c r="L6" s="100" t="s">
        <v>25</v>
      </c>
      <c r="M6" s="100" t="s">
        <v>35</v>
      </c>
      <c r="N6" s="100" t="s">
        <v>72</v>
      </c>
      <c r="O6" s="79"/>
      <c r="P6" s="79"/>
      <c r="Q6" s="79"/>
      <c r="R6" s="79"/>
      <c r="S6" s="79"/>
      <c r="T6" s="79"/>
      <c r="U6" s="79"/>
      <c r="V6" s="79"/>
      <c r="W6" s="102" t="s">
        <v>784</v>
      </c>
      <c r="X6" s="83">
        <v>0.921299251016377</v>
      </c>
      <c r="Y6" s="84">
        <v>10</v>
      </c>
      <c r="Z6" s="83">
        <v>1.5250229471820001E-4</v>
      </c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79"/>
      <c r="EC6" s="79"/>
      <c r="ED6" s="79"/>
      <c r="EE6" s="79"/>
      <c r="EF6" s="79"/>
      <c r="EG6" s="79"/>
      <c r="EH6" s="79"/>
      <c r="EI6" s="79"/>
      <c r="EJ6" s="79"/>
      <c r="EK6" s="79"/>
      <c r="EL6" s="79"/>
      <c r="EM6" s="79"/>
      <c r="EN6" s="79"/>
      <c r="EO6" s="79"/>
      <c r="EP6" s="79"/>
      <c r="EQ6" s="79"/>
      <c r="ER6" s="79"/>
      <c r="ES6" s="79"/>
      <c r="ET6" s="79"/>
      <c r="EU6" s="79"/>
      <c r="EV6" s="79"/>
      <c r="EW6" s="79"/>
      <c r="EX6" s="79"/>
      <c r="EY6" s="79"/>
      <c r="EZ6" s="79"/>
      <c r="FA6" s="79"/>
      <c r="FB6" s="79"/>
      <c r="FC6" s="79"/>
      <c r="FD6" s="79"/>
      <c r="FE6" s="79"/>
      <c r="FF6" s="79"/>
      <c r="FG6" s="79"/>
      <c r="FH6" s="79"/>
      <c r="FI6" s="79"/>
      <c r="FJ6" s="79"/>
      <c r="FK6" s="79"/>
      <c r="FL6" s="79"/>
      <c r="FM6" s="79"/>
      <c r="FN6" s="79"/>
      <c r="FO6" s="79"/>
      <c r="FP6" s="79"/>
      <c r="FQ6" s="79"/>
      <c r="FR6" s="79"/>
      <c r="FS6" s="79"/>
      <c r="FT6" s="79"/>
      <c r="FU6" s="79"/>
      <c r="FV6" s="79"/>
      <c r="FW6" s="79"/>
      <c r="FX6" s="79"/>
      <c r="FY6" s="79"/>
      <c r="FZ6" s="79"/>
      <c r="GA6" s="79"/>
      <c r="GB6" s="79"/>
      <c r="GC6" s="79"/>
      <c r="GD6" s="79"/>
      <c r="GE6" s="79"/>
      <c r="GF6" s="79"/>
      <c r="GG6" s="79"/>
      <c r="GH6" s="79"/>
      <c r="GI6" s="79"/>
      <c r="GJ6" s="79"/>
      <c r="GK6" s="79"/>
      <c r="GL6" s="79"/>
      <c r="GM6" s="79"/>
      <c r="GN6" s="79"/>
      <c r="GO6" s="79"/>
      <c r="GP6" s="79"/>
      <c r="GQ6" s="79"/>
      <c r="GR6" s="79"/>
      <c r="GS6" s="79"/>
      <c r="GT6" s="79"/>
      <c r="GU6" s="79"/>
      <c r="GV6" s="79"/>
      <c r="GW6" s="79"/>
      <c r="GX6" s="79"/>
      <c r="GY6" s="79"/>
      <c r="GZ6" s="79"/>
      <c r="HA6" s="79"/>
      <c r="HB6" s="79"/>
      <c r="HC6" s="79"/>
      <c r="HD6" s="79"/>
      <c r="HE6" s="79"/>
      <c r="HF6" s="79"/>
      <c r="HG6" s="79"/>
      <c r="HH6" s="79"/>
      <c r="HI6" s="79"/>
      <c r="HJ6" s="79"/>
      <c r="HK6" s="79"/>
      <c r="HL6" s="79"/>
      <c r="HM6" s="79"/>
      <c r="HN6" s="79"/>
      <c r="HO6" s="79"/>
      <c r="HP6" s="79"/>
      <c r="HQ6" s="79"/>
      <c r="HR6" s="79"/>
      <c r="HS6" s="79"/>
      <c r="HT6" s="79"/>
      <c r="HU6" s="79"/>
      <c r="HV6" s="79"/>
      <c r="HW6" s="79"/>
      <c r="HX6" s="79"/>
      <c r="HY6" s="79"/>
      <c r="HZ6" s="79"/>
      <c r="IA6" s="79"/>
      <c r="IB6" s="79"/>
      <c r="IC6" s="79"/>
      <c r="ID6" s="79"/>
      <c r="IE6" s="79"/>
      <c r="IF6" s="79"/>
      <c r="IG6" s="79"/>
      <c r="IH6" s="79"/>
      <c r="II6" s="79"/>
      <c r="IJ6" s="79"/>
      <c r="IK6" s="79"/>
      <c r="IL6" s="79"/>
      <c r="IM6" s="79"/>
      <c r="IN6" s="79"/>
      <c r="IO6" s="79"/>
      <c r="IP6" s="79"/>
      <c r="IQ6" s="79"/>
      <c r="IR6" s="79"/>
      <c r="IS6" s="79"/>
      <c r="IT6" s="79"/>
      <c r="IU6" s="79"/>
      <c r="IV6" s="79"/>
      <c r="IW6" s="79"/>
      <c r="IX6" s="79"/>
      <c r="IY6" s="79"/>
      <c r="IZ6" s="79"/>
      <c r="JA6" s="79"/>
      <c r="JB6" s="79"/>
      <c r="JC6" s="79"/>
      <c r="JD6" s="79"/>
      <c r="JE6" s="79"/>
      <c r="JF6" s="79"/>
      <c r="JG6" s="79"/>
      <c r="JH6" s="79"/>
      <c r="JI6" s="79"/>
      <c r="JJ6" s="79"/>
      <c r="JK6" s="79"/>
      <c r="JL6" s="79"/>
      <c r="JM6" s="79"/>
      <c r="JN6" s="79"/>
      <c r="JO6" s="79"/>
      <c r="JP6" s="79"/>
      <c r="JQ6" s="79"/>
      <c r="JR6" s="79"/>
      <c r="JS6" s="79"/>
      <c r="JT6" s="79"/>
      <c r="JU6" s="79"/>
      <c r="JV6" s="79"/>
      <c r="JW6" s="79"/>
      <c r="JX6" s="79"/>
      <c r="JY6" s="79"/>
      <c r="JZ6" s="79"/>
      <c r="KA6" s="79"/>
      <c r="KB6" s="79"/>
      <c r="KC6" s="79"/>
      <c r="KD6" s="79"/>
      <c r="KE6" s="79"/>
      <c r="KF6" s="79"/>
      <c r="KG6" s="79"/>
      <c r="KH6" s="79"/>
      <c r="KI6" s="79"/>
      <c r="KJ6" s="79"/>
      <c r="KK6" s="79"/>
      <c r="KL6" s="79"/>
      <c r="KM6" s="79"/>
      <c r="KN6" s="79"/>
      <c r="KO6" s="79"/>
      <c r="KP6" s="79"/>
      <c r="KQ6" s="79"/>
      <c r="KR6" s="79"/>
      <c r="KS6" s="79"/>
      <c r="KT6" s="79"/>
      <c r="KU6" s="79"/>
      <c r="KV6" s="79"/>
      <c r="KW6" s="79"/>
      <c r="KX6" s="79"/>
      <c r="KY6" s="79"/>
      <c r="KZ6" s="79"/>
      <c r="LA6" s="79"/>
      <c r="LB6" s="79"/>
      <c r="LC6" s="79"/>
      <c r="LD6" s="79"/>
      <c r="LE6" s="79"/>
      <c r="LF6" s="79"/>
      <c r="LG6" s="79"/>
      <c r="LH6" s="79"/>
      <c r="LI6" s="79"/>
      <c r="LJ6" s="79"/>
      <c r="LK6" s="79"/>
      <c r="LL6" s="79"/>
      <c r="LM6" s="79"/>
      <c r="LN6" s="79"/>
      <c r="LO6" s="79"/>
      <c r="LP6" s="79"/>
      <c r="LQ6" s="79"/>
      <c r="LR6" s="79"/>
      <c r="LS6" s="79"/>
      <c r="LT6" s="79"/>
      <c r="LU6" s="79"/>
      <c r="LV6" s="79"/>
      <c r="LW6" s="79"/>
      <c r="LX6" s="79"/>
      <c r="LY6" s="79"/>
      <c r="LZ6" s="79"/>
      <c r="MA6" s="79"/>
      <c r="MB6" s="79"/>
      <c r="MC6" s="79"/>
      <c r="MD6" s="79"/>
      <c r="ME6" s="79"/>
      <c r="MF6" s="79"/>
      <c r="MG6" s="79"/>
      <c r="MH6" s="79"/>
      <c r="MI6" s="79"/>
      <c r="MJ6" s="79"/>
      <c r="MK6" s="79"/>
      <c r="ML6" s="79"/>
      <c r="MM6" s="79"/>
      <c r="MN6" s="79"/>
      <c r="MO6" s="79"/>
      <c r="MP6" s="79"/>
      <c r="MQ6" s="79"/>
      <c r="MR6" s="79"/>
      <c r="MS6" s="79"/>
      <c r="MT6" s="79"/>
      <c r="MU6" s="79"/>
      <c r="MV6" s="79"/>
      <c r="MW6" s="79"/>
      <c r="MX6" s="79"/>
      <c r="MY6" s="79"/>
      <c r="MZ6" s="79"/>
      <c r="NA6" s="79"/>
      <c r="NB6" s="79"/>
      <c r="NC6" s="79"/>
      <c r="ND6" s="79"/>
      <c r="NE6" s="79"/>
      <c r="NF6" s="79"/>
      <c r="NG6" s="79"/>
      <c r="NH6" s="79"/>
      <c r="NI6" s="79"/>
      <c r="NJ6" s="79"/>
      <c r="NK6" s="79"/>
      <c r="NL6" s="79"/>
      <c r="NM6" s="79"/>
      <c r="NN6" s="79"/>
      <c r="NO6" s="79"/>
      <c r="NP6" s="79"/>
      <c r="NQ6" s="79"/>
      <c r="NR6" s="79"/>
      <c r="NS6" s="79"/>
      <c r="NT6" s="79"/>
      <c r="NU6" s="79"/>
      <c r="NV6" s="79"/>
      <c r="NW6" s="79"/>
      <c r="NX6" s="79"/>
      <c r="NY6" s="79"/>
      <c r="NZ6" s="79"/>
      <c r="OA6" s="79"/>
      <c r="OB6" s="79"/>
      <c r="OC6" s="79"/>
      <c r="OD6" s="79"/>
      <c r="OE6" s="79"/>
      <c r="OF6" s="79"/>
      <c r="OG6" s="79"/>
      <c r="OH6" s="79"/>
      <c r="OI6" s="79"/>
      <c r="OJ6" s="79"/>
      <c r="OK6" s="79"/>
      <c r="OL6" s="79"/>
      <c r="OM6" s="79"/>
      <c r="ON6" s="79"/>
      <c r="OO6" s="79"/>
      <c r="OP6" s="79"/>
      <c r="OQ6" s="79"/>
      <c r="OR6" s="79"/>
      <c r="OS6" s="79"/>
      <c r="OT6" s="79"/>
      <c r="OU6" s="79"/>
      <c r="OV6" s="79"/>
      <c r="OW6" s="79"/>
      <c r="OX6" s="79"/>
      <c r="OY6" s="79"/>
      <c r="OZ6" s="79"/>
      <c r="PA6" s="79"/>
      <c r="PB6" s="79"/>
      <c r="PC6" s="79"/>
      <c r="PD6" s="79"/>
      <c r="PE6" s="79"/>
      <c r="PF6" s="79"/>
      <c r="PG6" s="79"/>
      <c r="PH6" s="79"/>
      <c r="PI6" s="79"/>
      <c r="PJ6" s="79"/>
      <c r="PK6" s="79"/>
      <c r="PL6" s="79"/>
      <c r="PM6" s="79"/>
      <c r="PN6" s="79"/>
      <c r="PO6" s="79"/>
      <c r="PP6" s="79"/>
      <c r="PQ6" s="79"/>
      <c r="PR6" s="79"/>
      <c r="PS6" s="79"/>
      <c r="PT6" s="79"/>
      <c r="PU6" s="79"/>
      <c r="PV6" s="79"/>
      <c r="PW6" s="79"/>
      <c r="PX6" s="79"/>
      <c r="PY6" s="79"/>
      <c r="PZ6" s="79"/>
      <c r="QA6" s="79"/>
      <c r="QB6" s="79"/>
      <c r="QC6" s="79"/>
      <c r="QD6" s="79"/>
      <c r="QE6" s="79"/>
      <c r="QF6" s="79"/>
      <c r="QG6" s="79"/>
      <c r="QH6" s="79"/>
      <c r="QI6" s="79"/>
      <c r="QJ6" s="79"/>
      <c r="QK6" s="79"/>
      <c r="QL6" s="79"/>
      <c r="QM6" s="79"/>
      <c r="QN6" s="79"/>
      <c r="QO6" s="79"/>
      <c r="QP6" s="79"/>
      <c r="QQ6" s="79"/>
      <c r="QR6" s="79"/>
      <c r="QS6" s="79"/>
      <c r="QT6" s="79"/>
      <c r="QU6" s="79"/>
      <c r="QV6" s="79"/>
      <c r="QW6" s="79"/>
      <c r="QX6" s="79"/>
      <c r="QY6" s="79"/>
      <c r="QZ6" s="79"/>
      <c r="RA6" s="79"/>
      <c r="RB6" s="79"/>
      <c r="RC6" s="79"/>
      <c r="RD6" s="79"/>
      <c r="RE6" s="79"/>
      <c r="RF6" s="79"/>
      <c r="RG6" s="79"/>
      <c r="RH6" s="79"/>
      <c r="RI6" s="79"/>
      <c r="RJ6" s="79"/>
      <c r="RK6" s="79"/>
      <c r="RL6" s="79"/>
      <c r="RM6" s="79"/>
      <c r="RN6" s="79"/>
      <c r="RO6" s="79"/>
      <c r="RP6" s="79"/>
      <c r="RQ6" s="79"/>
      <c r="RR6" s="79"/>
      <c r="RS6" s="79"/>
      <c r="RT6" s="79"/>
      <c r="RU6" s="79"/>
      <c r="RV6" s="79"/>
      <c r="RW6" s="79"/>
      <c r="RX6" s="79"/>
      <c r="RY6" s="79"/>
      <c r="RZ6" s="79"/>
      <c r="SA6" s="79"/>
      <c r="SB6" s="79"/>
      <c r="SC6" s="79"/>
      <c r="SD6" s="79"/>
      <c r="SE6" s="79"/>
      <c r="SF6" s="79"/>
      <c r="SG6" s="79"/>
      <c r="SH6" s="79"/>
      <c r="SI6" s="79"/>
      <c r="SJ6" s="79"/>
      <c r="SK6" s="79"/>
      <c r="SL6" s="79"/>
      <c r="SM6" s="79"/>
      <c r="SN6" s="79"/>
      <c r="SO6" s="79"/>
      <c r="SP6" s="79"/>
      <c r="SQ6" s="79"/>
      <c r="SR6" s="79"/>
      <c r="SS6" s="79"/>
      <c r="ST6" s="79"/>
      <c r="SU6" s="79"/>
      <c r="SV6" s="79"/>
      <c r="SW6" s="79"/>
      <c r="SX6" s="79"/>
      <c r="SY6" s="79"/>
      <c r="SZ6" s="79"/>
      <c r="TA6" s="79"/>
      <c r="TB6" s="79"/>
      <c r="TC6" s="79"/>
      <c r="TD6" s="79"/>
      <c r="TE6" s="79"/>
      <c r="TF6" s="79"/>
      <c r="TG6" s="79"/>
      <c r="TH6" s="79"/>
      <c r="TI6" s="79"/>
      <c r="TJ6" s="79"/>
      <c r="TK6" s="79"/>
      <c r="TL6" s="79"/>
      <c r="TM6" s="79"/>
      <c r="TN6" s="79"/>
      <c r="TO6" s="79"/>
      <c r="TP6" s="79"/>
      <c r="TQ6" s="79"/>
      <c r="TR6" s="79"/>
      <c r="TS6" s="79"/>
      <c r="TT6" s="79"/>
      <c r="TU6" s="79"/>
      <c r="TV6" s="79"/>
      <c r="TW6" s="79"/>
      <c r="TX6" s="79"/>
      <c r="TY6" s="79"/>
      <c r="TZ6" s="79"/>
      <c r="UA6" s="79"/>
      <c r="UB6" s="79"/>
      <c r="UC6" s="79"/>
      <c r="UD6" s="79"/>
      <c r="UE6" s="79"/>
      <c r="UF6" s="79"/>
      <c r="UG6" s="79"/>
      <c r="UH6" s="79"/>
      <c r="UI6" s="79"/>
      <c r="UJ6" s="79"/>
      <c r="UK6" s="79"/>
      <c r="UL6" s="79"/>
      <c r="UM6" s="79"/>
      <c r="UN6" s="79"/>
      <c r="UO6" s="79"/>
      <c r="UP6" s="79"/>
      <c r="UQ6" s="79"/>
      <c r="UR6" s="79"/>
      <c r="US6" s="79"/>
      <c r="UT6" s="79"/>
      <c r="UU6" s="79"/>
      <c r="UV6" s="79"/>
      <c r="UW6" s="79"/>
      <c r="UX6" s="79"/>
      <c r="UY6" s="79"/>
      <c r="UZ6" s="79"/>
      <c r="VA6" s="79"/>
      <c r="VB6" s="79"/>
      <c r="VC6" s="79"/>
      <c r="VD6" s="79"/>
      <c r="VE6" s="79"/>
      <c r="VF6" s="79"/>
      <c r="VG6" s="79"/>
      <c r="VH6" s="79"/>
      <c r="VI6" s="79"/>
      <c r="VJ6" s="79"/>
      <c r="VK6" s="79"/>
      <c r="VL6" s="79"/>
      <c r="VM6" s="79"/>
      <c r="VN6" s="79"/>
      <c r="VO6" s="79"/>
      <c r="VP6" s="79"/>
      <c r="VQ6" s="79"/>
      <c r="VR6" s="79"/>
      <c r="VS6" s="79"/>
      <c r="VT6" s="79"/>
      <c r="VU6" s="79"/>
      <c r="VV6" s="79"/>
      <c r="VW6" s="79"/>
      <c r="VX6" s="79"/>
      <c r="VY6" s="79"/>
      <c r="VZ6" s="79"/>
      <c r="WA6" s="79"/>
      <c r="WB6" s="79"/>
      <c r="WC6" s="79"/>
      <c r="WD6" s="79"/>
      <c r="WE6" s="79"/>
      <c r="WF6" s="79"/>
      <c r="WG6" s="79"/>
      <c r="WH6" s="79"/>
      <c r="WI6" s="79"/>
      <c r="WJ6" s="79"/>
      <c r="WK6" s="79"/>
      <c r="WL6" s="79"/>
      <c r="WM6" s="79"/>
      <c r="WN6" s="79"/>
      <c r="WO6" s="79"/>
      <c r="WP6" s="79"/>
      <c r="WQ6" s="79"/>
      <c r="WR6" s="79"/>
      <c r="WS6" s="79"/>
      <c r="WT6" s="79"/>
      <c r="WU6" s="79"/>
      <c r="WV6" s="79"/>
      <c r="WW6" s="79"/>
      <c r="WX6" s="79"/>
      <c r="WY6" s="79"/>
      <c r="WZ6" s="79"/>
      <c r="XA6" s="79"/>
      <c r="XB6" s="79"/>
      <c r="XC6" s="79"/>
      <c r="XD6" s="79"/>
      <c r="XE6" s="79"/>
      <c r="XF6" s="79"/>
      <c r="XG6" s="79"/>
      <c r="XH6" s="79"/>
      <c r="XI6" s="79"/>
      <c r="XJ6" s="79"/>
      <c r="XK6" s="79"/>
      <c r="XL6" s="79"/>
      <c r="XM6" s="79"/>
      <c r="XN6" s="79"/>
      <c r="XO6" s="79"/>
      <c r="XP6" s="79"/>
      <c r="XQ6" s="79"/>
      <c r="XR6" s="79"/>
      <c r="XS6" s="79"/>
      <c r="XT6" s="79"/>
      <c r="XU6" s="79"/>
      <c r="XV6" s="79"/>
      <c r="XW6" s="79"/>
      <c r="XX6" s="79"/>
      <c r="XY6" s="79"/>
      <c r="XZ6" s="79"/>
      <c r="YA6" s="79"/>
      <c r="YB6" s="79"/>
      <c r="YC6" s="79"/>
      <c r="YD6" s="79"/>
      <c r="YE6" s="79"/>
      <c r="YF6" s="79"/>
      <c r="YG6" s="79"/>
      <c r="YH6" s="79"/>
      <c r="YI6" s="79"/>
      <c r="YJ6" s="79"/>
      <c r="YK6" s="79"/>
      <c r="YL6" s="79"/>
      <c r="YM6" s="79"/>
      <c r="YN6" s="79"/>
      <c r="YO6" s="79"/>
      <c r="YP6" s="79"/>
      <c r="YQ6" s="79"/>
      <c r="YR6" s="79"/>
      <c r="YS6" s="79"/>
      <c r="YT6" s="79"/>
      <c r="YU6" s="79"/>
      <c r="YV6" s="79"/>
      <c r="YW6" s="79"/>
      <c r="YX6" s="79"/>
      <c r="YY6" s="79"/>
      <c r="YZ6" s="79"/>
      <c r="ZA6" s="79"/>
      <c r="ZB6" s="79"/>
      <c r="ZC6" s="79"/>
      <c r="ZD6" s="79"/>
      <c r="ZE6" s="79"/>
      <c r="ZF6" s="79"/>
      <c r="ZG6" s="79"/>
      <c r="ZH6" s="79"/>
      <c r="ZI6" s="79"/>
      <c r="ZJ6" s="79"/>
      <c r="ZK6" s="79"/>
      <c r="ZL6" s="79"/>
      <c r="ZM6" s="79"/>
      <c r="ZN6" s="79"/>
      <c r="ZO6" s="79"/>
      <c r="ZP6" s="79"/>
      <c r="ZQ6" s="79"/>
      <c r="ZR6" s="79"/>
      <c r="ZS6" s="79"/>
      <c r="ZT6" s="79"/>
      <c r="ZU6" s="79"/>
      <c r="ZV6" s="79"/>
      <c r="ZW6" s="79"/>
      <c r="ZX6" s="79"/>
      <c r="ZY6" s="79"/>
      <c r="ZZ6" s="79"/>
      <c r="AAA6" s="79"/>
      <c r="AAB6" s="79"/>
      <c r="AAC6" s="79"/>
      <c r="AAD6" s="79"/>
      <c r="AAE6" s="79"/>
      <c r="AAF6" s="79"/>
      <c r="AAG6" s="79"/>
      <c r="AAH6" s="79"/>
      <c r="AAI6" s="79"/>
      <c r="AAJ6" s="79"/>
      <c r="AAK6" s="79"/>
      <c r="AAL6" s="79"/>
      <c r="AAM6" s="79"/>
      <c r="AAN6" s="79"/>
      <c r="AAO6" s="79"/>
      <c r="AAP6" s="79"/>
      <c r="AAQ6" s="79"/>
      <c r="AAR6" s="79"/>
      <c r="AAS6" s="79"/>
      <c r="AAT6" s="79"/>
      <c r="AAU6" s="79"/>
      <c r="AAV6" s="79"/>
      <c r="AAW6" s="79"/>
      <c r="AAX6" s="79"/>
      <c r="AAY6" s="79"/>
      <c r="AAZ6" s="79"/>
      <c r="ABA6" s="79"/>
      <c r="ABB6" s="79"/>
      <c r="ABC6" s="79"/>
      <c r="ABD6" s="79"/>
      <c r="ABE6" s="79"/>
      <c r="ABF6" s="79"/>
      <c r="ABG6" s="79"/>
      <c r="ABH6" s="79"/>
      <c r="ABI6" s="79"/>
      <c r="ABJ6" s="79"/>
      <c r="ABK6" s="79"/>
      <c r="ABL6" s="79"/>
      <c r="ABM6" s="79"/>
      <c r="ABN6" s="79"/>
      <c r="ABO6" s="79"/>
      <c r="ABP6" s="79"/>
      <c r="ABQ6" s="79"/>
      <c r="ABR6" s="79"/>
      <c r="ABS6" s="79"/>
      <c r="ABT6" s="79"/>
      <c r="ABU6" s="79"/>
      <c r="ABV6" s="79"/>
      <c r="ABW6" s="79"/>
      <c r="ABX6" s="79"/>
      <c r="ABY6" s="79"/>
      <c r="ABZ6" s="79"/>
      <c r="ACA6" s="79"/>
      <c r="ACB6" s="79"/>
      <c r="ACC6" s="79"/>
      <c r="ACD6" s="79"/>
      <c r="ACE6" s="79"/>
      <c r="ACF6" s="79"/>
      <c r="ACG6" s="79"/>
      <c r="ACH6" s="79"/>
      <c r="ACI6" s="79"/>
      <c r="ACJ6" s="79"/>
      <c r="ACK6" s="79"/>
      <c r="ACL6" s="79"/>
      <c r="ACM6" s="79"/>
      <c r="ACN6" s="79"/>
      <c r="ACO6" s="79"/>
      <c r="ACP6" s="79"/>
      <c r="ACQ6" s="79"/>
      <c r="ACR6" s="79"/>
      <c r="ACS6" s="79"/>
      <c r="ACT6" s="79"/>
      <c r="ACU6" s="79"/>
      <c r="ACV6" s="79"/>
      <c r="ACW6" s="79"/>
      <c r="ACX6" s="79"/>
      <c r="ACY6" s="79"/>
      <c r="ACZ6" s="79"/>
      <c r="ADA6" s="79"/>
      <c r="ADB6" s="79"/>
      <c r="ADC6" s="79"/>
      <c r="ADD6" s="79"/>
      <c r="ADE6" s="79"/>
      <c r="ADF6" s="79"/>
      <c r="ADG6" s="79"/>
      <c r="ADH6" s="79"/>
      <c r="ADI6" s="79"/>
      <c r="ADJ6" s="79"/>
      <c r="ADK6" s="79"/>
      <c r="ADL6" s="79"/>
      <c r="ADM6" s="79"/>
      <c r="ADN6" s="79"/>
      <c r="ADO6" s="79"/>
      <c r="ADP6" s="79"/>
      <c r="ADQ6" s="79"/>
      <c r="ADR6" s="79"/>
      <c r="ADS6" s="79"/>
      <c r="ADT6" s="79"/>
      <c r="ADU6" s="79"/>
      <c r="ADV6" s="79"/>
      <c r="ADW6" s="79"/>
      <c r="ADX6" s="79"/>
      <c r="ADY6" s="79"/>
      <c r="ADZ6" s="79"/>
      <c r="AEA6" s="79"/>
      <c r="AEB6" s="79"/>
      <c r="AEC6" s="79"/>
      <c r="AED6" s="79"/>
      <c r="AEE6" s="79"/>
      <c r="AEF6" s="79"/>
      <c r="AEG6" s="79"/>
      <c r="AEH6" s="79"/>
      <c r="AEI6" s="79"/>
      <c r="AEJ6" s="79"/>
      <c r="AEK6" s="79"/>
      <c r="AEL6" s="79"/>
      <c r="AEM6" s="79"/>
      <c r="AEN6" s="79"/>
      <c r="AEO6" s="79"/>
      <c r="AEP6" s="79"/>
      <c r="AEQ6" s="79"/>
      <c r="AER6" s="79"/>
      <c r="AES6" s="79"/>
      <c r="AET6" s="79"/>
      <c r="AEU6" s="79"/>
      <c r="AEV6" s="79"/>
      <c r="AEW6" s="79"/>
      <c r="AEX6" s="79"/>
      <c r="AEY6" s="79"/>
      <c r="AEZ6" s="79"/>
      <c r="AFA6" s="79"/>
      <c r="AFB6" s="79"/>
      <c r="AFC6" s="79"/>
      <c r="AFD6" s="79"/>
      <c r="AFE6" s="79"/>
      <c r="AFF6" s="79"/>
      <c r="AFG6" s="79"/>
      <c r="AFH6" s="79"/>
      <c r="AFI6" s="79"/>
      <c r="AFJ6" s="79"/>
      <c r="AFK6" s="79"/>
      <c r="AFL6" s="79"/>
      <c r="AFM6" s="79"/>
      <c r="AFN6" s="79"/>
      <c r="AFO6" s="79"/>
      <c r="AFP6" s="79"/>
      <c r="AFQ6" s="79"/>
      <c r="AFR6" s="79"/>
      <c r="AFS6" s="79"/>
      <c r="AFT6" s="79"/>
      <c r="AFU6" s="79"/>
      <c r="AFV6" s="79"/>
      <c r="AFW6" s="79"/>
      <c r="AFX6" s="79"/>
      <c r="AFY6" s="79"/>
      <c r="AFZ6" s="79"/>
      <c r="AGA6" s="79"/>
      <c r="AGB6" s="79"/>
      <c r="AGC6" s="79"/>
      <c r="AGD6" s="79"/>
      <c r="AGE6" s="79"/>
      <c r="AGF6" s="79"/>
      <c r="AGG6" s="79"/>
      <c r="AGH6" s="79"/>
      <c r="AGI6" s="79"/>
      <c r="AGJ6" s="79"/>
      <c r="AGK6" s="79"/>
      <c r="AGL6" s="79"/>
      <c r="AGM6" s="79"/>
      <c r="AGN6" s="79"/>
      <c r="AGO6" s="79"/>
      <c r="AGP6" s="79"/>
      <c r="AGQ6" s="79"/>
      <c r="AGR6" s="79"/>
      <c r="AGS6" s="79"/>
      <c r="AGT6" s="79"/>
      <c r="AGU6" s="79"/>
      <c r="AGV6" s="79"/>
      <c r="AGW6" s="79"/>
      <c r="AGX6" s="79"/>
      <c r="AGY6" s="79"/>
      <c r="AGZ6" s="79"/>
      <c r="AHA6" s="79"/>
      <c r="AHB6" s="79"/>
      <c r="AHC6" s="79"/>
      <c r="AHD6" s="79"/>
      <c r="AHE6" s="79"/>
      <c r="AHF6" s="79"/>
      <c r="AHG6" s="79"/>
      <c r="AHH6" s="79"/>
      <c r="AHI6" s="79"/>
      <c r="AHJ6" s="79"/>
      <c r="AHK6" s="79"/>
      <c r="AHL6" s="79"/>
      <c r="AHM6" s="79"/>
      <c r="AHN6" s="79"/>
      <c r="AHO6" s="79"/>
      <c r="AHP6" s="79"/>
      <c r="AHQ6" s="79"/>
      <c r="AHR6" s="79"/>
      <c r="AHS6" s="79"/>
      <c r="AHT6" s="79"/>
      <c r="AHU6" s="79"/>
      <c r="AHV6" s="79"/>
      <c r="AHW6" s="79"/>
      <c r="AHX6" s="79"/>
      <c r="AHY6" s="79"/>
      <c r="AHZ6" s="79"/>
      <c r="AIA6" s="79"/>
      <c r="AIB6" s="79"/>
      <c r="AIC6" s="79"/>
      <c r="AID6" s="79"/>
      <c r="AIE6" s="79"/>
      <c r="AIF6" s="79"/>
      <c r="AIG6" s="79"/>
      <c r="AIH6" s="79"/>
      <c r="AII6" s="79"/>
      <c r="AIJ6" s="79"/>
      <c r="AIK6" s="79"/>
      <c r="AIL6" s="79"/>
      <c r="AIM6" s="79"/>
      <c r="AIN6" s="79"/>
      <c r="AIO6" s="79"/>
      <c r="AIP6" s="79"/>
      <c r="AIQ6" s="79"/>
      <c r="AIR6" s="79"/>
      <c r="AIS6" s="79"/>
      <c r="AIT6" s="79"/>
      <c r="AIU6" s="79"/>
      <c r="AIV6" s="79"/>
      <c r="AIW6" s="79"/>
      <c r="AIX6" s="79"/>
      <c r="AIY6" s="79"/>
      <c r="AIZ6" s="79"/>
      <c r="AJA6" s="79"/>
      <c r="AJB6" s="79"/>
      <c r="AJC6" s="79"/>
      <c r="AJD6" s="79"/>
      <c r="AJE6" s="79"/>
      <c r="AJF6" s="79"/>
      <c r="AJG6" s="79"/>
      <c r="AJH6" s="79"/>
      <c r="AJI6" s="79"/>
      <c r="AJJ6" s="79"/>
      <c r="AJK6" s="79"/>
      <c r="AJL6" s="79"/>
      <c r="AJM6" s="79"/>
      <c r="AJN6" s="79"/>
      <c r="AJO6" s="79"/>
      <c r="AJP6" s="79"/>
      <c r="AJQ6" s="79"/>
      <c r="AJR6" s="79"/>
      <c r="AJS6" s="79"/>
      <c r="AJT6" s="79"/>
      <c r="AJU6" s="79"/>
      <c r="AJV6" s="79"/>
      <c r="AJW6" s="79"/>
      <c r="AJX6" s="79"/>
      <c r="AJY6" s="79"/>
      <c r="AJZ6" s="79"/>
      <c r="AKA6" s="79"/>
      <c r="AKB6" s="79"/>
      <c r="AKC6" s="79"/>
      <c r="AKD6" s="79"/>
      <c r="AKE6" s="79"/>
      <c r="AKF6" s="79"/>
      <c r="AKG6" s="79"/>
      <c r="AKH6" s="79"/>
      <c r="AKI6" s="79"/>
      <c r="AKJ6" s="79"/>
      <c r="AKK6" s="79"/>
      <c r="AKL6" s="79"/>
      <c r="AKM6" s="79"/>
      <c r="AKN6" s="79"/>
      <c r="AKO6" s="79"/>
      <c r="AKP6" s="79"/>
      <c r="AKQ6" s="79"/>
      <c r="AKR6" s="79"/>
      <c r="AKS6" s="79"/>
      <c r="AKT6" s="79"/>
      <c r="AKU6" s="79"/>
      <c r="AKV6" s="79"/>
      <c r="AKW6" s="79"/>
      <c r="AKX6" s="79"/>
      <c r="AKY6" s="79"/>
      <c r="AKZ6" s="79"/>
      <c r="ALA6" s="79"/>
      <c r="ALB6" s="79"/>
      <c r="ALC6" s="79"/>
      <c r="ALD6" s="79"/>
      <c r="ALE6" s="79"/>
      <c r="ALF6" s="79"/>
      <c r="ALG6" s="79"/>
      <c r="ALH6" s="79"/>
      <c r="ALI6" s="79"/>
      <c r="ALJ6" s="79"/>
      <c r="ALK6" s="79"/>
      <c r="ALL6" s="79"/>
      <c r="ALM6" s="79"/>
      <c r="ALN6" s="79"/>
      <c r="ALO6" s="79"/>
      <c r="ALP6" s="79"/>
      <c r="ALQ6" s="79"/>
      <c r="ALR6" s="79"/>
      <c r="ALS6" s="79"/>
      <c r="ALT6" s="79"/>
      <c r="ALU6" s="79"/>
      <c r="ALV6" s="79"/>
      <c r="ALW6" s="79"/>
      <c r="ALX6" s="79"/>
      <c r="ALY6" s="79"/>
      <c r="ALZ6" s="79"/>
      <c r="AMA6" s="84">
        <v>9452.5853167774203</v>
      </c>
      <c r="AMB6" s="84">
        <v>28720.192740462298</v>
      </c>
      <c r="AMC6" s="84">
        <v>9452.5853167774203</v>
      </c>
      <c r="AMD6" s="84">
        <v>4501.69888463182</v>
      </c>
      <c r="AME6" s="84">
        <v>9452.5853167774203</v>
      </c>
      <c r="AMF6" s="84">
        <v>4501.69888463182</v>
      </c>
      <c r="AMG6" s="84">
        <v>11152.2437647059</v>
      </c>
      <c r="AMH6" s="84">
        <v>4623.8823529411802</v>
      </c>
      <c r="AMI6" s="84">
        <v>9452.5853167774203</v>
      </c>
      <c r="AMJ6" s="84">
        <v>10373.291678801201</v>
      </c>
      <c r="AMK6" s="84">
        <v>40332.199999999997</v>
      </c>
      <c r="AML6" s="84">
        <v>33827</v>
      </c>
      <c r="AMM6" s="84">
        <v>40332.199999999997</v>
      </c>
      <c r="AMN6" s="84">
        <v>33827</v>
      </c>
      <c r="AMO6" s="84">
        <v>11152.2437647059</v>
      </c>
      <c r="AMP6" s="84">
        <v>4623.8823529411802</v>
      </c>
      <c r="AMQ6" s="84">
        <v>40332.199999999997</v>
      </c>
      <c r="AMR6" s="84">
        <v>6691.2</v>
      </c>
      <c r="AMS6" s="84">
        <v>40332.199999999997</v>
      </c>
      <c r="AMT6" s="84">
        <v>22628.400000000001</v>
      </c>
      <c r="AMU6" s="84">
        <v>6021.5567010309296</v>
      </c>
      <c r="AMV6" s="84">
        <v>5416.7938144329901</v>
      </c>
      <c r="AMW6" s="84">
        <v>9452.5853167774203</v>
      </c>
      <c r="AMX6" s="84">
        <v>527.53417454467103</v>
      </c>
      <c r="AMY6" s="84">
        <v>5391</v>
      </c>
      <c r="AMZ6" s="84">
        <v>3030.4285714285702</v>
      </c>
      <c r="ANA6" s="84">
        <v>5391</v>
      </c>
      <c r="ANB6" s="84">
        <v>3881.1428571428601</v>
      </c>
      <c r="ANC6" s="84">
        <v>18315.5237647059</v>
      </c>
      <c r="AND6" s="84">
        <v>4623.8823529411802</v>
      </c>
      <c r="ANE6" s="84">
        <v>5391</v>
      </c>
      <c r="ANF6" s="84">
        <v>3881.1428571428601</v>
      </c>
      <c r="ANG6" s="84">
        <v>18315.5237647059</v>
      </c>
      <c r="ANH6" s="84">
        <v>4623.8823529411802</v>
      </c>
      <c r="ANI6" s="84">
        <v>28720.192740462298</v>
      </c>
      <c r="ANJ6" s="84">
        <v>7406.5711789468096</v>
      </c>
      <c r="ANK6" s="84">
        <v>18315.5237647059</v>
      </c>
      <c r="ANL6" s="84">
        <v>4623.8823529411802</v>
      </c>
      <c r="ANM6" s="84">
        <v>68600.559615384598</v>
      </c>
      <c r="ANN6" s="84">
        <v>6691.2</v>
      </c>
      <c r="ANO6" s="84">
        <v>68600.559615384598</v>
      </c>
      <c r="ANP6" s="84">
        <v>22628.400000000001</v>
      </c>
      <c r="ANQ6" s="84">
        <v>14628.8969072165</v>
      </c>
      <c r="ANR6" s="84">
        <v>5416.7938144329901</v>
      </c>
      <c r="ANS6" s="84">
        <v>5391</v>
      </c>
      <c r="ANT6" s="84">
        <v>855.76088518690301</v>
      </c>
      <c r="ANU6" s="84">
        <v>3030.4285714285702</v>
      </c>
      <c r="ANV6" s="84">
        <v>3881.1428571428601</v>
      </c>
      <c r="ANW6" s="84">
        <v>4623.8823529411802</v>
      </c>
      <c r="ANX6" s="84">
        <v>4623.8823529411802</v>
      </c>
      <c r="ANY6" s="84">
        <v>3030.4285714285702</v>
      </c>
      <c r="ANZ6" s="84">
        <v>3881.1428571428601</v>
      </c>
      <c r="AOA6" s="84">
        <v>4623.8823529411802</v>
      </c>
      <c r="AOB6" s="84">
        <v>4623.8823529411802</v>
      </c>
      <c r="AOC6" s="84">
        <v>4501.69888463182</v>
      </c>
      <c r="AOD6" s="84">
        <v>7406.5711789468096</v>
      </c>
      <c r="AOE6" s="84">
        <v>4623.8823529411802</v>
      </c>
      <c r="AOF6" s="84">
        <v>4623.8823529411802</v>
      </c>
      <c r="AOG6" s="84">
        <v>29923.9</v>
      </c>
      <c r="AOH6" s="84">
        <v>6691.2</v>
      </c>
      <c r="AOI6" s="84">
        <v>29923.9</v>
      </c>
      <c r="AOJ6" s="84">
        <v>22628.400000000001</v>
      </c>
      <c r="AOK6" s="84">
        <v>5416.7938144329901</v>
      </c>
      <c r="AOL6" s="84">
        <v>5416.7938144329901</v>
      </c>
      <c r="AOM6" s="84">
        <v>3030.4285714285702</v>
      </c>
      <c r="AON6" s="84">
        <v>855.76088518690301</v>
      </c>
      <c r="AOO6" s="84">
        <v>4635.0635294117601</v>
      </c>
      <c r="AOP6" s="84">
        <v>4623.8823529411802</v>
      </c>
      <c r="AOQ6" s="84">
        <v>3881.1428571428601</v>
      </c>
      <c r="AOR6" s="84">
        <v>3881.1428571428601</v>
      </c>
      <c r="AOS6" s="84">
        <v>4635.0635294117601</v>
      </c>
      <c r="AOT6" s="84">
        <v>4623.8823529411802</v>
      </c>
      <c r="AOU6" s="84">
        <v>4501.69888463182</v>
      </c>
      <c r="AOV6" s="84">
        <v>7406.5711789468096</v>
      </c>
      <c r="AOW6" s="84">
        <v>4635.0635294117601</v>
      </c>
      <c r="AOX6" s="84">
        <v>4623.8823529411802</v>
      </c>
      <c r="AOY6" s="84">
        <v>18169.0116646432</v>
      </c>
      <c r="AOZ6" s="84">
        <v>6691.2</v>
      </c>
      <c r="APA6" s="84">
        <v>18169.0116646432</v>
      </c>
      <c r="APB6" s="84">
        <v>22628.400000000001</v>
      </c>
      <c r="APC6" s="84">
        <v>5416.7938144329901</v>
      </c>
      <c r="APD6" s="84">
        <v>5416.7938144329901</v>
      </c>
      <c r="APE6" s="84">
        <v>3881.1428571428601</v>
      </c>
      <c r="APF6" s="84">
        <v>855.76088518690301</v>
      </c>
      <c r="APG6" s="84">
        <v>4623.8823529411802</v>
      </c>
      <c r="APH6" s="84">
        <v>7682.9689411764703</v>
      </c>
      <c r="API6" s="84">
        <v>40332.199999999997</v>
      </c>
      <c r="APJ6" s="84">
        <v>33827</v>
      </c>
      <c r="APK6" s="84">
        <v>5416.7938144329901</v>
      </c>
      <c r="APL6" s="84">
        <v>5416.7938144329901</v>
      </c>
      <c r="APM6" s="84">
        <v>4623.8823529411802</v>
      </c>
      <c r="APN6" s="84">
        <v>4623.8823529411802</v>
      </c>
      <c r="APO6" s="84">
        <v>5416.7938144329901</v>
      </c>
      <c r="APP6" s="84">
        <v>2010.27835051546</v>
      </c>
      <c r="APQ6" s="84">
        <v>5416.7938144329901</v>
      </c>
      <c r="APR6" s="84">
        <v>5416.7938144329901</v>
      </c>
      <c r="APS6" s="84">
        <v>5416.7938144329901</v>
      </c>
      <c r="APT6" s="84">
        <v>5416.7938144329901</v>
      </c>
      <c r="APU6" s="84">
        <v>4623.8823529411802</v>
      </c>
      <c r="APV6" s="84">
        <v>820.14928855859398</v>
      </c>
      <c r="APW6" s="84">
        <v>7682.9689411764703</v>
      </c>
      <c r="APX6" s="84">
        <v>4623.8823529411802</v>
      </c>
      <c r="APY6" s="84">
        <v>10373.291678801201</v>
      </c>
      <c r="APZ6" s="84">
        <v>7406.5711789468096</v>
      </c>
      <c r="AQA6" s="84">
        <v>7682.9689411764703</v>
      </c>
      <c r="AQB6" s="84">
        <v>4623.8823529411802</v>
      </c>
      <c r="AQC6" s="84">
        <v>33827</v>
      </c>
      <c r="AQD6" s="84">
        <v>6691.2</v>
      </c>
      <c r="AQE6" s="84">
        <v>33827</v>
      </c>
      <c r="AQF6" s="84">
        <v>22628.400000000001</v>
      </c>
      <c r="AQG6" s="84">
        <v>5416.7938144329901</v>
      </c>
      <c r="AQH6" s="84">
        <v>5416.7938144329901</v>
      </c>
      <c r="AQI6" s="84">
        <v>3881.1428571428601</v>
      </c>
      <c r="AQJ6" s="84">
        <v>855.76088518690301</v>
      </c>
      <c r="AQK6" s="84">
        <v>5416.7938144329901</v>
      </c>
      <c r="AQL6" s="84">
        <v>5416.7938144329901</v>
      </c>
      <c r="AQM6" s="84">
        <v>33827</v>
      </c>
      <c r="AQN6" s="84">
        <v>18248.400000000001</v>
      </c>
      <c r="AQO6" s="84">
        <v>5416.7938144329901</v>
      </c>
      <c r="AQP6" s="84">
        <v>2010.27835051546</v>
      </c>
      <c r="AQQ6" s="84">
        <v>5825.1178021978003</v>
      </c>
      <c r="AQR6" s="84">
        <v>8329.7848138957997</v>
      </c>
      <c r="AQS6" s="84">
        <v>5416.7938144329901</v>
      </c>
      <c r="AQT6" s="84">
        <v>5416.7938144329901</v>
      </c>
      <c r="AQU6" s="84">
        <v>4623.8823529411802</v>
      </c>
      <c r="AQV6" s="84">
        <v>820.14928855859398</v>
      </c>
      <c r="AQW6" s="84">
        <v>5416.7938144329901</v>
      </c>
      <c r="AQX6" s="84">
        <v>5416.7938144329901</v>
      </c>
      <c r="AQY6" s="84">
        <v>5416.7938144329901</v>
      </c>
      <c r="AQZ6" s="84">
        <v>2010.27835051546</v>
      </c>
      <c r="ARA6" s="84">
        <v>5416.7938144329901</v>
      </c>
      <c r="ARB6" s="84">
        <v>5416.7938144329901</v>
      </c>
      <c r="ARC6" s="84">
        <v>7477.7857142857101</v>
      </c>
      <c r="ARD6" s="84">
        <v>0</v>
      </c>
      <c r="ARE6" s="84">
        <v>7406.5711789468096</v>
      </c>
      <c r="ARF6" s="84">
        <v>527.53417454467103</v>
      </c>
      <c r="ARG6" s="84">
        <v>5416.7938144329901</v>
      </c>
      <c r="ARH6" s="84">
        <v>2010.27835051546</v>
      </c>
      <c r="ARI6" s="84">
        <v>5416.7938144329901</v>
      </c>
      <c r="ARJ6" s="84">
        <v>5416.7938144329901</v>
      </c>
      <c r="ARK6" s="84">
        <v>5416.7938144329901</v>
      </c>
      <c r="ARL6" s="84">
        <v>5416.7938144329901</v>
      </c>
      <c r="ARM6" s="84">
        <v>4623.8823529411802</v>
      </c>
      <c r="ARN6" s="84">
        <v>820.14928855859398</v>
      </c>
      <c r="ARO6" s="84">
        <v>300</v>
      </c>
      <c r="ARP6" s="84">
        <v>14688.857142857099</v>
      </c>
      <c r="ARQ6" s="84">
        <v>300</v>
      </c>
      <c r="ARR6" s="84">
        <v>0</v>
      </c>
      <c r="ARS6" s="84">
        <v>6691.2</v>
      </c>
      <c r="ART6" s="84">
        <v>7970.7969680064098</v>
      </c>
      <c r="ARU6" s="84">
        <v>14688.857142857099</v>
      </c>
      <c r="ARV6" s="84">
        <v>0</v>
      </c>
      <c r="ARW6" s="84">
        <v>22628.400000000001</v>
      </c>
      <c r="ARX6" s="84">
        <v>7970.7969680064098</v>
      </c>
      <c r="ARY6" s="84">
        <v>5416.7938144329901</v>
      </c>
      <c r="ARZ6" s="84">
        <v>583.11020358403903</v>
      </c>
    </row>
    <row r="7" spans="1:1170" ht="15.75" customHeight="1" x14ac:dyDescent="0.35">
      <c r="A7" s="99" t="s">
        <v>0</v>
      </c>
      <c r="B7" s="91">
        <v>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79"/>
      <c r="P7" s="79"/>
      <c r="Q7" s="79"/>
      <c r="R7" s="79"/>
      <c r="S7" s="79"/>
      <c r="T7" s="79"/>
      <c r="U7" s="79"/>
      <c r="V7" s="79"/>
      <c r="W7" s="102" t="s">
        <v>771</v>
      </c>
      <c r="X7" s="83">
        <v>0.89187972558303696</v>
      </c>
      <c r="Y7" s="84">
        <v>10</v>
      </c>
      <c r="Z7" s="83">
        <v>5.2374015251647804E-4</v>
      </c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79"/>
      <c r="FD7" s="79"/>
      <c r="FE7" s="79"/>
      <c r="FF7" s="79"/>
      <c r="FG7" s="79"/>
      <c r="FH7" s="79"/>
      <c r="FI7" s="79"/>
      <c r="FJ7" s="79"/>
      <c r="FK7" s="79"/>
      <c r="FL7" s="79"/>
      <c r="FM7" s="79"/>
      <c r="FN7" s="79"/>
      <c r="FO7" s="79"/>
      <c r="FP7" s="79"/>
      <c r="FQ7" s="79"/>
      <c r="FR7" s="79"/>
      <c r="FS7" s="79"/>
      <c r="FT7" s="79"/>
      <c r="FU7" s="79"/>
      <c r="FV7" s="79"/>
      <c r="FW7" s="79"/>
      <c r="FX7" s="79"/>
      <c r="FY7" s="79"/>
      <c r="FZ7" s="79"/>
      <c r="GA7" s="79"/>
      <c r="GB7" s="79"/>
      <c r="GC7" s="79"/>
      <c r="GD7" s="79"/>
      <c r="GE7" s="79"/>
      <c r="GF7" s="79"/>
      <c r="GG7" s="79"/>
      <c r="GH7" s="79"/>
      <c r="GI7" s="79"/>
      <c r="GJ7" s="79"/>
      <c r="GK7" s="79"/>
      <c r="GL7" s="79"/>
      <c r="GM7" s="79"/>
      <c r="GN7" s="79"/>
      <c r="GO7" s="79"/>
      <c r="GP7" s="79"/>
      <c r="GQ7" s="79"/>
      <c r="GR7" s="79"/>
      <c r="GS7" s="79"/>
      <c r="GT7" s="79"/>
      <c r="GU7" s="79"/>
      <c r="GV7" s="79"/>
      <c r="GW7" s="79"/>
      <c r="GX7" s="79"/>
      <c r="GY7" s="79"/>
      <c r="GZ7" s="79"/>
      <c r="HA7" s="79"/>
      <c r="HB7" s="79"/>
      <c r="HC7" s="79"/>
      <c r="HD7" s="79"/>
      <c r="HE7" s="79"/>
      <c r="HF7" s="79"/>
      <c r="HG7" s="79"/>
      <c r="HH7" s="79"/>
      <c r="HI7" s="79"/>
      <c r="HJ7" s="79"/>
      <c r="HK7" s="79"/>
      <c r="HL7" s="79"/>
      <c r="HM7" s="79"/>
      <c r="HN7" s="79"/>
      <c r="HO7" s="79"/>
      <c r="HP7" s="79"/>
      <c r="HQ7" s="79"/>
      <c r="HR7" s="79"/>
      <c r="HS7" s="79"/>
      <c r="HT7" s="79"/>
      <c r="HU7" s="79"/>
      <c r="HV7" s="79"/>
      <c r="HW7" s="79"/>
      <c r="HX7" s="79"/>
      <c r="HY7" s="79"/>
      <c r="HZ7" s="79"/>
      <c r="IA7" s="79"/>
      <c r="IB7" s="79"/>
      <c r="IC7" s="79"/>
      <c r="ID7" s="79"/>
      <c r="IE7" s="79"/>
      <c r="IF7" s="79"/>
      <c r="IG7" s="79"/>
      <c r="IH7" s="79"/>
      <c r="II7" s="79"/>
      <c r="IJ7" s="79"/>
      <c r="IK7" s="79"/>
      <c r="IL7" s="79"/>
      <c r="IM7" s="79"/>
      <c r="IN7" s="79"/>
      <c r="IO7" s="79"/>
      <c r="IP7" s="79"/>
      <c r="IQ7" s="79"/>
      <c r="IR7" s="79"/>
      <c r="IS7" s="79"/>
      <c r="IT7" s="79"/>
      <c r="IU7" s="79"/>
      <c r="IV7" s="79"/>
      <c r="IW7" s="79"/>
      <c r="IX7" s="79"/>
      <c r="IY7" s="79"/>
      <c r="IZ7" s="79"/>
      <c r="JA7" s="79"/>
      <c r="JB7" s="79"/>
      <c r="JC7" s="79"/>
      <c r="JD7" s="79"/>
      <c r="JE7" s="79"/>
      <c r="JF7" s="79"/>
      <c r="JG7" s="79"/>
      <c r="JH7" s="79"/>
      <c r="JI7" s="79"/>
      <c r="JJ7" s="79"/>
      <c r="JK7" s="79"/>
      <c r="JL7" s="79"/>
      <c r="JM7" s="79"/>
      <c r="JN7" s="79"/>
      <c r="JO7" s="79"/>
      <c r="JP7" s="79"/>
      <c r="JQ7" s="79"/>
      <c r="JR7" s="79"/>
      <c r="JS7" s="79"/>
      <c r="JT7" s="79"/>
      <c r="JU7" s="79"/>
      <c r="JV7" s="79"/>
      <c r="JW7" s="79"/>
      <c r="JX7" s="79"/>
      <c r="JY7" s="79"/>
      <c r="JZ7" s="79"/>
      <c r="KA7" s="79"/>
      <c r="KB7" s="79"/>
      <c r="KC7" s="79"/>
      <c r="KD7" s="79"/>
      <c r="KE7" s="79"/>
      <c r="KF7" s="79"/>
      <c r="KG7" s="79"/>
      <c r="KH7" s="79"/>
      <c r="KI7" s="79"/>
      <c r="KJ7" s="79"/>
      <c r="KK7" s="79"/>
      <c r="KL7" s="79"/>
      <c r="KM7" s="79"/>
      <c r="KN7" s="79"/>
      <c r="KO7" s="79"/>
      <c r="KP7" s="79"/>
      <c r="KQ7" s="79"/>
      <c r="KR7" s="79"/>
      <c r="KS7" s="79"/>
      <c r="KT7" s="79"/>
      <c r="KU7" s="79"/>
      <c r="KV7" s="79"/>
      <c r="KW7" s="79"/>
      <c r="KX7" s="79"/>
      <c r="KY7" s="79"/>
      <c r="KZ7" s="79"/>
      <c r="LA7" s="79"/>
      <c r="LB7" s="79"/>
      <c r="LC7" s="79"/>
      <c r="LD7" s="79"/>
      <c r="LE7" s="79"/>
      <c r="LF7" s="79"/>
      <c r="LG7" s="79"/>
      <c r="LH7" s="79"/>
      <c r="LI7" s="79"/>
      <c r="LJ7" s="79"/>
      <c r="LK7" s="79"/>
      <c r="LL7" s="79"/>
      <c r="LM7" s="79"/>
      <c r="LN7" s="79"/>
      <c r="LO7" s="79"/>
      <c r="LP7" s="79"/>
      <c r="LQ7" s="79"/>
      <c r="LR7" s="79"/>
      <c r="LS7" s="79"/>
      <c r="LT7" s="79"/>
      <c r="LU7" s="79"/>
      <c r="LV7" s="79"/>
      <c r="LW7" s="79"/>
      <c r="LX7" s="79"/>
      <c r="LY7" s="79"/>
      <c r="LZ7" s="79"/>
      <c r="MA7" s="79"/>
      <c r="MB7" s="79"/>
      <c r="MC7" s="79"/>
      <c r="MD7" s="79"/>
      <c r="ME7" s="79"/>
      <c r="MF7" s="79"/>
      <c r="MG7" s="79"/>
      <c r="MH7" s="79"/>
      <c r="MI7" s="79"/>
      <c r="MJ7" s="79"/>
      <c r="MK7" s="79"/>
      <c r="ML7" s="79"/>
      <c r="MM7" s="79"/>
      <c r="MN7" s="79"/>
      <c r="MO7" s="79"/>
      <c r="MP7" s="79"/>
      <c r="MQ7" s="79"/>
      <c r="MR7" s="79"/>
      <c r="MS7" s="79"/>
      <c r="MT7" s="79"/>
      <c r="MU7" s="79"/>
      <c r="MV7" s="79"/>
      <c r="MW7" s="79"/>
      <c r="MX7" s="79"/>
      <c r="MY7" s="79"/>
      <c r="MZ7" s="79"/>
      <c r="NA7" s="79"/>
      <c r="NB7" s="79"/>
      <c r="NC7" s="79"/>
      <c r="ND7" s="79"/>
      <c r="NE7" s="79"/>
      <c r="NF7" s="79"/>
      <c r="NG7" s="79"/>
      <c r="NH7" s="79"/>
      <c r="NI7" s="79"/>
      <c r="NJ7" s="79"/>
      <c r="NK7" s="79"/>
      <c r="NL7" s="79"/>
      <c r="NM7" s="79"/>
      <c r="NN7" s="79"/>
      <c r="NO7" s="79"/>
      <c r="NP7" s="79"/>
      <c r="NQ7" s="79"/>
      <c r="NR7" s="79"/>
      <c r="NS7" s="79"/>
      <c r="NT7" s="79"/>
      <c r="NU7" s="79"/>
      <c r="NV7" s="79"/>
      <c r="NW7" s="79"/>
      <c r="NX7" s="79"/>
      <c r="NY7" s="79"/>
      <c r="NZ7" s="79"/>
      <c r="OA7" s="79"/>
      <c r="OB7" s="79"/>
      <c r="OC7" s="79"/>
      <c r="OD7" s="79"/>
      <c r="OE7" s="79"/>
      <c r="OF7" s="79"/>
      <c r="OG7" s="79"/>
      <c r="OH7" s="79"/>
      <c r="OI7" s="79"/>
      <c r="OJ7" s="79"/>
      <c r="OK7" s="79"/>
      <c r="OL7" s="79"/>
      <c r="OM7" s="79"/>
      <c r="ON7" s="79"/>
      <c r="OO7" s="79"/>
      <c r="OP7" s="79"/>
      <c r="OQ7" s="79"/>
      <c r="OR7" s="79"/>
      <c r="OS7" s="79"/>
      <c r="OT7" s="79"/>
      <c r="OU7" s="79"/>
      <c r="OV7" s="79"/>
      <c r="OW7" s="79"/>
      <c r="OX7" s="79"/>
      <c r="OY7" s="79"/>
      <c r="OZ7" s="79"/>
      <c r="PA7" s="79"/>
      <c r="PB7" s="79"/>
      <c r="PC7" s="79"/>
      <c r="PD7" s="79"/>
      <c r="PE7" s="79"/>
      <c r="PF7" s="79"/>
      <c r="PG7" s="79"/>
      <c r="PH7" s="79"/>
      <c r="PI7" s="79"/>
      <c r="PJ7" s="79"/>
      <c r="PK7" s="79"/>
      <c r="PL7" s="79"/>
      <c r="PM7" s="79"/>
      <c r="PN7" s="79"/>
      <c r="PO7" s="79"/>
      <c r="PP7" s="79"/>
      <c r="PQ7" s="79"/>
      <c r="PR7" s="79"/>
      <c r="PS7" s="79"/>
      <c r="PT7" s="79"/>
      <c r="PU7" s="79"/>
      <c r="PV7" s="79"/>
      <c r="PW7" s="79"/>
      <c r="PX7" s="79"/>
      <c r="PY7" s="79"/>
      <c r="PZ7" s="79"/>
      <c r="QA7" s="79"/>
      <c r="QB7" s="79"/>
      <c r="QC7" s="79"/>
      <c r="QD7" s="79"/>
      <c r="QE7" s="79"/>
      <c r="QF7" s="79"/>
      <c r="QG7" s="79"/>
      <c r="QH7" s="79"/>
      <c r="QI7" s="79"/>
      <c r="QJ7" s="79"/>
      <c r="QK7" s="79"/>
      <c r="QL7" s="79"/>
      <c r="QM7" s="79"/>
      <c r="QN7" s="79"/>
      <c r="QO7" s="79"/>
      <c r="QP7" s="79"/>
      <c r="QQ7" s="79"/>
      <c r="QR7" s="79"/>
      <c r="QS7" s="79"/>
      <c r="QT7" s="79"/>
      <c r="QU7" s="79"/>
      <c r="QV7" s="79"/>
      <c r="QW7" s="79"/>
      <c r="QX7" s="79"/>
      <c r="QY7" s="79"/>
      <c r="QZ7" s="79"/>
      <c r="RA7" s="79"/>
      <c r="RB7" s="79"/>
      <c r="RC7" s="79"/>
      <c r="RD7" s="79"/>
      <c r="RE7" s="79"/>
      <c r="RF7" s="79"/>
      <c r="RG7" s="79"/>
      <c r="RH7" s="79"/>
      <c r="RI7" s="79"/>
      <c r="RJ7" s="79"/>
      <c r="RK7" s="79"/>
      <c r="RL7" s="79"/>
      <c r="RM7" s="79"/>
      <c r="RN7" s="79"/>
      <c r="RO7" s="79"/>
      <c r="RP7" s="79"/>
      <c r="RQ7" s="79"/>
      <c r="RR7" s="79"/>
      <c r="RS7" s="79"/>
      <c r="RT7" s="79"/>
      <c r="RU7" s="79"/>
      <c r="RV7" s="79"/>
      <c r="RW7" s="79"/>
      <c r="RX7" s="79"/>
      <c r="RY7" s="79"/>
      <c r="RZ7" s="79"/>
      <c r="SA7" s="79"/>
      <c r="SB7" s="79"/>
      <c r="SC7" s="79"/>
      <c r="SD7" s="79"/>
      <c r="SE7" s="79"/>
      <c r="SF7" s="79"/>
      <c r="SG7" s="79"/>
      <c r="SH7" s="79"/>
      <c r="SI7" s="79"/>
      <c r="SJ7" s="79"/>
      <c r="SK7" s="79"/>
      <c r="SL7" s="79"/>
      <c r="SM7" s="79"/>
      <c r="SN7" s="79"/>
      <c r="SO7" s="79"/>
      <c r="SP7" s="79"/>
      <c r="SQ7" s="79"/>
      <c r="SR7" s="79"/>
      <c r="SS7" s="79"/>
      <c r="ST7" s="79"/>
      <c r="SU7" s="79"/>
      <c r="SV7" s="79"/>
      <c r="SW7" s="79"/>
      <c r="SX7" s="79"/>
      <c r="SY7" s="79"/>
      <c r="SZ7" s="79"/>
      <c r="TA7" s="79"/>
      <c r="TB7" s="79"/>
      <c r="TC7" s="79"/>
      <c r="TD7" s="79"/>
      <c r="TE7" s="79"/>
      <c r="TF7" s="79"/>
      <c r="TG7" s="79"/>
      <c r="TH7" s="79"/>
      <c r="TI7" s="79"/>
      <c r="TJ7" s="79"/>
      <c r="TK7" s="79"/>
      <c r="TL7" s="79"/>
      <c r="TM7" s="79"/>
      <c r="TN7" s="79"/>
      <c r="TO7" s="79"/>
      <c r="TP7" s="79"/>
      <c r="TQ7" s="79"/>
      <c r="TR7" s="79"/>
      <c r="TS7" s="79"/>
      <c r="TT7" s="79"/>
      <c r="TU7" s="79"/>
      <c r="TV7" s="79"/>
      <c r="TW7" s="79"/>
      <c r="TX7" s="79"/>
      <c r="TY7" s="79"/>
      <c r="TZ7" s="79"/>
      <c r="UA7" s="79"/>
      <c r="UB7" s="79"/>
      <c r="UC7" s="79"/>
      <c r="UD7" s="79"/>
      <c r="UE7" s="79"/>
      <c r="UF7" s="79"/>
      <c r="UG7" s="79"/>
      <c r="UH7" s="79"/>
      <c r="UI7" s="79"/>
      <c r="UJ7" s="79"/>
      <c r="UK7" s="79"/>
      <c r="UL7" s="79"/>
      <c r="UM7" s="79"/>
      <c r="UN7" s="79"/>
      <c r="UO7" s="79"/>
      <c r="UP7" s="79"/>
      <c r="UQ7" s="79"/>
      <c r="UR7" s="79"/>
      <c r="US7" s="79"/>
      <c r="UT7" s="79"/>
      <c r="UU7" s="79"/>
      <c r="UV7" s="79"/>
      <c r="UW7" s="79"/>
      <c r="UX7" s="79"/>
      <c r="UY7" s="79"/>
      <c r="UZ7" s="79"/>
      <c r="VA7" s="79"/>
      <c r="VB7" s="79"/>
      <c r="VC7" s="79"/>
      <c r="VD7" s="79"/>
      <c r="VE7" s="79"/>
      <c r="VF7" s="79"/>
      <c r="VG7" s="79"/>
      <c r="VH7" s="79"/>
      <c r="VI7" s="79"/>
      <c r="VJ7" s="79"/>
      <c r="VK7" s="79"/>
      <c r="VL7" s="79"/>
      <c r="VM7" s="79"/>
      <c r="VN7" s="79"/>
      <c r="VO7" s="79"/>
      <c r="VP7" s="79"/>
      <c r="VQ7" s="79"/>
      <c r="VR7" s="79"/>
      <c r="VS7" s="79"/>
      <c r="VT7" s="79"/>
      <c r="VU7" s="79"/>
      <c r="VV7" s="79"/>
      <c r="VW7" s="79"/>
      <c r="VX7" s="79"/>
      <c r="VY7" s="79"/>
      <c r="VZ7" s="79"/>
      <c r="WA7" s="79"/>
      <c r="WB7" s="79"/>
      <c r="WC7" s="79"/>
      <c r="WD7" s="79"/>
      <c r="WE7" s="79"/>
      <c r="WF7" s="79"/>
      <c r="WG7" s="79"/>
      <c r="WH7" s="79"/>
      <c r="WI7" s="79"/>
      <c r="WJ7" s="79"/>
      <c r="WK7" s="79"/>
      <c r="WL7" s="79"/>
      <c r="WM7" s="79"/>
      <c r="WN7" s="79"/>
      <c r="WO7" s="79"/>
      <c r="WP7" s="79"/>
      <c r="WQ7" s="79"/>
      <c r="WR7" s="79"/>
      <c r="WS7" s="79"/>
      <c r="WT7" s="79"/>
      <c r="WU7" s="79"/>
      <c r="WV7" s="79"/>
      <c r="WW7" s="79"/>
      <c r="WX7" s="79"/>
      <c r="WY7" s="79"/>
      <c r="WZ7" s="79"/>
      <c r="XA7" s="79"/>
      <c r="XB7" s="79"/>
      <c r="XC7" s="79"/>
      <c r="XD7" s="79"/>
      <c r="XE7" s="79"/>
      <c r="XF7" s="79"/>
      <c r="XG7" s="79"/>
      <c r="XH7" s="79"/>
      <c r="XI7" s="79"/>
      <c r="XJ7" s="79"/>
      <c r="XK7" s="79"/>
      <c r="XL7" s="79"/>
      <c r="XM7" s="79"/>
      <c r="XN7" s="79"/>
      <c r="XO7" s="79"/>
      <c r="XP7" s="79"/>
      <c r="XQ7" s="79"/>
      <c r="XR7" s="79"/>
      <c r="XS7" s="79"/>
      <c r="XT7" s="79"/>
      <c r="XU7" s="79"/>
      <c r="XV7" s="79"/>
      <c r="XW7" s="79"/>
      <c r="XX7" s="79"/>
      <c r="XY7" s="79"/>
      <c r="XZ7" s="79"/>
      <c r="YA7" s="79"/>
      <c r="YB7" s="79"/>
      <c r="YC7" s="79"/>
      <c r="YD7" s="79"/>
      <c r="YE7" s="79"/>
      <c r="YF7" s="79"/>
      <c r="YG7" s="79"/>
      <c r="YH7" s="79"/>
      <c r="YI7" s="79"/>
      <c r="YJ7" s="79"/>
      <c r="YK7" s="79"/>
      <c r="YL7" s="79"/>
      <c r="YM7" s="79"/>
      <c r="YN7" s="79"/>
      <c r="YO7" s="79"/>
      <c r="YP7" s="79"/>
      <c r="YQ7" s="79"/>
      <c r="YR7" s="79"/>
      <c r="YS7" s="79"/>
      <c r="YT7" s="79"/>
      <c r="YU7" s="79"/>
      <c r="YV7" s="79"/>
      <c r="YW7" s="79"/>
      <c r="YX7" s="79"/>
      <c r="YY7" s="79"/>
      <c r="YZ7" s="79"/>
      <c r="ZA7" s="79"/>
      <c r="ZB7" s="79"/>
      <c r="ZC7" s="79"/>
      <c r="ZD7" s="79"/>
      <c r="ZE7" s="79"/>
      <c r="ZF7" s="79"/>
      <c r="ZG7" s="79"/>
      <c r="ZH7" s="79"/>
      <c r="ZI7" s="79"/>
      <c r="ZJ7" s="79"/>
      <c r="ZK7" s="79"/>
      <c r="ZL7" s="79"/>
      <c r="ZM7" s="79"/>
      <c r="ZN7" s="79"/>
      <c r="ZO7" s="79"/>
      <c r="ZP7" s="79"/>
      <c r="ZQ7" s="79"/>
      <c r="ZR7" s="79"/>
      <c r="ZS7" s="79"/>
      <c r="ZT7" s="79"/>
      <c r="ZU7" s="79"/>
      <c r="ZV7" s="79"/>
      <c r="ZW7" s="79"/>
      <c r="ZX7" s="79"/>
      <c r="ZY7" s="79"/>
      <c r="ZZ7" s="79"/>
      <c r="AAA7" s="79"/>
      <c r="AAB7" s="79"/>
      <c r="AAC7" s="79"/>
      <c r="AAD7" s="79"/>
      <c r="AAE7" s="79"/>
      <c r="AAF7" s="79"/>
      <c r="AAG7" s="79"/>
      <c r="AAH7" s="79"/>
      <c r="AAI7" s="79"/>
      <c r="AAJ7" s="79"/>
      <c r="AAK7" s="79"/>
      <c r="AAL7" s="79"/>
      <c r="AAM7" s="79"/>
      <c r="AAN7" s="79"/>
      <c r="AAO7" s="79"/>
      <c r="AAP7" s="79"/>
      <c r="AAQ7" s="79"/>
      <c r="AAR7" s="79"/>
      <c r="AAS7" s="79"/>
      <c r="AAT7" s="79"/>
      <c r="AAU7" s="79"/>
      <c r="AAV7" s="79"/>
      <c r="AAW7" s="79"/>
      <c r="AAX7" s="79"/>
      <c r="AAY7" s="79"/>
      <c r="AAZ7" s="79"/>
      <c r="ABA7" s="79"/>
      <c r="ABB7" s="79"/>
      <c r="ABC7" s="79"/>
      <c r="ABD7" s="79"/>
      <c r="ABE7" s="79"/>
      <c r="ABF7" s="79"/>
      <c r="ABG7" s="79"/>
      <c r="ABH7" s="79"/>
      <c r="ABI7" s="79"/>
      <c r="ABJ7" s="79"/>
      <c r="ABK7" s="79"/>
      <c r="ABL7" s="79"/>
      <c r="ABM7" s="79"/>
      <c r="ABN7" s="79"/>
      <c r="ABO7" s="79"/>
      <c r="ABP7" s="79"/>
      <c r="ABQ7" s="79"/>
      <c r="ABR7" s="79"/>
      <c r="ABS7" s="79"/>
      <c r="ABT7" s="79"/>
      <c r="ABU7" s="79"/>
      <c r="ABV7" s="79"/>
      <c r="ABW7" s="79"/>
      <c r="ABX7" s="79"/>
      <c r="ABY7" s="79"/>
      <c r="ABZ7" s="79"/>
      <c r="ACA7" s="79"/>
      <c r="ACB7" s="79"/>
      <c r="ACC7" s="79"/>
      <c r="ACD7" s="79"/>
      <c r="ACE7" s="79"/>
      <c r="ACF7" s="79"/>
      <c r="ACG7" s="79"/>
      <c r="ACH7" s="79"/>
      <c r="ACI7" s="79"/>
      <c r="ACJ7" s="79"/>
      <c r="ACK7" s="79"/>
      <c r="ACL7" s="79"/>
      <c r="ACM7" s="79"/>
      <c r="ACN7" s="79"/>
      <c r="ACO7" s="79"/>
      <c r="ACP7" s="79"/>
      <c r="ACQ7" s="79"/>
      <c r="ACR7" s="79"/>
      <c r="ACS7" s="79"/>
      <c r="ACT7" s="79"/>
      <c r="ACU7" s="79"/>
      <c r="ACV7" s="79"/>
      <c r="ACW7" s="79"/>
      <c r="ACX7" s="79"/>
      <c r="ACY7" s="79"/>
      <c r="ACZ7" s="79"/>
      <c r="ADA7" s="79"/>
      <c r="ADB7" s="79"/>
      <c r="ADC7" s="79"/>
      <c r="ADD7" s="79"/>
      <c r="ADE7" s="79"/>
      <c r="ADF7" s="79"/>
      <c r="ADG7" s="79"/>
      <c r="ADH7" s="79"/>
      <c r="ADI7" s="79"/>
      <c r="ADJ7" s="79"/>
      <c r="ADK7" s="79"/>
      <c r="ADL7" s="79"/>
      <c r="ADM7" s="79"/>
      <c r="ADN7" s="79"/>
      <c r="ADO7" s="79"/>
      <c r="ADP7" s="79"/>
      <c r="ADQ7" s="79"/>
      <c r="ADR7" s="79"/>
      <c r="ADS7" s="79"/>
      <c r="ADT7" s="79"/>
      <c r="ADU7" s="79"/>
      <c r="ADV7" s="79"/>
      <c r="ADW7" s="79"/>
      <c r="ADX7" s="79"/>
      <c r="ADY7" s="79"/>
      <c r="ADZ7" s="79"/>
      <c r="AEA7" s="79"/>
      <c r="AEB7" s="79"/>
      <c r="AEC7" s="79"/>
      <c r="AED7" s="79"/>
      <c r="AEE7" s="79"/>
      <c r="AEF7" s="79"/>
      <c r="AEG7" s="79"/>
      <c r="AEH7" s="79"/>
      <c r="AEI7" s="79"/>
      <c r="AEJ7" s="79"/>
      <c r="AEK7" s="79"/>
      <c r="AEL7" s="79"/>
      <c r="AEM7" s="79"/>
      <c r="AEN7" s="79"/>
      <c r="AEO7" s="79"/>
      <c r="AEP7" s="79"/>
      <c r="AEQ7" s="79"/>
      <c r="AER7" s="79"/>
      <c r="AES7" s="79"/>
      <c r="AET7" s="79"/>
      <c r="AEU7" s="79"/>
      <c r="AEV7" s="79"/>
      <c r="AEW7" s="79"/>
      <c r="AEX7" s="79"/>
      <c r="AEY7" s="79"/>
      <c r="AEZ7" s="79"/>
      <c r="AFA7" s="79"/>
      <c r="AFB7" s="79"/>
      <c r="AFC7" s="79"/>
      <c r="AFD7" s="79"/>
      <c r="AFE7" s="79"/>
      <c r="AFF7" s="79"/>
      <c r="AFG7" s="79"/>
      <c r="AFH7" s="79"/>
      <c r="AFI7" s="79"/>
      <c r="AFJ7" s="79"/>
      <c r="AFK7" s="79"/>
      <c r="AFL7" s="79"/>
      <c r="AFM7" s="79"/>
      <c r="AFN7" s="79"/>
      <c r="AFO7" s="79"/>
      <c r="AFP7" s="79"/>
      <c r="AFQ7" s="79"/>
      <c r="AFR7" s="79"/>
      <c r="AFS7" s="79"/>
      <c r="AFT7" s="79"/>
      <c r="AFU7" s="79"/>
      <c r="AFV7" s="79"/>
      <c r="AFW7" s="79"/>
      <c r="AFX7" s="79"/>
      <c r="AFY7" s="79"/>
      <c r="AFZ7" s="79"/>
      <c r="AGA7" s="79"/>
      <c r="AGB7" s="79"/>
      <c r="AGC7" s="79"/>
      <c r="AGD7" s="79"/>
      <c r="AGE7" s="79"/>
      <c r="AGF7" s="79"/>
      <c r="AGG7" s="79"/>
      <c r="AGH7" s="79"/>
      <c r="AGI7" s="79"/>
      <c r="AGJ7" s="79"/>
      <c r="AGK7" s="79"/>
      <c r="AGL7" s="79"/>
      <c r="AGM7" s="79"/>
      <c r="AGN7" s="79"/>
      <c r="AGO7" s="79"/>
      <c r="AGP7" s="79"/>
      <c r="AGQ7" s="79"/>
      <c r="AGR7" s="79"/>
      <c r="AGS7" s="79"/>
      <c r="AGT7" s="79"/>
      <c r="AGU7" s="79"/>
      <c r="AGV7" s="79"/>
      <c r="AGW7" s="79"/>
      <c r="AGX7" s="79"/>
      <c r="AGY7" s="79"/>
      <c r="AGZ7" s="79"/>
      <c r="AHA7" s="79"/>
      <c r="AHB7" s="79"/>
      <c r="AHC7" s="79"/>
      <c r="AHD7" s="79"/>
      <c r="AHE7" s="79"/>
      <c r="AHF7" s="79"/>
      <c r="AHG7" s="79"/>
      <c r="AHH7" s="79"/>
      <c r="AHI7" s="79"/>
      <c r="AHJ7" s="79"/>
      <c r="AHK7" s="79"/>
      <c r="AHL7" s="79"/>
      <c r="AHM7" s="79"/>
      <c r="AHN7" s="79"/>
      <c r="AHO7" s="79"/>
      <c r="AHP7" s="79"/>
      <c r="AHQ7" s="79"/>
      <c r="AHR7" s="79"/>
      <c r="AHS7" s="79"/>
      <c r="AHT7" s="79"/>
      <c r="AHU7" s="79"/>
      <c r="AHV7" s="79"/>
      <c r="AHW7" s="79"/>
      <c r="AHX7" s="79"/>
      <c r="AHY7" s="79"/>
      <c r="AHZ7" s="79"/>
      <c r="AIA7" s="79"/>
      <c r="AIB7" s="79"/>
      <c r="AIC7" s="79"/>
      <c r="AID7" s="79"/>
      <c r="AIE7" s="79"/>
      <c r="AIF7" s="79"/>
      <c r="AIG7" s="79"/>
      <c r="AIH7" s="79"/>
      <c r="AII7" s="79"/>
      <c r="AIJ7" s="79"/>
      <c r="AIK7" s="79"/>
      <c r="AIL7" s="79"/>
      <c r="AIM7" s="79"/>
      <c r="AIN7" s="79"/>
      <c r="AIO7" s="79"/>
      <c r="AIP7" s="79"/>
      <c r="AIQ7" s="79"/>
      <c r="AIR7" s="79"/>
      <c r="AIS7" s="79"/>
      <c r="AIT7" s="79"/>
      <c r="AIU7" s="79"/>
      <c r="AIV7" s="79"/>
      <c r="AIW7" s="79"/>
      <c r="AIX7" s="79"/>
      <c r="AIY7" s="79"/>
      <c r="AIZ7" s="79"/>
      <c r="AJA7" s="79"/>
      <c r="AJB7" s="79"/>
      <c r="AJC7" s="79"/>
      <c r="AJD7" s="79"/>
      <c r="AJE7" s="79"/>
      <c r="AJF7" s="79"/>
      <c r="AJG7" s="79"/>
      <c r="AJH7" s="79"/>
      <c r="AJI7" s="79"/>
      <c r="AJJ7" s="79"/>
      <c r="AJK7" s="79"/>
      <c r="AJL7" s="79"/>
      <c r="AJM7" s="79"/>
      <c r="AJN7" s="79"/>
      <c r="AJO7" s="79"/>
      <c r="AJP7" s="79"/>
      <c r="AJQ7" s="79"/>
      <c r="AJR7" s="79"/>
      <c r="AJS7" s="79"/>
      <c r="AJT7" s="79"/>
      <c r="AJU7" s="79"/>
      <c r="AJV7" s="79"/>
      <c r="AJW7" s="79"/>
      <c r="AJX7" s="79"/>
      <c r="AJY7" s="79"/>
      <c r="AJZ7" s="79"/>
      <c r="AKA7" s="79"/>
      <c r="AKB7" s="79"/>
      <c r="AKC7" s="79"/>
      <c r="AKD7" s="79"/>
      <c r="AKE7" s="79"/>
      <c r="AKF7" s="79"/>
      <c r="AKG7" s="79"/>
      <c r="AKH7" s="79"/>
      <c r="AKI7" s="79"/>
      <c r="AKJ7" s="79"/>
      <c r="AKK7" s="79"/>
      <c r="AKL7" s="79"/>
      <c r="AKM7" s="79"/>
      <c r="AKN7" s="79"/>
      <c r="AKO7" s="79"/>
      <c r="AKP7" s="79"/>
      <c r="AKQ7" s="79"/>
      <c r="AKR7" s="79"/>
      <c r="AKS7" s="79"/>
      <c r="AKT7" s="79"/>
      <c r="AKU7" s="79"/>
      <c r="AKV7" s="79"/>
      <c r="AKW7" s="79"/>
      <c r="AKX7" s="79"/>
      <c r="AKY7" s="79"/>
      <c r="AKZ7" s="79"/>
      <c r="ALA7" s="79"/>
      <c r="ALB7" s="79"/>
      <c r="ALC7" s="79"/>
      <c r="ALD7" s="79"/>
      <c r="ALE7" s="79"/>
      <c r="ALF7" s="79"/>
      <c r="ALG7" s="79"/>
      <c r="ALH7" s="79"/>
      <c r="ALI7" s="79"/>
      <c r="ALJ7" s="79"/>
      <c r="ALK7" s="79"/>
      <c r="ALL7" s="79"/>
      <c r="ALM7" s="79"/>
      <c r="ALN7" s="79"/>
      <c r="ALO7" s="79"/>
      <c r="ALP7" s="79"/>
      <c r="ALQ7" s="79"/>
      <c r="ALR7" s="79"/>
      <c r="ALS7" s="79"/>
      <c r="ALT7" s="79"/>
      <c r="ALU7" s="79"/>
      <c r="ALV7" s="79"/>
      <c r="ALW7" s="79"/>
      <c r="ALX7" s="79"/>
      <c r="ALY7" s="79"/>
      <c r="ALZ7" s="79"/>
      <c r="AMA7" s="84">
        <v>11152.2437647059</v>
      </c>
      <c r="AMB7" s="84">
        <v>18315.5237647059</v>
      </c>
      <c r="AMC7" s="84">
        <v>11152.2437647059</v>
      </c>
      <c r="AMD7" s="84">
        <v>4623.8823529411802</v>
      </c>
      <c r="AME7" s="84">
        <v>11152.2437647059</v>
      </c>
      <c r="AMF7" s="84">
        <v>4635.0635294117601</v>
      </c>
      <c r="AMG7" s="84">
        <v>40332.199999999997</v>
      </c>
      <c r="AMH7" s="84">
        <v>40332.199999999997</v>
      </c>
      <c r="AMI7" s="84">
        <v>11152.2437647059</v>
      </c>
      <c r="AMJ7" s="84">
        <v>7682.9689411764703</v>
      </c>
      <c r="AMK7" s="84">
        <v>6021.5567010309296</v>
      </c>
      <c r="AML7" s="84">
        <v>5416.7938144329901</v>
      </c>
      <c r="AMM7" s="84">
        <v>6021.5567010309296</v>
      </c>
      <c r="AMN7" s="84">
        <v>5416.7938144329901</v>
      </c>
      <c r="AMO7" s="84">
        <v>40332.199999999997</v>
      </c>
      <c r="AMP7" s="84">
        <v>18248.400000000001</v>
      </c>
      <c r="AMQ7" s="84">
        <v>6021.5567010309296</v>
      </c>
      <c r="AMR7" s="84">
        <v>2010.27835051546</v>
      </c>
      <c r="AMS7" s="84">
        <v>6021.5567010309296</v>
      </c>
      <c r="AMT7" s="84">
        <v>5416.7938144329901</v>
      </c>
      <c r="AMU7" s="84">
        <v>25106.732307692298</v>
      </c>
      <c r="AMV7" s="84">
        <v>6275.90162106351</v>
      </c>
      <c r="AMW7" s="84">
        <v>11152.2437647059</v>
      </c>
      <c r="AMX7" s="84">
        <v>820.14928855859398</v>
      </c>
      <c r="AMY7" s="84">
        <v>28720.192740462298</v>
      </c>
      <c r="AMZ7" s="84">
        <v>4501.69888463182</v>
      </c>
      <c r="ANA7" s="84">
        <v>28720.192740462298</v>
      </c>
      <c r="ANB7" s="84">
        <v>4501.69888463182</v>
      </c>
      <c r="ANC7" s="84">
        <v>68600.559615384598</v>
      </c>
      <c r="AND7" s="84">
        <v>40332.199999999997</v>
      </c>
      <c r="ANE7" s="84">
        <v>28720.192740462298</v>
      </c>
      <c r="ANF7" s="84">
        <v>10373.291678801201</v>
      </c>
      <c r="ANG7" s="84">
        <v>68600.559615384598</v>
      </c>
      <c r="ANH7" s="84">
        <v>33827</v>
      </c>
      <c r="ANI7" s="84">
        <v>68600.559615384598</v>
      </c>
      <c r="ANJ7" s="84">
        <v>33827</v>
      </c>
      <c r="ANK7" s="84">
        <v>68600.559615384598</v>
      </c>
      <c r="ANL7" s="84">
        <v>18248.400000000001</v>
      </c>
      <c r="ANM7" s="84">
        <v>14628.8969072165</v>
      </c>
      <c r="ANN7" s="84">
        <v>2010.27835051546</v>
      </c>
      <c r="ANO7" s="84">
        <v>14628.8969072165</v>
      </c>
      <c r="ANP7" s="84">
        <v>5416.7938144329901</v>
      </c>
      <c r="ANQ7" s="84">
        <v>37170.581538461498</v>
      </c>
      <c r="ANR7" s="84">
        <v>6275.90162106351</v>
      </c>
      <c r="ANS7" s="84">
        <v>28720.192740462298</v>
      </c>
      <c r="ANT7" s="84">
        <v>527.53417454467103</v>
      </c>
      <c r="ANU7" s="84">
        <v>4501.69888463182</v>
      </c>
      <c r="ANV7" s="84">
        <v>4501.69888463182</v>
      </c>
      <c r="ANW7" s="84">
        <v>29923.9</v>
      </c>
      <c r="ANX7" s="84">
        <v>40332.199999999997</v>
      </c>
      <c r="ANY7" s="84">
        <v>4501.69888463182</v>
      </c>
      <c r="ANZ7" s="84">
        <v>10373.291678801201</v>
      </c>
      <c r="AOA7" s="84">
        <v>29923.9</v>
      </c>
      <c r="AOB7" s="84">
        <v>33827</v>
      </c>
      <c r="AOC7" s="84">
        <v>29923.9</v>
      </c>
      <c r="AOD7" s="84">
        <v>33827</v>
      </c>
      <c r="AOE7" s="84">
        <v>29923.9</v>
      </c>
      <c r="AOF7" s="84">
        <v>18248.400000000001</v>
      </c>
      <c r="AOG7" s="84">
        <v>5416.7938144329901</v>
      </c>
      <c r="AOH7" s="84">
        <v>2010.27835051546</v>
      </c>
      <c r="AOI7" s="84">
        <v>5416.7938144329901</v>
      </c>
      <c r="AOJ7" s="84">
        <v>5416.7938144329901</v>
      </c>
      <c r="AOK7" s="84">
        <v>5825.1178021978003</v>
      </c>
      <c r="AOL7" s="84">
        <v>6275.90162106351</v>
      </c>
      <c r="AOM7" s="84">
        <v>4501.69888463182</v>
      </c>
      <c r="AON7" s="84">
        <v>527.53417454467103</v>
      </c>
      <c r="AOO7" s="84">
        <v>18169.0116646432</v>
      </c>
      <c r="AOP7" s="84">
        <v>40332.199999999997</v>
      </c>
      <c r="AOQ7" s="84">
        <v>4501.69888463182</v>
      </c>
      <c r="AOR7" s="84">
        <v>10373.291678801201</v>
      </c>
      <c r="AOS7" s="84">
        <v>18169.0116646432</v>
      </c>
      <c r="AOT7" s="84">
        <v>33827</v>
      </c>
      <c r="AOU7" s="84">
        <v>18169.0116646432</v>
      </c>
      <c r="AOV7" s="84">
        <v>33827</v>
      </c>
      <c r="AOW7" s="84">
        <v>18169.0116646432</v>
      </c>
      <c r="AOX7" s="84">
        <v>18248.400000000001</v>
      </c>
      <c r="AOY7" s="84">
        <v>5416.7938144329901</v>
      </c>
      <c r="AOZ7" s="84">
        <v>2010.27835051546</v>
      </c>
      <c r="APA7" s="84">
        <v>5416.7938144329901</v>
      </c>
      <c r="APB7" s="84">
        <v>5416.7938144329901</v>
      </c>
      <c r="APC7" s="84">
        <v>6741.58210361069</v>
      </c>
      <c r="APD7" s="84">
        <v>6275.90162106351</v>
      </c>
      <c r="APE7" s="84">
        <v>4501.69888463182</v>
      </c>
      <c r="APF7" s="84">
        <v>527.53417454467103</v>
      </c>
      <c r="APG7" s="84">
        <v>40332.199999999997</v>
      </c>
      <c r="APH7" s="84">
        <v>33827</v>
      </c>
      <c r="API7" s="84">
        <v>5416.7938144329901</v>
      </c>
      <c r="APJ7" s="84">
        <v>5416.7938144329901</v>
      </c>
      <c r="APK7" s="84">
        <v>24675.147076923098</v>
      </c>
      <c r="APL7" s="84">
        <v>8329.7848138957997</v>
      </c>
      <c r="APM7" s="84">
        <v>40332.199999999997</v>
      </c>
      <c r="APN7" s="84">
        <v>18248.400000000001</v>
      </c>
      <c r="APO7" s="84">
        <v>26265.357142857101</v>
      </c>
      <c r="APP7" s="84">
        <v>300</v>
      </c>
      <c r="APQ7" s="84">
        <v>24675.147076923098</v>
      </c>
      <c r="APR7" s="84">
        <v>8329.7848138957997</v>
      </c>
      <c r="APS7" s="84">
        <v>24675.147076923098</v>
      </c>
      <c r="APT7" s="84">
        <v>6275.90162106351</v>
      </c>
      <c r="APU7" s="84">
        <v>40332.199999999997</v>
      </c>
      <c r="APV7" s="84">
        <v>7970.7969680064098</v>
      </c>
      <c r="APW7" s="84">
        <v>33827</v>
      </c>
      <c r="APX7" s="84">
        <v>33827</v>
      </c>
      <c r="APY7" s="84">
        <v>33827</v>
      </c>
      <c r="APZ7" s="84">
        <v>33827</v>
      </c>
      <c r="AQA7" s="84">
        <v>33827</v>
      </c>
      <c r="AQB7" s="84">
        <v>18248.400000000001</v>
      </c>
      <c r="AQC7" s="84">
        <v>5416.7938144329901</v>
      </c>
      <c r="AQD7" s="84">
        <v>2010.27835051546</v>
      </c>
      <c r="AQE7" s="84">
        <v>5416.7938144329901</v>
      </c>
      <c r="AQF7" s="84">
        <v>5416.7938144329901</v>
      </c>
      <c r="AQG7" s="84">
        <v>8329.7848138957997</v>
      </c>
      <c r="AQH7" s="84">
        <v>6275.90162106351</v>
      </c>
      <c r="AQI7" s="84">
        <v>10373.291678801201</v>
      </c>
      <c r="AQJ7" s="84">
        <v>527.53417454467103</v>
      </c>
      <c r="AQK7" s="84">
        <v>5825.1178021978003</v>
      </c>
      <c r="AQL7" s="84">
        <v>8329.7848138957997</v>
      </c>
      <c r="AQM7" s="84">
        <v>5416.7938144329901</v>
      </c>
      <c r="AQN7" s="84">
        <v>5416.7938144329901</v>
      </c>
      <c r="AQO7" s="84">
        <v>9005.4285714285706</v>
      </c>
      <c r="AQP7" s="84">
        <v>300</v>
      </c>
      <c r="AQQ7" s="84">
        <v>9005.4285714285706</v>
      </c>
      <c r="AQR7" s="84">
        <v>14688.857142857099</v>
      </c>
      <c r="AQS7" s="84">
        <v>5825.1178021978003</v>
      </c>
      <c r="AQT7" s="84">
        <v>6275.90162106351</v>
      </c>
      <c r="AQU7" s="84">
        <v>33827</v>
      </c>
      <c r="AQV7" s="84">
        <v>7970.7969680064098</v>
      </c>
      <c r="AQW7" s="84">
        <v>8329.7848138957997</v>
      </c>
      <c r="AQX7" s="84">
        <v>5825.1178021978003</v>
      </c>
      <c r="AQY7" s="84">
        <v>7477.7857142857101</v>
      </c>
      <c r="AQZ7" s="84">
        <v>300</v>
      </c>
      <c r="ARA7" s="84">
        <v>8329.7848138957997</v>
      </c>
      <c r="ARB7" s="84">
        <v>8329.7848138957997</v>
      </c>
      <c r="ARC7" s="79"/>
      <c r="ARD7" s="79"/>
      <c r="ARE7" s="84">
        <v>33827</v>
      </c>
      <c r="ARF7" s="84">
        <v>7970.7969680064098</v>
      </c>
      <c r="ARG7" s="84">
        <v>9005.4285714285706</v>
      </c>
      <c r="ARH7" s="84">
        <v>300</v>
      </c>
      <c r="ARI7" s="84">
        <v>5825.1178021978003</v>
      </c>
      <c r="ARJ7" s="84">
        <v>8329.7848138957997</v>
      </c>
      <c r="ARK7" s="84">
        <v>5825.1178021978003</v>
      </c>
      <c r="ARL7" s="84">
        <v>6275.90162106351</v>
      </c>
      <c r="ARM7" s="84">
        <v>18248.400000000001</v>
      </c>
      <c r="ARN7" s="84">
        <v>7970.7969680064098</v>
      </c>
      <c r="ARO7" s="79"/>
      <c r="ARP7" s="79"/>
      <c r="ARQ7" s="79"/>
      <c r="ARR7" s="79"/>
      <c r="ARS7" s="84">
        <v>2010.27835051546</v>
      </c>
      <c r="ART7" s="84">
        <v>583.11020358403903</v>
      </c>
      <c r="ARU7" s="79"/>
      <c r="ARV7" s="79"/>
      <c r="ARW7" s="84">
        <v>5416.7938144329901</v>
      </c>
      <c r="ARX7" s="84">
        <v>583.11020358403903</v>
      </c>
      <c r="ARY7" s="84">
        <v>6275.90162106351</v>
      </c>
      <c r="ARZ7" s="84">
        <v>1305.0022135408699</v>
      </c>
    </row>
    <row r="8" spans="1:1170" ht="15.75" customHeight="1" x14ac:dyDescent="0.35">
      <c r="A8" s="92" t="s">
        <v>810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79"/>
      <c r="P8" s="79"/>
      <c r="Q8" s="79"/>
      <c r="R8" s="79"/>
      <c r="S8" s="79"/>
      <c r="T8" s="79"/>
      <c r="U8" s="79"/>
      <c r="V8" s="79"/>
      <c r="W8" s="102" t="s">
        <v>759</v>
      </c>
      <c r="X8" s="83">
        <v>0.83101452807892595</v>
      </c>
      <c r="Y8" s="84">
        <v>12</v>
      </c>
      <c r="Z8" s="83">
        <v>8.1113532130845103E-4</v>
      </c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79"/>
      <c r="HI8" s="79"/>
      <c r="HJ8" s="79"/>
      <c r="HK8" s="79"/>
      <c r="HL8" s="79"/>
      <c r="HM8" s="79"/>
      <c r="HN8" s="79"/>
      <c r="HO8" s="79"/>
      <c r="HP8" s="79"/>
      <c r="HQ8" s="79"/>
      <c r="HR8" s="79"/>
      <c r="HS8" s="79"/>
      <c r="HT8" s="79"/>
      <c r="HU8" s="79"/>
      <c r="HV8" s="79"/>
      <c r="HW8" s="79"/>
      <c r="HX8" s="79"/>
      <c r="HY8" s="79"/>
      <c r="HZ8" s="79"/>
      <c r="IA8" s="79"/>
      <c r="IB8" s="79"/>
      <c r="IC8" s="79"/>
      <c r="ID8" s="79"/>
      <c r="IE8" s="79"/>
      <c r="IF8" s="79"/>
      <c r="IG8" s="79"/>
      <c r="IH8" s="79"/>
      <c r="II8" s="79"/>
      <c r="IJ8" s="79"/>
      <c r="IK8" s="79"/>
      <c r="IL8" s="79"/>
      <c r="IM8" s="79"/>
      <c r="IN8" s="79"/>
      <c r="IO8" s="79"/>
      <c r="IP8" s="79"/>
      <c r="IQ8" s="79"/>
      <c r="IR8" s="79"/>
      <c r="IS8" s="79"/>
      <c r="IT8" s="79"/>
      <c r="IU8" s="79"/>
      <c r="IV8" s="79"/>
      <c r="IW8" s="79"/>
      <c r="IX8" s="79"/>
      <c r="IY8" s="79"/>
      <c r="IZ8" s="79"/>
      <c r="JA8" s="79"/>
      <c r="JB8" s="79"/>
      <c r="JC8" s="79"/>
      <c r="JD8" s="79"/>
      <c r="JE8" s="79"/>
      <c r="JF8" s="79"/>
      <c r="JG8" s="79"/>
      <c r="JH8" s="79"/>
      <c r="JI8" s="79"/>
      <c r="JJ8" s="79"/>
      <c r="JK8" s="79"/>
      <c r="JL8" s="79"/>
      <c r="JM8" s="79"/>
      <c r="JN8" s="79"/>
      <c r="JO8" s="79"/>
      <c r="JP8" s="79"/>
      <c r="JQ8" s="79"/>
      <c r="JR8" s="79"/>
      <c r="JS8" s="79"/>
      <c r="JT8" s="79"/>
      <c r="JU8" s="79"/>
      <c r="JV8" s="79"/>
      <c r="JW8" s="79"/>
      <c r="JX8" s="79"/>
      <c r="JY8" s="79"/>
      <c r="JZ8" s="79"/>
      <c r="KA8" s="79"/>
      <c r="KB8" s="79"/>
      <c r="KC8" s="79"/>
      <c r="KD8" s="79"/>
      <c r="KE8" s="79"/>
      <c r="KF8" s="79"/>
      <c r="KG8" s="79"/>
      <c r="KH8" s="79"/>
      <c r="KI8" s="79"/>
      <c r="KJ8" s="79"/>
      <c r="KK8" s="79"/>
      <c r="KL8" s="79"/>
      <c r="KM8" s="79"/>
      <c r="KN8" s="79"/>
      <c r="KO8" s="79"/>
      <c r="KP8" s="79"/>
      <c r="KQ8" s="79"/>
      <c r="KR8" s="79"/>
      <c r="KS8" s="79"/>
      <c r="KT8" s="79"/>
      <c r="KU8" s="79"/>
      <c r="KV8" s="79"/>
      <c r="KW8" s="79"/>
      <c r="KX8" s="79"/>
      <c r="KY8" s="79"/>
      <c r="KZ8" s="79"/>
      <c r="LA8" s="79"/>
      <c r="LB8" s="79"/>
      <c r="LC8" s="79"/>
      <c r="LD8" s="79"/>
      <c r="LE8" s="79"/>
      <c r="LF8" s="79"/>
      <c r="LG8" s="79"/>
      <c r="LH8" s="79"/>
      <c r="LI8" s="79"/>
      <c r="LJ8" s="79"/>
      <c r="LK8" s="79"/>
      <c r="LL8" s="79"/>
      <c r="LM8" s="79"/>
      <c r="LN8" s="79"/>
      <c r="LO8" s="79"/>
      <c r="LP8" s="79"/>
      <c r="LQ8" s="79"/>
      <c r="LR8" s="79"/>
      <c r="LS8" s="79"/>
      <c r="LT8" s="79"/>
      <c r="LU8" s="79"/>
      <c r="LV8" s="79"/>
      <c r="LW8" s="79"/>
      <c r="LX8" s="79"/>
      <c r="LY8" s="79"/>
      <c r="LZ8" s="79"/>
      <c r="MA8" s="79"/>
      <c r="MB8" s="79"/>
      <c r="MC8" s="79"/>
      <c r="MD8" s="79"/>
      <c r="ME8" s="79"/>
      <c r="MF8" s="79"/>
      <c r="MG8" s="79"/>
      <c r="MH8" s="79"/>
      <c r="MI8" s="79"/>
      <c r="MJ8" s="79"/>
      <c r="MK8" s="79"/>
      <c r="ML8" s="79"/>
      <c r="MM8" s="79"/>
      <c r="MN8" s="79"/>
      <c r="MO8" s="79"/>
      <c r="MP8" s="79"/>
      <c r="MQ8" s="79"/>
      <c r="MR8" s="79"/>
      <c r="MS8" s="79"/>
      <c r="MT8" s="79"/>
      <c r="MU8" s="79"/>
      <c r="MV8" s="79"/>
      <c r="MW8" s="79"/>
      <c r="MX8" s="79"/>
      <c r="MY8" s="79"/>
      <c r="MZ8" s="79"/>
      <c r="NA8" s="79"/>
      <c r="NB8" s="79"/>
      <c r="NC8" s="79"/>
      <c r="ND8" s="79"/>
      <c r="NE8" s="79"/>
      <c r="NF8" s="79"/>
      <c r="NG8" s="79"/>
      <c r="NH8" s="79"/>
      <c r="NI8" s="79"/>
      <c r="NJ8" s="79"/>
      <c r="NK8" s="79"/>
      <c r="NL8" s="79"/>
      <c r="NM8" s="79"/>
      <c r="NN8" s="79"/>
      <c r="NO8" s="79"/>
      <c r="NP8" s="79"/>
      <c r="NQ8" s="79"/>
      <c r="NR8" s="79"/>
      <c r="NS8" s="79"/>
      <c r="NT8" s="79"/>
      <c r="NU8" s="79"/>
      <c r="NV8" s="79"/>
      <c r="NW8" s="79"/>
      <c r="NX8" s="79"/>
      <c r="NY8" s="79"/>
      <c r="NZ8" s="79"/>
      <c r="OA8" s="79"/>
      <c r="OB8" s="79"/>
      <c r="OC8" s="79"/>
      <c r="OD8" s="79"/>
      <c r="OE8" s="79"/>
      <c r="OF8" s="79"/>
      <c r="OG8" s="79"/>
      <c r="OH8" s="79"/>
      <c r="OI8" s="79"/>
      <c r="OJ8" s="79"/>
      <c r="OK8" s="79"/>
      <c r="OL8" s="79"/>
      <c r="OM8" s="79"/>
      <c r="ON8" s="79"/>
      <c r="OO8" s="79"/>
      <c r="OP8" s="79"/>
      <c r="OQ8" s="79"/>
      <c r="OR8" s="79"/>
      <c r="OS8" s="79"/>
      <c r="OT8" s="79"/>
      <c r="OU8" s="79"/>
      <c r="OV8" s="79"/>
      <c r="OW8" s="79"/>
      <c r="OX8" s="79"/>
      <c r="OY8" s="79"/>
      <c r="OZ8" s="79"/>
      <c r="PA8" s="79"/>
      <c r="PB8" s="79"/>
      <c r="PC8" s="79"/>
      <c r="PD8" s="79"/>
      <c r="PE8" s="79"/>
      <c r="PF8" s="79"/>
      <c r="PG8" s="79"/>
      <c r="PH8" s="79"/>
      <c r="PI8" s="79"/>
      <c r="PJ8" s="79"/>
      <c r="PK8" s="79"/>
      <c r="PL8" s="79"/>
      <c r="PM8" s="79"/>
      <c r="PN8" s="79"/>
      <c r="PO8" s="79"/>
      <c r="PP8" s="79"/>
      <c r="PQ8" s="79"/>
      <c r="PR8" s="79"/>
      <c r="PS8" s="79"/>
      <c r="PT8" s="79"/>
      <c r="PU8" s="79"/>
      <c r="PV8" s="79"/>
      <c r="PW8" s="79"/>
      <c r="PX8" s="79"/>
      <c r="PY8" s="79"/>
      <c r="PZ8" s="79"/>
      <c r="QA8" s="79"/>
      <c r="QB8" s="79"/>
      <c r="QC8" s="79"/>
      <c r="QD8" s="79"/>
      <c r="QE8" s="79"/>
      <c r="QF8" s="79"/>
      <c r="QG8" s="79"/>
      <c r="QH8" s="79"/>
      <c r="QI8" s="79"/>
      <c r="QJ8" s="79"/>
      <c r="QK8" s="79"/>
      <c r="QL8" s="79"/>
      <c r="QM8" s="79"/>
      <c r="QN8" s="79"/>
      <c r="QO8" s="79"/>
      <c r="QP8" s="79"/>
      <c r="QQ8" s="79"/>
      <c r="QR8" s="79"/>
      <c r="QS8" s="79"/>
      <c r="QT8" s="79"/>
      <c r="QU8" s="79"/>
      <c r="QV8" s="79"/>
      <c r="QW8" s="79"/>
      <c r="QX8" s="79"/>
      <c r="QY8" s="79"/>
      <c r="QZ8" s="79"/>
      <c r="RA8" s="79"/>
      <c r="RB8" s="79"/>
      <c r="RC8" s="79"/>
      <c r="RD8" s="79"/>
      <c r="RE8" s="79"/>
      <c r="RF8" s="79"/>
      <c r="RG8" s="79"/>
      <c r="RH8" s="79"/>
      <c r="RI8" s="79"/>
      <c r="RJ8" s="79"/>
      <c r="RK8" s="79"/>
      <c r="RL8" s="79"/>
      <c r="RM8" s="79"/>
      <c r="RN8" s="79"/>
      <c r="RO8" s="79"/>
      <c r="RP8" s="79"/>
      <c r="RQ8" s="79"/>
      <c r="RR8" s="79"/>
      <c r="RS8" s="79"/>
      <c r="RT8" s="79"/>
      <c r="RU8" s="79"/>
      <c r="RV8" s="79"/>
      <c r="RW8" s="79"/>
      <c r="RX8" s="79"/>
      <c r="RY8" s="79"/>
      <c r="RZ8" s="79"/>
      <c r="SA8" s="79"/>
      <c r="SB8" s="79"/>
      <c r="SC8" s="79"/>
      <c r="SD8" s="79"/>
      <c r="SE8" s="79"/>
      <c r="SF8" s="79"/>
      <c r="SG8" s="79"/>
      <c r="SH8" s="79"/>
      <c r="SI8" s="79"/>
      <c r="SJ8" s="79"/>
      <c r="SK8" s="79"/>
      <c r="SL8" s="79"/>
      <c r="SM8" s="79"/>
      <c r="SN8" s="79"/>
      <c r="SO8" s="79"/>
      <c r="SP8" s="79"/>
      <c r="SQ8" s="79"/>
      <c r="SR8" s="79"/>
      <c r="SS8" s="79"/>
      <c r="ST8" s="79"/>
      <c r="SU8" s="79"/>
      <c r="SV8" s="79"/>
      <c r="SW8" s="79"/>
      <c r="SX8" s="79"/>
      <c r="SY8" s="79"/>
      <c r="SZ8" s="79"/>
      <c r="TA8" s="79"/>
      <c r="TB8" s="79"/>
      <c r="TC8" s="79"/>
      <c r="TD8" s="79"/>
      <c r="TE8" s="79"/>
      <c r="TF8" s="79"/>
      <c r="TG8" s="79"/>
      <c r="TH8" s="79"/>
      <c r="TI8" s="79"/>
      <c r="TJ8" s="79"/>
      <c r="TK8" s="79"/>
      <c r="TL8" s="79"/>
      <c r="TM8" s="79"/>
      <c r="TN8" s="79"/>
      <c r="TO8" s="79"/>
      <c r="TP8" s="79"/>
      <c r="TQ8" s="79"/>
      <c r="TR8" s="79"/>
      <c r="TS8" s="79"/>
      <c r="TT8" s="79"/>
      <c r="TU8" s="79"/>
      <c r="TV8" s="79"/>
      <c r="TW8" s="79"/>
      <c r="TX8" s="79"/>
      <c r="TY8" s="79"/>
      <c r="TZ8" s="79"/>
      <c r="UA8" s="79"/>
      <c r="UB8" s="79"/>
      <c r="UC8" s="79"/>
      <c r="UD8" s="79"/>
      <c r="UE8" s="79"/>
      <c r="UF8" s="79"/>
      <c r="UG8" s="79"/>
      <c r="UH8" s="79"/>
      <c r="UI8" s="79"/>
      <c r="UJ8" s="79"/>
      <c r="UK8" s="79"/>
      <c r="UL8" s="79"/>
      <c r="UM8" s="79"/>
      <c r="UN8" s="79"/>
      <c r="UO8" s="79"/>
      <c r="UP8" s="79"/>
      <c r="UQ8" s="79"/>
      <c r="UR8" s="79"/>
      <c r="US8" s="79"/>
      <c r="UT8" s="79"/>
      <c r="UU8" s="79"/>
      <c r="UV8" s="79"/>
      <c r="UW8" s="79"/>
      <c r="UX8" s="79"/>
      <c r="UY8" s="79"/>
      <c r="UZ8" s="79"/>
      <c r="VA8" s="79"/>
      <c r="VB8" s="79"/>
      <c r="VC8" s="79"/>
      <c r="VD8" s="79"/>
      <c r="VE8" s="79"/>
      <c r="VF8" s="79"/>
      <c r="VG8" s="79"/>
      <c r="VH8" s="79"/>
      <c r="VI8" s="79"/>
      <c r="VJ8" s="79"/>
      <c r="VK8" s="79"/>
      <c r="VL8" s="79"/>
      <c r="VM8" s="79"/>
      <c r="VN8" s="79"/>
      <c r="VO8" s="79"/>
      <c r="VP8" s="79"/>
      <c r="VQ8" s="79"/>
      <c r="VR8" s="79"/>
      <c r="VS8" s="79"/>
      <c r="VT8" s="79"/>
      <c r="VU8" s="79"/>
      <c r="VV8" s="79"/>
      <c r="VW8" s="79"/>
      <c r="VX8" s="79"/>
      <c r="VY8" s="79"/>
      <c r="VZ8" s="79"/>
      <c r="WA8" s="79"/>
      <c r="WB8" s="79"/>
      <c r="WC8" s="79"/>
      <c r="WD8" s="79"/>
      <c r="WE8" s="79"/>
      <c r="WF8" s="79"/>
      <c r="WG8" s="79"/>
      <c r="WH8" s="79"/>
      <c r="WI8" s="79"/>
      <c r="WJ8" s="79"/>
      <c r="WK8" s="79"/>
      <c r="WL8" s="79"/>
      <c r="WM8" s="79"/>
      <c r="WN8" s="79"/>
      <c r="WO8" s="79"/>
      <c r="WP8" s="79"/>
      <c r="WQ8" s="79"/>
      <c r="WR8" s="79"/>
      <c r="WS8" s="79"/>
      <c r="WT8" s="79"/>
      <c r="WU8" s="79"/>
      <c r="WV8" s="79"/>
      <c r="WW8" s="79"/>
      <c r="WX8" s="79"/>
      <c r="WY8" s="79"/>
      <c r="WZ8" s="79"/>
      <c r="XA8" s="79"/>
      <c r="XB8" s="79"/>
      <c r="XC8" s="79"/>
      <c r="XD8" s="79"/>
      <c r="XE8" s="79"/>
      <c r="XF8" s="79"/>
      <c r="XG8" s="79"/>
      <c r="XH8" s="79"/>
      <c r="XI8" s="79"/>
      <c r="XJ8" s="79"/>
      <c r="XK8" s="79"/>
      <c r="XL8" s="79"/>
      <c r="XM8" s="79"/>
      <c r="XN8" s="79"/>
      <c r="XO8" s="79"/>
      <c r="XP8" s="79"/>
      <c r="XQ8" s="79"/>
      <c r="XR8" s="79"/>
      <c r="XS8" s="79"/>
      <c r="XT8" s="79"/>
      <c r="XU8" s="79"/>
      <c r="XV8" s="79"/>
      <c r="XW8" s="79"/>
      <c r="XX8" s="79"/>
      <c r="XY8" s="79"/>
      <c r="XZ8" s="79"/>
      <c r="YA8" s="79"/>
      <c r="YB8" s="79"/>
      <c r="YC8" s="79"/>
      <c r="YD8" s="79"/>
      <c r="YE8" s="79"/>
      <c r="YF8" s="79"/>
      <c r="YG8" s="79"/>
      <c r="YH8" s="79"/>
      <c r="YI8" s="79"/>
      <c r="YJ8" s="79"/>
      <c r="YK8" s="79"/>
      <c r="YL8" s="79"/>
      <c r="YM8" s="79"/>
      <c r="YN8" s="79"/>
      <c r="YO8" s="79"/>
      <c r="YP8" s="79"/>
      <c r="YQ8" s="79"/>
      <c r="YR8" s="79"/>
      <c r="YS8" s="79"/>
      <c r="YT8" s="79"/>
      <c r="YU8" s="79"/>
      <c r="YV8" s="79"/>
      <c r="YW8" s="79"/>
      <c r="YX8" s="79"/>
      <c r="YY8" s="79"/>
      <c r="YZ8" s="79"/>
      <c r="ZA8" s="79"/>
      <c r="ZB8" s="79"/>
      <c r="ZC8" s="79"/>
      <c r="ZD8" s="79"/>
      <c r="ZE8" s="79"/>
      <c r="ZF8" s="79"/>
      <c r="ZG8" s="79"/>
      <c r="ZH8" s="79"/>
      <c r="ZI8" s="79"/>
      <c r="ZJ8" s="79"/>
      <c r="ZK8" s="79"/>
      <c r="ZL8" s="79"/>
      <c r="ZM8" s="79"/>
      <c r="ZN8" s="79"/>
      <c r="ZO8" s="79"/>
      <c r="ZP8" s="79"/>
      <c r="ZQ8" s="79"/>
      <c r="ZR8" s="79"/>
      <c r="ZS8" s="79"/>
      <c r="ZT8" s="79"/>
      <c r="ZU8" s="79"/>
      <c r="ZV8" s="79"/>
      <c r="ZW8" s="79"/>
      <c r="ZX8" s="79"/>
      <c r="ZY8" s="79"/>
      <c r="ZZ8" s="79"/>
      <c r="AAA8" s="79"/>
      <c r="AAB8" s="79"/>
      <c r="AAC8" s="79"/>
      <c r="AAD8" s="79"/>
      <c r="AAE8" s="79"/>
      <c r="AAF8" s="79"/>
      <c r="AAG8" s="79"/>
      <c r="AAH8" s="79"/>
      <c r="AAI8" s="79"/>
      <c r="AAJ8" s="79"/>
      <c r="AAK8" s="79"/>
      <c r="AAL8" s="79"/>
      <c r="AAM8" s="79"/>
      <c r="AAN8" s="79"/>
      <c r="AAO8" s="79"/>
      <c r="AAP8" s="79"/>
      <c r="AAQ8" s="79"/>
      <c r="AAR8" s="79"/>
      <c r="AAS8" s="79"/>
      <c r="AAT8" s="79"/>
      <c r="AAU8" s="79"/>
      <c r="AAV8" s="79"/>
      <c r="AAW8" s="79"/>
      <c r="AAX8" s="79"/>
      <c r="AAY8" s="79"/>
      <c r="AAZ8" s="79"/>
      <c r="ABA8" s="79"/>
      <c r="ABB8" s="79"/>
      <c r="ABC8" s="79"/>
      <c r="ABD8" s="79"/>
      <c r="ABE8" s="79"/>
      <c r="ABF8" s="79"/>
      <c r="ABG8" s="79"/>
      <c r="ABH8" s="79"/>
      <c r="ABI8" s="79"/>
      <c r="ABJ8" s="79"/>
      <c r="ABK8" s="79"/>
      <c r="ABL8" s="79"/>
      <c r="ABM8" s="79"/>
      <c r="ABN8" s="79"/>
      <c r="ABO8" s="79"/>
      <c r="ABP8" s="79"/>
      <c r="ABQ8" s="79"/>
      <c r="ABR8" s="79"/>
      <c r="ABS8" s="79"/>
      <c r="ABT8" s="79"/>
      <c r="ABU8" s="79"/>
      <c r="ABV8" s="79"/>
      <c r="ABW8" s="79"/>
      <c r="ABX8" s="79"/>
      <c r="ABY8" s="79"/>
      <c r="ABZ8" s="79"/>
      <c r="ACA8" s="79"/>
      <c r="ACB8" s="79"/>
      <c r="ACC8" s="79"/>
      <c r="ACD8" s="79"/>
      <c r="ACE8" s="79"/>
      <c r="ACF8" s="79"/>
      <c r="ACG8" s="79"/>
      <c r="ACH8" s="79"/>
      <c r="ACI8" s="79"/>
      <c r="ACJ8" s="79"/>
      <c r="ACK8" s="79"/>
      <c r="ACL8" s="79"/>
      <c r="ACM8" s="79"/>
      <c r="ACN8" s="79"/>
      <c r="ACO8" s="79"/>
      <c r="ACP8" s="79"/>
      <c r="ACQ8" s="79"/>
      <c r="ACR8" s="79"/>
      <c r="ACS8" s="79"/>
      <c r="ACT8" s="79"/>
      <c r="ACU8" s="79"/>
      <c r="ACV8" s="79"/>
      <c r="ACW8" s="79"/>
      <c r="ACX8" s="79"/>
      <c r="ACY8" s="79"/>
      <c r="ACZ8" s="79"/>
      <c r="ADA8" s="79"/>
      <c r="ADB8" s="79"/>
      <c r="ADC8" s="79"/>
      <c r="ADD8" s="79"/>
      <c r="ADE8" s="79"/>
      <c r="ADF8" s="79"/>
      <c r="ADG8" s="79"/>
      <c r="ADH8" s="79"/>
      <c r="ADI8" s="79"/>
      <c r="ADJ8" s="79"/>
      <c r="ADK8" s="79"/>
      <c r="ADL8" s="79"/>
      <c r="ADM8" s="79"/>
      <c r="ADN8" s="79"/>
      <c r="ADO8" s="79"/>
      <c r="ADP8" s="79"/>
      <c r="ADQ8" s="79"/>
      <c r="ADR8" s="79"/>
      <c r="ADS8" s="79"/>
      <c r="ADT8" s="79"/>
      <c r="ADU8" s="79"/>
      <c r="ADV8" s="79"/>
      <c r="ADW8" s="79"/>
      <c r="ADX8" s="79"/>
      <c r="ADY8" s="79"/>
      <c r="ADZ8" s="79"/>
      <c r="AEA8" s="79"/>
      <c r="AEB8" s="79"/>
      <c r="AEC8" s="79"/>
      <c r="AED8" s="79"/>
      <c r="AEE8" s="79"/>
      <c r="AEF8" s="79"/>
      <c r="AEG8" s="79"/>
      <c r="AEH8" s="79"/>
      <c r="AEI8" s="79"/>
      <c r="AEJ8" s="79"/>
      <c r="AEK8" s="79"/>
      <c r="AEL8" s="79"/>
      <c r="AEM8" s="79"/>
      <c r="AEN8" s="79"/>
      <c r="AEO8" s="79"/>
      <c r="AEP8" s="79"/>
      <c r="AEQ8" s="79"/>
      <c r="AER8" s="79"/>
      <c r="AES8" s="79"/>
      <c r="AET8" s="79"/>
      <c r="AEU8" s="79"/>
      <c r="AEV8" s="79"/>
      <c r="AEW8" s="79"/>
      <c r="AEX8" s="79"/>
      <c r="AEY8" s="79"/>
      <c r="AEZ8" s="79"/>
      <c r="AFA8" s="79"/>
      <c r="AFB8" s="79"/>
      <c r="AFC8" s="79"/>
      <c r="AFD8" s="79"/>
      <c r="AFE8" s="79"/>
      <c r="AFF8" s="79"/>
      <c r="AFG8" s="79"/>
      <c r="AFH8" s="79"/>
      <c r="AFI8" s="79"/>
      <c r="AFJ8" s="79"/>
      <c r="AFK8" s="79"/>
      <c r="AFL8" s="79"/>
      <c r="AFM8" s="79"/>
      <c r="AFN8" s="79"/>
      <c r="AFO8" s="79"/>
      <c r="AFP8" s="79"/>
      <c r="AFQ8" s="79"/>
      <c r="AFR8" s="79"/>
      <c r="AFS8" s="79"/>
      <c r="AFT8" s="79"/>
      <c r="AFU8" s="79"/>
      <c r="AFV8" s="79"/>
      <c r="AFW8" s="79"/>
      <c r="AFX8" s="79"/>
      <c r="AFY8" s="79"/>
      <c r="AFZ8" s="79"/>
      <c r="AGA8" s="79"/>
      <c r="AGB8" s="79"/>
      <c r="AGC8" s="79"/>
      <c r="AGD8" s="79"/>
      <c r="AGE8" s="79"/>
      <c r="AGF8" s="79"/>
      <c r="AGG8" s="79"/>
      <c r="AGH8" s="79"/>
      <c r="AGI8" s="79"/>
      <c r="AGJ8" s="79"/>
      <c r="AGK8" s="79"/>
      <c r="AGL8" s="79"/>
      <c r="AGM8" s="79"/>
      <c r="AGN8" s="79"/>
      <c r="AGO8" s="79"/>
      <c r="AGP8" s="79"/>
      <c r="AGQ8" s="79"/>
      <c r="AGR8" s="79"/>
      <c r="AGS8" s="79"/>
      <c r="AGT8" s="79"/>
      <c r="AGU8" s="79"/>
      <c r="AGV8" s="79"/>
      <c r="AGW8" s="79"/>
      <c r="AGX8" s="79"/>
      <c r="AGY8" s="79"/>
      <c r="AGZ8" s="79"/>
      <c r="AHA8" s="79"/>
      <c r="AHB8" s="79"/>
      <c r="AHC8" s="79"/>
      <c r="AHD8" s="79"/>
      <c r="AHE8" s="79"/>
      <c r="AHF8" s="79"/>
      <c r="AHG8" s="79"/>
      <c r="AHH8" s="79"/>
      <c r="AHI8" s="79"/>
      <c r="AHJ8" s="79"/>
      <c r="AHK8" s="79"/>
      <c r="AHL8" s="79"/>
      <c r="AHM8" s="79"/>
      <c r="AHN8" s="79"/>
      <c r="AHO8" s="79"/>
      <c r="AHP8" s="79"/>
      <c r="AHQ8" s="79"/>
      <c r="AHR8" s="79"/>
      <c r="AHS8" s="79"/>
      <c r="AHT8" s="79"/>
      <c r="AHU8" s="79"/>
      <c r="AHV8" s="79"/>
      <c r="AHW8" s="79"/>
      <c r="AHX8" s="79"/>
      <c r="AHY8" s="79"/>
      <c r="AHZ8" s="79"/>
      <c r="AIA8" s="79"/>
      <c r="AIB8" s="79"/>
      <c r="AIC8" s="79"/>
      <c r="AID8" s="79"/>
      <c r="AIE8" s="79"/>
      <c r="AIF8" s="79"/>
      <c r="AIG8" s="79"/>
      <c r="AIH8" s="79"/>
      <c r="AII8" s="79"/>
      <c r="AIJ8" s="79"/>
      <c r="AIK8" s="79"/>
      <c r="AIL8" s="79"/>
      <c r="AIM8" s="79"/>
      <c r="AIN8" s="79"/>
      <c r="AIO8" s="79"/>
      <c r="AIP8" s="79"/>
      <c r="AIQ8" s="79"/>
      <c r="AIR8" s="79"/>
      <c r="AIS8" s="79"/>
      <c r="AIT8" s="79"/>
      <c r="AIU8" s="79"/>
      <c r="AIV8" s="79"/>
      <c r="AIW8" s="79"/>
      <c r="AIX8" s="79"/>
      <c r="AIY8" s="79"/>
      <c r="AIZ8" s="79"/>
      <c r="AJA8" s="79"/>
      <c r="AJB8" s="79"/>
      <c r="AJC8" s="79"/>
      <c r="AJD8" s="79"/>
      <c r="AJE8" s="79"/>
      <c r="AJF8" s="79"/>
      <c r="AJG8" s="79"/>
      <c r="AJH8" s="79"/>
      <c r="AJI8" s="79"/>
      <c r="AJJ8" s="79"/>
      <c r="AJK8" s="79"/>
      <c r="AJL8" s="79"/>
      <c r="AJM8" s="79"/>
      <c r="AJN8" s="79"/>
      <c r="AJO8" s="79"/>
      <c r="AJP8" s="79"/>
      <c r="AJQ8" s="79"/>
      <c r="AJR8" s="79"/>
      <c r="AJS8" s="79"/>
      <c r="AJT8" s="79"/>
      <c r="AJU8" s="79"/>
      <c r="AJV8" s="79"/>
      <c r="AJW8" s="79"/>
      <c r="AJX8" s="79"/>
      <c r="AJY8" s="79"/>
      <c r="AJZ8" s="79"/>
      <c r="AKA8" s="79"/>
      <c r="AKB8" s="79"/>
      <c r="AKC8" s="79"/>
      <c r="AKD8" s="79"/>
      <c r="AKE8" s="79"/>
      <c r="AKF8" s="79"/>
      <c r="AKG8" s="79"/>
      <c r="AKH8" s="79"/>
      <c r="AKI8" s="79"/>
      <c r="AKJ8" s="79"/>
      <c r="AKK8" s="79"/>
      <c r="AKL8" s="79"/>
      <c r="AKM8" s="79"/>
      <c r="AKN8" s="79"/>
      <c r="AKO8" s="79"/>
      <c r="AKP8" s="79"/>
      <c r="AKQ8" s="79"/>
      <c r="AKR8" s="79"/>
      <c r="AKS8" s="79"/>
      <c r="AKT8" s="79"/>
      <c r="AKU8" s="79"/>
      <c r="AKV8" s="79"/>
      <c r="AKW8" s="79"/>
      <c r="AKX8" s="79"/>
      <c r="AKY8" s="79"/>
      <c r="AKZ8" s="79"/>
      <c r="ALA8" s="79"/>
      <c r="ALB8" s="79"/>
      <c r="ALC8" s="79"/>
      <c r="ALD8" s="79"/>
      <c r="ALE8" s="79"/>
      <c r="ALF8" s="79"/>
      <c r="ALG8" s="79"/>
      <c r="ALH8" s="79"/>
      <c r="ALI8" s="79"/>
      <c r="ALJ8" s="79"/>
      <c r="ALK8" s="79"/>
      <c r="ALL8" s="79"/>
      <c r="ALM8" s="79"/>
      <c r="ALN8" s="79"/>
      <c r="ALO8" s="79"/>
      <c r="ALP8" s="79"/>
      <c r="ALQ8" s="79"/>
      <c r="ALR8" s="79"/>
      <c r="ALS8" s="79"/>
      <c r="ALT8" s="79"/>
      <c r="ALU8" s="79"/>
      <c r="ALV8" s="79"/>
      <c r="ALW8" s="79"/>
      <c r="ALX8" s="79"/>
      <c r="ALY8" s="79"/>
      <c r="ALZ8" s="79"/>
      <c r="AMA8" s="84">
        <v>40332.199999999997</v>
      </c>
      <c r="AMB8" s="84">
        <v>68600.559615384598</v>
      </c>
      <c r="AMC8" s="84">
        <v>40332.199999999997</v>
      </c>
      <c r="AMD8" s="84">
        <v>29923.9</v>
      </c>
      <c r="AME8" s="84">
        <v>40332.199999999997</v>
      </c>
      <c r="AMF8" s="84">
        <v>18169.0116646432</v>
      </c>
      <c r="AMG8" s="84">
        <v>6021.5567010309296</v>
      </c>
      <c r="AMH8" s="84">
        <v>5416.7938144329901</v>
      </c>
      <c r="AMI8" s="84">
        <v>40332.199999999997</v>
      </c>
      <c r="AMJ8" s="84">
        <v>33827</v>
      </c>
      <c r="AMK8" s="84">
        <v>25106.732307692298</v>
      </c>
      <c r="AML8" s="84">
        <v>5825.1178021978003</v>
      </c>
      <c r="AMM8" s="84">
        <v>25106.732307692298</v>
      </c>
      <c r="AMN8" s="84">
        <v>8329.7848138957997</v>
      </c>
      <c r="AMO8" s="84">
        <v>6021.5567010309296</v>
      </c>
      <c r="AMP8" s="84">
        <v>5416.7938144329901</v>
      </c>
      <c r="AMQ8" s="84">
        <v>26265.357142857101</v>
      </c>
      <c r="AMR8" s="84">
        <v>300</v>
      </c>
      <c r="AMS8" s="84">
        <v>25106.732307692298</v>
      </c>
      <c r="AMT8" s="84">
        <v>8329.7848138957997</v>
      </c>
      <c r="AMU8" s="84">
        <v>26265.357142857101</v>
      </c>
      <c r="AMV8" s="84">
        <v>0</v>
      </c>
      <c r="AMW8" s="84">
        <v>40332.199999999997</v>
      </c>
      <c r="AMX8" s="84">
        <v>7970.7969680064098</v>
      </c>
      <c r="AMY8" s="84">
        <v>18315.5237647059</v>
      </c>
      <c r="AMZ8" s="84">
        <v>4623.8823529411802</v>
      </c>
      <c r="ANA8" s="84">
        <v>18315.5237647059</v>
      </c>
      <c r="ANB8" s="84">
        <v>4635.0635294117601</v>
      </c>
      <c r="ANC8" s="84">
        <v>14628.8969072165</v>
      </c>
      <c r="AND8" s="84">
        <v>5416.7938144329901</v>
      </c>
      <c r="ANE8" s="84">
        <v>18315.5237647059</v>
      </c>
      <c r="ANF8" s="84">
        <v>7682.9689411764703</v>
      </c>
      <c r="ANG8" s="84">
        <v>14628.8969072165</v>
      </c>
      <c r="ANH8" s="84">
        <v>5416.7938144329901</v>
      </c>
      <c r="ANI8" s="84">
        <v>14628.8969072165</v>
      </c>
      <c r="ANJ8" s="84">
        <v>5416.7938144329901</v>
      </c>
      <c r="ANK8" s="84">
        <v>14628.8969072165</v>
      </c>
      <c r="ANL8" s="84">
        <v>5416.7938144329901</v>
      </c>
      <c r="ANM8" s="84">
        <v>31958.714285714301</v>
      </c>
      <c r="ANN8" s="84">
        <v>300</v>
      </c>
      <c r="ANO8" s="84">
        <v>37170.581538461498</v>
      </c>
      <c r="ANP8" s="84">
        <v>8329.7848138957997</v>
      </c>
      <c r="ANQ8" s="84">
        <v>31958.714285714301</v>
      </c>
      <c r="ANR8" s="84">
        <v>0</v>
      </c>
      <c r="ANS8" s="84">
        <v>18315.5237647059</v>
      </c>
      <c r="ANT8" s="84">
        <v>820.14928855859398</v>
      </c>
      <c r="ANU8" s="84">
        <v>4623.8823529411802</v>
      </c>
      <c r="ANV8" s="84">
        <v>4635.0635294117601</v>
      </c>
      <c r="ANW8" s="84">
        <v>5416.7938144329901</v>
      </c>
      <c r="ANX8" s="84">
        <v>5416.7938144329901</v>
      </c>
      <c r="ANY8" s="84">
        <v>4623.8823529411802</v>
      </c>
      <c r="ANZ8" s="84">
        <v>7682.9689411764703</v>
      </c>
      <c r="AOA8" s="84">
        <v>5416.7938144329901</v>
      </c>
      <c r="AOB8" s="84">
        <v>5416.7938144329901</v>
      </c>
      <c r="AOC8" s="84">
        <v>5416.7938144329901</v>
      </c>
      <c r="AOD8" s="84">
        <v>5416.7938144329901</v>
      </c>
      <c r="AOE8" s="84">
        <v>5416.7938144329901</v>
      </c>
      <c r="AOF8" s="84">
        <v>5416.7938144329901</v>
      </c>
      <c r="AOG8" s="84">
        <v>10845.357142857099</v>
      </c>
      <c r="AOH8" s="84">
        <v>300</v>
      </c>
      <c r="AOI8" s="84">
        <v>5825.1178021978003</v>
      </c>
      <c r="AOJ8" s="84">
        <v>8329.7848138957997</v>
      </c>
      <c r="AOK8" s="84">
        <v>10845.357142857099</v>
      </c>
      <c r="AOL8" s="84">
        <v>0</v>
      </c>
      <c r="AOM8" s="84">
        <v>4623.8823529411802</v>
      </c>
      <c r="AON8" s="84">
        <v>820.14928855859398</v>
      </c>
      <c r="AOO8" s="84">
        <v>5416.7938144329901</v>
      </c>
      <c r="AOP8" s="84">
        <v>5416.7938144329901</v>
      </c>
      <c r="AOQ8" s="84">
        <v>4635.0635294117601</v>
      </c>
      <c r="AOR8" s="84">
        <v>7682.9689411764703</v>
      </c>
      <c r="AOS8" s="84">
        <v>5416.7938144329901</v>
      </c>
      <c r="AOT8" s="84">
        <v>5416.7938144329901</v>
      </c>
      <c r="AOU8" s="84">
        <v>5416.7938144329901</v>
      </c>
      <c r="AOV8" s="84">
        <v>5416.7938144329901</v>
      </c>
      <c r="AOW8" s="84">
        <v>5416.7938144329901</v>
      </c>
      <c r="AOX8" s="84">
        <v>5416.7938144329901</v>
      </c>
      <c r="AOY8" s="84">
        <v>10845.357142857099</v>
      </c>
      <c r="AOZ8" s="84">
        <v>300</v>
      </c>
      <c r="APA8" s="84">
        <v>6741.58210361069</v>
      </c>
      <c r="APB8" s="84">
        <v>8329.7848138957997</v>
      </c>
      <c r="APC8" s="84">
        <v>10845.357142857099</v>
      </c>
      <c r="APD8" s="84">
        <v>0</v>
      </c>
      <c r="APE8" s="84">
        <v>4635.0635294117601</v>
      </c>
      <c r="APF8" s="84">
        <v>820.14928855859398</v>
      </c>
      <c r="APG8" s="84">
        <v>5416.7938144329901</v>
      </c>
      <c r="APH8" s="84">
        <v>5416.7938144329901</v>
      </c>
      <c r="API8" s="84">
        <v>24675.147076923098</v>
      </c>
      <c r="APJ8" s="84">
        <v>5825.1178021978003</v>
      </c>
      <c r="APK8" s="84">
        <v>26265.357142857101</v>
      </c>
      <c r="APL8" s="84">
        <v>7477.7857142857101</v>
      </c>
      <c r="APM8" s="84">
        <v>5416.7938144329901</v>
      </c>
      <c r="APN8" s="84">
        <v>5416.7938144329901</v>
      </c>
      <c r="APO8" s="79"/>
      <c r="APP8" s="79"/>
      <c r="APQ8" s="84">
        <v>26265.357142857101</v>
      </c>
      <c r="APR8" s="84">
        <v>14688.857142857099</v>
      </c>
      <c r="APS8" s="84">
        <v>26265.357142857101</v>
      </c>
      <c r="APT8" s="84">
        <v>0</v>
      </c>
      <c r="APU8" s="84">
        <v>5416.7938144329901</v>
      </c>
      <c r="APV8" s="84">
        <v>583.11020358403903</v>
      </c>
      <c r="APW8" s="84">
        <v>5416.7938144329901</v>
      </c>
      <c r="APX8" s="84">
        <v>5416.7938144329901</v>
      </c>
      <c r="APY8" s="84">
        <v>5416.7938144329901</v>
      </c>
      <c r="APZ8" s="84">
        <v>5416.7938144329901</v>
      </c>
      <c r="AQA8" s="84">
        <v>5416.7938144329901</v>
      </c>
      <c r="AQB8" s="84">
        <v>5416.7938144329901</v>
      </c>
      <c r="AQC8" s="84">
        <v>17704.857142857101</v>
      </c>
      <c r="AQD8" s="84">
        <v>300</v>
      </c>
      <c r="AQE8" s="84">
        <v>8329.7848138957997</v>
      </c>
      <c r="AQF8" s="84">
        <v>8329.7848138957997</v>
      </c>
      <c r="AQG8" s="84">
        <v>17704.857142857101</v>
      </c>
      <c r="AQH8" s="84">
        <v>0</v>
      </c>
      <c r="AQI8" s="84">
        <v>7682.9689411764703</v>
      </c>
      <c r="AQJ8" s="84">
        <v>820.14928855859398</v>
      </c>
      <c r="AQK8" s="84">
        <v>9005.4285714285706</v>
      </c>
      <c r="AQL8" s="84">
        <v>7477.7857142857101</v>
      </c>
      <c r="AQM8" s="84">
        <v>5825.1178021978003</v>
      </c>
      <c r="AQN8" s="84">
        <v>5825.1178021978003</v>
      </c>
      <c r="AQO8" s="79"/>
      <c r="AQP8" s="79"/>
      <c r="AQQ8" s="79"/>
      <c r="AQR8" s="79"/>
      <c r="AQS8" s="84">
        <v>9005.4285714285706</v>
      </c>
      <c r="AQT8" s="84">
        <v>0</v>
      </c>
      <c r="AQU8" s="84">
        <v>5416.7938144329901</v>
      </c>
      <c r="AQV8" s="84">
        <v>583.11020358403903</v>
      </c>
      <c r="AQW8" s="84">
        <v>7477.7857142857101</v>
      </c>
      <c r="AQX8" s="84">
        <v>9005.4285714285706</v>
      </c>
      <c r="AQY8" s="79"/>
      <c r="AQZ8" s="79"/>
      <c r="ARA8" s="84">
        <v>7477.7857142857101</v>
      </c>
      <c r="ARB8" s="84">
        <v>14688.857142857099</v>
      </c>
      <c r="ARC8" s="79"/>
      <c r="ARD8" s="79"/>
      <c r="ARE8" s="84">
        <v>5416.7938144329901</v>
      </c>
      <c r="ARF8" s="84">
        <v>583.11020358403903</v>
      </c>
      <c r="ARG8" s="79"/>
      <c r="ARH8" s="79"/>
      <c r="ARI8" s="84">
        <v>9005.4285714285706</v>
      </c>
      <c r="ARJ8" s="84">
        <v>14688.857142857099</v>
      </c>
      <c r="ARK8" s="84">
        <v>9005.4285714285706</v>
      </c>
      <c r="ARL8" s="84">
        <v>0</v>
      </c>
      <c r="ARM8" s="84">
        <v>5416.7938144329901</v>
      </c>
      <c r="ARN8" s="84">
        <v>583.11020358403903</v>
      </c>
      <c r="ARO8" s="79"/>
      <c r="ARP8" s="79"/>
      <c r="ARQ8" s="79"/>
      <c r="ARR8" s="79"/>
      <c r="ARS8" s="84">
        <v>300</v>
      </c>
      <c r="ART8" s="84">
        <v>3894.6696302985802</v>
      </c>
      <c r="ARU8" s="79"/>
      <c r="ARV8" s="79"/>
      <c r="ARW8" s="84">
        <v>8329.7848138957997</v>
      </c>
      <c r="ARX8" s="84">
        <v>1305.0022135408699</v>
      </c>
    </row>
    <row r="9" spans="1:1170" ht="15.75" customHeight="1" x14ac:dyDescent="0.35">
      <c r="A9" s="92" t="s">
        <v>30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79"/>
      <c r="P9" s="79"/>
      <c r="Q9" s="79"/>
      <c r="R9" s="79"/>
      <c r="S9" s="79"/>
      <c r="T9" s="79"/>
      <c r="U9" s="79"/>
      <c r="V9" s="79"/>
      <c r="W9" s="102" t="s">
        <v>758</v>
      </c>
      <c r="X9" s="83">
        <v>0.82925165688018398</v>
      </c>
      <c r="Y9" s="84">
        <v>9</v>
      </c>
      <c r="Z9" s="83">
        <v>5.7068822190221797E-3</v>
      </c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79"/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79"/>
      <c r="GG9" s="79"/>
      <c r="GH9" s="79"/>
      <c r="GI9" s="79"/>
      <c r="GJ9" s="79"/>
      <c r="GK9" s="79"/>
      <c r="GL9" s="79"/>
      <c r="GM9" s="79"/>
      <c r="GN9" s="79"/>
      <c r="GO9" s="79"/>
      <c r="GP9" s="79"/>
      <c r="GQ9" s="79"/>
      <c r="GR9" s="79"/>
      <c r="GS9" s="79"/>
      <c r="GT9" s="79"/>
      <c r="GU9" s="79"/>
      <c r="GV9" s="79"/>
      <c r="GW9" s="79"/>
      <c r="GX9" s="79"/>
      <c r="GY9" s="79"/>
      <c r="GZ9" s="79"/>
      <c r="HA9" s="79"/>
      <c r="HB9" s="79"/>
      <c r="HC9" s="79"/>
      <c r="HD9" s="79"/>
      <c r="HE9" s="79"/>
      <c r="HF9" s="79"/>
      <c r="HG9" s="79"/>
      <c r="HH9" s="79"/>
      <c r="HI9" s="79"/>
      <c r="HJ9" s="79"/>
      <c r="HK9" s="79"/>
      <c r="HL9" s="79"/>
      <c r="HM9" s="79"/>
      <c r="HN9" s="79"/>
      <c r="HO9" s="79"/>
      <c r="HP9" s="79"/>
      <c r="HQ9" s="79"/>
      <c r="HR9" s="79"/>
      <c r="HS9" s="79"/>
      <c r="HT9" s="79"/>
      <c r="HU9" s="79"/>
      <c r="HV9" s="79"/>
      <c r="HW9" s="79"/>
      <c r="HX9" s="79"/>
      <c r="HY9" s="79"/>
      <c r="HZ9" s="79"/>
      <c r="IA9" s="79"/>
      <c r="IB9" s="79"/>
      <c r="IC9" s="79"/>
      <c r="ID9" s="79"/>
      <c r="IE9" s="79"/>
      <c r="IF9" s="79"/>
      <c r="IG9" s="79"/>
      <c r="IH9" s="79"/>
      <c r="II9" s="79"/>
      <c r="IJ9" s="79"/>
      <c r="IK9" s="79"/>
      <c r="IL9" s="79"/>
      <c r="IM9" s="79"/>
      <c r="IN9" s="79"/>
      <c r="IO9" s="79"/>
      <c r="IP9" s="79"/>
      <c r="IQ9" s="79"/>
      <c r="IR9" s="79"/>
      <c r="IS9" s="79"/>
      <c r="IT9" s="79"/>
      <c r="IU9" s="79"/>
      <c r="IV9" s="79"/>
      <c r="IW9" s="79"/>
      <c r="IX9" s="79"/>
      <c r="IY9" s="79"/>
      <c r="IZ9" s="79"/>
      <c r="JA9" s="79"/>
      <c r="JB9" s="79"/>
      <c r="JC9" s="79"/>
      <c r="JD9" s="79"/>
      <c r="JE9" s="79"/>
      <c r="JF9" s="79"/>
      <c r="JG9" s="79"/>
      <c r="JH9" s="79"/>
      <c r="JI9" s="79"/>
      <c r="JJ9" s="79"/>
      <c r="JK9" s="79"/>
      <c r="JL9" s="79"/>
      <c r="JM9" s="79"/>
      <c r="JN9" s="79"/>
      <c r="JO9" s="79"/>
      <c r="JP9" s="79"/>
      <c r="JQ9" s="79"/>
      <c r="JR9" s="79"/>
      <c r="JS9" s="79"/>
      <c r="JT9" s="79"/>
      <c r="JU9" s="79"/>
      <c r="JV9" s="79"/>
      <c r="JW9" s="79"/>
      <c r="JX9" s="79"/>
      <c r="JY9" s="79"/>
      <c r="JZ9" s="79"/>
      <c r="KA9" s="79"/>
      <c r="KB9" s="79"/>
      <c r="KC9" s="79"/>
      <c r="KD9" s="79"/>
      <c r="KE9" s="79"/>
      <c r="KF9" s="79"/>
      <c r="KG9" s="79"/>
      <c r="KH9" s="79"/>
      <c r="KI9" s="79"/>
      <c r="KJ9" s="79"/>
      <c r="KK9" s="79"/>
      <c r="KL9" s="79"/>
      <c r="KM9" s="79"/>
      <c r="KN9" s="79"/>
      <c r="KO9" s="79"/>
      <c r="KP9" s="79"/>
      <c r="KQ9" s="79"/>
      <c r="KR9" s="79"/>
      <c r="KS9" s="79"/>
      <c r="KT9" s="79"/>
      <c r="KU9" s="79"/>
      <c r="KV9" s="79"/>
      <c r="KW9" s="79"/>
      <c r="KX9" s="79"/>
      <c r="KY9" s="79"/>
      <c r="KZ9" s="79"/>
      <c r="LA9" s="79"/>
      <c r="LB9" s="79"/>
      <c r="LC9" s="79"/>
      <c r="LD9" s="79"/>
      <c r="LE9" s="79"/>
      <c r="LF9" s="79"/>
      <c r="LG9" s="79"/>
      <c r="LH9" s="79"/>
      <c r="LI9" s="79"/>
      <c r="LJ9" s="79"/>
      <c r="LK9" s="79"/>
      <c r="LL9" s="79"/>
      <c r="LM9" s="79"/>
      <c r="LN9" s="79"/>
      <c r="LO9" s="79"/>
      <c r="LP9" s="79"/>
      <c r="LQ9" s="79"/>
      <c r="LR9" s="79"/>
      <c r="LS9" s="79"/>
      <c r="LT9" s="79"/>
      <c r="LU9" s="79"/>
      <c r="LV9" s="79"/>
      <c r="LW9" s="79"/>
      <c r="LX9" s="79"/>
      <c r="LY9" s="79"/>
      <c r="LZ9" s="79"/>
      <c r="MA9" s="79"/>
      <c r="MB9" s="79"/>
      <c r="MC9" s="79"/>
      <c r="MD9" s="79"/>
      <c r="ME9" s="79"/>
      <c r="MF9" s="79"/>
      <c r="MG9" s="79"/>
      <c r="MH9" s="79"/>
      <c r="MI9" s="79"/>
      <c r="MJ9" s="79"/>
      <c r="MK9" s="79"/>
      <c r="ML9" s="79"/>
      <c r="MM9" s="79"/>
      <c r="MN9" s="79"/>
      <c r="MO9" s="79"/>
      <c r="MP9" s="79"/>
      <c r="MQ9" s="79"/>
      <c r="MR9" s="79"/>
      <c r="MS9" s="79"/>
      <c r="MT9" s="79"/>
      <c r="MU9" s="79"/>
      <c r="MV9" s="79"/>
      <c r="MW9" s="79"/>
      <c r="MX9" s="79"/>
      <c r="MY9" s="79"/>
      <c r="MZ9" s="79"/>
      <c r="NA9" s="79"/>
      <c r="NB9" s="79"/>
      <c r="NC9" s="79"/>
      <c r="ND9" s="79"/>
      <c r="NE9" s="79"/>
      <c r="NF9" s="79"/>
      <c r="NG9" s="79"/>
      <c r="NH9" s="79"/>
      <c r="NI9" s="79"/>
      <c r="NJ9" s="79"/>
      <c r="NK9" s="79"/>
      <c r="NL9" s="79"/>
      <c r="NM9" s="79"/>
      <c r="NN9" s="79"/>
      <c r="NO9" s="79"/>
      <c r="NP9" s="79"/>
      <c r="NQ9" s="79"/>
      <c r="NR9" s="79"/>
      <c r="NS9" s="79"/>
      <c r="NT9" s="79"/>
      <c r="NU9" s="79"/>
      <c r="NV9" s="79"/>
      <c r="NW9" s="79"/>
      <c r="NX9" s="79"/>
      <c r="NY9" s="79"/>
      <c r="NZ9" s="79"/>
      <c r="OA9" s="79"/>
      <c r="OB9" s="79"/>
      <c r="OC9" s="79"/>
      <c r="OD9" s="79"/>
      <c r="OE9" s="79"/>
      <c r="OF9" s="79"/>
      <c r="OG9" s="79"/>
      <c r="OH9" s="79"/>
      <c r="OI9" s="79"/>
      <c r="OJ9" s="79"/>
      <c r="OK9" s="79"/>
      <c r="OL9" s="79"/>
      <c r="OM9" s="79"/>
      <c r="ON9" s="79"/>
      <c r="OO9" s="79"/>
      <c r="OP9" s="79"/>
      <c r="OQ9" s="79"/>
      <c r="OR9" s="79"/>
      <c r="OS9" s="79"/>
      <c r="OT9" s="79"/>
      <c r="OU9" s="79"/>
      <c r="OV9" s="79"/>
      <c r="OW9" s="79"/>
      <c r="OX9" s="79"/>
      <c r="OY9" s="79"/>
      <c r="OZ9" s="79"/>
      <c r="PA9" s="79"/>
      <c r="PB9" s="79"/>
      <c r="PC9" s="79"/>
      <c r="PD9" s="79"/>
      <c r="PE9" s="79"/>
      <c r="PF9" s="79"/>
      <c r="PG9" s="79"/>
      <c r="PH9" s="79"/>
      <c r="PI9" s="79"/>
      <c r="PJ9" s="79"/>
      <c r="PK9" s="79"/>
      <c r="PL9" s="79"/>
      <c r="PM9" s="79"/>
      <c r="PN9" s="79"/>
      <c r="PO9" s="79"/>
      <c r="PP9" s="79"/>
      <c r="PQ9" s="79"/>
      <c r="PR9" s="79"/>
      <c r="PS9" s="79"/>
      <c r="PT9" s="79"/>
      <c r="PU9" s="79"/>
      <c r="PV9" s="79"/>
      <c r="PW9" s="79"/>
      <c r="PX9" s="79"/>
      <c r="PY9" s="79"/>
      <c r="PZ9" s="79"/>
      <c r="QA9" s="79"/>
      <c r="QB9" s="79"/>
      <c r="QC9" s="79"/>
      <c r="QD9" s="79"/>
      <c r="QE9" s="79"/>
      <c r="QF9" s="79"/>
      <c r="QG9" s="79"/>
      <c r="QH9" s="79"/>
      <c r="QI9" s="79"/>
      <c r="QJ9" s="79"/>
      <c r="QK9" s="79"/>
      <c r="QL9" s="79"/>
      <c r="QM9" s="79"/>
      <c r="QN9" s="79"/>
      <c r="QO9" s="79"/>
      <c r="QP9" s="79"/>
      <c r="QQ9" s="79"/>
      <c r="QR9" s="79"/>
      <c r="QS9" s="79"/>
      <c r="QT9" s="79"/>
      <c r="QU9" s="79"/>
      <c r="QV9" s="79"/>
      <c r="QW9" s="79"/>
      <c r="QX9" s="79"/>
      <c r="QY9" s="79"/>
      <c r="QZ9" s="79"/>
      <c r="RA9" s="79"/>
      <c r="RB9" s="79"/>
      <c r="RC9" s="79"/>
      <c r="RD9" s="79"/>
      <c r="RE9" s="79"/>
      <c r="RF9" s="79"/>
      <c r="RG9" s="79"/>
      <c r="RH9" s="79"/>
      <c r="RI9" s="79"/>
      <c r="RJ9" s="79"/>
      <c r="RK9" s="79"/>
      <c r="RL9" s="79"/>
      <c r="RM9" s="79"/>
      <c r="RN9" s="79"/>
      <c r="RO9" s="79"/>
      <c r="RP9" s="79"/>
      <c r="RQ9" s="79"/>
      <c r="RR9" s="79"/>
      <c r="RS9" s="79"/>
      <c r="RT9" s="79"/>
      <c r="RU9" s="79"/>
      <c r="RV9" s="79"/>
      <c r="RW9" s="79"/>
      <c r="RX9" s="79"/>
      <c r="RY9" s="79"/>
      <c r="RZ9" s="79"/>
      <c r="SA9" s="79"/>
      <c r="SB9" s="79"/>
      <c r="SC9" s="79"/>
      <c r="SD9" s="79"/>
      <c r="SE9" s="79"/>
      <c r="SF9" s="79"/>
      <c r="SG9" s="79"/>
      <c r="SH9" s="79"/>
      <c r="SI9" s="79"/>
      <c r="SJ9" s="79"/>
      <c r="SK9" s="79"/>
      <c r="SL9" s="79"/>
      <c r="SM9" s="79"/>
      <c r="SN9" s="79"/>
      <c r="SO9" s="79"/>
      <c r="SP9" s="79"/>
      <c r="SQ9" s="79"/>
      <c r="SR9" s="79"/>
      <c r="SS9" s="79"/>
      <c r="ST9" s="79"/>
      <c r="SU9" s="79"/>
      <c r="SV9" s="79"/>
      <c r="SW9" s="79"/>
      <c r="SX9" s="79"/>
      <c r="SY9" s="79"/>
      <c r="SZ9" s="79"/>
      <c r="TA9" s="79"/>
      <c r="TB9" s="79"/>
      <c r="TC9" s="79"/>
      <c r="TD9" s="79"/>
      <c r="TE9" s="79"/>
      <c r="TF9" s="79"/>
      <c r="TG9" s="79"/>
      <c r="TH9" s="79"/>
      <c r="TI9" s="79"/>
      <c r="TJ9" s="79"/>
      <c r="TK9" s="79"/>
      <c r="TL9" s="79"/>
      <c r="TM9" s="79"/>
      <c r="TN9" s="79"/>
      <c r="TO9" s="79"/>
      <c r="TP9" s="79"/>
      <c r="TQ9" s="79"/>
      <c r="TR9" s="79"/>
      <c r="TS9" s="79"/>
      <c r="TT9" s="79"/>
      <c r="TU9" s="79"/>
      <c r="TV9" s="79"/>
      <c r="TW9" s="79"/>
      <c r="TX9" s="79"/>
      <c r="TY9" s="79"/>
      <c r="TZ9" s="79"/>
      <c r="UA9" s="79"/>
      <c r="UB9" s="79"/>
      <c r="UC9" s="79"/>
      <c r="UD9" s="79"/>
      <c r="UE9" s="79"/>
      <c r="UF9" s="79"/>
      <c r="UG9" s="79"/>
      <c r="UH9" s="79"/>
      <c r="UI9" s="79"/>
      <c r="UJ9" s="79"/>
      <c r="UK9" s="79"/>
      <c r="UL9" s="79"/>
      <c r="UM9" s="79"/>
      <c r="UN9" s="79"/>
      <c r="UO9" s="79"/>
      <c r="UP9" s="79"/>
      <c r="UQ9" s="79"/>
      <c r="UR9" s="79"/>
      <c r="US9" s="79"/>
      <c r="UT9" s="79"/>
      <c r="UU9" s="79"/>
      <c r="UV9" s="79"/>
      <c r="UW9" s="79"/>
      <c r="UX9" s="79"/>
      <c r="UY9" s="79"/>
      <c r="UZ9" s="79"/>
      <c r="VA9" s="79"/>
      <c r="VB9" s="79"/>
      <c r="VC9" s="79"/>
      <c r="VD9" s="79"/>
      <c r="VE9" s="79"/>
      <c r="VF9" s="79"/>
      <c r="VG9" s="79"/>
      <c r="VH9" s="79"/>
      <c r="VI9" s="79"/>
      <c r="VJ9" s="79"/>
      <c r="VK9" s="79"/>
      <c r="VL9" s="79"/>
      <c r="VM9" s="79"/>
      <c r="VN9" s="79"/>
      <c r="VO9" s="79"/>
      <c r="VP9" s="79"/>
      <c r="VQ9" s="79"/>
      <c r="VR9" s="79"/>
      <c r="VS9" s="79"/>
      <c r="VT9" s="79"/>
      <c r="VU9" s="79"/>
      <c r="VV9" s="79"/>
      <c r="VW9" s="79"/>
      <c r="VX9" s="79"/>
      <c r="VY9" s="79"/>
      <c r="VZ9" s="79"/>
      <c r="WA9" s="79"/>
      <c r="WB9" s="79"/>
      <c r="WC9" s="79"/>
      <c r="WD9" s="79"/>
      <c r="WE9" s="79"/>
      <c r="WF9" s="79"/>
      <c r="WG9" s="79"/>
      <c r="WH9" s="79"/>
      <c r="WI9" s="79"/>
      <c r="WJ9" s="79"/>
      <c r="WK9" s="79"/>
      <c r="WL9" s="79"/>
      <c r="WM9" s="79"/>
      <c r="WN9" s="79"/>
      <c r="WO9" s="79"/>
      <c r="WP9" s="79"/>
      <c r="WQ9" s="79"/>
      <c r="WR9" s="79"/>
      <c r="WS9" s="79"/>
      <c r="WT9" s="79"/>
      <c r="WU9" s="79"/>
      <c r="WV9" s="79"/>
      <c r="WW9" s="79"/>
      <c r="WX9" s="79"/>
      <c r="WY9" s="79"/>
      <c r="WZ9" s="79"/>
      <c r="XA9" s="79"/>
      <c r="XB9" s="79"/>
      <c r="XC9" s="79"/>
      <c r="XD9" s="79"/>
      <c r="XE9" s="79"/>
      <c r="XF9" s="79"/>
      <c r="XG9" s="79"/>
      <c r="XH9" s="79"/>
      <c r="XI9" s="79"/>
      <c r="XJ9" s="79"/>
      <c r="XK9" s="79"/>
      <c r="XL9" s="79"/>
      <c r="XM9" s="79"/>
      <c r="XN9" s="79"/>
      <c r="XO9" s="79"/>
      <c r="XP9" s="79"/>
      <c r="XQ9" s="79"/>
      <c r="XR9" s="79"/>
      <c r="XS9" s="79"/>
      <c r="XT9" s="79"/>
      <c r="XU9" s="79"/>
      <c r="XV9" s="79"/>
      <c r="XW9" s="79"/>
      <c r="XX9" s="79"/>
      <c r="XY9" s="79"/>
      <c r="XZ9" s="79"/>
      <c r="YA9" s="79"/>
      <c r="YB9" s="79"/>
      <c r="YC9" s="79"/>
      <c r="YD9" s="79"/>
      <c r="YE9" s="79"/>
      <c r="YF9" s="79"/>
      <c r="YG9" s="79"/>
      <c r="YH9" s="79"/>
      <c r="YI9" s="79"/>
      <c r="YJ9" s="79"/>
      <c r="YK9" s="79"/>
      <c r="YL9" s="79"/>
      <c r="YM9" s="79"/>
      <c r="YN9" s="79"/>
      <c r="YO9" s="79"/>
      <c r="YP9" s="79"/>
      <c r="YQ9" s="79"/>
      <c r="YR9" s="79"/>
      <c r="YS9" s="79"/>
      <c r="YT9" s="79"/>
      <c r="YU9" s="79"/>
      <c r="YV9" s="79"/>
      <c r="YW9" s="79"/>
      <c r="YX9" s="79"/>
      <c r="YY9" s="79"/>
      <c r="YZ9" s="79"/>
      <c r="ZA9" s="79"/>
      <c r="ZB9" s="79"/>
      <c r="ZC9" s="79"/>
      <c r="ZD9" s="79"/>
      <c r="ZE9" s="79"/>
      <c r="ZF9" s="79"/>
      <c r="ZG9" s="79"/>
      <c r="ZH9" s="79"/>
      <c r="ZI9" s="79"/>
      <c r="ZJ9" s="79"/>
      <c r="ZK9" s="79"/>
      <c r="ZL9" s="79"/>
      <c r="ZM9" s="79"/>
      <c r="ZN9" s="79"/>
      <c r="ZO9" s="79"/>
      <c r="ZP9" s="79"/>
      <c r="ZQ9" s="79"/>
      <c r="ZR9" s="79"/>
      <c r="ZS9" s="79"/>
      <c r="ZT9" s="79"/>
      <c r="ZU9" s="79"/>
      <c r="ZV9" s="79"/>
      <c r="ZW9" s="79"/>
      <c r="ZX9" s="79"/>
      <c r="ZY9" s="79"/>
      <c r="ZZ9" s="79"/>
      <c r="AAA9" s="79"/>
      <c r="AAB9" s="79"/>
      <c r="AAC9" s="79"/>
      <c r="AAD9" s="79"/>
      <c r="AAE9" s="79"/>
      <c r="AAF9" s="79"/>
      <c r="AAG9" s="79"/>
      <c r="AAH9" s="79"/>
      <c r="AAI9" s="79"/>
      <c r="AAJ9" s="79"/>
      <c r="AAK9" s="79"/>
      <c r="AAL9" s="79"/>
      <c r="AAM9" s="79"/>
      <c r="AAN9" s="79"/>
      <c r="AAO9" s="79"/>
      <c r="AAP9" s="79"/>
      <c r="AAQ9" s="79"/>
      <c r="AAR9" s="79"/>
      <c r="AAS9" s="79"/>
      <c r="AAT9" s="79"/>
      <c r="AAU9" s="79"/>
      <c r="AAV9" s="79"/>
      <c r="AAW9" s="79"/>
      <c r="AAX9" s="79"/>
      <c r="AAY9" s="79"/>
      <c r="AAZ9" s="79"/>
      <c r="ABA9" s="79"/>
      <c r="ABB9" s="79"/>
      <c r="ABC9" s="79"/>
      <c r="ABD9" s="79"/>
      <c r="ABE9" s="79"/>
      <c r="ABF9" s="79"/>
      <c r="ABG9" s="79"/>
      <c r="ABH9" s="79"/>
      <c r="ABI9" s="79"/>
      <c r="ABJ9" s="79"/>
      <c r="ABK9" s="79"/>
      <c r="ABL9" s="79"/>
      <c r="ABM9" s="79"/>
      <c r="ABN9" s="79"/>
      <c r="ABO9" s="79"/>
      <c r="ABP9" s="79"/>
      <c r="ABQ9" s="79"/>
      <c r="ABR9" s="79"/>
      <c r="ABS9" s="79"/>
      <c r="ABT9" s="79"/>
      <c r="ABU9" s="79"/>
      <c r="ABV9" s="79"/>
      <c r="ABW9" s="79"/>
      <c r="ABX9" s="79"/>
      <c r="ABY9" s="79"/>
      <c r="ABZ9" s="79"/>
      <c r="ACA9" s="79"/>
      <c r="ACB9" s="79"/>
      <c r="ACC9" s="79"/>
      <c r="ACD9" s="79"/>
      <c r="ACE9" s="79"/>
      <c r="ACF9" s="79"/>
      <c r="ACG9" s="79"/>
      <c r="ACH9" s="79"/>
      <c r="ACI9" s="79"/>
      <c r="ACJ9" s="79"/>
      <c r="ACK9" s="79"/>
      <c r="ACL9" s="79"/>
      <c r="ACM9" s="79"/>
      <c r="ACN9" s="79"/>
      <c r="ACO9" s="79"/>
      <c r="ACP9" s="79"/>
      <c r="ACQ9" s="79"/>
      <c r="ACR9" s="79"/>
      <c r="ACS9" s="79"/>
      <c r="ACT9" s="79"/>
      <c r="ACU9" s="79"/>
      <c r="ACV9" s="79"/>
      <c r="ACW9" s="79"/>
      <c r="ACX9" s="79"/>
      <c r="ACY9" s="79"/>
      <c r="ACZ9" s="79"/>
      <c r="ADA9" s="79"/>
      <c r="ADB9" s="79"/>
      <c r="ADC9" s="79"/>
      <c r="ADD9" s="79"/>
      <c r="ADE9" s="79"/>
      <c r="ADF9" s="79"/>
      <c r="ADG9" s="79"/>
      <c r="ADH9" s="79"/>
      <c r="ADI9" s="79"/>
      <c r="ADJ9" s="79"/>
      <c r="ADK9" s="79"/>
      <c r="ADL9" s="79"/>
      <c r="ADM9" s="79"/>
      <c r="ADN9" s="79"/>
      <c r="ADO9" s="79"/>
      <c r="ADP9" s="79"/>
      <c r="ADQ9" s="79"/>
      <c r="ADR9" s="79"/>
      <c r="ADS9" s="79"/>
      <c r="ADT9" s="79"/>
      <c r="ADU9" s="79"/>
      <c r="ADV9" s="79"/>
      <c r="ADW9" s="79"/>
      <c r="ADX9" s="79"/>
      <c r="ADY9" s="79"/>
      <c r="ADZ9" s="79"/>
      <c r="AEA9" s="79"/>
      <c r="AEB9" s="79"/>
      <c r="AEC9" s="79"/>
      <c r="AED9" s="79"/>
      <c r="AEE9" s="79"/>
      <c r="AEF9" s="79"/>
      <c r="AEG9" s="79"/>
      <c r="AEH9" s="79"/>
      <c r="AEI9" s="79"/>
      <c r="AEJ9" s="79"/>
      <c r="AEK9" s="79"/>
      <c r="AEL9" s="79"/>
      <c r="AEM9" s="79"/>
      <c r="AEN9" s="79"/>
      <c r="AEO9" s="79"/>
      <c r="AEP9" s="79"/>
      <c r="AEQ9" s="79"/>
      <c r="AER9" s="79"/>
      <c r="AES9" s="79"/>
      <c r="AET9" s="79"/>
      <c r="AEU9" s="79"/>
      <c r="AEV9" s="79"/>
      <c r="AEW9" s="79"/>
      <c r="AEX9" s="79"/>
      <c r="AEY9" s="79"/>
      <c r="AEZ9" s="79"/>
      <c r="AFA9" s="79"/>
      <c r="AFB9" s="79"/>
      <c r="AFC9" s="79"/>
      <c r="AFD9" s="79"/>
      <c r="AFE9" s="79"/>
      <c r="AFF9" s="79"/>
      <c r="AFG9" s="79"/>
      <c r="AFH9" s="79"/>
      <c r="AFI9" s="79"/>
      <c r="AFJ9" s="79"/>
      <c r="AFK9" s="79"/>
      <c r="AFL9" s="79"/>
      <c r="AFM9" s="79"/>
      <c r="AFN9" s="79"/>
      <c r="AFO9" s="79"/>
      <c r="AFP9" s="79"/>
      <c r="AFQ9" s="79"/>
      <c r="AFR9" s="79"/>
      <c r="AFS9" s="79"/>
      <c r="AFT9" s="79"/>
      <c r="AFU9" s="79"/>
      <c r="AFV9" s="79"/>
      <c r="AFW9" s="79"/>
      <c r="AFX9" s="79"/>
      <c r="AFY9" s="79"/>
      <c r="AFZ9" s="79"/>
      <c r="AGA9" s="79"/>
      <c r="AGB9" s="79"/>
      <c r="AGC9" s="79"/>
      <c r="AGD9" s="79"/>
      <c r="AGE9" s="79"/>
      <c r="AGF9" s="79"/>
      <c r="AGG9" s="79"/>
      <c r="AGH9" s="79"/>
      <c r="AGI9" s="79"/>
      <c r="AGJ9" s="79"/>
      <c r="AGK9" s="79"/>
      <c r="AGL9" s="79"/>
      <c r="AGM9" s="79"/>
      <c r="AGN9" s="79"/>
      <c r="AGO9" s="79"/>
      <c r="AGP9" s="79"/>
      <c r="AGQ9" s="79"/>
      <c r="AGR9" s="79"/>
      <c r="AGS9" s="79"/>
      <c r="AGT9" s="79"/>
      <c r="AGU9" s="79"/>
      <c r="AGV9" s="79"/>
      <c r="AGW9" s="79"/>
      <c r="AGX9" s="79"/>
      <c r="AGY9" s="79"/>
      <c r="AGZ9" s="79"/>
      <c r="AHA9" s="79"/>
      <c r="AHB9" s="79"/>
      <c r="AHC9" s="79"/>
      <c r="AHD9" s="79"/>
      <c r="AHE9" s="79"/>
      <c r="AHF9" s="79"/>
      <c r="AHG9" s="79"/>
      <c r="AHH9" s="79"/>
      <c r="AHI9" s="79"/>
      <c r="AHJ9" s="79"/>
      <c r="AHK9" s="79"/>
      <c r="AHL9" s="79"/>
      <c r="AHM9" s="79"/>
      <c r="AHN9" s="79"/>
      <c r="AHO9" s="79"/>
      <c r="AHP9" s="79"/>
      <c r="AHQ9" s="79"/>
      <c r="AHR9" s="79"/>
      <c r="AHS9" s="79"/>
      <c r="AHT9" s="79"/>
      <c r="AHU9" s="79"/>
      <c r="AHV9" s="79"/>
      <c r="AHW9" s="79"/>
      <c r="AHX9" s="79"/>
      <c r="AHY9" s="79"/>
      <c r="AHZ9" s="79"/>
      <c r="AIA9" s="79"/>
      <c r="AIB9" s="79"/>
      <c r="AIC9" s="79"/>
      <c r="AID9" s="79"/>
      <c r="AIE9" s="79"/>
      <c r="AIF9" s="79"/>
      <c r="AIG9" s="79"/>
      <c r="AIH9" s="79"/>
      <c r="AII9" s="79"/>
      <c r="AIJ9" s="79"/>
      <c r="AIK9" s="79"/>
      <c r="AIL9" s="79"/>
      <c r="AIM9" s="79"/>
      <c r="AIN9" s="79"/>
      <c r="AIO9" s="79"/>
      <c r="AIP9" s="79"/>
      <c r="AIQ9" s="79"/>
      <c r="AIR9" s="79"/>
      <c r="AIS9" s="79"/>
      <c r="AIT9" s="79"/>
      <c r="AIU9" s="79"/>
      <c r="AIV9" s="79"/>
      <c r="AIW9" s="79"/>
      <c r="AIX9" s="79"/>
      <c r="AIY9" s="79"/>
      <c r="AIZ9" s="79"/>
      <c r="AJA9" s="79"/>
      <c r="AJB9" s="79"/>
      <c r="AJC9" s="79"/>
      <c r="AJD9" s="79"/>
      <c r="AJE9" s="79"/>
      <c r="AJF9" s="79"/>
      <c r="AJG9" s="79"/>
      <c r="AJH9" s="79"/>
      <c r="AJI9" s="79"/>
      <c r="AJJ9" s="79"/>
      <c r="AJK9" s="79"/>
      <c r="AJL9" s="79"/>
      <c r="AJM9" s="79"/>
      <c r="AJN9" s="79"/>
      <c r="AJO9" s="79"/>
      <c r="AJP9" s="79"/>
      <c r="AJQ9" s="79"/>
      <c r="AJR9" s="79"/>
      <c r="AJS9" s="79"/>
      <c r="AJT9" s="79"/>
      <c r="AJU9" s="79"/>
      <c r="AJV9" s="79"/>
      <c r="AJW9" s="79"/>
      <c r="AJX9" s="79"/>
      <c r="AJY9" s="79"/>
      <c r="AJZ9" s="79"/>
      <c r="AKA9" s="79"/>
      <c r="AKB9" s="79"/>
      <c r="AKC9" s="79"/>
      <c r="AKD9" s="79"/>
      <c r="AKE9" s="79"/>
      <c r="AKF9" s="79"/>
      <c r="AKG9" s="79"/>
      <c r="AKH9" s="79"/>
      <c r="AKI9" s="79"/>
      <c r="AKJ9" s="79"/>
      <c r="AKK9" s="79"/>
      <c r="AKL9" s="79"/>
      <c r="AKM9" s="79"/>
      <c r="AKN9" s="79"/>
      <c r="AKO9" s="79"/>
      <c r="AKP9" s="79"/>
      <c r="AKQ9" s="79"/>
      <c r="AKR9" s="79"/>
      <c r="AKS9" s="79"/>
      <c r="AKT9" s="79"/>
      <c r="AKU9" s="79"/>
      <c r="AKV9" s="79"/>
      <c r="AKW9" s="79"/>
      <c r="AKX9" s="79"/>
      <c r="AKY9" s="79"/>
      <c r="AKZ9" s="79"/>
      <c r="ALA9" s="79"/>
      <c r="ALB9" s="79"/>
      <c r="ALC9" s="79"/>
      <c r="ALD9" s="79"/>
      <c r="ALE9" s="79"/>
      <c r="ALF9" s="79"/>
      <c r="ALG9" s="79"/>
      <c r="ALH9" s="79"/>
      <c r="ALI9" s="79"/>
      <c r="ALJ9" s="79"/>
      <c r="ALK9" s="79"/>
      <c r="ALL9" s="79"/>
      <c r="ALM9" s="79"/>
      <c r="ALN9" s="79"/>
      <c r="ALO9" s="79"/>
      <c r="ALP9" s="79"/>
      <c r="ALQ9" s="79"/>
      <c r="ALR9" s="79"/>
      <c r="ALS9" s="79"/>
      <c r="ALT9" s="79"/>
      <c r="ALU9" s="79"/>
      <c r="ALV9" s="79"/>
      <c r="ALW9" s="79"/>
      <c r="ALX9" s="79"/>
      <c r="ALY9" s="79"/>
      <c r="ALZ9" s="79"/>
      <c r="AMA9" s="84">
        <v>6021.5567010309296</v>
      </c>
      <c r="AMB9" s="84">
        <v>14628.8969072165</v>
      </c>
      <c r="AMC9" s="84">
        <v>6021.5567010309296</v>
      </c>
      <c r="AMD9" s="84">
        <v>5416.7938144329901</v>
      </c>
      <c r="AME9" s="84">
        <v>6021.5567010309296</v>
      </c>
      <c r="AMF9" s="84">
        <v>5416.7938144329901</v>
      </c>
      <c r="AMG9" s="84">
        <v>25106.732307692298</v>
      </c>
      <c r="AMH9" s="84">
        <v>24675.147076923098</v>
      </c>
      <c r="AMI9" s="84">
        <v>6021.5567010309296</v>
      </c>
      <c r="AMJ9" s="84">
        <v>5416.7938144329901</v>
      </c>
      <c r="AMK9" s="84">
        <v>26265.357142857101</v>
      </c>
      <c r="AML9" s="84">
        <v>9005.4285714285706</v>
      </c>
      <c r="AMM9" s="84">
        <v>26265.357142857101</v>
      </c>
      <c r="AMN9" s="84">
        <v>7477.7857142857101</v>
      </c>
      <c r="AMO9" s="84">
        <v>25106.732307692298</v>
      </c>
      <c r="AMP9" s="84">
        <v>5825.1178021978003</v>
      </c>
      <c r="AMQ9" s="79"/>
      <c r="AMR9" s="79"/>
      <c r="AMS9" s="84">
        <v>26265.357142857101</v>
      </c>
      <c r="AMT9" s="84">
        <v>14688.857142857099</v>
      </c>
      <c r="AMU9" s="79"/>
      <c r="AMV9" s="79"/>
      <c r="AMW9" s="84">
        <v>6021.5567010309296</v>
      </c>
      <c r="AMX9" s="84">
        <v>583.11020358403903</v>
      </c>
      <c r="AMY9" s="84">
        <v>68600.559615384598</v>
      </c>
      <c r="AMZ9" s="84">
        <v>29923.9</v>
      </c>
      <c r="ANA9" s="84">
        <v>68600.559615384598</v>
      </c>
      <c r="ANB9" s="84">
        <v>18169.0116646432</v>
      </c>
      <c r="ANC9" s="84">
        <v>37170.581538461498</v>
      </c>
      <c r="AND9" s="84">
        <v>24675.147076923098</v>
      </c>
      <c r="ANE9" s="84">
        <v>68600.559615384598</v>
      </c>
      <c r="ANF9" s="84">
        <v>33827</v>
      </c>
      <c r="ANG9" s="84">
        <v>37170.581538461498</v>
      </c>
      <c r="ANH9" s="84">
        <v>5825.1178021978003</v>
      </c>
      <c r="ANI9" s="84">
        <v>37170.581538461498</v>
      </c>
      <c r="ANJ9" s="84">
        <v>8329.7848138957997</v>
      </c>
      <c r="ANK9" s="84">
        <v>37170.581538461498</v>
      </c>
      <c r="ANL9" s="84">
        <v>5825.1178021978003</v>
      </c>
      <c r="ANM9" s="79"/>
      <c r="ANN9" s="79"/>
      <c r="ANO9" s="84">
        <v>31958.714285714301</v>
      </c>
      <c r="ANP9" s="84">
        <v>14688.857142857099</v>
      </c>
      <c r="ANQ9" s="79"/>
      <c r="ANR9" s="79"/>
      <c r="ANS9" s="84">
        <v>68600.559615384598</v>
      </c>
      <c r="ANT9" s="84">
        <v>7970.7969680064098</v>
      </c>
      <c r="ANU9" s="84">
        <v>29923.9</v>
      </c>
      <c r="ANV9" s="84">
        <v>18169.0116646432</v>
      </c>
      <c r="ANW9" s="84">
        <v>5825.1178021978003</v>
      </c>
      <c r="ANX9" s="84">
        <v>24675.147076923098</v>
      </c>
      <c r="ANY9" s="84">
        <v>29923.9</v>
      </c>
      <c r="ANZ9" s="84">
        <v>33827</v>
      </c>
      <c r="AOA9" s="84">
        <v>5825.1178021978003</v>
      </c>
      <c r="AOB9" s="84">
        <v>5825.1178021978003</v>
      </c>
      <c r="AOC9" s="84">
        <v>5825.1178021978003</v>
      </c>
      <c r="AOD9" s="84">
        <v>8329.7848138957997</v>
      </c>
      <c r="AOE9" s="84">
        <v>5825.1178021978003</v>
      </c>
      <c r="AOF9" s="84">
        <v>5825.1178021978003</v>
      </c>
      <c r="AOG9" s="79"/>
      <c r="AOH9" s="79"/>
      <c r="AOI9" s="84">
        <v>10845.357142857099</v>
      </c>
      <c r="AOJ9" s="84">
        <v>14688.857142857099</v>
      </c>
      <c r="AOK9" s="79"/>
      <c r="AOL9" s="79"/>
      <c r="AOM9" s="84">
        <v>29923.9</v>
      </c>
      <c r="AON9" s="84">
        <v>7970.7969680064098</v>
      </c>
      <c r="AOO9" s="84">
        <v>6741.58210361069</v>
      </c>
      <c r="AOP9" s="84">
        <v>24675.147076923098</v>
      </c>
      <c r="AOQ9" s="84">
        <v>18169.0116646432</v>
      </c>
      <c r="AOR9" s="84">
        <v>33827</v>
      </c>
      <c r="AOS9" s="84">
        <v>6741.58210361069</v>
      </c>
      <c r="AOT9" s="84">
        <v>5825.1178021978003</v>
      </c>
      <c r="AOU9" s="84">
        <v>6741.58210361069</v>
      </c>
      <c r="AOV9" s="84">
        <v>8329.7848138957997</v>
      </c>
      <c r="AOW9" s="84">
        <v>6741.58210361069</v>
      </c>
      <c r="AOX9" s="84">
        <v>5825.1178021978003</v>
      </c>
      <c r="AOY9" s="79"/>
      <c r="AOZ9" s="79"/>
      <c r="APA9" s="84">
        <v>10845.357142857099</v>
      </c>
      <c r="APB9" s="84">
        <v>14688.857142857099</v>
      </c>
      <c r="APC9" s="79"/>
      <c r="APD9" s="79"/>
      <c r="APE9" s="84">
        <v>18169.0116646432</v>
      </c>
      <c r="APF9" s="84">
        <v>7970.7969680064098</v>
      </c>
      <c r="APG9" s="84">
        <v>24675.147076923098</v>
      </c>
      <c r="APH9" s="84">
        <v>8329.7848138957997</v>
      </c>
      <c r="API9" s="84">
        <v>26265.357142857101</v>
      </c>
      <c r="APJ9" s="84">
        <v>9005.4285714285706</v>
      </c>
      <c r="APK9" s="79"/>
      <c r="APL9" s="79"/>
      <c r="APM9" s="84">
        <v>24675.147076923098</v>
      </c>
      <c r="APN9" s="84">
        <v>5825.1178021978003</v>
      </c>
      <c r="APO9" s="79"/>
      <c r="APP9" s="79"/>
      <c r="APQ9" s="79"/>
      <c r="APR9" s="79"/>
      <c r="APS9" s="79"/>
      <c r="APT9" s="79"/>
      <c r="APU9" s="84">
        <v>24675.147076923098</v>
      </c>
      <c r="APV9" s="84">
        <v>1305.0022135408699</v>
      </c>
      <c r="APW9" s="84">
        <v>8329.7848138957997</v>
      </c>
      <c r="APX9" s="84">
        <v>5825.1178021978003</v>
      </c>
      <c r="APY9" s="84">
        <v>8329.7848138957997</v>
      </c>
      <c r="APZ9" s="84">
        <v>8329.7848138957997</v>
      </c>
      <c r="AQA9" s="84">
        <v>8329.7848138957997</v>
      </c>
      <c r="AQB9" s="84">
        <v>5825.1178021978003</v>
      </c>
      <c r="AQC9" s="79"/>
      <c r="AQD9" s="79"/>
      <c r="AQE9" s="84">
        <v>17704.857142857101</v>
      </c>
      <c r="AQF9" s="84">
        <v>14688.857142857099</v>
      </c>
      <c r="AQG9" s="79"/>
      <c r="AQH9" s="79"/>
      <c r="AQI9" s="84">
        <v>33827</v>
      </c>
      <c r="AQJ9" s="84">
        <v>7970.7969680064098</v>
      </c>
      <c r="AQK9" s="79"/>
      <c r="AQL9" s="79"/>
      <c r="AQM9" s="84">
        <v>9005.4285714285706</v>
      </c>
      <c r="AQN9" s="84">
        <v>9005.4285714285706</v>
      </c>
      <c r="AQO9" s="79"/>
      <c r="AQP9" s="79"/>
      <c r="AQQ9" s="79"/>
      <c r="AQR9" s="79"/>
      <c r="AQS9" s="79"/>
      <c r="AQT9" s="79"/>
      <c r="AQU9" s="84">
        <v>5825.1178021978003</v>
      </c>
      <c r="AQV9" s="84">
        <v>1305.0022135408699</v>
      </c>
      <c r="AQW9" s="79"/>
      <c r="AQX9" s="79"/>
      <c r="AQY9" s="79"/>
      <c r="AQZ9" s="79"/>
      <c r="ARA9" s="79"/>
      <c r="ARB9" s="79"/>
      <c r="ARC9" s="79"/>
      <c r="ARD9" s="79"/>
      <c r="ARE9" s="84">
        <v>8329.7848138957997</v>
      </c>
      <c r="ARF9" s="84">
        <v>1305.0022135408699</v>
      </c>
      <c r="ARG9" s="79"/>
      <c r="ARH9" s="79"/>
      <c r="ARI9" s="79"/>
      <c r="ARJ9" s="79"/>
      <c r="ARK9" s="79"/>
      <c r="ARL9" s="79"/>
      <c r="ARM9" s="84">
        <v>5825.1178021978003</v>
      </c>
      <c r="ARN9" s="84">
        <v>1305.0022135408699</v>
      </c>
      <c r="ARO9" s="79"/>
      <c r="ARP9" s="79"/>
      <c r="ARQ9" s="79"/>
      <c r="ARR9" s="79"/>
      <c r="ARS9" s="79"/>
      <c r="ART9" s="79"/>
      <c r="ARU9" s="79"/>
      <c r="ARV9" s="79"/>
      <c r="ARW9" s="84">
        <v>14688.857142857099</v>
      </c>
      <c r="ARX9" s="84">
        <v>3894.6696302985802</v>
      </c>
    </row>
    <row r="10" spans="1:1170" ht="15.75" customHeight="1" x14ac:dyDescent="0.35">
      <c r="A10" s="97" t="s">
        <v>1</v>
      </c>
      <c r="B10" s="96">
        <v>0.95496137827239602</v>
      </c>
      <c r="C10" s="94">
        <v>1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79"/>
      <c r="P10" s="79"/>
      <c r="Q10" s="79"/>
      <c r="R10" s="79"/>
      <c r="S10" s="79"/>
      <c r="T10" s="79"/>
      <c r="U10" s="79"/>
      <c r="V10" s="79"/>
      <c r="W10" s="102" t="s">
        <v>755</v>
      </c>
      <c r="X10" s="83">
        <v>0.81580421391816305</v>
      </c>
      <c r="Y10" s="84">
        <v>12</v>
      </c>
      <c r="Z10" s="83">
        <v>1.21464543022108E-3</v>
      </c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79"/>
      <c r="FP10" s="79"/>
      <c r="FQ10" s="79"/>
      <c r="FR10" s="79"/>
      <c r="FS10" s="79"/>
      <c r="FT10" s="79"/>
      <c r="FU10" s="79"/>
      <c r="FV10" s="79"/>
      <c r="FW10" s="79"/>
      <c r="FX10" s="79"/>
      <c r="FY10" s="79"/>
      <c r="FZ10" s="79"/>
      <c r="GA10" s="79"/>
      <c r="GB10" s="79"/>
      <c r="GC10" s="79"/>
      <c r="GD10" s="79"/>
      <c r="GE10" s="79"/>
      <c r="GF10" s="79"/>
      <c r="GG10" s="79"/>
      <c r="GH10" s="79"/>
      <c r="GI10" s="79"/>
      <c r="GJ10" s="79"/>
      <c r="GK10" s="79"/>
      <c r="GL10" s="79"/>
      <c r="GM10" s="79"/>
      <c r="GN10" s="79"/>
      <c r="GO10" s="79"/>
      <c r="GP10" s="79"/>
      <c r="GQ10" s="79"/>
      <c r="GR10" s="79"/>
      <c r="GS10" s="79"/>
      <c r="GT10" s="79"/>
      <c r="GU10" s="79"/>
      <c r="GV10" s="79"/>
      <c r="GW10" s="79"/>
      <c r="GX10" s="79"/>
      <c r="GY10" s="79"/>
      <c r="GZ10" s="79"/>
      <c r="HA10" s="79"/>
      <c r="HB10" s="79"/>
      <c r="HC10" s="79"/>
      <c r="HD10" s="79"/>
      <c r="HE10" s="79"/>
      <c r="HF10" s="79"/>
      <c r="HG10" s="79"/>
      <c r="HH10" s="79"/>
      <c r="HI10" s="79"/>
      <c r="HJ10" s="79"/>
      <c r="HK10" s="79"/>
      <c r="HL10" s="79"/>
      <c r="HM10" s="79"/>
      <c r="HN10" s="79"/>
      <c r="HO10" s="79"/>
      <c r="HP10" s="79"/>
      <c r="HQ10" s="79"/>
      <c r="HR10" s="79"/>
      <c r="HS10" s="79"/>
      <c r="HT10" s="79"/>
      <c r="HU10" s="79"/>
      <c r="HV10" s="79"/>
      <c r="HW10" s="79"/>
      <c r="HX10" s="79"/>
      <c r="HY10" s="79"/>
      <c r="HZ10" s="79"/>
      <c r="IA10" s="79"/>
      <c r="IB10" s="79"/>
      <c r="IC10" s="79"/>
      <c r="ID10" s="79"/>
      <c r="IE10" s="79"/>
      <c r="IF10" s="79"/>
      <c r="IG10" s="79"/>
      <c r="IH10" s="79"/>
      <c r="II10" s="79"/>
      <c r="IJ10" s="79"/>
      <c r="IK10" s="79"/>
      <c r="IL10" s="79"/>
      <c r="IM10" s="79"/>
      <c r="IN10" s="79"/>
      <c r="IO10" s="79"/>
      <c r="IP10" s="79"/>
      <c r="IQ10" s="79"/>
      <c r="IR10" s="79"/>
      <c r="IS10" s="79"/>
      <c r="IT10" s="79"/>
      <c r="IU10" s="79"/>
      <c r="IV10" s="79"/>
      <c r="IW10" s="79"/>
      <c r="IX10" s="79"/>
      <c r="IY10" s="79"/>
      <c r="IZ10" s="79"/>
      <c r="JA10" s="79"/>
      <c r="JB10" s="79"/>
      <c r="JC10" s="79"/>
      <c r="JD10" s="79"/>
      <c r="JE10" s="79"/>
      <c r="JF10" s="79"/>
      <c r="JG10" s="79"/>
      <c r="JH10" s="79"/>
      <c r="JI10" s="79"/>
      <c r="JJ10" s="79"/>
      <c r="JK10" s="79"/>
      <c r="JL10" s="79"/>
      <c r="JM10" s="79"/>
      <c r="JN10" s="79"/>
      <c r="JO10" s="79"/>
      <c r="JP10" s="79"/>
      <c r="JQ10" s="79"/>
      <c r="JR10" s="79"/>
      <c r="JS10" s="79"/>
      <c r="JT10" s="79"/>
      <c r="JU10" s="79"/>
      <c r="JV10" s="79"/>
      <c r="JW10" s="79"/>
      <c r="JX10" s="79"/>
      <c r="JY10" s="79"/>
      <c r="JZ10" s="79"/>
      <c r="KA10" s="79"/>
      <c r="KB10" s="79"/>
      <c r="KC10" s="79"/>
      <c r="KD10" s="79"/>
      <c r="KE10" s="79"/>
      <c r="KF10" s="79"/>
      <c r="KG10" s="79"/>
      <c r="KH10" s="79"/>
      <c r="KI10" s="79"/>
      <c r="KJ10" s="79"/>
      <c r="KK10" s="79"/>
      <c r="KL10" s="79"/>
      <c r="KM10" s="79"/>
      <c r="KN10" s="79"/>
      <c r="KO10" s="79"/>
      <c r="KP10" s="79"/>
      <c r="KQ10" s="79"/>
      <c r="KR10" s="79"/>
      <c r="KS10" s="79"/>
      <c r="KT10" s="79"/>
      <c r="KU10" s="79"/>
      <c r="KV10" s="79"/>
      <c r="KW10" s="79"/>
      <c r="KX10" s="79"/>
      <c r="KY10" s="79"/>
      <c r="KZ10" s="79"/>
      <c r="LA10" s="79"/>
      <c r="LB10" s="79"/>
      <c r="LC10" s="79"/>
      <c r="LD10" s="79"/>
      <c r="LE10" s="79"/>
      <c r="LF10" s="79"/>
      <c r="LG10" s="79"/>
      <c r="LH10" s="79"/>
      <c r="LI10" s="79"/>
      <c r="LJ10" s="79"/>
      <c r="LK10" s="79"/>
      <c r="LL10" s="79"/>
      <c r="LM10" s="79"/>
      <c r="LN10" s="79"/>
      <c r="LO10" s="79"/>
      <c r="LP10" s="79"/>
      <c r="LQ10" s="79"/>
      <c r="LR10" s="79"/>
      <c r="LS10" s="79"/>
      <c r="LT10" s="79"/>
      <c r="LU10" s="79"/>
      <c r="LV10" s="79"/>
      <c r="LW10" s="79"/>
      <c r="LX10" s="79"/>
      <c r="LY10" s="79"/>
      <c r="LZ10" s="79"/>
      <c r="MA10" s="79"/>
      <c r="MB10" s="79"/>
      <c r="MC10" s="79"/>
      <c r="MD10" s="79"/>
      <c r="ME10" s="79"/>
      <c r="MF10" s="79"/>
      <c r="MG10" s="79"/>
      <c r="MH10" s="79"/>
      <c r="MI10" s="79"/>
      <c r="MJ10" s="79"/>
      <c r="MK10" s="79"/>
      <c r="ML10" s="79"/>
      <c r="MM10" s="79"/>
      <c r="MN10" s="79"/>
      <c r="MO10" s="79"/>
      <c r="MP10" s="79"/>
      <c r="MQ10" s="79"/>
      <c r="MR10" s="79"/>
      <c r="MS10" s="79"/>
      <c r="MT10" s="79"/>
      <c r="MU10" s="79"/>
      <c r="MV10" s="79"/>
      <c r="MW10" s="79"/>
      <c r="MX10" s="79"/>
      <c r="MY10" s="79"/>
      <c r="MZ10" s="79"/>
      <c r="NA10" s="79"/>
      <c r="NB10" s="79"/>
      <c r="NC10" s="79"/>
      <c r="ND10" s="79"/>
      <c r="NE10" s="79"/>
      <c r="NF10" s="79"/>
      <c r="NG10" s="79"/>
      <c r="NH10" s="79"/>
      <c r="NI10" s="79"/>
      <c r="NJ10" s="79"/>
      <c r="NK10" s="79"/>
      <c r="NL10" s="79"/>
      <c r="NM10" s="79"/>
      <c r="NN10" s="79"/>
      <c r="NO10" s="79"/>
      <c r="NP10" s="79"/>
      <c r="NQ10" s="79"/>
      <c r="NR10" s="79"/>
      <c r="NS10" s="79"/>
      <c r="NT10" s="79"/>
      <c r="NU10" s="79"/>
      <c r="NV10" s="79"/>
      <c r="NW10" s="79"/>
      <c r="NX10" s="79"/>
      <c r="NY10" s="79"/>
      <c r="NZ10" s="79"/>
      <c r="OA10" s="79"/>
      <c r="OB10" s="79"/>
      <c r="OC10" s="79"/>
      <c r="OD10" s="79"/>
      <c r="OE10" s="79"/>
      <c r="OF10" s="79"/>
      <c r="OG10" s="79"/>
      <c r="OH10" s="79"/>
      <c r="OI10" s="79"/>
      <c r="OJ10" s="79"/>
      <c r="OK10" s="79"/>
      <c r="OL10" s="79"/>
      <c r="OM10" s="79"/>
      <c r="ON10" s="79"/>
      <c r="OO10" s="79"/>
      <c r="OP10" s="79"/>
      <c r="OQ10" s="79"/>
      <c r="OR10" s="79"/>
      <c r="OS10" s="79"/>
      <c r="OT10" s="79"/>
      <c r="OU10" s="79"/>
      <c r="OV10" s="79"/>
      <c r="OW10" s="79"/>
      <c r="OX10" s="79"/>
      <c r="OY10" s="79"/>
      <c r="OZ10" s="79"/>
      <c r="PA10" s="79"/>
      <c r="PB10" s="79"/>
      <c r="PC10" s="79"/>
      <c r="PD10" s="79"/>
      <c r="PE10" s="79"/>
      <c r="PF10" s="79"/>
      <c r="PG10" s="79"/>
      <c r="PH10" s="79"/>
      <c r="PI10" s="79"/>
      <c r="PJ10" s="79"/>
      <c r="PK10" s="79"/>
      <c r="PL10" s="79"/>
      <c r="PM10" s="79"/>
      <c r="PN10" s="79"/>
      <c r="PO10" s="79"/>
      <c r="PP10" s="79"/>
      <c r="PQ10" s="79"/>
      <c r="PR10" s="79"/>
      <c r="PS10" s="79"/>
      <c r="PT10" s="79"/>
      <c r="PU10" s="79"/>
      <c r="PV10" s="79"/>
      <c r="PW10" s="79"/>
      <c r="PX10" s="79"/>
      <c r="PY10" s="79"/>
      <c r="PZ10" s="79"/>
      <c r="QA10" s="79"/>
      <c r="QB10" s="79"/>
      <c r="QC10" s="79"/>
      <c r="QD10" s="79"/>
      <c r="QE10" s="79"/>
      <c r="QF10" s="79"/>
      <c r="QG10" s="79"/>
      <c r="QH10" s="79"/>
      <c r="QI10" s="79"/>
      <c r="QJ10" s="79"/>
      <c r="QK10" s="79"/>
      <c r="QL10" s="79"/>
      <c r="QM10" s="79"/>
      <c r="QN10" s="79"/>
      <c r="QO10" s="79"/>
      <c r="QP10" s="79"/>
      <c r="QQ10" s="79"/>
      <c r="QR10" s="79"/>
      <c r="QS10" s="79"/>
      <c r="QT10" s="79"/>
      <c r="QU10" s="79"/>
      <c r="QV10" s="79"/>
      <c r="QW10" s="79"/>
      <c r="QX10" s="79"/>
      <c r="QY10" s="79"/>
      <c r="QZ10" s="79"/>
      <c r="RA10" s="79"/>
      <c r="RB10" s="79"/>
      <c r="RC10" s="79"/>
      <c r="RD10" s="79"/>
      <c r="RE10" s="79"/>
      <c r="RF10" s="79"/>
      <c r="RG10" s="79"/>
      <c r="RH10" s="79"/>
      <c r="RI10" s="79"/>
      <c r="RJ10" s="79"/>
      <c r="RK10" s="79"/>
      <c r="RL10" s="79"/>
      <c r="RM10" s="79"/>
      <c r="RN10" s="79"/>
      <c r="RO10" s="79"/>
      <c r="RP10" s="79"/>
      <c r="RQ10" s="79"/>
      <c r="RR10" s="79"/>
      <c r="RS10" s="79"/>
      <c r="RT10" s="79"/>
      <c r="RU10" s="79"/>
      <c r="RV10" s="79"/>
      <c r="RW10" s="79"/>
      <c r="RX10" s="79"/>
      <c r="RY10" s="79"/>
      <c r="RZ10" s="79"/>
      <c r="SA10" s="79"/>
      <c r="SB10" s="79"/>
      <c r="SC10" s="79"/>
      <c r="SD10" s="79"/>
      <c r="SE10" s="79"/>
      <c r="SF10" s="79"/>
      <c r="SG10" s="79"/>
      <c r="SH10" s="79"/>
      <c r="SI10" s="79"/>
      <c r="SJ10" s="79"/>
      <c r="SK10" s="79"/>
      <c r="SL10" s="79"/>
      <c r="SM10" s="79"/>
      <c r="SN10" s="79"/>
      <c r="SO10" s="79"/>
      <c r="SP10" s="79"/>
      <c r="SQ10" s="79"/>
      <c r="SR10" s="79"/>
      <c r="SS10" s="79"/>
      <c r="ST10" s="79"/>
      <c r="SU10" s="79"/>
      <c r="SV10" s="79"/>
      <c r="SW10" s="79"/>
      <c r="SX10" s="79"/>
      <c r="SY10" s="79"/>
      <c r="SZ10" s="79"/>
      <c r="TA10" s="79"/>
      <c r="TB10" s="79"/>
      <c r="TC10" s="79"/>
      <c r="TD10" s="79"/>
      <c r="TE10" s="79"/>
      <c r="TF10" s="79"/>
      <c r="TG10" s="79"/>
      <c r="TH10" s="79"/>
      <c r="TI10" s="79"/>
      <c r="TJ10" s="79"/>
      <c r="TK10" s="79"/>
      <c r="TL10" s="79"/>
      <c r="TM10" s="79"/>
      <c r="TN10" s="79"/>
      <c r="TO10" s="79"/>
      <c r="TP10" s="79"/>
      <c r="TQ10" s="79"/>
      <c r="TR10" s="79"/>
      <c r="TS10" s="79"/>
      <c r="TT10" s="79"/>
      <c r="TU10" s="79"/>
      <c r="TV10" s="79"/>
      <c r="TW10" s="79"/>
      <c r="TX10" s="79"/>
      <c r="TY10" s="79"/>
      <c r="TZ10" s="79"/>
      <c r="UA10" s="79"/>
      <c r="UB10" s="79"/>
      <c r="UC10" s="79"/>
      <c r="UD10" s="79"/>
      <c r="UE10" s="79"/>
      <c r="UF10" s="79"/>
      <c r="UG10" s="79"/>
      <c r="UH10" s="79"/>
      <c r="UI10" s="79"/>
      <c r="UJ10" s="79"/>
      <c r="UK10" s="79"/>
      <c r="UL10" s="79"/>
      <c r="UM10" s="79"/>
      <c r="UN10" s="79"/>
      <c r="UO10" s="79"/>
      <c r="UP10" s="79"/>
      <c r="UQ10" s="79"/>
      <c r="UR10" s="79"/>
      <c r="US10" s="79"/>
      <c r="UT10" s="79"/>
      <c r="UU10" s="79"/>
      <c r="UV10" s="79"/>
      <c r="UW10" s="79"/>
      <c r="UX10" s="79"/>
      <c r="UY10" s="79"/>
      <c r="UZ10" s="79"/>
      <c r="VA10" s="79"/>
      <c r="VB10" s="79"/>
      <c r="VC10" s="79"/>
      <c r="VD10" s="79"/>
      <c r="VE10" s="79"/>
      <c r="VF10" s="79"/>
      <c r="VG10" s="79"/>
      <c r="VH10" s="79"/>
      <c r="VI10" s="79"/>
      <c r="VJ10" s="79"/>
      <c r="VK10" s="79"/>
      <c r="VL10" s="79"/>
      <c r="VM10" s="79"/>
      <c r="VN10" s="79"/>
      <c r="VO10" s="79"/>
      <c r="VP10" s="79"/>
      <c r="VQ10" s="79"/>
      <c r="VR10" s="79"/>
      <c r="VS10" s="79"/>
      <c r="VT10" s="79"/>
      <c r="VU10" s="79"/>
      <c r="VV10" s="79"/>
      <c r="VW10" s="79"/>
      <c r="VX10" s="79"/>
      <c r="VY10" s="79"/>
      <c r="VZ10" s="79"/>
      <c r="WA10" s="79"/>
      <c r="WB10" s="79"/>
      <c r="WC10" s="79"/>
      <c r="WD10" s="79"/>
      <c r="WE10" s="79"/>
      <c r="WF10" s="79"/>
      <c r="WG10" s="79"/>
      <c r="WH10" s="79"/>
      <c r="WI10" s="79"/>
      <c r="WJ10" s="79"/>
      <c r="WK10" s="79"/>
      <c r="WL10" s="79"/>
      <c r="WM10" s="79"/>
      <c r="WN10" s="79"/>
      <c r="WO10" s="79"/>
      <c r="WP10" s="79"/>
      <c r="WQ10" s="79"/>
      <c r="WR10" s="79"/>
      <c r="WS10" s="79"/>
      <c r="WT10" s="79"/>
      <c r="WU10" s="79"/>
      <c r="WV10" s="79"/>
      <c r="WW10" s="79"/>
      <c r="WX10" s="79"/>
      <c r="WY10" s="79"/>
      <c r="WZ10" s="79"/>
      <c r="XA10" s="79"/>
      <c r="XB10" s="79"/>
      <c r="XC10" s="79"/>
      <c r="XD10" s="79"/>
      <c r="XE10" s="79"/>
      <c r="XF10" s="79"/>
      <c r="XG10" s="79"/>
      <c r="XH10" s="79"/>
      <c r="XI10" s="79"/>
      <c r="XJ10" s="79"/>
      <c r="XK10" s="79"/>
      <c r="XL10" s="79"/>
      <c r="XM10" s="79"/>
      <c r="XN10" s="79"/>
      <c r="XO10" s="79"/>
      <c r="XP10" s="79"/>
      <c r="XQ10" s="79"/>
      <c r="XR10" s="79"/>
      <c r="XS10" s="79"/>
      <c r="XT10" s="79"/>
      <c r="XU10" s="79"/>
      <c r="XV10" s="79"/>
      <c r="XW10" s="79"/>
      <c r="XX10" s="79"/>
      <c r="XY10" s="79"/>
      <c r="XZ10" s="79"/>
      <c r="YA10" s="79"/>
      <c r="YB10" s="79"/>
      <c r="YC10" s="79"/>
      <c r="YD10" s="79"/>
      <c r="YE10" s="79"/>
      <c r="YF10" s="79"/>
      <c r="YG10" s="79"/>
      <c r="YH10" s="79"/>
      <c r="YI10" s="79"/>
      <c r="YJ10" s="79"/>
      <c r="YK10" s="79"/>
      <c r="YL10" s="79"/>
      <c r="YM10" s="79"/>
      <c r="YN10" s="79"/>
      <c r="YO10" s="79"/>
      <c r="YP10" s="79"/>
      <c r="YQ10" s="79"/>
      <c r="YR10" s="79"/>
      <c r="YS10" s="79"/>
      <c r="YT10" s="79"/>
      <c r="YU10" s="79"/>
      <c r="YV10" s="79"/>
      <c r="YW10" s="79"/>
      <c r="YX10" s="79"/>
      <c r="YY10" s="79"/>
      <c r="YZ10" s="79"/>
      <c r="ZA10" s="79"/>
      <c r="ZB10" s="79"/>
      <c r="ZC10" s="79"/>
      <c r="ZD10" s="79"/>
      <c r="ZE10" s="79"/>
      <c r="ZF10" s="79"/>
      <c r="ZG10" s="79"/>
      <c r="ZH10" s="79"/>
      <c r="ZI10" s="79"/>
      <c r="ZJ10" s="79"/>
      <c r="ZK10" s="79"/>
      <c r="ZL10" s="79"/>
      <c r="ZM10" s="79"/>
      <c r="ZN10" s="79"/>
      <c r="ZO10" s="79"/>
      <c r="ZP10" s="79"/>
      <c r="ZQ10" s="79"/>
      <c r="ZR10" s="79"/>
      <c r="ZS10" s="79"/>
      <c r="ZT10" s="79"/>
      <c r="ZU10" s="79"/>
      <c r="ZV10" s="79"/>
      <c r="ZW10" s="79"/>
      <c r="ZX10" s="79"/>
      <c r="ZY10" s="79"/>
      <c r="ZZ10" s="79"/>
      <c r="AAA10" s="79"/>
      <c r="AAB10" s="79"/>
      <c r="AAC10" s="79"/>
      <c r="AAD10" s="79"/>
      <c r="AAE10" s="79"/>
      <c r="AAF10" s="79"/>
      <c r="AAG10" s="79"/>
      <c r="AAH10" s="79"/>
      <c r="AAI10" s="79"/>
      <c r="AAJ10" s="79"/>
      <c r="AAK10" s="79"/>
      <c r="AAL10" s="79"/>
      <c r="AAM10" s="79"/>
      <c r="AAN10" s="79"/>
      <c r="AAO10" s="79"/>
      <c r="AAP10" s="79"/>
      <c r="AAQ10" s="79"/>
      <c r="AAR10" s="79"/>
      <c r="AAS10" s="79"/>
      <c r="AAT10" s="79"/>
      <c r="AAU10" s="79"/>
      <c r="AAV10" s="79"/>
      <c r="AAW10" s="79"/>
      <c r="AAX10" s="79"/>
      <c r="AAY10" s="79"/>
      <c r="AAZ10" s="79"/>
      <c r="ABA10" s="79"/>
      <c r="ABB10" s="79"/>
      <c r="ABC10" s="79"/>
      <c r="ABD10" s="79"/>
      <c r="ABE10" s="79"/>
      <c r="ABF10" s="79"/>
      <c r="ABG10" s="79"/>
      <c r="ABH10" s="79"/>
      <c r="ABI10" s="79"/>
      <c r="ABJ10" s="79"/>
      <c r="ABK10" s="79"/>
      <c r="ABL10" s="79"/>
      <c r="ABM10" s="79"/>
      <c r="ABN10" s="79"/>
      <c r="ABO10" s="79"/>
      <c r="ABP10" s="79"/>
      <c r="ABQ10" s="79"/>
      <c r="ABR10" s="79"/>
      <c r="ABS10" s="79"/>
      <c r="ABT10" s="79"/>
      <c r="ABU10" s="79"/>
      <c r="ABV10" s="79"/>
      <c r="ABW10" s="79"/>
      <c r="ABX10" s="79"/>
      <c r="ABY10" s="79"/>
      <c r="ABZ10" s="79"/>
      <c r="ACA10" s="79"/>
      <c r="ACB10" s="79"/>
      <c r="ACC10" s="79"/>
      <c r="ACD10" s="79"/>
      <c r="ACE10" s="79"/>
      <c r="ACF10" s="79"/>
      <c r="ACG10" s="79"/>
      <c r="ACH10" s="79"/>
      <c r="ACI10" s="79"/>
      <c r="ACJ10" s="79"/>
      <c r="ACK10" s="79"/>
      <c r="ACL10" s="79"/>
      <c r="ACM10" s="79"/>
      <c r="ACN10" s="79"/>
      <c r="ACO10" s="79"/>
      <c r="ACP10" s="79"/>
      <c r="ACQ10" s="79"/>
      <c r="ACR10" s="79"/>
      <c r="ACS10" s="79"/>
      <c r="ACT10" s="79"/>
      <c r="ACU10" s="79"/>
      <c r="ACV10" s="79"/>
      <c r="ACW10" s="79"/>
      <c r="ACX10" s="79"/>
      <c r="ACY10" s="79"/>
      <c r="ACZ10" s="79"/>
      <c r="ADA10" s="79"/>
      <c r="ADB10" s="79"/>
      <c r="ADC10" s="79"/>
      <c r="ADD10" s="79"/>
      <c r="ADE10" s="79"/>
      <c r="ADF10" s="79"/>
      <c r="ADG10" s="79"/>
      <c r="ADH10" s="79"/>
      <c r="ADI10" s="79"/>
      <c r="ADJ10" s="79"/>
      <c r="ADK10" s="79"/>
      <c r="ADL10" s="79"/>
      <c r="ADM10" s="79"/>
      <c r="ADN10" s="79"/>
      <c r="ADO10" s="79"/>
      <c r="ADP10" s="79"/>
      <c r="ADQ10" s="79"/>
      <c r="ADR10" s="79"/>
      <c r="ADS10" s="79"/>
      <c r="ADT10" s="79"/>
      <c r="ADU10" s="79"/>
      <c r="ADV10" s="79"/>
      <c r="ADW10" s="79"/>
      <c r="ADX10" s="79"/>
      <c r="ADY10" s="79"/>
      <c r="ADZ10" s="79"/>
      <c r="AEA10" s="79"/>
      <c r="AEB10" s="79"/>
      <c r="AEC10" s="79"/>
      <c r="AED10" s="79"/>
      <c r="AEE10" s="79"/>
      <c r="AEF10" s="79"/>
      <c r="AEG10" s="79"/>
      <c r="AEH10" s="79"/>
      <c r="AEI10" s="79"/>
      <c r="AEJ10" s="79"/>
      <c r="AEK10" s="79"/>
      <c r="AEL10" s="79"/>
      <c r="AEM10" s="79"/>
      <c r="AEN10" s="79"/>
      <c r="AEO10" s="79"/>
      <c r="AEP10" s="79"/>
      <c r="AEQ10" s="79"/>
      <c r="AER10" s="79"/>
      <c r="AES10" s="79"/>
      <c r="AET10" s="79"/>
      <c r="AEU10" s="79"/>
      <c r="AEV10" s="79"/>
      <c r="AEW10" s="79"/>
      <c r="AEX10" s="79"/>
      <c r="AEY10" s="79"/>
      <c r="AEZ10" s="79"/>
      <c r="AFA10" s="79"/>
      <c r="AFB10" s="79"/>
      <c r="AFC10" s="79"/>
      <c r="AFD10" s="79"/>
      <c r="AFE10" s="79"/>
      <c r="AFF10" s="79"/>
      <c r="AFG10" s="79"/>
      <c r="AFH10" s="79"/>
      <c r="AFI10" s="79"/>
      <c r="AFJ10" s="79"/>
      <c r="AFK10" s="79"/>
      <c r="AFL10" s="79"/>
      <c r="AFM10" s="79"/>
      <c r="AFN10" s="79"/>
      <c r="AFO10" s="79"/>
      <c r="AFP10" s="79"/>
      <c r="AFQ10" s="79"/>
      <c r="AFR10" s="79"/>
      <c r="AFS10" s="79"/>
      <c r="AFT10" s="79"/>
      <c r="AFU10" s="79"/>
      <c r="AFV10" s="79"/>
      <c r="AFW10" s="79"/>
      <c r="AFX10" s="79"/>
      <c r="AFY10" s="79"/>
      <c r="AFZ10" s="79"/>
      <c r="AGA10" s="79"/>
      <c r="AGB10" s="79"/>
      <c r="AGC10" s="79"/>
      <c r="AGD10" s="79"/>
      <c r="AGE10" s="79"/>
      <c r="AGF10" s="79"/>
      <c r="AGG10" s="79"/>
      <c r="AGH10" s="79"/>
      <c r="AGI10" s="79"/>
      <c r="AGJ10" s="79"/>
      <c r="AGK10" s="79"/>
      <c r="AGL10" s="79"/>
      <c r="AGM10" s="79"/>
      <c r="AGN10" s="79"/>
      <c r="AGO10" s="79"/>
      <c r="AGP10" s="79"/>
      <c r="AGQ10" s="79"/>
      <c r="AGR10" s="79"/>
      <c r="AGS10" s="79"/>
      <c r="AGT10" s="79"/>
      <c r="AGU10" s="79"/>
      <c r="AGV10" s="79"/>
      <c r="AGW10" s="79"/>
      <c r="AGX10" s="79"/>
      <c r="AGY10" s="79"/>
      <c r="AGZ10" s="79"/>
      <c r="AHA10" s="79"/>
      <c r="AHB10" s="79"/>
      <c r="AHC10" s="79"/>
      <c r="AHD10" s="79"/>
      <c r="AHE10" s="79"/>
      <c r="AHF10" s="79"/>
      <c r="AHG10" s="79"/>
      <c r="AHH10" s="79"/>
      <c r="AHI10" s="79"/>
      <c r="AHJ10" s="79"/>
      <c r="AHK10" s="79"/>
      <c r="AHL10" s="79"/>
      <c r="AHM10" s="79"/>
      <c r="AHN10" s="79"/>
      <c r="AHO10" s="79"/>
      <c r="AHP10" s="79"/>
      <c r="AHQ10" s="79"/>
      <c r="AHR10" s="79"/>
      <c r="AHS10" s="79"/>
      <c r="AHT10" s="79"/>
      <c r="AHU10" s="79"/>
      <c r="AHV10" s="79"/>
      <c r="AHW10" s="79"/>
      <c r="AHX10" s="79"/>
      <c r="AHY10" s="79"/>
      <c r="AHZ10" s="79"/>
      <c r="AIA10" s="79"/>
      <c r="AIB10" s="79"/>
      <c r="AIC10" s="79"/>
      <c r="AID10" s="79"/>
      <c r="AIE10" s="79"/>
      <c r="AIF10" s="79"/>
      <c r="AIG10" s="79"/>
      <c r="AIH10" s="79"/>
      <c r="AII10" s="79"/>
      <c r="AIJ10" s="79"/>
      <c r="AIK10" s="79"/>
      <c r="AIL10" s="79"/>
      <c r="AIM10" s="79"/>
      <c r="AIN10" s="79"/>
      <c r="AIO10" s="79"/>
      <c r="AIP10" s="79"/>
      <c r="AIQ10" s="79"/>
      <c r="AIR10" s="79"/>
      <c r="AIS10" s="79"/>
      <c r="AIT10" s="79"/>
      <c r="AIU10" s="79"/>
      <c r="AIV10" s="79"/>
      <c r="AIW10" s="79"/>
      <c r="AIX10" s="79"/>
      <c r="AIY10" s="79"/>
      <c r="AIZ10" s="79"/>
      <c r="AJA10" s="79"/>
      <c r="AJB10" s="79"/>
      <c r="AJC10" s="79"/>
      <c r="AJD10" s="79"/>
      <c r="AJE10" s="79"/>
      <c r="AJF10" s="79"/>
      <c r="AJG10" s="79"/>
      <c r="AJH10" s="79"/>
      <c r="AJI10" s="79"/>
      <c r="AJJ10" s="79"/>
      <c r="AJK10" s="79"/>
      <c r="AJL10" s="79"/>
      <c r="AJM10" s="79"/>
      <c r="AJN10" s="79"/>
      <c r="AJO10" s="79"/>
      <c r="AJP10" s="79"/>
      <c r="AJQ10" s="79"/>
      <c r="AJR10" s="79"/>
      <c r="AJS10" s="79"/>
      <c r="AJT10" s="79"/>
      <c r="AJU10" s="79"/>
      <c r="AJV10" s="79"/>
      <c r="AJW10" s="79"/>
      <c r="AJX10" s="79"/>
      <c r="AJY10" s="79"/>
      <c r="AJZ10" s="79"/>
      <c r="AKA10" s="79"/>
      <c r="AKB10" s="79"/>
      <c r="AKC10" s="79"/>
      <c r="AKD10" s="79"/>
      <c r="AKE10" s="79"/>
      <c r="AKF10" s="79"/>
      <c r="AKG10" s="79"/>
      <c r="AKH10" s="79"/>
      <c r="AKI10" s="79"/>
      <c r="AKJ10" s="79"/>
      <c r="AKK10" s="79"/>
      <c r="AKL10" s="79"/>
      <c r="AKM10" s="79"/>
      <c r="AKN10" s="79"/>
      <c r="AKO10" s="79"/>
      <c r="AKP10" s="79"/>
      <c r="AKQ10" s="79"/>
      <c r="AKR10" s="79"/>
      <c r="AKS10" s="79"/>
      <c r="AKT10" s="79"/>
      <c r="AKU10" s="79"/>
      <c r="AKV10" s="79"/>
      <c r="AKW10" s="79"/>
      <c r="AKX10" s="79"/>
      <c r="AKY10" s="79"/>
      <c r="AKZ10" s="79"/>
      <c r="ALA10" s="79"/>
      <c r="ALB10" s="79"/>
      <c r="ALC10" s="79"/>
      <c r="ALD10" s="79"/>
      <c r="ALE10" s="79"/>
      <c r="ALF10" s="79"/>
      <c r="ALG10" s="79"/>
      <c r="ALH10" s="79"/>
      <c r="ALI10" s="79"/>
      <c r="ALJ10" s="79"/>
      <c r="ALK10" s="79"/>
      <c r="ALL10" s="79"/>
      <c r="ALM10" s="79"/>
      <c r="ALN10" s="79"/>
      <c r="ALO10" s="79"/>
      <c r="ALP10" s="79"/>
      <c r="ALQ10" s="79"/>
      <c r="ALR10" s="79"/>
      <c r="ALS10" s="79"/>
      <c r="ALT10" s="79"/>
      <c r="ALU10" s="79"/>
      <c r="ALV10" s="79"/>
      <c r="ALW10" s="79"/>
      <c r="ALX10" s="79"/>
      <c r="ALY10" s="79"/>
      <c r="ALZ10" s="79"/>
      <c r="AMA10" s="84">
        <v>25106.732307692298</v>
      </c>
      <c r="AMB10" s="84">
        <v>37170.581538461498</v>
      </c>
      <c r="AMC10" s="84">
        <v>25106.732307692298</v>
      </c>
      <c r="AMD10" s="84">
        <v>5825.1178021978003</v>
      </c>
      <c r="AME10" s="84">
        <v>25106.732307692298</v>
      </c>
      <c r="AMF10" s="84">
        <v>6741.58210361069</v>
      </c>
      <c r="AMG10" s="84">
        <v>26265.357142857101</v>
      </c>
      <c r="AMH10" s="84">
        <v>26265.357142857101</v>
      </c>
      <c r="AMI10" s="84">
        <v>25106.732307692298</v>
      </c>
      <c r="AMJ10" s="84">
        <v>8329.7848138957997</v>
      </c>
      <c r="AMK10" s="79"/>
      <c r="AML10" s="79"/>
      <c r="AMM10" s="79"/>
      <c r="AMN10" s="79"/>
      <c r="AMO10" s="84">
        <v>26265.357142857101</v>
      </c>
      <c r="AMP10" s="84">
        <v>9005.4285714285706</v>
      </c>
      <c r="AMQ10" s="79"/>
      <c r="AMR10" s="79"/>
      <c r="AMS10" s="79"/>
      <c r="AMT10" s="79"/>
      <c r="AMU10" s="79"/>
      <c r="AMV10" s="79"/>
      <c r="AMW10" s="84">
        <v>25106.732307692298</v>
      </c>
      <c r="AMX10" s="84">
        <v>1305.0022135408699</v>
      </c>
      <c r="AMY10" s="84">
        <v>14628.8969072165</v>
      </c>
      <c r="AMZ10" s="84">
        <v>5416.7938144329901</v>
      </c>
      <c r="ANA10" s="84">
        <v>14628.8969072165</v>
      </c>
      <c r="ANB10" s="84">
        <v>5416.7938144329901</v>
      </c>
      <c r="ANC10" s="84">
        <v>31958.714285714301</v>
      </c>
      <c r="AND10" s="84">
        <v>26265.357142857101</v>
      </c>
      <c r="ANE10" s="84">
        <v>14628.8969072165</v>
      </c>
      <c r="ANF10" s="84">
        <v>5416.7938144329901</v>
      </c>
      <c r="ANG10" s="84">
        <v>31958.714285714301</v>
      </c>
      <c r="ANH10" s="84">
        <v>9005.4285714285706</v>
      </c>
      <c r="ANI10" s="84">
        <v>31958.714285714301</v>
      </c>
      <c r="ANJ10" s="84">
        <v>7477.7857142857101</v>
      </c>
      <c r="ANK10" s="84">
        <v>31958.714285714301</v>
      </c>
      <c r="ANL10" s="84">
        <v>9005.4285714285706</v>
      </c>
      <c r="ANM10" s="79"/>
      <c r="ANN10" s="79"/>
      <c r="ANO10" s="79"/>
      <c r="ANP10" s="79"/>
      <c r="ANQ10" s="79"/>
      <c r="ANR10" s="79"/>
      <c r="ANS10" s="84">
        <v>14628.8969072165</v>
      </c>
      <c r="ANT10" s="84">
        <v>583.11020358403903</v>
      </c>
      <c r="ANU10" s="84">
        <v>5416.7938144329901</v>
      </c>
      <c r="ANV10" s="84">
        <v>5416.7938144329901</v>
      </c>
      <c r="ANW10" s="84">
        <v>10845.357142857099</v>
      </c>
      <c r="ANX10" s="84">
        <v>26265.357142857101</v>
      </c>
      <c r="ANY10" s="84">
        <v>5416.7938144329901</v>
      </c>
      <c r="ANZ10" s="84">
        <v>5416.7938144329901</v>
      </c>
      <c r="AOA10" s="84">
        <v>10845.357142857099</v>
      </c>
      <c r="AOB10" s="84">
        <v>9005.4285714285706</v>
      </c>
      <c r="AOC10" s="84">
        <v>10845.357142857099</v>
      </c>
      <c r="AOD10" s="84">
        <v>7477.7857142857101</v>
      </c>
      <c r="AOE10" s="84">
        <v>10845.357142857099</v>
      </c>
      <c r="AOF10" s="84">
        <v>9005.4285714285706</v>
      </c>
      <c r="AOG10" s="79"/>
      <c r="AOH10" s="79"/>
      <c r="AOI10" s="79"/>
      <c r="AOJ10" s="79"/>
      <c r="AOK10" s="79"/>
      <c r="AOL10" s="79"/>
      <c r="AOM10" s="84">
        <v>5416.7938144329901</v>
      </c>
      <c r="AON10" s="84">
        <v>583.11020358403903</v>
      </c>
      <c r="AOO10" s="84">
        <v>10845.357142857099</v>
      </c>
      <c r="AOP10" s="84">
        <v>26265.357142857101</v>
      </c>
      <c r="AOQ10" s="84">
        <v>5416.7938144329901</v>
      </c>
      <c r="AOR10" s="84">
        <v>5416.7938144329901</v>
      </c>
      <c r="AOS10" s="84">
        <v>10845.357142857099</v>
      </c>
      <c r="AOT10" s="84">
        <v>9005.4285714285706</v>
      </c>
      <c r="AOU10" s="84">
        <v>10845.357142857099</v>
      </c>
      <c r="AOV10" s="84">
        <v>7477.7857142857101</v>
      </c>
      <c r="AOW10" s="84">
        <v>10845.357142857099</v>
      </c>
      <c r="AOX10" s="84">
        <v>9005.4285714285706</v>
      </c>
      <c r="AOY10" s="79"/>
      <c r="AOZ10" s="79"/>
      <c r="APA10" s="79"/>
      <c r="APB10" s="79"/>
      <c r="APC10" s="79"/>
      <c r="APD10" s="79"/>
      <c r="APE10" s="84">
        <v>5416.7938144329901</v>
      </c>
      <c r="APF10" s="84">
        <v>583.11020358403903</v>
      </c>
      <c r="APG10" s="84">
        <v>26265.357142857101</v>
      </c>
      <c r="APH10" s="84">
        <v>17704.857142857101</v>
      </c>
      <c r="API10" s="79"/>
      <c r="APJ10" s="79"/>
      <c r="APK10" s="79"/>
      <c r="APL10" s="79"/>
      <c r="APM10" s="84">
        <v>26265.357142857101</v>
      </c>
      <c r="APN10" s="84">
        <v>9005.4285714285706</v>
      </c>
      <c r="APO10" s="79"/>
      <c r="APP10" s="79"/>
      <c r="APQ10" s="79"/>
      <c r="APR10" s="79"/>
      <c r="APS10" s="79"/>
      <c r="APT10" s="79"/>
      <c r="APU10" s="84">
        <v>26265.357142857101</v>
      </c>
      <c r="APV10" s="84">
        <v>3894.6696302985802</v>
      </c>
      <c r="APW10" s="84">
        <v>17704.857142857101</v>
      </c>
      <c r="APX10" s="84">
        <v>9005.4285714285706</v>
      </c>
      <c r="APY10" s="84">
        <v>17704.857142857101</v>
      </c>
      <c r="APZ10" s="84">
        <v>7477.7857142857101</v>
      </c>
      <c r="AQA10" s="84">
        <v>17704.857142857101</v>
      </c>
      <c r="AQB10" s="84">
        <v>9005.4285714285706</v>
      </c>
      <c r="AQC10" s="79"/>
      <c r="AQD10" s="79"/>
      <c r="AQE10" s="79"/>
      <c r="AQF10" s="79"/>
      <c r="AQG10" s="79"/>
      <c r="AQH10" s="79"/>
      <c r="AQI10" s="84">
        <v>5416.7938144329901</v>
      </c>
      <c r="AQJ10" s="84">
        <v>583.11020358403903</v>
      </c>
      <c r="AQK10" s="79"/>
      <c r="AQL10" s="79"/>
      <c r="AQM10" s="79"/>
      <c r="AQN10" s="79"/>
      <c r="AQO10" s="79"/>
      <c r="AQP10" s="79"/>
      <c r="AQQ10" s="79"/>
      <c r="AQR10" s="79"/>
      <c r="AQS10" s="79"/>
      <c r="AQT10" s="79"/>
      <c r="AQU10" s="84">
        <v>9005.4285714285706</v>
      </c>
      <c r="AQV10" s="84">
        <v>3894.6696302985802</v>
      </c>
      <c r="AQW10" s="79"/>
      <c r="AQX10" s="79"/>
      <c r="AQY10" s="79"/>
      <c r="AQZ10" s="79"/>
      <c r="ARA10" s="79"/>
      <c r="ARB10" s="79"/>
      <c r="ARC10" s="79"/>
      <c r="ARD10" s="79"/>
      <c r="ARE10" s="84">
        <v>7477.7857142857101</v>
      </c>
      <c r="ARF10" s="84">
        <v>3894.6696302985802</v>
      </c>
      <c r="ARG10" s="79"/>
      <c r="ARH10" s="79"/>
      <c r="ARI10" s="79"/>
      <c r="ARJ10" s="79"/>
      <c r="ARK10" s="79"/>
      <c r="ARL10" s="79"/>
      <c r="ARM10" s="84">
        <v>9005.4285714285706</v>
      </c>
      <c r="ARN10" s="84">
        <v>3894.6696302985802</v>
      </c>
    </row>
    <row r="11" spans="1:1170" ht="15.75" customHeight="1" x14ac:dyDescent="0.35">
      <c r="A11" s="92" t="s">
        <v>810</v>
      </c>
      <c r="B11" s="98">
        <v>4.7896385816205803E-6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79"/>
      <c r="P11" s="79"/>
      <c r="Q11" s="79"/>
      <c r="R11" s="79"/>
      <c r="S11" s="79"/>
      <c r="T11" s="79"/>
      <c r="U11" s="79"/>
      <c r="V11" s="79"/>
      <c r="W11" s="102" t="s">
        <v>752</v>
      </c>
      <c r="X11" s="83">
        <v>0.80441766329032405</v>
      </c>
      <c r="Y11" s="84">
        <v>10</v>
      </c>
      <c r="Z11" s="83">
        <v>5.01826257257839E-3</v>
      </c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79"/>
      <c r="GG11" s="79"/>
      <c r="GH11" s="79"/>
      <c r="GI11" s="79"/>
      <c r="GJ11" s="79"/>
      <c r="GK11" s="79"/>
      <c r="GL11" s="79"/>
      <c r="GM11" s="79"/>
      <c r="GN11" s="79"/>
      <c r="GO11" s="79"/>
      <c r="GP11" s="79"/>
      <c r="GQ11" s="79"/>
      <c r="GR11" s="79"/>
      <c r="GS11" s="79"/>
      <c r="GT11" s="79"/>
      <c r="GU11" s="79"/>
      <c r="GV11" s="79"/>
      <c r="GW11" s="79"/>
      <c r="GX11" s="79"/>
      <c r="GY11" s="79"/>
      <c r="GZ11" s="79"/>
      <c r="HA11" s="79"/>
      <c r="HB11" s="79"/>
      <c r="HC11" s="79"/>
      <c r="HD11" s="79"/>
      <c r="HE11" s="79"/>
      <c r="HF11" s="79"/>
      <c r="HG11" s="79"/>
      <c r="HH11" s="79"/>
      <c r="HI11" s="79"/>
      <c r="HJ11" s="79"/>
      <c r="HK11" s="79"/>
      <c r="HL11" s="79"/>
      <c r="HM11" s="79"/>
      <c r="HN11" s="79"/>
      <c r="HO11" s="79"/>
      <c r="HP11" s="79"/>
      <c r="HQ11" s="79"/>
      <c r="HR11" s="79"/>
      <c r="HS11" s="79"/>
      <c r="HT11" s="79"/>
      <c r="HU11" s="79"/>
      <c r="HV11" s="79"/>
      <c r="HW11" s="79"/>
      <c r="HX11" s="79"/>
      <c r="HY11" s="79"/>
      <c r="HZ11" s="79"/>
      <c r="IA11" s="79"/>
      <c r="IB11" s="79"/>
      <c r="IC11" s="79"/>
      <c r="ID11" s="79"/>
      <c r="IE11" s="79"/>
      <c r="IF11" s="79"/>
      <c r="IG11" s="79"/>
      <c r="IH11" s="79"/>
      <c r="II11" s="79"/>
      <c r="IJ11" s="79"/>
      <c r="IK11" s="79"/>
      <c r="IL11" s="79"/>
      <c r="IM11" s="79"/>
      <c r="IN11" s="79"/>
      <c r="IO11" s="79"/>
      <c r="IP11" s="79"/>
      <c r="IQ11" s="79"/>
      <c r="IR11" s="79"/>
      <c r="IS11" s="79"/>
      <c r="IT11" s="79"/>
      <c r="IU11" s="79"/>
      <c r="IV11" s="79"/>
      <c r="IW11" s="79"/>
      <c r="IX11" s="79"/>
      <c r="IY11" s="79"/>
      <c r="IZ11" s="79"/>
      <c r="JA11" s="79"/>
      <c r="JB11" s="79"/>
      <c r="JC11" s="79"/>
      <c r="JD11" s="79"/>
      <c r="JE11" s="79"/>
      <c r="JF11" s="79"/>
      <c r="JG11" s="79"/>
      <c r="JH11" s="79"/>
      <c r="JI11" s="79"/>
      <c r="JJ11" s="79"/>
      <c r="JK11" s="79"/>
      <c r="JL11" s="79"/>
      <c r="JM11" s="79"/>
      <c r="JN11" s="79"/>
      <c r="JO11" s="79"/>
      <c r="JP11" s="79"/>
      <c r="JQ11" s="79"/>
      <c r="JR11" s="79"/>
      <c r="JS11" s="79"/>
      <c r="JT11" s="79"/>
      <c r="JU11" s="79"/>
      <c r="JV11" s="79"/>
      <c r="JW11" s="79"/>
      <c r="JX11" s="79"/>
      <c r="JY11" s="79"/>
      <c r="JZ11" s="79"/>
      <c r="KA11" s="79"/>
      <c r="KB11" s="79"/>
      <c r="KC11" s="79"/>
      <c r="KD11" s="79"/>
      <c r="KE11" s="79"/>
      <c r="KF11" s="79"/>
      <c r="KG11" s="79"/>
      <c r="KH11" s="79"/>
      <c r="KI11" s="79"/>
      <c r="KJ11" s="79"/>
      <c r="KK11" s="79"/>
      <c r="KL11" s="79"/>
      <c r="KM11" s="79"/>
      <c r="KN11" s="79"/>
      <c r="KO11" s="79"/>
      <c r="KP11" s="79"/>
      <c r="KQ11" s="79"/>
      <c r="KR11" s="79"/>
      <c r="KS11" s="79"/>
      <c r="KT11" s="79"/>
      <c r="KU11" s="79"/>
      <c r="KV11" s="79"/>
      <c r="KW11" s="79"/>
      <c r="KX11" s="79"/>
      <c r="KY11" s="79"/>
      <c r="KZ11" s="79"/>
      <c r="LA11" s="79"/>
      <c r="LB11" s="79"/>
      <c r="LC11" s="79"/>
      <c r="LD11" s="79"/>
      <c r="LE11" s="79"/>
      <c r="LF11" s="79"/>
      <c r="LG11" s="79"/>
      <c r="LH11" s="79"/>
      <c r="LI11" s="79"/>
      <c r="LJ11" s="79"/>
      <c r="LK11" s="79"/>
      <c r="LL11" s="79"/>
      <c r="LM11" s="79"/>
      <c r="LN11" s="79"/>
      <c r="LO11" s="79"/>
      <c r="LP11" s="79"/>
      <c r="LQ11" s="79"/>
      <c r="LR11" s="79"/>
      <c r="LS11" s="79"/>
      <c r="LT11" s="79"/>
      <c r="LU11" s="79"/>
      <c r="LV11" s="79"/>
      <c r="LW11" s="79"/>
      <c r="LX11" s="79"/>
      <c r="LY11" s="79"/>
      <c r="LZ11" s="79"/>
      <c r="MA11" s="79"/>
      <c r="MB11" s="79"/>
      <c r="MC11" s="79"/>
      <c r="MD11" s="79"/>
      <c r="ME11" s="79"/>
      <c r="MF11" s="79"/>
      <c r="MG11" s="79"/>
      <c r="MH11" s="79"/>
      <c r="MI11" s="79"/>
      <c r="MJ11" s="79"/>
      <c r="MK11" s="79"/>
      <c r="ML11" s="79"/>
      <c r="MM11" s="79"/>
      <c r="MN11" s="79"/>
      <c r="MO11" s="79"/>
      <c r="MP11" s="79"/>
      <c r="MQ11" s="79"/>
      <c r="MR11" s="79"/>
      <c r="MS11" s="79"/>
      <c r="MT11" s="79"/>
      <c r="MU11" s="79"/>
      <c r="MV11" s="79"/>
      <c r="MW11" s="79"/>
      <c r="MX11" s="79"/>
      <c r="MY11" s="79"/>
      <c r="MZ11" s="79"/>
      <c r="NA11" s="79"/>
      <c r="NB11" s="79"/>
      <c r="NC11" s="79"/>
      <c r="ND11" s="79"/>
      <c r="NE11" s="79"/>
      <c r="NF11" s="79"/>
      <c r="NG11" s="79"/>
      <c r="NH11" s="79"/>
      <c r="NI11" s="79"/>
      <c r="NJ11" s="79"/>
      <c r="NK11" s="79"/>
      <c r="NL11" s="79"/>
      <c r="NM11" s="79"/>
      <c r="NN11" s="79"/>
      <c r="NO11" s="79"/>
      <c r="NP11" s="79"/>
      <c r="NQ11" s="79"/>
      <c r="NR11" s="79"/>
      <c r="NS11" s="79"/>
      <c r="NT11" s="79"/>
      <c r="NU11" s="79"/>
      <c r="NV11" s="79"/>
      <c r="NW11" s="79"/>
      <c r="NX11" s="79"/>
      <c r="NY11" s="79"/>
      <c r="NZ11" s="79"/>
      <c r="OA11" s="79"/>
      <c r="OB11" s="79"/>
      <c r="OC11" s="79"/>
      <c r="OD11" s="79"/>
      <c r="OE11" s="79"/>
      <c r="OF11" s="79"/>
      <c r="OG11" s="79"/>
      <c r="OH11" s="79"/>
      <c r="OI11" s="79"/>
      <c r="OJ11" s="79"/>
      <c r="OK11" s="79"/>
      <c r="OL11" s="79"/>
      <c r="OM11" s="79"/>
      <c r="ON11" s="79"/>
      <c r="OO11" s="79"/>
      <c r="OP11" s="79"/>
      <c r="OQ11" s="79"/>
      <c r="OR11" s="79"/>
      <c r="OS11" s="79"/>
      <c r="OT11" s="79"/>
      <c r="OU11" s="79"/>
      <c r="OV11" s="79"/>
      <c r="OW11" s="79"/>
      <c r="OX11" s="79"/>
      <c r="OY11" s="79"/>
      <c r="OZ11" s="79"/>
      <c r="PA11" s="79"/>
      <c r="PB11" s="79"/>
      <c r="PC11" s="79"/>
      <c r="PD11" s="79"/>
      <c r="PE11" s="79"/>
      <c r="PF11" s="79"/>
      <c r="PG11" s="79"/>
      <c r="PH11" s="79"/>
      <c r="PI11" s="79"/>
      <c r="PJ11" s="79"/>
      <c r="PK11" s="79"/>
      <c r="PL11" s="79"/>
      <c r="PM11" s="79"/>
      <c r="PN11" s="79"/>
      <c r="PO11" s="79"/>
      <c r="PP11" s="79"/>
      <c r="PQ11" s="79"/>
      <c r="PR11" s="79"/>
      <c r="PS11" s="79"/>
      <c r="PT11" s="79"/>
      <c r="PU11" s="79"/>
      <c r="PV11" s="79"/>
      <c r="PW11" s="79"/>
      <c r="PX11" s="79"/>
      <c r="PY11" s="79"/>
      <c r="PZ11" s="79"/>
      <c r="QA11" s="79"/>
      <c r="QB11" s="79"/>
      <c r="QC11" s="79"/>
      <c r="QD11" s="79"/>
      <c r="QE11" s="79"/>
      <c r="QF11" s="79"/>
      <c r="QG11" s="79"/>
      <c r="QH11" s="79"/>
      <c r="QI11" s="79"/>
      <c r="QJ11" s="79"/>
      <c r="QK11" s="79"/>
      <c r="QL11" s="79"/>
      <c r="QM11" s="79"/>
      <c r="QN11" s="79"/>
      <c r="QO11" s="79"/>
      <c r="QP11" s="79"/>
      <c r="QQ11" s="79"/>
      <c r="QR11" s="79"/>
      <c r="QS11" s="79"/>
      <c r="QT11" s="79"/>
      <c r="QU11" s="79"/>
      <c r="QV11" s="79"/>
      <c r="QW11" s="79"/>
      <c r="QX11" s="79"/>
      <c r="QY11" s="79"/>
      <c r="QZ11" s="79"/>
      <c r="RA11" s="79"/>
      <c r="RB11" s="79"/>
      <c r="RC11" s="79"/>
      <c r="RD11" s="79"/>
      <c r="RE11" s="79"/>
      <c r="RF11" s="79"/>
      <c r="RG11" s="79"/>
      <c r="RH11" s="79"/>
      <c r="RI11" s="79"/>
      <c r="RJ11" s="79"/>
      <c r="RK11" s="79"/>
      <c r="RL11" s="79"/>
      <c r="RM11" s="79"/>
      <c r="RN11" s="79"/>
      <c r="RO11" s="79"/>
      <c r="RP11" s="79"/>
      <c r="RQ11" s="79"/>
      <c r="RR11" s="79"/>
      <c r="RS11" s="79"/>
      <c r="RT11" s="79"/>
      <c r="RU11" s="79"/>
      <c r="RV11" s="79"/>
      <c r="RW11" s="79"/>
      <c r="RX11" s="79"/>
      <c r="RY11" s="79"/>
      <c r="RZ11" s="79"/>
      <c r="SA11" s="79"/>
      <c r="SB11" s="79"/>
      <c r="SC11" s="79"/>
      <c r="SD11" s="79"/>
      <c r="SE11" s="79"/>
      <c r="SF11" s="79"/>
      <c r="SG11" s="79"/>
      <c r="SH11" s="79"/>
      <c r="SI11" s="79"/>
      <c r="SJ11" s="79"/>
      <c r="SK11" s="79"/>
      <c r="SL11" s="79"/>
      <c r="SM11" s="79"/>
      <c r="SN11" s="79"/>
      <c r="SO11" s="79"/>
      <c r="SP11" s="79"/>
      <c r="SQ11" s="79"/>
      <c r="SR11" s="79"/>
      <c r="SS11" s="79"/>
      <c r="ST11" s="79"/>
      <c r="SU11" s="79"/>
      <c r="SV11" s="79"/>
      <c r="SW11" s="79"/>
      <c r="SX11" s="79"/>
      <c r="SY11" s="79"/>
      <c r="SZ11" s="79"/>
      <c r="TA11" s="79"/>
      <c r="TB11" s="79"/>
      <c r="TC11" s="79"/>
      <c r="TD11" s="79"/>
      <c r="TE11" s="79"/>
      <c r="TF11" s="79"/>
      <c r="TG11" s="79"/>
      <c r="TH11" s="79"/>
      <c r="TI11" s="79"/>
      <c r="TJ11" s="79"/>
      <c r="TK11" s="79"/>
      <c r="TL11" s="79"/>
      <c r="TM11" s="79"/>
      <c r="TN11" s="79"/>
      <c r="TO11" s="79"/>
      <c r="TP11" s="79"/>
      <c r="TQ11" s="79"/>
      <c r="TR11" s="79"/>
      <c r="TS11" s="79"/>
      <c r="TT11" s="79"/>
      <c r="TU11" s="79"/>
      <c r="TV11" s="79"/>
      <c r="TW11" s="79"/>
      <c r="TX11" s="79"/>
      <c r="TY11" s="79"/>
      <c r="TZ11" s="79"/>
      <c r="UA11" s="79"/>
      <c r="UB11" s="79"/>
      <c r="UC11" s="79"/>
      <c r="UD11" s="79"/>
      <c r="UE11" s="79"/>
      <c r="UF11" s="79"/>
      <c r="UG11" s="79"/>
      <c r="UH11" s="79"/>
      <c r="UI11" s="79"/>
      <c r="UJ11" s="79"/>
      <c r="UK11" s="79"/>
      <c r="UL11" s="79"/>
      <c r="UM11" s="79"/>
      <c r="UN11" s="79"/>
      <c r="UO11" s="79"/>
      <c r="UP11" s="79"/>
      <c r="UQ11" s="79"/>
      <c r="UR11" s="79"/>
      <c r="US11" s="79"/>
      <c r="UT11" s="79"/>
      <c r="UU11" s="79"/>
      <c r="UV11" s="79"/>
      <c r="UW11" s="79"/>
      <c r="UX11" s="79"/>
      <c r="UY11" s="79"/>
      <c r="UZ11" s="79"/>
      <c r="VA11" s="79"/>
      <c r="VB11" s="79"/>
      <c r="VC11" s="79"/>
      <c r="VD11" s="79"/>
      <c r="VE11" s="79"/>
      <c r="VF11" s="79"/>
      <c r="VG11" s="79"/>
      <c r="VH11" s="79"/>
      <c r="VI11" s="79"/>
      <c r="VJ11" s="79"/>
      <c r="VK11" s="79"/>
      <c r="VL11" s="79"/>
      <c r="VM11" s="79"/>
      <c r="VN11" s="79"/>
      <c r="VO11" s="79"/>
      <c r="VP11" s="79"/>
      <c r="VQ11" s="79"/>
      <c r="VR11" s="79"/>
      <c r="VS11" s="79"/>
      <c r="VT11" s="79"/>
      <c r="VU11" s="79"/>
      <c r="VV11" s="79"/>
      <c r="VW11" s="79"/>
      <c r="VX11" s="79"/>
      <c r="VY11" s="79"/>
      <c r="VZ11" s="79"/>
      <c r="WA11" s="79"/>
      <c r="WB11" s="79"/>
      <c r="WC11" s="79"/>
      <c r="WD11" s="79"/>
      <c r="WE11" s="79"/>
      <c r="WF11" s="79"/>
      <c r="WG11" s="79"/>
      <c r="WH11" s="79"/>
      <c r="WI11" s="79"/>
      <c r="WJ11" s="79"/>
      <c r="WK11" s="79"/>
      <c r="WL11" s="79"/>
      <c r="WM11" s="79"/>
      <c r="WN11" s="79"/>
      <c r="WO11" s="79"/>
      <c r="WP11" s="79"/>
      <c r="WQ11" s="79"/>
      <c r="WR11" s="79"/>
      <c r="WS11" s="79"/>
      <c r="WT11" s="79"/>
      <c r="WU11" s="79"/>
      <c r="WV11" s="79"/>
      <c r="WW11" s="79"/>
      <c r="WX11" s="79"/>
      <c r="WY11" s="79"/>
      <c r="WZ11" s="79"/>
      <c r="XA11" s="79"/>
      <c r="XB11" s="79"/>
      <c r="XC11" s="79"/>
      <c r="XD11" s="79"/>
      <c r="XE11" s="79"/>
      <c r="XF11" s="79"/>
      <c r="XG11" s="79"/>
      <c r="XH11" s="79"/>
      <c r="XI11" s="79"/>
      <c r="XJ11" s="79"/>
      <c r="XK11" s="79"/>
      <c r="XL11" s="79"/>
      <c r="XM11" s="79"/>
      <c r="XN11" s="79"/>
      <c r="XO11" s="79"/>
      <c r="XP11" s="79"/>
      <c r="XQ11" s="79"/>
      <c r="XR11" s="79"/>
      <c r="XS11" s="79"/>
      <c r="XT11" s="79"/>
      <c r="XU11" s="79"/>
      <c r="XV11" s="79"/>
      <c r="XW11" s="79"/>
      <c r="XX11" s="79"/>
      <c r="XY11" s="79"/>
      <c r="XZ11" s="79"/>
      <c r="YA11" s="79"/>
      <c r="YB11" s="79"/>
      <c r="YC11" s="79"/>
      <c r="YD11" s="79"/>
      <c r="YE11" s="79"/>
      <c r="YF11" s="79"/>
      <c r="YG11" s="79"/>
      <c r="YH11" s="79"/>
      <c r="YI11" s="79"/>
      <c r="YJ11" s="79"/>
      <c r="YK11" s="79"/>
      <c r="YL11" s="79"/>
      <c r="YM11" s="79"/>
      <c r="YN11" s="79"/>
      <c r="YO11" s="79"/>
      <c r="YP11" s="79"/>
      <c r="YQ11" s="79"/>
      <c r="YR11" s="79"/>
      <c r="YS11" s="79"/>
      <c r="YT11" s="79"/>
      <c r="YU11" s="79"/>
      <c r="YV11" s="79"/>
      <c r="YW11" s="79"/>
      <c r="YX11" s="79"/>
      <c r="YY11" s="79"/>
      <c r="YZ11" s="79"/>
      <c r="ZA11" s="79"/>
      <c r="ZB11" s="79"/>
      <c r="ZC11" s="79"/>
      <c r="ZD11" s="79"/>
      <c r="ZE11" s="79"/>
      <c r="ZF11" s="79"/>
      <c r="ZG11" s="79"/>
      <c r="ZH11" s="79"/>
      <c r="ZI11" s="79"/>
      <c r="ZJ11" s="79"/>
      <c r="ZK11" s="79"/>
      <c r="ZL11" s="79"/>
      <c r="ZM11" s="79"/>
      <c r="ZN11" s="79"/>
      <c r="ZO11" s="79"/>
      <c r="ZP11" s="79"/>
      <c r="ZQ11" s="79"/>
      <c r="ZR11" s="79"/>
      <c r="ZS11" s="79"/>
      <c r="ZT11" s="79"/>
      <c r="ZU11" s="79"/>
      <c r="ZV11" s="79"/>
      <c r="ZW11" s="79"/>
      <c r="ZX11" s="79"/>
      <c r="ZY11" s="79"/>
      <c r="ZZ11" s="79"/>
      <c r="AAA11" s="79"/>
      <c r="AAB11" s="79"/>
      <c r="AAC11" s="79"/>
      <c r="AAD11" s="79"/>
      <c r="AAE11" s="79"/>
      <c r="AAF11" s="79"/>
      <c r="AAG11" s="79"/>
      <c r="AAH11" s="79"/>
      <c r="AAI11" s="79"/>
      <c r="AAJ11" s="79"/>
      <c r="AAK11" s="79"/>
      <c r="AAL11" s="79"/>
      <c r="AAM11" s="79"/>
      <c r="AAN11" s="79"/>
      <c r="AAO11" s="79"/>
      <c r="AAP11" s="79"/>
      <c r="AAQ11" s="79"/>
      <c r="AAR11" s="79"/>
      <c r="AAS11" s="79"/>
      <c r="AAT11" s="79"/>
      <c r="AAU11" s="79"/>
      <c r="AAV11" s="79"/>
      <c r="AAW11" s="79"/>
      <c r="AAX11" s="79"/>
      <c r="AAY11" s="79"/>
      <c r="AAZ11" s="79"/>
      <c r="ABA11" s="79"/>
      <c r="ABB11" s="79"/>
      <c r="ABC11" s="79"/>
      <c r="ABD11" s="79"/>
      <c r="ABE11" s="79"/>
      <c r="ABF11" s="79"/>
      <c r="ABG11" s="79"/>
      <c r="ABH11" s="79"/>
      <c r="ABI11" s="79"/>
      <c r="ABJ11" s="79"/>
      <c r="ABK11" s="79"/>
      <c r="ABL11" s="79"/>
      <c r="ABM11" s="79"/>
      <c r="ABN11" s="79"/>
      <c r="ABO11" s="79"/>
      <c r="ABP11" s="79"/>
      <c r="ABQ11" s="79"/>
      <c r="ABR11" s="79"/>
      <c r="ABS11" s="79"/>
      <c r="ABT11" s="79"/>
      <c r="ABU11" s="79"/>
      <c r="ABV11" s="79"/>
      <c r="ABW11" s="79"/>
      <c r="ABX11" s="79"/>
      <c r="ABY11" s="79"/>
      <c r="ABZ11" s="79"/>
      <c r="ACA11" s="79"/>
      <c r="ACB11" s="79"/>
      <c r="ACC11" s="79"/>
      <c r="ACD11" s="79"/>
      <c r="ACE11" s="79"/>
      <c r="ACF11" s="79"/>
      <c r="ACG11" s="79"/>
      <c r="ACH11" s="79"/>
      <c r="ACI11" s="79"/>
      <c r="ACJ11" s="79"/>
      <c r="ACK11" s="79"/>
      <c r="ACL11" s="79"/>
      <c r="ACM11" s="79"/>
      <c r="ACN11" s="79"/>
      <c r="ACO11" s="79"/>
      <c r="ACP11" s="79"/>
      <c r="ACQ11" s="79"/>
      <c r="ACR11" s="79"/>
      <c r="ACS11" s="79"/>
      <c r="ACT11" s="79"/>
      <c r="ACU11" s="79"/>
      <c r="ACV11" s="79"/>
      <c r="ACW11" s="79"/>
      <c r="ACX11" s="79"/>
      <c r="ACY11" s="79"/>
      <c r="ACZ11" s="79"/>
      <c r="ADA11" s="79"/>
      <c r="ADB11" s="79"/>
      <c r="ADC11" s="79"/>
      <c r="ADD11" s="79"/>
      <c r="ADE11" s="79"/>
      <c r="ADF11" s="79"/>
      <c r="ADG11" s="79"/>
      <c r="ADH11" s="79"/>
      <c r="ADI11" s="79"/>
      <c r="ADJ11" s="79"/>
      <c r="ADK11" s="79"/>
      <c r="ADL11" s="79"/>
      <c r="ADM11" s="79"/>
      <c r="ADN11" s="79"/>
      <c r="ADO11" s="79"/>
      <c r="ADP11" s="79"/>
      <c r="ADQ11" s="79"/>
      <c r="ADR11" s="79"/>
      <c r="ADS11" s="79"/>
      <c r="ADT11" s="79"/>
      <c r="ADU11" s="79"/>
      <c r="ADV11" s="79"/>
      <c r="ADW11" s="79"/>
      <c r="ADX11" s="79"/>
      <c r="ADY11" s="79"/>
      <c r="ADZ11" s="79"/>
      <c r="AEA11" s="79"/>
      <c r="AEB11" s="79"/>
      <c r="AEC11" s="79"/>
      <c r="AED11" s="79"/>
      <c r="AEE11" s="79"/>
      <c r="AEF11" s="79"/>
      <c r="AEG11" s="79"/>
      <c r="AEH11" s="79"/>
      <c r="AEI11" s="79"/>
      <c r="AEJ11" s="79"/>
      <c r="AEK11" s="79"/>
      <c r="AEL11" s="79"/>
      <c r="AEM11" s="79"/>
      <c r="AEN11" s="79"/>
      <c r="AEO11" s="79"/>
      <c r="AEP11" s="79"/>
      <c r="AEQ11" s="79"/>
      <c r="AER11" s="79"/>
      <c r="AES11" s="79"/>
      <c r="AET11" s="79"/>
      <c r="AEU11" s="79"/>
      <c r="AEV11" s="79"/>
      <c r="AEW11" s="79"/>
      <c r="AEX11" s="79"/>
      <c r="AEY11" s="79"/>
      <c r="AEZ11" s="79"/>
      <c r="AFA11" s="79"/>
      <c r="AFB11" s="79"/>
      <c r="AFC11" s="79"/>
      <c r="AFD11" s="79"/>
      <c r="AFE11" s="79"/>
      <c r="AFF11" s="79"/>
      <c r="AFG11" s="79"/>
      <c r="AFH11" s="79"/>
      <c r="AFI11" s="79"/>
      <c r="AFJ11" s="79"/>
      <c r="AFK11" s="79"/>
      <c r="AFL11" s="79"/>
      <c r="AFM11" s="79"/>
      <c r="AFN11" s="79"/>
      <c r="AFO11" s="79"/>
      <c r="AFP11" s="79"/>
      <c r="AFQ11" s="79"/>
      <c r="AFR11" s="79"/>
      <c r="AFS11" s="79"/>
      <c r="AFT11" s="79"/>
      <c r="AFU11" s="79"/>
      <c r="AFV11" s="79"/>
      <c r="AFW11" s="79"/>
      <c r="AFX11" s="79"/>
      <c r="AFY11" s="79"/>
      <c r="AFZ11" s="79"/>
      <c r="AGA11" s="79"/>
      <c r="AGB11" s="79"/>
      <c r="AGC11" s="79"/>
      <c r="AGD11" s="79"/>
      <c r="AGE11" s="79"/>
      <c r="AGF11" s="79"/>
      <c r="AGG11" s="79"/>
      <c r="AGH11" s="79"/>
      <c r="AGI11" s="79"/>
      <c r="AGJ11" s="79"/>
      <c r="AGK11" s="79"/>
      <c r="AGL11" s="79"/>
      <c r="AGM11" s="79"/>
      <c r="AGN11" s="79"/>
      <c r="AGO11" s="79"/>
      <c r="AGP11" s="79"/>
      <c r="AGQ11" s="79"/>
      <c r="AGR11" s="79"/>
      <c r="AGS11" s="79"/>
      <c r="AGT11" s="79"/>
      <c r="AGU11" s="79"/>
      <c r="AGV11" s="79"/>
      <c r="AGW11" s="79"/>
      <c r="AGX11" s="79"/>
      <c r="AGY11" s="79"/>
      <c r="AGZ11" s="79"/>
      <c r="AHA11" s="79"/>
      <c r="AHB11" s="79"/>
      <c r="AHC11" s="79"/>
      <c r="AHD11" s="79"/>
      <c r="AHE11" s="79"/>
      <c r="AHF11" s="79"/>
      <c r="AHG11" s="79"/>
      <c r="AHH11" s="79"/>
      <c r="AHI11" s="79"/>
      <c r="AHJ11" s="79"/>
      <c r="AHK11" s="79"/>
      <c r="AHL11" s="79"/>
      <c r="AHM11" s="79"/>
      <c r="AHN11" s="79"/>
      <c r="AHO11" s="79"/>
      <c r="AHP11" s="79"/>
      <c r="AHQ11" s="79"/>
      <c r="AHR11" s="79"/>
      <c r="AHS11" s="79"/>
      <c r="AHT11" s="79"/>
      <c r="AHU11" s="79"/>
      <c r="AHV11" s="79"/>
      <c r="AHW11" s="79"/>
      <c r="AHX11" s="79"/>
      <c r="AHY11" s="79"/>
      <c r="AHZ11" s="79"/>
      <c r="AIA11" s="79"/>
      <c r="AIB11" s="79"/>
      <c r="AIC11" s="79"/>
      <c r="AID11" s="79"/>
      <c r="AIE11" s="79"/>
      <c r="AIF11" s="79"/>
      <c r="AIG11" s="79"/>
      <c r="AIH11" s="79"/>
      <c r="AII11" s="79"/>
      <c r="AIJ11" s="79"/>
      <c r="AIK11" s="79"/>
      <c r="AIL11" s="79"/>
      <c r="AIM11" s="79"/>
      <c r="AIN11" s="79"/>
      <c r="AIO11" s="79"/>
      <c r="AIP11" s="79"/>
      <c r="AIQ11" s="79"/>
      <c r="AIR11" s="79"/>
      <c r="AIS11" s="79"/>
      <c r="AIT11" s="79"/>
      <c r="AIU11" s="79"/>
      <c r="AIV11" s="79"/>
      <c r="AIW11" s="79"/>
      <c r="AIX11" s="79"/>
      <c r="AIY11" s="79"/>
      <c r="AIZ11" s="79"/>
      <c r="AJA11" s="79"/>
      <c r="AJB11" s="79"/>
      <c r="AJC11" s="79"/>
      <c r="AJD11" s="79"/>
      <c r="AJE11" s="79"/>
      <c r="AJF11" s="79"/>
      <c r="AJG11" s="79"/>
      <c r="AJH11" s="79"/>
      <c r="AJI11" s="79"/>
      <c r="AJJ11" s="79"/>
      <c r="AJK11" s="79"/>
      <c r="AJL11" s="79"/>
      <c r="AJM11" s="79"/>
      <c r="AJN11" s="79"/>
      <c r="AJO11" s="79"/>
      <c r="AJP11" s="79"/>
      <c r="AJQ11" s="79"/>
      <c r="AJR11" s="79"/>
      <c r="AJS11" s="79"/>
      <c r="AJT11" s="79"/>
      <c r="AJU11" s="79"/>
      <c r="AJV11" s="79"/>
      <c r="AJW11" s="79"/>
      <c r="AJX11" s="79"/>
      <c r="AJY11" s="79"/>
      <c r="AJZ11" s="79"/>
      <c r="AKA11" s="79"/>
      <c r="AKB11" s="79"/>
      <c r="AKC11" s="79"/>
      <c r="AKD11" s="79"/>
      <c r="AKE11" s="79"/>
      <c r="AKF11" s="79"/>
      <c r="AKG11" s="79"/>
      <c r="AKH11" s="79"/>
      <c r="AKI11" s="79"/>
      <c r="AKJ11" s="79"/>
      <c r="AKK11" s="79"/>
      <c r="AKL11" s="79"/>
      <c r="AKM11" s="79"/>
      <c r="AKN11" s="79"/>
      <c r="AKO11" s="79"/>
      <c r="AKP11" s="79"/>
      <c r="AKQ11" s="79"/>
      <c r="AKR11" s="79"/>
      <c r="AKS11" s="79"/>
      <c r="AKT11" s="79"/>
      <c r="AKU11" s="79"/>
      <c r="AKV11" s="79"/>
      <c r="AKW11" s="79"/>
      <c r="AKX11" s="79"/>
      <c r="AKY11" s="79"/>
      <c r="AKZ11" s="79"/>
      <c r="ALA11" s="79"/>
      <c r="ALB11" s="79"/>
      <c r="ALC11" s="79"/>
      <c r="ALD11" s="79"/>
      <c r="ALE11" s="79"/>
      <c r="ALF11" s="79"/>
      <c r="ALG11" s="79"/>
      <c r="ALH11" s="79"/>
      <c r="ALI11" s="79"/>
      <c r="ALJ11" s="79"/>
      <c r="ALK11" s="79"/>
      <c r="ALL11" s="79"/>
      <c r="ALM11" s="79"/>
      <c r="ALN11" s="79"/>
      <c r="ALO11" s="79"/>
      <c r="ALP11" s="79"/>
      <c r="ALQ11" s="79"/>
      <c r="ALR11" s="79"/>
      <c r="ALS11" s="79"/>
      <c r="ALT11" s="79"/>
      <c r="ALU11" s="79"/>
      <c r="ALV11" s="79"/>
      <c r="ALW11" s="79"/>
      <c r="ALX11" s="79"/>
      <c r="ALY11" s="79"/>
      <c r="ALZ11" s="79"/>
      <c r="AMA11" s="84">
        <v>26265.357142857101</v>
      </c>
      <c r="AMB11" s="84">
        <v>31958.714285714301</v>
      </c>
      <c r="AMC11" s="84">
        <v>26265.357142857101</v>
      </c>
      <c r="AMD11" s="84">
        <v>10845.357142857099</v>
      </c>
      <c r="AME11" s="84">
        <v>26265.357142857101</v>
      </c>
      <c r="AMF11" s="84">
        <v>10845.357142857099</v>
      </c>
      <c r="AMG11" s="79"/>
      <c r="AMH11" s="79"/>
      <c r="AMI11" s="84">
        <v>26265.357142857101</v>
      </c>
      <c r="AMJ11" s="84">
        <v>17704.857142857101</v>
      </c>
      <c r="AMK11" s="79"/>
      <c r="AML11" s="79"/>
      <c r="AMM11" s="79"/>
      <c r="AMN11" s="79"/>
      <c r="AMO11" s="79"/>
      <c r="AMP11" s="79"/>
      <c r="AMQ11" s="79"/>
      <c r="AMR11" s="79"/>
      <c r="AMS11" s="79"/>
      <c r="AMT11" s="79"/>
      <c r="AMU11" s="79"/>
      <c r="AMV11" s="79"/>
      <c r="AMW11" s="84">
        <v>26265.357142857101</v>
      </c>
      <c r="AMX11" s="84">
        <v>3894.6696302985802</v>
      </c>
      <c r="AMY11" s="84">
        <v>37170.581538461498</v>
      </c>
      <c r="AMZ11" s="84">
        <v>5825.1178021978003</v>
      </c>
      <c r="ANA11" s="84">
        <v>37170.581538461498</v>
      </c>
      <c r="ANB11" s="84">
        <v>6741.58210361069</v>
      </c>
      <c r="ANC11" s="79"/>
      <c r="AND11" s="79"/>
      <c r="ANE11" s="84">
        <v>37170.581538461498</v>
      </c>
      <c r="ANF11" s="84">
        <v>8329.7848138957997</v>
      </c>
      <c r="ANG11" s="79"/>
      <c r="ANH11" s="79"/>
      <c r="ANI11" s="79"/>
      <c r="ANJ11" s="79"/>
      <c r="ANK11" s="79"/>
      <c r="ANL11" s="79"/>
      <c r="ANM11" s="79"/>
      <c r="ANN11" s="79"/>
      <c r="ANO11" s="79"/>
      <c r="ANP11" s="79"/>
      <c r="ANQ11" s="79"/>
      <c r="ANR11" s="79"/>
      <c r="ANS11" s="84">
        <v>37170.581538461498</v>
      </c>
      <c r="ANT11" s="84">
        <v>1305.0022135408699</v>
      </c>
      <c r="ANU11" s="84">
        <v>5825.1178021978003</v>
      </c>
      <c r="ANV11" s="84">
        <v>6741.58210361069</v>
      </c>
      <c r="ANW11" s="79"/>
      <c r="ANX11" s="79"/>
      <c r="ANY11" s="84">
        <v>5825.1178021978003</v>
      </c>
      <c r="ANZ11" s="84">
        <v>8329.7848138957997</v>
      </c>
      <c r="AOA11" s="79"/>
      <c r="AOB11" s="79"/>
      <c r="AOC11" s="79"/>
      <c r="AOD11" s="79"/>
      <c r="AOE11" s="79"/>
      <c r="AOF11" s="79"/>
      <c r="AOG11" s="79"/>
      <c r="AOH11" s="79"/>
      <c r="AOI11" s="79"/>
      <c r="AOJ11" s="79"/>
      <c r="AOK11" s="79"/>
      <c r="AOL11" s="79"/>
      <c r="AOM11" s="84">
        <v>5825.1178021978003</v>
      </c>
      <c r="AON11" s="84">
        <v>1305.0022135408699</v>
      </c>
      <c r="AOO11" s="79"/>
      <c r="AOP11" s="79"/>
      <c r="AOQ11" s="84">
        <v>6741.58210361069</v>
      </c>
      <c r="AOR11" s="84">
        <v>8329.7848138957997</v>
      </c>
      <c r="AOS11" s="79"/>
      <c r="AOT11" s="79"/>
      <c r="AOU11" s="79"/>
      <c r="AOV11" s="79"/>
      <c r="AOW11" s="79"/>
      <c r="AOX11" s="79"/>
      <c r="AOY11" s="79"/>
      <c r="AOZ11" s="79"/>
      <c r="APA11" s="79"/>
      <c r="APB11" s="79"/>
      <c r="APC11" s="79"/>
      <c r="APD11" s="79"/>
      <c r="APE11" s="84">
        <v>6741.58210361069</v>
      </c>
      <c r="APF11" s="84">
        <v>1305.0022135408699</v>
      </c>
      <c r="APG11" s="79"/>
      <c r="APH11" s="79"/>
      <c r="API11" s="79"/>
      <c r="APJ11" s="79"/>
      <c r="APK11" s="79"/>
      <c r="APL11" s="79"/>
      <c r="APM11" s="79"/>
      <c r="APN11" s="79"/>
      <c r="APO11" s="79"/>
      <c r="APP11" s="79"/>
      <c r="APQ11" s="79"/>
      <c r="APR11" s="79"/>
      <c r="APS11" s="79"/>
      <c r="APT11" s="79"/>
      <c r="APU11" s="79"/>
      <c r="APV11" s="79"/>
      <c r="APW11" s="79"/>
      <c r="APX11" s="79"/>
      <c r="APY11" s="79"/>
      <c r="APZ11" s="79"/>
      <c r="AQA11" s="79"/>
      <c r="AQB11" s="79"/>
      <c r="AQC11" s="79"/>
      <c r="AQD11" s="79"/>
      <c r="AQE11" s="79"/>
      <c r="AQF11" s="79"/>
      <c r="AQG11" s="79"/>
      <c r="AQH11" s="79"/>
      <c r="AQI11" s="84">
        <v>8329.7848138957997</v>
      </c>
      <c r="AQJ11" s="84">
        <v>1305.0022135408699</v>
      </c>
    </row>
    <row r="12" spans="1:1170" ht="15.75" customHeight="1" x14ac:dyDescent="0.35">
      <c r="A12" s="92" t="s">
        <v>30</v>
      </c>
      <c r="B12" s="91">
        <v>11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79"/>
      <c r="P12" s="79"/>
      <c r="Q12" s="79"/>
      <c r="R12" s="79"/>
      <c r="S12" s="79"/>
      <c r="T12" s="79"/>
      <c r="U12" s="79"/>
      <c r="V12" s="79"/>
      <c r="W12" s="102" t="s">
        <v>751</v>
      </c>
      <c r="X12" s="83">
        <v>0.79531598353521304</v>
      </c>
      <c r="Y12" s="84">
        <v>12</v>
      </c>
      <c r="Z12" s="83">
        <v>1.98366474058605E-3</v>
      </c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79"/>
      <c r="FA12" s="79"/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79"/>
      <c r="FN12" s="79"/>
      <c r="FO12" s="79"/>
      <c r="FP12" s="79"/>
      <c r="FQ12" s="79"/>
      <c r="FR12" s="79"/>
      <c r="FS12" s="79"/>
      <c r="FT12" s="79"/>
      <c r="FU12" s="79"/>
      <c r="FV12" s="79"/>
      <c r="FW12" s="79"/>
      <c r="FX12" s="79"/>
      <c r="FY12" s="79"/>
      <c r="FZ12" s="79"/>
      <c r="GA12" s="79"/>
      <c r="GB12" s="79"/>
      <c r="GC12" s="79"/>
      <c r="GD12" s="79"/>
      <c r="GE12" s="79"/>
      <c r="GF12" s="79"/>
      <c r="GG12" s="79"/>
      <c r="GH12" s="79"/>
      <c r="GI12" s="79"/>
      <c r="GJ12" s="79"/>
      <c r="GK12" s="79"/>
      <c r="GL12" s="79"/>
      <c r="GM12" s="79"/>
      <c r="GN12" s="79"/>
      <c r="GO12" s="79"/>
      <c r="GP12" s="79"/>
      <c r="GQ12" s="79"/>
      <c r="GR12" s="79"/>
      <c r="GS12" s="79"/>
      <c r="GT12" s="79"/>
      <c r="GU12" s="79"/>
      <c r="GV12" s="79"/>
      <c r="GW12" s="79"/>
      <c r="GX12" s="79"/>
      <c r="GY12" s="79"/>
      <c r="GZ12" s="79"/>
      <c r="HA12" s="79"/>
      <c r="HB12" s="79"/>
      <c r="HC12" s="79"/>
      <c r="HD12" s="79"/>
      <c r="HE12" s="79"/>
      <c r="HF12" s="79"/>
      <c r="HG12" s="79"/>
      <c r="HH12" s="79"/>
      <c r="HI12" s="79"/>
      <c r="HJ12" s="79"/>
      <c r="HK12" s="79"/>
      <c r="HL12" s="79"/>
      <c r="HM12" s="79"/>
      <c r="HN12" s="79"/>
      <c r="HO12" s="79"/>
      <c r="HP12" s="79"/>
      <c r="HQ12" s="79"/>
      <c r="HR12" s="79"/>
      <c r="HS12" s="79"/>
      <c r="HT12" s="79"/>
      <c r="HU12" s="79"/>
      <c r="HV12" s="79"/>
      <c r="HW12" s="79"/>
      <c r="HX12" s="79"/>
      <c r="HY12" s="79"/>
      <c r="HZ12" s="79"/>
      <c r="IA12" s="79"/>
      <c r="IB12" s="79"/>
      <c r="IC12" s="79"/>
      <c r="ID12" s="79"/>
      <c r="IE12" s="79"/>
      <c r="IF12" s="79"/>
      <c r="IG12" s="79"/>
      <c r="IH12" s="79"/>
      <c r="II12" s="79"/>
      <c r="IJ12" s="79"/>
      <c r="IK12" s="79"/>
      <c r="IL12" s="79"/>
      <c r="IM12" s="79"/>
      <c r="IN12" s="79"/>
      <c r="IO12" s="79"/>
      <c r="IP12" s="79"/>
      <c r="IQ12" s="79"/>
      <c r="IR12" s="79"/>
      <c r="IS12" s="79"/>
      <c r="IT12" s="79"/>
      <c r="IU12" s="79"/>
      <c r="IV12" s="79"/>
      <c r="IW12" s="79"/>
      <c r="IX12" s="79"/>
      <c r="IY12" s="79"/>
      <c r="IZ12" s="79"/>
      <c r="JA12" s="79"/>
      <c r="JB12" s="79"/>
      <c r="JC12" s="79"/>
      <c r="JD12" s="79"/>
      <c r="JE12" s="79"/>
      <c r="JF12" s="79"/>
      <c r="JG12" s="79"/>
      <c r="JH12" s="79"/>
      <c r="JI12" s="79"/>
      <c r="JJ12" s="79"/>
      <c r="JK12" s="79"/>
      <c r="JL12" s="79"/>
      <c r="JM12" s="79"/>
      <c r="JN12" s="79"/>
      <c r="JO12" s="79"/>
      <c r="JP12" s="79"/>
      <c r="JQ12" s="79"/>
      <c r="JR12" s="79"/>
      <c r="JS12" s="79"/>
      <c r="JT12" s="79"/>
      <c r="JU12" s="79"/>
      <c r="JV12" s="79"/>
      <c r="JW12" s="79"/>
      <c r="JX12" s="79"/>
      <c r="JY12" s="79"/>
      <c r="JZ12" s="79"/>
      <c r="KA12" s="79"/>
      <c r="KB12" s="79"/>
      <c r="KC12" s="79"/>
      <c r="KD12" s="79"/>
      <c r="KE12" s="79"/>
      <c r="KF12" s="79"/>
      <c r="KG12" s="79"/>
      <c r="KH12" s="79"/>
      <c r="KI12" s="79"/>
      <c r="KJ12" s="79"/>
      <c r="KK12" s="79"/>
      <c r="KL12" s="79"/>
      <c r="KM12" s="79"/>
      <c r="KN12" s="79"/>
      <c r="KO12" s="79"/>
      <c r="KP12" s="79"/>
      <c r="KQ12" s="79"/>
      <c r="KR12" s="79"/>
      <c r="KS12" s="79"/>
      <c r="KT12" s="79"/>
      <c r="KU12" s="79"/>
      <c r="KV12" s="79"/>
      <c r="KW12" s="79"/>
      <c r="KX12" s="79"/>
      <c r="KY12" s="79"/>
      <c r="KZ12" s="79"/>
      <c r="LA12" s="79"/>
      <c r="LB12" s="79"/>
      <c r="LC12" s="79"/>
      <c r="LD12" s="79"/>
      <c r="LE12" s="79"/>
      <c r="LF12" s="79"/>
      <c r="LG12" s="79"/>
      <c r="LH12" s="79"/>
      <c r="LI12" s="79"/>
      <c r="LJ12" s="79"/>
      <c r="LK12" s="79"/>
      <c r="LL12" s="79"/>
      <c r="LM12" s="79"/>
      <c r="LN12" s="79"/>
      <c r="LO12" s="79"/>
      <c r="LP12" s="79"/>
      <c r="LQ12" s="79"/>
      <c r="LR12" s="79"/>
      <c r="LS12" s="79"/>
      <c r="LT12" s="79"/>
      <c r="LU12" s="79"/>
      <c r="LV12" s="79"/>
      <c r="LW12" s="79"/>
      <c r="LX12" s="79"/>
      <c r="LY12" s="79"/>
      <c r="LZ12" s="79"/>
      <c r="MA12" s="79"/>
      <c r="MB12" s="79"/>
      <c r="MC12" s="79"/>
      <c r="MD12" s="79"/>
      <c r="ME12" s="79"/>
      <c r="MF12" s="79"/>
      <c r="MG12" s="79"/>
      <c r="MH12" s="79"/>
      <c r="MI12" s="79"/>
      <c r="MJ12" s="79"/>
      <c r="MK12" s="79"/>
      <c r="ML12" s="79"/>
      <c r="MM12" s="79"/>
      <c r="MN12" s="79"/>
      <c r="MO12" s="79"/>
      <c r="MP12" s="79"/>
      <c r="MQ12" s="79"/>
      <c r="MR12" s="79"/>
      <c r="MS12" s="79"/>
      <c r="MT12" s="79"/>
      <c r="MU12" s="79"/>
      <c r="MV12" s="79"/>
      <c r="MW12" s="79"/>
      <c r="MX12" s="79"/>
      <c r="MY12" s="79"/>
      <c r="MZ12" s="79"/>
      <c r="NA12" s="79"/>
      <c r="NB12" s="79"/>
      <c r="NC12" s="79"/>
      <c r="ND12" s="79"/>
      <c r="NE12" s="79"/>
      <c r="NF12" s="79"/>
      <c r="NG12" s="79"/>
      <c r="NH12" s="79"/>
      <c r="NI12" s="79"/>
      <c r="NJ12" s="79"/>
      <c r="NK12" s="79"/>
      <c r="NL12" s="79"/>
      <c r="NM12" s="79"/>
      <c r="NN12" s="79"/>
      <c r="NO12" s="79"/>
      <c r="NP12" s="79"/>
      <c r="NQ12" s="79"/>
      <c r="NR12" s="79"/>
      <c r="NS12" s="79"/>
      <c r="NT12" s="79"/>
      <c r="NU12" s="79"/>
      <c r="NV12" s="79"/>
      <c r="NW12" s="79"/>
      <c r="NX12" s="79"/>
      <c r="NY12" s="79"/>
      <c r="NZ12" s="79"/>
      <c r="OA12" s="79"/>
      <c r="OB12" s="79"/>
      <c r="OC12" s="79"/>
      <c r="OD12" s="79"/>
      <c r="OE12" s="79"/>
      <c r="OF12" s="79"/>
      <c r="OG12" s="79"/>
      <c r="OH12" s="79"/>
      <c r="OI12" s="79"/>
      <c r="OJ12" s="79"/>
      <c r="OK12" s="79"/>
      <c r="OL12" s="79"/>
      <c r="OM12" s="79"/>
      <c r="ON12" s="79"/>
      <c r="OO12" s="79"/>
      <c r="OP12" s="79"/>
      <c r="OQ12" s="79"/>
      <c r="OR12" s="79"/>
      <c r="OS12" s="79"/>
      <c r="OT12" s="79"/>
      <c r="OU12" s="79"/>
      <c r="OV12" s="79"/>
      <c r="OW12" s="79"/>
      <c r="OX12" s="79"/>
      <c r="OY12" s="79"/>
      <c r="OZ12" s="79"/>
      <c r="PA12" s="79"/>
      <c r="PB12" s="79"/>
      <c r="PC12" s="79"/>
      <c r="PD12" s="79"/>
      <c r="PE12" s="79"/>
      <c r="PF12" s="79"/>
      <c r="PG12" s="79"/>
      <c r="PH12" s="79"/>
      <c r="PI12" s="79"/>
      <c r="PJ12" s="79"/>
      <c r="PK12" s="79"/>
      <c r="PL12" s="79"/>
      <c r="PM12" s="79"/>
      <c r="PN12" s="79"/>
      <c r="PO12" s="79"/>
      <c r="PP12" s="79"/>
      <c r="PQ12" s="79"/>
      <c r="PR12" s="79"/>
      <c r="PS12" s="79"/>
      <c r="PT12" s="79"/>
      <c r="PU12" s="79"/>
      <c r="PV12" s="79"/>
      <c r="PW12" s="79"/>
      <c r="PX12" s="79"/>
      <c r="PY12" s="79"/>
      <c r="PZ12" s="79"/>
      <c r="QA12" s="79"/>
      <c r="QB12" s="79"/>
      <c r="QC12" s="79"/>
      <c r="QD12" s="79"/>
      <c r="QE12" s="79"/>
      <c r="QF12" s="79"/>
      <c r="QG12" s="79"/>
      <c r="QH12" s="79"/>
      <c r="QI12" s="79"/>
      <c r="QJ12" s="79"/>
      <c r="QK12" s="79"/>
      <c r="QL12" s="79"/>
      <c r="QM12" s="79"/>
      <c r="QN12" s="79"/>
      <c r="QO12" s="79"/>
      <c r="QP12" s="79"/>
      <c r="QQ12" s="79"/>
      <c r="QR12" s="79"/>
      <c r="QS12" s="79"/>
      <c r="QT12" s="79"/>
      <c r="QU12" s="79"/>
      <c r="QV12" s="79"/>
      <c r="QW12" s="79"/>
      <c r="QX12" s="79"/>
      <c r="QY12" s="79"/>
      <c r="QZ12" s="79"/>
      <c r="RA12" s="79"/>
      <c r="RB12" s="79"/>
      <c r="RC12" s="79"/>
      <c r="RD12" s="79"/>
      <c r="RE12" s="79"/>
      <c r="RF12" s="79"/>
      <c r="RG12" s="79"/>
      <c r="RH12" s="79"/>
      <c r="RI12" s="79"/>
      <c r="RJ12" s="79"/>
      <c r="RK12" s="79"/>
      <c r="RL12" s="79"/>
      <c r="RM12" s="79"/>
      <c r="RN12" s="79"/>
      <c r="RO12" s="79"/>
      <c r="RP12" s="79"/>
      <c r="RQ12" s="79"/>
      <c r="RR12" s="79"/>
      <c r="RS12" s="79"/>
      <c r="RT12" s="79"/>
      <c r="RU12" s="79"/>
      <c r="RV12" s="79"/>
      <c r="RW12" s="79"/>
      <c r="RX12" s="79"/>
      <c r="RY12" s="79"/>
      <c r="RZ12" s="79"/>
      <c r="SA12" s="79"/>
      <c r="SB12" s="79"/>
      <c r="SC12" s="79"/>
      <c r="SD12" s="79"/>
      <c r="SE12" s="79"/>
      <c r="SF12" s="79"/>
      <c r="SG12" s="79"/>
      <c r="SH12" s="79"/>
      <c r="SI12" s="79"/>
      <c r="SJ12" s="79"/>
      <c r="SK12" s="79"/>
      <c r="SL12" s="79"/>
      <c r="SM12" s="79"/>
      <c r="SN12" s="79"/>
      <c r="SO12" s="79"/>
      <c r="SP12" s="79"/>
      <c r="SQ12" s="79"/>
      <c r="SR12" s="79"/>
      <c r="SS12" s="79"/>
      <c r="ST12" s="79"/>
      <c r="SU12" s="79"/>
      <c r="SV12" s="79"/>
      <c r="SW12" s="79"/>
      <c r="SX12" s="79"/>
      <c r="SY12" s="79"/>
      <c r="SZ12" s="79"/>
      <c r="TA12" s="79"/>
      <c r="TB12" s="79"/>
      <c r="TC12" s="79"/>
      <c r="TD12" s="79"/>
      <c r="TE12" s="79"/>
      <c r="TF12" s="79"/>
      <c r="TG12" s="79"/>
      <c r="TH12" s="79"/>
      <c r="TI12" s="79"/>
      <c r="TJ12" s="79"/>
      <c r="TK12" s="79"/>
      <c r="TL12" s="79"/>
      <c r="TM12" s="79"/>
      <c r="TN12" s="79"/>
      <c r="TO12" s="79"/>
      <c r="TP12" s="79"/>
      <c r="TQ12" s="79"/>
      <c r="TR12" s="79"/>
      <c r="TS12" s="79"/>
      <c r="TT12" s="79"/>
      <c r="TU12" s="79"/>
      <c r="TV12" s="79"/>
      <c r="TW12" s="79"/>
      <c r="TX12" s="79"/>
      <c r="TY12" s="79"/>
      <c r="TZ12" s="79"/>
      <c r="UA12" s="79"/>
      <c r="UB12" s="79"/>
      <c r="UC12" s="79"/>
      <c r="UD12" s="79"/>
      <c r="UE12" s="79"/>
      <c r="UF12" s="79"/>
      <c r="UG12" s="79"/>
      <c r="UH12" s="79"/>
      <c r="UI12" s="79"/>
      <c r="UJ12" s="79"/>
      <c r="UK12" s="79"/>
      <c r="UL12" s="79"/>
      <c r="UM12" s="79"/>
      <c r="UN12" s="79"/>
      <c r="UO12" s="79"/>
      <c r="UP12" s="79"/>
      <c r="UQ12" s="79"/>
      <c r="UR12" s="79"/>
      <c r="US12" s="79"/>
      <c r="UT12" s="79"/>
      <c r="UU12" s="79"/>
      <c r="UV12" s="79"/>
      <c r="UW12" s="79"/>
      <c r="UX12" s="79"/>
      <c r="UY12" s="79"/>
      <c r="UZ12" s="79"/>
      <c r="VA12" s="79"/>
      <c r="VB12" s="79"/>
      <c r="VC12" s="79"/>
      <c r="VD12" s="79"/>
      <c r="VE12" s="79"/>
      <c r="VF12" s="79"/>
      <c r="VG12" s="79"/>
      <c r="VH12" s="79"/>
      <c r="VI12" s="79"/>
      <c r="VJ12" s="79"/>
      <c r="VK12" s="79"/>
      <c r="VL12" s="79"/>
      <c r="VM12" s="79"/>
      <c r="VN12" s="79"/>
      <c r="VO12" s="79"/>
      <c r="VP12" s="79"/>
      <c r="VQ12" s="79"/>
      <c r="VR12" s="79"/>
      <c r="VS12" s="79"/>
      <c r="VT12" s="79"/>
      <c r="VU12" s="79"/>
      <c r="VV12" s="79"/>
      <c r="VW12" s="79"/>
      <c r="VX12" s="79"/>
      <c r="VY12" s="79"/>
      <c r="VZ12" s="79"/>
      <c r="WA12" s="79"/>
      <c r="WB12" s="79"/>
      <c r="WC12" s="79"/>
      <c r="WD12" s="79"/>
      <c r="WE12" s="79"/>
      <c r="WF12" s="79"/>
      <c r="WG12" s="79"/>
      <c r="WH12" s="79"/>
      <c r="WI12" s="79"/>
      <c r="WJ12" s="79"/>
      <c r="WK12" s="79"/>
      <c r="WL12" s="79"/>
      <c r="WM12" s="79"/>
      <c r="WN12" s="79"/>
      <c r="WO12" s="79"/>
      <c r="WP12" s="79"/>
      <c r="WQ12" s="79"/>
      <c r="WR12" s="79"/>
      <c r="WS12" s="79"/>
      <c r="WT12" s="79"/>
      <c r="WU12" s="79"/>
      <c r="WV12" s="79"/>
      <c r="WW12" s="79"/>
      <c r="WX12" s="79"/>
      <c r="WY12" s="79"/>
      <c r="WZ12" s="79"/>
      <c r="XA12" s="79"/>
      <c r="XB12" s="79"/>
      <c r="XC12" s="79"/>
      <c r="XD12" s="79"/>
      <c r="XE12" s="79"/>
      <c r="XF12" s="79"/>
      <c r="XG12" s="79"/>
      <c r="XH12" s="79"/>
      <c r="XI12" s="79"/>
      <c r="XJ12" s="79"/>
      <c r="XK12" s="79"/>
      <c r="XL12" s="79"/>
      <c r="XM12" s="79"/>
      <c r="XN12" s="79"/>
      <c r="XO12" s="79"/>
      <c r="XP12" s="79"/>
      <c r="XQ12" s="79"/>
      <c r="XR12" s="79"/>
      <c r="XS12" s="79"/>
      <c r="XT12" s="79"/>
      <c r="XU12" s="79"/>
      <c r="XV12" s="79"/>
      <c r="XW12" s="79"/>
      <c r="XX12" s="79"/>
      <c r="XY12" s="79"/>
      <c r="XZ12" s="79"/>
      <c r="YA12" s="79"/>
      <c r="YB12" s="79"/>
      <c r="YC12" s="79"/>
      <c r="YD12" s="79"/>
      <c r="YE12" s="79"/>
      <c r="YF12" s="79"/>
      <c r="YG12" s="79"/>
      <c r="YH12" s="79"/>
      <c r="YI12" s="79"/>
      <c r="YJ12" s="79"/>
      <c r="YK12" s="79"/>
      <c r="YL12" s="79"/>
      <c r="YM12" s="79"/>
      <c r="YN12" s="79"/>
      <c r="YO12" s="79"/>
      <c r="YP12" s="79"/>
      <c r="YQ12" s="79"/>
      <c r="YR12" s="79"/>
      <c r="YS12" s="79"/>
      <c r="YT12" s="79"/>
      <c r="YU12" s="79"/>
      <c r="YV12" s="79"/>
      <c r="YW12" s="79"/>
      <c r="YX12" s="79"/>
      <c r="YY12" s="79"/>
      <c r="YZ12" s="79"/>
      <c r="ZA12" s="79"/>
      <c r="ZB12" s="79"/>
      <c r="ZC12" s="79"/>
      <c r="ZD12" s="79"/>
      <c r="ZE12" s="79"/>
      <c r="ZF12" s="79"/>
      <c r="ZG12" s="79"/>
      <c r="ZH12" s="79"/>
      <c r="ZI12" s="79"/>
      <c r="ZJ12" s="79"/>
      <c r="ZK12" s="79"/>
      <c r="ZL12" s="79"/>
      <c r="ZM12" s="79"/>
      <c r="ZN12" s="79"/>
      <c r="ZO12" s="79"/>
      <c r="ZP12" s="79"/>
      <c r="ZQ12" s="79"/>
      <c r="ZR12" s="79"/>
      <c r="ZS12" s="79"/>
      <c r="ZT12" s="79"/>
      <c r="ZU12" s="79"/>
      <c r="ZV12" s="79"/>
      <c r="ZW12" s="79"/>
      <c r="ZX12" s="79"/>
      <c r="ZY12" s="79"/>
      <c r="ZZ12" s="79"/>
      <c r="AAA12" s="79"/>
      <c r="AAB12" s="79"/>
      <c r="AAC12" s="79"/>
      <c r="AAD12" s="79"/>
      <c r="AAE12" s="79"/>
      <c r="AAF12" s="79"/>
      <c r="AAG12" s="79"/>
      <c r="AAH12" s="79"/>
      <c r="AAI12" s="79"/>
      <c r="AAJ12" s="79"/>
      <c r="AAK12" s="79"/>
      <c r="AAL12" s="79"/>
      <c r="AAM12" s="79"/>
      <c r="AAN12" s="79"/>
      <c r="AAO12" s="79"/>
      <c r="AAP12" s="79"/>
      <c r="AAQ12" s="79"/>
      <c r="AAR12" s="79"/>
      <c r="AAS12" s="79"/>
      <c r="AAT12" s="79"/>
      <c r="AAU12" s="79"/>
      <c r="AAV12" s="79"/>
      <c r="AAW12" s="79"/>
      <c r="AAX12" s="79"/>
      <c r="AAY12" s="79"/>
      <c r="AAZ12" s="79"/>
      <c r="ABA12" s="79"/>
      <c r="ABB12" s="79"/>
      <c r="ABC12" s="79"/>
      <c r="ABD12" s="79"/>
      <c r="ABE12" s="79"/>
      <c r="ABF12" s="79"/>
      <c r="ABG12" s="79"/>
      <c r="ABH12" s="79"/>
      <c r="ABI12" s="79"/>
      <c r="ABJ12" s="79"/>
      <c r="ABK12" s="79"/>
      <c r="ABL12" s="79"/>
      <c r="ABM12" s="79"/>
      <c r="ABN12" s="79"/>
      <c r="ABO12" s="79"/>
      <c r="ABP12" s="79"/>
      <c r="ABQ12" s="79"/>
      <c r="ABR12" s="79"/>
      <c r="ABS12" s="79"/>
      <c r="ABT12" s="79"/>
      <c r="ABU12" s="79"/>
      <c r="ABV12" s="79"/>
      <c r="ABW12" s="79"/>
      <c r="ABX12" s="79"/>
      <c r="ABY12" s="79"/>
      <c r="ABZ12" s="79"/>
      <c r="ACA12" s="79"/>
      <c r="ACB12" s="79"/>
      <c r="ACC12" s="79"/>
      <c r="ACD12" s="79"/>
      <c r="ACE12" s="79"/>
      <c r="ACF12" s="79"/>
      <c r="ACG12" s="79"/>
      <c r="ACH12" s="79"/>
      <c r="ACI12" s="79"/>
      <c r="ACJ12" s="79"/>
      <c r="ACK12" s="79"/>
      <c r="ACL12" s="79"/>
      <c r="ACM12" s="79"/>
      <c r="ACN12" s="79"/>
      <c r="ACO12" s="79"/>
      <c r="ACP12" s="79"/>
      <c r="ACQ12" s="79"/>
      <c r="ACR12" s="79"/>
      <c r="ACS12" s="79"/>
      <c r="ACT12" s="79"/>
      <c r="ACU12" s="79"/>
      <c r="ACV12" s="79"/>
      <c r="ACW12" s="79"/>
      <c r="ACX12" s="79"/>
      <c r="ACY12" s="79"/>
      <c r="ACZ12" s="79"/>
      <c r="ADA12" s="79"/>
      <c r="ADB12" s="79"/>
      <c r="ADC12" s="79"/>
      <c r="ADD12" s="79"/>
      <c r="ADE12" s="79"/>
      <c r="ADF12" s="79"/>
      <c r="ADG12" s="79"/>
      <c r="ADH12" s="79"/>
      <c r="ADI12" s="79"/>
      <c r="ADJ12" s="79"/>
      <c r="ADK12" s="79"/>
      <c r="ADL12" s="79"/>
      <c r="ADM12" s="79"/>
      <c r="ADN12" s="79"/>
      <c r="ADO12" s="79"/>
      <c r="ADP12" s="79"/>
      <c r="ADQ12" s="79"/>
      <c r="ADR12" s="79"/>
      <c r="ADS12" s="79"/>
      <c r="ADT12" s="79"/>
      <c r="ADU12" s="79"/>
      <c r="ADV12" s="79"/>
      <c r="ADW12" s="79"/>
      <c r="ADX12" s="79"/>
      <c r="ADY12" s="79"/>
      <c r="ADZ12" s="79"/>
      <c r="AEA12" s="79"/>
      <c r="AEB12" s="79"/>
      <c r="AEC12" s="79"/>
      <c r="AED12" s="79"/>
      <c r="AEE12" s="79"/>
      <c r="AEF12" s="79"/>
      <c r="AEG12" s="79"/>
      <c r="AEH12" s="79"/>
      <c r="AEI12" s="79"/>
      <c r="AEJ12" s="79"/>
      <c r="AEK12" s="79"/>
      <c r="AEL12" s="79"/>
      <c r="AEM12" s="79"/>
      <c r="AEN12" s="79"/>
      <c r="AEO12" s="79"/>
      <c r="AEP12" s="79"/>
      <c r="AEQ12" s="79"/>
      <c r="AER12" s="79"/>
      <c r="AES12" s="79"/>
      <c r="AET12" s="79"/>
      <c r="AEU12" s="79"/>
      <c r="AEV12" s="79"/>
      <c r="AEW12" s="79"/>
      <c r="AEX12" s="79"/>
      <c r="AEY12" s="79"/>
      <c r="AEZ12" s="79"/>
      <c r="AFA12" s="79"/>
      <c r="AFB12" s="79"/>
      <c r="AFC12" s="79"/>
      <c r="AFD12" s="79"/>
      <c r="AFE12" s="79"/>
      <c r="AFF12" s="79"/>
      <c r="AFG12" s="79"/>
      <c r="AFH12" s="79"/>
      <c r="AFI12" s="79"/>
      <c r="AFJ12" s="79"/>
      <c r="AFK12" s="79"/>
      <c r="AFL12" s="79"/>
      <c r="AFM12" s="79"/>
      <c r="AFN12" s="79"/>
      <c r="AFO12" s="79"/>
      <c r="AFP12" s="79"/>
      <c r="AFQ12" s="79"/>
      <c r="AFR12" s="79"/>
      <c r="AFS12" s="79"/>
      <c r="AFT12" s="79"/>
      <c r="AFU12" s="79"/>
      <c r="AFV12" s="79"/>
      <c r="AFW12" s="79"/>
      <c r="AFX12" s="79"/>
      <c r="AFY12" s="79"/>
      <c r="AFZ12" s="79"/>
      <c r="AGA12" s="79"/>
      <c r="AGB12" s="79"/>
      <c r="AGC12" s="79"/>
      <c r="AGD12" s="79"/>
      <c r="AGE12" s="79"/>
      <c r="AGF12" s="79"/>
      <c r="AGG12" s="79"/>
      <c r="AGH12" s="79"/>
      <c r="AGI12" s="79"/>
      <c r="AGJ12" s="79"/>
      <c r="AGK12" s="79"/>
      <c r="AGL12" s="79"/>
      <c r="AGM12" s="79"/>
      <c r="AGN12" s="79"/>
      <c r="AGO12" s="79"/>
      <c r="AGP12" s="79"/>
      <c r="AGQ12" s="79"/>
      <c r="AGR12" s="79"/>
      <c r="AGS12" s="79"/>
      <c r="AGT12" s="79"/>
      <c r="AGU12" s="79"/>
      <c r="AGV12" s="79"/>
      <c r="AGW12" s="79"/>
      <c r="AGX12" s="79"/>
      <c r="AGY12" s="79"/>
      <c r="AGZ12" s="79"/>
      <c r="AHA12" s="79"/>
      <c r="AHB12" s="79"/>
      <c r="AHC12" s="79"/>
      <c r="AHD12" s="79"/>
      <c r="AHE12" s="79"/>
      <c r="AHF12" s="79"/>
      <c r="AHG12" s="79"/>
      <c r="AHH12" s="79"/>
      <c r="AHI12" s="79"/>
      <c r="AHJ12" s="79"/>
      <c r="AHK12" s="79"/>
      <c r="AHL12" s="79"/>
      <c r="AHM12" s="79"/>
      <c r="AHN12" s="79"/>
      <c r="AHO12" s="79"/>
      <c r="AHP12" s="79"/>
      <c r="AHQ12" s="79"/>
      <c r="AHR12" s="79"/>
      <c r="AHS12" s="79"/>
      <c r="AHT12" s="79"/>
      <c r="AHU12" s="79"/>
      <c r="AHV12" s="79"/>
      <c r="AHW12" s="79"/>
      <c r="AHX12" s="79"/>
      <c r="AHY12" s="79"/>
      <c r="AHZ12" s="79"/>
      <c r="AIA12" s="79"/>
      <c r="AIB12" s="79"/>
      <c r="AIC12" s="79"/>
      <c r="AID12" s="79"/>
      <c r="AIE12" s="79"/>
      <c r="AIF12" s="79"/>
      <c r="AIG12" s="79"/>
      <c r="AIH12" s="79"/>
      <c r="AII12" s="79"/>
      <c r="AIJ12" s="79"/>
      <c r="AIK12" s="79"/>
      <c r="AIL12" s="79"/>
      <c r="AIM12" s="79"/>
      <c r="AIN12" s="79"/>
      <c r="AIO12" s="79"/>
      <c r="AIP12" s="79"/>
      <c r="AIQ12" s="79"/>
      <c r="AIR12" s="79"/>
      <c r="AIS12" s="79"/>
      <c r="AIT12" s="79"/>
      <c r="AIU12" s="79"/>
      <c r="AIV12" s="79"/>
      <c r="AIW12" s="79"/>
      <c r="AIX12" s="79"/>
      <c r="AIY12" s="79"/>
      <c r="AIZ12" s="79"/>
      <c r="AJA12" s="79"/>
      <c r="AJB12" s="79"/>
      <c r="AJC12" s="79"/>
      <c r="AJD12" s="79"/>
      <c r="AJE12" s="79"/>
      <c r="AJF12" s="79"/>
      <c r="AJG12" s="79"/>
      <c r="AJH12" s="79"/>
      <c r="AJI12" s="79"/>
      <c r="AJJ12" s="79"/>
      <c r="AJK12" s="79"/>
      <c r="AJL12" s="79"/>
      <c r="AJM12" s="79"/>
      <c r="AJN12" s="79"/>
      <c r="AJO12" s="79"/>
      <c r="AJP12" s="79"/>
      <c r="AJQ12" s="79"/>
      <c r="AJR12" s="79"/>
      <c r="AJS12" s="79"/>
      <c r="AJT12" s="79"/>
      <c r="AJU12" s="79"/>
      <c r="AJV12" s="79"/>
      <c r="AJW12" s="79"/>
      <c r="AJX12" s="79"/>
      <c r="AJY12" s="79"/>
      <c r="AJZ12" s="79"/>
      <c r="AKA12" s="79"/>
      <c r="AKB12" s="79"/>
      <c r="AKC12" s="79"/>
      <c r="AKD12" s="79"/>
      <c r="AKE12" s="79"/>
      <c r="AKF12" s="79"/>
      <c r="AKG12" s="79"/>
      <c r="AKH12" s="79"/>
      <c r="AKI12" s="79"/>
      <c r="AKJ12" s="79"/>
      <c r="AKK12" s="79"/>
      <c r="AKL12" s="79"/>
      <c r="AKM12" s="79"/>
      <c r="AKN12" s="79"/>
      <c r="AKO12" s="79"/>
      <c r="AKP12" s="79"/>
      <c r="AKQ12" s="79"/>
      <c r="AKR12" s="79"/>
      <c r="AKS12" s="79"/>
      <c r="AKT12" s="79"/>
      <c r="AKU12" s="79"/>
      <c r="AKV12" s="79"/>
      <c r="AKW12" s="79"/>
      <c r="AKX12" s="79"/>
      <c r="AKY12" s="79"/>
      <c r="AKZ12" s="79"/>
      <c r="ALA12" s="79"/>
      <c r="ALB12" s="79"/>
      <c r="ALC12" s="79"/>
      <c r="ALD12" s="79"/>
      <c r="ALE12" s="79"/>
      <c r="ALF12" s="79"/>
      <c r="ALG12" s="79"/>
      <c r="ALH12" s="79"/>
      <c r="ALI12" s="79"/>
      <c r="ALJ12" s="79"/>
      <c r="ALK12" s="79"/>
      <c r="ALL12" s="79"/>
      <c r="ALM12" s="79"/>
      <c r="ALN12" s="79"/>
      <c r="ALO12" s="79"/>
      <c r="ALP12" s="79"/>
      <c r="ALQ12" s="79"/>
      <c r="ALR12" s="79"/>
      <c r="ALS12" s="79"/>
      <c r="ALT12" s="79"/>
      <c r="ALU12" s="79"/>
      <c r="ALV12" s="79"/>
      <c r="ALW12" s="79"/>
      <c r="ALX12" s="79"/>
      <c r="ALY12" s="79"/>
      <c r="ALZ12" s="79"/>
      <c r="AMA12" s="79"/>
      <c r="AMB12" s="79"/>
      <c r="AMC12" s="79"/>
      <c r="AMD12" s="79"/>
      <c r="AME12" s="79"/>
      <c r="AMF12" s="79"/>
      <c r="AMG12" s="79"/>
      <c r="AMH12" s="79"/>
      <c r="AMI12" s="79"/>
      <c r="AMJ12" s="79"/>
      <c r="AMK12" s="79"/>
      <c r="AML12" s="79"/>
      <c r="AMM12" s="79"/>
      <c r="AMN12" s="79"/>
      <c r="AMO12" s="79"/>
      <c r="AMP12" s="79"/>
      <c r="AMQ12" s="79"/>
      <c r="AMR12" s="79"/>
      <c r="AMS12" s="79"/>
      <c r="AMT12" s="79"/>
      <c r="AMU12" s="79"/>
      <c r="AMV12" s="79"/>
      <c r="AMW12" s="79"/>
      <c r="AMX12" s="79"/>
      <c r="AMY12" s="84">
        <v>31958.714285714301</v>
      </c>
      <c r="AMZ12" s="84">
        <v>10845.357142857099</v>
      </c>
      <c r="ANA12" s="84">
        <v>31958.714285714301</v>
      </c>
      <c r="ANB12" s="84">
        <v>10845.357142857099</v>
      </c>
      <c r="ANC12" s="79"/>
      <c r="AND12" s="79"/>
      <c r="ANE12" s="84">
        <v>31958.714285714301</v>
      </c>
      <c r="ANF12" s="84">
        <v>17704.857142857101</v>
      </c>
      <c r="ANG12" s="79"/>
      <c r="ANH12" s="79"/>
      <c r="ANI12" s="79"/>
      <c r="ANJ12" s="79"/>
      <c r="ANK12" s="79"/>
      <c r="ANL12" s="79"/>
      <c r="ANM12" s="79"/>
      <c r="ANN12" s="79"/>
      <c r="ANO12" s="79"/>
      <c r="ANP12" s="79"/>
      <c r="ANQ12" s="79"/>
      <c r="ANR12" s="79"/>
      <c r="ANS12" s="84">
        <v>31958.714285714301</v>
      </c>
      <c r="ANT12" s="84">
        <v>3894.6696302985802</v>
      </c>
      <c r="ANU12" s="84">
        <v>10845.357142857099</v>
      </c>
      <c r="ANV12" s="84">
        <v>10845.357142857099</v>
      </c>
      <c r="ANW12" s="79"/>
      <c r="ANX12" s="79"/>
      <c r="ANY12" s="84">
        <v>10845.357142857099</v>
      </c>
      <c r="ANZ12" s="84">
        <v>17704.857142857101</v>
      </c>
      <c r="AOA12" s="79"/>
      <c r="AOB12" s="79"/>
      <c r="AOC12" s="79"/>
      <c r="AOD12" s="79"/>
      <c r="AOE12" s="79"/>
      <c r="AOF12" s="79"/>
      <c r="AOG12" s="79"/>
      <c r="AOH12" s="79"/>
      <c r="AOI12" s="79"/>
      <c r="AOJ12" s="79"/>
      <c r="AOK12" s="79"/>
      <c r="AOL12" s="79"/>
      <c r="AOM12" s="84">
        <v>10845.357142857099</v>
      </c>
      <c r="AON12" s="84">
        <v>3894.6696302985802</v>
      </c>
      <c r="AOO12" s="79"/>
      <c r="AOP12" s="79"/>
      <c r="AOQ12" s="84">
        <v>10845.357142857099</v>
      </c>
      <c r="AOR12" s="84">
        <v>17704.857142857101</v>
      </c>
      <c r="AOS12" s="79"/>
      <c r="AOT12" s="79"/>
      <c r="AOU12" s="79"/>
      <c r="AOV12" s="79"/>
      <c r="AOW12" s="79"/>
      <c r="AOX12" s="79"/>
      <c r="AOY12" s="79"/>
      <c r="AOZ12" s="79"/>
      <c r="APA12" s="79"/>
      <c r="APB12" s="79"/>
      <c r="APC12" s="79"/>
      <c r="APD12" s="79"/>
      <c r="APE12" s="84">
        <v>10845.357142857099</v>
      </c>
      <c r="APF12" s="84">
        <v>3894.6696302985802</v>
      </c>
      <c r="APG12" s="79"/>
      <c r="APH12" s="79"/>
      <c r="API12" s="79"/>
      <c r="APJ12" s="79"/>
      <c r="APK12" s="79"/>
      <c r="APL12" s="79"/>
      <c r="APM12" s="79"/>
      <c r="APN12" s="79"/>
      <c r="APO12" s="79"/>
      <c r="APP12" s="79"/>
      <c r="APQ12" s="79"/>
      <c r="APR12" s="79"/>
      <c r="APS12" s="79"/>
      <c r="APT12" s="79"/>
      <c r="APU12" s="79"/>
      <c r="APV12" s="79"/>
      <c r="APW12" s="79"/>
      <c r="APX12" s="79"/>
      <c r="APY12" s="79"/>
      <c r="APZ12" s="79"/>
      <c r="AQA12" s="79"/>
      <c r="AQB12" s="79"/>
      <c r="AQC12" s="79"/>
      <c r="AQD12" s="79"/>
      <c r="AQE12" s="79"/>
      <c r="AQF12" s="79"/>
      <c r="AQG12" s="79"/>
      <c r="AQH12" s="79"/>
      <c r="AQI12" s="84">
        <v>17704.857142857101</v>
      </c>
      <c r="AQJ12" s="84">
        <v>3894.6696302985802</v>
      </c>
    </row>
    <row r="13" spans="1:1170" ht="15.75" customHeight="1" x14ac:dyDescent="0.35">
      <c r="A13" s="97" t="s">
        <v>2</v>
      </c>
      <c r="B13" s="96">
        <v>0.90084001555078996</v>
      </c>
      <c r="C13" s="96">
        <v>0.86116668103749605</v>
      </c>
      <c r="D13" s="94">
        <v>1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W13" s="102" t="s">
        <v>748</v>
      </c>
      <c r="X13" s="83">
        <v>0.76011973390050203</v>
      </c>
      <c r="Y13" s="84">
        <v>11</v>
      </c>
      <c r="Z13" s="83">
        <v>6.6246972374357097E-3</v>
      </c>
    </row>
    <row r="14" spans="1:1170" ht="15.75" customHeight="1" x14ac:dyDescent="0.35">
      <c r="A14" s="92" t="s">
        <v>810</v>
      </c>
      <c r="B14" s="93">
        <v>1.54205158965199E-4</v>
      </c>
      <c r="C14" s="93">
        <v>3.2024866509454799E-4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W14" s="102" t="s">
        <v>743</v>
      </c>
      <c r="X14" s="83">
        <v>0.70023804792779398</v>
      </c>
      <c r="Y14" s="84">
        <v>8</v>
      </c>
      <c r="Z14" s="83">
        <v>5.3107732855984399E-2</v>
      </c>
    </row>
    <row r="15" spans="1:1170" ht="15.75" customHeight="1" x14ac:dyDescent="0.35">
      <c r="A15" s="92" t="s">
        <v>30</v>
      </c>
      <c r="B15" s="91">
        <v>11</v>
      </c>
      <c r="C15" s="91">
        <v>12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W15" s="102" t="s">
        <v>742</v>
      </c>
      <c r="X15" s="83">
        <v>0.69621797199081403</v>
      </c>
      <c r="Y15" s="84">
        <v>12</v>
      </c>
      <c r="Z15" s="83">
        <v>1.19001727502783E-2</v>
      </c>
    </row>
    <row r="16" spans="1:1170" ht="15.75" customHeight="1" x14ac:dyDescent="0.35">
      <c r="A16" s="97" t="s">
        <v>3</v>
      </c>
      <c r="B16" s="96">
        <v>0.90645773445123101</v>
      </c>
      <c r="C16" s="96">
        <v>0.82154725787017102</v>
      </c>
      <c r="D16" s="96">
        <v>0.974132163181059</v>
      </c>
      <c r="E16" s="94">
        <v>1</v>
      </c>
      <c r="F16" s="94"/>
      <c r="G16" s="94"/>
      <c r="H16" s="94"/>
      <c r="I16" s="94"/>
      <c r="J16" s="94"/>
      <c r="K16" s="94"/>
      <c r="L16" s="94"/>
      <c r="M16" s="94"/>
      <c r="N16" s="94"/>
      <c r="W16" s="102" t="s">
        <v>738</v>
      </c>
      <c r="X16" s="83">
        <v>0.66963027721590995</v>
      </c>
      <c r="Y16" s="84">
        <v>10</v>
      </c>
      <c r="Z16" s="83">
        <v>3.4165416431624997E-2</v>
      </c>
    </row>
    <row r="17" spans="1:26" ht="15.75" customHeight="1" thickBot="1" x14ac:dyDescent="0.4">
      <c r="A17" s="92" t="s">
        <v>810</v>
      </c>
      <c r="B17" s="93">
        <v>1.19603423547234E-4</v>
      </c>
      <c r="C17" s="93">
        <v>1.04744031417724E-3</v>
      </c>
      <c r="D17" s="98">
        <v>8.7344301574949498E-8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W17" s="104" t="s">
        <v>735</v>
      </c>
      <c r="X17" s="105">
        <v>0.62980104849327401</v>
      </c>
      <c r="Y17" s="106">
        <v>7</v>
      </c>
      <c r="Z17" s="105">
        <v>0.129567175747307</v>
      </c>
    </row>
    <row r="18" spans="1:26" ht="15.75" customHeight="1" thickTop="1" x14ac:dyDescent="0.35">
      <c r="A18" s="92" t="s">
        <v>30</v>
      </c>
      <c r="B18" s="91">
        <v>11</v>
      </c>
      <c r="C18" s="91">
        <v>12</v>
      </c>
      <c r="D18" s="91">
        <v>12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</row>
    <row r="19" spans="1:26" ht="15.75" customHeight="1" x14ac:dyDescent="0.35">
      <c r="A19" s="97" t="s">
        <v>21</v>
      </c>
      <c r="B19" s="96">
        <v>0.96354611796072298</v>
      </c>
      <c r="C19" s="96">
        <v>0.941971997721053</v>
      </c>
      <c r="D19" s="96">
        <v>0.87707200845344002</v>
      </c>
      <c r="E19" s="96">
        <v>0.86680773336990302</v>
      </c>
      <c r="F19" s="94">
        <v>1</v>
      </c>
      <c r="G19" s="94"/>
      <c r="H19" s="94"/>
      <c r="I19" s="94"/>
      <c r="J19" s="94"/>
      <c r="K19" s="94"/>
      <c r="L19" s="94"/>
      <c r="M19" s="94"/>
      <c r="N19" s="94"/>
    </row>
    <row r="20" spans="1:26" ht="15.75" customHeight="1" x14ac:dyDescent="0.35">
      <c r="A20" s="92" t="s">
        <v>810</v>
      </c>
      <c r="B20" s="98">
        <v>7.3931098013183902E-6</v>
      </c>
      <c r="C20" s="93">
        <v>4.6233977013222803E-5</v>
      </c>
      <c r="D20" s="93">
        <v>8.5908054207666298E-4</v>
      </c>
      <c r="E20" s="93">
        <v>1.1687875740444E-3</v>
      </c>
      <c r="F20" s="90"/>
      <c r="G20" s="90"/>
      <c r="H20" s="90"/>
      <c r="I20" s="90"/>
      <c r="J20" s="90"/>
      <c r="K20" s="90"/>
      <c r="L20" s="90"/>
      <c r="M20" s="90"/>
      <c r="N20" s="90"/>
    </row>
    <row r="21" spans="1:26" ht="15.75" customHeight="1" x14ac:dyDescent="0.35">
      <c r="A21" s="92" t="s">
        <v>30</v>
      </c>
      <c r="B21" s="91">
        <v>10</v>
      </c>
      <c r="C21" s="91">
        <v>10</v>
      </c>
      <c r="D21" s="91">
        <v>10</v>
      </c>
      <c r="E21" s="91">
        <v>10</v>
      </c>
      <c r="F21" s="90"/>
      <c r="G21" s="90"/>
      <c r="H21" s="90"/>
      <c r="I21" s="90"/>
      <c r="J21" s="90"/>
      <c r="K21" s="90"/>
      <c r="L21" s="90"/>
      <c r="M21" s="90"/>
      <c r="N21" s="90"/>
    </row>
    <row r="22" spans="1:26" ht="15.75" customHeight="1" x14ac:dyDescent="0.35">
      <c r="A22" s="97" t="s">
        <v>22</v>
      </c>
      <c r="B22" s="96">
        <v>0.96829310704250704</v>
      </c>
      <c r="C22" s="96">
        <v>0.96437276364413405</v>
      </c>
      <c r="D22" s="96">
        <v>0.88588218383232598</v>
      </c>
      <c r="E22" s="96">
        <v>0.87006773186483599</v>
      </c>
      <c r="F22" s="96">
        <v>0.94105387470328705</v>
      </c>
      <c r="G22" s="94">
        <v>1</v>
      </c>
      <c r="H22" s="94"/>
      <c r="I22" s="94"/>
      <c r="J22" s="94"/>
      <c r="K22" s="94"/>
      <c r="L22" s="94"/>
      <c r="M22" s="94"/>
      <c r="N22" s="94"/>
    </row>
    <row r="23" spans="1:26" ht="15.75" customHeight="1" x14ac:dyDescent="0.35">
      <c r="A23" s="92" t="s">
        <v>810</v>
      </c>
      <c r="B23" s="98">
        <v>1.00640325862594E-6</v>
      </c>
      <c r="C23" s="98">
        <v>4.2579151223907598E-7</v>
      </c>
      <c r="D23" s="93">
        <v>1.2548013692420399E-4</v>
      </c>
      <c r="E23" s="93">
        <v>2.33556345060125E-4</v>
      </c>
      <c r="F23" s="93">
        <v>4.9174832074379301E-5</v>
      </c>
      <c r="G23" s="90"/>
      <c r="H23" s="90"/>
      <c r="I23" s="90"/>
      <c r="J23" s="90"/>
      <c r="K23" s="90"/>
      <c r="L23" s="90"/>
      <c r="M23" s="90"/>
      <c r="N23" s="90"/>
    </row>
    <row r="24" spans="1:26" ht="15.75" customHeight="1" x14ac:dyDescent="0.35">
      <c r="A24" s="92" t="s">
        <v>30</v>
      </c>
      <c r="B24" s="91">
        <v>11</v>
      </c>
      <c r="C24" s="91">
        <v>12</v>
      </c>
      <c r="D24" s="91">
        <v>12</v>
      </c>
      <c r="E24" s="91">
        <v>12</v>
      </c>
      <c r="F24" s="91">
        <v>10</v>
      </c>
      <c r="G24" s="90"/>
      <c r="H24" s="90"/>
      <c r="I24" s="90"/>
      <c r="J24" s="90"/>
      <c r="K24" s="90"/>
      <c r="L24" s="90"/>
      <c r="M24" s="90"/>
      <c r="N24" s="90"/>
    </row>
    <row r="25" spans="1:26" ht="15.75" customHeight="1" x14ac:dyDescent="0.35">
      <c r="A25" s="97" t="s">
        <v>23</v>
      </c>
      <c r="B25" s="96">
        <v>0.72049733412622896</v>
      </c>
      <c r="C25" s="96">
        <v>0.845484656794525</v>
      </c>
      <c r="D25" s="96">
        <v>0.98705680944393703</v>
      </c>
      <c r="E25" s="96">
        <v>0.91176386372038598</v>
      </c>
      <c r="F25" s="96">
        <v>0.67897955701650203</v>
      </c>
      <c r="G25" s="96">
        <v>0.78610631537268205</v>
      </c>
      <c r="H25" s="94">
        <v>1</v>
      </c>
      <c r="I25" s="94"/>
      <c r="J25" s="94"/>
      <c r="K25" s="94"/>
      <c r="L25" s="94"/>
      <c r="M25" s="94"/>
      <c r="N25" s="94"/>
    </row>
    <row r="26" spans="1:26" ht="15.75" customHeight="1" x14ac:dyDescent="0.35">
      <c r="A26" s="92" t="s">
        <v>810</v>
      </c>
      <c r="B26" s="93">
        <v>2.8548584738254602E-2</v>
      </c>
      <c r="C26" s="93">
        <v>2.0605298309214499E-3</v>
      </c>
      <c r="D26" s="98">
        <v>1.20887667854415E-7</v>
      </c>
      <c r="E26" s="93">
        <v>2.3813386515047599E-4</v>
      </c>
      <c r="F26" s="93">
        <v>4.4308074944112499E-2</v>
      </c>
      <c r="G26" s="93">
        <v>7.0099881634877702E-3</v>
      </c>
      <c r="H26" s="90"/>
      <c r="I26" s="90"/>
      <c r="J26" s="90"/>
      <c r="K26" s="90"/>
      <c r="L26" s="90"/>
      <c r="M26" s="90"/>
      <c r="N26" s="90"/>
    </row>
    <row r="27" spans="1:26" ht="15.75" customHeight="1" x14ac:dyDescent="0.35">
      <c r="A27" s="92" t="s">
        <v>30</v>
      </c>
      <c r="B27" s="91">
        <v>9</v>
      </c>
      <c r="C27" s="91">
        <v>10</v>
      </c>
      <c r="D27" s="91">
        <v>10</v>
      </c>
      <c r="E27" s="91">
        <v>10</v>
      </c>
      <c r="F27" s="91">
        <v>9</v>
      </c>
      <c r="G27" s="91">
        <v>10</v>
      </c>
      <c r="H27" s="90"/>
      <c r="I27" s="90"/>
      <c r="J27" s="90"/>
      <c r="K27" s="90"/>
      <c r="L27" s="90"/>
      <c r="M27" s="90"/>
      <c r="N27" s="90"/>
    </row>
    <row r="28" spans="1:26" ht="15.75" customHeight="1" x14ac:dyDescent="0.35">
      <c r="A28" s="97" t="s">
        <v>24</v>
      </c>
      <c r="B28" s="96">
        <v>0.90230929790796799</v>
      </c>
      <c r="C28" s="96">
        <v>0.96625729744197997</v>
      </c>
      <c r="D28" s="96">
        <v>0.88649120056973996</v>
      </c>
      <c r="E28" s="96">
        <v>0.81057624076871004</v>
      </c>
      <c r="F28" s="96">
        <v>0.83778484168759104</v>
      </c>
      <c r="G28" s="96">
        <v>0.95795164847181702</v>
      </c>
      <c r="H28" s="96">
        <v>0.99114023941015905</v>
      </c>
      <c r="I28" s="94">
        <v>1</v>
      </c>
      <c r="J28" s="94"/>
      <c r="K28" s="94"/>
      <c r="L28" s="94"/>
      <c r="M28" s="94"/>
      <c r="N28" s="94"/>
    </row>
    <row r="29" spans="1:26" ht="15.75" customHeight="1" x14ac:dyDescent="0.35">
      <c r="A29" s="92" t="s">
        <v>810</v>
      </c>
      <c r="B29" s="93">
        <v>8.7103869058045705E-4</v>
      </c>
      <c r="C29" s="98">
        <v>5.4450617290121703E-6</v>
      </c>
      <c r="D29" s="93">
        <v>6.3194440641950401E-4</v>
      </c>
      <c r="E29" s="93">
        <v>4.4506514532988897E-3</v>
      </c>
      <c r="F29" s="93">
        <v>9.4150699424635706E-3</v>
      </c>
      <c r="G29" s="93">
        <v>1.2998398314497901E-5</v>
      </c>
      <c r="H29" s="98">
        <v>1.7270928106804501E-6</v>
      </c>
      <c r="I29" s="90"/>
      <c r="J29" s="90"/>
      <c r="K29" s="90"/>
      <c r="L29" s="90"/>
      <c r="M29" s="90"/>
      <c r="N29" s="90"/>
    </row>
    <row r="30" spans="1:26" ht="15.75" customHeight="1" x14ac:dyDescent="0.35">
      <c r="A30" s="92" t="s">
        <v>30</v>
      </c>
      <c r="B30" s="91">
        <v>9</v>
      </c>
      <c r="C30" s="91">
        <v>10</v>
      </c>
      <c r="D30" s="91">
        <v>10</v>
      </c>
      <c r="E30" s="91">
        <v>10</v>
      </c>
      <c r="F30" s="91">
        <v>8</v>
      </c>
      <c r="G30" s="91">
        <v>10</v>
      </c>
      <c r="H30" s="91">
        <v>8</v>
      </c>
      <c r="I30" s="90"/>
      <c r="J30" s="90"/>
      <c r="K30" s="90"/>
      <c r="L30" s="90"/>
      <c r="M30" s="90"/>
      <c r="N30" s="90"/>
    </row>
    <row r="31" spans="1:26" ht="15.75" customHeight="1" x14ac:dyDescent="0.35">
      <c r="A31" s="97" t="s">
        <v>4</v>
      </c>
      <c r="B31" s="96">
        <v>0.934661622122825</v>
      </c>
      <c r="C31" s="96">
        <v>0.88912437411748801</v>
      </c>
      <c r="D31" s="96">
        <v>0.952021737570376</v>
      </c>
      <c r="E31" s="96">
        <v>0.89752991263698301</v>
      </c>
      <c r="F31" s="96">
        <v>0.88055627648850998</v>
      </c>
      <c r="G31" s="96">
        <v>0.91738905379788405</v>
      </c>
      <c r="H31" s="96">
        <v>0.92355233501293099</v>
      </c>
      <c r="I31" s="96">
        <v>0.91500787297561303</v>
      </c>
      <c r="J31" s="94">
        <v>1</v>
      </c>
      <c r="K31" s="94"/>
      <c r="L31" s="94"/>
      <c r="M31" s="94"/>
      <c r="N31" s="94"/>
    </row>
    <row r="32" spans="1:26" ht="15.75" customHeight="1" x14ac:dyDescent="0.35">
      <c r="A32" s="92" t="s">
        <v>810</v>
      </c>
      <c r="B32" s="93">
        <v>7.3652318984784E-5</v>
      </c>
      <c r="C32" s="93">
        <v>5.7721277951909501E-4</v>
      </c>
      <c r="D32" s="93">
        <v>2.1874082936605799E-5</v>
      </c>
      <c r="E32" s="93">
        <v>4.2553767560926501E-4</v>
      </c>
      <c r="F32" s="93">
        <v>7.6910185487533405E-4</v>
      </c>
      <c r="G32" s="93">
        <v>1.84251749057436E-4</v>
      </c>
      <c r="H32" s="93">
        <v>3.7721025712999303E-4</v>
      </c>
      <c r="I32" s="93">
        <v>1.43870913265607E-3</v>
      </c>
      <c r="J32" s="90"/>
      <c r="K32" s="90"/>
      <c r="L32" s="90"/>
      <c r="M32" s="90"/>
      <c r="N32" s="90"/>
    </row>
    <row r="33" spans="1:14" ht="15.75" customHeight="1" x14ac:dyDescent="0.35">
      <c r="A33" s="92" t="s">
        <v>30</v>
      </c>
      <c r="B33" s="91">
        <v>10</v>
      </c>
      <c r="C33" s="91">
        <v>10</v>
      </c>
      <c r="D33" s="91">
        <v>10</v>
      </c>
      <c r="E33" s="91">
        <v>10</v>
      </c>
      <c r="F33" s="91">
        <v>10</v>
      </c>
      <c r="G33" s="91">
        <v>10</v>
      </c>
      <c r="H33" s="91">
        <v>9</v>
      </c>
      <c r="I33" s="91">
        <v>8</v>
      </c>
      <c r="J33" s="90"/>
      <c r="K33" s="90"/>
      <c r="L33" s="90"/>
      <c r="M33" s="90"/>
      <c r="N33" s="90"/>
    </row>
    <row r="34" spans="1:14" ht="15.75" customHeight="1" x14ac:dyDescent="0.35">
      <c r="A34" s="97" t="s">
        <v>5</v>
      </c>
      <c r="B34" s="95">
        <v>0.31429431564139698</v>
      </c>
      <c r="C34" s="95">
        <v>0.41268208547235002</v>
      </c>
      <c r="D34" s="95">
        <v>0.64811089307444003</v>
      </c>
      <c r="E34" s="95">
        <v>0.41333064470354203</v>
      </c>
      <c r="F34" s="95">
        <v>0.181760046874195</v>
      </c>
      <c r="G34" s="95">
        <v>0.32730213540063702</v>
      </c>
      <c r="H34" s="96">
        <v>0.81770103499255598</v>
      </c>
      <c r="I34" s="95">
        <v>0.67987531162971304</v>
      </c>
      <c r="J34" s="95">
        <v>0.66352633402561401</v>
      </c>
      <c r="K34" s="94">
        <v>1</v>
      </c>
      <c r="L34" s="94"/>
      <c r="M34" s="94"/>
      <c r="N34" s="94"/>
    </row>
    <row r="35" spans="1:14" ht="15.75" customHeight="1" x14ac:dyDescent="0.35">
      <c r="A35" s="92" t="s">
        <v>810</v>
      </c>
      <c r="B35" s="93">
        <v>0.44835596646946202</v>
      </c>
      <c r="C35" s="93">
        <v>0.30958555968639201</v>
      </c>
      <c r="D35" s="93">
        <v>8.2206681651622301E-2</v>
      </c>
      <c r="E35" s="93">
        <v>0.30874898269477602</v>
      </c>
      <c r="F35" s="93">
        <v>0.69650619656823998</v>
      </c>
      <c r="G35" s="93">
        <v>0.42872842787566001</v>
      </c>
      <c r="H35" s="93">
        <v>2.46392451161788E-2</v>
      </c>
      <c r="I35" s="93">
        <v>9.2875160862235406E-2</v>
      </c>
      <c r="J35" s="93">
        <v>0.104159529827295</v>
      </c>
      <c r="K35" s="90"/>
      <c r="L35" s="90"/>
      <c r="M35" s="90"/>
      <c r="N35" s="90"/>
    </row>
    <row r="36" spans="1:14" ht="15.75" customHeight="1" x14ac:dyDescent="0.35">
      <c r="A36" s="92" t="s">
        <v>30</v>
      </c>
      <c r="B36" s="91">
        <v>8</v>
      </c>
      <c r="C36" s="91">
        <v>8</v>
      </c>
      <c r="D36" s="91">
        <v>8</v>
      </c>
      <c r="E36" s="91">
        <v>8</v>
      </c>
      <c r="F36" s="91">
        <v>7</v>
      </c>
      <c r="G36" s="91">
        <v>8</v>
      </c>
      <c r="H36" s="91">
        <v>7</v>
      </c>
      <c r="I36" s="91">
        <v>7</v>
      </c>
      <c r="J36" s="91">
        <v>7</v>
      </c>
      <c r="K36" s="90"/>
      <c r="L36" s="90"/>
      <c r="M36" s="90"/>
      <c r="N36" s="90"/>
    </row>
    <row r="37" spans="1:14" ht="15.75" customHeight="1" x14ac:dyDescent="0.35">
      <c r="A37" s="97" t="s">
        <v>25</v>
      </c>
      <c r="B37" s="96">
        <v>0.89294285825905895</v>
      </c>
      <c r="C37" s="96">
        <v>0.93514823473193798</v>
      </c>
      <c r="D37" s="96">
        <v>0.73868575908216905</v>
      </c>
      <c r="E37" s="96">
        <v>0.7031666162372</v>
      </c>
      <c r="F37" s="96">
        <v>0.80902492066272302</v>
      </c>
      <c r="G37" s="96">
        <v>0.93491279248132897</v>
      </c>
      <c r="H37" s="96">
        <v>0.90693448469635396</v>
      </c>
      <c r="I37" s="96">
        <v>0.90467616465655698</v>
      </c>
      <c r="J37" s="96">
        <v>0.91377546395729303</v>
      </c>
      <c r="K37" s="95">
        <v>0.50197965405125</v>
      </c>
      <c r="L37" s="94">
        <v>1</v>
      </c>
      <c r="M37" s="94"/>
      <c r="N37" s="94"/>
    </row>
    <row r="38" spans="1:14" ht="15.75" customHeight="1" x14ac:dyDescent="0.35">
      <c r="A38" s="92" t="s">
        <v>810</v>
      </c>
      <c r="B38" s="93">
        <v>1.1887786636795301E-3</v>
      </c>
      <c r="C38" s="93">
        <v>2.1456460166002599E-4</v>
      </c>
      <c r="D38" s="93">
        <v>2.3003742139547201E-2</v>
      </c>
      <c r="E38" s="93">
        <v>3.4584298220101298E-2</v>
      </c>
      <c r="F38" s="93">
        <v>1.5014054100575699E-2</v>
      </c>
      <c r="G38" s="93">
        <v>2.1725247266641699E-4</v>
      </c>
      <c r="H38" s="93">
        <v>4.8241684727448201E-3</v>
      </c>
      <c r="I38" s="93">
        <v>2.0135704259908E-3</v>
      </c>
      <c r="J38" s="93">
        <v>1.5007754489609101E-3</v>
      </c>
      <c r="K38" s="93">
        <v>0.31027583234412798</v>
      </c>
      <c r="L38" s="90"/>
      <c r="M38" s="90"/>
      <c r="N38" s="90"/>
    </row>
    <row r="39" spans="1:14" ht="15.75" customHeight="1" x14ac:dyDescent="0.35">
      <c r="A39" s="92" t="s">
        <v>30</v>
      </c>
      <c r="B39" s="91">
        <v>9</v>
      </c>
      <c r="C39" s="91">
        <v>9</v>
      </c>
      <c r="D39" s="91">
        <v>9</v>
      </c>
      <c r="E39" s="91">
        <v>9</v>
      </c>
      <c r="F39" s="91">
        <v>8</v>
      </c>
      <c r="G39" s="91">
        <v>9</v>
      </c>
      <c r="H39" s="91">
        <v>7</v>
      </c>
      <c r="I39" s="91">
        <v>8</v>
      </c>
      <c r="J39" s="91">
        <v>8</v>
      </c>
      <c r="K39" s="91">
        <v>6</v>
      </c>
      <c r="L39" s="90"/>
      <c r="M39" s="90"/>
      <c r="N39" s="90"/>
    </row>
    <row r="40" spans="1:14" ht="15.75" customHeight="1" x14ac:dyDescent="0.35">
      <c r="A40" s="97" t="s">
        <v>35</v>
      </c>
      <c r="B40" s="96">
        <v>0.92295666658199405</v>
      </c>
      <c r="C40" s="96">
        <v>0.89845616504905301</v>
      </c>
      <c r="D40" s="95">
        <v>0.74913994157999297</v>
      </c>
      <c r="E40" s="96">
        <v>0.87276527214167998</v>
      </c>
      <c r="F40" s="96">
        <v>0.92586856142733098</v>
      </c>
      <c r="G40" s="96">
        <v>0.97275355403319397</v>
      </c>
      <c r="H40" s="95">
        <v>0.67325138893069403</v>
      </c>
      <c r="I40" s="96">
        <v>0.962020424577121</v>
      </c>
      <c r="J40" s="96">
        <v>0.78677777444282804</v>
      </c>
      <c r="K40" s="95">
        <v>0.178827126266318</v>
      </c>
      <c r="L40" s="96">
        <v>0.95159513272687402</v>
      </c>
      <c r="M40" s="94">
        <v>1</v>
      </c>
      <c r="N40" s="94"/>
    </row>
    <row r="41" spans="1:14" ht="15.75" customHeight="1" x14ac:dyDescent="0.35">
      <c r="A41" s="92" t="s">
        <v>810</v>
      </c>
      <c r="B41" s="93">
        <v>3.0347794032069501E-3</v>
      </c>
      <c r="C41" s="93">
        <v>5.9709607794614797E-3</v>
      </c>
      <c r="D41" s="93">
        <v>5.2604851701275698E-2</v>
      </c>
      <c r="E41" s="93">
        <v>1.03443911692375E-2</v>
      </c>
      <c r="F41" s="93">
        <v>2.7605201741467702E-3</v>
      </c>
      <c r="G41" s="93">
        <v>2.31931506220565E-4</v>
      </c>
      <c r="H41" s="93">
        <v>9.7365480152573097E-2</v>
      </c>
      <c r="I41" s="93">
        <v>8.8342420044455403E-3</v>
      </c>
      <c r="J41" s="93">
        <v>3.5812506380692902E-2</v>
      </c>
      <c r="K41" s="93">
        <v>0.77352967383982296</v>
      </c>
      <c r="L41" s="93">
        <v>1.26907927162854E-2</v>
      </c>
      <c r="M41" s="90"/>
      <c r="N41" s="90"/>
    </row>
    <row r="42" spans="1:14" ht="15.75" customHeight="1" x14ac:dyDescent="0.35">
      <c r="A42" s="92" t="s">
        <v>30</v>
      </c>
      <c r="B42" s="91">
        <v>7</v>
      </c>
      <c r="C42" s="91">
        <v>7</v>
      </c>
      <c r="D42" s="91">
        <v>7</v>
      </c>
      <c r="E42" s="91">
        <v>7</v>
      </c>
      <c r="F42" s="91">
        <v>7</v>
      </c>
      <c r="G42" s="91">
        <v>7</v>
      </c>
      <c r="H42" s="91">
        <v>7</v>
      </c>
      <c r="I42" s="91">
        <v>5</v>
      </c>
      <c r="J42" s="91">
        <v>7</v>
      </c>
      <c r="K42" s="91">
        <v>5</v>
      </c>
      <c r="L42" s="91">
        <v>5</v>
      </c>
      <c r="M42" s="90"/>
      <c r="N42" s="90"/>
    </row>
    <row r="43" spans="1:14" ht="15.75" customHeight="1" x14ac:dyDescent="0.35">
      <c r="A43" s="97" t="s">
        <v>72</v>
      </c>
      <c r="B43" s="96">
        <v>0.76011973390050203</v>
      </c>
      <c r="C43" s="96">
        <v>0.83101452807892595</v>
      </c>
      <c r="D43" s="96">
        <v>0.81580421391816305</v>
      </c>
      <c r="E43" s="96">
        <v>0.69621797199081403</v>
      </c>
      <c r="F43" s="96">
        <v>0.66963027721590995</v>
      </c>
      <c r="G43" s="96">
        <v>0.79531598353521304</v>
      </c>
      <c r="H43" s="96">
        <v>0.921299251016377</v>
      </c>
      <c r="I43" s="96">
        <v>0.89187972558303696</v>
      </c>
      <c r="J43" s="96">
        <v>0.80441766329032405</v>
      </c>
      <c r="K43" s="95">
        <v>0.70023804792779398</v>
      </c>
      <c r="L43" s="96">
        <v>0.82925165688018398</v>
      </c>
      <c r="M43" s="95">
        <v>0.62980104849327401</v>
      </c>
      <c r="N43" s="94">
        <v>1</v>
      </c>
    </row>
    <row r="44" spans="1:14" ht="15.75" customHeight="1" x14ac:dyDescent="0.35">
      <c r="A44" s="92" t="s">
        <v>810</v>
      </c>
      <c r="B44" s="93">
        <v>6.6246972374357097E-3</v>
      </c>
      <c r="C44" s="93">
        <v>8.1113532130845103E-4</v>
      </c>
      <c r="D44" s="93">
        <v>1.21464543022108E-3</v>
      </c>
      <c r="E44" s="93">
        <v>1.19001727502783E-2</v>
      </c>
      <c r="F44" s="93">
        <v>3.4165416431624997E-2</v>
      </c>
      <c r="G44" s="93">
        <v>1.98366474058605E-3</v>
      </c>
      <c r="H44" s="93">
        <v>1.5250229471820001E-4</v>
      </c>
      <c r="I44" s="93">
        <v>5.2374015251647804E-4</v>
      </c>
      <c r="J44" s="93">
        <v>5.01826257257839E-3</v>
      </c>
      <c r="K44" s="93">
        <v>5.3107732855984399E-2</v>
      </c>
      <c r="L44" s="93">
        <v>5.7068822190221797E-3</v>
      </c>
      <c r="M44" s="93">
        <v>0.129567175747307</v>
      </c>
      <c r="N44" s="90"/>
    </row>
    <row r="45" spans="1:14" ht="15.75" customHeight="1" x14ac:dyDescent="0.35">
      <c r="A45" s="92" t="s">
        <v>30</v>
      </c>
      <c r="B45" s="91">
        <v>11</v>
      </c>
      <c r="C45" s="91">
        <v>12</v>
      </c>
      <c r="D45" s="91">
        <v>12</v>
      </c>
      <c r="E45" s="91">
        <v>12</v>
      </c>
      <c r="F45" s="91">
        <v>10</v>
      </c>
      <c r="G45" s="91">
        <v>12</v>
      </c>
      <c r="H45" s="91">
        <v>10</v>
      </c>
      <c r="I45" s="91">
        <v>10</v>
      </c>
      <c r="J45" s="91">
        <v>10</v>
      </c>
      <c r="K45" s="91">
        <v>8</v>
      </c>
      <c r="L45" s="91">
        <v>9</v>
      </c>
      <c r="M45" s="91">
        <v>7</v>
      </c>
      <c r="N45" s="90"/>
    </row>
    <row r="46" spans="1:14" ht="15.75" customHeight="1" x14ac:dyDescent="0.35">
      <c r="A46" s="127" t="s">
        <v>809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89"/>
      <c r="N46" s="89"/>
    </row>
    <row r="48" spans="1:14" ht="15.75" customHeight="1" thickBot="1" x14ac:dyDescent="0.4">
      <c r="A48" s="124" t="s">
        <v>807</v>
      </c>
      <c r="B48" s="124"/>
      <c r="C48" s="88"/>
      <c r="D48" s="88"/>
    </row>
    <row r="49" spans="1:23" ht="15.75" customHeight="1" x14ac:dyDescent="0.35">
      <c r="A49" s="87" t="s">
        <v>808</v>
      </c>
      <c r="B49" s="87" t="s">
        <v>807</v>
      </c>
      <c r="C49" s="87" t="s">
        <v>30</v>
      </c>
      <c r="D49" s="87" t="s">
        <v>806</v>
      </c>
    </row>
    <row r="50" spans="1:23" ht="15.75" customHeight="1" x14ac:dyDescent="0.35">
      <c r="A50" s="85" t="s">
        <v>805</v>
      </c>
      <c r="B50" s="83">
        <v>0.99114023941015905</v>
      </c>
      <c r="C50" s="84">
        <v>8</v>
      </c>
      <c r="D50" s="86">
        <v>1.7270928106804501E-6</v>
      </c>
      <c r="W50" s="78"/>
    </row>
    <row r="51" spans="1:23" ht="15.75" customHeight="1" x14ac:dyDescent="0.35">
      <c r="A51" s="85" t="s">
        <v>804</v>
      </c>
      <c r="B51" s="83">
        <v>0.98705680944393703</v>
      </c>
      <c r="C51" s="84">
        <v>10</v>
      </c>
      <c r="D51" s="86">
        <v>1.20887667854415E-7</v>
      </c>
      <c r="W51" s="78"/>
    </row>
    <row r="52" spans="1:23" ht="15.75" customHeight="1" x14ac:dyDescent="0.35">
      <c r="A52" s="85" t="s">
        <v>803</v>
      </c>
      <c r="B52" s="83">
        <v>0.974132163181059</v>
      </c>
      <c r="C52" s="84">
        <v>12</v>
      </c>
      <c r="D52" s="86">
        <v>8.7344301574949498E-8</v>
      </c>
      <c r="W52" s="78"/>
    </row>
    <row r="53" spans="1:23" ht="15.75" customHeight="1" x14ac:dyDescent="0.35">
      <c r="A53" s="85" t="s">
        <v>802</v>
      </c>
      <c r="B53" s="83">
        <v>0.97275355403319397</v>
      </c>
      <c r="C53" s="84">
        <v>7</v>
      </c>
      <c r="D53" s="83">
        <v>2.31931506220565E-4</v>
      </c>
      <c r="W53" s="78"/>
    </row>
    <row r="54" spans="1:23" ht="15.75" customHeight="1" x14ac:dyDescent="0.35">
      <c r="A54" s="85" t="s">
        <v>801</v>
      </c>
      <c r="B54" s="83">
        <v>0.96829310704250704</v>
      </c>
      <c r="C54" s="84">
        <v>11</v>
      </c>
      <c r="D54" s="86">
        <v>1.00640325862594E-6</v>
      </c>
      <c r="W54" s="78"/>
    </row>
    <row r="55" spans="1:23" ht="15.75" customHeight="1" x14ac:dyDescent="0.35">
      <c r="A55" s="85" t="s">
        <v>800</v>
      </c>
      <c r="B55" s="83">
        <v>0.96625729744197997</v>
      </c>
      <c r="C55" s="84">
        <v>10</v>
      </c>
      <c r="D55" s="86">
        <v>5.4450617290121703E-6</v>
      </c>
      <c r="W55" s="78"/>
    </row>
    <row r="56" spans="1:23" ht="15.75" customHeight="1" x14ac:dyDescent="0.35">
      <c r="A56" s="85" t="s">
        <v>799</v>
      </c>
      <c r="B56" s="83">
        <v>0.96437276364413405</v>
      </c>
      <c r="C56" s="84">
        <v>12</v>
      </c>
      <c r="D56" s="86">
        <v>4.2579151223907598E-7</v>
      </c>
      <c r="W56" s="78"/>
    </row>
    <row r="57" spans="1:23" ht="15.75" customHeight="1" x14ac:dyDescent="0.35">
      <c r="A57" s="85" t="s">
        <v>798</v>
      </c>
      <c r="B57" s="83">
        <v>0.96354611796072298</v>
      </c>
      <c r="C57" s="84">
        <v>10</v>
      </c>
      <c r="D57" s="86">
        <v>7.3931098013183902E-6</v>
      </c>
      <c r="W57" s="78"/>
    </row>
    <row r="58" spans="1:23" ht="15.75" customHeight="1" x14ac:dyDescent="0.35">
      <c r="A58" s="85" t="s">
        <v>797</v>
      </c>
      <c r="B58" s="83">
        <v>0.962020424577121</v>
      </c>
      <c r="C58" s="84">
        <v>5</v>
      </c>
      <c r="D58" s="83">
        <v>8.8342420044455403E-3</v>
      </c>
      <c r="W58" s="78"/>
    </row>
    <row r="59" spans="1:23" ht="15.75" customHeight="1" x14ac:dyDescent="0.35">
      <c r="A59" s="85" t="s">
        <v>796</v>
      </c>
      <c r="B59" s="83">
        <v>0.95795164847181702</v>
      </c>
      <c r="C59" s="84">
        <v>10</v>
      </c>
      <c r="D59" s="83">
        <v>1.2998398314497901E-5</v>
      </c>
      <c r="W59" s="78"/>
    </row>
    <row r="60" spans="1:23" ht="15.75" customHeight="1" x14ac:dyDescent="0.35">
      <c r="A60" s="85" t="s">
        <v>795</v>
      </c>
      <c r="B60" s="83">
        <v>0.95496137827239602</v>
      </c>
      <c r="C60" s="84">
        <v>11</v>
      </c>
      <c r="D60" s="86">
        <v>4.7896385816205803E-6</v>
      </c>
      <c r="W60" s="78"/>
    </row>
    <row r="61" spans="1:23" ht="15.75" customHeight="1" x14ac:dyDescent="0.35">
      <c r="A61" s="85" t="s">
        <v>794</v>
      </c>
      <c r="B61" s="83">
        <v>0.952021737570376</v>
      </c>
      <c r="C61" s="84">
        <v>10</v>
      </c>
      <c r="D61" s="83">
        <v>2.1874082936605799E-5</v>
      </c>
      <c r="W61" s="78"/>
    </row>
    <row r="62" spans="1:23" ht="15.75" customHeight="1" x14ac:dyDescent="0.35">
      <c r="A62" s="85" t="s">
        <v>793</v>
      </c>
      <c r="B62" s="83">
        <v>0.95159513272687402</v>
      </c>
      <c r="C62" s="84">
        <v>5</v>
      </c>
      <c r="D62" s="83">
        <v>1.26907927162854E-2</v>
      </c>
      <c r="W62" s="78"/>
    </row>
    <row r="63" spans="1:23" ht="15.75" customHeight="1" x14ac:dyDescent="0.35">
      <c r="A63" s="85" t="s">
        <v>792</v>
      </c>
      <c r="B63" s="83">
        <v>0.941971997721053</v>
      </c>
      <c r="C63" s="84">
        <v>10</v>
      </c>
      <c r="D63" s="83">
        <v>4.6233977013222803E-5</v>
      </c>
      <c r="W63" s="78"/>
    </row>
    <row r="64" spans="1:23" ht="15.75" customHeight="1" x14ac:dyDescent="0.35">
      <c r="A64" s="85" t="s">
        <v>791</v>
      </c>
      <c r="B64" s="83">
        <v>0.94105387470328705</v>
      </c>
      <c r="C64" s="84">
        <v>10</v>
      </c>
      <c r="D64" s="83">
        <v>4.9174832074379301E-5</v>
      </c>
      <c r="W64" s="78"/>
    </row>
    <row r="65" spans="1:23" ht="15.75" customHeight="1" x14ac:dyDescent="0.35">
      <c r="A65" s="85" t="s">
        <v>790</v>
      </c>
      <c r="B65" s="83">
        <v>0.93514823473193798</v>
      </c>
      <c r="C65" s="84">
        <v>9</v>
      </c>
      <c r="D65" s="83">
        <v>2.1456460166002599E-4</v>
      </c>
      <c r="W65" s="78"/>
    </row>
    <row r="66" spans="1:23" ht="15.75" customHeight="1" x14ac:dyDescent="0.35">
      <c r="A66" s="85" t="s">
        <v>789</v>
      </c>
      <c r="B66" s="83">
        <v>0.93491279248132897</v>
      </c>
      <c r="C66" s="84">
        <v>9</v>
      </c>
      <c r="D66" s="83">
        <v>2.1725247266641699E-4</v>
      </c>
      <c r="W66" s="78"/>
    </row>
    <row r="67" spans="1:23" ht="15.75" customHeight="1" x14ac:dyDescent="0.35">
      <c r="A67" s="85" t="s">
        <v>788</v>
      </c>
      <c r="B67" s="83">
        <v>0.934661622122825</v>
      </c>
      <c r="C67" s="84">
        <v>10</v>
      </c>
      <c r="D67" s="83">
        <v>7.3652318984784E-5</v>
      </c>
      <c r="W67" s="78"/>
    </row>
    <row r="68" spans="1:23" ht="15.75" customHeight="1" x14ac:dyDescent="0.35">
      <c r="A68" s="85" t="s">
        <v>787</v>
      </c>
      <c r="B68" s="83">
        <v>0.92586856142733098</v>
      </c>
      <c r="C68" s="84">
        <v>7</v>
      </c>
      <c r="D68" s="83">
        <v>2.7605201741467702E-3</v>
      </c>
      <c r="W68" s="78"/>
    </row>
    <row r="69" spans="1:23" ht="15.75" customHeight="1" x14ac:dyDescent="0.35">
      <c r="A69" s="85" t="s">
        <v>786</v>
      </c>
      <c r="B69" s="83">
        <v>0.92355233501293099</v>
      </c>
      <c r="C69" s="84">
        <v>9</v>
      </c>
      <c r="D69" s="83">
        <v>3.7721025712999303E-4</v>
      </c>
      <c r="W69" s="78"/>
    </row>
    <row r="70" spans="1:23" ht="15.75" customHeight="1" x14ac:dyDescent="0.35">
      <c r="A70" s="85" t="s">
        <v>785</v>
      </c>
      <c r="B70" s="83">
        <v>0.92295666658199405</v>
      </c>
      <c r="C70" s="84">
        <v>7</v>
      </c>
      <c r="D70" s="83">
        <v>3.0347794032069501E-3</v>
      </c>
      <c r="W70" s="78"/>
    </row>
    <row r="71" spans="1:23" ht="15.75" customHeight="1" x14ac:dyDescent="0.35">
      <c r="A71" s="85" t="s">
        <v>784</v>
      </c>
      <c r="B71" s="83">
        <v>0.921299251016377</v>
      </c>
      <c r="C71" s="84">
        <v>10</v>
      </c>
      <c r="D71" s="83">
        <v>1.5250229471820001E-4</v>
      </c>
    </row>
    <row r="72" spans="1:23" ht="15.75" customHeight="1" x14ac:dyDescent="0.35">
      <c r="A72" s="85" t="s">
        <v>783</v>
      </c>
      <c r="B72" s="83">
        <v>0.91738905379788405</v>
      </c>
      <c r="C72" s="84">
        <v>10</v>
      </c>
      <c r="D72" s="83">
        <v>1.84251749057436E-4</v>
      </c>
      <c r="W72" s="78"/>
    </row>
    <row r="73" spans="1:23" ht="15.75" customHeight="1" x14ac:dyDescent="0.35">
      <c r="A73" s="85" t="s">
        <v>782</v>
      </c>
      <c r="B73" s="83">
        <v>0.91500787297561303</v>
      </c>
      <c r="C73" s="84">
        <v>8</v>
      </c>
      <c r="D73" s="83">
        <v>1.43870913265607E-3</v>
      </c>
      <c r="W73" s="78"/>
    </row>
    <row r="74" spans="1:23" ht="15.75" customHeight="1" x14ac:dyDescent="0.35">
      <c r="A74" s="85" t="s">
        <v>781</v>
      </c>
      <c r="B74" s="83">
        <v>0.91377546395729303</v>
      </c>
      <c r="C74" s="84">
        <v>8</v>
      </c>
      <c r="D74" s="83">
        <v>1.5007754489609101E-3</v>
      </c>
      <c r="W74" s="78"/>
    </row>
    <row r="75" spans="1:23" ht="15.75" customHeight="1" x14ac:dyDescent="0.35">
      <c r="A75" s="85" t="s">
        <v>780</v>
      </c>
      <c r="B75" s="83">
        <v>0.91176386372038598</v>
      </c>
      <c r="C75" s="84">
        <v>10</v>
      </c>
      <c r="D75" s="83">
        <v>2.3813386515047599E-4</v>
      </c>
      <c r="W75" s="78"/>
    </row>
    <row r="76" spans="1:23" ht="15.75" customHeight="1" x14ac:dyDescent="0.35">
      <c r="A76" s="85" t="s">
        <v>779</v>
      </c>
      <c r="B76" s="83">
        <v>0.90693448469635396</v>
      </c>
      <c r="C76" s="84">
        <v>7</v>
      </c>
      <c r="D76" s="83">
        <v>4.8241684727448201E-3</v>
      </c>
      <c r="W76" s="78"/>
    </row>
    <row r="77" spans="1:23" ht="15.75" customHeight="1" x14ac:dyDescent="0.35">
      <c r="A77" s="85" t="s">
        <v>778</v>
      </c>
      <c r="B77" s="83">
        <v>0.90645773445123101</v>
      </c>
      <c r="C77" s="84">
        <v>11</v>
      </c>
      <c r="D77" s="83">
        <v>1.19603423547234E-4</v>
      </c>
      <c r="W77" s="78"/>
    </row>
    <row r="78" spans="1:23" ht="15.75" customHeight="1" x14ac:dyDescent="0.35">
      <c r="A78" s="85" t="s">
        <v>777</v>
      </c>
      <c r="B78" s="83">
        <v>0.90467616465655698</v>
      </c>
      <c r="C78" s="84">
        <v>8</v>
      </c>
      <c r="D78" s="83">
        <v>2.0135704259908E-3</v>
      </c>
      <c r="W78" s="78"/>
    </row>
    <row r="79" spans="1:23" ht="15.75" customHeight="1" x14ac:dyDescent="0.35">
      <c r="A79" s="85" t="s">
        <v>776</v>
      </c>
      <c r="B79" s="83">
        <v>0.90230929790796799</v>
      </c>
      <c r="C79" s="84">
        <v>9</v>
      </c>
      <c r="D79" s="83">
        <v>8.7103869058045705E-4</v>
      </c>
      <c r="W79" s="78"/>
    </row>
    <row r="80" spans="1:23" ht="15.75" customHeight="1" x14ac:dyDescent="0.35">
      <c r="A80" s="85" t="s">
        <v>775</v>
      </c>
      <c r="B80" s="83">
        <v>0.90084001555078996</v>
      </c>
      <c r="C80" s="84">
        <v>11</v>
      </c>
      <c r="D80" s="83">
        <v>1.54205158965199E-4</v>
      </c>
      <c r="W80" s="78"/>
    </row>
    <row r="81" spans="1:23" ht="15.75" customHeight="1" x14ac:dyDescent="0.35">
      <c r="A81" s="85" t="s">
        <v>774</v>
      </c>
      <c r="B81" s="83">
        <v>0.89845616504905301</v>
      </c>
      <c r="C81" s="84">
        <v>7</v>
      </c>
      <c r="D81" s="83">
        <v>5.9709607794614797E-3</v>
      </c>
      <c r="W81" s="78"/>
    </row>
    <row r="82" spans="1:23" ht="15.75" customHeight="1" x14ac:dyDescent="0.35">
      <c r="A82" s="85" t="s">
        <v>773</v>
      </c>
      <c r="B82" s="83">
        <v>0.89752991263698301</v>
      </c>
      <c r="C82" s="84">
        <v>10</v>
      </c>
      <c r="D82" s="83">
        <v>4.2553767560926501E-4</v>
      </c>
      <c r="W82" s="78"/>
    </row>
    <row r="83" spans="1:23" ht="15.75" customHeight="1" x14ac:dyDescent="0.35">
      <c r="A83" s="85" t="s">
        <v>772</v>
      </c>
      <c r="B83" s="83">
        <v>0.89294285825905895</v>
      </c>
      <c r="C83" s="84">
        <v>9</v>
      </c>
      <c r="D83" s="83">
        <v>1.1887786636795301E-3</v>
      </c>
      <c r="W83" s="78"/>
    </row>
    <row r="84" spans="1:23" ht="15.75" customHeight="1" x14ac:dyDescent="0.35">
      <c r="A84" s="85" t="s">
        <v>771</v>
      </c>
      <c r="B84" s="83">
        <v>0.89187972558303696</v>
      </c>
      <c r="C84" s="84">
        <v>10</v>
      </c>
      <c r="D84" s="83">
        <v>5.2374015251647804E-4</v>
      </c>
    </row>
    <row r="85" spans="1:23" ht="15.75" customHeight="1" x14ac:dyDescent="0.35">
      <c r="A85" s="85" t="s">
        <v>770</v>
      </c>
      <c r="B85" s="83">
        <v>0.88912437411748801</v>
      </c>
      <c r="C85" s="84">
        <v>10</v>
      </c>
      <c r="D85" s="83">
        <v>5.7721277951909501E-4</v>
      </c>
      <c r="W85" s="78"/>
    </row>
    <row r="86" spans="1:23" ht="15.75" customHeight="1" x14ac:dyDescent="0.35">
      <c r="A86" s="85" t="s">
        <v>769</v>
      </c>
      <c r="B86" s="83">
        <v>0.88649120056973996</v>
      </c>
      <c r="C86" s="84">
        <v>10</v>
      </c>
      <c r="D86" s="83">
        <v>6.3194440641950401E-4</v>
      </c>
      <c r="W86" s="78"/>
    </row>
    <row r="87" spans="1:23" ht="15.75" customHeight="1" x14ac:dyDescent="0.35">
      <c r="A87" s="85" t="s">
        <v>768</v>
      </c>
      <c r="B87" s="83">
        <v>0.88588218383232598</v>
      </c>
      <c r="C87" s="84">
        <v>12</v>
      </c>
      <c r="D87" s="83">
        <v>1.2548013692420399E-4</v>
      </c>
      <c r="W87" s="78"/>
    </row>
    <row r="88" spans="1:23" ht="15.75" customHeight="1" x14ac:dyDescent="0.35">
      <c r="A88" s="85" t="s">
        <v>767</v>
      </c>
      <c r="B88" s="83">
        <v>0.88055627648850998</v>
      </c>
      <c r="C88" s="84">
        <v>10</v>
      </c>
      <c r="D88" s="83">
        <v>7.6910185487533405E-4</v>
      </c>
      <c r="W88" s="78"/>
    </row>
    <row r="89" spans="1:23" ht="15.75" customHeight="1" x14ac:dyDescent="0.35">
      <c r="A89" s="85" t="s">
        <v>766</v>
      </c>
      <c r="B89" s="83">
        <v>0.87707200845344002</v>
      </c>
      <c r="C89" s="84">
        <v>10</v>
      </c>
      <c r="D89" s="83">
        <v>8.5908054207666298E-4</v>
      </c>
      <c r="W89" s="78"/>
    </row>
    <row r="90" spans="1:23" ht="15.75" customHeight="1" x14ac:dyDescent="0.35">
      <c r="A90" s="85" t="s">
        <v>765</v>
      </c>
      <c r="B90" s="83">
        <v>0.87276527214167998</v>
      </c>
      <c r="C90" s="84">
        <v>7</v>
      </c>
      <c r="D90" s="83">
        <v>1.03443911692375E-2</v>
      </c>
      <c r="W90" s="78"/>
    </row>
    <row r="91" spans="1:23" ht="15.75" customHeight="1" x14ac:dyDescent="0.35">
      <c r="A91" s="85" t="s">
        <v>764</v>
      </c>
      <c r="B91" s="83">
        <v>0.87006773186483599</v>
      </c>
      <c r="C91" s="84">
        <v>12</v>
      </c>
      <c r="D91" s="83">
        <v>2.33556345060125E-4</v>
      </c>
      <c r="W91" s="78"/>
    </row>
    <row r="92" spans="1:23" ht="15.75" customHeight="1" x14ac:dyDescent="0.35">
      <c r="A92" s="85" t="s">
        <v>763</v>
      </c>
      <c r="B92" s="83">
        <v>0.86680773336990302</v>
      </c>
      <c r="C92" s="84">
        <v>10</v>
      </c>
      <c r="D92" s="83">
        <v>1.1687875740444E-3</v>
      </c>
      <c r="W92" s="78"/>
    </row>
    <row r="93" spans="1:23" ht="15.75" customHeight="1" x14ac:dyDescent="0.35">
      <c r="A93" s="85" t="s">
        <v>762</v>
      </c>
      <c r="B93" s="83">
        <v>0.86116668103749605</v>
      </c>
      <c r="C93" s="84">
        <v>12</v>
      </c>
      <c r="D93" s="83">
        <v>3.2024866509454799E-4</v>
      </c>
      <c r="W93" s="78"/>
    </row>
    <row r="94" spans="1:23" ht="15.75" customHeight="1" x14ac:dyDescent="0.35">
      <c r="A94" s="85" t="s">
        <v>761</v>
      </c>
      <c r="B94" s="83">
        <v>0.845484656794525</v>
      </c>
      <c r="C94" s="84">
        <v>10</v>
      </c>
      <c r="D94" s="83">
        <v>2.0605298309214499E-3</v>
      </c>
      <c r="W94" s="78"/>
    </row>
    <row r="95" spans="1:23" ht="15.75" customHeight="1" x14ac:dyDescent="0.35">
      <c r="A95" s="85" t="s">
        <v>760</v>
      </c>
      <c r="B95" s="83">
        <v>0.83778484168759104</v>
      </c>
      <c r="C95" s="84">
        <v>8</v>
      </c>
      <c r="D95" s="83">
        <v>9.4150699424635706E-3</v>
      </c>
      <c r="W95" s="78"/>
    </row>
    <row r="96" spans="1:23" ht="15.75" customHeight="1" x14ac:dyDescent="0.35">
      <c r="A96" s="85" t="s">
        <v>759</v>
      </c>
      <c r="B96" s="83">
        <v>0.83101452807892595</v>
      </c>
      <c r="C96" s="84">
        <v>12</v>
      </c>
      <c r="D96" s="83">
        <v>8.1113532130845103E-4</v>
      </c>
    </row>
    <row r="97" spans="1:23" ht="15.75" customHeight="1" x14ac:dyDescent="0.35">
      <c r="A97" s="85" t="s">
        <v>758</v>
      </c>
      <c r="B97" s="83">
        <v>0.82925165688018398</v>
      </c>
      <c r="C97" s="84">
        <v>9</v>
      </c>
      <c r="D97" s="83">
        <v>5.7068822190221797E-3</v>
      </c>
    </row>
    <row r="98" spans="1:23" ht="15.75" customHeight="1" x14ac:dyDescent="0.35">
      <c r="A98" s="85" t="s">
        <v>757</v>
      </c>
      <c r="B98" s="83">
        <v>0.82154725787017102</v>
      </c>
      <c r="C98" s="84">
        <v>12</v>
      </c>
      <c r="D98" s="83">
        <v>1.04744031417724E-3</v>
      </c>
      <c r="W98" s="78"/>
    </row>
    <row r="99" spans="1:23" ht="15.75" customHeight="1" x14ac:dyDescent="0.35">
      <c r="A99" s="85" t="s">
        <v>756</v>
      </c>
      <c r="B99" s="83">
        <v>0.81770103499255598</v>
      </c>
      <c r="C99" s="84">
        <v>7</v>
      </c>
      <c r="D99" s="83">
        <v>2.46392451161788E-2</v>
      </c>
      <c r="W99" s="78"/>
    </row>
    <row r="100" spans="1:23" ht="15.75" customHeight="1" x14ac:dyDescent="0.35">
      <c r="A100" s="85" t="s">
        <v>755</v>
      </c>
      <c r="B100" s="83">
        <v>0.81580421391816305</v>
      </c>
      <c r="C100" s="84">
        <v>12</v>
      </c>
      <c r="D100" s="83">
        <v>1.21464543022108E-3</v>
      </c>
    </row>
    <row r="101" spans="1:23" ht="15.75" customHeight="1" x14ac:dyDescent="0.35">
      <c r="A101" s="85" t="s">
        <v>754</v>
      </c>
      <c r="B101" s="83">
        <v>0.81057624076871004</v>
      </c>
      <c r="C101" s="84">
        <v>10</v>
      </c>
      <c r="D101" s="83">
        <v>4.4506514532988897E-3</v>
      </c>
      <c r="W101" s="78"/>
    </row>
    <row r="102" spans="1:23" ht="15.75" customHeight="1" x14ac:dyDescent="0.35">
      <c r="A102" s="85" t="s">
        <v>753</v>
      </c>
      <c r="B102" s="83">
        <v>0.80902492066272302</v>
      </c>
      <c r="C102" s="84">
        <v>8</v>
      </c>
      <c r="D102" s="83">
        <v>1.5014054100575699E-2</v>
      </c>
      <c r="W102" s="78"/>
    </row>
    <row r="103" spans="1:23" ht="15.75" customHeight="1" x14ac:dyDescent="0.35">
      <c r="A103" s="85" t="s">
        <v>752</v>
      </c>
      <c r="B103" s="83">
        <v>0.80441766329032405</v>
      </c>
      <c r="C103" s="84">
        <v>10</v>
      </c>
      <c r="D103" s="83">
        <v>5.01826257257839E-3</v>
      </c>
    </row>
    <row r="104" spans="1:23" ht="15.75" customHeight="1" x14ac:dyDescent="0.35">
      <c r="A104" s="85" t="s">
        <v>751</v>
      </c>
      <c r="B104" s="83">
        <v>0.79531598353521304</v>
      </c>
      <c r="C104" s="84">
        <v>12</v>
      </c>
      <c r="D104" s="83">
        <v>1.98366474058605E-3</v>
      </c>
    </row>
    <row r="105" spans="1:23" ht="15.75" customHeight="1" x14ac:dyDescent="0.35">
      <c r="A105" s="85" t="s">
        <v>750</v>
      </c>
      <c r="B105" s="83">
        <v>0.78677777444282804</v>
      </c>
      <c r="C105" s="84">
        <v>7</v>
      </c>
      <c r="D105" s="83">
        <v>3.5812506380692902E-2</v>
      </c>
      <c r="W105" s="78"/>
    </row>
    <row r="106" spans="1:23" ht="15.75" customHeight="1" x14ac:dyDescent="0.35">
      <c r="A106" s="85" t="s">
        <v>749</v>
      </c>
      <c r="B106" s="83">
        <v>0.78610631537268205</v>
      </c>
      <c r="C106" s="84">
        <v>10</v>
      </c>
      <c r="D106" s="83">
        <v>7.0099881634877702E-3</v>
      </c>
      <c r="W106" s="78"/>
    </row>
    <row r="107" spans="1:23" ht="15.75" customHeight="1" x14ac:dyDescent="0.35">
      <c r="A107" s="85" t="s">
        <v>748</v>
      </c>
      <c r="B107" s="83">
        <v>0.76011973390050203</v>
      </c>
      <c r="C107" s="84">
        <v>11</v>
      </c>
      <c r="D107" s="83">
        <v>6.6246972374357097E-3</v>
      </c>
    </row>
    <row r="108" spans="1:23" ht="15.75" customHeight="1" x14ac:dyDescent="0.35">
      <c r="A108" s="85" t="s">
        <v>747</v>
      </c>
      <c r="B108" s="83">
        <v>0.74913994157999297</v>
      </c>
      <c r="C108" s="84">
        <v>7</v>
      </c>
      <c r="D108" s="83">
        <v>5.2604851701275698E-2</v>
      </c>
      <c r="W108" s="78"/>
    </row>
    <row r="109" spans="1:23" ht="15.75" customHeight="1" x14ac:dyDescent="0.35">
      <c r="A109" s="85" t="s">
        <v>746</v>
      </c>
      <c r="B109" s="83">
        <v>0.73868575908216905</v>
      </c>
      <c r="C109" s="84">
        <v>9</v>
      </c>
      <c r="D109" s="83">
        <v>2.3003742139547201E-2</v>
      </c>
      <c r="W109" s="78"/>
    </row>
    <row r="110" spans="1:23" ht="15.75" customHeight="1" x14ac:dyDescent="0.35">
      <c r="A110" s="85" t="s">
        <v>745</v>
      </c>
      <c r="B110" s="83">
        <v>0.72049733412622896</v>
      </c>
      <c r="C110" s="84">
        <v>9</v>
      </c>
      <c r="D110" s="83">
        <v>2.8548584738254602E-2</v>
      </c>
      <c r="W110" s="78"/>
    </row>
    <row r="111" spans="1:23" ht="15.75" customHeight="1" x14ac:dyDescent="0.35">
      <c r="A111" s="85" t="s">
        <v>744</v>
      </c>
      <c r="B111" s="83">
        <v>0.7031666162372</v>
      </c>
      <c r="C111" s="84">
        <v>9</v>
      </c>
      <c r="D111" s="83">
        <v>3.4584298220101298E-2</v>
      </c>
      <c r="W111" s="78"/>
    </row>
    <row r="112" spans="1:23" ht="15.75" customHeight="1" x14ac:dyDescent="0.35">
      <c r="A112" s="85" t="s">
        <v>743</v>
      </c>
      <c r="B112" s="83">
        <v>0.70023804792779398</v>
      </c>
      <c r="C112" s="84">
        <v>8</v>
      </c>
      <c r="D112" s="83">
        <v>5.3107732855984399E-2</v>
      </c>
    </row>
    <row r="113" spans="1:23" ht="15.75" customHeight="1" x14ac:dyDescent="0.35">
      <c r="A113" s="85" t="s">
        <v>742</v>
      </c>
      <c r="B113" s="83">
        <v>0.69621797199081403</v>
      </c>
      <c r="C113" s="84">
        <v>12</v>
      </c>
      <c r="D113" s="83">
        <v>1.19001727502783E-2</v>
      </c>
    </row>
    <row r="114" spans="1:23" ht="15.75" customHeight="1" x14ac:dyDescent="0.35">
      <c r="A114" s="85" t="s">
        <v>741</v>
      </c>
      <c r="B114" s="83">
        <v>0.67987531162971304</v>
      </c>
      <c r="C114" s="84">
        <v>7</v>
      </c>
      <c r="D114" s="83">
        <v>9.2875160862235406E-2</v>
      </c>
      <c r="W114" s="78"/>
    </row>
    <row r="115" spans="1:23" ht="15.75" customHeight="1" x14ac:dyDescent="0.35">
      <c r="A115" s="85" t="s">
        <v>740</v>
      </c>
      <c r="B115" s="83">
        <v>0.67897955701650203</v>
      </c>
      <c r="C115" s="84">
        <v>9</v>
      </c>
      <c r="D115" s="83">
        <v>4.4308074944112499E-2</v>
      </c>
      <c r="W115" s="78"/>
    </row>
    <row r="116" spans="1:23" ht="15.75" customHeight="1" x14ac:dyDescent="0.35">
      <c r="A116" s="85" t="s">
        <v>739</v>
      </c>
      <c r="B116" s="83">
        <v>0.67325138893069403</v>
      </c>
      <c r="C116" s="84">
        <v>7</v>
      </c>
      <c r="D116" s="83">
        <v>9.7365480152573097E-2</v>
      </c>
      <c r="W116" s="78"/>
    </row>
    <row r="117" spans="1:23" ht="15.75" customHeight="1" x14ac:dyDescent="0.35">
      <c r="A117" s="85" t="s">
        <v>738</v>
      </c>
      <c r="B117" s="83">
        <v>0.66963027721590995</v>
      </c>
      <c r="C117" s="84">
        <v>10</v>
      </c>
      <c r="D117" s="83">
        <v>3.4165416431624997E-2</v>
      </c>
    </row>
    <row r="118" spans="1:23" ht="15.75" customHeight="1" x14ac:dyDescent="0.35">
      <c r="A118" s="85" t="s">
        <v>737</v>
      </c>
      <c r="B118" s="83">
        <v>0.66352633402561401</v>
      </c>
      <c r="C118" s="84">
        <v>7</v>
      </c>
      <c r="D118" s="83">
        <v>0.104159529827295</v>
      </c>
      <c r="W118" s="78"/>
    </row>
    <row r="119" spans="1:23" ht="15.75" customHeight="1" x14ac:dyDescent="0.35">
      <c r="A119" s="85" t="s">
        <v>736</v>
      </c>
      <c r="B119" s="83">
        <v>0.64811089307444003</v>
      </c>
      <c r="C119" s="84">
        <v>8</v>
      </c>
      <c r="D119" s="83">
        <v>8.2206681651622301E-2</v>
      </c>
      <c r="W119" s="78"/>
    </row>
    <row r="120" spans="1:23" ht="15.75" customHeight="1" x14ac:dyDescent="0.35">
      <c r="A120" s="85" t="s">
        <v>735</v>
      </c>
      <c r="B120" s="83">
        <v>0.62980104849327401</v>
      </c>
      <c r="C120" s="84">
        <v>7</v>
      </c>
      <c r="D120" s="83">
        <v>0.129567175747307</v>
      </c>
    </row>
    <row r="121" spans="1:23" ht="15.75" customHeight="1" x14ac:dyDescent="0.35">
      <c r="A121" s="85" t="s">
        <v>734</v>
      </c>
      <c r="B121" s="83">
        <v>0.50197965405125</v>
      </c>
      <c r="C121" s="84">
        <v>6</v>
      </c>
      <c r="D121" s="83">
        <v>0.31027583234412798</v>
      </c>
      <c r="W121" s="78"/>
    </row>
    <row r="122" spans="1:23" ht="15.75" customHeight="1" x14ac:dyDescent="0.35">
      <c r="A122" s="85" t="s">
        <v>733</v>
      </c>
      <c r="B122" s="83">
        <v>0.41333064470354203</v>
      </c>
      <c r="C122" s="84">
        <v>8</v>
      </c>
      <c r="D122" s="83">
        <v>0.30874898269477602</v>
      </c>
      <c r="W122" s="78"/>
    </row>
    <row r="123" spans="1:23" ht="15.75" customHeight="1" x14ac:dyDescent="0.35">
      <c r="A123" s="85" t="s">
        <v>732</v>
      </c>
      <c r="B123" s="83">
        <v>0.41268208547235002</v>
      </c>
      <c r="C123" s="84">
        <v>8</v>
      </c>
      <c r="D123" s="83">
        <v>0.30958555968639201</v>
      </c>
      <c r="W123" s="78"/>
    </row>
    <row r="124" spans="1:23" ht="15.75" customHeight="1" x14ac:dyDescent="0.35">
      <c r="A124" s="85" t="s">
        <v>731</v>
      </c>
      <c r="B124" s="83">
        <v>0.32730213540063702</v>
      </c>
      <c r="C124" s="84">
        <v>8</v>
      </c>
      <c r="D124" s="83">
        <v>0.42872842787566001</v>
      </c>
      <c r="W124" s="78"/>
    </row>
    <row r="125" spans="1:23" ht="15.75" customHeight="1" x14ac:dyDescent="0.35">
      <c r="A125" s="85" t="s">
        <v>730</v>
      </c>
      <c r="B125" s="83">
        <v>0.31429431564139698</v>
      </c>
      <c r="C125" s="84">
        <v>8</v>
      </c>
      <c r="D125" s="83">
        <v>0.44835596646946202</v>
      </c>
      <c r="W125" s="78"/>
    </row>
    <row r="126" spans="1:23" ht="15.75" customHeight="1" x14ac:dyDescent="0.35">
      <c r="A126" s="85" t="s">
        <v>729</v>
      </c>
      <c r="B126" s="83">
        <v>0.181760046874195</v>
      </c>
      <c r="C126" s="84">
        <v>7</v>
      </c>
      <c r="D126" s="83">
        <v>0.69650619656823998</v>
      </c>
      <c r="W126" s="78"/>
    </row>
    <row r="127" spans="1:23" ht="15.75" customHeight="1" x14ac:dyDescent="0.35">
      <c r="A127" s="82" t="s">
        <v>728</v>
      </c>
      <c r="B127" s="80">
        <v>0.178827126266318</v>
      </c>
      <c r="C127" s="81">
        <v>5</v>
      </c>
      <c r="D127" s="80">
        <v>0.77352967383982296</v>
      </c>
      <c r="W127" s="78"/>
    </row>
    <row r="129" spans="1:1" ht="15.75" customHeight="1" x14ac:dyDescent="0.35">
      <c r="A129" s="79"/>
    </row>
    <row r="149" spans="1:1" ht="15.75" customHeight="1" x14ac:dyDescent="0.35">
      <c r="A149" s="79"/>
    </row>
    <row r="169" spans="1:1" ht="15.75" customHeight="1" x14ac:dyDescent="0.35">
      <c r="A169" s="79"/>
    </row>
    <row r="189" spans="1:1" ht="15.75" customHeight="1" x14ac:dyDescent="0.35">
      <c r="A189" s="79"/>
    </row>
    <row r="209" spans="1:1" ht="15.75" customHeight="1" x14ac:dyDescent="0.35">
      <c r="A209" s="79"/>
    </row>
    <row r="229" spans="1:1" ht="15.75" customHeight="1" x14ac:dyDescent="0.35">
      <c r="A229" s="79"/>
    </row>
    <row r="249" spans="1:1" ht="15.75" customHeight="1" x14ac:dyDescent="0.35">
      <c r="A249" s="79"/>
    </row>
    <row r="269" spans="1:1" ht="15.75" customHeight="1" x14ac:dyDescent="0.35">
      <c r="A269" s="79"/>
    </row>
    <row r="289" spans="1:1" ht="15.75" customHeight="1" x14ac:dyDescent="0.35">
      <c r="A289" s="79"/>
    </row>
    <row r="309" spans="1:1" ht="15.75" customHeight="1" x14ac:dyDescent="0.35">
      <c r="A309" s="79"/>
    </row>
    <row r="329" spans="1:1" ht="15.75" customHeight="1" x14ac:dyDescent="0.35">
      <c r="A329" s="79"/>
    </row>
    <row r="349" spans="1:1" ht="15.75" customHeight="1" x14ac:dyDescent="0.35">
      <c r="A349" s="79"/>
    </row>
    <row r="369" spans="1:1" ht="15.75" customHeight="1" x14ac:dyDescent="0.35">
      <c r="A369" s="79"/>
    </row>
    <row r="389" spans="1:1" ht="15.75" customHeight="1" x14ac:dyDescent="0.35">
      <c r="A389" s="79"/>
    </row>
    <row r="409" spans="1:1" ht="15.75" customHeight="1" x14ac:dyDescent="0.35">
      <c r="A409" s="79"/>
    </row>
    <row r="429" spans="1:1" ht="15.75" customHeight="1" x14ac:dyDescent="0.35">
      <c r="A429" s="79"/>
    </row>
    <row r="449" spans="1:1" ht="15.75" customHeight="1" x14ac:dyDescent="0.35">
      <c r="A449" s="79"/>
    </row>
    <row r="469" spans="1:1" ht="15.75" customHeight="1" x14ac:dyDescent="0.35">
      <c r="A469" s="79"/>
    </row>
    <row r="489" spans="1:1" ht="15.75" customHeight="1" x14ac:dyDescent="0.35">
      <c r="A489" s="79"/>
    </row>
    <row r="509" spans="1:1" ht="15.75" customHeight="1" x14ac:dyDescent="0.35">
      <c r="A509" s="79"/>
    </row>
    <row r="529" spans="1:1" ht="15.75" customHeight="1" x14ac:dyDescent="0.35">
      <c r="A529" s="79"/>
    </row>
    <row r="549" spans="1:1" ht="15.75" customHeight="1" x14ac:dyDescent="0.35">
      <c r="A549" s="79"/>
    </row>
    <row r="569" spans="1:1" ht="15.75" customHeight="1" x14ac:dyDescent="0.35">
      <c r="A569" s="79"/>
    </row>
    <row r="589" spans="1:1" ht="15.75" customHeight="1" x14ac:dyDescent="0.35">
      <c r="A589" s="79"/>
    </row>
    <row r="609" spans="1:1" ht="15.75" customHeight="1" x14ac:dyDescent="0.35">
      <c r="A609" s="79"/>
    </row>
    <row r="629" spans="1:1" ht="15.75" customHeight="1" x14ac:dyDescent="0.35">
      <c r="A629" s="79"/>
    </row>
    <row r="649" spans="1:1" ht="15.75" customHeight="1" x14ac:dyDescent="0.35">
      <c r="A649" s="79"/>
    </row>
    <row r="669" spans="1:1" ht="15.75" customHeight="1" x14ac:dyDescent="0.35">
      <c r="A669" s="79"/>
    </row>
    <row r="689" spans="1:1" ht="15.75" customHeight="1" x14ac:dyDescent="0.35">
      <c r="A689" s="79"/>
    </row>
    <row r="709" spans="1:1" ht="15.75" customHeight="1" x14ac:dyDescent="0.35">
      <c r="A709" s="79"/>
    </row>
    <row r="729" spans="1:1" ht="15.75" customHeight="1" x14ac:dyDescent="0.35">
      <c r="A729" s="79"/>
    </row>
    <row r="749" spans="1:1" ht="15.75" customHeight="1" x14ac:dyDescent="0.35">
      <c r="A749" s="79"/>
    </row>
    <row r="769" spans="1:1" ht="15.75" customHeight="1" x14ac:dyDescent="0.35">
      <c r="A769" s="79"/>
    </row>
    <row r="789" spans="1:1" ht="15.75" customHeight="1" x14ac:dyDescent="0.35">
      <c r="A789" s="79"/>
    </row>
    <row r="809" spans="1:1" ht="15.75" customHeight="1" x14ac:dyDescent="0.35">
      <c r="A809" s="79"/>
    </row>
    <row r="829" spans="1:1" ht="15.75" customHeight="1" x14ac:dyDescent="0.35">
      <c r="A829" s="79"/>
    </row>
    <row r="849" spans="1:1" ht="15.75" customHeight="1" x14ac:dyDescent="0.35">
      <c r="A849" s="79"/>
    </row>
    <row r="869" spans="1:1" ht="15.75" customHeight="1" x14ac:dyDescent="0.35">
      <c r="A869" s="79"/>
    </row>
    <row r="889" spans="1:1" ht="15.75" customHeight="1" x14ac:dyDescent="0.35">
      <c r="A889" s="79"/>
    </row>
    <row r="909" spans="1:1" ht="15.75" customHeight="1" x14ac:dyDescent="0.35">
      <c r="A909" s="79"/>
    </row>
    <row r="929" spans="1:1" ht="15.75" customHeight="1" x14ac:dyDescent="0.35">
      <c r="A929" s="79"/>
    </row>
    <row r="949" spans="1:1" ht="15.75" customHeight="1" x14ac:dyDescent="0.35">
      <c r="A949" s="79"/>
    </row>
    <row r="969" spans="1:1" ht="15.75" customHeight="1" x14ac:dyDescent="0.35">
      <c r="A969" s="79"/>
    </row>
    <row r="989" spans="1:1" ht="15.75" customHeight="1" x14ac:dyDescent="0.35">
      <c r="A989" s="79"/>
    </row>
    <row r="1009" spans="1:1" ht="15.75" customHeight="1" x14ac:dyDescent="0.35">
      <c r="A1009" s="79"/>
    </row>
    <row r="1029" spans="1:1" ht="15.75" customHeight="1" x14ac:dyDescent="0.35">
      <c r="A1029" s="79"/>
    </row>
    <row r="1049" spans="1:1" ht="15.75" customHeight="1" x14ac:dyDescent="0.35">
      <c r="A1049" s="79"/>
    </row>
    <row r="1069" spans="1:1" ht="15.75" customHeight="1" x14ac:dyDescent="0.35">
      <c r="A1069" s="79"/>
    </row>
    <row r="1089" spans="1:1" ht="15.75" customHeight="1" x14ac:dyDescent="0.35">
      <c r="A1089" s="79"/>
    </row>
    <row r="1109" spans="1:1" ht="15.75" customHeight="1" x14ac:dyDescent="0.35">
      <c r="A1109" s="79"/>
    </row>
    <row r="1129" spans="1:1" ht="15.75" customHeight="1" x14ac:dyDescent="0.35">
      <c r="A1129" s="79"/>
    </row>
    <row r="1149" spans="1:1" ht="15.75" customHeight="1" x14ac:dyDescent="0.35">
      <c r="A1149" s="79"/>
    </row>
    <row r="1169" spans="1:1" ht="15.75" customHeight="1" x14ac:dyDescent="0.35">
      <c r="A1169" s="79"/>
    </row>
    <row r="1189" spans="1:1" ht="15.75" customHeight="1" x14ac:dyDescent="0.35">
      <c r="A1189" s="79"/>
    </row>
    <row r="1209" spans="1:1" ht="15.75" customHeight="1" x14ac:dyDescent="0.35">
      <c r="A1209" s="79"/>
    </row>
    <row r="1229" spans="1:1" ht="15.75" customHeight="1" x14ac:dyDescent="0.35">
      <c r="A1229" s="79"/>
    </row>
    <row r="1249" spans="1:1" ht="15.75" customHeight="1" x14ac:dyDescent="0.35">
      <c r="A1249" s="79"/>
    </row>
    <row r="1269" spans="1:1" ht="15.75" customHeight="1" x14ac:dyDescent="0.35">
      <c r="A1269" s="79"/>
    </row>
    <row r="1289" spans="1:1" ht="15.75" customHeight="1" x14ac:dyDescent="0.35">
      <c r="A1289" s="79"/>
    </row>
    <row r="1309" spans="1:1" ht="15.75" customHeight="1" x14ac:dyDescent="0.35">
      <c r="A1309" s="79"/>
    </row>
    <row r="1329" spans="1:1" ht="15.75" customHeight="1" x14ac:dyDescent="0.35">
      <c r="A1329" s="79"/>
    </row>
    <row r="1349" spans="1:1" ht="15.75" customHeight="1" x14ac:dyDescent="0.35">
      <c r="A1349" s="79"/>
    </row>
    <row r="1369" spans="1:1" ht="15.75" customHeight="1" x14ac:dyDescent="0.35">
      <c r="A1369" s="79"/>
    </row>
    <row r="1389" spans="1:1" ht="15.75" customHeight="1" x14ac:dyDescent="0.35">
      <c r="A1389" s="79"/>
    </row>
    <row r="1409" spans="1:1" ht="15.75" customHeight="1" x14ac:dyDescent="0.35">
      <c r="A1409" s="79"/>
    </row>
    <row r="1429" spans="1:1" ht="15.75" customHeight="1" x14ac:dyDescent="0.35">
      <c r="A1429" s="79"/>
    </row>
    <row r="1449" spans="1:1" ht="15.75" customHeight="1" x14ac:dyDescent="0.35">
      <c r="A1449" s="79"/>
    </row>
    <row r="1469" spans="1:1" ht="15.75" customHeight="1" x14ac:dyDescent="0.35">
      <c r="A1469" s="79"/>
    </row>
    <row r="1489" spans="1:1" ht="15.75" customHeight="1" x14ac:dyDescent="0.35">
      <c r="A1489" s="79"/>
    </row>
    <row r="1509" spans="1:1" ht="15.75" customHeight="1" x14ac:dyDescent="0.35">
      <c r="A1509" s="79"/>
    </row>
    <row r="1529" spans="1:1" ht="15.75" customHeight="1" x14ac:dyDescent="0.35">
      <c r="A1529" s="79"/>
    </row>
    <row r="1549" spans="1:1" ht="15.75" customHeight="1" x14ac:dyDescent="0.35">
      <c r="A1549" s="79"/>
    </row>
    <row r="1569" spans="1:1" ht="15.75" customHeight="1" x14ac:dyDescent="0.35">
      <c r="A1569" s="79"/>
    </row>
    <row r="1589" spans="1:1" ht="15.75" customHeight="1" x14ac:dyDescent="0.35">
      <c r="A1589" s="79"/>
    </row>
    <row r="1609" spans="1:1" ht="15.75" customHeight="1" x14ac:dyDescent="0.35">
      <c r="A1609" s="79"/>
    </row>
    <row r="1629" spans="1:1" ht="15.75" customHeight="1" x14ac:dyDescent="0.35">
      <c r="A1629" s="79"/>
    </row>
    <row r="1649" spans="1:1" ht="15.75" customHeight="1" x14ac:dyDescent="0.35">
      <c r="A1649" s="79"/>
    </row>
    <row r="1669" spans="1:1" ht="15.75" customHeight="1" x14ac:dyDescent="0.35">
      <c r="A1669" s="79"/>
    </row>
    <row r="1729" spans="1:2" ht="15.75" customHeight="1" x14ac:dyDescent="0.35">
      <c r="A1729" s="79"/>
      <c r="B1729" s="79" t="s">
        <v>727</v>
      </c>
    </row>
  </sheetData>
  <autoFilter ref="A49:D127" xr:uid="{6A9882D4-F9AC-8C4F-B637-F16C49CB841A}"/>
  <mergeCells count="6">
    <mergeCell ref="A48:B48"/>
    <mergeCell ref="A1:N1"/>
    <mergeCell ref="A2:N2"/>
    <mergeCell ref="A3:N3"/>
    <mergeCell ref="A4:N4"/>
    <mergeCell ref="A46:L46"/>
  </mergeCells>
  <pageMargins left="0.78740157480314998" right="0.78740157480314998" top="0.78740157480314998" bottom="0.78740157480314998" header="0.39370078740157499" footer="0.39370078740157499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Population 7 Sept 2021</vt:lpstr>
      <vt:lpstr>GDP per capita 7 sept 2021</vt:lpstr>
      <vt:lpstr>AFRO</vt:lpstr>
      <vt:lpstr>Health buget allocated to HRH</vt:lpstr>
      <vt:lpstr>Income relativities in Lesotho</vt:lpstr>
      <vt:lpstr>ESA_USD</vt:lpstr>
      <vt:lpstr>Data for correlation</vt:lpstr>
      <vt:lpstr>ESA_Int$ PPP</vt:lpstr>
      <vt:lpstr>Wage Index_ESA</vt:lpstr>
      <vt:lpstr>Training and employments</vt:lpstr>
      <vt:lpstr>Sheet2</vt:lpstr>
      <vt:lpstr>PPP conversion factor</vt:lpstr>
      <vt:lpstr>Cross-country relativities-USD</vt:lpstr>
      <vt:lpstr>Cross-country relativities-Int$</vt:lpstr>
      <vt:lpstr>Cross country wage index</vt:lpstr>
      <vt:lpstr>Global Wage Index _ ILO 2017</vt:lpstr>
      <vt:lpstr>Correlation-GDP vs cadres</vt:lpstr>
      <vt:lpstr>Sheet2!_Hlk24031923</vt:lpstr>
      <vt:lpstr>AFRO!OLE_LINK1</vt:lpstr>
      <vt:lpstr>'ESA_Int$ PPP'!OLE_LINK1</vt:lpstr>
      <vt:lpstr>ESA_USD!OLE_LINK1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2021-08-10T09:59:54Z</dcterms:created>
  <dcterms:modified xsi:type="dcterms:W3CDTF">2024-03-15T10:04:13Z</dcterms:modified>
</cp:coreProperties>
</file>