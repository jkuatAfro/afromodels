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Feb latest\"/>
    </mc:Choice>
  </mc:AlternateContent>
  <xr:revisionPtr revIDLastSave="0" documentId="13_ncr:1_{2CA75AFB-CA00-4C9B-8878-54886437FADE}" xr6:coauthVersionLast="47" xr6:coauthVersionMax="47" xr10:uidLastSave="{00000000-0000-0000-0000-000000000000}"/>
  <bookViews>
    <workbookView xWindow="-110" yWindow="-110" windowWidth="19420" windowHeight="10300" firstSheet="6" activeTab="7" xr2:uid="{DBE6EC53-E42B-4499-838D-152297B7C724}"/>
  </bookViews>
  <sheets>
    <sheet name="Stock grad Doctors" sheetId="1" r:id="rId1"/>
    <sheet name="Sheet2" sheetId="2" r:id="rId2"/>
    <sheet name="Nurses" sheetId="3" r:id="rId3"/>
    <sheet name="DoctNurses" sheetId="4" r:id="rId4"/>
    <sheet name="All workforce stock" sheetId="5" r:id="rId5"/>
    <sheet name="All workforce density " sheetId="6" r:id="rId6"/>
    <sheet name="Education capacity" sheetId="7" r:id="rId7"/>
    <sheet name="Combined density-grad-stock" sheetId="8" r:id="rId8"/>
    <sheet name="Sheet4" sheetId="10" r:id="rId9"/>
  </sheets>
  <externalReferences>
    <externalReference r:id="rId10"/>
  </externalReferences>
  <definedNames>
    <definedName name="_xlnm._FilterDatabase" localSheetId="3" hidden="1">DoctNurses!$A$1:$H$48</definedName>
    <definedName name="_xlchart.v1.0" hidden="1">'Combined density-grad-stock'!$I$2:$I$48</definedName>
    <definedName name="_xlchart.v1.1" hidden="1">'Combined density-grad-stock'!$F$1</definedName>
    <definedName name="_xlchart.v1.2" hidden="1">'Combined density-grad-stock'!$F$2:$F$48</definedName>
  </definedNames>
  <calcPr calcId="191029"/>
  <pivotCaches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8" l="1"/>
  <c r="J12" i="8"/>
  <c r="J13" i="8"/>
  <c r="J14" i="8"/>
  <c r="J19" i="8"/>
  <c r="J20" i="8"/>
  <c r="J24" i="8"/>
  <c r="J25" i="8"/>
  <c r="J26" i="8"/>
  <c r="J31" i="8"/>
  <c r="J32" i="8"/>
  <c r="J36" i="8"/>
  <c r="J37" i="8"/>
  <c r="J38" i="8"/>
  <c r="J43" i="8"/>
  <c r="J44" i="8"/>
  <c r="J48" i="8"/>
  <c r="M55" i="8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X55" i="8" s="1"/>
  <c r="Y55" i="8" s="1"/>
  <c r="Z55" i="8" s="1"/>
  <c r="AA55" i="8" s="1"/>
  <c r="AB55" i="8" s="1"/>
  <c r="AC55" i="8" s="1"/>
  <c r="AD55" i="8" s="1"/>
  <c r="AE55" i="8" s="1"/>
  <c r="AF55" i="8" s="1"/>
  <c r="M56" i="8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X56" i="8" s="1"/>
  <c r="Y56" i="8" s="1"/>
  <c r="Z56" i="8" s="1"/>
  <c r="AA56" i="8" s="1"/>
  <c r="AB56" i="8" s="1"/>
  <c r="AC56" i="8" s="1"/>
  <c r="AD56" i="8" s="1"/>
  <c r="AE56" i="8" s="1"/>
  <c r="AF56" i="8" s="1"/>
  <c r="M54" i="8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X54" i="8" s="1"/>
  <c r="Y54" i="8" s="1"/>
  <c r="Z54" i="8" s="1"/>
  <c r="AA54" i="8" s="1"/>
  <c r="AB54" i="8" s="1"/>
  <c r="AC54" i="8" s="1"/>
  <c r="AD54" i="8" s="1"/>
  <c r="AE54" i="8" s="1"/>
  <c r="AF54" i="8" s="1"/>
  <c r="I9" i="8"/>
  <c r="J9" i="8" s="1"/>
  <c r="I10" i="8"/>
  <c r="J10" i="8" s="1"/>
  <c r="I11" i="8"/>
  <c r="J11" i="8" s="1"/>
  <c r="I12" i="8"/>
  <c r="I13" i="8"/>
  <c r="I14" i="8"/>
  <c r="I15" i="8"/>
  <c r="J15" i="8" s="1"/>
  <c r="I16" i="8"/>
  <c r="J16" i="8" s="1"/>
  <c r="I17" i="8"/>
  <c r="J17" i="8" s="1"/>
  <c r="I18" i="8"/>
  <c r="J18" i="8" s="1"/>
  <c r="I19" i="8"/>
  <c r="I20" i="8"/>
  <c r="I21" i="8"/>
  <c r="J21" i="8" s="1"/>
  <c r="I22" i="8"/>
  <c r="J22" i="8" s="1"/>
  <c r="I23" i="8"/>
  <c r="J23" i="8" s="1"/>
  <c r="I24" i="8"/>
  <c r="I25" i="8"/>
  <c r="I26" i="8"/>
  <c r="I27" i="8"/>
  <c r="J27" i="8" s="1"/>
  <c r="I28" i="8"/>
  <c r="J28" i="8" s="1"/>
  <c r="I29" i="8"/>
  <c r="J29" i="8" s="1"/>
  <c r="I30" i="8"/>
  <c r="J30" i="8" s="1"/>
  <c r="I31" i="8"/>
  <c r="I32" i="8"/>
  <c r="I33" i="8"/>
  <c r="J33" i="8" s="1"/>
  <c r="I34" i="8"/>
  <c r="J34" i="8" s="1"/>
  <c r="I35" i="8"/>
  <c r="J35" i="8" s="1"/>
  <c r="I36" i="8"/>
  <c r="I37" i="8"/>
  <c r="I38" i="8"/>
  <c r="I39" i="8"/>
  <c r="J39" i="8" s="1"/>
  <c r="I40" i="8"/>
  <c r="J40" i="8" s="1"/>
  <c r="I41" i="8"/>
  <c r="J41" i="8" s="1"/>
  <c r="I42" i="8"/>
  <c r="J42" i="8" s="1"/>
  <c r="I43" i="8"/>
  <c r="I44" i="8"/>
  <c r="I45" i="8"/>
  <c r="J45" i="8" s="1"/>
  <c r="I46" i="8"/>
  <c r="J46" i="8" s="1"/>
  <c r="I47" i="8"/>
  <c r="J47" i="8" s="1"/>
  <c r="I48" i="8"/>
  <c r="I3" i="8"/>
  <c r="J3" i="8" s="1"/>
  <c r="I4" i="8"/>
  <c r="J4" i="8" s="1"/>
  <c r="I5" i="8"/>
  <c r="J5" i="8" s="1"/>
  <c r="I6" i="8"/>
  <c r="J6" i="8" s="1"/>
  <c r="I7" i="8"/>
  <c r="I8" i="8"/>
  <c r="J8" i="8" s="1"/>
  <c r="I2" i="8"/>
  <c r="J2" i="8" s="1"/>
  <c r="D5" i="8" l="1"/>
  <c r="D4" i="8"/>
  <c r="D3" i="8"/>
  <c r="I56" i="7"/>
  <c r="B56" i="7"/>
  <c r="B52" i="7"/>
  <c r="L49" i="7"/>
  <c r="K49" i="7"/>
  <c r="J49" i="7"/>
  <c r="H49" i="7"/>
  <c r="G49" i="7"/>
  <c r="F49" i="7"/>
  <c r="E49" i="7"/>
  <c r="D49" i="7"/>
  <c r="C49" i="7"/>
  <c r="M48" i="7"/>
  <c r="M47" i="7"/>
  <c r="M46" i="7"/>
  <c r="M45" i="7"/>
  <c r="M44" i="7"/>
  <c r="M43" i="7"/>
  <c r="M42" i="7"/>
  <c r="M41" i="7"/>
  <c r="M40" i="7"/>
  <c r="I39" i="7"/>
  <c r="I49" i="7" s="1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4" i="7"/>
  <c r="M13" i="7"/>
  <c r="M12" i="7"/>
  <c r="M11" i="7"/>
  <c r="M10" i="7"/>
  <c r="M9" i="7"/>
  <c r="M8" i="7"/>
  <c r="M7" i="7"/>
  <c r="M6" i="7"/>
  <c r="M5" i="7"/>
  <c r="M4" i="7"/>
  <c r="M3" i="7"/>
  <c r="B2" i="7"/>
  <c r="B49" i="7" s="1"/>
  <c r="H3" i="4"/>
  <c r="H4" i="4"/>
  <c r="H5" i="4"/>
  <c r="H6" i="4"/>
  <c r="H7" i="4"/>
  <c r="H8" i="4"/>
  <c r="H11" i="4"/>
  <c r="H13" i="4"/>
  <c r="H14" i="4"/>
  <c r="H15" i="4"/>
  <c r="H16" i="4"/>
  <c r="H19" i="4"/>
  <c r="H20" i="4"/>
  <c r="H21" i="4"/>
  <c r="H22" i="4"/>
  <c r="H23" i="4"/>
  <c r="H25" i="4"/>
  <c r="H26" i="4"/>
  <c r="H27" i="4"/>
  <c r="H28" i="4"/>
  <c r="H29" i="4"/>
  <c r="H32" i="4"/>
  <c r="H33" i="4"/>
  <c r="H34" i="4"/>
  <c r="H35" i="4"/>
  <c r="H36" i="4"/>
  <c r="H37" i="4"/>
  <c r="H39" i="4"/>
  <c r="H40" i="4"/>
  <c r="H41" i="4"/>
  <c r="H42" i="4"/>
  <c r="H44" i="4"/>
  <c r="H45" i="4"/>
  <c r="H46" i="4"/>
  <c r="H47" i="4"/>
  <c r="H48" i="4"/>
  <c r="G3" i="4"/>
  <c r="G4" i="4"/>
  <c r="G5" i="4"/>
  <c r="G6" i="4"/>
  <c r="G7" i="4"/>
  <c r="G8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5" i="4"/>
  <c r="G26" i="4"/>
  <c r="G27" i="4"/>
  <c r="G28" i="4"/>
  <c r="G29" i="4"/>
  <c r="G31" i="4"/>
  <c r="G32" i="4"/>
  <c r="G33" i="4"/>
  <c r="G34" i="4"/>
  <c r="G35" i="4"/>
  <c r="G36" i="4"/>
  <c r="G37" i="4"/>
  <c r="G39" i="4"/>
  <c r="G40" i="4"/>
  <c r="G41" i="4"/>
  <c r="G42" i="4"/>
  <c r="G43" i="4"/>
  <c r="G44" i="4"/>
  <c r="G45" i="4"/>
  <c r="G46" i="4"/>
  <c r="G47" i="4"/>
  <c r="G48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2" i="4"/>
  <c r="K3" i="8" l="1"/>
  <c r="K9" i="8"/>
  <c r="K15" i="8"/>
  <c r="K21" i="8"/>
  <c r="K27" i="8"/>
  <c r="K33" i="8"/>
  <c r="K39" i="8"/>
  <c r="K45" i="8"/>
  <c r="K4" i="8"/>
  <c r="K10" i="8"/>
  <c r="K16" i="8"/>
  <c r="K22" i="8"/>
  <c r="K28" i="8"/>
  <c r="K34" i="8"/>
  <c r="K40" i="8"/>
  <c r="K46" i="8"/>
  <c r="K2" i="8"/>
  <c r="K5" i="8"/>
  <c r="K11" i="8"/>
  <c r="K17" i="8"/>
  <c r="K23" i="8"/>
  <c r="K29" i="8"/>
  <c r="K35" i="8"/>
  <c r="K41" i="8"/>
  <c r="K47" i="8"/>
  <c r="K6" i="8"/>
  <c r="K12" i="8"/>
  <c r="K18" i="8"/>
  <c r="K24" i="8"/>
  <c r="K30" i="8"/>
  <c r="K36" i="8"/>
  <c r="K42" i="8"/>
  <c r="K48" i="8"/>
  <c r="K7" i="8"/>
  <c r="K13" i="8"/>
  <c r="K19" i="8"/>
  <c r="K25" i="8"/>
  <c r="K31" i="8"/>
  <c r="K37" i="8"/>
  <c r="K43" i="8"/>
  <c r="K8" i="8"/>
  <c r="K14" i="8"/>
  <c r="K20" i="8"/>
  <c r="K26" i="8"/>
  <c r="K32" i="8"/>
  <c r="K38" i="8"/>
  <c r="K44" i="8"/>
  <c r="M49" i="7"/>
  <c r="M50" i="7" s="1"/>
  <c r="H52" i="7" s="1"/>
  <c r="I54" i="7"/>
  <c r="M2" i="7"/>
  <c r="M39" i="7"/>
  <c r="C52" i="7" l="1"/>
  <c r="B51" i="7"/>
  <c r="M51" i="7"/>
  <c r="I52" i="7"/>
  <c r="L50" i="7"/>
  <c r="J53" i="7"/>
</calcChain>
</file>

<file path=xl/sharedStrings.xml><?xml version="1.0" encoding="utf-8"?>
<sst xmlns="http://schemas.openxmlformats.org/spreadsheetml/2006/main" count="666" uniqueCount="134">
  <si>
    <t>Country</t>
  </si>
  <si>
    <t>Algeria</t>
  </si>
  <si>
    <t>Angola</t>
  </si>
  <si>
    <t>Benin</t>
  </si>
  <si>
    <t>Botswana</t>
  </si>
  <si>
    <t>Burkina Faso</t>
  </si>
  <si>
    <t>Burundi</t>
  </si>
  <si>
    <t>Cameroon</t>
  </si>
  <si>
    <t>Central African Republic</t>
  </si>
  <si>
    <t>Chad</t>
  </si>
  <si>
    <t>Comoros</t>
  </si>
  <si>
    <t>Congo</t>
  </si>
  <si>
    <t>Cote d'Ivoire</t>
  </si>
  <si>
    <t>DRC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</si>
  <si>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</si>
  <si>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</si>
  <si>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</si>
  <si>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</si>
  <si>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</si>
  <si>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</si>
  <si>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</si>
  <si>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</si>
  <si>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</si>
  <si>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</si>
  <si>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</si>
  <si>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</si>
  <si>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</si>
  <si>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</si>
  <si>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</si>
  <si>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</si>
  <si>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</si>
  <si>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</si>
  <si>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</si>
  <si>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</si>
  <si>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</si>
  <si>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</si>
  <si>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</si>
  <si>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</si>
  <si>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</si>
  <si>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</si>
  <si>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</si>
  <si>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South Sudan</t>
  </si>
  <si>
    <t>Tanzania</t>
  </si>
  <si>
    <t>Togo</t>
  </si>
  <si>
    <t>Uganda</t>
  </si>
  <si>
    <t>Zambia</t>
  </si>
  <si>
    <t>Zimbabwe</t>
  </si>
  <si>
    <t>Doctors stock 2022</t>
  </si>
  <si>
    <t>Generalist Medical Practitioners</t>
  </si>
  <si>
    <t>Specialist Medical Practitioners</t>
  </si>
  <si>
    <t>Dentists</t>
  </si>
  <si>
    <t>Other Dental practitioners</t>
  </si>
  <si>
    <t>Pharmacists</t>
  </si>
  <si>
    <t>Other Pharmacy practitioners</t>
  </si>
  <si>
    <t>Midwifery personnel</t>
  </si>
  <si>
    <t>Nursing Personnel</t>
  </si>
  <si>
    <t>Medical and Pathology Laboratory scientists</t>
  </si>
  <si>
    <t>Paramedical Practitioners</t>
  </si>
  <si>
    <t>Other Health Workers</t>
  </si>
  <si>
    <t>Total</t>
  </si>
  <si>
    <t>Cabo Verde</t>
  </si>
  <si>
    <t>Doctors graduates</t>
  </si>
  <si>
    <t>Nurses Stock 2022</t>
  </si>
  <si>
    <t>Nurses Graduates</t>
  </si>
  <si>
    <t>Doctors and Nurses Stock 2022</t>
  </si>
  <si>
    <t>Doctors and Nurses graduates</t>
  </si>
  <si>
    <t>Core health workforce*</t>
  </si>
  <si>
    <t>Other workers</t>
  </si>
  <si>
    <t>S No</t>
  </si>
  <si>
    <t>Adjusted 2022</t>
  </si>
  <si>
    <t>Cape-Verde</t>
  </si>
  <si>
    <t>AFRO</t>
  </si>
  <si>
    <t xml:space="preserve"> Density per 10,000 (2013)</t>
  </si>
  <si>
    <t xml:space="preserve"> Density per 10,000 (2018)</t>
  </si>
  <si>
    <t xml:space="preserve"> Density per 10,000 (2022)</t>
  </si>
  <si>
    <t>Data Sorce(s)</t>
  </si>
  <si>
    <t>NHWA dataset, 2023</t>
  </si>
  <si>
    <t>Dent-2018;</t>
  </si>
  <si>
    <t>Med-2021; Pharm-2021;Mid-2021; Nur-2021;Biom-2021; others-2021</t>
  </si>
  <si>
    <t>2022 for all</t>
  </si>
  <si>
    <t>2018 dataset</t>
  </si>
  <si>
    <t>2021 for all</t>
  </si>
  <si>
    <t>Democratic Republic of the Congo</t>
  </si>
  <si>
    <t>Nurs-2022</t>
  </si>
  <si>
    <t>pharmacist from 2018</t>
  </si>
  <si>
    <t xml:space="preserve">HLMA 2023; Ismaila (2023) </t>
  </si>
  <si>
    <t>HLMA data, Dentist-2018; CMHW-2022; Biom -2018;</t>
  </si>
  <si>
    <t>SADC dataset, 2022</t>
  </si>
  <si>
    <t>capacity-HLMA data extracted</t>
  </si>
  <si>
    <t>NHWA dataset, 2023; HLMA dataset, 2019; 2018 survey dataset</t>
  </si>
  <si>
    <t>Med-2021,2022; Nurs-2022; Midw-2022; Other-2021,2022, CHW-2021</t>
  </si>
  <si>
    <t>2030 starategic plan</t>
  </si>
  <si>
    <t>NHWA dataset, 2023; Other and Medical specialist from 2018 Survey dataset</t>
  </si>
  <si>
    <t>other occupations, Medical specialis taken from 2018 survey dataset</t>
  </si>
  <si>
    <t>NHWA dataset, 2023; Zambia HLMA</t>
  </si>
  <si>
    <t>2022 data set for -all</t>
  </si>
  <si>
    <t>Total (row)</t>
  </si>
  <si>
    <t>Total (column)</t>
  </si>
  <si>
    <t>FORBIDDEN CELL FOR JAMES</t>
  </si>
  <si>
    <t>Median</t>
  </si>
  <si>
    <t>Q1</t>
  </si>
  <si>
    <t>Q3</t>
  </si>
  <si>
    <t>Ratio stock to graduates</t>
  </si>
  <si>
    <t>Average</t>
  </si>
  <si>
    <t>categories</t>
  </si>
  <si>
    <t xml:space="preserve">Assuming a </t>
  </si>
  <si>
    <t>years of full time work on average (30-65)</t>
  </si>
  <si>
    <t>Very rapid education production (less than 9 years to double stock)</t>
  </si>
  <si>
    <t>Rapid education production (9-16 years to double stock)</t>
  </si>
  <si>
    <t>Slow education production (16-23 years to double stock)</t>
  </si>
  <si>
    <t>Very slow education production (more than 23 years to double stock)</t>
  </si>
  <si>
    <t>Density quartile</t>
  </si>
  <si>
    <t>Density quartiles</t>
  </si>
  <si>
    <t>Count of Country</t>
  </si>
  <si>
    <t>Row Labels</t>
  </si>
  <si>
    <t>Rapid education production - 10 to 20 stock to grad</t>
  </si>
  <si>
    <t>Slow education production - 20 to 30 stock to grad</t>
  </si>
  <si>
    <t>Very rapid education production - Less than 10 stock to grad</t>
  </si>
  <si>
    <t>Very slow education production - 30 stock to grad and more</t>
  </si>
  <si>
    <t>Grand Total</t>
  </si>
  <si>
    <t>Column Labels</t>
  </si>
  <si>
    <t>&lt;Q1 density</t>
  </si>
  <si>
    <t>&gt;Q3 density</t>
  </si>
  <si>
    <t>Median-Q3 density</t>
  </si>
  <si>
    <t>Q1-Median density</t>
  </si>
  <si>
    <t>2. Slow education production - 20 to 30 stock to grad</t>
  </si>
  <si>
    <t>4. &gt;Q3 density</t>
  </si>
  <si>
    <t>3. Median-Q3 density</t>
  </si>
  <si>
    <t>4. Very rapid education production - Less than 10 stock to grad</t>
  </si>
  <si>
    <t>1. &lt;Q1 density</t>
  </si>
  <si>
    <t>3. Rapid education production - 10 to 20 stock to grad</t>
  </si>
  <si>
    <t>1. Very slow education production - 30 stock to grad and more</t>
  </si>
  <si>
    <t>2. Q1-Median density</t>
  </si>
  <si>
    <t>Fiscal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</si>
</sst>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  <numFmt numFmtId="167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color rgb="FF7030A0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name val="Arial"/>
      <family val="2"/>
    </font>
    <font>
      <b/>
      <sz val="11"/>
      <color rgb="FF00B050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59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0" fillId="3" borderId="0" xfId="0" applyFill="1"/>
    <xf numFmtId="0" fontId="0" fillId="0" borderId="1" xfId="0" applyBorder="1"/>
    <xf numFmtId="1" fontId="0" fillId="0" borderId="1" xfId="0" applyNumberFormat="1" applyBorder="1"/>
    <xf numFmtId="1" fontId="0" fillId="3" borderId="1" xfId="0" applyNumberFormat="1" applyFill="1" applyBorder="1"/>
    <xf numFmtId="2" fontId="0" fillId="3" borderId="0" xfId="0" applyNumberFormat="1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3" fillId="0" borderId="0" xfId="2" applyFont="1" applyAlignment="1">
      <alignment horizontal="left" vertical="center" wrapText="1"/>
    </xf>
    <xf numFmtId="0" fontId="3" fillId="0" borderId="0" xfId="2" applyFont="1" applyAlignment="1">
      <alignment vertical="center" wrapText="1"/>
    </xf>
    <xf numFmtId="165" fontId="3" fillId="0" borderId="0" xfId="3" applyNumberFormat="1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left"/>
    </xf>
    <xf numFmtId="0" fontId="4" fillId="4" borderId="0" xfId="0" applyFont="1" applyFill="1"/>
    <xf numFmtId="0" fontId="4" fillId="0" borderId="0" xfId="0" applyFont="1"/>
    <xf numFmtId="165" fontId="4" fillId="0" borderId="0" xfId="3" applyNumberFormat="1" applyFont="1" applyFill="1" applyAlignment="1"/>
    <xf numFmtId="0" fontId="5" fillId="0" borderId="0" xfId="0" applyFont="1"/>
    <xf numFmtId="0" fontId="6" fillId="0" borderId="0" xfId="0" applyFont="1" applyAlignment="1">
      <alignment horizontal="left"/>
    </xf>
    <xf numFmtId="165" fontId="4" fillId="2" borderId="0" xfId="3" applyNumberFormat="1" applyFont="1" applyFill="1" applyAlignment="1"/>
    <xf numFmtId="0" fontId="4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165" fontId="7" fillId="0" borderId="0" xfId="3" applyNumberFormat="1" applyFont="1" applyFill="1" applyAlignment="1"/>
    <xf numFmtId="0" fontId="8" fillId="0" borderId="0" xfId="0" applyFont="1" applyAlignment="1">
      <alignment horizontal="center"/>
    </xf>
    <xf numFmtId="0" fontId="8" fillId="0" borderId="0" xfId="0" applyFont="1"/>
    <xf numFmtId="165" fontId="4" fillId="0" borderId="0" xfId="3" applyNumberFormat="1" applyFont="1" applyFill="1" applyAlignment="1">
      <alignment horizontal="left"/>
    </xf>
    <xf numFmtId="3" fontId="3" fillId="0" borderId="0" xfId="3" applyNumberFormat="1" applyFont="1" applyFill="1" applyAlignment="1"/>
    <xf numFmtId="3" fontId="5" fillId="0" borderId="0" xfId="3" applyNumberFormat="1" applyFont="1" applyFill="1" applyAlignment="1"/>
    <xf numFmtId="165" fontId="3" fillId="0" borderId="0" xfId="3" applyNumberFormat="1" applyFont="1" applyFill="1" applyAlignment="1">
      <alignment horizontal="left"/>
    </xf>
    <xf numFmtId="165" fontId="0" fillId="0" borderId="0" xfId="3" applyNumberFormat="1" applyFont="1" applyFill="1" applyAlignment="1">
      <alignment horizontal="center"/>
    </xf>
    <xf numFmtId="165" fontId="0" fillId="0" borderId="0" xfId="3" applyNumberFormat="1" applyFont="1" applyFill="1"/>
    <xf numFmtId="0" fontId="9" fillId="0" borderId="0" xfId="0" applyFont="1" applyAlignment="1">
      <alignment horizontal="left"/>
    </xf>
    <xf numFmtId="9" fontId="4" fillId="0" borderId="0" xfId="0" applyNumberFormat="1" applyFont="1"/>
    <xf numFmtId="3" fontId="10" fillId="0" borderId="0" xfId="0" applyNumberFormat="1" applyFont="1"/>
    <xf numFmtId="0" fontId="2" fillId="0" borderId="0" xfId="0" applyFont="1" applyAlignment="1">
      <alignment horizontal="left"/>
    </xf>
    <xf numFmtId="9" fontId="0" fillId="0" borderId="0" xfId="1" applyFont="1"/>
    <xf numFmtId="165" fontId="0" fillId="0" borderId="0" xfId="3" applyNumberFormat="1" applyFont="1" applyAlignment="1"/>
    <xf numFmtId="166" fontId="0" fillId="0" borderId="0" xfId="3" applyNumberFormat="1" applyFont="1"/>
    <xf numFmtId="9" fontId="0" fillId="0" borderId="0" xfId="1" applyFont="1" applyAlignment="1"/>
    <xf numFmtId="166" fontId="0" fillId="0" borderId="0" xfId="3" applyNumberFormat="1" applyFont="1" applyAlignment="1"/>
    <xf numFmtId="167" fontId="0" fillId="0" borderId="0" xfId="0" applyNumberFormat="1"/>
    <xf numFmtId="0" fontId="0" fillId="0" borderId="0" xfId="0" pivotButton="1"/>
    <xf numFmtId="0" fontId="11" fillId="0" borderId="0" xfId="0" applyFont="1"/>
    <xf numFmtId="0" fontId="0" fillId="2" borderId="0" xfId="0" applyFill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4">
    <cellStyle name="Comma 2 2" xfId="3" xr:uid="{AD25DB30-904A-44E1-A32A-903196E680BA}"/>
    <cellStyle name="Normal" xfId="0" builtinId="0"/>
    <cellStyle name="Normal 2" xfId="2" xr:uid="{A82D89D0-6203-4ADA-9611-248E5C93EF5B}"/>
    <cellStyle name="Percent" xfId="1" builtinId="5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rial"/>
        <family val="2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Density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Density distribution</a:t>
          </a:r>
        </a:p>
      </cx:txPr>
    </cx:title>
    <cx:plotArea>
      <cx:plotAreaRegion>
        <cx:series layoutId="boxWhisker" uniqueId="{741B42A5-58A4-4DCA-AEE3-D3735DF2CA7E}">
          <cx:tx>
            <cx:txData>
              <cx:f>_xlchart.v1.1</cx:f>
              <cx:v> Density per 10,000 (2022)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boxWhisker" uniqueId="{841EE637-7918-4542-9427-EAE0B492675D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190500</xdr:colOff>
      <xdr:row>9</xdr:row>
      <xdr:rowOff>19049</xdr:rowOff>
    </xdr:from>
    <xdr:to>
      <xdr:col>21</xdr:col>
      <xdr:colOff>495300</xdr:colOff>
      <xdr:row>31</xdr:row>
      <xdr:rowOff>161924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E544E31-ABB4-E4DA-7C27-A58D3349E8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77900" y="1676399"/>
              <a:ext cx="4572000" cy="4194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K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314325</xdr:colOff>
      <xdr:row>19</xdr:row>
      <xdr:rowOff>161925</xdr:rowOff>
    </xdr:from>
    <xdr:to>
      <xdr:col>30</xdr:col>
      <xdr:colOff>9525</xdr:colOff>
      <xdr:row>34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E6FA86C-ED9B-7A6D-23B8-F2A6255F69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78525" y="3660775"/>
              <a:ext cx="4572000" cy="264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K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7212524\Desktop\CHPE%20ACTIVITIES\WHO%20PROJECT%20PROPOSAL\CONSULTANCY\2024\Education,%20migration,%20governance.xlsx" TargetMode="External"/><Relationship Id="rId1" Type="http://schemas.openxmlformats.org/officeDocument/2006/relationships/externalLinkPath" Target="file:///C:\Users\37212524\Desktop\CHPE%20ACTIVITIES\WHO%20PROJECT%20PROPOSAL\CONSULTANCY\2024\Education,%20migration,%20govern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male in leadership"/>
      <sheetName val="Sheet3"/>
      <sheetName val="Sheet6"/>
      <sheetName val="Sheet11"/>
      <sheetName val="Accreditation"/>
      <sheetName val="Accreditation-Pivot"/>
      <sheetName val="E_Applications"/>
      <sheetName val="Sheet4"/>
      <sheetName val="G_Existence of HWF Unit"/>
      <sheetName val="G_Alignment of edu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NIOL, Mathieu" refreshedDate="45357.447372569448" createdVersion="8" refreshedVersion="8" minRefreshableVersion="3" recordCount="47" xr:uid="{4B49DBA8-CE16-40B3-ACC3-C4052DA97069}">
  <cacheSource type="worksheet">
    <worksheetSource ref="E1:K48" sheet="Combined density-grad-stock"/>
  </cacheSource>
  <cacheFields count="7">
    <cacheField name="Country" numFmtId="0">
      <sharedItems/>
    </cacheField>
    <cacheField name=" Density per 10,000 (2022)" numFmtId="167">
      <sharedItems containsSemiMixedTypes="0" containsString="0" containsNumber="1" minValue="4.955848322257995" maxValue="296.4662893379861"/>
    </cacheField>
    <cacheField name="Doctors and Nurses Stock 2022" numFmtId="1">
      <sharedItems containsSemiMixedTypes="0" containsString="0" containsNumber="1" minValue="545" maxValue="445282.24962174537"/>
    </cacheField>
    <cacheField name="Doctors and Nurses graduates" numFmtId="0">
      <sharedItems containsString="0" containsBlank="1" containsNumber="1" containsInteger="1" minValue="18" maxValue="30081"/>
    </cacheField>
    <cacheField name="Ratio stock to graduates" numFmtId="0">
      <sharedItems containsSemiMixedTypes="0" containsString="0" containsNumber="1" minValue="0.95412514516632685" maxValue="107.24524316516025"/>
    </cacheField>
    <cacheField name="categories" numFmtId="0">
      <sharedItems count="4">
        <s v="Slow education production - 20 to 30 stock to grad"/>
        <s v="Very rapid education production - Less than 10 stock to grad"/>
        <s v="Rapid education production - 10 to 20 stock to grad"/>
        <s v="Very slow education production - 30 stock to grad and more"/>
      </sharedItems>
    </cacheField>
    <cacheField name="Density quartile" numFmtId="0">
      <sharedItems count="4">
        <s v="&gt;Q3 density"/>
        <s v="Median-Q3 density"/>
        <s v="&lt;Q1 density"/>
        <s v="Q1-Median densit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Algeria"/>
    <n v="98.058568574484738"/>
    <n v="53077.717864361715"/>
    <m/>
    <n v="22.857935830441416"/>
    <x v="0"/>
    <x v="0"/>
  </r>
  <r>
    <s v="Angola"/>
    <n v="38.456345697593264"/>
    <n v="75410.353814379763"/>
    <n v="3561"/>
    <n v="21.176735134619424"/>
    <x v="0"/>
    <x v="1"/>
  </r>
  <r>
    <s v="Benin"/>
    <n v="18.729624018891407"/>
    <n v="8501"/>
    <n v="1037"/>
    <n v="8.1976856316297013"/>
    <x v="1"/>
    <x v="2"/>
  </r>
  <r>
    <s v="Botswana"/>
    <n v="68.115844081394968"/>
    <n v="9020"/>
    <n v="550"/>
    <n v="16.399999999999999"/>
    <x v="2"/>
    <x v="0"/>
  </r>
  <r>
    <s v="Burkina Faso"/>
    <n v="16.827323041243478"/>
    <n v="17284"/>
    <n v="2662"/>
    <n v="6.4928625093914354"/>
    <x v="1"/>
    <x v="2"/>
  </r>
  <r>
    <s v="Burundi"/>
    <n v="40.986337247671983"/>
    <n v="10386.861039439735"/>
    <n v="1792"/>
    <n v="5.7962394193302087"/>
    <x v="1"/>
    <x v="1"/>
  </r>
  <r>
    <s v="Cameroon"/>
    <n v="11.326441981493597"/>
    <n v="20232"/>
    <n v="3460"/>
    <n v="5.8473988439306357"/>
    <x v="1"/>
    <x v="2"/>
  </r>
  <r>
    <s v="Cape-Verde"/>
    <n v="104.36309518407614"/>
    <n v="3585"/>
    <m/>
    <n v="22.857935830441416"/>
    <x v="0"/>
    <x v="0"/>
  </r>
  <r>
    <s v="Central African Republic"/>
    <n v="10.210731090719779"/>
    <n v="794.8697270471464"/>
    <n v="18"/>
    <n v="44.159429280397021"/>
    <x v="3"/>
    <x v="2"/>
  </r>
  <r>
    <s v="Chad"/>
    <n v="22.710971898965504"/>
    <n v="4894.1517348524085"/>
    <n v="3250"/>
    <n v="1.5058928414930488"/>
    <x v="1"/>
    <x v="3"/>
  </r>
  <r>
    <s v="Comoros"/>
    <n v="31.333794542132008"/>
    <n v="1138.9709740708436"/>
    <n v="40"/>
    <n v="28.47427435177109"/>
    <x v="0"/>
    <x v="3"/>
  </r>
  <r>
    <s v="Congo"/>
    <n v="20.330016447381468"/>
    <n v="6615"/>
    <n v="120"/>
    <n v="55.125"/>
    <x v="3"/>
    <x v="2"/>
  </r>
  <r>
    <s v="Cote d'Ivoire"/>
    <n v="25.91975377602575"/>
    <n v="25552.785469257356"/>
    <n v="1261"/>
    <n v="20.263906002583152"/>
    <x v="0"/>
    <x v="3"/>
  </r>
  <r>
    <s v="DRC"/>
    <n v="15.888047021793218"/>
    <n v="136605.95871911859"/>
    <n v="30081"/>
    <n v="4.5412705268813731"/>
    <x v="1"/>
    <x v="2"/>
  </r>
  <r>
    <s v="Equatorial Guinea"/>
    <n v="27.930586305707227"/>
    <n v="1649.6823759925792"/>
    <n v="1729"/>
    <n v="0.95412514516632685"/>
    <x v="1"/>
    <x v="3"/>
  </r>
  <r>
    <s v="Eritrea"/>
    <n v="38.107951184321514"/>
    <n v="5305.8176475233076"/>
    <n v="400"/>
    <n v="13.264544118808269"/>
    <x v="2"/>
    <x v="3"/>
  </r>
  <r>
    <s v="Eswatini"/>
    <n v="140.19826135915432"/>
    <n v="5929"/>
    <n v="160"/>
    <n v="37.056249999999999"/>
    <x v="3"/>
    <x v="0"/>
  </r>
  <r>
    <s v="Ethiopia"/>
    <n v="33.829583652601642"/>
    <n v="155003"/>
    <n v="9412"/>
    <n v="16.468657033574161"/>
    <x v="2"/>
    <x v="3"/>
  </r>
  <r>
    <s v="Gabon"/>
    <n v="57.112151673993168"/>
    <n v="6016.9896979221239"/>
    <n v="141"/>
    <n v="42.673685800866124"/>
    <x v="3"/>
    <x v="1"/>
  </r>
  <r>
    <s v="Gambia"/>
    <n v="34.171087572485987"/>
    <n v="1703.270897043833"/>
    <n v="160"/>
    <n v="10.645443106523956"/>
    <x v="2"/>
    <x v="3"/>
  </r>
  <r>
    <s v="Ghana"/>
    <n v="70.640914271306528"/>
    <n v="128930.27697797566"/>
    <n v="22837"/>
    <n v="5.6456748687645337"/>
    <x v="1"/>
    <x v="0"/>
  </r>
  <r>
    <s v="Guinea"/>
    <n v="17.813553305551778"/>
    <n v="5360.3288771104162"/>
    <n v="1731"/>
    <n v="3.096666017972511"/>
    <x v="1"/>
    <x v="2"/>
  </r>
  <r>
    <s v="Guinea-Bissau"/>
    <n v="43.637164811660909"/>
    <n v="2409.8737642585552"/>
    <m/>
    <n v="22.857935830441416"/>
    <x v="0"/>
    <x v="1"/>
  </r>
  <r>
    <s v="Kenya"/>
    <n v="52.761765904512501"/>
    <n v="122451"/>
    <n v="1628"/>
    <n v="75.215601965601962"/>
    <x v="3"/>
    <x v="1"/>
  </r>
  <r>
    <s v="Lesotho"/>
    <n v="125.68172362603974"/>
    <n v="1772.0899117026884"/>
    <n v="384"/>
    <n v="4.6148174783924176"/>
    <x v="1"/>
    <x v="0"/>
  </r>
  <r>
    <s v="Liberia"/>
    <n v="57.003752262980719"/>
    <n v="5377.7952883834278"/>
    <n v="92"/>
    <n v="58.454296612863345"/>
    <x v="3"/>
    <x v="1"/>
  </r>
  <r>
    <s v="Madagascar"/>
    <n v="21.968767905514429"/>
    <n v="9790"/>
    <n v="2856"/>
    <n v="3.4278711484593836"/>
    <x v="1"/>
    <x v="2"/>
  </r>
  <r>
    <s v="Malawi"/>
    <n v="18.931285154211427"/>
    <n v="10695.563775185577"/>
    <n v="501"/>
    <n v="21.348430688993169"/>
    <x v="0"/>
    <x v="2"/>
  </r>
  <r>
    <s v="Mali"/>
    <n v="16.946843842481947"/>
    <n v="10729"/>
    <m/>
    <n v="22.857935830441416"/>
    <x v="0"/>
    <x v="2"/>
  </r>
  <r>
    <s v="Mauritania"/>
    <n v="43.978835355257424"/>
    <n v="7776.0346943092873"/>
    <n v="113"/>
    <n v="68.81446632132112"/>
    <x v="3"/>
    <x v="1"/>
  </r>
  <r>
    <s v="Mauritius"/>
    <n v="117.20284698003086"/>
    <n v="6432.5342419766348"/>
    <n v="607"/>
    <n v="10.597255752844539"/>
    <x v="2"/>
    <x v="0"/>
  </r>
  <r>
    <s v="Mozambique"/>
    <n v="54.608508445493854"/>
    <n v="22887"/>
    <n v="1399"/>
    <n v="16.359542530378842"/>
    <x v="2"/>
    <x v="1"/>
  </r>
  <r>
    <s v="Namibia"/>
    <n v="105.35216319078796"/>
    <n v="17155.321723868954"/>
    <n v="675"/>
    <n v="25.415291442768822"/>
    <x v="0"/>
    <x v="0"/>
  </r>
  <r>
    <s v="Niger"/>
    <n v="4.955848322257995"/>
    <n v="5270.6693676127352"/>
    <n v="675"/>
    <n v="7.8083990631299782"/>
    <x v="1"/>
    <x v="2"/>
  </r>
  <r>
    <s v="Nigeria"/>
    <n v="36.583982353138666"/>
    <n v="306862"/>
    <n v="17175"/>
    <n v="17.866783114992721"/>
    <x v="2"/>
    <x v="3"/>
  </r>
  <r>
    <s v="Rwanda"/>
    <n v="59.624042517676429"/>
    <n v="15149.239749316621"/>
    <n v="366"/>
    <n v="41.391365435291313"/>
    <x v="3"/>
    <x v="1"/>
  </r>
  <r>
    <s v="Sao Tome and Principe"/>
    <n v="63.393220513883151"/>
    <n v="545"/>
    <m/>
    <n v="22.857935830441416"/>
    <x v="0"/>
    <x v="1"/>
  </r>
  <r>
    <s v="Senegal"/>
    <n v="23.796885847380697"/>
    <n v="7297.8623058327948"/>
    <n v="1016"/>
    <n v="7.1829353403866092"/>
    <x v="1"/>
    <x v="3"/>
  </r>
  <r>
    <s v="Seychelles"/>
    <n v="296.4662893379861"/>
    <n v="2105"/>
    <n v="50"/>
    <n v="42.1"/>
    <x v="3"/>
    <x v="0"/>
  </r>
  <r>
    <s v="Sierra Leone"/>
    <n v="45.477301239981145"/>
    <n v="16772"/>
    <n v="1972"/>
    <n v="8.5050709939148081"/>
    <x v="1"/>
    <x v="1"/>
  </r>
  <r>
    <s v="South Africa"/>
    <n v="110.14054068074168"/>
    <n v="445282.24962174537"/>
    <n v="4152"/>
    <n v="107.24524316516025"/>
    <x v="3"/>
    <x v="0"/>
  </r>
  <r>
    <s v="South Sudan"/>
    <n v="19.70458233636975"/>
    <n v="4986"/>
    <n v="241"/>
    <n v="20.688796680497926"/>
    <x v="0"/>
    <x v="2"/>
  </r>
  <r>
    <s v="Tanzania"/>
    <n v="28.683351968574311"/>
    <n v="40633"/>
    <n v="3250"/>
    <n v="12.502461538461539"/>
    <x v="2"/>
    <x v="3"/>
  </r>
  <r>
    <s v="Togo"/>
    <n v="30.235229462209936"/>
    <n v="3360"/>
    <n v="317"/>
    <n v="10.599369085173501"/>
    <x v="2"/>
    <x v="3"/>
  </r>
  <r>
    <s v="Uganda"/>
    <n v="70.939806529751905"/>
    <n v="83248.781327967808"/>
    <n v="15998"/>
    <n v="5.2036992954099146"/>
    <x v="1"/>
    <x v="0"/>
  </r>
  <r>
    <s v="Zambia"/>
    <n v="55.939473332937403"/>
    <n v="56506"/>
    <n v="5372"/>
    <n v="10.51861504095309"/>
    <x v="2"/>
    <x v="1"/>
  </r>
  <r>
    <s v="Zimbabwe"/>
    <n v="64.042986580794391"/>
    <n v="49668.598365533384"/>
    <n v="1365"/>
    <n v="36.387251549841309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DA545-9A4F-4C15-A8A3-863EB812ACF4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" firstHeaderRow="1" firstDataRow="2" firstDataCol="1"/>
  <pivotFields count="7">
    <pivotField dataField="1" showAll="0"/>
    <pivotField numFmtId="167" showAll="0"/>
    <pivotField numFmtId="1"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ountry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C80075-FB24-419F-B917-1D11449F41CD}" name="Table1" displayName="Table1" ref="A1:N50" totalsRowCount="1" headerRowDxfId="28">
  <autoFilter ref="A1:N49" xr:uid="{CEC80075-FB24-419F-B917-1D11449F41CD}"/>
  <tableColumns count="14">
    <tableColumn id="1" xr3:uid="{7E62C14C-C0A8-4034-821F-5C4BB6835127}" name="Country" totalsRowLabel="Total" dataDxfId="27" totalsRowDxfId="26"/>
    <tableColumn id="2" xr3:uid="{175970C4-522E-4C5F-8A81-60534F8CACAB}" name="Generalist Medical Practitioners" dataDxfId="25" totalsRowDxfId="24"/>
    <tableColumn id="3" xr3:uid="{FB834A7C-F9E9-4594-8B98-00E5775483A1}" name="Specialist Medical Practitioners" dataDxfId="23" totalsRowDxfId="22"/>
    <tableColumn id="4" xr3:uid="{17E9BD43-187D-4992-A047-887BB9A916C9}" name="Dentists" dataDxfId="21" totalsRowDxfId="20"/>
    <tableColumn id="5" xr3:uid="{E213033D-C5F9-44F7-BB23-BF251DF8C5E2}" name="Other Dental practitioners" dataDxfId="19" totalsRowDxfId="18"/>
    <tableColumn id="6" xr3:uid="{1FCB2B40-B07D-422E-969D-0ADDB1486E2F}" name="Pharmacists" dataDxfId="17" totalsRowDxfId="16"/>
    <tableColumn id="7" xr3:uid="{E341DBFB-59A2-4C90-B066-8C7BEF1AB17F}" name="Other Pharmacy practitioners" dataDxfId="15" totalsRowDxfId="14"/>
    <tableColumn id="8" xr3:uid="{55DC3102-F8D0-4E1C-9DC6-AA663E49DC5F}" name="Midwifery personnel" dataDxfId="13" totalsRowDxfId="12"/>
    <tableColumn id="9" xr3:uid="{8925CC3A-C123-4D03-9F45-CA974261B12E}" name="Nursing Personnel" dataDxfId="11" totalsRowDxfId="10"/>
    <tableColumn id="10" xr3:uid="{B0844634-3BB7-4311-A51A-E4FF3E04177D}" name="Medical and Pathology Laboratory scientists" dataDxfId="9" totalsRowDxfId="8"/>
    <tableColumn id="11" xr3:uid="{96203DC7-0291-4192-9691-22FBA3FACB1C}" name="Paramedical Practitioners" dataDxfId="7" totalsRowDxfId="6"/>
    <tableColumn id="12" xr3:uid="{E0A88E66-C81B-47AB-9D56-FCFC20AC14E2}" name="Other Health Workers" totalsRowFunction="custom" dataDxfId="5" totalsRowDxfId="4">
      <totalsRowFormula>L49/Table1[[#Totals],[Total]]</totalsRowFormula>
    </tableColumn>
    <tableColumn id="13" xr3:uid="{A6314F4C-8E79-45D1-99EE-37C55911DCCD}" name="Total" totalsRowFunction="custom" dataDxfId="3" totalsRowDxfId="2">
      <totalsRowFormula>M49-C49</totalsRowFormula>
    </tableColumn>
    <tableColumn id="14" xr3:uid="{7F56CBE5-01E2-45DD-A088-1BF7E91A1EE6}" name="Data Sorce(s)" dataDxfId="1" totalsRowDxfId="0"/>
  </tableColumns>
  <tableStyleInfo name="TableStyleMedium1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29DF-BFB0-4D75-BA10-F5240BA75D02}">
  <dimension ref="A1:E48"/>
  <sheetViews>
    <sheetView topLeftCell="A6" workbookViewId="0">
      <selection sqref="A1:E48"/>
    </sheetView>
  </sheetViews>
  <sheetFormatPr defaultRowHeight="14.5" x14ac:dyDescent="0.35"/>
  <cols>
    <col min="1" max="1" width="20.81640625" bestFit="1" customWidth="1"/>
    <col min="4" max="4" width="16.54296875" bestFit="1" customWidth="1"/>
  </cols>
  <sheetData>
    <row r="1" spans="1:5" x14ac:dyDescent="0.35">
      <c r="A1" t="s">
        <v>0</v>
      </c>
      <c r="B1">
        <v>2013</v>
      </c>
      <c r="C1">
        <v>2018</v>
      </c>
      <c r="D1" t="s">
        <v>47</v>
      </c>
      <c r="E1" t="s">
        <v>61</v>
      </c>
    </row>
    <row r="2" spans="1:5" x14ac:dyDescent="0.35">
      <c r="A2" t="s">
        <v>1</v>
      </c>
      <c r="B2">
        <v>0</v>
      </c>
      <c r="C2">
        <v>73168</v>
      </c>
      <c r="D2">
        <v>48033.824348850052</v>
      </c>
      <c r="E2">
        <v>0</v>
      </c>
    </row>
    <row r="3" spans="1:5" x14ac:dyDescent="0.35">
      <c r="A3" t="s">
        <v>2</v>
      </c>
      <c r="B3">
        <v>0</v>
      </c>
      <c r="C3">
        <v>6593</v>
      </c>
      <c r="D3">
        <v>8693</v>
      </c>
      <c r="E3">
        <v>611</v>
      </c>
    </row>
    <row r="4" spans="1:5" x14ac:dyDescent="0.35">
      <c r="A4" t="s">
        <v>3</v>
      </c>
      <c r="B4">
        <v>0</v>
      </c>
      <c r="C4">
        <v>908</v>
      </c>
      <c r="D4">
        <v>2608</v>
      </c>
      <c r="E4">
        <v>780</v>
      </c>
    </row>
    <row r="5" spans="1:5" x14ac:dyDescent="0.35">
      <c r="A5" t="s">
        <v>4</v>
      </c>
      <c r="B5">
        <v>819</v>
      </c>
      <c r="C5">
        <v>925</v>
      </c>
      <c r="D5">
        <v>992</v>
      </c>
      <c r="E5">
        <v>60</v>
      </c>
    </row>
    <row r="6" spans="1:5" x14ac:dyDescent="0.35">
      <c r="A6" t="s">
        <v>5</v>
      </c>
      <c r="B6">
        <v>803</v>
      </c>
      <c r="C6">
        <v>1684</v>
      </c>
      <c r="D6">
        <v>3323</v>
      </c>
      <c r="E6">
        <v>1492</v>
      </c>
    </row>
    <row r="7" spans="1:5" x14ac:dyDescent="0.35">
      <c r="A7" t="s">
        <v>6</v>
      </c>
      <c r="B7">
        <v>554</v>
      </c>
      <c r="C7">
        <v>1084</v>
      </c>
      <c r="D7">
        <v>1014.8610394397346</v>
      </c>
      <c r="E7">
        <v>325</v>
      </c>
    </row>
    <row r="8" spans="1:5" x14ac:dyDescent="0.35">
      <c r="A8" t="s">
        <v>7</v>
      </c>
      <c r="B8">
        <v>1842</v>
      </c>
      <c r="C8">
        <v>3259</v>
      </c>
      <c r="D8">
        <v>3759</v>
      </c>
      <c r="E8">
        <v>800</v>
      </c>
    </row>
    <row r="9" spans="1:5" x14ac:dyDescent="0.35">
      <c r="A9" t="s">
        <v>60</v>
      </c>
      <c r="B9">
        <v>308</v>
      </c>
      <c r="C9">
        <v>452</v>
      </c>
      <c r="D9">
        <v>2644</v>
      </c>
      <c r="E9">
        <v>0</v>
      </c>
    </row>
    <row r="10" spans="1:5" x14ac:dyDescent="0.35">
      <c r="A10" t="s">
        <v>8</v>
      </c>
      <c r="B10">
        <v>324</v>
      </c>
      <c r="C10">
        <v>335</v>
      </c>
      <c r="D10">
        <v>146.38957816377172</v>
      </c>
      <c r="E10">
        <v>18</v>
      </c>
    </row>
    <row r="11" spans="1:5" x14ac:dyDescent="0.35">
      <c r="A11" t="s">
        <v>9</v>
      </c>
      <c r="B11">
        <v>573</v>
      </c>
      <c r="C11">
        <v>803</v>
      </c>
      <c r="D11">
        <v>1507</v>
      </c>
      <c r="E11">
        <v>330</v>
      </c>
    </row>
    <row r="12" spans="1:5" x14ac:dyDescent="0.35">
      <c r="A12" t="s">
        <v>10</v>
      </c>
      <c r="B12">
        <v>123</v>
      </c>
      <c r="C12">
        <v>220</v>
      </c>
      <c r="D12">
        <v>354</v>
      </c>
      <c r="E12">
        <v>0</v>
      </c>
    </row>
    <row r="13" spans="1:5" x14ac:dyDescent="0.35">
      <c r="A13" t="s">
        <v>11</v>
      </c>
      <c r="B13">
        <v>0</v>
      </c>
      <c r="C13">
        <v>544</v>
      </c>
      <c r="D13">
        <v>1042</v>
      </c>
      <c r="E13">
        <v>60</v>
      </c>
    </row>
    <row r="14" spans="1:5" x14ac:dyDescent="0.35">
      <c r="A14" t="s">
        <v>12</v>
      </c>
      <c r="B14">
        <v>5240</v>
      </c>
      <c r="C14">
        <v>5602</v>
      </c>
      <c r="D14">
        <v>6327.5519796794806</v>
      </c>
      <c r="E14">
        <v>254</v>
      </c>
    </row>
    <row r="15" spans="1:5" x14ac:dyDescent="0.35">
      <c r="A15" t="s">
        <v>13</v>
      </c>
      <c r="B15">
        <v>6418</v>
      </c>
      <c r="C15">
        <v>31546</v>
      </c>
      <c r="D15">
        <v>21289.958719118578</v>
      </c>
      <c r="E15">
        <v>6020</v>
      </c>
    </row>
    <row r="16" spans="1:5" x14ac:dyDescent="0.35">
      <c r="A16" t="s">
        <v>14</v>
      </c>
      <c r="B16">
        <v>0</v>
      </c>
      <c r="C16">
        <v>246</v>
      </c>
      <c r="D16">
        <v>274.68237599257924</v>
      </c>
      <c r="E16">
        <v>767</v>
      </c>
    </row>
    <row r="17" spans="1:5" x14ac:dyDescent="0.35">
      <c r="A17" t="s">
        <v>15</v>
      </c>
      <c r="B17">
        <v>172</v>
      </c>
      <c r="C17">
        <v>280</v>
      </c>
      <c r="D17">
        <v>298.81764752330793</v>
      </c>
      <c r="E17">
        <v>0</v>
      </c>
    </row>
    <row r="18" spans="1:5" x14ac:dyDescent="0.35">
      <c r="A18" t="s">
        <v>16</v>
      </c>
      <c r="B18">
        <v>0</v>
      </c>
      <c r="C18">
        <v>278</v>
      </c>
      <c r="D18">
        <v>687</v>
      </c>
      <c r="E18">
        <v>0</v>
      </c>
    </row>
    <row r="19" spans="1:5" x14ac:dyDescent="0.35">
      <c r="A19" t="s">
        <v>17</v>
      </c>
      <c r="B19">
        <v>0</v>
      </c>
      <c r="C19">
        <v>11263</v>
      </c>
      <c r="D19">
        <v>23741</v>
      </c>
      <c r="E19">
        <v>3114</v>
      </c>
    </row>
    <row r="20" spans="1:5" x14ac:dyDescent="0.35">
      <c r="A20" t="s">
        <v>18</v>
      </c>
      <c r="B20">
        <v>0</v>
      </c>
      <c r="C20">
        <v>1368</v>
      </c>
      <c r="D20">
        <v>1265.3898201501661</v>
      </c>
      <c r="E20">
        <v>46</v>
      </c>
    </row>
    <row r="21" spans="1:5" x14ac:dyDescent="0.35">
      <c r="A21" t="s">
        <v>19</v>
      </c>
      <c r="B21">
        <v>213</v>
      </c>
      <c r="C21">
        <v>298</v>
      </c>
      <c r="D21">
        <v>273.86722731906218</v>
      </c>
      <c r="E21">
        <v>23</v>
      </c>
    </row>
    <row r="22" spans="1:5" x14ac:dyDescent="0.35">
      <c r="A22" t="s">
        <v>20</v>
      </c>
      <c r="B22">
        <v>2730</v>
      </c>
      <c r="C22">
        <v>4406</v>
      </c>
      <c r="D22">
        <v>4726</v>
      </c>
      <c r="E22">
        <v>1566</v>
      </c>
    </row>
    <row r="23" spans="1:5" x14ac:dyDescent="0.35">
      <c r="A23" t="s">
        <v>21</v>
      </c>
      <c r="B23">
        <v>1844</v>
      </c>
      <c r="C23">
        <v>2787</v>
      </c>
      <c r="D23">
        <v>341.34169736316329</v>
      </c>
      <c r="E23">
        <v>767</v>
      </c>
    </row>
    <row r="24" spans="1:5" x14ac:dyDescent="0.35">
      <c r="A24" t="s">
        <v>22</v>
      </c>
      <c r="B24">
        <v>354</v>
      </c>
      <c r="C24">
        <v>578</v>
      </c>
      <c r="D24">
        <v>530.87376425855507</v>
      </c>
      <c r="E24">
        <v>0</v>
      </c>
    </row>
    <row r="25" spans="1:5" x14ac:dyDescent="0.35">
      <c r="A25" t="s">
        <v>23</v>
      </c>
      <c r="B25">
        <v>8682</v>
      </c>
      <c r="C25">
        <v>8042</v>
      </c>
      <c r="D25">
        <v>12792</v>
      </c>
      <c r="E25">
        <v>558</v>
      </c>
    </row>
    <row r="26" spans="1:5" x14ac:dyDescent="0.35">
      <c r="A26" t="s">
        <v>24</v>
      </c>
      <c r="B26">
        <v>0</v>
      </c>
      <c r="C26">
        <v>998</v>
      </c>
      <c r="D26">
        <v>536.60977859778598</v>
      </c>
      <c r="E26">
        <v>8</v>
      </c>
    </row>
    <row r="27" spans="1:5" x14ac:dyDescent="0.35">
      <c r="A27" t="s">
        <v>25</v>
      </c>
      <c r="B27">
        <v>168</v>
      </c>
      <c r="C27">
        <v>693</v>
      </c>
      <c r="D27">
        <v>954</v>
      </c>
      <c r="E27">
        <v>29</v>
      </c>
    </row>
    <row r="28" spans="1:5" x14ac:dyDescent="0.35">
      <c r="A28" t="s">
        <v>26</v>
      </c>
      <c r="B28">
        <v>3523</v>
      </c>
      <c r="C28">
        <v>5230</v>
      </c>
      <c r="D28">
        <v>5230</v>
      </c>
      <c r="E28">
        <v>316</v>
      </c>
    </row>
    <row r="29" spans="1:5" x14ac:dyDescent="0.35">
      <c r="A29" t="s">
        <v>27</v>
      </c>
      <c r="B29">
        <v>200</v>
      </c>
      <c r="C29">
        <v>2760</v>
      </c>
      <c r="D29">
        <v>1103.5637751855782</v>
      </c>
      <c r="E29">
        <v>115</v>
      </c>
    </row>
    <row r="30" spans="1:5" x14ac:dyDescent="0.35">
      <c r="A30" t="s">
        <v>28</v>
      </c>
      <c r="B30">
        <v>1971</v>
      </c>
      <c r="C30">
        <v>2866</v>
      </c>
      <c r="D30">
        <v>4402</v>
      </c>
      <c r="E30">
        <v>0</v>
      </c>
    </row>
    <row r="31" spans="1:5" x14ac:dyDescent="0.35">
      <c r="A31" t="s">
        <v>29</v>
      </c>
      <c r="B31">
        <v>622</v>
      </c>
      <c r="C31">
        <v>1626</v>
      </c>
      <c r="D31">
        <v>1273.0346943092873</v>
      </c>
      <c r="E31">
        <v>0</v>
      </c>
    </row>
    <row r="32" spans="1:5" x14ac:dyDescent="0.35">
      <c r="A32" t="s">
        <v>30</v>
      </c>
      <c r="B32">
        <v>2046</v>
      </c>
      <c r="C32">
        <v>2395</v>
      </c>
      <c r="D32">
        <v>1833.6554988586008</v>
      </c>
      <c r="E32">
        <v>432</v>
      </c>
    </row>
    <row r="33" spans="1:5" x14ac:dyDescent="0.35">
      <c r="A33" t="s">
        <v>31</v>
      </c>
      <c r="B33">
        <v>1452</v>
      </c>
      <c r="C33">
        <v>2473</v>
      </c>
      <c r="D33">
        <v>5719</v>
      </c>
      <c r="E33">
        <v>819</v>
      </c>
    </row>
    <row r="34" spans="1:5" x14ac:dyDescent="0.35">
      <c r="A34" t="s">
        <v>32</v>
      </c>
      <c r="B34">
        <v>0</v>
      </c>
      <c r="C34">
        <v>1445</v>
      </c>
      <c r="D34">
        <v>1597</v>
      </c>
      <c r="E34">
        <v>475</v>
      </c>
    </row>
    <row r="35" spans="1:5" x14ac:dyDescent="0.35">
      <c r="A35" t="s">
        <v>33</v>
      </c>
      <c r="B35">
        <v>946</v>
      </c>
      <c r="C35">
        <v>1065</v>
      </c>
      <c r="D35">
        <v>705.66936761273496</v>
      </c>
      <c r="E35">
        <v>370</v>
      </c>
    </row>
    <row r="36" spans="1:5" x14ac:dyDescent="0.35">
      <c r="A36" t="s">
        <v>34</v>
      </c>
      <c r="B36">
        <v>65759</v>
      </c>
      <c r="C36">
        <v>83907</v>
      </c>
      <c r="D36">
        <v>86181</v>
      </c>
      <c r="E36">
        <v>4340</v>
      </c>
    </row>
    <row r="37" spans="1:5" x14ac:dyDescent="0.35">
      <c r="A37" t="s">
        <v>35</v>
      </c>
      <c r="B37">
        <v>1104</v>
      </c>
      <c r="C37">
        <v>1648</v>
      </c>
      <c r="D37">
        <v>1648</v>
      </c>
      <c r="E37">
        <v>11</v>
      </c>
    </row>
    <row r="38" spans="1:5" x14ac:dyDescent="0.35">
      <c r="A38" t="s">
        <v>36</v>
      </c>
      <c r="B38">
        <v>63</v>
      </c>
      <c r="C38">
        <v>60</v>
      </c>
      <c r="D38">
        <v>105</v>
      </c>
      <c r="E38">
        <v>0</v>
      </c>
    </row>
    <row r="39" spans="1:5" x14ac:dyDescent="0.35">
      <c r="A39" t="s">
        <v>37</v>
      </c>
      <c r="B39">
        <v>0</v>
      </c>
      <c r="C39">
        <v>2883</v>
      </c>
      <c r="D39">
        <v>2560.8623058327948</v>
      </c>
      <c r="E39">
        <v>434</v>
      </c>
    </row>
    <row r="40" spans="1:5" x14ac:dyDescent="0.35">
      <c r="A40" t="s">
        <v>38</v>
      </c>
      <c r="B40">
        <v>93</v>
      </c>
      <c r="C40">
        <v>240</v>
      </c>
      <c r="D40">
        <v>828</v>
      </c>
      <c r="E40">
        <v>10</v>
      </c>
    </row>
    <row r="41" spans="1:5" x14ac:dyDescent="0.35">
      <c r="A41" t="s">
        <v>39</v>
      </c>
      <c r="B41">
        <v>0</v>
      </c>
      <c r="C41">
        <v>566</v>
      </c>
      <c r="D41">
        <v>1106</v>
      </c>
      <c r="E41">
        <v>217</v>
      </c>
    </row>
    <row r="42" spans="1:5" x14ac:dyDescent="0.35">
      <c r="A42" t="s">
        <v>40</v>
      </c>
      <c r="B42">
        <v>0</v>
      </c>
      <c r="C42">
        <v>43503</v>
      </c>
      <c r="D42">
        <v>48021</v>
      </c>
      <c r="E42">
        <v>998</v>
      </c>
    </row>
    <row r="43" spans="1:5" x14ac:dyDescent="0.35">
      <c r="A43" t="s">
        <v>41</v>
      </c>
      <c r="B43">
        <v>0</v>
      </c>
      <c r="C43">
        <v>411</v>
      </c>
      <c r="D43">
        <v>456</v>
      </c>
      <c r="E43">
        <v>0</v>
      </c>
    </row>
    <row r="44" spans="1:5" x14ac:dyDescent="0.35">
      <c r="A44" t="s">
        <v>42</v>
      </c>
      <c r="B44">
        <v>1481</v>
      </c>
      <c r="C44">
        <v>2885</v>
      </c>
      <c r="D44">
        <v>8693</v>
      </c>
      <c r="E44">
        <v>330</v>
      </c>
    </row>
    <row r="45" spans="1:5" x14ac:dyDescent="0.35">
      <c r="A45" t="s">
        <v>43</v>
      </c>
      <c r="B45">
        <v>361</v>
      </c>
      <c r="C45">
        <v>611</v>
      </c>
      <c r="D45">
        <v>730</v>
      </c>
      <c r="E45">
        <v>77</v>
      </c>
    </row>
    <row r="46" spans="1:5" x14ac:dyDescent="0.35">
      <c r="A46" t="s">
        <v>44</v>
      </c>
      <c r="B46">
        <v>3370</v>
      </c>
      <c r="C46">
        <v>17186</v>
      </c>
      <c r="D46">
        <v>9051.7813279678066</v>
      </c>
      <c r="E46">
        <v>1997</v>
      </c>
    </row>
    <row r="47" spans="1:5" x14ac:dyDescent="0.35">
      <c r="A47" t="s">
        <v>45</v>
      </c>
      <c r="B47">
        <v>0</v>
      </c>
      <c r="C47">
        <v>4021</v>
      </c>
      <c r="D47">
        <v>6531</v>
      </c>
      <c r="E47">
        <v>100</v>
      </c>
    </row>
    <row r="48" spans="1:5" x14ac:dyDescent="0.35">
      <c r="A48" t="s">
        <v>46</v>
      </c>
      <c r="B48">
        <v>1114</v>
      </c>
      <c r="C48">
        <v>3026</v>
      </c>
      <c r="D48">
        <v>3131.5983655333839</v>
      </c>
      <c r="E48">
        <v>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B9513-39E9-4195-8CC9-087689CFA46C}">
  <dimension ref="A1:M48"/>
  <sheetViews>
    <sheetView workbookViewId="0">
      <selection activeCell="A9" sqref="A9"/>
    </sheetView>
  </sheetViews>
  <sheetFormatPr defaultRowHeight="14.5" x14ac:dyDescent="0.35"/>
  <cols>
    <col min="1" max="1" width="29.453125" bestFit="1" customWidth="1"/>
    <col min="2" max="2" width="27.54296875" bestFit="1" customWidth="1"/>
    <col min="8" max="8" width="18.26953125" bestFit="1" customWidth="1"/>
    <col min="9" max="9" width="16" bestFit="1" customWidth="1"/>
  </cols>
  <sheetData>
    <row r="1" spans="1:13" x14ac:dyDescent="0.35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5">
      <c r="A2" t="s">
        <v>1</v>
      </c>
      <c r="B2">
        <v>0</v>
      </c>
      <c r="M2">
        <v>0</v>
      </c>
    </row>
    <row r="3" spans="1:13" x14ac:dyDescent="0.35">
      <c r="A3" t="s">
        <v>2</v>
      </c>
      <c r="B3">
        <v>611</v>
      </c>
      <c r="D3">
        <v>145</v>
      </c>
      <c r="F3">
        <v>529</v>
      </c>
      <c r="I3">
        <v>2950</v>
      </c>
      <c r="M3">
        <v>4235</v>
      </c>
    </row>
    <row r="4" spans="1:13" x14ac:dyDescent="0.35">
      <c r="A4" t="s">
        <v>3</v>
      </c>
      <c r="B4">
        <v>780</v>
      </c>
      <c r="C4">
        <v>385</v>
      </c>
      <c r="F4">
        <v>143</v>
      </c>
      <c r="H4">
        <v>247</v>
      </c>
      <c r="I4">
        <v>257</v>
      </c>
      <c r="J4">
        <v>1113</v>
      </c>
      <c r="L4">
        <v>1194</v>
      </c>
      <c r="M4">
        <v>4119</v>
      </c>
    </row>
    <row r="5" spans="1:13" x14ac:dyDescent="0.35">
      <c r="A5" t="s">
        <v>4</v>
      </c>
      <c r="B5">
        <v>60</v>
      </c>
      <c r="C5">
        <v>48</v>
      </c>
      <c r="D5">
        <v>7</v>
      </c>
      <c r="E5">
        <v>10</v>
      </c>
      <c r="F5">
        <v>95</v>
      </c>
      <c r="G5">
        <v>60</v>
      </c>
      <c r="H5">
        <v>40</v>
      </c>
      <c r="I5">
        <v>490</v>
      </c>
      <c r="J5">
        <v>189</v>
      </c>
      <c r="K5">
        <v>30</v>
      </c>
      <c r="L5">
        <v>597</v>
      </c>
      <c r="M5">
        <v>1626</v>
      </c>
    </row>
    <row r="6" spans="1:13" x14ac:dyDescent="0.35">
      <c r="A6" t="s">
        <v>5</v>
      </c>
      <c r="B6">
        <v>1492</v>
      </c>
      <c r="C6">
        <v>385</v>
      </c>
      <c r="D6">
        <v>62</v>
      </c>
      <c r="F6">
        <v>594</v>
      </c>
      <c r="H6">
        <v>1170</v>
      </c>
      <c r="I6">
        <v>1170</v>
      </c>
      <c r="M6">
        <v>4873</v>
      </c>
    </row>
    <row r="7" spans="1:13" x14ac:dyDescent="0.35">
      <c r="A7" t="s">
        <v>6</v>
      </c>
      <c r="B7">
        <v>325</v>
      </c>
      <c r="C7">
        <v>240</v>
      </c>
      <c r="F7">
        <v>39</v>
      </c>
      <c r="H7">
        <v>196</v>
      </c>
      <c r="I7">
        <v>1467</v>
      </c>
      <c r="J7">
        <v>322</v>
      </c>
      <c r="L7">
        <v>194</v>
      </c>
      <c r="M7">
        <v>2783</v>
      </c>
    </row>
    <row r="8" spans="1:13" x14ac:dyDescent="0.35">
      <c r="A8" t="s">
        <v>7</v>
      </c>
      <c r="B8">
        <v>800</v>
      </c>
      <c r="I8">
        <v>2660</v>
      </c>
      <c r="J8">
        <v>800</v>
      </c>
      <c r="M8">
        <v>4260</v>
      </c>
    </row>
    <row r="9" spans="1:13" x14ac:dyDescent="0.35">
      <c r="A9" t="s">
        <v>60</v>
      </c>
      <c r="E9">
        <v>7</v>
      </c>
      <c r="L9">
        <v>83</v>
      </c>
      <c r="M9">
        <v>90</v>
      </c>
    </row>
    <row r="10" spans="1:13" x14ac:dyDescent="0.35">
      <c r="A10" t="s">
        <v>8</v>
      </c>
      <c r="B10">
        <v>18</v>
      </c>
      <c r="M10">
        <v>18</v>
      </c>
    </row>
    <row r="11" spans="1:13" x14ac:dyDescent="0.35">
      <c r="A11" t="s">
        <v>9</v>
      </c>
      <c r="B11">
        <v>330</v>
      </c>
      <c r="C11">
        <v>30</v>
      </c>
      <c r="F11">
        <v>80</v>
      </c>
      <c r="G11">
        <v>180</v>
      </c>
      <c r="H11">
        <v>2084</v>
      </c>
      <c r="I11">
        <v>2920</v>
      </c>
      <c r="J11">
        <v>220</v>
      </c>
      <c r="M11">
        <v>5844</v>
      </c>
    </row>
    <row r="12" spans="1:13" x14ac:dyDescent="0.35">
      <c r="A12" t="s">
        <v>10</v>
      </c>
      <c r="H12">
        <v>29</v>
      </c>
      <c r="I12">
        <v>40</v>
      </c>
      <c r="M12">
        <v>69</v>
      </c>
    </row>
    <row r="13" spans="1:13" x14ac:dyDescent="0.35">
      <c r="A13" t="s">
        <v>11</v>
      </c>
      <c r="B13">
        <v>60</v>
      </c>
      <c r="C13">
        <v>315</v>
      </c>
      <c r="E13">
        <v>10</v>
      </c>
      <c r="G13">
        <v>5</v>
      </c>
      <c r="H13">
        <v>120</v>
      </c>
      <c r="I13">
        <v>60</v>
      </c>
      <c r="K13">
        <v>50</v>
      </c>
      <c r="L13">
        <v>408</v>
      </c>
      <c r="M13">
        <v>1028</v>
      </c>
    </row>
    <row r="14" spans="1:13" x14ac:dyDescent="0.35">
      <c r="A14" t="s">
        <v>12</v>
      </c>
      <c r="B14">
        <v>254</v>
      </c>
      <c r="C14">
        <v>48</v>
      </c>
      <c r="G14">
        <v>151</v>
      </c>
      <c r="I14">
        <v>1007</v>
      </c>
      <c r="J14">
        <v>1106</v>
      </c>
      <c r="L14">
        <v>450</v>
      </c>
      <c r="M14">
        <v>3016</v>
      </c>
    </row>
    <row r="15" spans="1:13" x14ac:dyDescent="0.35">
      <c r="A15" t="s">
        <v>13</v>
      </c>
      <c r="B15">
        <v>6020</v>
      </c>
      <c r="D15">
        <v>66</v>
      </c>
      <c r="F15">
        <v>178</v>
      </c>
      <c r="G15">
        <v>328</v>
      </c>
      <c r="H15">
        <v>3453</v>
      </c>
      <c r="I15">
        <v>24061</v>
      </c>
      <c r="J15">
        <v>2571</v>
      </c>
      <c r="L15">
        <v>3151</v>
      </c>
      <c r="M15">
        <v>39828</v>
      </c>
    </row>
    <row r="16" spans="1:13" x14ac:dyDescent="0.35">
      <c r="A16" t="s">
        <v>14</v>
      </c>
      <c r="B16">
        <v>767</v>
      </c>
      <c r="H16">
        <v>492</v>
      </c>
      <c r="I16">
        <v>962</v>
      </c>
      <c r="J16">
        <v>27</v>
      </c>
      <c r="L16">
        <v>1304</v>
      </c>
      <c r="M16">
        <v>3552</v>
      </c>
    </row>
    <row r="17" spans="1:13" x14ac:dyDescent="0.35">
      <c r="A17" t="s">
        <v>15</v>
      </c>
      <c r="I17">
        <v>400</v>
      </c>
      <c r="L17">
        <v>1023</v>
      </c>
      <c r="M17">
        <v>1423</v>
      </c>
    </row>
    <row r="18" spans="1:13" x14ac:dyDescent="0.35">
      <c r="A18" t="s">
        <v>16</v>
      </c>
      <c r="F18">
        <v>44</v>
      </c>
      <c r="G18">
        <v>30</v>
      </c>
      <c r="H18">
        <v>80</v>
      </c>
      <c r="I18">
        <v>160</v>
      </c>
      <c r="J18">
        <v>78</v>
      </c>
      <c r="L18">
        <v>58</v>
      </c>
      <c r="M18">
        <v>450</v>
      </c>
    </row>
    <row r="19" spans="1:13" x14ac:dyDescent="0.35">
      <c r="A19" t="s">
        <v>17</v>
      </c>
      <c r="B19">
        <v>3114</v>
      </c>
      <c r="C19">
        <v>880</v>
      </c>
      <c r="D19">
        <v>189</v>
      </c>
      <c r="E19">
        <v>64</v>
      </c>
      <c r="F19">
        <v>699</v>
      </c>
      <c r="G19">
        <v>2878</v>
      </c>
      <c r="H19">
        <v>2440</v>
      </c>
      <c r="I19">
        <v>6298</v>
      </c>
      <c r="J19">
        <v>1220</v>
      </c>
      <c r="K19">
        <v>1613</v>
      </c>
      <c r="L19">
        <v>3672</v>
      </c>
      <c r="M19">
        <v>23067</v>
      </c>
    </row>
    <row r="20" spans="1:13" x14ac:dyDescent="0.35">
      <c r="A20" t="s">
        <v>18</v>
      </c>
      <c r="B20">
        <v>46</v>
      </c>
      <c r="C20">
        <v>16</v>
      </c>
      <c r="F20">
        <v>2</v>
      </c>
      <c r="H20">
        <v>34</v>
      </c>
      <c r="I20">
        <v>95</v>
      </c>
      <c r="J20">
        <v>6</v>
      </c>
      <c r="M20">
        <v>199</v>
      </c>
    </row>
    <row r="21" spans="1:13" x14ac:dyDescent="0.35">
      <c r="A21" t="s">
        <v>19</v>
      </c>
      <c r="B21">
        <v>23</v>
      </c>
      <c r="I21">
        <v>137</v>
      </c>
      <c r="J21">
        <v>6</v>
      </c>
      <c r="M21">
        <v>166</v>
      </c>
    </row>
    <row r="22" spans="1:13" x14ac:dyDescent="0.35">
      <c r="A22" t="s">
        <v>20</v>
      </c>
      <c r="B22">
        <v>1566</v>
      </c>
      <c r="F22">
        <v>343</v>
      </c>
      <c r="H22">
        <v>4827</v>
      </c>
      <c r="I22">
        <v>21271</v>
      </c>
      <c r="J22">
        <v>396</v>
      </c>
      <c r="M22">
        <v>28403</v>
      </c>
    </row>
    <row r="23" spans="1:13" x14ac:dyDescent="0.35">
      <c r="A23" t="s">
        <v>21</v>
      </c>
      <c r="B23">
        <v>767</v>
      </c>
      <c r="C23">
        <v>74</v>
      </c>
      <c r="F23">
        <v>113</v>
      </c>
      <c r="G23">
        <v>34</v>
      </c>
      <c r="H23">
        <v>492</v>
      </c>
      <c r="I23">
        <v>964</v>
      </c>
      <c r="J23">
        <v>27</v>
      </c>
      <c r="L23">
        <v>1304</v>
      </c>
      <c r="M23">
        <v>3775</v>
      </c>
    </row>
    <row r="24" spans="1:13" x14ac:dyDescent="0.35">
      <c r="A24" t="s">
        <v>22</v>
      </c>
      <c r="J24">
        <v>23</v>
      </c>
      <c r="L24">
        <v>489</v>
      </c>
      <c r="M24">
        <v>512</v>
      </c>
    </row>
    <row r="25" spans="1:13" x14ac:dyDescent="0.35">
      <c r="A25" t="s">
        <v>23</v>
      </c>
      <c r="B25">
        <v>558</v>
      </c>
      <c r="D25">
        <v>36</v>
      </c>
      <c r="F25">
        <v>379</v>
      </c>
      <c r="G25">
        <v>20</v>
      </c>
      <c r="I25">
        <v>1070</v>
      </c>
      <c r="J25">
        <v>519</v>
      </c>
      <c r="L25">
        <v>366</v>
      </c>
      <c r="M25">
        <v>2948</v>
      </c>
    </row>
    <row r="26" spans="1:13" x14ac:dyDescent="0.35">
      <c r="A26" t="s">
        <v>24</v>
      </c>
      <c r="B26">
        <v>8</v>
      </c>
      <c r="C26">
        <v>22</v>
      </c>
      <c r="D26">
        <v>8</v>
      </c>
      <c r="F26">
        <v>33</v>
      </c>
      <c r="G26">
        <v>20</v>
      </c>
      <c r="H26">
        <v>69</v>
      </c>
      <c r="I26">
        <v>376</v>
      </c>
      <c r="J26">
        <v>20</v>
      </c>
      <c r="M26">
        <v>556</v>
      </c>
    </row>
    <row r="27" spans="1:13" x14ac:dyDescent="0.35">
      <c r="A27" t="s">
        <v>25</v>
      </c>
      <c r="B27">
        <v>29</v>
      </c>
      <c r="C27">
        <v>50</v>
      </c>
      <c r="F27">
        <v>22</v>
      </c>
      <c r="I27">
        <v>63</v>
      </c>
      <c r="J27">
        <v>56</v>
      </c>
      <c r="L27">
        <v>50</v>
      </c>
      <c r="M27">
        <v>270</v>
      </c>
    </row>
    <row r="28" spans="1:13" x14ac:dyDescent="0.35">
      <c r="A28" t="s">
        <v>26</v>
      </c>
      <c r="B28">
        <v>316</v>
      </c>
      <c r="C28">
        <v>156</v>
      </c>
      <c r="H28">
        <v>2473</v>
      </c>
      <c r="I28">
        <v>2540</v>
      </c>
      <c r="J28">
        <v>116</v>
      </c>
      <c r="L28">
        <v>297</v>
      </c>
      <c r="M28">
        <v>5898</v>
      </c>
    </row>
    <row r="29" spans="1:13" x14ac:dyDescent="0.35">
      <c r="A29" t="s">
        <v>27</v>
      </c>
      <c r="B29">
        <v>115</v>
      </c>
      <c r="C29">
        <v>167</v>
      </c>
      <c r="F29">
        <v>110</v>
      </c>
      <c r="G29">
        <v>189</v>
      </c>
      <c r="H29">
        <v>1171</v>
      </c>
      <c r="I29">
        <v>386</v>
      </c>
      <c r="J29">
        <v>175</v>
      </c>
      <c r="L29">
        <v>616</v>
      </c>
      <c r="M29">
        <v>2929</v>
      </c>
    </row>
    <row r="30" spans="1:13" x14ac:dyDescent="0.35">
      <c r="A30" t="s">
        <v>28</v>
      </c>
      <c r="M30">
        <v>0</v>
      </c>
    </row>
    <row r="31" spans="1:13" x14ac:dyDescent="0.35">
      <c r="A31" t="s">
        <v>29</v>
      </c>
      <c r="C31">
        <v>76</v>
      </c>
      <c r="I31">
        <v>113</v>
      </c>
      <c r="L31">
        <v>366</v>
      </c>
      <c r="M31">
        <v>555</v>
      </c>
    </row>
    <row r="32" spans="1:13" x14ac:dyDescent="0.35">
      <c r="A32" t="s">
        <v>30</v>
      </c>
      <c r="B32">
        <v>432</v>
      </c>
      <c r="H32">
        <v>40</v>
      </c>
      <c r="I32">
        <v>175</v>
      </c>
      <c r="L32">
        <v>39</v>
      </c>
      <c r="M32">
        <v>686</v>
      </c>
    </row>
    <row r="33" spans="1:13" x14ac:dyDescent="0.35">
      <c r="A33" t="s">
        <v>31</v>
      </c>
      <c r="B33">
        <v>819</v>
      </c>
      <c r="C33">
        <v>146</v>
      </c>
      <c r="D33">
        <v>161</v>
      </c>
      <c r="G33">
        <v>112</v>
      </c>
      <c r="H33">
        <v>140</v>
      </c>
      <c r="I33">
        <v>580</v>
      </c>
      <c r="J33">
        <v>248</v>
      </c>
      <c r="K33">
        <v>20</v>
      </c>
      <c r="M33">
        <v>2226</v>
      </c>
    </row>
    <row r="34" spans="1:13" x14ac:dyDescent="0.35">
      <c r="A34" t="s">
        <v>32</v>
      </c>
      <c r="B34">
        <v>475</v>
      </c>
      <c r="C34">
        <v>3</v>
      </c>
      <c r="F34">
        <v>247</v>
      </c>
      <c r="G34">
        <v>31</v>
      </c>
      <c r="H34">
        <v>1414</v>
      </c>
      <c r="I34">
        <v>200</v>
      </c>
      <c r="J34">
        <v>121</v>
      </c>
      <c r="L34">
        <v>175</v>
      </c>
      <c r="M34">
        <v>2666</v>
      </c>
    </row>
    <row r="35" spans="1:13" x14ac:dyDescent="0.35">
      <c r="A35" t="s">
        <v>33</v>
      </c>
      <c r="B35">
        <v>370</v>
      </c>
      <c r="C35">
        <v>14</v>
      </c>
      <c r="H35">
        <v>124</v>
      </c>
      <c r="I35">
        <v>305</v>
      </c>
      <c r="J35">
        <v>45</v>
      </c>
      <c r="L35">
        <v>1891</v>
      </c>
      <c r="M35">
        <v>2749</v>
      </c>
    </row>
    <row r="36" spans="1:13" x14ac:dyDescent="0.35">
      <c r="A36" t="s">
        <v>34</v>
      </c>
      <c r="B36">
        <v>4340</v>
      </c>
      <c r="D36">
        <v>459</v>
      </c>
      <c r="H36">
        <v>375</v>
      </c>
      <c r="I36">
        <v>12835</v>
      </c>
      <c r="J36">
        <v>1774</v>
      </c>
      <c r="M36">
        <v>19783</v>
      </c>
    </row>
    <row r="37" spans="1:13" x14ac:dyDescent="0.35">
      <c r="A37" t="s">
        <v>35</v>
      </c>
      <c r="B37">
        <v>11</v>
      </c>
      <c r="F37">
        <v>95</v>
      </c>
      <c r="H37">
        <v>176</v>
      </c>
      <c r="I37">
        <v>355</v>
      </c>
      <c r="L37">
        <v>81</v>
      </c>
      <c r="M37">
        <v>718</v>
      </c>
    </row>
    <row r="38" spans="1:13" x14ac:dyDescent="0.35">
      <c r="A38" t="s">
        <v>36</v>
      </c>
      <c r="M38">
        <v>0</v>
      </c>
    </row>
    <row r="39" spans="1:13" x14ac:dyDescent="0.35">
      <c r="A39" t="s">
        <v>37</v>
      </c>
      <c r="B39">
        <v>434</v>
      </c>
      <c r="C39">
        <v>137</v>
      </c>
      <c r="D39">
        <v>67</v>
      </c>
      <c r="F39">
        <v>171</v>
      </c>
      <c r="H39">
        <v>104</v>
      </c>
      <c r="I39">
        <v>582</v>
      </c>
      <c r="J39">
        <v>36</v>
      </c>
      <c r="L39">
        <v>710</v>
      </c>
      <c r="M39">
        <v>2241</v>
      </c>
    </row>
    <row r="40" spans="1:13" x14ac:dyDescent="0.35">
      <c r="A40" t="s">
        <v>38</v>
      </c>
      <c r="B40">
        <v>10</v>
      </c>
      <c r="G40">
        <v>20</v>
      </c>
      <c r="H40">
        <v>10</v>
      </c>
      <c r="I40">
        <v>40</v>
      </c>
      <c r="L40">
        <v>80</v>
      </c>
      <c r="M40">
        <v>160</v>
      </c>
    </row>
    <row r="41" spans="1:13" x14ac:dyDescent="0.35">
      <c r="A41" t="s">
        <v>39</v>
      </c>
      <c r="B41">
        <v>217</v>
      </c>
      <c r="F41">
        <v>69</v>
      </c>
      <c r="G41">
        <v>51</v>
      </c>
      <c r="H41">
        <v>120</v>
      </c>
      <c r="I41">
        <v>1755</v>
      </c>
      <c r="J41">
        <v>90</v>
      </c>
      <c r="L41">
        <v>186</v>
      </c>
      <c r="M41">
        <v>2488</v>
      </c>
    </row>
    <row r="42" spans="1:13" x14ac:dyDescent="0.35">
      <c r="A42" t="s">
        <v>40</v>
      </c>
      <c r="B42">
        <v>998</v>
      </c>
      <c r="D42">
        <v>805</v>
      </c>
      <c r="F42">
        <v>1291</v>
      </c>
      <c r="I42">
        <v>3154</v>
      </c>
      <c r="J42">
        <v>451</v>
      </c>
      <c r="L42">
        <v>13559</v>
      </c>
      <c r="M42">
        <v>20258</v>
      </c>
    </row>
    <row r="43" spans="1:13" x14ac:dyDescent="0.35">
      <c r="A43" t="s">
        <v>41</v>
      </c>
      <c r="H43">
        <v>307</v>
      </c>
      <c r="I43">
        <v>241</v>
      </c>
      <c r="J43">
        <v>681</v>
      </c>
      <c r="L43">
        <v>484</v>
      </c>
      <c r="M43">
        <v>1713</v>
      </c>
    </row>
    <row r="44" spans="1:13" x14ac:dyDescent="0.35">
      <c r="A44" t="s">
        <v>42</v>
      </c>
      <c r="B44">
        <v>330</v>
      </c>
      <c r="C44">
        <v>1597</v>
      </c>
      <c r="D44">
        <v>80</v>
      </c>
      <c r="G44">
        <v>629</v>
      </c>
      <c r="H44">
        <v>2084</v>
      </c>
      <c r="I44">
        <v>2920</v>
      </c>
      <c r="J44">
        <v>17</v>
      </c>
      <c r="L44">
        <v>5457</v>
      </c>
      <c r="M44">
        <v>13114</v>
      </c>
    </row>
    <row r="45" spans="1:13" x14ac:dyDescent="0.35">
      <c r="A45" t="s">
        <v>43</v>
      </c>
      <c r="B45">
        <v>77</v>
      </c>
      <c r="C45">
        <v>37</v>
      </c>
      <c r="F45">
        <v>60</v>
      </c>
      <c r="H45">
        <v>130</v>
      </c>
      <c r="I45">
        <v>240</v>
      </c>
      <c r="J45">
        <v>215</v>
      </c>
      <c r="L45">
        <v>250</v>
      </c>
      <c r="M45">
        <v>1009</v>
      </c>
    </row>
    <row r="46" spans="1:13" x14ac:dyDescent="0.35">
      <c r="A46" t="s">
        <v>44</v>
      </c>
      <c r="B46">
        <v>1997</v>
      </c>
      <c r="C46">
        <v>246</v>
      </c>
      <c r="D46">
        <v>41</v>
      </c>
      <c r="E46">
        <v>220</v>
      </c>
      <c r="F46">
        <v>120</v>
      </c>
      <c r="G46">
        <v>1860</v>
      </c>
      <c r="H46">
        <v>8990</v>
      </c>
      <c r="I46">
        <v>14001</v>
      </c>
      <c r="J46">
        <v>3610</v>
      </c>
      <c r="L46">
        <v>1020</v>
      </c>
      <c r="M46">
        <v>32105</v>
      </c>
    </row>
    <row r="47" spans="1:13" x14ac:dyDescent="0.35">
      <c r="A47" t="s">
        <v>45</v>
      </c>
      <c r="B47">
        <v>100</v>
      </c>
      <c r="E47">
        <v>36</v>
      </c>
      <c r="G47">
        <v>180</v>
      </c>
      <c r="H47">
        <v>1939</v>
      </c>
      <c r="I47">
        <v>5272</v>
      </c>
      <c r="J47">
        <v>282</v>
      </c>
      <c r="K47">
        <v>100</v>
      </c>
      <c r="L47">
        <v>400</v>
      </c>
      <c r="M47">
        <v>8309</v>
      </c>
    </row>
    <row r="48" spans="1:13" x14ac:dyDescent="0.35">
      <c r="A48" t="s">
        <v>46</v>
      </c>
      <c r="B48">
        <v>265</v>
      </c>
      <c r="C48">
        <v>30</v>
      </c>
      <c r="D48">
        <v>80</v>
      </c>
      <c r="E48">
        <v>30</v>
      </c>
      <c r="F48">
        <v>155</v>
      </c>
      <c r="G48">
        <v>30</v>
      </c>
      <c r="H48">
        <v>270</v>
      </c>
      <c r="I48">
        <v>1100</v>
      </c>
      <c r="J48">
        <v>358</v>
      </c>
      <c r="L48">
        <v>421</v>
      </c>
      <c r="M48">
        <v>2739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4764C-CB7F-4251-AE90-E2B9AC70528E}">
  <dimension ref="A1:E48"/>
  <sheetViews>
    <sheetView topLeftCell="A30" workbookViewId="0">
      <selection sqref="A1:E48"/>
    </sheetView>
  </sheetViews>
  <sheetFormatPr defaultRowHeight="14.5" x14ac:dyDescent="0.35"/>
  <cols>
    <col min="1" max="1" width="20.81640625" bestFit="1" customWidth="1"/>
  </cols>
  <sheetData>
    <row r="1" spans="1:5" x14ac:dyDescent="0.35">
      <c r="A1" t="s">
        <v>0</v>
      </c>
      <c r="B1">
        <v>2013</v>
      </c>
      <c r="C1">
        <v>2018</v>
      </c>
      <c r="D1" t="s">
        <v>62</v>
      </c>
      <c r="E1" t="s">
        <v>63</v>
      </c>
    </row>
    <row r="2" spans="1:5" x14ac:dyDescent="0.35">
      <c r="A2" t="s">
        <v>1</v>
      </c>
      <c r="B2">
        <v>0</v>
      </c>
      <c r="C2">
        <v>57705</v>
      </c>
      <c r="D2">
        <v>5043.8935155116633</v>
      </c>
      <c r="E2">
        <v>0</v>
      </c>
    </row>
    <row r="3" spans="1:5" x14ac:dyDescent="0.35">
      <c r="A3" t="s">
        <v>2</v>
      </c>
      <c r="B3">
        <v>0</v>
      </c>
      <c r="C3">
        <v>46082</v>
      </c>
      <c r="D3">
        <v>66717.353814379763</v>
      </c>
      <c r="E3">
        <v>2950</v>
      </c>
    </row>
    <row r="4" spans="1:5" x14ac:dyDescent="0.35">
      <c r="A4" t="s">
        <v>3</v>
      </c>
      <c r="B4">
        <v>4880</v>
      </c>
      <c r="C4">
        <v>3410</v>
      </c>
      <c r="D4">
        <v>5893</v>
      </c>
      <c r="E4">
        <v>257</v>
      </c>
    </row>
    <row r="5" spans="1:5" x14ac:dyDescent="0.35">
      <c r="A5" t="s">
        <v>4</v>
      </c>
      <c r="B5">
        <v>5816</v>
      </c>
      <c r="C5">
        <v>7645</v>
      </c>
      <c r="D5">
        <v>8028</v>
      </c>
      <c r="E5">
        <v>490</v>
      </c>
    </row>
    <row r="6" spans="1:5" x14ac:dyDescent="0.35">
      <c r="A6" t="s">
        <v>5</v>
      </c>
      <c r="B6">
        <v>6196</v>
      </c>
      <c r="C6">
        <v>10325</v>
      </c>
      <c r="D6">
        <v>13961</v>
      </c>
      <c r="E6">
        <v>1170</v>
      </c>
    </row>
    <row r="7" spans="1:5" x14ac:dyDescent="0.35">
      <c r="A7" t="s">
        <v>6</v>
      </c>
      <c r="B7">
        <v>6573</v>
      </c>
      <c r="C7">
        <v>9156</v>
      </c>
      <c r="D7">
        <v>9372</v>
      </c>
      <c r="E7">
        <v>1467</v>
      </c>
    </row>
    <row r="8" spans="1:5" x14ac:dyDescent="0.35">
      <c r="A8" t="s">
        <v>7</v>
      </c>
      <c r="B8">
        <v>18954</v>
      </c>
      <c r="C8">
        <v>9925</v>
      </c>
      <c r="D8">
        <v>16473</v>
      </c>
      <c r="E8">
        <v>2660</v>
      </c>
    </row>
    <row r="9" spans="1:5" x14ac:dyDescent="0.35">
      <c r="A9" t="s">
        <v>60</v>
      </c>
      <c r="B9">
        <v>403</v>
      </c>
      <c r="C9">
        <v>768</v>
      </c>
      <c r="D9">
        <v>941</v>
      </c>
      <c r="E9">
        <v>0</v>
      </c>
    </row>
    <row r="10" spans="1:5" x14ac:dyDescent="0.35">
      <c r="A10" t="s">
        <v>8</v>
      </c>
      <c r="B10">
        <v>322</v>
      </c>
      <c r="C10">
        <v>1195</v>
      </c>
      <c r="D10">
        <v>648.48014888337468</v>
      </c>
      <c r="E10">
        <v>0</v>
      </c>
    </row>
    <row r="11" spans="1:5" x14ac:dyDescent="0.35">
      <c r="A11" t="s">
        <v>9</v>
      </c>
      <c r="B11">
        <v>3606</v>
      </c>
      <c r="C11">
        <v>4799</v>
      </c>
      <c r="D11">
        <v>3387.151734852408</v>
      </c>
      <c r="E11">
        <v>2920</v>
      </c>
    </row>
    <row r="12" spans="1:5" x14ac:dyDescent="0.35">
      <c r="A12" t="s">
        <v>10</v>
      </c>
      <c r="B12">
        <v>0</v>
      </c>
      <c r="C12">
        <v>747</v>
      </c>
      <c r="D12">
        <v>784.97097407084357</v>
      </c>
      <c r="E12">
        <v>40</v>
      </c>
    </row>
    <row r="13" spans="1:5" x14ac:dyDescent="0.35">
      <c r="A13" t="s">
        <v>11</v>
      </c>
      <c r="B13">
        <v>3289</v>
      </c>
      <c r="C13">
        <v>5081</v>
      </c>
      <c r="D13">
        <v>5573</v>
      </c>
      <c r="E13">
        <v>60</v>
      </c>
    </row>
    <row r="14" spans="1:5" x14ac:dyDescent="0.35">
      <c r="A14" t="s">
        <v>12</v>
      </c>
      <c r="B14">
        <v>8780</v>
      </c>
      <c r="C14">
        <v>15163</v>
      </c>
      <c r="D14">
        <v>19225.233489577877</v>
      </c>
      <c r="E14">
        <v>1007</v>
      </c>
    </row>
    <row r="15" spans="1:5" x14ac:dyDescent="0.35">
      <c r="A15" t="s">
        <v>13</v>
      </c>
      <c r="B15">
        <v>59813</v>
      </c>
      <c r="C15">
        <v>103785</v>
      </c>
      <c r="D15">
        <v>115316</v>
      </c>
      <c r="E15">
        <v>24061</v>
      </c>
    </row>
    <row r="16" spans="1:5" x14ac:dyDescent="0.35">
      <c r="A16" t="s">
        <v>14</v>
      </c>
      <c r="B16">
        <v>0</v>
      </c>
      <c r="C16">
        <v>355</v>
      </c>
      <c r="D16">
        <v>1375</v>
      </c>
      <c r="E16">
        <v>962</v>
      </c>
    </row>
    <row r="17" spans="1:5" x14ac:dyDescent="0.35">
      <c r="A17" t="s">
        <v>15</v>
      </c>
      <c r="B17">
        <v>4262</v>
      </c>
      <c r="C17">
        <v>4971</v>
      </c>
      <c r="D17">
        <v>5007</v>
      </c>
      <c r="E17">
        <v>400</v>
      </c>
    </row>
    <row r="18" spans="1:5" x14ac:dyDescent="0.35">
      <c r="A18" t="s">
        <v>16</v>
      </c>
      <c r="B18">
        <v>3735</v>
      </c>
      <c r="C18">
        <v>4706</v>
      </c>
      <c r="D18">
        <v>5242</v>
      </c>
      <c r="E18">
        <v>160</v>
      </c>
    </row>
    <row r="19" spans="1:5" x14ac:dyDescent="0.35">
      <c r="A19" t="s">
        <v>17</v>
      </c>
      <c r="B19">
        <v>0</v>
      </c>
      <c r="C19">
        <v>61772</v>
      </c>
      <c r="D19">
        <v>131262</v>
      </c>
      <c r="E19">
        <v>6298</v>
      </c>
    </row>
    <row r="20" spans="1:5" x14ac:dyDescent="0.35">
      <c r="A20" t="s">
        <v>18</v>
      </c>
      <c r="B20">
        <v>0</v>
      </c>
      <c r="C20">
        <v>6085</v>
      </c>
      <c r="D20">
        <v>4751.5998777719578</v>
      </c>
      <c r="E20">
        <v>95</v>
      </c>
    </row>
    <row r="21" spans="1:5" x14ac:dyDescent="0.35">
      <c r="A21" t="s">
        <v>19</v>
      </c>
      <c r="B21">
        <v>2386</v>
      </c>
      <c r="C21">
        <v>1498</v>
      </c>
      <c r="D21">
        <v>1429.4036697247707</v>
      </c>
      <c r="E21">
        <v>137</v>
      </c>
    </row>
    <row r="22" spans="1:5" x14ac:dyDescent="0.35">
      <c r="A22" t="s">
        <v>20</v>
      </c>
      <c r="B22">
        <v>37404</v>
      </c>
      <c r="C22">
        <v>125024</v>
      </c>
      <c r="D22">
        <v>124204.27697797566</v>
      </c>
      <c r="E22">
        <v>21271</v>
      </c>
    </row>
    <row r="23" spans="1:5" x14ac:dyDescent="0.35">
      <c r="A23" t="s">
        <v>21</v>
      </c>
      <c r="B23">
        <v>5789</v>
      </c>
      <c r="C23">
        <v>7195</v>
      </c>
      <c r="D23">
        <v>5018.9871797472533</v>
      </c>
      <c r="E23">
        <v>964</v>
      </c>
    </row>
    <row r="24" spans="1:5" x14ac:dyDescent="0.35">
      <c r="A24" t="s">
        <v>22</v>
      </c>
      <c r="B24">
        <v>727</v>
      </c>
      <c r="C24">
        <v>1264</v>
      </c>
      <c r="D24">
        <v>1879</v>
      </c>
      <c r="E24">
        <v>0</v>
      </c>
    </row>
    <row r="25" spans="1:5" x14ac:dyDescent="0.35">
      <c r="A25" t="s">
        <v>23</v>
      </c>
      <c r="B25">
        <v>40292</v>
      </c>
      <c r="C25">
        <v>59901</v>
      </c>
      <c r="D25">
        <v>109659</v>
      </c>
      <c r="E25">
        <v>1070</v>
      </c>
    </row>
    <row r="26" spans="1:5" x14ac:dyDescent="0.35">
      <c r="A26" t="s">
        <v>24</v>
      </c>
      <c r="B26">
        <v>0</v>
      </c>
      <c r="C26">
        <v>6866</v>
      </c>
      <c r="D26">
        <v>1235.4801331049025</v>
      </c>
      <c r="E26">
        <v>376</v>
      </c>
    </row>
    <row r="27" spans="1:5" x14ac:dyDescent="0.35">
      <c r="A27" t="s">
        <v>25</v>
      </c>
      <c r="B27">
        <v>0</v>
      </c>
      <c r="C27">
        <v>8488</v>
      </c>
      <c r="D27">
        <v>4423.7952883834278</v>
      </c>
      <c r="E27">
        <v>63</v>
      </c>
    </row>
    <row r="28" spans="1:5" x14ac:dyDescent="0.35">
      <c r="A28" t="s">
        <v>26</v>
      </c>
      <c r="B28">
        <v>3438</v>
      </c>
      <c r="C28">
        <v>4560</v>
      </c>
      <c r="D28">
        <v>4560</v>
      </c>
      <c r="E28">
        <v>2540</v>
      </c>
    </row>
    <row r="29" spans="1:5" x14ac:dyDescent="0.35">
      <c r="A29" t="s">
        <v>27</v>
      </c>
      <c r="B29">
        <v>3545</v>
      </c>
      <c r="C29">
        <v>7957</v>
      </c>
      <c r="D29">
        <v>9592</v>
      </c>
      <c r="E29">
        <v>386</v>
      </c>
    </row>
    <row r="30" spans="1:5" x14ac:dyDescent="0.35">
      <c r="A30" t="s">
        <v>28</v>
      </c>
      <c r="B30">
        <v>4257</v>
      </c>
      <c r="C30">
        <v>5225</v>
      </c>
      <c r="D30">
        <v>6327</v>
      </c>
      <c r="E30">
        <v>0</v>
      </c>
    </row>
    <row r="31" spans="1:5" x14ac:dyDescent="0.35">
      <c r="A31" t="s">
        <v>29</v>
      </c>
      <c r="B31">
        <v>3846</v>
      </c>
      <c r="C31">
        <v>4066</v>
      </c>
      <c r="D31">
        <v>6503</v>
      </c>
      <c r="E31">
        <v>113</v>
      </c>
    </row>
    <row r="32" spans="1:5" x14ac:dyDescent="0.35">
      <c r="A32" t="s">
        <v>30</v>
      </c>
      <c r="B32">
        <v>3963</v>
      </c>
      <c r="C32">
        <v>4986</v>
      </c>
      <c r="D32">
        <v>4598.8787431180344</v>
      </c>
      <c r="E32">
        <v>175</v>
      </c>
    </row>
    <row r="33" spans="1:5" x14ac:dyDescent="0.35">
      <c r="A33" t="s">
        <v>31</v>
      </c>
      <c r="B33">
        <v>6432</v>
      </c>
      <c r="C33">
        <v>8153</v>
      </c>
      <c r="D33">
        <v>17168</v>
      </c>
      <c r="E33">
        <v>580</v>
      </c>
    </row>
    <row r="34" spans="1:5" x14ac:dyDescent="0.35">
      <c r="A34" t="s">
        <v>32</v>
      </c>
      <c r="B34">
        <v>4110</v>
      </c>
      <c r="C34">
        <v>12956</v>
      </c>
      <c r="D34">
        <v>15558.321723868956</v>
      </c>
      <c r="E34">
        <v>200</v>
      </c>
    </row>
    <row r="35" spans="1:5" x14ac:dyDescent="0.35">
      <c r="A35" t="s">
        <v>33</v>
      </c>
      <c r="B35">
        <v>3533</v>
      </c>
      <c r="C35">
        <v>4107</v>
      </c>
      <c r="D35">
        <v>4565</v>
      </c>
      <c r="E35">
        <v>305</v>
      </c>
    </row>
    <row r="36" spans="1:5" x14ac:dyDescent="0.35">
      <c r="A36" t="s">
        <v>34</v>
      </c>
      <c r="B36">
        <v>74920</v>
      </c>
      <c r="C36">
        <v>180709</v>
      </c>
      <c r="D36">
        <v>220681</v>
      </c>
      <c r="E36">
        <v>12835</v>
      </c>
    </row>
    <row r="37" spans="1:5" x14ac:dyDescent="0.35">
      <c r="A37" t="s">
        <v>35</v>
      </c>
      <c r="B37">
        <v>9625</v>
      </c>
      <c r="C37">
        <v>13345</v>
      </c>
      <c r="D37">
        <v>13501.239749316621</v>
      </c>
      <c r="E37">
        <v>355</v>
      </c>
    </row>
    <row r="38" spans="1:5" x14ac:dyDescent="0.35">
      <c r="A38" t="s">
        <v>36</v>
      </c>
      <c r="B38">
        <v>442</v>
      </c>
      <c r="C38">
        <v>406</v>
      </c>
      <c r="D38">
        <v>440</v>
      </c>
      <c r="E38">
        <v>0</v>
      </c>
    </row>
    <row r="39" spans="1:5" x14ac:dyDescent="0.35">
      <c r="A39" t="s">
        <v>37</v>
      </c>
      <c r="B39">
        <v>1682</v>
      </c>
      <c r="C39">
        <v>4577</v>
      </c>
      <c r="D39">
        <v>4737</v>
      </c>
      <c r="E39">
        <v>582</v>
      </c>
    </row>
    <row r="40" spans="1:5" x14ac:dyDescent="0.35">
      <c r="A40" t="s">
        <v>38</v>
      </c>
      <c r="B40">
        <v>419</v>
      </c>
      <c r="C40">
        <v>1272</v>
      </c>
      <c r="D40">
        <v>1277</v>
      </c>
      <c r="E40">
        <v>40</v>
      </c>
    </row>
    <row r="41" spans="1:5" x14ac:dyDescent="0.35">
      <c r="A41" t="s">
        <v>39</v>
      </c>
      <c r="B41">
        <v>6106</v>
      </c>
      <c r="C41">
        <v>5757</v>
      </c>
      <c r="D41">
        <v>15666</v>
      </c>
      <c r="E41">
        <v>1755</v>
      </c>
    </row>
    <row r="42" spans="1:5" x14ac:dyDescent="0.35">
      <c r="A42" t="s">
        <v>40</v>
      </c>
      <c r="B42">
        <v>58722</v>
      </c>
      <c r="C42">
        <v>287458</v>
      </c>
      <c r="D42">
        <v>397261.24962174537</v>
      </c>
      <c r="E42">
        <v>3154</v>
      </c>
    </row>
    <row r="43" spans="1:5" x14ac:dyDescent="0.35">
      <c r="A43" t="s">
        <v>41</v>
      </c>
      <c r="B43">
        <v>0</v>
      </c>
      <c r="C43">
        <v>3726</v>
      </c>
      <c r="D43">
        <v>4530</v>
      </c>
      <c r="E43">
        <v>241</v>
      </c>
    </row>
    <row r="44" spans="1:5" x14ac:dyDescent="0.35">
      <c r="A44" t="s">
        <v>42</v>
      </c>
      <c r="B44">
        <v>20800</v>
      </c>
      <c r="C44">
        <v>31940</v>
      </c>
      <c r="D44">
        <v>31940</v>
      </c>
      <c r="E44">
        <v>2920</v>
      </c>
    </row>
    <row r="45" spans="1:5" x14ac:dyDescent="0.35">
      <c r="A45" t="s">
        <v>43</v>
      </c>
      <c r="B45">
        <v>1341</v>
      </c>
      <c r="C45">
        <v>1966</v>
      </c>
      <c r="D45">
        <v>2630</v>
      </c>
      <c r="E45">
        <v>240</v>
      </c>
    </row>
    <row r="46" spans="1:5" x14ac:dyDescent="0.35">
      <c r="A46" t="s">
        <v>44</v>
      </c>
      <c r="B46">
        <v>40149</v>
      </c>
      <c r="C46">
        <v>52907</v>
      </c>
      <c r="D46">
        <v>74197</v>
      </c>
      <c r="E46">
        <v>14001</v>
      </c>
    </row>
    <row r="47" spans="1:5" x14ac:dyDescent="0.35">
      <c r="A47" t="s">
        <v>45</v>
      </c>
      <c r="B47">
        <v>0</v>
      </c>
      <c r="C47">
        <v>20746</v>
      </c>
      <c r="D47">
        <v>49975</v>
      </c>
      <c r="E47">
        <v>5272</v>
      </c>
    </row>
    <row r="48" spans="1:5" x14ac:dyDescent="0.35">
      <c r="A48" t="s">
        <v>46</v>
      </c>
      <c r="B48">
        <v>18722</v>
      </c>
      <c r="C48">
        <v>27874</v>
      </c>
      <c r="D48">
        <v>46537</v>
      </c>
      <c r="E48">
        <v>1100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8130-CC6E-4952-8B95-9178869FCE2F}">
  <dimension ref="A1:H48"/>
  <sheetViews>
    <sheetView workbookViewId="0">
      <selection activeCell="F1" sqref="F1:G1"/>
    </sheetView>
  </sheetViews>
  <sheetFormatPr defaultRowHeight="14.5" x14ac:dyDescent="0.35"/>
  <cols>
    <col min="1" max="1" width="20.81640625" bestFit="1" customWidth="1"/>
    <col min="2" max="2" width="16.54296875" bestFit="1" customWidth="1"/>
    <col min="3" max="3" width="16.1796875" bestFit="1" customWidth="1"/>
    <col min="4" max="4" width="15.81640625" bestFit="1" customWidth="1"/>
    <col min="5" max="5" width="15.7265625" bestFit="1" customWidth="1"/>
    <col min="6" max="6" width="26.7265625" bestFit="1" customWidth="1"/>
  </cols>
  <sheetData>
    <row r="1" spans="1:8" x14ac:dyDescent="0.35">
      <c r="A1" t="s">
        <v>0</v>
      </c>
      <c r="B1" t="s">
        <v>47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  <row r="2" spans="1:8" x14ac:dyDescent="0.35">
      <c r="A2" t="s">
        <v>1</v>
      </c>
      <c r="B2">
        <v>48033.824348850052</v>
      </c>
      <c r="C2">
        <v>0</v>
      </c>
      <c r="D2">
        <v>5043.8935155116633</v>
      </c>
      <c r="E2">
        <v>0</v>
      </c>
      <c r="F2" s="1">
        <f>B2+D2</f>
        <v>53077.717864361715</v>
      </c>
    </row>
    <row r="3" spans="1:8" x14ac:dyDescent="0.35">
      <c r="A3" t="s">
        <v>2</v>
      </c>
      <c r="B3">
        <v>8693</v>
      </c>
      <c r="C3">
        <v>611</v>
      </c>
      <c r="D3">
        <v>66717.353814379763</v>
      </c>
      <c r="E3">
        <v>2950</v>
      </c>
      <c r="F3" s="1">
        <f t="shared" ref="F3:F48" si="0">B3+D3</f>
        <v>75410.353814379763</v>
      </c>
      <c r="G3">
        <f t="shared" ref="G3:G48" si="1">C3+E3</f>
        <v>3561</v>
      </c>
      <c r="H3">
        <f t="shared" ref="H3:H48" si="2">E3/C3</f>
        <v>4.828150572831424</v>
      </c>
    </row>
    <row r="4" spans="1:8" x14ac:dyDescent="0.35">
      <c r="A4" t="s">
        <v>3</v>
      </c>
      <c r="B4" s="1">
        <v>2608</v>
      </c>
      <c r="C4">
        <v>780</v>
      </c>
      <c r="D4" s="1">
        <v>5893</v>
      </c>
      <c r="E4">
        <v>257</v>
      </c>
      <c r="F4" s="1">
        <f t="shared" si="0"/>
        <v>8501</v>
      </c>
      <c r="G4">
        <f t="shared" si="1"/>
        <v>1037</v>
      </c>
      <c r="H4">
        <f t="shared" si="2"/>
        <v>0.32948717948717948</v>
      </c>
    </row>
    <row r="5" spans="1:8" x14ac:dyDescent="0.35">
      <c r="A5" t="s">
        <v>4</v>
      </c>
      <c r="B5">
        <v>992</v>
      </c>
      <c r="C5">
        <v>60</v>
      </c>
      <c r="D5">
        <v>8028</v>
      </c>
      <c r="E5">
        <v>490</v>
      </c>
      <c r="F5" s="1">
        <f t="shared" si="0"/>
        <v>9020</v>
      </c>
      <c r="G5">
        <f t="shared" si="1"/>
        <v>550</v>
      </c>
      <c r="H5">
        <f t="shared" si="2"/>
        <v>8.1666666666666661</v>
      </c>
    </row>
    <row r="6" spans="1:8" x14ac:dyDescent="0.35">
      <c r="A6" t="s">
        <v>5</v>
      </c>
      <c r="B6" s="1">
        <v>3323</v>
      </c>
      <c r="C6">
        <v>1492</v>
      </c>
      <c r="D6" s="1">
        <v>13961</v>
      </c>
      <c r="E6">
        <v>1170</v>
      </c>
      <c r="F6" s="1">
        <f t="shared" si="0"/>
        <v>17284</v>
      </c>
      <c r="G6">
        <f t="shared" si="1"/>
        <v>2662</v>
      </c>
      <c r="H6">
        <f t="shared" si="2"/>
        <v>0.78418230563002678</v>
      </c>
    </row>
    <row r="7" spans="1:8" x14ac:dyDescent="0.35">
      <c r="A7" t="s">
        <v>6</v>
      </c>
      <c r="B7">
        <v>1014.8610394397346</v>
      </c>
      <c r="C7">
        <v>325</v>
      </c>
      <c r="D7">
        <v>9372</v>
      </c>
      <c r="E7">
        <v>1467</v>
      </c>
      <c r="F7" s="1">
        <f t="shared" si="0"/>
        <v>10386.861039439735</v>
      </c>
      <c r="G7">
        <f t="shared" si="1"/>
        <v>1792</v>
      </c>
      <c r="H7">
        <f t="shared" si="2"/>
        <v>4.5138461538461536</v>
      </c>
    </row>
    <row r="8" spans="1:8" x14ac:dyDescent="0.35">
      <c r="A8" t="s">
        <v>7</v>
      </c>
      <c r="B8">
        <v>3759</v>
      </c>
      <c r="C8">
        <v>800</v>
      </c>
      <c r="D8">
        <v>16473</v>
      </c>
      <c r="E8">
        <v>2660</v>
      </c>
      <c r="F8" s="1">
        <f t="shared" si="0"/>
        <v>20232</v>
      </c>
      <c r="G8">
        <f t="shared" si="1"/>
        <v>3460</v>
      </c>
      <c r="H8">
        <f t="shared" si="2"/>
        <v>3.3250000000000002</v>
      </c>
    </row>
    <row r="9" spans="1:8" x14ac:dyDescent="0.35">
      <c r="A9" t="s">
        <v>60</v>
      </c>
      <c r="B9">
        <v>2644</v>
      </c>
      <c r="C9">
        <v>0</v>
      </c>
      <c r="D9">
        <v>941</v>
      </c>
      <c r="E9">
        <v>0</v>
      </c>
      <c r="F9" s="1">
        <f t="shared" si="0"/>
        <v>3585</v>
      </c>
    </row>
    <row r="10" spans="1:8" x14ac:dyDescent="0.35">
      <c r="A10" t="s">
        <v>8</v>
      </c>
      <c r="B10">
        <v>146.38957816377172</v>
      </c>
      <c r="C10">
        <v>18</v>
      </c>
      <c r="D10">
        <v>648.48014888337468</v>
      </c>
      <c r="E10">
        <v>0</v>
      </c>
      <c r="F10" s="1">
        <f t="shared" si="0"/>
        <v>794.8697270471464</v>
      </c>
      <c r="G10">
        <f t="shared" si="1"/>
        <v>18</v>
      </c>
    </row>
    <row r="11" spans="1:8" x14ac:dyDescent="0.35">
      <c r="A11" t="s">
        <v>9</v>
      </c>
      <c r="B11">
        <v>1507</v>
      </c>
      <c r="C11">
        <v>330</v>
      </c>
      <c r="D11">
        <v>3387.151734852408</v>
      </c>
      <c r="E11">
        <v>2920</v>
      </c>
      <c r="F11" s="1">
        <f t="shared" si="0"/>
        <v>4894.1517348524085</v>
      </c>
      <c r="G11">
        <f t="shared" si="1"/>
        <v>3250</v>
      </c>
      <c r="H11">
        <f t="shared" si="2"/>
        <v>8.8484848484848477</v>
      </c>
    </row>
    <row r="12" spans="1:8" x14ac:dyDescent="0.35">
      <c r="A12" t="s">
        <v>10</v>
      </c>
      <c r="B12">
        <v>354</v>
      </c>
      <c r="C12">
        <v>0</v>
      </c>
      <c r="D12">
        <v>784.97097407084357</v>
      </c>
      <c r="E12">
        <v>40</v>
      </c>
      <c r="F12" s="1">
        <f t="shared" si="0"/>
        <v>1138.9709740708436</v>
      </c>
      <c r="G12">
        <f t="shared" si="1"/>
        <v>40</v>
      </c>
    </row>
    <row r="13" spans="1:8" x14ac:dyDescent="0.35">
      <c r="A13" t="s">
        <v>11</v>
      </c>
      <c r="B13">
        <v>1042</v>
      </c>
      <c r="C13">
        <v>60</v>
      </c>
      <c r="D13">
        <v>5573</v>
      </c>
      <c r="E13">
        <v>60</v>
      </c>
      <c r="F13" s="1">
        <f t="shared" si="0"/>
        <v>6615</v>
      </c>
      <c r="G13">
        <f t="shared" si="1"/>
        <v>120</v>
      </c>
      <c r="H13">
        <f t="shared" si="2"/>
        <v>1</v>
      </c>
    </row>
    <row r="14" spans="1:8" x14ac:dyDescent="0.35">
      <c r="A14" t="s">
        <v>12</v>
      </c>
      <c r="B14">
        <v>6327.5519796794806</v>
      </c>
      <c r="C14">
        <v>254</v>
      </c>
      <c r="D14">
        <v>19225.233489577877</v>
      </c>
      <c r="E14">
        <v>1007</v>
      </c>
      <c r="F14" s="1">
        <f t="shared" si="0"/>
        <v>25552.785469257356</v>
      </c>
      <c r="G14">
        <f t="shared" si="1"/>
        <v>1261</v>
      </c>
      <c r="H14">
        <f t="shared" si="2"/>
        <v>3.9645669291338583</v>
      </c>
    </row>
    <row r="15" spans="1:8" x14ac:dyDescent="0.35">
      <c r="A15" t="s">
        <v>13</v>
      </c>
      <c r="B15">
        <v>21289.958719118578</v>
      </c>
      <c r="C15">
        <v>6020</v>
      </c>
      <c r="D15">
        <v>115316</v>
      </c>
      <c r="E15">
        <v>24061</v>
      </c>
      <c r="F15" s="1">
        <f t="shared" si="0"/>
        <v>136605.95871911859</v>
      </c>
      <c r="G15">
        <f t="shared" si="1"/>
        <v>30081</v>
      </c>
      <c r="H15">
        <f t="shared" si="2"/>
        <v>3.9968438538205979</v>
      </c>
    </row>
    <row r="16" spans="1:8" x14ac:dyDescent="0.35">
      <c r="A16" t="s">
        <v>14</v>
      </c>
      <c r="B16">
        <v>274.68237599257924</v>
      </c>
      <c r="C16">
        <v>767</v>
      </c>
      <c r="D16">
        <v>1375</v>
      </c>
      <c r="E16">
        <v>962</v>
      </c>
      <c r="F16" s="1">
        <f t="shared" si="0"/>
        <v>1649.6823759925792</v>
      </c>
      <c r="G16">
        <f t="shared" si="1"/>
        <v>1729</v>
      </c>
      <c r="H16">
        <f t="shared" si="2"/>
        <v>1.2542372881355932</v>
      </c>
    </row>
    <row r="17" spans="1:8" x14ac:dyDescent="0.35">
      <c r="A17" t="s">
        <v>15</v>
      </c>
      <c r="B17">
        <v>298.81764752330793</v>
      </c>
      <c r="C17">
        <v>0</v>
      </c>
      <c r="D17">
        <v>5007</v>
      </c>
      <c r="E17">
        <v>400</v>
      </c>
      <c r="F17" s="1">
        <f t="shared" si="0"/>
        <v>5305.8176475233076</v>
      </c>
      <c r="G17">
        <f t="shared" si="1"/>
        <v>400</v>
      </c>
    </row>
    <row r="18" spans="1:8" x14ac:dyDescent="0.35">
      <c r="A18" t="s">
        <v>16</v>
      </c>
      <c r="B18">
        <v>687</v>
      </c>
      <c r="C18">
        <v>0</v>
      </c>
      <c r="D18">
        <v>5242</v>
      </c>
      <c r="E18">
        <v>160</v>
      </c>
      <c r="F18" s="1">
        <f t="shared" si="0"/>
        <v>5929</v>
      </c>
      <c r="G18">
        <f t="shared" si="1"/>
        <v>160</v>
      </c>
    </row>
    <row r="19" spans="1:8" x14ac:dyDescent="0.35">
      <c r="A19" t="s">
        <v>17</v>
      </c>
      <c r="B19">
        <v>23741</v>
      </c>
      <c r="C19">
        <v>3114</v>
      </c>
      <c r="D19">
        <v>131262</v>
      </c>
      <c r="E19">
        <v>6298</v>
      </c>
      <c r="F19" s="1">
        <f t="shared" si="0"/>
        <v>155003</v>
      </c>
      <c r="G19">
        <f t="shared" si="1"/>
        <v>9412</v>
      </c>
      <c r="H19">
        <f t="shared" si="2"/>
        <v>2.0224791265253694</v>
      </c>
    </row>
    <row r="20" spans="1:8" x14ac:dyDescent="0.35">
      <c r="A20" t="s">
        <v>18</v>
      </c>
      <c r="B20">
        <v>1265.3898201501661</v>
      </c>
      <c r="C20">
        <v>46</v>
      </c>
      <c r="D20">
        <v>4751.5998777719578</v>
      </c>
      <c r="E20">
        <v>95</v>
      </c>
      <c r="F20" s="1">
        <f t="shared" si="0"/>
        <v>6016.9896979221239</v>
      </c>
      <c r="G20">
        <f t="shared" si="1"/>
        <v>141</v>
      </c>
      <c r="H20">
        <f t="shared" si="2"/>
        <v>2.0652173913043477</v>
      </c>
    </row>
    <row r="21" spans="1:8" x14ac:dyDescent="0.35">
      <c r="A21" t="s">
        <v>19</v>
      </c>
      <c r="B21">
        <v>273.86722731906218</v>
      </c>
      <c r="C21">
        <v>23</v>
      </c>
      <c r="D21">
        <v>1429.4036697247707</v>
      </c>
      <c r="E21">
        <v>137</v>
      </c>
      <c r="F21" s="1">
        <f t="shared" si="0"/>
        <v>1703.270897043833</v>
      </c>
      <c r="G21">
        <f t="shared" si="1"/>
        <v>160</v>
      </c>
      <c r="H21">
        <f t="shared" si="2"/>
        <v>5.9565217391304346</v>
      </c>
    </row>
    <row r="22" spans="1:8" x14ac:dyDescent="0.35">
      <c r="A22" t="s">
        <v>20</v>
      </c>
      <c r="B22">
        <v>4726</v>
      </c>
      <c r="C22">
        <v>1566</v>
      </c>
      <c r="D22">
        <v>124204.27697797566</v>
      </c>
      <c r="E22">
        <v>21271</v>
      </c>
      <c r="F22" s="1">
        <f t="shared" si="0"/>
        <v>128930.27697797566</v>
      </c>
      <c r="G22">
        <f t="shared" si="1"/>
        <v>22837</v>
      </c>
      <c r="H22">
        <f t="shared" si="2"/>
        <v>13.58301404853129</v>
      </c>
    </row>
    <row r="23" spans="1:8" x14ac:dyDescent="0.35">
      <c r="A23" t="s">
        <v>21</v>
      </c>
      <c r="B23">
        <v>341.34169736316329</v>
      </c>
      <c r="C23">
        <v>767</v>
      </c>
      <c r="D23">
        <v>5018.9871797472533</v>
      </c>
      <c r="E23">
        <v>964</v>
      </c>
      <c r="F23" s="1">
        <f t="shared" si="0"/>
        <v>5360.3288771104162</v>
      </c>
      <c r="G23">
        <f t="shared" si="1"/>
        <v>1731</v>
      </c>
      <c r="H23">
        <f t="shared" si="2"/>
        <v>1.256844850065189</v>
      </c>
    </row>
    <row r="24" spans="1:8" x14ac:dyDescent="0.35">
      <c r="A24" t="s">
        <v>22</v>
      </c>
      <c r="B24">
        <v>530.87376425855507</v>
      </c>
      <c r="C24">
        <v>0</v>
      </c>
      <c r="D24">
        <v>1879</v>
      </c>
      <c r="E24">
        <v>0</v>
      </c>
      <c r="F24" s="1">
        <f t="shared" si="0"/>
        <v>2409.8737642585552</v>
      </c>
    </row>
    <row r="25" spans="1:8" x14ac:dyDescent="0.35">
      <c r="A25" t="s">
        <v>23</v>
      </c>
      <c r="B25">
        <v>12792</v>
      </c>
      <c r="C25">
        <v>558</v>
      </c>
      <c r="D25">
        <v>109659</v>
      </c>
      <c r="E25">
        <v>1070</v>
      </c>
      <c r="F25" s="1">
        <f t="shared" si="0"/>
        <v>122451</v>
      </c>
      <c r="G25">
        <f t="shared" si="1"/>
        <v>1628</v>
      </c>
      <c r="H25">
        <f t="shared" si="2"/>
        <v>1.9175627240143369</v>
      </c>
    </row>
    <row r="26" spans="1:8" x14ac:dyDescent="0.35">
      <c r="A26" t="s">
        <v>24</v>
      </c>
      <c r="B26">
        <v>536.60977859778598</v>
      </c>
      <c r="C26">
        <v>8</v>
      </c>
      <c r="D26">
        <v>1235.4801331049025</v>
      </c>
      <c r="E26">
        <v>376</v>
      </c>
      <c r="F26" s="1">
        <f t="shared" si="0"/>
        <v>1772.0899117026884</v>
      </c>
      <c r="G26">
        <f t="shared" si="1"/>
        <v>384</v>
      </c>
      <c r="H26">
        <f t="shared" si="2"/>
        <v>47</v>
      </c>
    </row>
    <row r="27" spans="1:8" x14ac:dyDescent="0.35">
      <c r="A27" t="s">
        <v>25</v>
      </c>
      <c r="B27">
        <v>954</v>
      </c>
      <c r="C27">
        <v>29</v>
      </c>
      <c r="D27">
        <v>4423.7952883834278</v>
      </c>
      <c r="E27">
        <v>63</v>
      </c>
      <c r="F27" s="1">
        <f t="shared" si="0"/>
        <v>5377.7952883834278</v>
      </c>
      <c r="G27">
        <f t="shared" si="1"/>
        <v>92</v>
      </c>
      <c r="H27">
        <f t="shared" si="2"/>
        <v>2.1724137931034484</v>
      </c>
    </row>
    <row r="28" spans="1:8" x14ac:dyDescent="0.35">
      <c r="A28" t="s">
        <v>26</v>
      </c>
      <c r="B28">
        <v>5230</v>
      </c>
      <c r="C28">
        <v>316</v>
      </c>
      <c r="D28">
        <v>4560</v>
      </c>
      <c r="E28">
        <v>2540</v>
      </c>
      <c r="F28" s="1">
        <f t="shared" si="0"/>
        <v>9790</v>
      </c>
      <c r="G28">
        <f t="shared" si="1"/>
        <v>2856</v>
      </c>
      <c r="H28">
        <f t="shared" si="2"/>
        <v>8.037974683544304</v>
      </c>
    </row>
    <row r="29" spans="1:8" x14ac:dyDescent="0.35">
      <c r="A29" t="s">
        <v>27</v>
      </c>
      <c r="B29">
        <v>1103.5637751855782</v>
      </c>
      <c r="C29">
        <v>115</v>
      </c>
      <c r="D29">
        <v>9592</v>
      </c>
      <c r="E29">
        <v>386</v>
      </c>
      <c r="F29" s="1">
        <f t="shared" si="0"/>
        <v>10695.563775185577</v>
      </c>
      <c r="G29">
        <f t="shared" si="1"/>
        <v>501</v>
      </c>
      <c r="H29">
        <f t="shared" si="2"/>
        <v>3.3565217391304349</v>
      </c>
    </row>
    <row r="30" spans="1:8" x14ac:dyDescent="0.35">
      <c r="A30" t="s">
        <v>28</v>
      </c>
      <c r="B30">
        <v>4402</v>
      </c>
      <c r="C30">
        <v>0</v>
      </c>
      <c r="D30">
        <v>6327</v>
      </c>
      <c r="E30">
        <v>0</v>
      </c>
      <c r="F30" s="1">
        <f t="shared" si="0"/>
        <v>10729</v>
      </c>
    </row>
    <row r="31" spans="1:8" x14ac:dyDescent="0.35">
      <c r="A31" t="s">
        <v>29</v>
      </c>
      <c r="B31">
        <v>1273.0346943092873</v>
      </c>
      <c r="C31">
        <v>0</v>
      </c>
      <c r="D31">
        <v>6503</v>
      </c>
      <c r="E31">
        <v>113</v>
      </c>
      <c r="F31" s="1">
        <f t="shared" si="0"/>
        <v>7776.0346943092873</v>
      </c>
      <c r="G31">
        <f t="shared" si="1"/>
        <v>113</v>
      </c>
    </row>
    <row r="32" spans="1:8" x14ac:dyDescent="0.35">
      <c r="A32" t="s">
        <v>30</v>
      </c>
      <c r="B32" s="1">
        <v>1833.6554988586008</v>
      </c>
      <c r="C32">
        <v>432</v>
      </c>
      <c r="D32" s="1">
        <v>4598.8787431180344</v>
      </c>
      <c r="E32">
        <v>175</v>
      </c>
      <c r="F32" s="1">
        <f t="shared" si="0"/>
        <v>6432.5342419766348</v>
      </c>
      <c r="G32">
        <f t="shared" si="1"/>
        <v>607</v>
      </c>
      <c r="H32">
        <f t="shared" si="2"/>
        <v>0.40509259259259262</v>
      </c>
    </row>
    <row r="33" spans="1:8" x14ac:dyDescent="0.35">
      <c r="A33" t="s">
        <v>31</v>
      </c>
      <c r="B33" s="1">
        <v>5719</v>
      </c>
      <c r="C33">
        <v>819</v>
      </c>
      <c r="D33" s="1">
        <v>17168</v>
      </c>
      <c r="E33">
        <v>580</v>
      </c>
      <c r="F33" s="1">
        <f t="shared" si="0"/>
        <v>22887</v>
      </c>
      <c r="G33">
        <f t="shared" si="1"/>
        <v>1399</v>
      </c>
      <c r="H33">
        <f t="shared" si="2"/>
        <v>0.70818070818070822</v>
      </c>
    </row>
    <row r="34" spans="1:8" x14ac:dyDescent="0.35">
      <c r="A34" t="s">
        <v>32</v>
      </c>
      <c r="B34" s="1">
        <v>1597</v>
      </c>
      <c r="C34">
        <v>475</v>
      </c>
      <c r="D34" s="1">
        <v>15558.321723868956</v>
      </c>
      <c r="E34">
        <v>200</v>
      </c>
      <c r="F34" s="1">
        <f t="shared" si="0"/>
        <v>17155.321723868954</v>
      </c>
      <c r="G34">
        <f t="shared" si="1"/>
        <v>675</v>
      </c>
      <c r="H34">
        <f t="shared" si="2"/>
        <v>0.42105263157894735</v>
      </c>
    </row>
    <row r="35" spans="1:8" x14ac:dyDescent="0.35">
      <c r="A35" t="s">
        <v>33</v>
      </c>
      <c r="B35" s="1">
        <v>705.66936761273496</v>
      </c>
      <c r="C35">
        <v>370</v>
      </c>
      <c r="D35" s="1">
        <v>4565</v>
      </c>
      <c r="E35">
        <v>305</v>
      </c>
      <c r="F35" s="1">
        <f t="shared" si="0"/>
        <v>5270.6693676127352</v>
      </c>
      <c r="G35">
        <f t="shared" si="1"/>
        <v>675</v>
      </c>
      <c r="H35">
        <f t="shared" si="2"/>
        <v>0.82432432432432434</v>
      </c>
    </row>
    <row r="36" spans="1:8" x14ac:dyDescent="0.35">
      <c r="A36" t="s">
        <v>34</v>
      </c>
      <c r="B36">
        <v>86181</v>
      </c>
      <c r="C36">
        <v>4340</v>
      </c>
      <c r="D36">
        <v>220681</v>
      </c>
      <c r="E36">
        <v>12835</v>
      </c>
      <c r="F36" s="1">
        <f t="shared" si="0"/>
        <v>306862</v>
      </c>
      <c r="G36">
        <f t="shared" si="1"/>
        <v>17175</v>
      </c>
      <c r="H36">
        <f t="shared" si="2"/>
        <v>2.9573732718894008</v>
      </c>
    </row>
    <row r="37" spans="1:8" x14ac:dyDescent="0.35">
      <c r="A37" t="s">
        <v>35</v>
      </c>
      <c r="B37">
        <v>1648</v>
      </c>
      <c r="C37">
        <v>11</v>
      </c>
      <c r="D37">
        <v>13501.239749316621</v>
      </c>
      <c r="E37">
        <v>355</v>
      </c>
      <c r="F37" s="1">
        <f t="shared" si="0"/>
        <v>15149.239749316621</v>
      </c>
      <c r="G37">
        <f t="shared" si="1"/>
        <v>366</v>
      </c>
      <c r="H37">
        <f t="shared" si="2"/>
        <v>32.272727272727273</v>
      </c>
    </row>
    <row r="38" spans="1:8" x14ac:dyDescent="0.35">
      <c r="A38" t="s">
        <v>36</v>
      </c>
      <c r="B38">
        <v>105</v>
      </c>
      <c r="C38">
        <v>0</v>
      </c>
      <c r="D38">
        <v>440</v>
      </c>
      <c r="E38">
        <v>0</v>
      </c>
      <c r="F38" s="1">
        <f t="shared" si="0"/>
        <v>545</v>
      </c>
    </row>
    <row r="39" spans="1:8" x14ac:dyDescent="0.35">
      <c r="A39" t="s">
        <v>37</v>
      </c>
      <c r="B39">
        <v>2560.8623058327948</v>
      </c>
      <c r="C39">
        <v>434</v>
      </c>
      <c r="D39">
        <v>4737</v>
      </c>
      <c r="E39">
        <v>582</v>
      </c>
      <c r="F39" s="1">
        <f t="shared" si="0"/>
        <v>7297.8623058327948</v>
      </c>
      <c r="G39">
        <f t="shared" si="1"/>
        <v>1016</v>
      </c>
      <c r="H39">
        <f t="shared" si="2"/>
        <v>1.3410138248847927</v>
      </c>
    </row>
    <row r="40" spans="1:8" x14ac:dyDescent="0.35">
      <c r="A40" t="s">
        <v>38</v>
      </c>
      <c r="B40">
        <v>828</v>
      </c>
      <c r="C40">
        <v>10</v>
      </c>
      <c r="D40">
        <v>1277</v>
      </c>
      <c r="E40">
        <v>40</v>
      </c>
      <c r="F40" s="1">
        <f t="shared" si="0"/>
        <v>2105</v>
      </c>
      <c r="G40">
        <f t="shared" si="1"/>
        <v>50</v>
      </c>
      <c r="H40">
        <f t="shared" si="2"/>
        <v>4</v>
      </c>
    </row>
    <row r="41" spans="1:8" x14ac:dyDescent="0.35">
      <c r="A41" t="s">
        <v>39</v>
      </c>
      <c r="B41">
        <v>1106</v>
      </c>
      <c r="C41">
        <v>217</v>
      </c>
      <c r="D41">
        <v>15666</v>
      </c>
      <c r="E41">
        <v>1755</v>
      </c>
      <c r="F41" s="1">
        <f t="shared" si="0"/>
        <v>16772</v>
      </c>
      <c r="G41">
        <f t="shared" si="1"/>
        <v>1972</v>
      </c>
      <c r="H41">
        <f t="shared" si="2"/>
        <v>8.0875576036866352</v>
      </c>
    </row>
    <row r="42" spans="1:8" x14ac:dyDescent="0.35">
      <c r="A42" t="s">
        <v>40</v>
      </c>
      <c r="B42">
        <v>48021</v>
      </c>
      <c r="C42">
        <v>998</v>
      </c>
      <c r="D42">
        <v>397261.24962174537</v>
      </c>
      <c r="E42">
        <v>3154</v>
      </c>
      <c r="F42" s="1">
        <f t="shared" si="0"/>
        <v>445282.24962174537</v>
      </c>
      <c r="G42">
        <f t="shared" si="1"/>
        <v>4152</v>
      </c>
      <c r="H42">
        <f t="shared" si="2"/>
        <v>3.1603206412825653</v>
      </c>
    </row>
    <row r="43" spans="1:8" x14ac:dyDescent="0.35">
      <c r="A43" t="s">
        <v>41</v>
      </c>
      <c r="B43">
        <v>456</v>
      </c>
      <c r="C43">
        <v>0</v>
      </c>
      <c r="D43">
        <v>4530</v>
      </c>
      <c r="E43">
        <v>241</v>
      </c>
      <c r="F43" s="1">
        <f t="shared" si="0"/>
        <v>4986</v>
      </c>
      <c r="G43">
        <f t="shared" si="1"/>
        <v>241</v>
      </c>
    </row>
    <row r="44" spans="1:8" x14ac:dyDescent="0.35">
      <c r="A44" t="s">
        <v>42</v>
      </c>
      <c r="B44">
        <v>8693</v>
      </c>
      <c r="C44">
        <v>330</v>
      </c>
      <c r="D44">
        <v>31940</v>
      </c>
      <c r="E44">
        <v>2920</v>
      </c>
      <c r="F44" s="1">
        <f t="shared" si="0"/>
        <v>40633</v>
      </c>
      <c r="G44">
        <f t="shared" si="1"/>
        <v>3250</v>
      </c>
      <c r="H44">
        <f t="shared" si="2"/>
        <v>8.8484848484848477</v>
      </c>
    </row>
    <row r="45" spans="1:8" x14ac:dyDescent="0.35">
      <c r="A45" t="s">
        <v>43</v>
      </c>
      <c r="B45">
        <v>730</v>
      </c>
      <c r="C45">
        <v>77</v>
      </c>
      <c r="D45">
        <v>2630</v>
      </c>
      <c r="E45">
        <v>240</v>
      </c>
      <c r="F45" s="1">
        <f t="shared" si="0"/>
        <v>3360</v>
      </c>
      <c r="G45">
        <f t="shared" si="1"/>
        <v>317</v>
      </c>
      <c r="H45">
        <f t="shared" si="2"/>
        <v>3.116883116883117</v>
      </c>
    </row>
    <row r="46" spans="1:8" x14ac:dyDescent="0.35">
      <c r="A46" t="s">
        <v>44</v>
      </c>
      <c r="B46">
        <v>9051.7813279678066</v>
      </c>
      <c r="C46">
        <v>1997</v>
      </c>
      <c r="D46">
        <v>74197</v>
      </c>
      <c r="E46">
        <v>14001</v>
      </c>
      <c r="F46" s="1">
        <f t="shared" si="0"/>
        <v>83248.781327967808</v>
      </c>
      <c r="G46">
        <f t="shared" si="1"/>
        <v>15998</v>
      </c>
      <c r="H46">
        <f t="shared" si="2"/>
        <v>7.0110165247871805</v>
      </c>
    </row>
    <row r="47" spans="1:8" x14ac:dyDescent="0.35">
      <c r="A47" t="s">
        <v>45</v>
      </c>
      <c r="B47">
        <v>6531</v>
      </c>
      <c r="C47">
        <v>100</v>
      </c>
      <c r="D47">
        <v>49975</v>
      </c>
      <c r="E47">
        <v>5272</v>
      </c>
      <c r="F47" s="1">
        <f t="shared" si="0"/>
        <v>56506</v>
      </c>
      <c r="G47">
        <f t="shared" si="1"/>
        <v>5372</v>
      </c>
      <c r="H47">
        <f t="shared" si="2"/>
        <v>52.72</v>
      </c>
    </row>
    <row r="48" spans="1:8" x14ac:dyDescent="0.35">
      <c r="A48" t="s">
        <v>46</v>
      </c>
      <c r="B48">
        <v>3131.5983655333839</v>
      </c>
      <c r="C48">
        <v>265</v>
      </c>
      <c r="D48">
        <v>46537</v>
      </c>
      <c r="E48">
        <v>1100</v>
      </c>
      <c r="F48" s="1">
        <f t="shared" si="0"/>
        <v>49668.598365533384</v>
      </c>
      <c r="G48">
        <f t="shared" si="1"/>
        <v>1365</v>
      </c>
      <c r="H48">
        <f t="shared" si="2"/>
        <v>4.1509433962264151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497BE-1DCC-4A3B-A8BE-9CDCB88FDCB5}">
  <dimension ref="A1:K50"/>
  <sheetViews>
    <sheetView topLeftCell="A34" workbookViewId="0">
      <selection activeCell="E16" sqref="E16"/>
    </sheetView>
  </sheetViews>
  <sheetFormatPr defaultRowHeight="14.5" x14ac:dyDescent="0.35"/>
  <cols>
    <col min="2" max="2" width="20.81640625" bestFit="1" customWidth="1"/>
    <col min="3" max="3" width="12.453125" bestFit="1" customWidth="1"/>
    <col min="4" max="5" width="13.453125" bestFit="1" customWidth="1"/>
    <col min="6" max="6" width="12.453125" bestFit="1" customWidth="1"/>
    <col min="7" max="8" width="13.453125" bestFit="1" customWidth="1"/>
    <col min="9" max="11" width="13.453125" style="4" bestFit="1" customWidth="1"/>
  </cols>
  <sheetData>
    <row r="1" spans="1:11" x14ac:dyDescent="0.35">
      <c r="A1" s="5"/>
      <c r="B1" s="5"/>
      <c r="C1" s="53" t="s">
        <v>66</v>
      </c>
      <c r="D1" s="54"/>
      <c r="E1" s="55"/>
      <c r="F1" s="51" t="s">
        <v>67</v>
      </c>
      <c r="G1" s="51"/>
      <c r="H1" s="51"/>
      <c r="I1" s="52" t="s">
        <v>59</v>
      </c>
      <c r="J1" s="52"/>
      <c r="K1" s="52"/>
    </row>
    <row r="2" spans="1:11" x14ac:dyDescent="0.35">
      <c r="A2" s="5" t="s">
        <v>68</v>
      </c>
      <c r="B2" s="5" t="s">
        <v>0</v>
      </c>
      <c r="C2" s="6">
        <v>2013</v>
      </c>
      <c r="D2" s="6">
        <v>2018</v>
      </c>
      <c r="E2" s="6" t="s">
        <v>69</v>
      </c>
      <c r="F2" s="6">
        <v>2013</v>
      </c>
      <c r="G2" s="6">
        <v>2018</v>
      </c>
      <c r="H2" s="6" t="s">
        <v>69</v>
      </c>
      <c r="I2" s="7">
        <v>2013</v>
      </c>
      <c r="J2" s="7">
        <v>2018</v>
      </c>
      <c r="K2" s="7" t="s">
        <v>69</v>
      </c>
    </row>
    <row r="3" spans="1:11" x14ac:dyDescent="0.35">
      <c r="A3" s="5">
        <v>1</v>
      </c>
      <c r="B3" s="5" t="s">
        <v>1</v>
      </c>
      <c r="C3" s="6">
        <v>11139</v>
      </c>
      <c r="D3" s="6">
        <v>175647</v>
      </c>
      <c r="E3" s="6">
        <v>74186.820488385216</v>
      </c>
      <c r="F3" s="6">
        <v>200</v>
      </c>
      <c r="G3" s="6">
        <v>240105</v>
      </c>
      <c r="H3" s="6">
        <v>366963.77629941667</v>
      </c>
      <c r="I3" s="7">
        <v>11339</v>
      </c>
      <c r="J3" s="7">
        <v>415752</v>
      </c>
      <c r="K3" s="7">
        <v>441150.59678780189</v>
      </c>
    </row>
    <row r="4" spans="1:11" x14ac:dyDescent="0.35">
      <c r="A4" s="5">
        <v>2</v>
      </c>
      <c r="B4" s="5" t="s">
        <v>2</v>
      </c>
      <c r="C4" s="6">
        <v>30</v>
      </c>
      <c r="D4" s="6">
        <v>60468</v>
      </c>
      <c r="E4" s="6">
        <v>78869.768592450535</v>
      </c>
      <c r="F4" s="6">
        <v>602</v>
      </c>
      <c r="G4" s="6">
        <v>50395</v>
      </c>
      <c r="H4" s="6">
        <v>58067.470117464829</v>
      </c>
      <c r="I4" s="7">
        <v>632</v>
      </c>
      <c r="J4" s="7">
        <v>110863</v>
      </c>
      <c r="K4" s="7">
        <v>136937.23870991537</v>
      </c>
    </row>
    <row r="5" spans="1:11" x14ac:dyDescent="0.35">
      <c r="A5" s="5">
        <v>3</v>
      </c>
      <c r="B5" s="5" t="s">
        <v>3</v>
      </c>
      <c r="C5" s="6">
        <v>7923</v>
      </c>
      <c r="D5" s="6">
        <v>5769</v>
      </c>
      <c r="E5" s="6">
        <v>11051.475446848541</v>
      </c>
      <c r="F5" s="6">
        <v>15066</v>
      </c>
      <c r="G5" s="6">
        <v>11707</v>
      </c>
      <c r="H5" s="6">
        <v>13972.936782690498</v>
      </c>
      <c r="I5" s="7">
        <v>22989</v>
      </c>
      <c r="J5" s="7">
        <v>17476</v>
      </c>
      <c r="K5" s="7">
        <v>25024.412229539041</v>
      </c>
    </row>
    <row r="6" spans="1:11" x14ac:dyDescent="0.35">
      <c r="A6" s="5">
        <v>4</v>
      </c>
      <c r="B6" s="5" t="s">
        <v>4</v>
      </c>
      <c r="C6" s="6">
        <v>8191</v>
      </c>
      <c r="D6" s="6">
        <v>9284</v>
      </c>
      <c r="E6" s="6">
        <v>9739.0851814152975</v>
      </c>
      <c r="F6" s="6">
        <v>1000</v>
      </c>
      <c r="G6" s="6">
        <v>7514</v>
      </c>
      <c r="H6" s="6">
        <v>8210.3980409764026</v>
      </c>
      <c r="I6" s="7">
        <v>9191</v>
      </c>
      <c r="J6" s="7">
        <v>16798</v>
      </c>
      <c r="K6" s="7">
        <v>17949.4832223917</v>
      </c>
    </row>
    <row r="7" spans="1:11" x14ac:dyDescent="0.35">
      <c r="A7" s="5">
        <v>5</v>
      </c>
      <c r="B7" s="5" t="s">
        <v>5</v>
      </c>
      <c r="C7" s="6">
        <v>8983</v>
      </c>
      <c r="D7" s="6">
        <v>19646</v>
      </c>
      <c r="E7" s="6">
        <v>27591.374567572704</v>
      </c>
      <c r="F7" s="6">
        <v>4585</v>
      </c>
      <c r="G7" s="6">
        <v>7601</v>
      </c>
      <c r="H7" s="6">
        <v>10576.497205854401</v>
      </c>
      <c r="I7" s="7">
        <v>13568</v>
      </c>
      <c r="J7" s="7">
        <v>27247</v>
      </c>
      <c r="K7" s="7">
        <v>38167.871773427105</v>
      </c>
    </row>
    <row r="8" spans="1:11" x14ac:dyDescent="0.35">
      <c r="A8" s="5">
        <v>6</v>
      </c>
      <c r="B8" s="5" t="s">
        <v>6</v>
      </c>
      <c r="C8" s="6">
        <v>7170</v>
      </c>
      <c r="D8" s="6">
        <v>10533</v>
      </c>
      <c r="E8" s="6">
        <v>10709.319625085567</v>
      </c>
      <c r="F8" s="6">
        <v>44</v>
      </c>
      <c r="G8" s="6">
        <v>37621</v>
      </c>
      <c r="H8" s="6">
        <v>42120.333315781165</v>
      </c>
      <c r="I8" s="7">
        <v>7214</v>
      </c>
      <c r="J8" s="7">
        <v>48154</v>
      </c>
      <c r="K8" s="7">
        <v>52829.652940866734</v>
      </c>
    </row>
    <row r="9" spans="1:11" x14ac:dyDescent="0.35">
      <c r="A9" s="5">
        <v>7</v>
      </c>
      <c r="B9" s="5" t="s">
        <v>7</v>
      </c>
      <c r="C9" s="6">
        <v>22321</v>
      </c>
      <c r="D9" s="6">
        <v>14532</v>
      </c>
      <c r="E9" s="6">
        <v>23282</v>
      </c>
      <c r="F9" s="6">
        <v>0</v>
      </c>
      <c r="G9" s="6">
        <v>16843</v>
      </c>
      <c r="H9" s="6">
        <v>8354.2378107535169</v>
      </c>
      <c r="I9" s="7">
        <v>22321</v>
      </c>
      <c r="J9" s="7">
        <v>31375</v>
      </c>
      <c r="K9" s="7">
        <v>31636.237810753519</v>
      </c>
    </row>
    <row r="10" spans="1:11" x14ac:dyDescent="0.35">
      <c r="A10" s="5">
        <v>8</v>
      </c>
      <c r="B10" s="5" t="s">
        <v>70</v>
      </c>
      <c r="C10" s="6">
        <v>711</v>
      </c>
      <c r="D10" s="6">
        <v>1666</v>
      </c>
      <c r="E10" s="6">
        <v>3734.493638676845</v>
      </c>
      <c r="F10" s="6">
        <v>7662</v>
      </c>
      <c r="G10" s="6">
        <v>5297</v>
      </c>
      <c r="H10" s="6">
        <v>2475.7981340118745</v>
      </c>
      <c r="I10" s="7">
        <v>8373</v>
      </c>
      <c r="J10" s="7">
        <v>6963</v>
      </c>
      <c r="K10" s="7">
        <v>6210.291772688719</v>
      </c>
    </row>
    <row r="11" spans="1:11" x14ac:dyDescent="0.35">
      <c r="A11" s="5">
        <v>9</v>
      </c>
      <c r="B11" s="5" t="s">
        <v>8</v>
      </c>
      <c r="C11" s="6">
        <v>1180</v>
      </c>
      <c r="D11" s="6">
        <v>2027</v>
      </c>
      <c r="E11" s="6">
        <v>1344.0062034739453</v>
      </c>
      <c r="F11" s="6">
        <v>384</v>
      </c>
      <c r="G11" s="6">
        <v>1029</v>
      </c>
      <c r="H11" s="6">
        <v>4353.7071960297762</v>
      </c>
      <c r="I11" s="7">
        <v>1564</v>
      </c>
      <c r="J11" s="7">
        <v>3056</v>
      </c>
      <c r="K11" s="7">
        <v>5697.713399503722</v>
      </c>
    </row>
    <row r="12" spans="1:11" x14ac:dyDescent="0.35">
      <c r="A12" s="5">
        <v>10</v>
      </c>
      <c r="B12" s="5" t="s">
        <v>9</v>
      </c>
      <c r="C12" s="6">
        <v>4702</v>
      </c>
      <c r="D12" s="6">
        <v>6992</v>
      </c>
      <c r="E12" s="6">
        <v>6338.6323148627653</v>
      </c>
      <c r="F12" s="6">
        <v>1664</v>
      </c>
      <c r="G12" s="6">
        <v>3800</v>
      </c>
      <c r="H12" s="6">
        <v>33923.737441740035</v>
      </c>
      <c r="I12" s="7">
        <v>6366</v>
      </c>
      <c r="J12" s="7">
        <v>10792</v>
      </c>
      <c r="K12" s="7">
        <v>40262.369756602799</v>
      </c>
    </row>
    <row r="13" spans="1:11" x14ac:dyDescent="0.35">
      <c r="A13" s="5">
        <v>11</v>
      </c>
      <c r="B13" s="5" t="s">
        <v>10</v>
      </c>
      <c r="C13" s="6">
        <v>452</v>
      </c>
      <c r="D13" s="6">
        <v>1541</v>
      </c>
      <c r="E13" s="6">
        <v>1868.196426622058</v>
      </c>
      <c r="F13" s="6">
        <v>841</v>
      </c>
      <c r="G13" s="6">
        <v>1215</v>
      </c>
      <c r="H13" s="6">
        <v>753.73246610801039</v>
      </c>
      <c r="I13" s="7">
        <v>1293</v>
      </c>
      <c r="J13" s="7">
        <v>2756</v>
      </c>
      <c r="K13" s="7">
        <v>2621.9288927300686</v>
      </c>
    </row>
    <row r="14" spans="1:11" x14ac:dyDescent="0.35">
      <c r="A14" s="5">
        <v>12</v>
      </c>
      <c r="B14" s="5" t="s">
        <v>11</v>
      </c>
      <c r="C14" s="6">
        <v>4571</v>
      </c>
      <c r="D14" s="6">
        <v>6962</v>
      </c>
      <c r="E14" s="6">
        <v>7791.8818117841056</v>
      </c>
      <c r="F14" s="6">
        <v>4923</v>
      </c>
      <c r="G14" s="6">
        <v>3307</v>
      </c>
      <c r="H14" s="6">
        <v>4346</v>
      </c>
      <c r="I14" s="7">
        <v>9494</v>
      </c>
      <c r="J14" s="7">
        <v>10269</v>
      </c>
      <c r="K14" s="7">
        <v>12137.881811784106</v>
      </c>
    </row>
    <row r="15" spans="1:11" x14ac:dyDescent="0.35">
      <c r="A15" s="5">
        <v>13</v>
      </c>
      <c r="B15" s="5" t="s">
        <v>12</v>
      </c>
      <c r="C15" s="6">
        <v>23221</v>
      </c>
      <c r="D15" s="6">
        <v>29443</v>
      </c>
      <c r="E15" s="6">
        <v>35290.378273279566</v>
      </c>
      <c r="F15" s="6">
        <v>5120</v>
      </c>
      <c r="G15" s="6">
        <v>51343</v>
      </c>
      <c r="H15" s="6">
        <v>37741.054506651308</v>
      </c>
      <c r="I15" s="7">
        <v>28341</v>
      </c>
      <c r="J15" s="7">
        <v>80786</v>
      </c>
      <c r="K15" s="7">
        <v>73031.432779930881</v>
      </c>
    </row>
    <row r="16" spans="1:11" x14ac:dyDescent="0.35">
      <c r="A16" s="5">
        <v>14</v>
      </c>
      <c r="B16" s="5" t="s">
        <v>13</v>
      </c>
      <c r="C16" s="6">
        <v>68069</v>
      </c>
      <c r="D16" s="6">
        <v>141290</v>
      </c>
      <c r="E16" s="6">
        <v>141402.43390237587</v>
      </c>
      <c r="F16" s="6">
        <v>3066</v>
      </c>
      <c r="G16" s="6">
        <v>85872</v>
      </c>
      <c r="H16" s="6">
        <v>15905.456486995652</v>
      </c>
      <c r="I16" s="7">
        <v>71135</v>
      </c>
      <c r="J16" s="7">
        <v>227162</v>
      </c>
      <c r="K16" s="7">
        <v>157307.89038937152</v>
      </c>
    </row>
    <row r="17" spans="1:11" x14ac:dyDescent="0.35">
      <c r="A17" s="5">
        <v>15</v>
      </c>
      <c r="B17" s="5" t="s">
        <v>14</v>
      </c>
      <c r="C17" s="6">
        <v>0</v>
      </c>
      <c r="D17" s="6">
        <v>662</v>
      </c>
      <c r="E17" s="6">
        <v>1781.1162448119487</v>
      </c>
      <c r="F17" s="6">
        <v>6</v>
      </c>
      <c r="G17" s="6">
        <v>1994</v>
      </c>
      <c r="H17" s="6">
        <v>2902</v>
      </c>
      <c r="I17" s="7">
        <v>6</v>
      </c>
      <c r="J17" s="7">
        <v>2656</v>
      </c>
      <c r="K17" s="7">
        <v>4683.1162448119485</v>
      </c>
    </row>
    <row r="18" spans="1:11" x14ac:dyDescent="0.35">
      <c r="A18" s="5">
        <v>16</v>
      </c>
      <c r="B18" s="5" t="s">
        <v>15</v>
      </c>
      <c r="C18" s="6">
        <v>4434</v>
      </c>
      <c r="D18" s="6">
        <v>6397</v>
      </c>
      <c r="E18" s="6">
        <v>6179.6252958362393</v>
      </c>
      <c r="F18" s="6">
        <v>0</v>
      </c>
      <c r="G18" s="6">
        <v>5483</v>
      </c>
      <c r="H18" s="6">
        <v>7859.4639605140483</v>
      </c>
      <c r="I18" s="7">
        <v>4434</v>
      </c>
      <c r="J18" s="7">
        <v>11880</v>
      </c>
      <c r="K18" s="7">
        <v>14039.089256350288</v>
      </c>
    </row>
    <row r="19" spans="1:11" x14ac:dyDescent="0.35">
      <c r="A19" s="5">
        <v>17</v>
      </c>
      <c r="B19" s="5" t="s">
        <v>16</v>
      </c>
      <c r="C19" s="6">
        <v>3735</v>
      </c>
      <c r="D19" s="6">
        <v>5570</v>
      </c>
      <c r="E19" s="6">
        <v>6208.1530330247342</v>
      </c>
      <c r="F19" s="6">
        <v>4661</v>
      </c>
      <c r="G19" s="6">
        <v>12031</v>
      </c>
      <c r="H19" s="6">
        <v>10642.058449633827</v>
      </c>
      <c r="I19" s="7">
        <v>8396</v>
      </c>
      <c r="J19" s="7">
        <v>17601</v>
      </c>
      <c r="K19" s="7">
        <v>16850.21148265856</v>
      </c>
    </row>
    <row r="20" spans="1:11" x14ac:dyDescent="0.35">
      <c r="A20" s="5">
        <v>18</v>
      </c>
      <c r="B20" s="5" t="s">
        <v>17</v>
      </c>
      <c r="C20" s="6">
        <v>6925</v>
      </c>
      <c r="D20" s="6">
        <v>108826</v>
      </c>
      <c r="E20" s="6">
        <v>229225</v>
      </c>
      <c r="F20" s="6">
        <v>511</v>
      </c>
      <c r="G20" s="6">
        <v>160072</v>
      </c>
      <c r="H20" s="6">
        <v>188294.14769244258</v>
      </c>
      <c r="I20" s="7">
        <v>7436</v>
      </c>
      <c r="J20" s="7">
        <v>268898</v>
      </c>
      <c r="K20" s="7">
        <v>417519.14769244258</v>
      </c>
    </row>
    <row r="21" spans="1:11" x14ac:dyDescent="0.35">
      <c r="A21" s="5">
        <v>19</v>
      </c>
      <c r="B21" s="5" t="s">
        <v>18</v>
      </c>
      <c r="C21" s="6">
        <v>437</v>
      </c>
      <c r="D21" s="6">
        <v>8562</v>
      </c>
      <c r="E21" s="6">
        <v>7467.6319189802698</v>
      </c>
      <c r="F21" s="6">
        <v>1295</v>
      </c>
      <c r="G21" s="6">
        <v>4369</v>
      </c>
      <c r="H21" s="6">
        <v>6195.3046970490668</v>
      </c>
      <c r="I21" s="7">
        <v>1732</v>
      </c>
      <c r="J21" s="7">
        <v>12931</v>
      </c>
      <c r="K21" s="7">
        <v>13662.936616029336</v>
      </c>
    </row>
    <row r="22" spans="1:11" x14ac:dyDescent="0.35">
      <c r="A22" s="5">
        <v>20</v>
      </c>
      <c r="B22" s="5" t="s">
        <v>19</v>
      </c>
      <c r="C22" s="6">
        <v>2979</v>
      </c>
      <c r="D22" s="6">
        <v>2284</v>
      </c>
      <c r="E22" s="6">
        <v>2205.3432721712538</v>
      </c>
      <c r="F22" s="6">
        <v>1007</v>
      </c>
      <c r="G22" s="6">
        <v>2625</v>
      </c>
      <c r="H22" s="6">
        <v>7047.434250764526</v>
      </c>
      <c r="I22" s="7">
        <v>3986</v>
      </c>
      <c r="J22" s="7">
        <v>4909</v>
      </c>
      <c r="K22" s="7">
        <v>9252.7775229357794</v>
      </c>
    </row>
    <row r="23" spans="1:11" x14ac:dyDescent="0.35">
      <c r="A23" s="5">
        <v>21</v>
      </c>
      <c r="B23" s="5" t="s">
        <v>20</v>
      </c>
      <c r="C23" s="6">
        <v>51421</v>
      </c>
      <c r="D23" s="6">
        <v>143265</v>
      </c>
      <c r="E23" s="6">
        <v>160786.9969390177</v>
      </c>
      <c r="F23" s="6">
        <v>24391</v>
      </c>
      <c r="G23" s="6">
        <v>62817</v>
      </c>
      <c r="H23" s="6">
        <v>77239.612875768318</v>
      </c>
      <c r="I23" s="7">
        <v>75812</v>
      </c>
      <c r="J23" s="7">
        <v>206082</v>
      </c>
      <c r="K23" s="7">
        <v>238026.609814786</v>
      </c>
    </row>
    <row r="24" spans="1:11" x14ac:dyDescent="0.35">
      <c r="A24" s="5">
        <v>22</v>
      </c>
      <c r="B24" s="5" t="s">
        <v>21</v>
      </c>
      <c r="C24" s="6">
        <v>8275</v>
      </c>
      <c r="D24" s="6">
        <v>11176</v>
      </c>
      <c r="E24" s="6">
        <v>6597.4100776542728</v>
      </c>
      <c r="F24" s="6">
        <v>6700</v>
      </c>
      <c r="G24" s="6">
        <v>18091</v>
      </c>
      <c r="H24" s="6">
        <v>18091</v>
      </c>
      <c r="I24" s="7">
        <v>14975</v>
      </c>
      <c r="J24" s="7">
        <v>29267</v>
      </c>
      <c r="K24" s="7">
        <v>24688.410077654273</v>
      </c>
    </row>
    <row r="25" spans="1:11" x14ac:dyDescent="0.35">
      <c r="A25" s="5">
        <v>23</v>
      </c>
      <c r="B25" s="5" t="s">
        <v>22</v>
      </c>
      <c r="C25" s="6">
        <v>1234</v>
      </c>
      <c r="D25" s="6">
        <v>2097</v>
      </c>
      <c r="E25" s="6">
        <v>2711.7219264892269</v>
      </c>
      <c r="F25" s="6">
        <v>496</v>
      </c>
      <c r="G25" s="6">
        <v>6168</v>
      </c>
      <c r="H25" s="6">
        <v>6478.7930291508237</v>
      </c>
      <c r="I25" s="7">
        <v>1730</v>
      </c>
      <c r="J25" s="7">
        <v>8265</v>
      </c>
      <c r="K25" s="7">
        <v>9190.5149556400502</v>
      </c>
    </row>
    <row r="26" spans="1:11" x14ac:dyDescent="0.35">
      <c r="A26" s="5">
        <v>24</v>
      </c>
      <c r="B26" s="5" t="s">
        <v>23</v>
      </c>
      <c r="C26" s="6">
        <v>52221</v>
      </c>
      <c r="D26" s="6">
        <v>72002</v>
      </c>
      <c r="E26" s="6">
        <v>132496</v>
      </c>
      <c r="F26" s="6">
        <v>13628</v>
      </c>
      <c r="G26" s="6">
        <v>92554</v>
      </c>
      <c r="H26" s="6">
        <v>153549.56215030918</v>
      </c>
      <c r="I26" s="7">
        <v>65849</v>
      </c>
      <c r="J26" s="7">
        <v>164556</v>
      </c>
      <c r="K26" s="7">
        <v>286045.56215030921</v>
      </c>
    </row>
    <row r="27" spans="1:11" x14ac:dyDescent="0.35">
      <c r="A27" s="5">
        <v>25</v>
      </c>
      <c r="B27" s="5" t="s">
        <v>24</v>
      </c>
      <c r="C27" s="6">
        <v>0</v>
      </c>
      <c r="D27" s="6">
        <v>11621</v>
      </c>
      <c r="E27" s="6">
        <v>5301.8248879810226</v>
      </c>
      <c r="F27" s="6">
        <v>216</v>
      </c>
      <c r="G27" s="6">
        <v>25051</v>
      </c>
      <c r="H27" s="6">
        <v>23691.187434106483</v>
      </c>
      <c r="I27" s="7">
        <v>216</v>
      </c>
      <c r="J27" s="7">
        <v>36672</v>
      </c>
      <c r="K27" s="7">
        <v>28993.012322087507</v>
      </c>
    </row>
    <row r="28" spans="1:11" x14ac:dyDescent="0.35">
      <c r="A28" s="5">
        <v>26</v>
      </c>
      <c r="B28" s="5" t="s">
        <v>25</v>
      </c>
      <c r="C28" s="6">
        <v>974</v>
      </c>
      <c r="D28" s="6">
        <v>11203</v>
      </c>
      <c r="E28" s="6">
        <v>7129.2714053614945</v>
      </c>
      <c r="F28" s="6">
        <v>2036</v>
      </c>
      <c r="G28" s="6">
        <v>13864</v>
      </c>
      <c r="H28" s="6">
        <v>23098</v>
      </c>
      <c r="I28" s="7">
        <v>3010</v>
      </c>
      <c r="J28" s="7">
        <v>25067</v>
      </c>
      <c r="K28" s="7">
        <v>30227.271405361495</v>
      </c>
    </row>
    <row r="29" spans="1:11" x14ac:dyDescent="0.35">
      <c r="A29" s="5">
        <v>27</v>
      </c>
      <c r="B29" s="5" t="s">
        <v>26</v>
      </c>
      <c r="C29" s="6">
        <v>10489</v>
      </c>
      <c r="D29" s="6">
        <v>14669</v>
      </c>
      <c r="E29" s="6">
        <v>14098.287215047239</v>
      </c>
      <c r="F29" s="6">
        <v>174</v>
      </c>
      <c r="G29" s="6">
        <v>44152</v>
      </c>
      <c r="H29" s="6">
        <v>50968.375262199879</v>
      </c>
      <c r="I29" s="7">
        <v>10663</v>
      </c>
      <c r="J29" s="7">
        <v>58821</v>
      </c>
      <c r="K29" s="7">
        <v>65066.662477247119</v>
      </c>
    </row>
    <row r="30" spans="1:11" x14ac:dyDescent="0.35">
      <c r="A30" s="5">
        <v>28</v>
      </c>
      <c r="B30" s="5" t="s">
        <v>27</v>
      </c>
      <c r="C30" s="6">
        <v>3963</v>
      </c>
      <c r="D30" s="6">
        <v>11568</v>
      </c>
      <c r="E30" s="6">
        <v>12418.378918345705</v>
      </c>
      <c r="F30" s="6">
        <v>0</v>
      </c>
      <c r="G30" s="6">
        <v>14833</v>
      </c>
      <c r="H30" s="6">
        <v>26223.507613997885</v>
      </c>
      <c r="I30" s="7">
        <v>3963</v>
      </c>
      <c r="J30" s="7">
        <v>26401</v>
      </c>
      <c r="K30" s="7">
        <v>38641.886532343589</v>
      </c>
    </row>
    <row r="31" spans="1:11" x14ac:dyDescent="0.35">
      <c r="A31" s="5">
        <v>29</v>
      </c>
      <c r="B31" s="5" t="s">
        <v>28</v>
      </c>
      <c r="C31" s="6">
        <v>8189</v>
      </c>
      <c r="D31" s="6">
        <v>12833</v>
      </c>
      <c r="E31" s="6">
        <v>14537.005004448398</v>
      </c>
      <c r="F31" s="6">
        <v>0</v>
      </c>
      <c r="G31" s="6">
        <v>14277</v>
      </c>
      <c r="H31" s="6">
        <v>23767</v>
      </c>
      <c r="I31" s="7">
        <v>8189</v>
      </c>
      <c r="J31" s="7">
        <v>27110</v>
      </c>
      <c r="K31" s="7">
        <v>38304.005004448394</v>
      </c>
    </row>
    <row r="32" spans="1:11" x14ac:dyDescent="0.35">
      <c r="A32" s="5">
        <v>30</v>
      </c>
      <c r="B32" s="5" t="s">
        <v>29</v>
      </c>
      <c r="C32" s="6">
        <v>4836</v>
      </c>
      <c r="D32" s="6">
        <v>6798</v>
      </c>
      <c r="E32" s="6">
        <v>9374.9877300613498</v>
      </c>
      <c r="F32" s="6">
        <v>244</v>
      </c>
      <c r="G32" s="6">
        <v>11463</v>
      </c>
      <c r="H32" s="6">
        <v>11463</v>
      </c>
      <c r="I32" s="7">
        <v>5080</v>
      </c>
      <c r="J32" s="7">
        <v>18261</v>
      </c>
      <c r="K32" s="7">
        <v>20837.987730061352</v>
      </c>
    </row>
    <row r="33" spans="1:11" x14ac:dyDescent="0.35">
      <c r="A33" s="5">
        <v>31</v>
      </c>
      <c r="B33" s="5" t="s">
        <v>30</v>
      </c>
      <c r="C33" s="6">
        <v>6820</v>
      </c>
      <c r="D33" s="6">
        <v>9444</v>
      </c>
      <c r="E33" s="6">
        <v>7846.7053175775491</v>
      </c>
      <c r="F33" s="6">
        <v>0</v>
      </c>
      <c r="G33" s="6">
        <v>6377</v>
      </c>
      <c r="H33" s="6">
        <v>7398.441318651805</v>
      </c>
      <c r="I33" s="7">
        <v>6820</v>
      </c>
      <c r="J33" s="7">
        <v>15821</v>
      </c>
      <c r="K33" s="7">
        <v>15245.146636229354</v>
      </c>
    </row>
    <row r="34" spans="1:11" x14ac:dyDescent="0.35">
      <c r="A34" s="5">
        <v>32</v>
      </c>
      <c r="B34" s="5" t="s">
        <v>31</v>
      </c>
      <c r="C34" s="6">
        <v>14014</v>
      </c>
      <c r="D34" s="6">
        <v>19598</v>
      </c>
      <c r="E34" s="6">
        <v>40757</v>
      </c>
      <c r="F34" s="6">
        <v>5346</v>
      </c>
      <c r="G34" s="6">
        <v>76726</v>
      </c>
      <c r="H34" s="6">
        <v>139367.37244750268</v>
      </c>
      <c r="I34" s="7">
        <v>19360</v>
      </c>
      <c r="J34" s="7">
        <v>96324</v>
      </c>
      <c r="K34" s="7">
        <v>180124.37244750268</v>
      </c>
    </row>
    <row r="35" spans="1:11" x14ac:dyDescent="0.35">
      <c r="A35" s="5">
        <v>33</v>
      </c>
      <c r="B35" s="5" t="s">
        <v>32</v>
      </c>
      <c r="C35" s="6">
        <v>4178</v>
      </c>
      <c r="D35" s="6">
        <v>15602</v>
      </c>
      <c r="E35" s="6">
        <v>18610.859009360374</v>
      </c>
      <c r="F35" s="6">
        <v>0</v>
      </c>
      <c r="G35" s="6">
        <v>10043</v>
      </c>
      <c r="H35" s="6">
        <v>8448.3207878315116</v>
      </c>
      <c r="I35" s="7">
        <v>4178</v>
      </c>
      <c r="J35" s="7">
        <v>25645</v>
      </c>
      <c r="K35" s="7">
        <v>27059.179797191886</v>
      </c>
    </row>
    <row r="36" spans="1:11" x14ac:dyDescent="0.35">
      <c r="A36" s="5">
        <v>34</v>
      </c>
      <c r="B36" s="5" t="s">
        <v>33</v>
      </c>
      <c r="C36" s="6">
        <v>5477</v>
      </c>
      <c r="D36" s="6">
        <v>6168</v>
      </c>
      <c r="E36" s="6">
        <v>6176.8688034042616</v>
      </c>
      <c r="F36" s="6">
        <v>6560</v>
      </c>
      <c r="G36" s="6">
        <v>3596</v>
      </c>
      <c r="H36" s="6">
        <v>6818.3026251918564</v>
      </c>
      <c r="I36" s="7">
        <v>12037</v>
      </c>
      <c r="J36" s="7">
        <v>9764</v>
      </c>
      <c r="K36" s="7">
        <v>12995.171428596117</v>
      </c>
    </row>
    <row r="37" spans="1:11" x14ac:dyDescent="0.35">
      <c r="A37" s="5">
        <v>35</v>
      </c>
      <c r="B37" s="5" t="s">
        <v>34</v>
      </c>
      <c r="C37" s="6">
        <v>261989</v>
      </c>
      <c r="D37" s="6">
        <v>441434</v>
      </c>
      <c r="E37" s="6">
        <v>495915.88729767234</v>
      </c>
      <c r="F37" s="6">
        <v>331077</v>
      </c>
      <c r="G37" s="6">
        <v>537756</v>
      </c>
      <c r="H37" s="6">
        <v>303916.69881769194</v>
      </c>
      <c r="I37" s="7">
        <v>593066</v>
      </c>
      <c r="J37" s="7">
        <v>979190</v>
      </c>
      <c r="K37" s="7">
        <v>799832.58611536422</v>
      </c>
    </row>
    <row r="38" spans="1:11" x14ac:dyDescent="0.35">
      <c r="A38" s="5">
        <v>36</v>
      </c>
      <c r="B38" s="5" t="s">
        <v>35</v>
      </c>
      <c r="C38" s="6">
        <v>11592</v>
      </c>
      <c r="D38" s="6">
        <v>17779</v>
      </c>
      <c r="E38" s="6">
        <v>18462.239749316621</v>
      </c>
      <c r="F38" s="6">
        <v>2695</v>
      </c>
      <c r="G38" s="6">
        <v>49680</v>
      </c>
      <c r="H38" s="6">
        <v>63680</v>
      </c>
      <c r="I38" s="7">
        <v>14287</v>
      </c>
      <c r="J38" s="7">
        <v>67459</v>
      </c>
      <c r="K38" s="7">
        <v>82142.239749316621</v>
      </c>
    </row>
    <row r="39" spans="1:11" x14ac:dyDescent="0.35">
      <c r="A39" s="5">
        <v>37</v>
      </c>
      <c r="B39" s="5" t="s">
        <v>36</v>
      </c>
      <c r="C39" s="6">
        <v>536</v>
      </c>
      <c r="D39" s="6">
        <v>559</v>
      </c>
      <c r="E39" s="6">
        <v>613.28457017504911</v>
      </c>
      <c r="F39" s="6">
        <v>28</v>
      </c>
      <c r="G39" s="6">
        <v>1105</v>
      </c>
      <c r="H39" s="6">
        <v>828.14730820859995</v>
      </c>
      <c r="I39" s="7">
        <v>564</v>
      </c>
      <c r="J39" s="7">
        <v>1664</v>
      </c>
      <c r="K39" s="7">
        <v>1441.4318783836491</v>
      </c>
    </row>
    <row r="40" spans="1:11" x14ac:dyDescent="0.35">
      <c r="A40" s="5">
        <v>38</v>
      </c>
      <c r="B40" s="5" t="s">
        <v>37</v>
      </c>
      <c r="C40" s="6">
        <v>6196</v>
      </c>
      <c r="D40" s="6">
        <v>10926</v>
      </c>
      <c r="E40" s="6">
        <v>11285.434623393408</v>
      </c>
      <c r="F40" s="6">
        <v>4932</v>
      </c>
      <c r="G40" s="6">
        <v>34349</v>
      </c>
      <c r="H40" s="6">
        <v>29939.877575931641</v>
      </c>
      <c r="I40" s="7">
        <v>11128</v>
      </c>
      <c r="J40" s="7">
        <v>45275</v>
      </c>
      <c r="K40" s="7">
        <v>41225.312199325053</v>
      </c>
    </row>
    <row r="41" spans="1:11" x14ac:dyDescent="0.35">
      <c r="A41" s="5">
        <v>39</v>
      </c>
      <c r="B41" s="5" t="s">
        <v>38</v>
      </c>
      <c r="C41" s="6">
        <v>530</v>
      </c>
      <c r="D41" s="6">
        <v>2020</v>
      </c>
      <c r="E41" s="6">
        <v>2592.4178512700573</v>
      </c>
      <c r="F41" s="6">
        <v>0</v>
      </c>
      <c r="G41" s="6">
        <v>525</v>
      </c>
      <c r="H41" s="6">
        <v>594.28457017504911</v>
      </c>
      <c r="I41" s="7">
        <v>530</v>
      </c>
      <c r="J41" s="7">
        <v>2545</v>
      </c>
      <c r="K41" s="7">
        <v>3186.7024214451067</v>
      </c>
    </row>
    <row r="42" spans="1:11" x14ac:dyDescent="0.35">
      <c r="A42" s="5">
        <v>40</v>
      </c>
      <c r="B42" s="5" t="s">
        <v>39</v>
      </c>
      <c r="C42" s="6">
        <v>8293</v>
      </c>
      <c r="D42" s="6">
        <v>7320</v>
      </c>
      <c r="E42" s="6">
        <v>20252.811629184373</v>
      </c>
      <c r="F42" s="6">
        <v>4557</v>
      </c>
      <c r="G42" s="6">
        <v>2288</v>
      </c>
      <c r="H42" s="6">
        <v>18898.61224042462</v>
      </c>
      <c r="I42" s="7">
        <v>12850</v>
      </c>
      <c r="J42" s="7">
        <v>9608</v>
      </c>
      <c r="K42" s="7">
        <v>39151.423869608989</v>
      </c>
    </row>
    <row r="43" spans="1:11" x14ac:dyDescent="0.35">
      <c r="A43" s="5">
        <v>41</v>
      </c>
      <c r="B43" s="5" t="s">
        <v>40</v>
      </c>
      <c r="C43" s="6">
        <v>90079</v>
      </c>
      <c r="D43" s="6">
        <v>354250</v>
      </c>
      <c r="E43" s="6">
        <v>468293.95185969712</v>
      </c>
      <c r="F43" s="6">
        <v>23469</v>
      </c>
      <c r="G43" s="6">
        <v>214207</v>
      </c>
      <c r="H43" s="6">
        <v>191862.74170800057</v>
      </c>
      <c r="I43" s="7">
        <v>113548</v>
      </c>
      <c r="J43" s="7">
        <v>568457</v>
      </c>
      <c r="K43" s="7">
        <v>660156.69356769766</v>
      </c>
    </row>
    <row r="44" spans="1:11" x14ac:dyDescent="0.35">
      <c r="A44" s="5">
        <v>42</v>
      </c>
      <c r="B44" s="5" t="s">
        <v>41</v>
      </c>
      <c r="C44" s="6">
        <v>0</v>
      </c>
      <c r="D44" s="6">
        <v>6413</v>
      </c>
      <c r="E44" s="6">
        <v>8616.9328736015086</v>
      </c>
      <c r="F44" s="6">
        <v>0</v>
      </c>
      <c r="G44" s="6">
        <v>10147</v>
      </c>
      <c r="H44" s="6">
        <v>12908</v>
      </c>
      <c r="I44" s="7">
        <v>0</v>
      </c>
      <c r="J44" s="7">
        <v>16560</v>
      </c>
      <c r="K44" s="7">
        <v>21524.932873601509</v>
      </c>
    </row>
    <row r="45" spans="1:11" x14ac:dyDescent="0.35">
      <c r="A45" s="5">
        <v>43</v>
      </c>
      <c r="B45" s="5" t="s">
        <v>42</v>
      </c>
      <c r="C45" s="6">
        <v>23402</v>
      </c>
      <c r="D45" s="6">
        <v>39366</v>
      </c>
      <c r="E45" s="6">
        <v>49814.905399934454</v>
      </c>
      <c r="F45" s="6">
        <v>15093</v>
      </c>
      <c r="G45" s="6">
        <v>69773</v>
      </c>
      <c r="H45" s="6">
        <v>138070.13653100963</v>
      </c>
      <c r="I45" s="7">
        <v>38495</v>
      </c>
      <c r="J45" s="7">
        <v>109139</v>
      </c>
      <c r="K45" s="7">
        <v>187885.04193094408</v>
      </c>
    </row>
    <row r="46" spans="1:11" x14ac:dyDescent="0.35">
      <c r="A46" s="5">
        <v>44</v>
      </c>
      <c r="B46" s="5" t="s">
        <v>43</v>
      </c>
      <c r="C46" s="6">
        <v>2532</v>
      </c>
      <c r="D46" s="6">
        <v>4137</v>
      </c>
      <c r="E46" s="6">
        <v>5574.9682728198168</v>
      </c>
      <c r="F46" s="6">
        <v>638</v>
      </c>
      <c r="G46" s="6">
        <v>22503</v>
      </c>
      <c r="H46" s="6">
        <v>21202.2429589413</v>
      </c>
      <c r="I46" s="7">
        <v>3170</v>
      </c>
      <c r="J46" s="7">
        <v>26640</v>
      </c>
      <c r="K46" s="7">
        <v>26777.211231761117</v>
      </c>
    </row>
    <row r="47" spans="1:11" x14ac:dyDescent="0.35">
      <c r="A47" s="5">
        <v>45</v>
      </c>
      <c r="B47" s="5" t="s">
        <v>44</v>
      </c>
      <c r="C47" s="6">
        <v>51995</v>
      </c>
      <c r="D47" s="6">
        <v>77940</v>
      </c>
      <c r="E47" s="6">
        <v>121325.78132796781</v>
      </c>
      <c r="F47" s="6">
        <v>207921</v>
      </c>
      <c r="G47" s="6">
        <v>190898</v>
      </c>
      <c r="H47" s="6">
        <v>215143.86052313884</v>
      </c>
      <c r="I47" s="7">
        <v>259916</v>
      </c>
      <c r="J47" s="7">
        <v>268838</v>
      </c>
      <c r="K47" s="7">
        <v>336469.64185110666</v>
      </c>
    </row>
    <row r="48" spans="1:11" x14ac:dyDescent="0.35">
      <c r="A48" s="5">
        <v>46</v>
      </c>
      <c r="B48" s="5" t="s">
        <v>45</v>
      </c>
      <c r="C48" s="6">
        <v>4278</v>
      </c>
      <c r="D48" s="6">
        <v>30782</v>
      </c>
      <c r="E48" s="6">
        <v>69982</v>
      </c>
      <c r="F48" s="6">
        <v>5507</v>
      </c>
      <c r="G48" s="6">
        <v>32379</v>
      </c>
      <c r="H48" s="6">
        <v>42023.819684990805</v>
      </c>
      <c r="I48" s="7">
        <v>9785</v>
      </c>
      <c r="J48" s="7">
        <v>63161</v>
      </c>
      <c r="K48" s="7">
        <v>112005.8196849908</v>
      </c>
    </row>
    <row r="49" spans="1:11" x14ac:dyDescent="0.35">
      <c r="A49" s="5">
        <v>47</v>
      </c>
      <c r="B49" s="5" t="s">
        <v>46</v>
      </c>
      <c r="C49" s="6">
        <v>21148</v>
      </c>
      <c r="D49" s="6">
        <v>35628</v>
      </c>
      <c r="E49" s="6">
        <v>62258.419764351172</v>
      </c>
      <c r="F49" s="6">
        <v>15850</v>
      </c>
      <c r="G49" s="6">
        <v>36886</v>
      </c>
      <c r="H49" s="6">
        <v>42581.173443884632</v>
      </c>
      <c r="I49" s="7">
        <v>36998</v>
      </c>
      <c r="J49" s="7">
        <v>72514</v>
      </c>
      <c r="K49" s="7">
        <v>104839.5932082358</v>
      </c>
    </row>
    <row r="50" spans="1:11" x14ac:dyDescent="0.35">
      <c r="A50" s="5">
        <v>48</v>
      </c>
      <c r="B50" s="5" t="s">
        <v>71</v>
      </c>
      <c r="C50" s="6">
        <v>841834</v>
      </c>
      <c r="D50" s="6">
        <v>1994699</v>
      </c>
      <c r="E50" s="6">
        <v>2460099.0886917901</v>
      </c>
      <c r="F50" s="6">
        <v>724195</v>
      </c>
      <c r="G50" s="6">
        <v>2312731</v>
      </c>
      <c r="H50" s="6">
        <v>2488957.6157619902</v>
      </c>
      <c r="I50" s="7">
        <v>1566029</v>
      </c>
      <c r="J50" s="7">
        <v>4307430</v>
      </c>
      <c r="K50" s="7">
        <v>4949056.7044537803</v>
      </c>
    </row>
  </sheetData>
  <mergeCells count="3">
    <mergeCell ref="F1:H1"/>
    <mergeCell ref="I1:K1"/>
    <mergeCell ref="C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C54A-823D-476A-8A90-467C7FD581F0}">
  <dimension ref="A1:J50"/>
  <sheetViews>
    <sheetView workbookViewId="0">
      <selection activeCell="C34" sqref="C34"/>
    </sheetView>
  </sheetViews>
  <sheetFormatPr defaultRowHeight="14.5" x14ac:dyDescent="0.35"/>
  <cols>
    <col min="1" max="1" width="20.81640625" bestFit="1" customWidth="1"/>
    <col min="2" max="2" width="8.81640625" bestFit="1" customWidth="1"/>
    <col min="3" max="7" width="9.453125" bestFit="1" customWidth="1"/>
    <col min="8" max="10" width="9.453125" style="4" bestFit="1" customWidth="1"/>
  </cols>
  <sheetData>
    <row r="1" spans="1:10" x14ac:dyDescent="0.35">
      <c r="B1" s="56" t="s">
        <v>66</v>
      </c>
      <c r="C1" s="56"/>
      <c r="D1" s="56"/>
      <c r="E1" s="57" t="s">
        <v>67</v>
      </c>
      <c r="F1" s="57"/>
      <c r="G1" s="57"/>
      <c r="H1" s="58" t="s">
        <v>59</v>
      </c>
      <c r="I1" s="58"/>
      <c r="J1" s="58"/>
    </row>
    <row r="2" spans="1:10" s="9" customFormat="1" ht="58" x14ac:dyDescent="0.35">
      <c r="A2" s="9" t="s">
        <v>0</v>
      </c>
      <c r="B2" s="9" t="s">
        <v>72</v>
      </c>
      <c r="C2" s="9" t="s">
        <v>73</v>
      </c>
      <c r="D2" s="9" t="s">
        <v>74</v>
      </c>
      <c r="E2" s="9" t="s">
        <v>72</v>
      </c>
      <c r="F2" s="9" t="s">
        <v>73</v>
      </c>
      <c r="G2" s="9" t="s">
        <v>74</v>
      </c>
      <c r="H2" s="10" t="s">
        <v>72</v>
      </c>
      <c r="I2" s="10" t="s">
        <v>73</v>
      </c>
      <c r="J2" s="10" t="s">
        <v>74</v>
      </c>
    </row>
    <row r="3" spans="1:10" x14ac:dyDescent="0.35">
      <c r="A3" t="s">
        <v>1</v>
      </c>
      <c r="B3" s="3">
        <v>2.931267462129866</v>
      </c>
      <c r="C3" s="3">
        <v>41.893522234964195</v>
      </c>
      <c r="D3" s="3">
        <v>16.521490491693015</v>
      </c>
      <c r="E3" s="3">
        <v>5.2630711233142405E-2</v>
      </c>
      <c r="F3" s="3">
        <v>57.067989613472768</v>
      </c>
      <c r="G3" s="3">
        <v>81.537078082791723</v>
      </c>
      <c r="H3" s="8">
        <v>2.9838981733630083</v>
      </c>
      <c r="I3" s="8">
        <v>98.961511848436984</v>
      </c>
      <c r="J3" s="8">
        <v>98.058568574484738</v>
      </c>
    </row>
    <row r="4" spans="1:10" x14ac:dyDescent="0.35">
      <c r="A4" t="s">
        <v>2</v>
      </c>
      <c r="B4" s="3">
        <v>1.147359073900709E-2</v>
      </c>
      <c r="C4" s="3">
        <v>19.33519951199629</v>
      </c>
      <c r="D4" s="3">
        <v>22.16128506058643</v>
      </c>
      <c r="E4" s="3">
        <v>0.23023672082940894</v>
      </c>
      <c r="F4" s="3">
        <v>16.090283115757977</v>
      </c>
      <c r="G4" s="3">
        <v>16.295060637006831</v>
      </c>
      <c r="H4" s="8">
        <v>0.24171031156841602</v>
      </c>
      <c r="I4" s="8">
        <v>35.425482627754263</v>
      </c>
      <c r="J4" s="8">
        <v>38.456345697593264</v>
      </c>
    </row>
    <row r="5" spans="1:10" x14ac:dyDescent="0.35">
      <c r="A5" t="s">
        <v>3</v>
      </c>
      <c r="B5" s="3">
        <v>7.6857184306059843</v>
      </c>
      <c r="C5" s="3">
        <v>4.8313817211552434</v>
      </c>
      <c r="D5" s="3">
        <v>8.2764831925559506</v>
      </c>
      <c r="E5" s="3">
        <v>14.614796652216302</v>
      </c>
      <c r="F5" s="3">
        <v>9.7917342838875214</v>
      </c>
      <c r="G5" s="3">
        <v>10.453140826335456</v>
      </c>
      <c r="H5" s="8">
        <v>22.300515082822283</v>
      </c>
      <c r="I5" s="8">
        <v>14.623116005042766</v>
      </c>
      <c r="J5" s="8">
        <v>18.729624018891407</v>
      </c>
    </row>
    <row r="6" spans="1:10" x14ac:dyDescent="0.35">
      <c r="A6" t="s">
        <v>4</v>
      </c>
      <c r="B6" s="3">
        <v>36.941691569573123</v>
      </c>
      <c r="C6" s="3">
        <v>37.8721049551717</v>
      </c>
      <c r="D6" s="3">
        <v>37.02657488516612</v>
      </c>
      <c r="E6" s="3">
        <v>4.5100343754820074</v>
      </c>
      <c r="F6" s="3">
        <v>30.541625355382433</v>
      </c>
      <c r="G6" s="3">
        <v>31.089269196228852</v>
      </c>
      <c r="H6" s="8">
        <v>41.451725945055138</v>
      </c>
      <c r="I6" s="8">
        <v>68.413730310554129</v>
      </c>
      <c r="J6" s="8">
        <v>68.115844081394968</v>
      </c>
    </row>
    <row r="7" spans="1:10" x14ac:dyDescent="0.35">
      <c r="A7" t="s">
        <v>5</v>
      </c>
      <c r="B7" s="3">
        <v>5.0934409402821972</v>
      </c>
      <c r="C7" s="3">
        <v>9.6338286946770175</v>
      </c>
      <c r="D7" s="3">
        <v>12.168856040551496</v>
      </c>
      <c r="E7" s="3">
        <v>2.5997358022034818</v>
      </c>
      <c r="F7" s="3">
        <v>3.7258388690907043</v>
      </c>
      <c r="G7" s="3">
        <v>4.6584670006919868</v>
      </c>
      <c r="H7" s="8">
        <v>7.6931767424856785</v>
      </c>
      <c r="I7" s="8">
        <v>13.35966756376772</v>
      </c>
      <c r="J7" s="8">
        <v>16.827323041243478</v>
      </c>
    </row>
    <row r="8" spans="1:10" x14ac:dyDescent="0.35">
      <c r="A8" t="s">
        <v>6</v>
      </c>
      <c r="B8" s="3">
        <v>7.0643334660974784</v>
      </c>
      <c r="C8" s="3">
        <v>9.1643321894231757</v>
      </c>
      <c r="D8" s="3">
        <v>8.3085116295989803</v>
      </c>
      <c r="E8" s="3">
        <v>4.33515582298869E-2</v>
      </c>
      <c r="F8" s="3">
        <v>32.732492290732871</v>
      </c>
      <c r="G8" s="3">
        <v>32.677825618073008</v>
      </c>
      <c r="H8" s="8">
        <v>7.107685024327365</v>
      </c>
      <c r="I8" s="8">
        <v>41.896824480156049</v>
      </c>
      <c r="J8" s="8">
        <v>40.986337247671983</v>
      </c>
    </row>
    <row r="9" spans="1:10" x14ac:dyDescent="0.35">
      <c r="A9" t="s">
        <v>7</v>
      </c>
      <c r="B9" s="3">
        <v>10.318104179523269</v>
      </c>
      <c r="C9" s="3">
        <v>5.7950101302016952</v>
      </c>
      <c r="D9" s="3">
        <v>8.340457309760458</v>
      </c>
      <c r="E9" s="3">
        <v>0</v>
      </c>
      <c r="F9" s="3">
        <v>6.7165810365391669</v>
      </c>
      <c r="G9" s="3">
        <v>2.9859846717331378</v>
      </c>
      <c r="H9" s="8">
        <v>10.318104179523267</v>
      </c>
      <c r="I9" s="8">
        <v>12.511591166740862</v>
      </c>
      <c r="J9" s="8">
        <v>11.326441981493597</v>
      </c>
    </row>
    <row r="10" spans="1:10" x14ac:dyDescent="0.35">
      <c r="A10" t="s">
        <v>70</v>
      </c>
      <c r="B10" s="3">
        <v>13.168129792199135</v>
      </c>
      <c r="C10" s="3">
        <v>29.16659007373055</v>
      </c>
      <c r="D10" s="3">
        <v>62.960411138791216</v>
      </c>
      <c r="E10" s="3">
        <v>141.90465607289701</v>
      </c>
      <c r="F10" s="3">
        <v>92.384211175916022</v>
      </c>
      <c r="G10" s="3">
        <v>41.402684045284943</v>
      </c>
      <c r="H10" s="8">
        <v>155.07278586509614</v>
      </c>
      <c r="I10" s="8">
        <v>121.55080124964657</v>
      </c>
      <c r="J10" s="8">
        <v>104.36309518407614</v>
      </c>
    </row>
    <row r="11" spans="1:10" x14ac:dyDescent="0.35">
      <c r="A11" t="s">
        <v>8</v>
      </c>
      <c r="B11" s="3">
        <v>2.4570901992606395</v>
      </c>
      <c r="C11" s="3">
        <v>3.9785819996152929</v>
      </c>
      <c r="D11" s="3">
        <v>2.4089830338186218</v>
      </c>
      <c r="E11" s="3">
        <v>0.79959545467464954</v>
      </c>
      <c r="F11" s="3">
        <v>2.017751502518264</v>
      </c>
      <c r="G11" s="3">
        <v>7.8017480569011566</v>
      </c>
      <c r="H11" s="8">
        <v>3.2566856539352891</v>
      </c>
      <c r="I11" s="8">
        <v>5.9963335021335578</v>
      </c>
      <c r="J11" s="8">
        <v>10.210731090719779</v>
      </c>
    </row>
    <row r="12" spans="1:10" x14ac:dyDescent="0.35">
      <c r="A12" t="s">
        <v>9</v>
      </c>
      <c r="B12" s="3">
        <v>3.557602383306083</v>
      </c>
      <c r="C12" s="3">
        <v>4.4808420291703328</v>
      </c>
      <c r="D12" s="3">
        <v>3.5764373051455833</v>
      </c>
      <c r="E12" s="3">
        <v>1.2590068834158492</v>
      </c>
      <c r="F12" s="3">
        <v>2.4352402332447465</v>
      </c>
      <c r="G12" s="3">
        <v>19.134534593819922</v>
      </c>
      <c r="H12" s="8">
        <v>4.8166092667219331</v>
      </c>
      <c r="I12" s="8">
        <v>6.9160822624150784</v>
      </c>
      <c r="J12" s="8">
        <v>22.710971898965504</v>
      </c>
    </row>
    <row r="13" spans="1:10" x14ac:dyDescent="0.35">
      <c r="A13" t="s">
        <v>10</v>
      </c>
      <c r="B13" s="3">
        <v>6.4627516022834079</v>
      </c>
      <c r="C13" s="3">
        <v>19.850228032875876</v>
      </c>
      <c r="D13" s="3">
        <v>22.326190141323295</v>
      </c>
      <c r="E13" s="3">
        <v>12.024721454691029</v>
      </c>
      <c r="F13" s="3">
        <v>15.650893614499799</v>
      </c>
      <c r="G13" s="3">
        <v>9.0076044008087113</v>
      </c>
      <c r="H13" s="8">
        <v>18.487473056974441</v>
      </c>
      <c r="I13" s="8">
        <v>35.501121647375662</v>
      </c>
      <c r="J13" s="8">
        <v>31.333794542132008</v>
      </c>
    </row>
    <row r="14" spans="1:10" x14ac:dyDescent="0.35">
      <c r="A14" t="s">
        <v>11</v>
      </c>
      <c r="B14" s="3">
        <v>9.4675580794092156</v>
      </c>
      <c r="C14" s="3">
        <v>12.795296212393836</v>
      </c>
      <c r="D14" s="3">
        <v>13.050801436856251</v>
      </c>
      <c r="E14" s="3">
        <v>10.196628401866455</v>
      </c>
      <c r="F14" s="3">
        <v>6.0778575947122118</v>
      </c>
      <c r="G14" s="3">
        <v>7.2792150105252142</v>
      </c>
      <c r="H14" s="8">
        <v>19.664186481275671</v>
      </c>
      <c r="I14" s="8">
        <v>18.873153807106046</v>
      </c>
      <c r="J14" s="8">
        <v>20.330016447381468</v>
      </c>
    </row>
    <row r="15" spans="1:10" x14ac:dyDescent="0.35">
      <c r="A15" t="s">
        <v>12</v>
      </c>
      <c r="B15" s="3">
        <v>10.33456030553733</v>
      </c>
      <c r="C15" s="3">
        <v>11.548997129264416</v>
      </c>
      <c r="D15" s="3">
        <v>12.531853132190035</v>
      </c>
      <c r="E15" s="3">
        <v>2.1941080188751148</v>
      </c>
      <c r="F15" s="3">
        <v>20.123567561819524</v>
      </c>
      <c r="G15" s="3">
        <v>13.387900643835712</v>
      </c>
      <c r="H15" s="8">
        <v>12.528668324412447</v>
      </c>
      <c r="I15" s="8">
        <v>31.672564691083934</v>
      </c>
      <c r="J15" s="8">
        <v>25.91975377602575</v>
      </c>
    </row>
    <row r="16" spans="1:10" x14ac:dyDescent="0.35">
      <c r="A16" t="s">
        <v>13</v>
      </c>
      <c r="B16" s="3">
        <v>9.2661285789722267</v>
      </c>
      <c r="C16" s="3">
        <v>16.223939744179855</v>
      </c>
      <c r="D16" s="3">
        <v>14.28160096277502</v>
      </c>
      <c r="E16" s="3">
        <v>0.41736987796396086</v>
      </c>
      <c r="F16" s="3">
        <v>9.8604441482922525</v>
      </c>
      <c r="G16" s="3">
        <v>1.6064460590182004</v>
      </c>
      <c r="H16" s="8">
        <v>9.6834984569361886</v>
      </c>
      <c r="I16" s="8">
        <v>26.084383892472108</v>
      </c>
      <c r="J16" s="8">
        <v>15.888047021793218</v>
      </c>
    </row>
    <row r="17" spans="1:10" x14ac:dyDescent="0.35">
      <c r="A17" t="s">
        <v>14</v>
      </c>
      <c r="B17" s="3">
        <v>0</v>
      </c>
      <c r="C17" s="3">
        <v>4.4071882438586458</v>
      </c>
      <c r="D17" s="3">
        <v>10.634113902446874</v>
      </c>
      <c r="E17" s="3">
        <v>4.8233798869882084E-2</v>
      </c>
      <c r="F17" s="3">
        <v>13.241536883738439</v>
      </c>
      <c r="G17" s="3">
        <v>17.296472403260356</v>
      </c>
      <c r="H17" s="8">
        <v>4.8233798869882084E-2</v>
      </c>
      <c r="I17" s="8">
        <v>17.648725127597086</v>
      </c>
      <c r="J17" s="8">
        <v>27.930586305707227</v>
      </c>
    </row>
    <row r="18" spans="1:10" x14ac:dyDescent="0.35">
      <c r="A18" t="s">
        <v>15</v>
      </c>
      <c r="B18" s="3">
        <v>13.451172154071436</v>
      </c>
      <c r="C18" s="3">
        <v>18.566922115433325</v>
      </c>
      <c r="D18" s="3">
        <v>16.774083760782815</v>
      </c>
      <c r="E18" s="3">
        <v>0</v>
      </c>
      <c r="F18" s="3">
        <v>15.914090035785666</v>
      </c>
      <c r="G18" s="3">
        <v>21.333867423538706</v>
      </c>
      <c r="H18" s="8">
        <v>13.451172154071436</v>
      </c>
      <c r="I18" s="8">
        <v>34.481012151218984</v>
      </c>
      <c r="J18" s="8">
        <v>38.107951184321514</v>
      </c>
    </row>
    <row r="19" spans="1:10" x14ac:dyDescent="0.35">
      <c r="A19" t="s">
        <v>16</v>
      </c>
      <c r="B19" s="3">
        <v>33.398341618089297</v>
      </c>
      <c r="C19" s="3">
        <v>47.999551889282181</v>
      </c>
      <c r="D19" s="3">
        <v>51.66268983905934</v>
      </c>
      <c r="E19" s="3">
        <v>41.678626581503138</v>
      </c>
      <c r="F19" s="3">
        <v>103.65145603667615</v>
      </c>
      <c r="G19" s="3">
        <v>88.53557152009499</v>
      </c>
      <c r="H19" s="8">
        <v>75.076968199592443</v>
      </c>
      <c r="I19" s="8">
        <v>151.65100792595834</v>
      </c>
      <c r="J19" s="8">
        <v>140.19826135915432</v>
      </c>
    </row>
    <row r="20" spans="1:10" x14ac:dyDescent="0.35">
      <c r="A20" t="s">
        <v>17</v>
      </c>
      <c r="B20" s="3">
        <v>0.71329713375271953</v>
      </c>
      <c r="C20" s="3">
        <v>9.7927247683912508</v>
      </c>
      <c r="D20" s="3">
        <v>18.578792370715053</v>
      </c>
      <c r="E20" s="3">
        <v>5.2634633263197068E-2</v>
      </c>
      <c r="F20" s="3">
        <v>14.399424930053186</v>
      </c>
      <c r="G20" s="3">
        <v>15.250791281886587</v>
      </c>
      <c r="H20" s="8">
        <v>0.76593176701591659</v>
      </c>
      <c r="I20" s="8">
        <v>24.192149698444432</v>
      </c>
      <c r="J20" s="8">
        <v>33.829583652601642</v>
      </c>
    </row>
    <row r="21" spans="1:10" x14ac:dyDescent="0.35">
      <c r="A21" t="s">
        <v>18</v>
      </c>
      <c r="B21" s="3">
        <v>2.2973079178531046</v>
      </c>
      <c r="C21" s="3">
        <v>39.060014055583196</v>
      </c>
      <c r="D21" s="3">
        <v>31.25849879805093</v>
      </c>
      <c r="E21" s="3">
        <v>6.8078117931802522</v>
      </c>
      <c r="F21" s="3">
        <v>19.721611861981561</v>
      </c>
      <c r="G21" s="3">
        <v>25.853652875942235</v>
      </c>
      <c r="H21" s="8">
        <v>9.1051197110333568</v>
      </c>
      <c r="I21" s="8">
        <v>58.781625917564746</v>
      </c>
      <c r="J21" s="8">
        <v>57.112151673993168</v>
      </c>
    </row>
    <row r="22" spans="1:10" x14ac:dyDescent="0.35">
      <c r="A22" t="s">
        <v>19</v>
      </c>
      <c r="B22" s="3">
        <v>14.019684502977714</v>
      </c>
      <c r="C22" s="3">
        <v>9.341836149347488</v>
      </c>
      <c r="D22" s="3">
        <v>8.1498514118713352</v>
      </c>
      <c r="E22" s="3">
        <v>4.7249960526987653</v>
      </c>
      <c r="F22" s="3">
        <v>10.707936531957847</v>
      </c>
      <c r="G22" s="3">
        <v>26.021236160614649</v>
      </c>
      <c r="H22" s="8">
        <v>18.744680555676478</v>
      </c>
      <c r="I22" s="8">
        <v>20.049772681305335</v>
      </c>
      <c r="J22" s="8">
        <v>34.171087572485987</v>
      </c>
    </row>
    <row r="23" spans="1:10" x14ac:dyDescent="0.35">
      <c r="A23" t="s">
        <v>20</v>
      </c>
      <c r="B23" s="3">
        <v>18.681157033578607</v>
      </c>
      <c r="C23" s="3">
        <v>46.40817219195695</v>
      </c>
      <c r="D23" s="3">
        <v>48.030714224150685</v>
      </c>
      <c r="E23" s="3">
        <v>8.8612065344123181</v>
      </c>
      <c r="F23" s="3">
        <v>20.294363506970317</v>
      </c>
      <c r="G23" s="3">
        <v>22.610200047155839</v>
      </c>
      <c r="H23" s="8">
        <v>27.542363567990925</v>
      </c>
      <c r="I23" s="8">
        <v>66.70253569892725</v>
      </c>
      <c r="J23" s="8">
        <v>70.640914271306528</v>
      </c>
    </row>
    <row r="24" spans="1:10" x14ac:dyDescent="0.35">
      <c r="A24" t="s">
        <v>21</v>
      </c>
      <c r="B24" s="3">
        <v>7.4850096287525645</v>
      </c>
      <c r="C24" s="3">
        <v>8.9017288876355476</v>
      </c>
      <c r="D24" s="3">
        <v>4.7602626385103033</v>
      </c>
      <c r="E24" s="3">
        <v>6.0603703338540411</v>
      </c>
      <c r="F24" s="3">
        <v>14.409554161257576</v>
      </c>
      <c r="G24" s="3">
        <v>13.053290667041477</v>
      </c>
      <c r="H24" s="8">
        <v>13.545379962606606</v>
      </c>
      <c r="I24" s="8">
        <v>23.311283048893124</v>
      </c>
      <c r="J24" s="8">
        <v>17.813553305551778</v>
      </c>
    </row>
    <row r="25" spans="1:10" x14ac:dyDescent="0.35">
      <c r="A25" t="s">
        <v>22</v>
      </c>
      <c r="B25" s="3">
        <v>7.2684328251615025</v>
      </c>
      <c r="C25" s="3">
        <v>10.893763982473359</v>
      </c>
      <c r="D25" s="3">
        <v>12.878829589909351</v>
      </c>
      <c r="E25" s="3">
        <v>2.921509466191333</v>
      </c>
      <c r="F25" s="3">
        <v>32.016341165466521</v>
      </c>
      <c r="G25" s="3">
        <v>30.758335221751548</v>
      </c>
      <c r="H25" s="8">
        <v>10.189942291352835</v>
      </c>
      <c r="I25" s="8">
        <v>42.910105147939873</v>
      </c>
      <c r="J25" s="8">
        <v>43.637164811660909</v>
      </c>
    </row>
    <row r="26" spans="1:10" x14ac:dyDescent="0.35">
      <c r="A26" t="s">
        <v>23</v>
      </c>
      <c r="B26" s="3">
        <v>11.658459316104921</v>
      </c>
      <c r="C26" s="3">
        <v>14.413861393432555</v>
      </c>
      <c r="D26" s="3">
        <v>24.523813221222014</v>
      </c>
      <c r="E26" s="3">
        <v>3.0424825943562523</v>
      </c>
      <c r="F26" s="3">
        <v>18.43441627004292</v>
      </c>
      <c r="G26" s="3">
        <v>28.237952683290491</v>
      </c>
      <c r="H26" s="8">
        <v>14.700941910461173</v>
      </c>
      <c r="I26" s="8">
        <v>32.848277663475471</v>
      </c>
      <c r="J26" s="8">
        <v>52.761765904512501</v>
      </c>
    </row>
    <row r="27" spans="1:10" x14ac:dyDescent="0.35">
      <c r="A27" t="s">
        <v>24</v>
      </c>
      <c r="B27" s="3">
        <v>0</v>
      </c>
      <c r="C27" s="3">
        <v>52.870382713145531</v>
      </c>
      <c r="D27" s="3">
        <v>22.993174843373964</v>
      </c>
      <c r="E27" s="3">
        <v>1.0414966499729863</v>
      </c>
      <c r="F27" s="3">
        <v>113.92541549951613</v>
      </c>
      <c r="G27" s="3">
        <v>102.68854878266576</v>
      </c>
      <c r="H27" s="8">
        <v>1.0414966499729863</v>
      </c>
      <c r="I27" s="8">
        <v>166.79579821266168</v>
      </c>
      <c r="J27" s="8">
        <v>125.68172362603974</v>
      </c>
    </row>
    <row r="28" spans="1:10" x14ac:dyDescent="0.35">
      <c r="A28" t="s">
        <v>25</v>
      </c>
      <c r="B28" s="3">
        <v>2.1999802363171792</v>
      </c>
      <c r="C28" s="3">
        <v>22.91287401641636</v>
      </c>
      <c r="D28" s="3">
        <v>13.444654516010845</v>
      </c>
      <c r="E28" s="3">
        <v>4.5987266541496687</v>
      </c>
      <c r="F28" s="3">
        <v>28.355269603105992</v>
      </c>
      <c r="G28" s="3">
        <v>43.559097746969861</v>
      </c>
      <c r="H28" s="8">
        <v>6.798706890466848</v>
      </c>
      <c r="I28" s="8">
        <v>51.268143619522348</v>
      </c>
      <c r="J28" s="8">
        <v>57.003752262980719</v>
      </c>
    </row>
    <row r="29" spans="1:10" x14ac:dyDescent="0.35">
      <c r="A29" t="s">
        <v>26</v>
      </c>
      <c r="B29" s="3">
        <v>4.4467387300620373</v>
      </c>
      <c r="C29" s="3">
        <v>5.4640186234792782</v>
      </c>
      <c r="D29" s="3">
        <v>4.761050716296678</v>
      </c>
      <c r="E29" s="3">
        <v>7.376609200407995E-2</v>
      </c>
      <c r="F29" s="3">
        <v>16.426697204678998</v>
      </c>
      <c r="G29" s="3">
        <v>17.207717189217753</v>
      </c>
      <c r="H29" s="8">
        <v>4.5205048220661173</v>
      </c>
      <c r="I29" s="8">
        <v>21.890715828158275</v>
      </c>
      <c r="J29" s="8">
        <v>21.968767905514429</v>
      </c>
    </row>
    <row r="30" spans="1:10" x14ac:dyDescent="0.35">
      <c r="A30" t="s">
        <v>27</v>
      </c>
      <c r="B30" s="3">
        <v>2.4730455662233775</v>
      </c>
      <c r="C30" s="3">
        <v>6.2979495241776151</v>
      </c>
      <c r="D30" s="3">
        <v>6.0858545949756246</v>
      </c>
      <c r="E30" s="3">
        <v>0</v>
      </c>
      <c r="F30" s="3">
        <v>8.0755087562350063</v>
      </c>
      <c r="G30" s="3">
        <v>12.845430559235803</v>
      </c>
      <c r="H30" s="8">
        <v>2.4730455662233775</v>
      </c>
      <c r="I30" s="8">
        <v>14.373458280412622</v>
      </c>
      <c r="J30" s="8">
        <v>18.931285154211427</v>
      </c>
    </row>
    <row r="31" spans="1:10" x14ac:dyDescent="0.35">
      <c r="A31" t="s">
        <v>28</v>
      </c>
      <c r="B31" s="3">
        <v>4.8159164598162238</v>
      </c>
      <c r="C31" s="3">
        <v>6.4376483184910729</v>
      </c>
      <c r="D31" s="3">
        <v>6.4341278578313545</v>
      </c>
      <c r="E31" s="3">
        <v>0</v>
      </c>
      <c r="F31" s="3">
        <v>7.1545032586550068</v>
      </c>
      <c r="G31" s="3">
        <v>10.512715984650592</v>
      </c>
      <c r="H31" s="8">
        <v>4.8159164598162238</v>
      </c>
      <c r="I31" s="8">
        <v>13.592151577146081</v>
      </c>
      <c r="J31" s="8">
        <v>16.946843842481947</v>
      </c>
    </row>
    <row r="32" spans="1:10" x14ac:dyDescent="0.35">
      <c r="A32" t="s">
        <v>29</v>
      </c>
      <c r="B32" s="3">
        <v>12.920259078445698</v>
      </c>
      <c r="C32" s="3">
        <v>15.917722374831463</v>
      </c>
      <c r="D32" s="3">
        <v>19.794578938796668</v>
      </c>
      <c r="E32" s="3">
        <v>0.65189065656343048</v>
      </c>
      <c r="F32" s="3">
        <v>26.819887037558036</v>
      </c>
      <c r="G32" s="3">
        <v>24.184256416460755</v>
      </c>
      <c r="H32" s="8">
        <v>13.572149735009129</v>
      </c>
      <c r="I32" s="8">
        <v>42.737609412389503</v>
      </c>
      <c r="J32" s="8">
        <v>43.978835355257424</v>
      </c>
    </row>
    <row r="33" spans="1:10" x14ac:dyDescent="0.35">
      <c r="A33" t="s">
        <v>30</v>
      </c>
      <c r="B33" s="3">
        <v>52.839892414260113</v>
      </c>
      <c r="C33" s="3">
        <v>72.905163459567675</v>
      </c>
      <c r="D33" s="3">
        <v>60.383936189147697</v>
      </c>
      <c r="E33" s="3">
        <v>0</v>
      </c>
      <c r="F33" s="3">
        <v>49.136103919964881</v>
      </c>
      <c r="G33" s="3">
        <v>56.818910790883159</v>
      </c>
      <c r="H33" s="8">
        <v>52.839892414260113</v>
      </c>
      <c r="I33" s="8">
        <v>122.04126737953257</v>
      </c>
      <c r="J33" s="8">
        <v>117.20284698003086</v>
      </c>
    </row>
    <row r="34" spans="1:10" x14ac:dyDescent="0.35">
      <c r="A34" t="s">
        <v>31</v>
      </c>
      <c r="B34" s="3">
        <v>5.5497185519677856</v>
      </c>
      <c r="C34" s="3">
        <v>6.6605767149290012</v>
      </c>
      <c r="D34" s="3">
        <v>12.362024638000094</v>
      </c>
      <c r="E34" s="3">
        <v>2.099658039284515</v>
      </c>
      <c r="F34" s="3">
        <v>25.972782615996739</v>
      </c>
      <c r="G34" s="3">
        <v>42.24648380749376</v>
      </c>
      <c r="H34" s="8">
        <v>7.6493765912523006</v>
      </c>
      <c r="I34" s="8">
        <v>32.633359330925742</v>
      </c>
      <c r="J34" s="8">
        <v>54.608508445493854</v>
      </c>
    </row>
    <row r="35" spans="1:10" x14ac:dyDescent="0.35">
      <c r="A35" t="s">
        <v>32</v>
      </c>
      <c r="B35" s="3">
        <v>18.952057373293837</v>
      </c>
      <c r="C35" s="3">
        <v>64.854830057441106</v>
      </c>
      <c r="D35" s="3">
        <v>72.50007161772831</v>
      </c>
      <c r="E35" s="3">
        <v>0</v>
      </c>
      <c r="F35" s="3">
        <v>39.793314199454151</v>
      </c>
      <c r="G35" s="3">
        <v>32.852091573059646</v>
      </c>
      <c r="H35" s="8">
        <v>18.952057373293837</v>
      </c>
      <c r="I35" s="8">
        <v>104.64814425689526</v>
      </c>
      <c r="J35" s="8">
        <v>105.35216319078796</v>
      </c>
    </row>
    <row r="36" spans="1:10" x14ac:dyDescent="0.35">
      <c r="A36" t="s">
        <v>33</v>
      </c>
      <c r="B36" s="3">
        <v>2.9362255771784778</v>
      </c>
      <c r="C36" s="3">
        <v>2.731976858986676</v>
      </c>
      <c r="D36" s="3">
        <v>2.3568659730003425</v>
      </c>
      <c r="E36" s="3">
        <v>3.5168230393081639</v>
      </c>
      <c r="F36" s="3">
        <v>1.5878951101600574</v>
      </c>
      <c r="G36" s="3">
        <v>2.5989823492576525</v>
      </c>
      <c r="H36" s="8">
        <v>6.4530486164866421</v>
      </c>
      <c r="I36" s="8">
        <v>4.3198719691467335</v>
      </c>
      <c r="J36" s="8">
        <v>4.955848322257995</v>
      </c>
    </row>
    <row r="37" spans="1:10" x14ac:dyDescent="0.35">
      <c r="A37" t="s">
        <v>34</v>
      </c>
      <c r="B37" s="3">
        <v>14.994266155054937</v>
      </c>
      <c r="C37" s="3">
        <v>22.251085637910265</v>
      </c>
      <c r="D37" s="3">
        <v>22.692099302180001</v>
      </c>
      <c r="E37" s="3">
        <v>18.948340028845195</v>
      </c>
      <c r="F37" s="3">
        <v>26.795572759104093</v>
      </c>
      <c r="G37" s="3">
        <v>13.891883050958661</v>
      </c>
      <c r="H37" s="8">
        <v>33.942606183900139</v>
      </c>
      <c r="I37" s="8">
        <v>49.046658397014362</v>
      </c>
      <c r="J37" s="8">
        <v>36.583982353138666</v>
      </c>
    </row>
    <row r="38" spans="1:10" x14ac:dyDescent="0.35">
      <c r="A38" t="s">
        <v>35</v>
      </c>
      <c r="B38" s="3">
        <v>10.441973743822771</v>
      </c>
      <c r="C38" s="3">
        <v>14.187099506595519</v>
      </c>
      <c r="D38" s="3">
        <v>13.401063461919398</v>
      </c>
      <c r="E38" s="3">
        <v>2.4069145827721221</v>
      </c>
      <c r="F38" s="3">
        <v>39.643124106398872</v>
      </c>
      <c r="G38" s="3">
        <v>46.22297905575703</v>
      </c>
      <c r="H38" s="8">
        <v>12.848888326594892</v>
      </c>
      <c r="I38" s="8">
        <v>53.830223612994395</v>
      </c>
      <c r="J38" s="8">
        <v>59.624042517676429</v>
      </c>
    </row>
    <row r="39" spans="1:10" x14ac:dyDescent="0.35">
      <c r="A39" t="s">
        <v>36</v>
      </c>
      <c r="B39" s="3">
        <v>27.663516672946013</v>
      </c>
      <c r="C39" s="3">
        <v>26.449769096827922</v>
      </c>
      <c r="D39" s="3">
        <v>26.971849712707133</v>
      </c>
      <c r="E39" s="3">
        <v>1.4451090799300157</v>
      </c>
      <c r="F39" s="3">
        <v>52.284427284427281</v>
      </c>
      <c r="G39" s="3">
        <v>36.42137080117601</v>
      </c>
      <c r="H39" s="8">
        <v>29.10862575287603</v>
      </c>
      <c r="I39" s="8">
        <v>78.734196381255202</v>
      </c>
      <c r="J39" s="8">
        <v>63.393220513883151</v>
      </c>
    </row>
    <row r="40" spans="1:10" x14ac:dyDescent="0.35">
      <c r="A40" t="s">
        <v>37</v>
      </c>
      <c r="B40" s="3">
        <v>4.5573683566159886</v>
      </c>
      <c r="C40" s="3">
        <v>7.0151292697761525</v>
      </c>
      <c r="D40" s="3">
        <v>6.5171760234407232</v>
      </c>
      <c r="E40" s="3">
        <v>3.62765344332312</v>
      </c>
      <c r="F40" s="3">
        <v>21.98985560686101</v>
      </c>
      <c r="G40" s="3">
        <v>17.279709823939974</v>
      </c>
      <c r="H40" s="8">
        <v>8.1850217999391077</v>
      </c>
      <c r="I40" s="8">
        <v>29.00498487663717</v>
      </c>
      <c r="J40" s="8">
        <v>23.796885847380697</v>
      </c>
    </row>
    <row r="41" spans="1:10" x14ac:dyDescent="0.35">
      <c r="A41" t="s">
        <v>38</v>
      </c>
      <c r="B41" s="3">
        <v>54.800752734867757</v>
      </c>
      <c r="C41" s="3">
        <v>195.92438482652926</v>
      </c>
      <c r="D41" s="3">
        <v>242.01401730513936</v>
      </c>
      <c r="E41" s="3">
        <v>0</v>
      </c>
      <c r="F41" s="3">
        <v>50.726957061522185</v>
      </c>
      <c r="G41" s="3">
        <v>54.452272032846714</v>
      </c>
      <c r="H41" s="8">
        <v>54.800752734867757</v>
      </c>
      <c r="I41" s="8">
        <v>246.65134188805143</v>
      </c>
      <c r="J41" s="8">
        <v>296.4662893379861</v>
      </c>
    </row>
    <row r="42" spans="1:10" x14ac:dyDescent="0.35">
      <c r="A42" t="s">
        <v>39</v>
      </c>
      <c r="B42" s="3">
        <v>11.906918137676456</v>
      </c>
      <c r="C42" s="3">
        <v>9.3114595445704076</v>
      </c>
      <c r="D42" s="3">
        <v>23.534133501916237</v>
      </c>
      <c r="E42" s="3">
        <v>6.5428464914254931</v>
      </c>
      <c r="F42" s="3">
        <v>2.747643800037169</v>
      </c>
      <c r="G42" s="3">
        <v>21.943167738064904</v>
      </c>
      <c r="H42" s="8">
        <v>18.449764629101949</v>
      </c>
      <c r="I42" s="8">
        <v>12.059103344607577</v>
      </c>
      <c r="J42" s="8">
        <v>45.477301239981145</v>
      </c>
    </row>
    <row r="43" spans="1:10" x14ac:dyDescent="0.35">
      <c r="A43" t="s">
        <v>40</v>
      </c>
      <c r="B43" s="3">
        <v>16.720429532704841</v>
      </c>
      <c r="C43" s="3">
        <v>61.781000175533016</v>
      </c>
      <c r="D43" s="3">
        <v>78.187272031248852</v>
      </c>
      <c r="E43" s="3">
        <v>4.3563068051715703</v>
      </c>
      <c r="F43" s="3">
        <v>36.776829849021532</v>
      </c>
      <c r="G43" s="3">
        <v>31.953268649492806</v>
      </c>
      <c r="H43" s="8">
        <v>21.076736337876412</v>
      </c>
      <c r="I43" s="8">
        <v>98.557830024554548</v>
      </c>
      <c r="J43" s="8">
        <v>110.14054068074168</v>
      </c>
    </row>
    <row r="44" spans="1:10" x14ac:dyDescent="0.35">
      <c r="A44" t="s">
        <v>41</v>
      </c>
      <c r="B44" s="3">
        <v>0</v>
      </c>
      <c r="C44" s="3">
        <v>6.1691166210748785</v>
      </c>
      <c r="D44" s="3">
        <v>7.8959074273939986</v>
      </c>
      <c r="E44" s="3">
        <v>0</v>
      </c>
      <c r="F44" s="3">
        <v>9.7409129744276033</v>
      </c>
      <c r="G44" s="3">
        <v>11.808674908975751</v>
      </c>
      <c r="H44" s="8">
        <v>0</v>
      </c>
      <c r="I44" s="8">
        <v>15.910029595502481</v>
      </c>
      <c r="J44" s="8">
        <v>19.70458233636975</v>
      </c>
    </row>
    <row r="45" spans="1:10" x14ac:dyDescent="0.35">
      <c r="A45" t="s">
        <v>42</v>
      </c>
      <c r="B45" s="3">
        <v>4.7513236254288476</v>
      </c>
      <c r="C45" s="3">
        <v>6.7766740907794407</v>
      </c>
      <c r="D45" s="3">
        <v>7.605590561668536</v>
      </c>
      <c r="E45" s="3">
        <v>3.0521599889356406</v>
      </c>
      <c r="F45" s="3">
        <v>11.995776998980709</v>
      </c>
      <c r="G45" s="3">
        <v>21.077761406905779</v>
      </c>
      <c r="H45" s="8">
        <v>7.8034836143644881</v>
      </c>
      <c r="I45" s="8">
        <v>18.77245108976015</v>
      </c>
      <c r="J45" s="8">
        <v>28.683351968574311</v>
      </c>
    </row>
    <row r="46" spans="1:10" x14ac:dyDescent="0.35">
      <c r="A46" t="s">
        <v>43</v>
      </c>
      <c r="B46" s="3">
        <v>3.5630712154083408</v>
      </c>
      <c r="C46" s="3">
        <v>5.1412514405011063</v>
      </c>
      <c r="D46" s="3">
        <v>6.3003257177536511</v>
      </c>
      <c r="E46" s="3">
        <v>0.89780388445123283</v>
      </c>
      <c r="F46" s="3">
        <v>27.897223189840187</v>
      </c>
      <c r="G46" s="3">
        <v>23.934903744456289</v>
      </c>
      <c r="H46" s="8">
        <v>4.4608750998595736</v>
      </c>
      <c r="I46" s="8">
        <v>33.038474630341284</v>
      </c>
      <c r="J46" s="8">
        <v>30.235229462209936</v>
      </c>
    </row>
    <row r="47" spans="1:10" x14ac:dyDescent="0.35">
      <c r="A47" t="s">
        <v>44</v>
      </c>
      <c r="B47" s="3">
        <v>14.740498339124736</v>
      </c>
      <c r="C47" s="3">
        <v>18.773758505730214</v>
      </c>
      <c r="D47" s="3">
        <v>25.677639566139653</v>
      </c>
      <c r="E47" s="3">
        <v>58.880912819428268</v>
      </c>
      <c r="F47" s="3">
        <v>45.975234006565493</v>
      </c>
      <c r="G47" s="3">
        <v>45.262166963612259</v>
      </c>
      <c r="H47" s="8">
        <v>73.621411158553016</v>
      </c>
      <c r="I47" s="8">
        <v>64.7489925122957</v>
      </c>
      <c r="J47" s="8">
        <v>70.939806529751905</v>
      </c>
    </row>
    <row r="48" spans="1:10" x14ac:dyDescent="0.35">
      <c r="A48" t="s">
        <v>45</v>
      </c>
      <c r="B48" s="3">
        <v>2.8080123001178361</v>
      </c>
      <c r="C48" s="3">
        <v>17.258457426269619</v>
      </c>
      <c r="D48" s="3">
        <v>34.960104008082851</v>
      </c>
      <c r="E48" s="3">
        <v>3.5799203096873948</v>
      </c>
      <c r="F48" s="3">
        <v>18.153842927853422</v>
      </c>
      <c r="G48" s="3">
        <v>20.979369324854559</v>
      </c>
      <c r="H48" s="8">
        <v>6.3879326098052314</v>
      </c>
      <c r="I48" s="8">
        <v>35.412300354123047</v>
      </c>
      <c r="J48" s="8">
        <v>55.939473332937403</v>
      </c>
    </row>
    <row r="49" spans="1:10" x14ac:dyDescent="0.35">
      <c r="A49" t="s">
        <v>46</v>
      </c>
      <c r="B49" s="3">
        <v>15.601137891580859</v>
      </c>
      <c r="C49" s="3">
        <v>23.66965484875815</v>
      </c>
      <c r="D49" s="3">
        <v>38.14728630825762</v>
      </c>
      <c r="E49" s="3">
        <v>11.673558066785303</v>
      </c>
      <c r="F49" s="3">
        <v>24.478839748437824</v>
      </c>
      <c r="G49" s="3">
        <v>25.895700272536768</v>
      </c>
      <c r="H49" s="8">
        <v>27.274695958366152</v>
      </c>
      <c r="I49" s="8">
        <v>48.14849459719597</v>
      </c>
      <c r="J49" s="8">
        <v>64.042986580794391</v>
      </c>
    </row>
    <row r="50" spans="1:10" x14ac:dyDescent="0.35">
      <c r="A50" t="s">
        <v>71</v>
      </c>
      <c r="B50" s="3">
        <v>11.13650671070585</v>
      </c>
      <c r="C50" s="3">
        <v>23.576970255075228</v>
      </c>
      <c r="D50" s="3">
        <v>26.089625326181718</v>
      </c>
      <c r="E50" s="3">
        <v>8.3497580937222491</v>
      </c>
      <c r="F50" s="3">
        <v>26.690656580821251</v>
      </c>
      <c r="G50" s="3">
        <v>27.338421108534128</v>
      </c>
      <c r="H50" s="8">
        <v>19.486264804428103</v>
      </c>
      <c r="I50" s="8">
        <v>50.267626835896493</v>
      </c>
      <c r="J50" s="8">
        <v>53.428046434715839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8950D-5E80-4085-AB84-B5625FC62926}">
  <dimension ref="A1:O56"/>
  <sheetViews>
    <sheetView topLeftCell="H46" workbookViewId="0">
      <selection activeCell="N58" sqref="N58"/>
    </sheetView>
  </sheetViews>
  <sheetFormatPr defaultColWidth="8.81640625" defaultRowHeight="14.5" x14ac:dyDescent="0.35"/>
  <cols>
    <col min="1" max="1" width="31.453125" style="41" customWidth="1"/>
    <col min="2" max="2" width="19.54296875" customWidth="1"/>
    <col min="3" max="3" width="18.81640625" customWidth="1"/>
    <col min="4" max="4" width="10.81640625" customWidth="1"/>
    <col min="5" max="5" width="17.81640625" customWidth="1"/>
    <col min="6" max="6" width="14.453125" customWidth="1"/>
    <col min="7" max="7" width="15.453125" customWidth="1"/>
    <col min="8" max="8" width="14.81640625" customWidth="1"/>
    <col min="9" max="9" width="24" style="43" customWidth="1"/>
    <col min="10" max="10" width="13.453125" customWidth="1"/>
    <col min="11" max="11" width="12.81640625" customWidth="1"/>
    <col min="12" max="12" width="10.453125" customWidth="1"/>
    <col min="13" max="13" width="10.1796875" customWidth="1"/>
    <col min="14" max="14" width="69.453125" style="26" bestFit="1" customWidth="1"/>
    <col min="15" max="15" width="8.81640625" style="2"/>
  </cols>
  <sheetData>
    <row r="1" spans="1:15" s="17" customFormat="1" ht="56" x14ac:dyDescent="0.35">
      <c r="A1" s="11" t="s">
        <v>0</v>
      </c>
      <c r="B1" s="12" t="s">
        <v>48</v>
      </c>
      <c r="C1" s="12" t="s">
        <v>49</v>
      </c>
      <c r="D1" s="12" t="s">
        <v>50</v>
      </c>
      <c r="E1" s="12" t="s">
        <v>51</v>
      </c>
      <c r="F1" s="12" t="s">
        <v>52</v>
      </c>
      <c r="G1" s="12" t="s">
        <v>53</v>
      </c>
      <c r="H1" s="12" t="s">
        <v>54</v>
      </c>
      <c r="I1" s="13" t="s">
        <v>55</v>
      </c>
      <c r="J1" s="12" t="s">
        <v>56</v>
      </c>
      <c r="K1" s="12" t="s">
        <v>57</v>
      </c>
      <c r="L1" s="12" t="s">
        <v>58</v>
      </c>
      <c r="M1" s="14" t="s">
        <v>59</v>
      </c>
      <c r="N1" s="15" t="s">
        <v>75</v>
      </c>
      <c r="O1" s="16"/>
    </row>
    <row r="2" spans="1:15" x14ac:dyDescent="0.35">
      <c r="A2" s="18" t="s">
        <v>1</v>
      </c>
      <c r="B2" s="19">
        <f>+'[1]G_Alignment of education'!$H$25</f>
        <v>0</v>
      </c>
      <c r="C2" s="20"/>
      <c r="D2" s="20"/>
      <c r="E2" s="20"/>
      <c r="F2" s="20"/>
      <c r="G2" s="20"/>
      <c r="H2" s="20"/>
      <c r="I2" s="21"/>
      <c r="J2" s="20"/>
      <c r="K2" s="20"/>
      <c r="L2" s="20"/>
      <c r="M2" s="22">
        <f t="shared" ref="M2:M48" si="0">SUM(B2:L2)</f>
        <v>0</v>
      </c>
      <c r="N2" s="23" t="s">
        <v>76</v>
      </c>
    </row>
    <row r="3" spans="1:15" x14ac:dyDescent="0.35">
      <c r="A3" s="18" t="s">
        <v>2</v>
      </c>
      <c r="B3" s="20">
        <v>611</v>
      </c>
      <c r="C3" s="20"/>
      <c r="D3" s="20">
        <v>145</v>
      </c>
      <c r="E3" s="20"/>
      <c r="F3" s="20">
        <v>529</v>
      </c>
      <c r="G3" s="20"/>
      <c r="H3" s="20"/>
      <c r="I3" s="21">
        <v>2950</v>
      </c>
      <c r="J3" s="20"/>
      <c r="K3" s="20"/>
      <c r="L3" s="20"/>
      <c r="M3" s="22">
        <f t="shared" si="0"/>
        <v>4235</v>
      </c>
      <c r="N3" s="23" t="s">
        <v>77</v>
      </c>
    </row>
    <row r="4" spans="1:15" x14ac:dyDescent="0.35">
      <c r="A4" s="18" t="s">
        <v>3</v>
      </c>
      <c r="B4" s="20">
        <v>780</v>
      </c>
      <c r="C4" s="20">
        <v>385</v>
      </c>
      <c r="D4" s="20"/>
      <c r="E4" s="20"/>
      <c r="F4" s="20">
        <v>143</v>
      </c>
      <c r="G4" s="20"/>
      <c r="H4" s="20">
        <v>247</v>
      </c>
      <c r="I4" s="21">
        <v>257</v>
      </c>
      <c r="J4" s="20">
        <v>1113</v>
      </c>
      <c r="K4" s="20"/>
      <c r="L4" s="20">
        <v>1194</v>
      </c>
      <c r="M4" s="22">
        <f t="shared" si="0"/>
        <v>4119</v>
      </c>
      <c r="N4" s="23" t="s">
        <v>78</v>
      </c>
    </row>
    <row r="5" spans="1:15" x14ac:dyDescent="0.35">
      <c r="A5" s="18" t="s">
        <v>4</v>
      </c>
      <c r="B5" s="20">
        <v>60</v>
      </c>
      <c r="C5" s="20">
        <v>48</v>
      </c>
      <c r="D5" s="20">
        <v>7</v>
      </c>
      <c r="E5" s="20">
        <v>10</v>
      </c>
      <c r="F5" s="20">
        <v>95</v>
      </c>
      <c r="G5" s="20">
        <v>60</v>
      </c>
      <c r="H5" s="20">
        <v>40</v>
      </c>
      <c r="I5" s="21">
        <v>490</v>
      </c>
      <c r="J5" s="20">
        <v>189</v>
      </c>
      <c r="K5" s="20">
        <v>30</v>
      </c>
      <c r="L5" s="20">
        <v>597</v>
      </c>
      <c r="M5" s="22">
        <f t="shared" si="0"/>
        <v>1626</v>
      </c>
      <c r="N5" s="23" t="s">
        <v>79</v>
      </c>
    </row>
    <row r="6" spans="1:15" x14ac:dyDescent="0.35">
      <c r="A6" s="18" t="s">
        <v>5</v>
      </c>
      <c r="B6" s="19">
        <v>1492</v>
      </c>
      <c r="C6" s="20">
        <v>385</v>
      </c>
      <c r="D6" s="20">
        <v>62</v>
      </c>
      <c r="E6" s="20"/>
      <c r="F6" s="20">
        <v>594</v>
      </c>
      <c r="G6" s="20"/>
      <c r="H6" s="20">
        <v>1170</v>
      </c>
      <c r="I6" s="21">
        <v>1170</v>
      </c>
      <c r="J6" s="20"/>
      <c r="K6" s="20"/>
      <c r="L6" s="20"/>
      <c r="M6" s="22">
        <f t="shared" si="0"/>
        <v>4873</v>
      </c>
      <c r="N6" s="23" t="s">
        <v>76</v>
      </c>
    </row>
    <row r="7" spans="1:15" x14ac:dyDescent="0.35">
      <c r="A7" s="18" t="s">
        <v>6</v>
      </c>
      <c r="B7" s="20">
        <v>325</v>
      </c>
      <c r="C7" s="20">
        <v>240</v>
      </c>
      <c r="D7" s="20"/>
      <c r="E7" s="20"/>
      <c r="F7" s="20">
        <v>39</v>
      </c>
      <c r="G7" s="20"/>
      <c r="H7" s="20">
        <v>196</v>
      </c>
      <c r="I7" s="21">
        <v>1467</v>
      </c>
      <c r="J7" s="20">
        <v>322</v>
      </c>
      <c r="K7" s="20"/>
      <c r="L7" s="20">
        <v>194</v>
      </c>
      <c r="M7" s="22">
        <f t="shared" si="0"/>
        <v>2783</v>
      </c>
      <c r="N7" s="23" t="s">
        <v>80</v>
      </c>
    </row>
    <row r="8" spans="1:15" x14ac:dyDescent="0.35">
      <c r="A8" s="18" t="s">
        <v>7</v>
      </c>
      <c r="B8" s="20">
        <v>800</v>
      </c>
      <c r="C8" s="20"/>
      <c r="D8" s="20"/>
      <c r="E8" s="20"/>
      <c r="F8" s="20"/>
      <c r="G8" s="20"/>
      <c r="H8" s="20"/>
      <c r="I8" s="21">
        <v>2660</v>
      </c>
      <c r="J8" s="20">
        <v>800</v>
      </c>
      <c r="K8" s="20"/>
      <c r="L8" s="20"/>
      <c r="M8" s="22">
        <f t="shared" si="0"/>
        <v>4260</v>
      </c>
      <c r="N8" s="23" t="s">
        <v>76</v>
      </c>
    </row>
    <row r="9" spans="1:15" x14ac:dyDescent="0.35">
      <c r="A9" s="18" t="s">
        <v>60</v>
      </c>
      <c r="B9" s="20"/>
      <c r="C9" s="20"/>
      <c r="D9" s="20"/>
      <c r="E9" s="20">
        <v>7</v>
      </c>
      <c r="F9" s="20"/>
      <c r="G9" s="20"/>
      <c r="H9" s="20"/>
      <c r="I9" s="21"/>
      <c r="J9" s="20"/>
      <c r="K9" s="20"/>
      <c r="L9" s="20">
        <v>83</v>
      </c>
      <c r="M9" s="22">
        <f t="shared" si="0"/>
        <v>90</v>
      </c>
      <c r="N9" s="23" t="s">
        <v>76</v>
      </c>
    </row>
    <row r="10" spans="1:15" x14ac:dyDescent="0.35">
      <c r="A10" s="18" t="s">
        <v>8</v>
      </c>
      <c r="B10" s="20">
        <v>18</v>
      </c>
      <c r="C10" s="20"/>
      <c r="D10" s="20"/>
      <c r="E10" s="20"/>
      <c r="F10" s="20"/>
      <c r="G10" s="20"/>
      <c r="H10" s="20"/>
      <c r="I10" s="21"/>
      <c r="J10" s="20"/>
      <c r="K10" s="20"/>
      <c r="L10" s="20"/>
      <c r="M10" s="22">
        <f t="shared" si="0"/>
        <v>18</v>
      </c>
      <c r="N10" s="23" t="s">
        <v>76</v>
      </c>
    </row>
    <row r="11" spans="1:15" x14ac:dyDescent="0.35">
      <c r="A11" s="18" t="s">
        <v>9</v>
      </c>
      <c r="B11" s="20">
        <v>330</v>
      </c>
      <c r="C11" s="20">
        <v>30</v>
      </c>
      <c r="D11" s="20"/>
      <c r="E11" s="20"/>
      <c r="F11" s="20">
        <v>80</v>
      </c>
      <c r="G11" s="20">
        <v>180</v>
      </c>
      <c r="H11" s="20">
        <v>2084</v>
      </c>
      <c r="I11" s="24">
        <v>2920</v>
      </c>
      <c r="J11" s="20">
        <v>220</v>
      </c>
      <c r="K11" s="20"/>
      <c r="L11" s="20"/>
      <c r="M11" s="22">
        <f t="shared" si="0"/>
        <v>5844</v>
      </c>
      <c r="N11" s="23" t="s">
        <v>76</v>
      </c>
    </row>
    <row r="12" spans="1:15" x14ac:dyDescent="0.35">
      <c r="A12" s="18" t="s">
        <v>10</v>
      </c>
      <c r="B12" s="20"/>
      <c r="C12" s="20"/>
      <c r="D12" s="20"/>
      <c r="E12" s="20"/>
      <c r="F12" s="20"/>
      <c r="G12" s="20"/>
      <c r="H12" s="20">
        <v>29</v>
      </c>
      <c r="I12" s="21">
        <v>40</v>
      </c>
      <c r="J12" s="20"/>
      <c r="K12" s="20"/>
      <c r="L12" s="20"/>
      <c r="M12" s="22">
        <f t="shared" si="0"/>
        <v>69</v>
      </c>
      <c r="N12" s="23" t="s">
        <v>81</v>
      </c>
    </row>
    <row r="13" spans="1:15" x14ac:dyDescent="0.35">
      <c r="A13" s="18" t="s">
        <v>11</v>
      </c>
      <c r="B13" s="20">
        <v>60</v>
      </c>
      <c r="C13" s="20">
        <v>315</v>
      </c>
      <c r="D13" s="20"/>
      <c r="E13" s="20">
        <v>10</v>
      </c>
      <c r="F13" s="20"/>
      <c r="G13" s="20">
        <v>5</v>
      </c>
      <c r="H13" s="20">
        <v>120</v>
      </c>
      <c r="I13" s="21">
        <v>60</v>
      </c>
      <c r="J13" s="20"/>
      <c r="K13" s="20">
        <v>50</v>
      </c>
      <c r="L13" s="20">
        <v>408</v>
      </c>
      <c r="M13" s="22">
        <f t="shared" si="0"/>
        <v>1028</v>
      </c>
      <c r="N13" s="23" t="s">
        <v>79</v>
      </c>
    </row>
    <row r="14" spans="1:15" x14ac:dyDescent="0.35">
      <c r="A14" s="18" t="s">
        <v>12</v>
      </c>
      <c r="B14" s="20">
        <v>254</v>
      </c>
      <c r="C14" s="20">
        <v>48</v>
      </c>
      <c r="D14" s="20"/>
      <c r="E14" s="20"/>
      <c r="F14" s="20"/>
      <c r="G14" s="20">
        <v>151</v>
      </c>
      <c r="H14" s="20"/>
      <c r="I14" s="21">
        <v>1007</v>
      </c>
      <c r="J14" s="20">
        <v>1106</v>
      </c>
      <c r="K14" s="20"/>
      <c r="L14" s="20">
        <v>450</v>
      </c>
      <c r="M14" s="22">
        <f t="shared" si="0"/>
        <v>3016</v>
      </c>
      <c r="N14" s="23" t="s">
        <v>76</v>
      </c>
    </row>
    <row r="15" spans="1:15" x14ac:dyDescent="0.35">
      <c r="A15" s="25" t="s">
        <v>82</v>
      </c>
      <c r="B15" s="20">
        <v>6020</v>
      </c>
      <c r="C15" s="20"/>
      <c r="D15" s="20">
        <v>66</v>
      </c>
      <c r="E15" s="20"/>
      <c r="F15" s="20">
        <v>178</v>
      </c>
      <c r="G15" s="20">
        <v>328</v>
      </c>
      <c r="H15" s="20">
        <v>3453</v>
      </c>
      <c r="I15" s="21">
        <v>24061</v>
      </c>
      <c r="J15" s="20">
        <v>2571</v>
      </c>
      <c r="K15" s="20"/>
      <c r="L15" s="20">
        <v>3151</v>
      </c>
      <c r="M15" s="22">
        <v>39828</v>
      </c>
      <c r="N15" s="23" t="s">
        <v>76</v>
      </c>
    </row>
    <row r="16" spans="1:15" x14ac:dyDescent="0.35">
      <c r="A16" s="18" t="s">
        <v>14</v>
      </c>
      <c r="B16" s="20">
        <v>767</v>
      </c>
      <c r="C16" s="20"/>
      <c r="D16" s="20"/>
      <c r="E16" s="20"/>
      <c r="F16" s="20"/>
      <c r="G16" s="20"/>
      <c r="H16" s="20">
        <v>492</v>
      </c>
      <c r="I16" s="21">
        <v>962</v>
      </c>
      <c r="J16" s="20">
        <v>27</v>
      </c>
      <c r="K16" s="20"/>
      <c r="L16" s="20">
        <v>1304</v>
      </c>
      <c r="M16" s="22">
        <f t="shared" si="0"/>
        <v>3552</v>
      </c>
      <c r="N16" s="23" t="s">
        <v>76</v>
      </c>
    </row>
    <row r="17" spans="1:15" x14ac:dyDescent="0.35">
      <c r="A17" s="18" t="s">
        <v>15</v>
      </c>
      <c r="B17" s="20"/>
      <c r="C17" s="20"/>
      <c r="D17" s="20"/>
      <c r="E17" s="20"/>
      <c r="F17" s="20"/>
      <c r="G17" s="20"/>
      <c r="H17" s="20"/>
      <c r="I17" s="21">
        <v>400</v>
      </c>
      <c r="J17" s="20"/>
      <c r="K17" s="20"/>
      <c r="L17" s="20">
        <v>1023</v>
      </c>
      <c r="M17" s="22">
        <f t="shared" si="0"/>
        <v>1423</v>
      </c>
      <c r="N17" s="23" t="s">
        <v>83</v>
      </c>
    </row>
    <row r="18" spans="1:15" x14ac:dyDescent="0.35">
      <c r="A18" s="18" t="s">
        <v>16</v>
      </c>
      <c r="B18" s="20"/>
      <c r="C18" s="20"/>
      <c r="D18" s="20"/>
      <c r="E18" s="20"/>
      <c r="F18" s="20">
        <v>44</v>
      </c>
      <c r="G18" s="20">
        <v>30</v>
      </c>
      <c r="H18" s="20">
        <v>80</v>
      </c>
      <c r="I18" s="21">
        <v>160</v>
      </c>
      <c r="J18" s="20">
        <v>78</v>
      </c>
      <c r="K18" s="20"/>
      <c r="L18" s="20">
        <v>58</v>
      </c>
      <c r="M18" s="22">
        <f t="shared" si="0"/>
        <v>450</v>
      </c>
      <c r="N18" s="23" t="s">
        <v>76</v>
      </c>
    </row>
    <row r="19" spans="1:15" x14ac:dyDescent="0.35">
      <c r="A19" s="18" t="s">
        <v>17</v>
      </c>
      <c r="B19" s="19">
        <v>3114</v>
      </c>
      <c r="C19" s="20">
        <v>880</v>
      </c>
      <c r="D19" s="20">
        <v>189</v>
      </c>
      <c r="E19" s="20">
        <v>64</v>
      </c>
      <c r="F19" s="20">
        <v>699</v>
      </c>
      <c r="G19" s="20">
        <v>2878</v>
      </c>
      <c r="H19" s="20">
        <v>2440</v>
      </c>
      <c r="I19" s="21">
        <v>6298</v>
      </c>
      <c r="J19" s="20">
        <v>1220</v>
      </c>
      <c r="K19" s="20">
        <v>1613</v>
      </c>
      <c r="L19" s="20">
        <v>3672</v>
      </c>
      <c r="M19" s="22">
        <f t="shared" si="0"/>
        <v>23067</v>
      </c>
      <c r="N19" s="26" t="s">
        <v>84</v>
      </c>
    </row>
    <row r="20" spans="1:15" x14ac:dyDescent="0.35">
      <c r="A20" s="18" t="s">
        <v>18</v>
      </c>
      <c r="B20" s="20">
        <v>46</v>
      </c>
      <c r="C20" s="20">
        <v>16</v>
      </c>
      <c r="D20" s="20"/>
      <c r="E20" s="20"/>
      <c r="F20" s="20">
        <v>2</v>
      </c>
      <c r="G20" s="20"/>
      <c r="H20" s="20">
        <v>34</v>
      </c>
      <c r="I20" s="21">
        <v>95</v>
      </c>
      <c r="J20" s="20">
        <v>6</v>
      </c>
      <c r="K20" s="20"/>
      <c r="L20" s="20"/>
      <c r="M20" s="22">
        <f t="shared" si="0"/>
        <v>199</v>
      </c>
      <c r="N20" s="23" t="s">
        <v>76</v>
      </c>
    </row>
    <row r="21" spans="1:15" x14ac:dyDescent="0.35">
      <c r="A21" s="18" t="s">
        <v>19</v>
      </c>
      <c r="B21" s="20">
        <v>23</v>
      </c>
      <c r="C21" s="20"/>
      <c r="D21" s="20"/>
      <c r="E21" s="20"/>
      <c r="F21" s="20"/>
      <c r="G21" s="20"/>
      <c r="H21" s="20"/>
      <c r="I21" s="21">
        <v>137</v>
      </c>
      <c r="J21" s="20">
        <v>6</v>
      </c>
      <c r="K21" s="20"/>
      <c r="L21" s="20"/>
      <c r="M21" s="22">
        <f t="shared" si="0"/>
        <v>166</v>
      </c>
      <c r="N21" s="23" t="s">
        <v>76</v>
      </c>
    </row>
    <row r="22" spans="1:15" x14ac:dyDescent="0.35">
      <c r="A22" s="18" t="s">
        <v>20</v>
      </c>
      <c r="B22" s="19">
        <v>1566</v>
      </c>
      <c r="C22" s="20"/>
      <c r="D22" s="20"/>
      <c r="E22" s="20"/>
      <c r="F22" s="20">
        <v>343</v>
      </c>
      <c r="G22" s="20"/>
      <c r="H22" s="20">
        <v>4827</v>
      </c>
      <c r="I22" s="24">
        <v>21271</v>
      </c>
      <c r="J22" s="20">
        <v>396</v>
      </c>
      <c r="K22" s="20"/>
      <c r="L22" s="20"/>
      <c r="M22" s="22">
        <f t="shared" si="0"/>
        <v>28403</v>
      </c>
      <c r="N22" s="26" t="s">
        <v>85</v>
      </c>
    </row>
    <row r="23" spans="1:15" x14ac:dyDescent="0.35">
      <c r="A23" s="18" t="s">
        <v>21</v>
      </c>
      <c r="B23" s="20">
        <v>767</v>
      </c>
      <c r="C23" s="20">
        <v>74</v>
      </c>
      <c r="D23" s="20"/>
      <c r="E23" s="20"/>
      <c r="F23" s="20">
        <v>113</v>
      </c>
      <c r="G23" s="20">
        <v>34</v>
      </c>
      <c r="H23" s="20">
        <v>492</v>
      </c>
      <c r="I23" s="21">
        <v>964</v>
      </c>
      <c r="J23" s="20">
        <v>27</v>
      </c>
      <c r="K23" s="20"/>
      <c r="L23" s="20">
        <v>1304</v>
      </c>
      <c r="M23" s="22">
        <f t="shared" si="0"/>
        <v>3775</v>
      </c>
      <c r="N23" s="23" t="s">
        <v>76</v>
      </c>
    </row>
    <row r="24" spans="1:15" x14ac:dyDescent="0.35">
      <c r="A24" s="18" t="s">
        <v>22</v>
      </c>
      <c r="B24" s="20"/>
      <c r="C24" s="20"/>
      <c r="D24" s="20"/>
      <c r="E24" s="20"/>
      <c r="F24" s="20"/>
      <c r="G24" s="20"/>
      <c r="H24" s="20"/>
      <c r="I24" s="21"/>
      <c r="J24" s="20">
        <v>23</v>
      </c>
      <c r="K24" s="20"/>
      <c r="L24" s="20">
        <v>489</v>
      </c>
      <c r="M24" s="22">
        <f t="shared" si="0"/>
        <v>512</v>
      </c>
      <c r="N24" s="23" t="s">
        <v>76</v>
      </c>
    </row>
    <row r="25" spans="1:15" x14ac:dyDescent="0.35">
      <c r="A25" s="18" t="s">
        <v>23</v>
      </c>
      <c r="B25" s="20">
        <v>558</v>
      </c>
      <c r="C25" s="20"/>
      <c r="D25" s="20">
        <v>36</v>
      </c>
      <c r="E25" s="20"/>
      <c r="F25" s="20">
        <v>379</v>
      </c>
      <c r="G25" s="20">
        <v>20</v>
      </c>
      <c r="H25" s="20"/>
      <c r="I25" s="21">
        <v>1070</v>
      </c>
      <c r="J25" s="20">
        <v>519</v>
      </c>
      <c r="K25" s="20"/>
      <c r="L25" s="20">
        <v>366</v>
      </c>
      <c r="M25" s="22">
        <f t="shared" si="0"/>
        <v>2948</v>
      </c>
      <c r="N25" s="23" t="s">
        <v>86</v>
      </c>
    </row>
    <row r="26" spans="1:15" s="27" customFormat="1" x14ac:dyDescent="0.35">
      <c r="A26" s="18" t="s">
        <v>24</v>
      </c>
      <c r="B26" s="20">
        <v>8</v>
      </c>
      <c r="C26" s="20">
        <v>22</v>
      </c>
      <c r="D26" s="20">
        <v>8</v>
      </c>
      <c r="E26" s="20"/>
      <c r="F26" s="27">
        <v>33</v>
      </c>
      <c r="G26" s="20">
        <v>20</v>
      </c>
      <c r="H26" s="20">
        <v>69</v>
      </c>
      <c r="I26" s="21">
        <v>376</v>
      </c>
      <c r="J26" s="20">
        <v>20</v>
      </c>
      <c r="K26" s="20"/>
      <c r="L26" s="20"/>
      <c r="M26" s="22">
        <f t="shared" si="0"/>
        <v>556</v>
      </c>
      <c r="N26" s="23" t="s">
        <v>76</v>
      </c>
      <c r="O26" s="28"/>
    </row>
    <row r="27" spans="1:15" x14ac:dyDescent="0.35">
      <c r="A27" s="18" t="s">
        <v>25</v>
      </c>
      <c r="B27" s="20">
        <v>29</v>
      </c>
      <c r="C27" s="20">
        <v>50</v>
      </c>
      <c r="D27" s="20"/>
      <c r="E27" s="20"/>
      <c r="F27" s="20">
        <v>22</v>
      </c>
      <c r="G27" s="20"/>
      <c r="H27" s="20"/>
      <c r="I27" s="21">
        <v>63</v>
      </c>
      <c r="J27" s="20">
        <v>56</v>
      </c>
      <c r="K27" s="20"/>
      <c r="L27" s="20">
        <v>50</v>
      </c>
      <c r="M27" s="22">
        <f t="shared" si="0"/>
        <v>270</v>
      </c>
      <c r="N27" s="23" t="s">
        <v>76</v>
      </c>
    </row>
    <row r="28" spans="1:15" x14ac:dyDescent="0.35">
      <c r="A28" s="18" t="s">
        <v>26</v>
      </c>
      <c r="B28" s="20">
        <v>316</v>
      </c>
      <c r="C28" s="20">
        <v>156</v>
      </c>
      <c r="D28" s="20"/>
      <c r="E28" s="20"/>
      <c r="F28" s="20"/>
      <c r="G28" s="20"/>
      <c r="H28" s="20">
        <v>2473</v>
      </c>
      <c r="I28" s="29">
        <v>2540</v>
      </c>
      <c r="J28" s="20">
        <v>116</v>
      </c>
      <c r="K28" s="20"/>
      <c r="L28" s="20">
        <v>297</v>
      </c>
      <c r="M28" s="22">
        <f t="shared" si="0"/>
        <v>5898</v>
      </c>
      <c r="N28" s="23" t="s">
        <v>76</v>
      </c>
    </row>
    <row r="29" spans="1:15" x14ac:dyDescent="0.35">
      <c r="A29" s="18" t="s">
        <v>27</v>
      </c>
      <c r="B29" s="20">
        <v>115</v>
      </c>
      <c r="C29" s="20">
        <v>167</v>
      </c>
      <c r="D29" s="20"/>
      <c r="E29" s="20"/>
      <c r="F29" s="20">
        <v>110</v>
      </c>
      <c r="G29" s="20">
        <v>189</v>
      </c>
      <c r="H29" s="20">
        <v>1171</v>
      </c>
      <c r="I29" s="21">
        <v>386</v>
      </c>
      <c r="J29" s="27">
        <v>175</v>
      </c>
      <c r="K29" s="20"/>
      <c r="L29" s="20">
        <v>616</v>
      </c>
      <c r="M29" s="22">
        <f t="shared" si="0"/>
        <v>2929</v>
      </c>
      <c r="N29" s="23" t="s">
        <v>76</v>
      </c>
    </row>
    <row r="30" spans="1:15" x14ac:dyDescent="0.35">
      <c r="A30" s="18" t="s">
        <v>28</v>
      </c>
      <c r="B30" s="20"/>
      <c r="C30" s="20"/>
      <c r="D30" s="20"/>
      <c r="E30" s="20"/>
      <c r="F30" s="20"/>
      <c r="G30" s="20"/>
      <c r="H30" s="20"/>
      <c r="I30" s="21"/>
      <c r="J30" s="20"/>
      <c r="K30" s="20"/>
      <c r="L30" s="20"/>
      <c r="M30" s="22">
        <f t="shared" si="0"/>
        <v>0</v>
      </c>
      <c r="N30" s="23" t="s">
        <v>76</v>
      </c>
    </row>
    <row r="31" spans="1:15" x14ac:dyDescent="0.35">
      <c r="A31" s="18" t="s">
        <v>29</v>
      </c>
      <c r="B31" s="20"/>
      <c r="C31" s="20">
        <v>76</v>
      </c>
      <c r="D31" s="20"/>
      <c r="E31" s="20"/>
      <c r="F31" s="20"/>
      <c r="G31" s="20"/>
      <c r="H31" s="20"/>
      <c r="I31" s="21">
        <v>113</v>
      </c>
      <c r="J31" s="20"/>
      <c r="K31" s="20"/>
      <c r="L31" s="20">
        <v>366</v>
      </c>
      <c r="M31" s="22">
        <f t="shared" si="0"/>
        <v>555</v>
      </c>
      <c r="N31" s="23" t="s">
        <v>76</v>
      </c>
    </row>
    <row r="32" spans="1:15" x14ac:dyDescent="0.35">
      <c r="A32" s="18" t="s">
        <v>30</v>
      </c>
      <c r="B32" s="20">
        <v>432</v>
      </c>
      <c r="C32" s="20"/>
      <c r="D32" s="20"/>
      <c r="E32" s="20"/>
      <c r="F32" s="20"/>
      <c r="G32" s="20"/>
      <c r="H32" s="20">
        <v>40</v>
      </c>
      <c r="I32" s="29">
        <v>175</v>
      </c>
      <c r="J32" s="20"/>
      <c r="K32" s="20"/>
      <c r="L32" s="20">
        <v>39</v>
      </c>
      <c r="M32" s="22">
        <f t="shared" si="0"/>
        <v>686</v>
      </c>
      <c r="N32" s="26" t="s">
        <v>87</v>
      </c>
    </row>
    <row r="33" spans="1:15" x14ac:dyDescent="0.35">
      <c r="A33" s="18" t="s">
        <v>31</v>
      </c>
      <c r="B33" s="20">
        <v>819</v>
      </c>
      <c r="C33" s="20">
        <v>146</v>
      </c>
      <c r="D33" s="20">
        <v>161</v>
      </c>
      <c r="E33" s="20"/>
      <c r="F33" s="20"/>
      <c r="G33" s="20">
        <v>112</v>
      </c>
      <c r="H33" s="20">
        <v>140</v>
      </c>
      <c r="I33" s="21">
        <v>580</v>
      </c>
      <c r="J33" s="20">
        <v>248</v>
      </c>
      <c r="K33" s="20">
        <v>20</v>
      </c>
      <c r="L33" s="20"/>
      <c r="M33" s="22">
        <f t="shared" si="0"/>
        <v>2226</v>
      </c>
      <c r="N33" s="26" t="s">
        <v>88</v>
      </c>
    </row>
    <row r="34" spans="1:15" s="31" customFormat="1" x14ac:dyDescent="0.35">
      <c r="A34" s="18" t="s">
        <v>32</v>
      </c>
      <c r="B34" s="20">
        <v>475</v>
      </c>
      <c r="C34" s="20">
        <v>3</v>
      </c>
      <c r="D34" s="20"/>
      <c r="E34" s="20"/>
      <c r="F34" s="20">
        <v>247</v>
      </c>
      <c r="G34" s="20">
        <v>31</v>
      </c>
      <c r="H34" s="20">
        <v>1414</v>
      </c>
      <c r="I34" s="21">
        <v>200</v>
      </c>
      <c r="J34" s="20">
        <v>121</v>
      </c>
      <c r="K34" s="20"/>
      <c r="L34" s="20">
        <v>175</v>
      </c>
      <c r="M34" s="22">
        <f t="shared" si="0"/>
        <v>2666</v>
      </c>
      <c r="N34" s="23" t="s">
        <v>89</v>
      </c>
      <c r="O34" s="30"/>
    </row>
    <row r="35" spans="1:15" x14ac:dyDescent="0.35">
      <c r="A35" s="18" t="s">
        <v>33</v>
      </c>
      <c r="B35" s="20">
        <v>370</v>
      </c>
      <c r="C35" s="20">
        <v>14</v>
      </c>
      <c r="D35" s="20"/>
      <c r="E35" s="20"/>
      <c r="F35" s="20"/>
      <c r="G35" s="20"/>
      <c r="H35" s="20">
        <v>124</v>
      </c>
      <c r="I35" s="21">
        <v>305</v>
      </c>
      <c r="J35" s="20">
        <v>45</v>
      </c>
      <c r="K35" s="20"/>
      <c r="L35" s="20">
        <v>1891</v>
      </c>
      <c r="M35" s="22">
        <f t="shared" si="0"/>
        <v>2749</v>
      </c>
      <c r="N35" s="23" t="s">
        <v>90</v>
      </c>
    </row>
    <row r="36" spans="1:15" x14ac:dyDescent="0.35">
      <c r="A36" s="25" t="s">
        <v>34</v>
      </c>
      <c r="B36" s="19">
        <v>4340</v>
      </c>
      <c r="C36" s="20"/>
      <c r="D36" s="20">
        <v>459</v>
      </c>
      <c r="E36" s="20"/>
      <c r="F36" s="20"/>
      <c r="G36" s="20"/>
      <c r="H36" s="20">
        <v>375</v>
      </c>
      <c r="I36" s="24">
        <v>12835</v>
      </c>
      <c r="J36" s="20">
        <v>1774</v>
      </c>
      <c r="K36" s="20"/>
      <c r="L36" s="20"/>
      <c r="M36" s="22">
        <f t="shared" si="0"/>
        <v>19783</v>
      </c>
      <c r="N36" s="23" t="s">
        <v>76</v>
      </c>
    </row>
    <row r="37" spans="1:15" x14ac:dyDescent="0.35">
      <c r="A37" s="18" t="s">
        <v>35</v>
      </c>
      <c r="B37" s="20">
        <v>11</v>
      </c>
      <c r="C37" s="20"/>
      <c r="D37" s="20"/>
      <c r="E37" s="20"/>
      <c r="F37" s="20">
        <v>95</v>
      </c>
      <c r="G37" s="20"/>
      <c r="H37" s="20">
        <v>176</v>
      </c>
      <c r="I37" s="21">
        <v>355</v>
      </c>
      <c r="J37" s="20"/>
      <c r="K37" s="20"/>
      <c r="L37" s="20">
        <v>81</v>
      </c>
      <c r="M37" s="22">
        <f t="shared" si="0"/>
        <v>718</v>
      </c>
      <c r="N37" s="23" t="s">
        <v>76</v>
      </c>
    </row>
    <row r="38" spans="1:15" x14ac:dyDescent="0.35">
      <c r="A38" s="18" t="s">
        <v>36</v>
      </c>
      <c r="B38" s="20"/>
      <c r="C38" s="20"/>
      <c r="D38" s="20"/>
      <c r="E38" s="20"/>
      <c r="F38" s="20"/>
      <c r="G38" s="20"/>
      <c r="H38" s="20"/>
      <c r="I38" s="21"/>
      <c r="J38" s="20"/>
      <c r="K38" s="20"/>
      <c r="L38" s="20"/>
      <c r="M38" s="22">
        <f t="shared" si="0"/>
        <v>0</v>
      </c>
      <c r="N38" s="23" t="s">
        <v>76</v>
      </c>
    </row>
    <row r="39" spans="1:15" x14ac:dyDescent="0.35">
      <c r="A39" s="18" t="s">
        <v>37</v>
      </c>
      <c r="B39" s="20">
        <v>434</v>
      </c>
      <c r="C39" s="20">
        <v>137</v>
      </c>
      <c r="D39" s="20">
        <v>67</v>
      </c>
      <c r="E39" s="20"/>
      <c r="F39" s="20">
        <v>171</v>
      </c>
      <c r="G39" s="20"/>
      <c r="H39" s="20">
        <v>104</v>
      </c>
      <c r="I39" s="21">
        <f>288+294</f>
        <v>582</v>
      </c>
      <c r="J39" s="20">
        <v>36</v>
      </c>
      <c r="K39" s="20"/>
      <c r="L39" s="20">
        <v>710</v>
      </c>
      <c r="M39" s="22">
        <f t="shared" si="0"/>
        <v>2241</v>
      </c>
      <c r="N39" s="23" t="s">
        <v>76</v>
      </c>
    </row>
    <row r="40" spans="1:15" x14ac:dyDescent="0.35">
      <c r="A40" s="18" t="s">
        <v>38</v>
      </c>
      <c r="B40" s="20">
        <v>10</v>
      </c>
      <c r="C40" s="20"/>
      <c r="D40" s="20"/>
      <c r="E40" s="20"/>
      <c r="F40" s="20"/>
      <c r="G40" s="20">
        <v>20</v>
      </c>
      <c r="H40" s="20">
        <v>10</v>
      </c>
      <c r="I40" s="21">
        <v>40</v>
      </c>
      <c r="J40" s="20"/>
      <c r="K40" s="20"/>
      <c r="L40" s="20">
        <v>80</v>
      </c>
      <c r="M40" s="22">
        <f t="shared" si="0"/>
        <v>160</v>
      </c>
      <c r="N40" s="23" t="s">
        <v>76</v>
      </c>
    </row>
    <row r="41" spans="1:15" x14ac:dyDescent="0.35">
      <c r="A41" s="18" t="s">
        <v>39</v>
      </c>
      <c r="B41" s="20">
        <v>217</v>
      </c>
      <c r="C41" s="20"/>
      <c r="D41" s="20"/>
      <c r="E41" s="20"/>
      <c r="F41" s="20">
        <v>69</v>
      </c>
      <c r="G41" s="20">
        <v>51</v>
      </c>
      <c r="H41" s="20">
        <v>120</v>
      </c>
      <c r="I41" s="21">
        <v>1755</v>
      </c>
      <c r="J41" s="20">
        <v>90</v>
      </c>
      <c r="K41" s="20"/>
      <c r="L41" s="20">
        <v>186</v>
      </c>
      <c r="M41" s="22">
        <f t="shared" si="0"/>
        <v>2488</v>
      </c>
      <c r="N41" s="23" t="s">
        <v>76</v>
      </c>
    </row>
    <row r="42" spans="1:15" x14ac:dyDescent="0.35">
      <c r="A42" s="18" t="s">
        <v>40</v>
      </c>
      <c r="B42" s="20">
        <v>998</v>
      </c>
      <c r="C42" s="20"/>
      <c r="D42" s="20">
        <v>805</v>
      </c>
      <c r="E42" s="20"/>
      <c r="F42" s="20">
        <v>1291</v>
      </c>
      <c r="G42" s="20"/>
      <c r="H42" s="20"/>
      <c r="I42" s="21">
        <v>3154</v>
      </c>
      <c r="J42" s="20">
        <v>451</v>
      </c>
      <c r="K42" s="20"/>
      <c r="L42" s="20">
        <v>13559</v>
      </c>
      <c r="M42" s="22">
        <f t="shared" si="0"/>
        <v>20258</v>
      </c>
      <c r="N42" s="26" t="s">
        <v>91</v>
      </c>
    </row>
    <row r="43" spans="1:15" x14ac:dyDescent="0.35">
      <c r="A43" s="18" t="s">
        <v>41</v>
      </c>
      <c r="B43" s="20"/>
      <c r="C43" s="20"/>
      <c r="D43" s="20"/>
      <c r="E43" s="20"/>
      <c r="F43" s="20"/>
      <c r="G43" s="20"/>
      <c r="H43" s="20">
        <v>307</v>
      </c>
      <c r="I43" s="21">
        <v>241</v>
      </c>
      <c r="J43" s="20">
        <v>681</v>
      </c>
      <c r="K43" s="20"/>
      <c r="L43" s="20">
        <v>484</v>
      </c>
      <c r="M43" s="22">
        <f t="shared" si="0"/>
        <v>1713</v>
      </c>
      <c r="N43" s="23" t="s">
        <v>76</v>
      </c>
    </row>
    <row r="44" spans="1:15" x14ac:dyDescent="0.35">
      <c r="A44" s="18" t="s">
        <v>42</v>
      </c>
      <c r="B44" s="20">
        <v>330</v>
      </c>
      <c r="C44" s="20">
        <v>1597</v>
      </c>
      <c r="D44" s="20">
        <v>80</v>
      </c>
      <c r="E44" s="20"/>
      <c r="F44" s="20"/>
      <c r="G44" s="20">
        <v>629</v>
      </c>
      <c r="H44" s="20">
        <v>2084</v>
      </c>
      <c r="I44" s="21">
        <v>2920</v>
      </c>
      <c r="J44" s="20">
        <v>17</v>
      </c>
      <c r="K44" s="20"/>
      <c r="L44" s="20">
        <v>5457</v>
      </c>
      <c r="M44" s="22">
        <f t="shared" si="0"/>
        <v>13114</v>
      </c>
      <c r="N44" s="23" t="s">
        <v>92</v>
      </c>
    </row>
    <row r="45" spans="1:15" x14ac:dyDescent="0.35">
      <c r="A45" s="18" t="s">
        <v>43</v>
      </c>
      <c r="B45" s="20">
        <v>77</v>
      </c>
      <c r="C45" s="20">
        <v>37</v>
      </c>
      <c r="D45" s="20"/>
      <c r="E45" s="20"/>
      <c r="F45" s="20">
        <v>60</v>
      </c>
      <c r="G45" s="20"/>
      <c r="H45" s="20">
        <v>130</v>
      </c>
      <c r="I45" s="21">
        <v>240</v>
      </c>
      <c r="J45" s="20">
        <v>215</v>
      </c>
      <c r="K45" s="20"/>
      <c r="L45" s="20">
        <v>250</v>
      </c>
      <c r="M45" s="22">
        <f t="shared" si="0"/>
        <v>1009</v>
      </c>
      <c r="N45" s="23" t="s">
        <v>93</v>
      </c>
    </row>
    <row r="46" spans="1:15" x14ac:dyDescent="0.35">
      <c r="A46" s="18" t="s">
        <v>44</v>
      </c>
      <c r="B46" s="19">
        <v>1997</v>
      </c>
      <c r="C46" s="20">
        <v>246</v>
      </c>
      <c r="D46" s="20">
        <v>41</v>
      </c>
      <c r="E46" s="20">
        <v>220</v>
      </c>
      <c r="F46" s="20">
        <v>120</v>
      </c>
      <c r="G46" s="20">
        <v>1860</v>
      </c>
      <c r="H46" s="20">
        <v>8990</v>
      </c>
      <c r="I46" s="24">
        <v>14001</v>
      </c>
      <c r="J46" s="20">
        <v>3610</v>
      </c>
      <c r="K46" s="20"/>
      <c r="L46" s="20">
        <v>1020</v>
      </c>
      <c r="M46" s="22">
        <f t="shared" si="0"/>
        <v>32105</v>
      </c>
      <c r="N46" s="23" t="s">
        <v>76</v>
      </c>
    </row>
    <row r="47" spans="1:15" x14ac:dyDescent="0.35">
      <c r="A47" s="18" t="s">
        <v>45</v>
      </c>
      <c r="B47" s="20">
        <v>100</v>
      </c>
      <c r="C47" s="20"/>
      <c r="D47" s="20"/>
      <c r="E47" s="20">
        <v>36</v>
      </c>
      <c r="F47" s="20"/>
      <c r="G47" s="20">
        <v>180</v>
      </c>
      <c r="H47" s="20">
        <v>1939</v>
      </c>
      <c r="I47" s="21">
        <v>5272</v>
      </c>
      <c r="J47" s="20">
        <v>282</v>
      </c>
      <c r="K47" s="20">
        <v>100</v>
      </c>
      <c r="L47" s="20">
        <v>400</v>
      </c>
      <c r="M47" s="22">
        <f t="shared" si="0"/>
        <v>8309</v>
      </c>
      <c r="N47" s="23" t="s">
        <v>94</v>
      </c>
    </row>
    <row r="48" spans="1:15" x14ac:dyDescent="0.35">
      <c r="A48" s="18" t="s">
        <v>46</v>
      </c>
      <c r="B48" s="20">
        <v>265</v>
      </c>
      <c r="C48" s="20">
        <v>30</v>
      </c>
      <c r="D48" s="20">
        <v>80</v>
      </c>
      <c r="E48" s="20">
        <v>30</v>
      </c>
      <c r="F48" s="20">
        <v>155</v>
      </c>
      <c r="G48" s="20">
        <v>30</v>
      </c>
      <c r="H48" s="20">
        <v>270</v>
      </c>
      <c r="I48" s="21">
        <v>1100</v>
      </c>
      <c r="J48" s="20">
        <v>358</v>
      </c>
      <c r="K48" s="20"/>
      <c r="L48" s="20">
        <v>421</v>
      </c>
      <c r="M48" s="22">
        <f t="shared" si="0"/>
        <v>2739</v>
      </c>
      <c r="N48" s="23" t="s">
        <v>95</v>
      </c>
    </row>
    <row r="49" spans="1:15" s="37" customFormat="1" x14ac:dyDescent="0.35">
      <c r="A49" s="32" t="s">
        <v>96</v>
      </c>
      <c r="B49" s="33">
        <f>SUM(B2:B48)</f>
        <v>28934</v>
      </c>
      <c r="C49" s="33">
        <f t="shared" ref="C49:L49" si="1">SUM(C2:C48)</f>
        <v>5102</v>
      </c>
      <c r="D49" s="33">
        <f t="shared" si="1"/>
        <v>2206</v>
      </c>
      <c r="E49" s="33">
        <f t="shared" si="1"/>
        <v>377</v>
      </c>
      <c r="F49" s="33">
        <f t="shared" si="1"/>
        <v>5611</v>
      </c>
      <c r="G49" s="33">
        <f t="shared" si="1"/>
        <v>6808</v>
      </c>
      <c r="H49" s="33">
        <f t="shared" si="1"/>
        <v>35640</v>
      </c>
      <c r="I49" s="33">
        <f t="shared" si="1"/>
        <v>115672</v>
      </c>
      <c r="J49" s="33">
        <f t="shared" si="1"/>
        <v>16918</v>
      </c>
      <c r="K49" s="33">
        <f t="shared" si="1"/>
        <v>1813</v>
      </c>
      <c r="L49" s="33">
        <f t="shared" si="1"/>
        <v>40375</v>
      </c>
      <c r="M49" s="34">
        <f>+SUM(B49:L49)</f>
        <v>259456</v>
      </c>
      <c r="N49" s="35"/>
      <c r="O49" s="36"/>
    </row>
    <row r="50" spans="1:15" x14ac:dyDescent="0.35">
      <c r="A50" s="38" t="s">
        <v>59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39">
        <f>L49/Table1[[#Totals],[Total]]</f>
        <v>0.15873546317337253</v>
      </c>
      <c r="M50" s="40">
        <f>M49-C49</f>
        <v>254354</v>
      </c>
      <c r="N50" s="23"/>
    </row>
    <row r="51" spans="1:15" x14ac:dyDescent="0.35">
      <c r="A51" s="41" t="s">
        <v>97</v>
      </c>
      <c r="B51" s="42">
        <f>B49/M50</f>
        <v>0.11375484560887582</v>
      </c>
      <c r="M51" s="22">
        <f>SUM(M2:M48)</f>
        <v>259456</v>
      </c>
    </row>
    <row r="52" spans="1:15" x14ac:dyDescent="0.35">
      <c r="B52">
        <f>COUNTIF(B2:B48,"&gt;500")</f>
        <v>14</v>
      </c>
      <c r="C52" s="44">
        <f>(B49+C49)/M49</f>
        <v>0.13118216576221017</v>
      </c>
      <c r="H52" s="42">
        <f>(H49)/M50</f>
        <v>0.14011967572752934</v>
      </c>
      <c r="I52" s="45">
        <f>I49/M50</f>
        <v>0.45476776461152568</v>
      </c>
    </row>
    <row r="53" spans="1:15" x14ac:dyDescent="0.35">
      <c r="J53" s="42">
        <f>(H49+I49)/Table1[[#Totals],[Total]]</f>
        <v>0.59488744033905505</v>
      </c>
    </row>
    <row r="54" spans="1:15" x14ac:dyDescent="0.35">
      <c r="I54" s="46">
        <f>COUNTIF(I4:I50,"&gt;500")</f>
        <v>22</v>
      </c>
    </row>
    <row r="56" spans="1:15" x14ac:dyDescent="0.35">
      <c r="B56" s="42">
        <f>18529/29029</f>
        <v>0.63829274174101758</v>
      </c>
      <c r="I56" s="45">
        <f>83738/115672</f>
        <v>0.72392627429282796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C49F9-EB27-41EE-A348-F4CDF815F8F6}">
  <dimension ref="A1:AI56"/>
  <sheetViews>
    <sheetView tabSelected="1" topLeftCell="B37" workbookViewId="0">
      <selection activeCell="F55" sqref="F55"/>
    </sheetView>
  </sheetViews>
  <sheetFormatPr defaultRowHeight="14.5" x14ac:dyDescent="0.35"/>
  <cols>
    <col min="5" max="5" width="20.90625" bestFit="1" customWidth="1"/>
    <col min="6" max="6" width="22.6328125" bestFit="1" customWidth="1"/>
    <col min="7" max="7" width="26.7265625" bestFit="1" customWidth="1"/>
    <col min="9" max="9" width="20.90625" bestFit="1" customWidth="1"/>
    <col min="10" max="10" width="53.453125" bestFit="1" customWidth="1"/>
    <col min="32" max="32" width="20.90625" bestFit="1" customWidth="1"/>
    <col min="33" max="33" width="56.81640625" bestFit="1" customWidth="1"/>
    <col min="34" max="34" width="20.1796875" bestFit="1" customWidth="1"/>
  </cols>
  <sheetData>
    <row r="1" spans="1:35" x14ac:dyDescent="0.35">
      <c r="A1" t="s">
        <v>98</v>
      </c>
      <c r="E1" t="s">
        <v>0</v>
      </c>
      <c r="F1" t="s">
        <v>74</v>
      </c>
      <c r="G1" t="s">
        <v>64</v>
      </c>
      <c r="H1" t="s">
        <v>65</v>
      </c>
      <c r="I1" t="s">
        <v>102</v>
      </c>
      <c r="J1" t="s">
        <v>104</v>
      </c>
      <c r="K1" t="s">
        <v>111</v>
      </c>
      <c r="AF1" t="s">
        <v>0</v>
      </c>
      <c r="AG1" t="s">
        <v>104</v>
      </c>
      <c r="AH1" t="s">
        <v>111</v>
      </c>
      <c r="AI1" t="s">
        <v>133</v>
      </c>
    </row>
    <row r="2" spans="1:35" x14ac:dyDescent="0.35">
      <c r="C2" t="s">
        <v>112</v>
      </c>
      <c r="E2" t="s">
        <v>1</v>
      </c>
      <c r="F2" s="47">
        <v>98.058568574484738</v>
      </c>
      <c r="G2" s="1">
        <v>53077.717864361715</v>
      </c>
      <c r="I2">
        <f>IF(H2=0,I$52,G2/H2)</f>
        <v>22.857935830441416</v>
      </c>
      <c r="J2" t="str">
        <f>IF(I2&lt;10,"4. Very rapid education production - Less than 10 stock to grad",IF(AND(I2&gt;=10,I2&lt;20),"3. Rapid education production - 10 to 20 stock to grad",IF(AND(I2&gt;=20,I2&lt;30),"2. Slow education production - 20 to 30 stock to grad","1. Very slow education production - 30 stock to grad and more")))</f>
        <v>2. Slow education production - 20 to 30 stock to grad</v>
      </c>
      <c r="K2" t="str">
        <f>IF(F2&lt;D$3,"1. &lt;Q1 density",IF(AND(F2&gt;=D$3,F2&lt;D$4),"2. Q1-Median density",IF(AND(F2&gt;=D$4,F2&lt;D$5),"3. Median-Q3 density","4. &gt;Q3 density")))</f>
        <v>4. &gt;Q3 density</v>
      </c>
      <c r="AF2" s="49" t="s">
        <v>8</v>
      </c>
      <c r="AG2" s="49" t="s">
        <v>131</v>
      </c>
      <c r="AH2" t="s">
        <v>129</v>
      </c>
    </row>
    <row r="3" spans="1:35" x14ac:dyDescent="0.35">
      <c r="C3" t="s">
        <v>100</v>
      </c>
      <c r="D3" s="47">
        <f>PERCENTILE(F2:F48,0.25)</f>
        <v>22.339869902239968</v>
      </c>
      <c r="E3" t="s">
        <v>2</v>
      </c>
      <c r="F3" s="47">
        <v>38.456345697593264</v>
      </c>
      <c r="G3" s="1">
        <v>75410.353814379763</v>
      </c>
      <c r="H3">
        <v>3561</v>
      </c>
      <c r="I3">
        <f t="shared" ref="I3:I48" si="0">IF(H3=0,I$52,G3/H3)</f>
        <v>21.176735134619424</v>
      </c>
      <c r="J3" t="str">
        <f t="shared" ref="J3:J48" si="1">IF(I3&lt;10,"4. Very rapid education production - Less than 10 stock to grad",IF(AND(I3&gt;=10,I3&lt;20),"3. Rapid education production - 10 to 20 stock to grad",IF(AND(I3&gt;=20,I3&lt;30),"2. Slow education production - 20 to 30 stock to grad","1. Very slow education production - 30 stock to grad and more")))</f>
        <v>2. Slow education production - 20 to 30 stock to grad</v>
      </c>
      <c r="K3" t="str">
        <f t="shared" ref="K3:K48" si="2">IF(F3&lt;D$3,"1. &lt;Q1 density",IF(AND(F3&gt;=D$3,F3&lt;D$4),"2. Q1-Median density",IF(AND(F3&gt;=D$4,F3&lt;D$5),"3. Median-Q3 density","4. &gt;Q3 density")))</f>
        <v>3. Median-Q3 density</v>
      </c>
      <c r="AF3" s="49" t="s">
        <v>11</v>
      </c>
      <c r="AG3" s="49" t="s">
        <v>131</v>
      </c>
      <c r="AH3" t="s">
        <v>129</v>
      </c>
    </row>
    <row r="4" spans="1:35" x14ac:dyDescent="0.35">
      <c r="C4" t="s">
        <v>99</v>
      </c>
      <c r="D4" s="47">
        <f>MEDIAN(F2:F48)</f>
        <v>38.456345697593264</v>
      </c>
      <c r="E4" t="s">
        <v>3</v>
      </c>
      <c r="F4" s="47">
        <v>18.729624018891407</v>
      </c>
      <c r="G4" s="1">
        <v>8501</v>
      </c>
      <c r="H4">
        <v>1037</v>
      </c>
      <c r="I4">
        <f t="shared" si="0"/>
        <v>8.1976856316297013</v>
      </c>
      <c r="J4" t="str">
        <f t="shared" si="1"/>
        <v>4. Very rapid education production - Less than 10 stock to grad</v>
      </c>
      <c r="K4" t="str">
        <f t="shared" si="2"/>
        <v>1. &lt;Q1 density</v>
      </c>
      <c r="AF4" s="49" t="s">
        <v>27</v>
      </c>
      <c r="AG4" s="49" t="s">
        <v>125</v>
      </c>
      <c r="AH4" t="s">
        <v>129</v>
      </c>
    </row>
    <row r="5" spans="1:35" x14ac:dyDescent="0.35">
      <c r="C5" t="s">
        <v>101</v>
      </c>
      <c r="D5" s="47">
        <f>PERCENTILE(F2:F48,0.75)</f>
        <v>63.718103547338771</v>
      </c>
      <c r="E5" t="s">
        <v>4</v>
      </c>
      <c r="F5" s="47">
        <v>68.115844081394968</v>
      </c>
      <c r="G5" s="1">
        <v>9020</v>
      </c>
      <c r="H5">
        <v>550</v>
      </c>
      <c r="I5">
        <f t="shared" si="0"/>
        <v>16.399999999999999</v>
      </c>
      <c r="J5" t="str">
        <f t="shared" si="1"/>
        <v>3. Rapid education production - 10 to 20 stock to grad</v>
      </c>
      <c r="K5" t="str">
        <f t="shared" si="2"/>
        <v>4. &gt;Q3 density</v>
      </c>
      <c r="AF5" s="49" t="s">
        <v>28</v>
      </c>
      <c r="AG5" s="49" t="s">
        <v>125</v>
      </c>
      <c r="AH5" t="s">
        <v>129</v>
      </c>
    </row>
    <row r="6" spans="1:35" x14ac:dyDescent="0.35">
      <c r="E6" t="s">
        <v>5</v>
      </c>
      <c r="F6" s="47">
        <v>16.827323041243478</v>
      </c>
      <c r="G6" s="1">
        <v>17284</v>
      </c>
      <c r="H6">
        <v>2662</v>
      </c>
      <c r="I6">
        <f t="shared" si="0"/>
        <v>6.4928625093914354</v>
      </c>
      <c r="J6" t="str">
        <f t="shared" si="1"/>
        <v>4. Very rapid education production - Less than 10 stock to grad</v>
      </c>
      <c r="K6" t="str">
        <f t="shared" si="2"/>
        <v>1. &lt;Q1 density</v>
      </c>
      <c r="AF6" s="49" t="s">
        <v>41</v>
      </c>
      <c r="AG6" s="49" t="s">
        <v>125</v>
      </c>
      <c r="AH6" t="s">
        <v>129</v>
      </c>
    </row>
    <row r="7" spans="1:35" x14ac:dyDescent="0.35">
      <c r="E7" t="s">
        <v>6</v>
      </c>
      <c r="F7" s="47">
        <v>40.986337247671983</v>
      </c>
      <c r="G7" s="1">
        <v>10386.861039439735</v>
      </c>
      <c r="H7">
        <v>1792</v>
      </c>
      <c r="I7">
        <f t="shared" si="0"/>
        <v>5.7962394193302087</v>
      </c>
      <c r="J7" t="str">
        <f t="shared" si="1"/>
        <v>4. Very rapid education production - Less than 10 stock to grad</v>
      </c>
      <c r="K7" t="str">
        <f t="shared" si="2"/>
        <v>3. Median-Q3 density</v>
      </c>
      <c r="AF7" t="s">
        <v>3</v>
      </c>
      <c r="AG7" t="s">
        <v>128</v>
      </c>
      <c r="AH7" t="s">
        <v>129</v>
      </c>
    </row>
    <row r="8" spans="1:35" x14ac:dyDescent="0.35">
      <c r="E8" t="s">
        <v>7</v>
      </c>
      <c r="F8" s="47">
        <v>11.326441981493597</v>
      </c>
      <c r="G8" s="1">
        <v>20232</v>
      </c>
      <c r="H8">
        <v>3460</v>
      </c>
      <c r="I8">
        <f t="shared" si="0"/>
        <v>5.8473988439306357</v>
      </c>
      <c r="J8" t="str">
        <f t="shared" si="1"/>
        <v>4. Very rapid education production - Less than 10 stock to grad</v>
      </c>
      <c r="K8" t="str">
        <f t="shared" si="2"/>
        <v>1. &lt;Q1 density</v>
      </c>
      <c r="AF8" t="s">
        <v>5</v>
      </c>
      <c r="AG8" t="s">
        <v>128</v>
      </c>
      <c r="AH8" t="s">
        <v>129</v>
      </c>
    </row>
    <row r="9" spans="1:35" x14ac:dyDescent="0.35">
      <c r="E9" t="s">
        <v>70</v>
      </c>
      <c r="F9" s="47">
        <v>104.36309518407614</v>
      </c>
      <c r="G9" s="1">
        <v>3585</v>
      </c>
      <c r="I9">
        <f t="shared" si="0"/>
        <v>22.857935830441416</v>
      </c>
      <c r="J9" t="str">
        <f t="shared" si="1"/>
        <v>2. Slow education production - 20 to 30 stock to grad</v>
      </c>
      <c r="K9" t="str">
        <f t="shared" si="2"/>
        <v>4. &gt;Q3 density</v>
      </c>
      <c r="AF9" t="s">
        <v>7</v>
      </c>
      <c r="AG9" t="s">
        <v>128</v>
      </c>
      <c r="AH9" t="s">
        <v>129</v>
      </c>
    </row>
    <row r="10" spans="1:35" x14ac:dyDescent="0.35">
      <c r="E10" t="s">
        <v>8</v>
      </c>
      <c r="F10" s="47">
        <v>10.210731090719779</v>
      </c>
      <c r="G10" s="1">
        <v>794.8697270471464</v>
      </c>
      <c r="H10">
        <v>18</v>
      </c>
      <c r="I10">
        <f t="shared" si="0"/>
        <v>44.159429280397021</v>
      </c>
      <c r="J10" t="str">
        <f t="shared" si="1"/>
        <v>1. Very slow education production - 30 stock to grad and more</v>
      </c>
      <c r="K10" t="str">
        <f t="shared" si="2"/>
        <v>1. &lt;Q1 density</v>
      </c>
      <c r="AF10" t="s">
        <v>13</v>
      </c>
      <c r="AG10" t="s">
        <v>128</v>
      </c>
      <c r="AH10" t="s">
        <v>129</v>
      </c>
    </row>
    <row r="11" spans="1:35" x14ac:dyDescent="0.35">
      <c r="E11" t="s">
        <v>9</v>
      </c>
      <c r="F11" s="47">
        <v>22.710971898965504</v>
      </c>
      <c r="G11" s="1">
        <v>4894.1517348524085</v>
      </c>
      <c r="H11">
        <v>3250</v>
      </c>
      <c r="I11">
        <f t="shared" si="0"/>
        <v>1.5058928414930488</v>
      </c>
      <c r="J11" t="str">
        <f t="shared" si="1"/>
        <v>4. Very rapid education production - Less than 10 stock to grad</v>
      </c>
      <c r="K11" t="str">
        <f t="shared" si="2"/>
        <v>2. Q1-Median density</v>
      </c>
      <c r="AF11" t="s">
        <v>21</v>
      </c>
      <c r="AG11" t="s">
        <v>128</v>
      </c>
      <c r="AH11" t="s">
        <v>129</v>
      </c>
    </row>
    <row r="12" spans="1:35" x14ac:dyDescent="0.35">
      <c r="E12" t="s">
        <v>10</v>
      </c>
      <c r="F12" s="47">
        <v>31.333794542132008</v>
      </c>
      <c r="G12" s="1">
        <v>1138.9709740708436</v>
      </c>
      <c r="H12">
        <v>40</v>
      </c>
      <c r="I12">
        <f t="shared" si="0"/>
        <v>28.47427435177109</v>
      </c>
      <c r="J12" t="str">
        <f t="shared" si="1"/>
        <v>2. Slow education production - 20 to 30 stock to grad</v>
      </c>
      <c r="K12" t="str">
        <f t="shared" si="2"/>
        <v>2. Q1-Median density</v>
      </c>
      <c r="AF12" t="s">
        <v>26</v>
      </c>
      <c r="AG12" t="s">
        <v>128</v>
      </c>
      <c r="AH12" t="s">
        <v>129</v>
      </c>
    </row>
    <row r="13" spans="1:35" x14ac:dyDescent="0.35">
      <c r="E13" t="s">
        <v>11</v>
      </c>
      <c r="F13" s="47">
        <v>20.330016447381468</v>
      </c>
      <c r="G13" s="1">
        <v>6615</v>
      </c>
      <c r="H13">
        <v>120</v>
      </c>
      <c r="I13">
        <f t="shared" si="0"/>
        <v>55.125</v>
      </c>
      <c r="J13" t="str">
        <f t="shared" si="1"/>
        <v>1. Very slow education production - 30 stock to grad and more</v>
      </c>
      <c r="K13" t="str">
        <f t="shared" si="2"/>
        <v>1. &lt;Q1 density</v>
      </c>
      <c r="AF13" t="s">
        <v>33</v>
      </c>
      <c r="AG13" t="s">
        <v>128</v>
      </c>
      <c r="AH13" t="s">
        <v>129</v>
      </c>
    </row>
    <row r="14" spans="1:35" x14ac:dyDescent="0.35">
      <c r="E14" t="s">
        <v>12</v>
      </c>
      <c r="F14" s="47">
        <v>25.91975377602575</v>
      </c>
      <c r="G14" s="1">
        <v>25552.785469257356</v>
      </c>
      <c r="H14">
        <v>1261</v>
      </c>
      <c r="I14">
        <f t="shared" si="0"/>
        <v>20.263906002583152</v>
      </c>
      <c r="J14" t="str">
        <f t="shared" si="1"/>
        <v>2. Slow education production - 20 to 30 stock to grad</v>
      </c>
      <c r="K14" t="str">
        <f t="shared" si="2"/>
        <v>2. Q1-Median density</v>
      </c>
      <c r="AF14" s="49" t="s">
        <v>10</v>
      </c>
      <c r="AG14" s="49" t="s">
        <v>125</v>
      </c>
      <c r="AH14" t="s">
        <v>132</v>
      </c>
    </row>
    <row r="15" spans="1:35" x14ac:dyDescent="0.35">
      <c r="E15" t="s">
        <v>13</v>
      </c>
      <c r="F15" s="47">
        <v>15.888047021793218</v>
      </c>
      <c r="G15" s="1">
        <v>136605.95871911859</v>
      </c>
      <c r="H15">
        <v>30081</v>
      </c>
      <c r="I15">
        <f t="shared" si="0"/>
        <v>4.5412705268813731</v>
      </c>
      <c r="J15" t="str">
        <f t="shared" si="1"/>
        <v>4. Very rapid education production - Less than 10 stock to grad</v>
      </c>
      <c r="K15" t="str">
        <f t="shared" si="2"/>
        <v>1. &lt;Q1 density</v>
      </c>
      <c r="AF15" s="49" t="s">
        <v>12</v>
      </c>
      <c r="AG15" s="49" t="s">
        <v>125</v>
      </c>
      <c r="AH15" t="s">
        <v>132</v>
      </c>
    </row>
    <row r="16" spans="1:35" x14ac:dyDescent="0.35">
      <c r="E16" t="s">
        <v>14</v>
      </c>
      <c r="F16" s="47">
        <v>27.930586305707227</v>
      </c>
      <c r="G16" s="1">
        <v>1649.6823759925792</v>
      </c>
      <c r="H16">
        <v>1729</v>
      </c>
      <c r="I16">
        <f t="shared" si="0"/>
        <v>0.95412514516632685</v>
      </c>
      <c r="J16" t="str">
        <f t="shared" si="1"/>
        <v>4. Very rapid education production - Less than 10 stock to grad</v>
      </c>
      <c r="K16" t="str">
        <f t="shared" si="2"/>
        <v>2. Q1-Median density</v>
      </c>
      <c r="AF16" t="s">
        <v>15</v>
      </c>
      <c r="AG16" t="s">
        <v>130</v>
      </c>
      <c r="AH16" t="s">
        <v>132</v>
      </c>
    </row>
    <row r="17" spans="5:34" x14ac:dyDescent="0.35">
      <c r="E17" t="s">
        <v>15</v>
      </c>
      <c r="F17" s="47">
        <v>38.107951184321514</v>
      </c>
      <c r="G17" s="1">
        <v>5305.8176475233076</v>
      </c>
      <c r="H17">
        <v>400</v>
      </c>
      <c r="I17">
        <f t="shared" si="0"/>
        <v>13.264544118808269</v>
      </c>
      <c r="J17" t="str">
        <f t="shared" si="1"/>
        <v>3. Rapid education production - 10 to 20 stock to grad</v>
      </c>
      <c r="K17" t="str">
        <f t="shared" si="2"/>
        <v>2. Q1-Median density</v>
      </c>
      <c r="AF17" t="s">
        <v>17</v>
      </c>
      <c r="AG17" t="s">
        <v>130</v>
      </c>
      <c r="AH17" t="s">
        <v>132</v>
      </c>
    </row>
    <row r="18" spans="5:34" x14ac:dyDescent="0.35">
      <c r="E18" t="s">
        <v>16</v>
      </c>
      <c r="F18" s="47">
        <v>140.19826135915432</v>
      </c>
      <c r="G18" s="1">
        <v>5929</v>
      </c>
      <c r="H18">
        <v>160</v>
      </c>
      <c r="I18">
        <f t="shared" si="0"/>
        <v>37.056249999999999</v>
      </c>
      <c r="J18" t="str">
        <f t="shared" si="1"/>
        <v>1. Very slow education production - 30 stock to grad and more</v>
      </c>
      <c r="K18" t="str">
        <f t="shared" si="2"/>
        <v>4. &gt;Q3 density</v>
      </c>
      <c r="AF18" t="s">
        <v>19</v>
      </c>
      <c r="AG18" t="s">
        <v>130</v>
      </c>
      <c r="AH18" t="s">
        <v>132</v>
      </c>
    </row>
    <row r="19" spans="5:34" x14ac:dyDescent="0.35">
      <c r="E19" t="s">
        <v>17</v>
      </c>
      <c r="F19" s="47">
        <v>33.829583652601642</v>
      </c>
      <c r="G19" s="1">
        <v>155003</v>
      </c>
      <c r="H19">
        <v>9412</v>
      </c>
      <c r="I19">
        <f t="shared" si="0"/>
        <v>16.468657033574161</v>
      </c>
      <c r="J19" t="str">
        <f t="shared" si="1"/>
        <v>3. Rapid education production - 10 to 20 stock to grad</v>
      </c>
      <c r="K19" t="str">
        <f t="shared" si="2"/>
        <v>2. Q1-Median density</v>
      </c>
      <c r="AF19" t="s">
        <v>34</v>
      </c>
      <c r="AG19" t="s">
        <v>130</v>
      </c>
      <c r="AH19" t="s">
        <v>132</v>
      </c>
    </row>
    <row r="20" spans="5:34" x14ac:dyDescent="0.35">
      <c r="E20" t="s">
        <v>18</v>
      </c>
      <c r="F20" s="47">
        <v>57.112151673993168</v>
      </c>
      <c r="G20" s="1">
        <v>6016.9896979221239</v>
      </c>
      <c r="H20">
        <v>141</v>
      </c>
      <c r="I20">
        <f t="shared" si="0"/>
        <v>42.673685800866124</v>
      </c>
      <c r="J20" t="str">
        <f t="shared" si="1"/>
        <v>1. Very slow education production - 30 stock to grad and more</v>
      </c>
      <c r="K20" t="str">
        <f t="shared" si="2"/>
        <v>3. Median-Q3 density</v>
      </c>
      <c r="AF20" t="s">
        <v>42</v>
      </c>
      <c r="AG20" t="s">
        <v>130</v>
      </c>
      <c r="AH20" t="s">
        <v>132</v>
      </c>
    </row>
    <row r="21" spans="5:34" x14ac:dyDescent="0.35">
      <c r="E21" t="s">
        <v>19</v>
      </c>
      <c r="F21" s="47">
        <v>34.171087572485987</v>
      </c>
      <c r="G21" s="1">
        <v>1703.270897043833</v>
      </c>
      <c r="H21">
        <v>160</v>
      </c>
      <c r="I21">
        <f t="shared" si="0"/>
        <v>10.645443106523956</v>
      </c>
      <c r="J21" t="str">
        <f t="shared" si="1"/>
        <v>3. Rapid education production - 10 to 20 stock to grad</v>
      </c>
      <c r="K21" t="str">
        <f t="shared" si="2"/>
        <v>2. Q1-Median density</v>
      </c>
      <c r="AF21" t="s">
        <v>43</v>
      </c>
      <c r="AG21" t="s">
        <v>130</v>
      </c>
      <c r="AH21" t="s">
        <v>132</v>
      </c>
    </row>
    <row r="22" spans="5:34" x14ac:dyDescent="0.35">
      <c r="E22" t="s">
        <v>20</v>
      </c>
      <c r="F22" s="47">
        <v>70.640914271306528</v>
      </c>
      <c r="G22" s="1">
        <v>128930.27697797566</v>
      </c>
      <c r="H22">
        <v>22837</v>
      </c>
      <c r="I22">
        <f t="shared" si="0"/>
        <v>5.6456748687645337</v>
      </c>
      <c r="J22" t="str">
        <f t="shared" si="1"/>
        <v>4. Very rapid education production - Less than 10 stock to grad</v>
      </c>
      <c r="K22" t="str">
        <f t="shared" si="2"/>
        <v>4. &gt;Q3 density</v>
      </c>
      <c r="AF22" t="s">
        <v>9</v>
      </c>
      <c r="AG22" t="s">
        <v>128</v>
      </c>
      <c r="AH22" t="s">
        <v>132</v>
      </c>
    </row>
    <row r="23" spans="5:34" x14ac:dyDescent="0.35">
      <c r="E23" t="s">
        <v>21</v>
      </c>
      <c r="F23" s="47">
        <v>17.813553305551778</v>
      </c>
      <c r="G23" s="1">
        <v>5360.3288771104162</v>
      </c>
      <c r="H23">
        <v>1731</v>
      </c>
      <c r="I23">
        <f t="shared" si="0"/>
        <v>3.096666017972511</v>
      </c>
      <c r="J23" t="str">
        <f t="shared" si="1"/>
        <v>4. Very rapid education production - Less than 10 stock to grad</v>
      </c>
      <c r="K23" t="str">
        <f t="shared" si="2"/>
        <v>1. &lt;Q1 density</v>
      </c>
      <c r="AF23" t="s">
        <v>14</v>
      </c>
      <c r="AG23" t="s">
        <v>128</v>
      </c>
      <c r="AH23" t="s">
        <v>132</v>
      </c>
    </row>
    <row r="24" spans="5:34" x14ac:dyDescent="0.35">
      <c r="E24" t="s">
        <v>22</v>
      </c>
      <c r="F24" s="47">
        <v>43.637164811660909</v>
      </c>
      <c r="G24" s="1">
        <v>2409.8737642585552</v>
      </c>
      <c r="I24">
        <f t="shared" si="0"/>
        <v>22.857935830441416</v>
      </c>
      <c r="J24" t="str">
        <f t="shared" si="1"/>
        <v>2. Slow education production - 20 to 30 stock to grad</v>
      </c>
      <c r="K24" t="str">
        <f t="shared" si="2"/>
        <v>3. Median-Q3 density</v>
      </c>
      <c r="AF24" t="s">
        <v>37</v>
      </c>
      <c r="AG24" t="s">
        <v>128</v>
      </c>
      <c r="AH24" t="s">
        <v>132</v>
      </c>
    </row>
    <row r="25" spans="5:34" x14ac:dyDescent="0.35">
      <c r="E25" t="s">
        <v>23</v>
      </c>
      <c r="F25" s="47">
        <v>52.761765904512501</v>
      </c>
      <c r="G25" s="1">
        <v>122451</v>
      </c>
      <c r="H25">
        <v>1628</v>
      </c>
      <c r="I25">
        <f t="shared" si="0"/>
        <v>75.215601965601962</v>
      </c>
      <c r="J25" t="str">
        <f t="shared" si="1"/>
        <v>1. Very slow education production - 30 stock to grad and more</v>
      </c>
      <c r="K25" t="str">
        <f t="shared" si="2"/>
        <v>3. Median-Q3 density</v>
      </c>
      <c r="AF25" t="s">
        <v>18</v>
      </c>
      <c r="AG25" t="s">
        <v>131</v>
      </c>
      <c r="AH25" t="s">
        <v>127</v>
      </c>
    </row>
    <row r="26" spans="5:34" x14ac:dyDescent="0.35">
      <c r="E26" t="s">
        <v>24</v>
      </c>
      <c r="F26" s="47">
        <v>125.68172362603974</v>
      </c>
      <c r="G26" s="1">
        <v>1772.0899117026884</v>
      </c>
      <c r="H26">
        <v>384</v>
      </c>
      <c r="I26">
        <f t="shared" si="0"/>
        <v>4.6148174783924176</v>
      </c>
      <c r="J26" t="str">
        <f t="shared" si="1"/>
        <v>4. Very rapid education production - Less than 10 stock to grad</v>
      </c>
      <c r="K26" t="str">
        <f t="shared" si="2"/>
        <v>4. &gt;Q3 density</v>
      </c>
      <c r="AF26" t="s">
        <v>23</v>
      </c>
      <c r="AG26" t="s">
        <v>131</v>
      </c>
      <c r="AH26" t="s">
        <v>127</v>
      </c>
    </row>
    <row r="27" spans="5:34" x14ac:dyDescent="0.35">
      <c r="E27" t="s">
        <v>25</v>
      </c>
      <c r="F27" s="47">
        <v>57.003752262980719</v>
      </c>
      <c r="G27" s="1">
        <v>5377.7952883834278</v>
      </c>
      <c r="H27">
        <v>92</v>
      </c>
      <c r="I27">
        <f t="shared" si="0"/>
        <v>58.454296612863345</v>
      </c>
      <c r="J27" t="str">
        <f t="shared" si="1"/>
        <v>1. Very slow education production - 30 stock to grad and more</v>
      </c>
      <c r="K27" t="str">
        <f t="shared" si="2"/>
        <v>3. Median-Q3 density</v>
      </c>
      <c r="AF27" t="s">
        <v>25</v>
      </c>
      <c r="AG27" t="s">
        <v>131</v>
      </c>
      <c r="AH27" t="s">
        <v>127</v>
      </c>
    </row>
    <row r="28" spans="5:34" x14ac:dyDescent="0.35">
      <c r="E28" t="s">
        <v>26</v>
      </c>
      <c r="F28" s="47">
        <v>21.968767905514429</v>
      </c>
      <c r="G28" s="1">
        <v>9790</v>
      </c>
      <c r="H28">
        <v>2856</v>
      </c>
      <c r="I28">
        <f t="shared" si="0"/>
        <v>3.4278711484593836</v>
      </c>
      <c r="J28" t="str">
        <f t="shared" si="1"/>
        <v>4. Very rapid education production - Less than 10 stock to grad</v>
      </c>
      <c r="K28" t="str">
        <f t="shared" si="2"/>
        <v>1. &lt;Q1 density</v>
      </c>
      <c r="AF28" t="s">
        <v>29</v>
      </c>
      <c r="AG28" t="s">
        <v>131</v>
      </c>
      <c r="AH28" t="s">
        <v>127</v>
      </c>
    </row>
    <row r="29" spans="5:34" x14ac:dyDescent="0.35">
      <c r="E29" t="s">
        <v>27</v>
      </c>
      <c r="F29" s="47">
        <v>18.931285154211427</v>
      </c>
      <c r="G29" s="1">
        <v>10695.563775185577</v>
      </c>
      <c r="H29">
        <v>501</v>
      </c>
      <c r="I29">
        <f t="shared" si="0"/>
        <v>21.348430688993169</v>
      </c>
      <c r="J29" t="str">
        <f t="shared" si="1"/>
        <v>2. Slow education production - 20 to 30 stock to grad</v>
      </c>
      <c r="K29" t="str">
        <f t="shared" si="2"/>
        <v>1. &lt;Q1 density</v>
      </c>
      <c r="AF29" t="s">
        <v>35</v>
      </c>
      <c r="AG29" t="s">
        <v>131</v>
      </c>
      <c r="AH29" t="s">
        <v>127</v>
      </c>
    </row>
    <row r="30" spans="5:34" x14ac:dyDescent="0.35">
      <c r="E30" t="s">
        <v>28</v>
      </c>
      <c r="F30" s="47">
        <v>16.946843842481947</v>
      </c>
      <c r="G30" s="1">
        <v>10729</v>
      </c>
      <c r="I30">
        <f t="shared" si="0"/>
        <v>22.857935830441416</v>
      </c>
      <c r="J30" t="str">
        <f t="shared" si="1"/>
        <v>2. Slow education production - 20 to 30 stock to grad</v>
      </c>
      <c r="K30" t="str">
        <f t="shared" si="2"/>
        <v>1. &lt;Q1 density</v>
      </c>
      <c r="AF30" t="s">
        <v>2</v>
      </c>
      <c r="AG30" t="s">
        <v>125</v>
      </c>
      <c r="AH30" t="s">
        <v>127</v>
      </c>
    </row>
    <row r="31" spans="5:34" x14ac:dyDescent="0.35">
      <c r="E31" t="s">
        <v>29</v>
      </c>
      <c r="F31" s="47">
        <v>43.978835355257424</v>
      </c>
      <c r="G31" s="1">
        <v>7776.0346943092873</v>
      </c>
      <c r="H31">
        <v>113</v>
      </c>
      <c r="I31">
        <f t="shared" si="0"/>
        <v>68.81446632132112</v>
      </c>
      <c r="J31" t="str">
        <f t="shared" si="1"/>
        <v>1. Very slow education production - 30 stock to grad and more</v>
      </c>
      <c r="K31" t="str">
        <f t="shared" si="2"/>
        <v>3. Median-Q3 density</v>
      </c>
      <c r="AF31" t="s">
        <v>22</v>
      </c>
      <c r="AG31" t="s">
        <v>125</v>
      </c>
      <c r="AH31" t="s">
        <v>127</v>
      </c>
    </row>
    <row r="32" spans="5:34" x14ac:dyDescent="0.35">
      <c r="E32" t="s">
        <v>30</v>
      </c>
      <c r="F32" s="47">
        <v>117.20284698003086</v>
      </c>
      <c r="G32" s="1">
        <v>6432.5342419766348</v>
      </c>
      <c r="H32">
        <v>607</v>
      </c>
      <c r="I32">
        <f t="shared" si="0"/>
        <v>10.597255752844539</v>
      </c>
      <c r="J32" t="str">
        <f t="shared" si="1"/>
        <v>3. Rapid education production - 10 to 20 stock to grad</v>
      </c>
      <c r="K32" t="str">
        <f t="shared" si="2"/>
        <v>4. &gt;Q3 density</v>
      </c>
      <c r="AF32" t="s">
        <v>36</v>
      </c>
      <c r="AG32" t="s">
        <v>125</v>
      </c>
      <c r="AH32" t="s">
        <v>127</v>
      </c>
    </row>
    <row r="33" spans="5:34" x14ac:dyDescent="0.35">
      <c r="E33" t="s">
        <v>31</v>
      </c>
      <c r="F33" s="47">
        <v>54.608508445493854</v>
      </c>
      <c r="G33" s="1">
        <v>22887</v>
      </c>
      <c r="H33">
        <v>1399</v>
      </c>
      <c r="I33">
        <f t="shared" si="0"/>
        <v>16.359542530378842</v>
      </c>
      <c r="J33" t="str">
        <f t="shared" si="1"/>
        <v>3. Rapid education production - 10 to 20 stock to grad</v>
      </c>
      <c r="K33" t="str">
        <f t="shared" si="2"/>
        <v>3. Median-Q3 density</v>
      </c>
      <c r="AF33" t="s">
        <v>31</v>
      </c>
      <c r="AG33" t="s">
        <v>130</v>
      </c>
      <c r="AH33" t="s">
        <v>127</v>
      </c>
    </row>
    <row r="34" spans="5:34" x14ac:dyDescent="0.35">
      <c r="E34" t="s">
        <v>32</v>
      </c>
      <c r="F34" s="47">
        <v>105.35216319078796</v>
      </c>
      <c r="G34" s="1">
        <v>17155.321723868954</v>
      </c>
      <c r="H34">
        <v>675</v>
      </c>
      <c r="I34">
        <f t="shared" si="0"/>
        <v>25.415291442768822</v>
      </c>
      <c r="J34" t="str">
        <f t="shared" si="1"/>
        <v>2. Slow education production - 20 to 30 stock to grad</v>
      </c>
      <c r="K34" t="str">
        <f t="shared" si="2"/>
        <v>4. &gt;Q3 density</v>
      </c>
      <c r="AF34" t="s">
        <v>45</v>
      </c>
      <c r="AG34" t="s">
        <v>130</v>
      </c>
      <c r="AH34" t="s">
        <v>127</v>
      </c>
    </row>
    <row r="35" spans="5:34" x14ac:dyDescent="0.35">
      <c r="E35" t="s">
        <v>33</v>
      </c>
      <c r="F35" s="47">
        <v>4.955848322257995</v>
      </c>
      <c r="G35" s="1">
        <v>5270.6693676127352</v>
      </c>
      <c r="H35">
        <v>675</v>
      </c>
      <c r="I35">
        <f t="shared" si="0"/>
        <v>7.8083990631299782</v>
      </c>
      <c r="J35" t="str">
        <f t="shared" si="1"/>
        <v>4. Very rapid education production - Less than 10 stock to grad</v>
      </c>
      <c r="K35" t="str">
        <f t="shared" si="2"/>
        <v>1. &lt;Q1 density</v>
      </c>
      <c r="AF35" s="50" t="s">
        <v>6</v>
      </c>
      <c r="AG35" s="50" t="s">
        <v>128</v>
      </c>
      <c r="AH35" t="s">
        <v>127</v>
      </c>
    </row>
    <row r="36" spans="5:34" x14ac:dyDescent="0.35">
      <c r="E36" t="s">
        <v>34</v>
      </c>
      <c r="F36" s="47">
        <v>36.583982353138666</v>
      </c>
      <c r="G36" s="1">
        <v>306862</v>
      </c>
      <c r="H36">
        <v>17175</v>
      </c>
      <c r="I36">
        <f t="shared" si="0"/>
        <v>17.866783114992721</v>
      </c>
      <c r="J36" t="str">
        <f t="shared" si="1"/>
        <v>3. Rapid education production - 10 to 20 stock to grad</v>
      </c>
      <c r="K36" t="str">
        <f t="shared" si="2"/>
        <v>2. Q1-Median density</v>
      </c>
      <c r="AF36" s="50" t="s">
        <v>39</v>
      </c>
      <c r="AG36" s="50" t="s">
        <v>128</v>
      </c>
      <c r="AH36" t="s">
        <v>127</v>
      </c>
    </row>
    <row r="37" spans="5:34" x14ac:dyDescent="0.35">
      <c r="E37" t="s">
        <v>35</v>
      </c>
      <c r="F37" s="47">
        <v>59.624042517676429</v>
      </c>
      <c r="G37" s="1">
        <v>15149.239749316621</v>
      </c>
      <c r="H37">
        <v>366</v>
      </c>
      <c r="I37">
        <f t="shared" si="0"/>
        <v>41.391365435291313</v>
      </c>
      <c r="J37" t="str">
        <f t="shared" si="1"/>
        <v>1. Very slow education production - 30 stock to grad and more</v>
      </c>
      <c r="K37" t="str">
        <f t="shared" si="2"/>
        <v>3. Median-Q3 density</v>
      </c>
      <c r="AF37" t="s">
        <v>16</v>
      </c>
      <c r="AG37" t="s">
        <v>131</v>
      </c>
      <c r="AH37" t="s">
        <v>126</v>
      </c>
    </row>
    <row r="38" spans="5:34" x14ac:dyDescent="0.35">
      <c r="E38" t="s">
        <v>36</v>
      </c>
      <c r="F38" s="47">
        <v>63.393220513883151</v>
      </c>
      <c r="G38" s="1">
        <v>545</v>
      </c>
      <c r="I38">
        <f t="shared" si="0"/>
        <v>22.857935830441416</v>
      </c>
      <c r="J38" t="str">
        <f t="shared" si="1"/>
        <v>2. Slow education production - 20 to 30 stock to grad</v>
      </c>
      <c r="K38" t="str">
        <f t="shared" si="2"/>
        <v>3. Median-Q3 density</v>
      </c>
      <c r="AF38" t="s">
        <v>38</v>
      </c>
      <c r="AG38" t="s">
        <v>131</v>
      </c>
      <c r="AH38" t="s">
        <v>126</v>
      </c>
    </row>
    <row r="39" spans="5:34" x14ac:dyDescent="0.35">
      <c r="E39" t="s">
        <v>37</v>
      </c>
      <c r="F39" s="47">
        <v>23.796885847380697</v>
      </c>
      <c r="G39" s="1">
        <v>7297.8623058327948</v>
      </c>
      <c r="H39">
        <v>1016</v>
      </c>
      <c r="I39">
        <f t="shared" si="0"/>
        <v>7.1829353403866092</v>
      </c>
      <c r="J39" t="str">
        <f t="shared" si="1"/>
        <v>4. Very rapid education production - Less than 10 stock to grad</v>
      </c>
      <c r="K39" t="str">
        <f t="shared" si="2"/>
        <v>2. Q1-Median density</v>
      </c>
      <c r="AF39" t="s">
        <v>40</v>
      </c>
      <c r="AG39" t="s">
        <v>131</v>
      </c>
      <c r="AH39" t="s">
        <v>126</v>
      </c>
    </row>
    <row r="40" spans="5:34" x14ac:dyDescent="0.35">
      <c r="E40" t="s">
        <v>38</v>
      </c>
      <c r="F40" s="47">
        <v>296.4662893379861</v>
      </c>
      <c r="G40" s="1">
        <v>2105</v>
      </c>
      <c r="H40">
        <v>50</v>
      </c>
      <c r="I40">
        <f t="shared" si="0"/>
        <v>42.1</v>
      </c>
      <c r="J40" t="str">
        <f t="shared" si="1"/>
        <v>1. Very slow education production - 30 stock to grad and more</v>
      </c>
      <c r="K40" t="str">
        <f t="shared" si="2"/>
        <v>4. &gt;Q3 density</v>
      </c>
      <c r="AF40" t="s">
        <v>46</v>
      </c>
      <c r="AG40" t="s">
        <v>131</v>
      </c>
      <c r="AH40" t="s">
        <v>126</v>
      </c>
    </row>
    <row r="41" spans="5:34" x14ac:dyDescent="0.35">
      <c r="E41" t="s">
        <v>39</v>
      </c>
      <c r="F41" s="47">
        <v>45.477301239981145</v>
      </c>
      <c r="G41" s="1">
        <v>16772</v>
      </c>
      <c r="H41">
        <v>1972</v>
      </c>
      <c r="I41">
        <f t="shared" si="0"/>
        <v>8.5050709939148081</v>
      </c>
      <c r="J41" t="str">
        <f t="shared" si="1"/>
        <v>4. Very rapid education production - Less than 10 stock to grad</v>
      </c>
      <c r="K41" t="str">
        <f t="shared" si="2"/>
        <v>3. Median-Q3 density</v>
      </c>
      <c r="AF41" t="s">
        <v>1</v>
      </c>
      <c r="AG41" t="s">
        <v>125</v>
      </c>
      <c r="AH41" t="s">
        <v>126</v>
      </c>
    </row>
    <row r="42" spans="5:34" x14ac:dyDescent="0.35">
      <c r="E42" t="s">
        <v>40</v>
      </c>
      <c r="F42" s="47">
        <v>110.14054068074168</v>
      </c>
      <c r="G42" s="1">
        <v>445282.24962174537</v>
      </c>
      <c r="H42">
        <v>4152</v>
      </c>
      <c r="I42">
        <f t="shared" si="0"/>
        <v>107.24524316516025</v>
      </c>
      <c r="J42" t="str">
        <f t="shared" si="1"/>
        <v>1. Very slow education production - 30 stock to grad and more</v>
      </c>
      <c r="K42" t="str">
        <f t="shared" si="2"/>
        <v>4. &gt;Q3 density</v>
      </c>
      <c r="AF42" t="s">
        <v>70</v>
      </c>
      <c r="AG42" t="s">
        <v>125</v>
      </c>
      <c r="AH42" t="s">
        <v>126</v>
      </c>
    </row>
    <row r="43" spans="5:34" x14ac:dyDescent="0.35">
      <c r="E43" t="s">
        <v>41</v>
      </c>
      <c r="F43" s="47">
        <v>19.70458233636975</v>
      </c>
      <c r="G43" s="1">
        <v>4986</v>
      </c>
      <c r="H43">
        <v>241</v>
      </c>
      <c r="I43">
        <f t="shared" si="0"/>
        <v>20.688796680497926</v>
      </c>
      <c r="J43" t="str">
        <f t="shared" si="1"/>
        <v>2. Slow education production - 20 to 30 stock to grad</v>
      </c>
      <c r="K43" t="str">
        <f t="shared" si="2"/>
        <v>1. &lt;Q1 density</v>
      </c>
      <c r="AF43" t="s">
        <v>32</v>
      </c>
      <c r="AG43" t="s">
        <v>125</v>
      </c>
      <c r="AH43" t="s">
        <v>126</v>
      </c>
    </row>
    <row r="44" spans="5:34" x14ac:dyDescent="0.35">
      <c r="E44" t="s">
        <v>42</v>
      </c>
      <c r="F44" s="47">
        <v>28.683351968574311</v>
      </c>
      <c r="G44" s="1">
        <v>40633</v>
      </c>
      <c r="H44">
        <v>3250</v>
      </c>
      <c r="I44">
        <f t="shared" si="0"/>
        <v>12.502461538461539</v>
      </c>
      <c r="J44" t="str">
        <f t="shared" si="1"/>
        <v>3. Rapid education production - 10 to 20 stock to grad</v>
      </c>
      <c r="K44" t="str">
        <f t="shared" si="2"/>
        <v>2. Q1-Median density</v>
      </c>
      <c r="AF44" s="50" t="s">
        <v>4</v>
      </c>
      <c r="AG44" s="50" t="s">
        <v>130</v>
      </c>
      <c r="AH44" t="s">
        <v>126</v>
      </c>
    </row>
    <row r="45" spans="5:34" x14ac:dyDescent="0.35">
      <c r="E45" t="s">
        <v>43</v>
      </c>
      <c r="F45" s="47">
        <v>30.235229462209936</v>
      </c>
      <c r="G45" s="1">
        <v>3360</v>
      </c>
      <c r="H45">
        <v>317</v>
      </c>
      <c r="I45">
        <f t="shared" si="0"/>
        <v>10.599369085173501</v>
      </c>
      <c r="J45" t="str">
        <f t="shared" si="1"/>
        <v>3. Rapid education production - 10 to 20 stock to grad</v>
      </c>
      <c r="K45" t="str">
        <f t="shared" si="2"/>
        <v>2. Q1-Median density</v>
      </c>
      <c r="AF45" s="50" t="s">
        <v>30</v>
      </c>
      <c r="AG45" s="50" t="s">
        <v>130</v>
      </c>
      <c r="AH45" t="s">
        <v>126</v>
      </c>
    </row>
    <row r="46" spans="5:34" x14ac:dyDescent="0.35">
      <c r="E46" t="s">
        <v>44</v>
      </c>
      <c r="F46" s="47">
        <v>70.939806529751905</v>
      </c>
      <c r="G46" s="1">
        <v>83248.781327967808</v>
      </c>
      <c r="H46">
        <v>15998</v>
      </c>
      <c r="I46">
        <f t="shared" si="0"/>
        <v>5.2036992954099146</v>
      </c>
      <c r="J46" t="str">
        <f t="shared" si="1"/>
        <v>4. Very rapid education production - Less than 10 stock to grad</v>
      </c>
      <c r="K46" t="str">
        <f t="shared" si="2"/>
        <v>4. &gt;Q3 density</v>
      </c>
      <c r="AF46" s="50" t="s">
        <v>20</v>
      </c>
      <c r="AG46" s="50" t="s">
        <v>128</v>
      </c>
      <c r="AH46" t="s">
        <v>126</v>
      </c>
    </row>
    <row r="47" spans="5:34" x14ac:dyDescent="0.35">
      <c r="E47" t="s">
        <v>45</v>
      </c>
      <c r="F47" s="47">
        <v>55.939473332937403</v>
      </c>
      <c r="G47" s="1">
        <v>56506</v>
      </c>
      <c r="H47">
        <v>5372</v>
      </c>
      <c r="I47">
        <f t="shared" si="0"/>
        <v>10.51861504095309</v>
      </c>
      <c r="J47" t="str">
        <f t="shared" si="1"/>
        <v>3. Rapid education production - 10 to 20 stock to grad</v>
      </c>
      <c r="K47" t="str">
        <f t="shared" si="2"/>
        <v>3. Median-Q3 density</v>
      </c>
      <c r="AF47" s="50" t="s">
        <v>24</v>
      </c>
      <c r="AG47" s="50" t="s">
        <v>128</v>
      </c>
      <c r="AH47" t="s">
        <v>126</v>
      </c>
    </row>
    <row r="48" spans="5:34" x14ac:dyDescent="0.35">
      <c r="E48" t="s">
        <v>46</v>
      </c>
      <c r="F48" s="47">
        <v>64.042986580794391</v>
      </c>
      <c r="G48" s="1">
        <v>49668.598365533384</v>
      </c>
      <c r="H48">
        <v>1365</v>
      </c>
      <c r="I48">
        <f t="shared" si="0"/>
        <v>36.387251549841309</v>
      </c>
      <c r="J48" t="str">
        <f t="shared" si="1"/>
        <v>1. Very slow education production - 30 stock to grad and more</v>
      </c>
      <c r="K48" t="str">
        <f t="shared" si="2"/>
        <v>4. &gt;Q3 density</v>
      </c>
      <c r="AF48" s="50" t="s">
        <v>44</v>
      </c>
      <c r="AG48" s="50" t="s">
        <v>128</v>
      </c>
      <c r="AH48" t="s">
        <v>126</v>
      </c>
    </row>
    <row r="52" spans="8:32" x14ac:dyDescent="0.35">
      <c r="H52" t="s">
        <v>103</v>
      </c>
      <c r="I52">
        <v>22.857935830441416</v>
      </c>
    </row>
    <row r="53" spans="8:32" x14ac:dyDescent="0.35">
      <c r="K53" t="s">
        <v>107</v>
      </c>
      <c r="L53" t="s">
        <v>105</v>
      </c>
      <c r="M53">
        <v>35</v>
      </c>
      <c r="N53" t="s">
        <v>106</v>
      </c>
      <c r="T53">
        <v>9</v>
      </c>
      <c r="AA53">
        <v>16</v>
      </c>
    </row>
    <row r="54" spans="8:32" x14ac:dyDescent="0.35">
      <c r="J54">
        <v>10</v>
      </c>
      <c r="K54" t="s">
        <v>108</v>
      </c>
      <c r="L54">
        <v>100</v>
      </c>
      <c r="M54">
        <f>L54+L54/$J54</f>
        <v>110</v>
      </c>
      <c r="N54">
        <f t="shared" ref="N54:AB54" si="3">M54+M54/$J54</f>
        <v>121</v>
      </c>
      <c r="O54">
        <f t="shared" si="3"/>
        <v>133.1</v>
      </c>
      <c r="P54">
        <f t="shared" si="3"/>
        <v>146.41</v>
      </c>
      <c r="Q54">
        <f t="shared" si="3"/>
        <v>161.05099999999999</v>
      </c>
      <c r="R54">
        <f t="shared" si="3"/>
        <v>177.15609999999998</v>
      </c>
      <c r="S54">
        <f t="shared" si="3"/>
        <v>194.87170999999998</v>
      </c>
      <c r="T54">
        <f t="shared" si="3"/>
        <v>214.35888099999997</v>
      </c>
      <c r="U54">
        <f t="shared" si="3"/>
        <v>235.79476909999997</v>
      </c>
      <c r="V54">
        <f t="shared" si="3"/>
        <v>259.37424600999998</v>
      </c>
      <c r="W54">
        <f t="shared" si="3"/>
        <v>285.31167061099995</v>
      </c>
      <c r="X54">
        <f t="shared" si="3"/>
        <v>313.84283767209996</v>
      </c>
      <c r="Y54">
        <f t="shared" si="3"/>
        <v>345.22712143930994</v>
      </c>
      <c r="Z54">
        <f t="shared" si="3"/>
        <v>379.74983358324096</v>
      </c>
      <c r="AA54">
        <f t="shared" si="3"/>
        <v>417.72481694156505</v>
      </c>
      <c r="AB54">
        <f t="shared" si="3"/>
        <v>459.49729863572156</v>
      </c>
      <c r="AC54">
        <f t="shared" ref="AC54:AE54" si="4">AB54+AB54/$J54</f>
        <v>505.44702849929371</v>
      </c>
      <c r="AD54">
        <f t="shared" si="4"/>
        <v>555.99173134922307</v>
      </c>
      <c r="AE54">
        <f t="shared" si="4"/>
        <v>611.59090448414543</v>
      </c>
      <c r="AF54">
        <f>AE54+AE54/$J54</f>
        <v>672.74999493255996</v>
      </c>
    </row>
    <row r="55" spans="8:32" x14ac:dyDescent="0.35">
      <c r="J55">
        <v>20</v>
      </c>
      <c r="K55" t="s">
        <v>109</v>
      </c>
      <c r="L55">
        <v>100</v>
      </c>
      <c r="M55">
        <f t="shared" ref="M55:AB55" si="5">L55+L55/$J55</f>
        <v>105</v>
      </c>
      <c r="N55">
        <f t="shared" si="5"/>
        <v>110.25</v>
      </c>
      <c r="O55">
        <f t="shared" si="5"/>
        <v>115.7625</v>
      </c>
      <c r="P55">
        <f t="shared" si="5"/>
        <v>121.550625</v>
      </c>
      <c r="Q55">
        <f t="shared" si="5"/>
        <v>127.62815624999999</v>
      </c>
      <c r="R55">
        <f t="shared" si="5"/>
        <v>134.00956406249998</v>
      </c>
      <c r="S55">
        <f t="shared" si="5"/>
        <v>140.71004226562496</v>
      </c>
      <c r="T55">
        <f t="shared" si="5"/>
        <v>147.7455443789062</v>
      </c>
      <c r="U55">
        <f t="shared" si="5"/>
        <v>155.13282159785152</v>
      </c>
      <c r="V55">
        <f t="shared" si="5"/>
        <v>162.88946267774409</v>
      </c>
      <c r="W55">
        <f t="shared" si="5"/>
        <v>171.0339358116313</v>
      </c>
      <c r="X55">
        <f t="shared" si="5"/>
        <v>179.58563260221285</v>
      </c>
      <c r="Y55">
        <f t="shared" si="5"/>
        <v>188.5649142323235</v>
      </c>
      <c r="Z55">
        <f t="shared" si="5"/>
        <v>197.99315994393967</v>
      </c>
      <c r="AA55">
        <f t="shared" si="5"/>
        <v>207.89281794113666</v>
      </c>
      <c r="AB55">
        <f t="shared" si="5"/>
        <v>218.28745883819349</v>
      </c>
      <c r="AC55">
        <f t="shared" ref="AC55:AE55" si="6">AB55+AB55/$J55</f>
        <v>229.20183178010316</v>
      </c>
      <c r="AD55">
        <f t="shared" si="6"/>
        <v>240.66192336910831</v>
      </c>
      <c r="AE55">
        <f t="shared" si="6"/>
        <v>252.69501953756372</v>
      </c>
      <c r="AF55">
        <f>AE55+AE55/$J55</f>
        <v>265.32977051444192</v>
      </c>
    </row>
    <row r="56" spans="8:32" x14ac:dyDescent="0.35">
      <c r="J56">
        <v>30</v>
      </c>
      <c r="K56" t="s">
        <v>110</v>
      </c>
      <c r="L56">
        <v>100</v>
      </c>
      <c r="M56">
        <f t="shared" ref="M56:AB56" si="7">L56+L56/$J56</f>
        <v>103.33333333333333</v>
      </c>
      <c r="N56">
        <f t="shared" si="7"/>
        <v>106.77777777777777</v>
      </c>
      <c r="O56">
        <f t="shared" si="7"/>
        <v>110.33703703703704</v>
      </c>
      <c r="P56">
        <f t="shared" si="7"/>
        <v>114.01493827160493</v>
      </c>
      <c r="Q56">
        <f t="shared" si="7"/>
        <v>117.81543621399176</v>
      </c>
      <c r="R56">
        <f t="shared" si="7"/>
        <v>121.74261742112482</v>
      </c>
      <c r="S56">
        <f t="shared" si="7"/>
        <v>125.80070466849564</v>
      </c>
      <c r="T56">
        <f t="shared" si="7"/>
        <v>129.99406149077882</v>
      </c>
      <c r="U56">
        <f t="shared" si="7"/>
        <v>134.32719687380478</v>
      </c>
      <c r="V56">
        <f t="shared" si="7"/>
        <v>138.8047701029316</v>
      </c>
      <c r="W56">
        <f t="shared" si="7"/>
        <v>143.43159577302933</v>
      </c>
      <c r="X56">
        <f t="shared" si="7"/>
        <v>148.21264896546364</v>
      </c>
      <c r="Y56">
        <f t="shared" si="7"/>
        <v>153.15307059764575</v>
      </c>
      <c r="Z56">
        <f t="shared" si="7"/>
        <v>158.25817295090062</v>
      </c>
      <c r="AA56">
        <f t="shared" si="7"/>
        <v>163.53344538259731</v>
      </c>
      <c r="AB56">
        <f t="shared" si="7"/>
        <v>168.98456022868388</v>
      </c>
      <c r="AC56">
        <f t="shared" ref="AC56:AE56" si="8">AB56+AB56/$J56</f>
        <v>174.61737890297334</v>
      </c>
      <c r="AD56">
        <f t="shared" si="8"/>
        <v>180.43795819973911</v>
      </c>
      <c r="AE56">
        <f t="shared" si="8"/>
        <v>186.4525568063971</v>
      </c>
      <c r="AF56">
        <f>AE56+AE56/$J56</f>
        <v>192.66764203327699</v>
      </c>
    </row>
  </sheetData>
  <sortState xmlns:xlrd2="http://schemas.microsoft.com/office/spreadsheetml/2017/richdata2" ref="AF2:AH48">
    <sortCondition ref="AH2:AH48"/>
    <sortCondition ref="AG2:AG48"/>
  </sortState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F6C29-39A2-4AB4-8CF4-E3CAC49AB1BC}">
  <dimension ref="A3:F9"/>
  <sheetViews>
    <sheetView workbookViewId="0">
      <selection activeCell="E16" sqref="E16"/>
    </sheetView>
  </sheetViews>
  <sheetFormatPr defaultRowHeight="14.5" x14ac:dyDescent="0.35"/>
  <cols>
    <col min="1" max="1" width="54.81640625" bestFit="1" customWidth="1"/>
    <col min="2" max="2" width="16.26953125" bestFit="1" customWidth="1"/>
    <col min="3" max="3" width="11.453125" bestFit="1" customWidth="1"/>
    <col min="4" max="5" width="18.26953125" bestFit="1" customWidth="1"/>
    <col min="6" max="6" width="11.26953125" bestFit="1" customWidth="1"/>
  </cols>
  <sheetData>
    <row r="3" spans="1:6" x14ac:dyDescent="0.35">
      <c r="A3" s="48" t="s">
        <v>113</v>
      </c>
      <c r="B3" s="48" t="s">
        <v>120</v>
      </c>
    </row>
    <row r="4" spans="1:6" x14ac:dyDescent="0.35">
      <c r="A4" s="48" t="s">
        <v>114</v>
      </c>
      <c r="B4" t="s">
        <v>121</v>
      </c>
      <c r="C4" t="s">
        <v>122</v>
      </c>
      <c r="D4" t="s">
        <v>123</v>
      </c>
      <c r="E4" t="s">
        <v>124</v>
      </c>
      <c r="F4" t="s">
        <v>119</v>
      </c>
    </row>
    <row r="5" spans="1:6" x14ac:dyDescent="0.35">
      <c r="A5" s="26" t="s">
        <v>115</v>
      </c>
      <c r="C5">
        <v>2</v>
      </c>
      <c r="D5">
        <v>2</v>
      </c>
      <c r="E5">
        <v>6</v>
      </c>
      <c r="F5">
        <v>10</v>
      </c>
    </row>
    <row r="6" spans="1:6" x14ac:dyDescent="0.35">
      <c r="A6" s="26" t="s">
        <v>116</v>
      </c>
      <c r="B6">
        <v>3</v>
      </c>
      <c r="C6">
        <v>3</v>
      </c>
      <c r="D6">
        <v>3</v>
      </c>
      <c r="E6">
        <v>2</v>
      </c>
      <c r="F6">
        <v>11</v>
      </c>
    </row>
    <row r="7" spans="1:6" x14ac:dyDescent="0.35">
      <c r="A7" s="26" t="s">
        <v>117</v>
      </c>
      <c r="B7">
        <v>7</v>
      </c>
      <c r="C7">
        <v>3</v>
      </c>
      <c r="D7">
        <v>2</v>
      </c>
      <c r="E7">
        <v>3</v>
      </c>
      <c r="F7">
        <v>15</v>
      </c>
    </row>
    <row r="8" spans="1:6" x14ac:dyDescent="0.35">
      <c r="A8" s="26" t="s">
        <v>118</v>
      </c>
      <c r="B8">
        <v>2</v>
      </c>
      <c r="C8">
        <v>4</v>
      </c>
      <c r="D8">
        <v>5</v>
      </c>
      <c r="F8">
        <v>11</v>
      </c>
    </row>
    <row r="9" spans="1:6" x14ac:dyDescent="0.35">
      <c r="A9" s="26" t="s">
        <v>119</v>
      </c>
      <c r="B9">
        <v>12</v>
      </c>
      <c r="C9">
        <v>12</v>
      </c>
      <c r="D9">
        <v>12</v>
      </c>
      <c r="E9">
        <v>11</v>
      </c>
      <c r="F9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Stock grad Doctors</vt:lpstr>
      <vt:lpstr>Sheet2</vt:lpstr>
      <vt:lpstr>Nurses</vt:lpstr>
      <vt:lpstr>DoctNurses</vt:lpstr>
      <vt:lpstr>All workforce stock</vt:lpstr>
      <vt:lpstr>All workforce density </vt:lpstr>
      <vt:lpstr>Education capacity</vt:lpstr>
      <vt:lpstr>Combined density-grad-stock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2024-03-05T16:05:31Z</dcterms:created>
  <dcterms:modified xsi:type="dcterms:W3CDTF">2024-03-08T11:00:08Z</dcterms:modified>
</cp:coreProperties>
</file>