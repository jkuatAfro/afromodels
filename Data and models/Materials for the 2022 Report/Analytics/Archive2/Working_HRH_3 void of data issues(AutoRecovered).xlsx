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BEB0D53A-66F1-48A9-BA77-A1850F0E2107}" xr6:coauthVersionLast="47" xr6:coauthVersionMax="47" xr10:uidLastSave="{00000000-0000-0000-0000-000000000000}"/>
  <bookViews>
    <workbookView xWindow="-110" yWindow="-110" windowWidth="19420" windowHeight="10300" firstSheet="2" activeTab="3" xr2:uid="{85C07AC0-74BC-44EC-A234-C7B53907DAA4}"/>
  </bookViews>
  <sheets>
    <sheet name="Sheet1" sheetId="1" state="hidden" r:id="rId1"/>
    <sheet name="CLASSES" sheetId="2" r:id="rId2"/>
    <sheet name="CLEAN" sheetId="3" r:id="rId3"/>
    <sheet name="Sheet2" sheetId="7" r:id="rId4"/>
    <sheet name="CLEAN (Final)" sheetId="5" r:id="rId5"/>
  </sheets>
  <definedNames>
    <definedName name="_xlnm._FilterDatabase" localSheetId="1" hidden="1">CLASSES!$A$2:$B$62</definedName>
    <definedName name="_xlnm._FilterDatabase" localSheetId="2" hidden="1">CLEAN!$A$1:$BP$518</definedName>
    <definedName name="_xlnm._FilterDatabase" localSheetId="4" hidden="1">'CLEAN (Final)'!$A$1:$CU$519</definedName>
    <definedName name="_xlnm._FilterDatabase" localSheetId="0" hidden="1">Sheet1!$A$1:$BL$518</definedName>
  </definedNames>
  <calcPr calcId="191029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3" i="5" l="1"/>
  <c r="AT4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4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238" i="5"/>
  <c r="AT239" i="5"/>
  <c r="AT240" i="5"/>
  <c r="AT241" i="5"/>
  <c r="AT242" i="5"/>
  <c r="AT243" i="5"/>
  <c r="AT244" i="5"/>
  <c r="AT245" i="5"/>
  <c r="AT246" i="5"/>
  <c r="AT247" i="5"/>
  <c r="AT248" i="5"/>
  <c r="AT249" i="5"/>
  <c r="AT250" i="5"/>
  <c r="AT251" i="5"/>
  <c r="AT252" i="5"/>
  <c r="AT253" i="5"/>
  <c r="AT254" i="5"/>
  <c r="AT255" i="5"/>
  <c r="AT256" i="5"/>
  <c r="AT257" i="5"/>
  <c r="AT258" i="5"/>
  <c r="AT259" i="5"/>
  <c r="AT260" i="5"/>
  <c r="AT261" i="5"/>
  <c r="AT262" i="5"/>
  <c r="AT263" i="5"/>
  <c r="AT264" i="5"/>
  <c r="AT265" i="5"/>
  <c r="AT266" i="5"/>
  <c r="AT267" i="5"/>
  <c r="AT268" i="5"/>
  <c r="AT269" i="5"/>
  <c r="AT270" i="5"/>
  <c r="AT271" i="5"/>
  <c r="AT272" i="5"/>
  <c r="AT273" i="5"/>
  <c r="AT274" i="5"/>
  <c r="AT275" i="5"/>
  <c r="AT276" i="5"/>
  <c r="AT277" i="5"/>
  <c r="AT278" i="5"/>
  <c r="AT279" i="5"/>
  <c r="AT280" i="5"/>
  <c r="AT281" i="5"/>
  <c r="AT282" i="5"/>
  <c r="AT283" i="5"/>
  <c r="AT284" i="5"/>
  <c r="AT285" i="5"/>
  <c r="AT286" i="5"/>
  <c r="AT287" i="5"/>
  <c r="AT288" i="5"/>
  <c r="AT289" i="5"/>
  <c r="AT290" i="5"/>
  <c r="AT291" i="5"/>
  <c r="AT292" i="5"/>
  <c r="AT293" i="5"/>
  <c r="AT294" i="5"/>
  <c r="AT295" i="5"/>
  <c r="AT296" i="5"/>
  <c r="AT297" i="5"/>
  <c r="AT298" i="5"/>
  <c r="AT299" i="5"/>
  <c r="AT300" i="5"/>
  <c r="AT301" i="5"/>
  <c r="AT302" i="5"/>
  <c r="AT303" i="5"/>
  <c r="AT304" i="5"/>
  <c r="AT305" i="5"/>
  <c r="AT306" i="5"/>
  <c r="AT307" i="5"/>
  <c r="AT308" i="5"/>
  <c r="AT309" i="5"/>
  <c r="AT310" i="5"/>
  <c r="AT311" i="5"/>
  <c r="AT312" i="5"/>
  <c r="AT313" i="5"/>
  <c r="AT314" i="5"/>
  <c r="AT315" i="5"/>
  <c r="AT316" i="5"/>
  <c r="AT317" i="5"/>
  <c r="AT318" i="5"/>
  <c r="AT319" i="5"/>
  <c r="AT320" i="5"/>
  <c r="AT321" i="5"/>
  <c r="AT322" i="5"/>
  <c r="AT323" i="5"/>
  <c r="AT324" i="5"/>
  <c r="AT325" i="5"/>
  <c r="AT326" i="5"/>
  <c r="AT327" i="5"/>
  <c r="AT328" i="5"/>
  <c r="AT329" i="5"/>
  <c r="AT330" i="5"/>
  <c r="AT331" i="5"/>
  <c r="AT332" i="5"/>
  <c r="AT333" i="5"/>
  <c r="AT334" i="5"/>
  <c r="AT335" i="5"/>
  <c r="AT336" i="5"/>
  <c r="AT337" i="5"/>
  <c r="AT338" i="5"/>
  <c r="AT339" i="5"/>
  <c r="AT340" i="5"/>
  <c r="AT341" i="5"/>
  <c r="AT342" i="5"/>
  <c r="AT343" i="5"/>
  <c r="AT344" i="5"/>
  <c r="AT345" i="5"/>
  <c r="AT346" i="5"/>
  <c r="AT347" i="5"/>
  <c r="AT348" i="5"/>
  <c r="AT349" i="5"/>
  <c r="AT350" i="5"/>
  <c r="AT351" i="5"/>
  <c r="AT352" i="5"/>
  <c r="AT353" i="5"/>
  <c r="AT354" i="5"/>
  <c r="AT355" i="5"/>
  <c r="AT356" i="5"/>
  <c r="AT357" i="5"/>
  <c r="AT358" i="5"/>
  <c r="AT359" i="5"/>
  <c r="AT360" i="5"/>
  <c r="AT361" i="5"/>
  <c r="AT362" i="5"/>
  <c r="AT363" i="5"/>
  <c r="AT364" i="5"/>
  <c r="AT365" i="5"/>
  <c r="AT366" i="5"/>
  <c r="AT367" i="5"/>
  <c r="AT368" i="5"/>
  <c r="AT369" i="5"/>
  <c r="AT370" i="5"/>
  <c r="AT371" i="5"/>
  <c r="AT372" i="5"/>
  <c r="AT373" i="5"/>
  <c r="AT374" i="5"/>
  <c r="AT375" i="5"/>
  <c r="AT376" i="5"/>
  <c r="AT377" i="5"/>
  <c r="AT378" i="5"/>
  <c r="AT379" i="5"/>
  <c r="AT380" i="5"/>
  <c r="AT381" i="5"/>
  <c r="AT382" i="5"/>
  <c r="AT383" i="5"/>
  <c r="AT384" i="5"/>
  <c r="AT385" i="5"/>
  <c r="AT386" i="5"/>
  <c r="AT387" i="5"/>
  <c r="AT388" i="5"/>
  <c r="AT389" i="5"/>
  <c r="AT390" i="5"/>
  <c r="AT391" i="5"/>
  <c r="AT392" i="5"/>
  <c r="AT393" i="5"/>
  <c r="AT394" i="5"/>
  <c r="AT395" i="5"/>
  <c r="AT396" i="5"/>
  <c r="AT397" i="5"/>
  <c r="AT398" i="5"/>
  <c r="AT399" i="5"/>
  <c r="AT400" i="5"/>
  <c r="AT401" i="5"/>
  <c r="AT402" i="5"/>
  <c r="AT403" i="5"/>
  <c r="AT404" i="5"/>
  <c r="AT405" i="5"/>
  <c r="AT406" i="5"/>
  <c r="AT407" i="5"/>
  <c r="AT408" i="5"/>
  <c r="AT409" i="5"/>
  <c r="AT410" i="5"/>
  <c r="AT411" i="5"/>
  <c r="AT412" i="5"/>
  <c r="AT413" i="5"/>
  <c r="AT414" i="5"/>
  <c r="AT415" i="5"/>
  <c r="AT416" i="5"/>
  <c r="AT417" i="5"/>
  <c r="AT418" i="5"/>
  <c r="AT419" i="5"/>
  <c r="AT420" i="5"/>
  <c r="AT421" i="5"/>
  <c r="AT422" i="5"/>
  <c r="AT423" i="5"/>
  <c r="AT424" i="5"/>
  <c r="AT425" i="5"/>
  <c r="AT426" i="5"/>
  <c r="AT427" i="5"/>
  <c r="AT428" i="5"/>
  <c r="AT429" i="5"/>
  <c r="AT430" i="5"/>
  <c r="AT431" i="5"/>
  <c r="AT432" i="5"/>
  <c r="AT433" i="5"/>
  <c r="AT434" i="5"/>
  <c r="AT435" i="5"/>
  <c r="AT436" i="5"/>
  <c r="AT437" i="5"/>
  <c r="AT438" i="5"/>
  <c r="AT439" i="5"/>
  <c r="AT440" i="5"/>
  <c r="AT441" i="5"/>
  <c r="AT442" i="5"/>
  <c r="AT443" i="5"/>
  <c r="AT444" i="5"/>
  <c r="AT445" i="5"/>
  <c r="AT446" i="5"/>
  <c r="AT447" i="5"/>
  <c r="AT448" i="5"/>
  <c r="AT449" i="5"/>
  <c r="AT450" i="5"/>
  <c r="AT451" i="5"/>
  <c r="AT452" i="5"/>
  <c r="AT453" i="5"/>
  <c r="AT454" i="5"/>
  <c r="AT455" i="5"/>
  <c r="AT456" i="5"/>
  <c r="AT457" i="5"/>
  <c r="AT458" i="5"/>
  <c r="AT459" i="5"/>
  <c r="AT460" i="5"/>
  <c r="AT461" i="5"/>
  <c r="AT462" i="5"/>
  <c r="AT463" i="5"/>
  <c r="AT464" i="5"/>
  <c r="AT465" i="5"/>
  <c r="AT466" i="5"/>
  <c r="AT467" i="5"/>
  <c r="AT468" i="5"/>
  <c r="AT469" i="5"/>
  <c r="AT470" i="5"/>
  <c r="AT471" i="5"/>
  <c r="AT472" i="5"/>
  <c r="AT473" i="5"/>
  <c r="AT474" i="5"/>
  <c r="AT475" i="5"/>
  <c r="AT476" i="5"/>
  <c r="AT477" i="5"/>
  <c r="AT478" i="5"/>
  <c r="AT479" i="5"/>
  <c r="AT480" i="5"/>
  <c r="AT481" i="5"/>
  <c r="AT482" i="5"/>
  <c r="AT483" i="5"/>
  <c r="AT484" i="5"/>
  <c r="AT485" i="5"/>
  <c r="AT486" i="5"/>
  <c r="AT487" i="5"/>
  <c r="AT488" i="5"/>
  <c r="AT489" i="5"/>
  <c r="AT490" i="5"/>
  <c r="AT491" i="5"/>
  <c r="AT492" i="5"/>
  <c r="AT493" i="5"/>
  <c r="AT494" i="5"/>
  <c r="AT495" i="5"/>
  <c r="AT496" i="5"/>
  <c r="AT497" i="5"/>
  <c r="AT498" i="5"/>
  <c r="AT499" i="5"/>
  <c r="AT500" i="5"/>
  <c r="AT501" i="5"/>
  <c r="AT502" i="5"/>
  <c r="AT503" i="5"/>
  <c r="AT504" i="5"/>
  <c r="AT505" i="5"/>
  <c r="AT506" i="5"/>
  <c r="AT507" i="5"/>
  <c r="AT508" i="5"/>
  <c r="AT509" i="5"/>
  <c r="AT510" i="5"/>
  <c r="AT511" i="5"/>
  <c r="AT512" i="5"/>
  <c r="AT513" i="5"/>
  <c r="AT514" i="5"/>
  <c r="AT515" i="5"/>
  <c r="AT516" i="5"/>
  <c r="AT517" i="5"/>
  <c r="AT518" i="5"/>
  <c r="AT2" i="5"/>
  <c r="AQ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0" i="5"/>
  <c r="AQ251" i="5"/>
  <c r="AQ252" i="5"/>
  <c r="AQ253" i="5"/>
  <c r="AQ254" i="5"/>
  <c r="AQ255" i="5"/>
  <c r="AQ256" i="5"/>
  <c r="AQ257" i="5"/>
  <c r="AQ258" i="5"/>
  <c r="AQ259" i="5"/>
  <c r="AQ260" i="5"/>
  <c r="AQ261" i="5"/>
  <c r="AQ262" i="5"/>
  <c r="AQ263" i="5"/>
  <c r="AQ264" i="5"/>
  <c r="AQ265" i="5"/>
  <c r="AQ266" i="5"/>
  <c r="AQ267" i="5"/>
  <c r="AQ268" i="5"/>
  <c r="AQ269" i="5"/>
  <c r="AQ270" i="5"/>
  <c r="AQ271" i="5"/>
  <c r="AQ272" i="5"/>
  <c r="AQ273" i="5"/>
  <c r="AQ274" i="5"/>
  <c r="AQ275" i="5"/>
  <c r="AQ276" i="5"/>
  <c r="AQ277" i="5"/>
  <c r="AQ278" i="5"/>
  <c r="AQ279" i="5"/>
  <c r="AQ280" i="5"/>
  <c r="AQ281" i="5"/>
  <c r="AQ282" i="5"/>
  <c r="AQ283" i="5"/>
  <c r="AQ284" i="5"/>
  <c r="AQ285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99" i="5"/>
  <c r="AQ300" i="5"/>
  <c r="AQ301" i="5"/>
  <c r="AQ302" i="5"/>
  <c r="AQ303" i="5"/>
  <c r="AQ304" i="5"/>
  <c r="AQ305" i="5"/>
  <c r="AQ306" i="5"/>
  <c r="AQ307" i="5"/>
  <c r="AQ308" i="5"/>
  <c r="AQ309" i="5"/>
  <c r="AQ310" i="5"/>
  <c r="AQ311" i="5"/>
  <c r="AQ312" i="5"/>
  <c r="AQ313" i="5"/>
  <c r="AQ314" i="5"/>
  <c r="AQ315" i="5"/>
  <c r="AQ316" i="5"/>
  <c r="AQ317" i="5"/>
  <c r="AQ318" i="5"/>
  <c r="AQ319" i="5"/>
  <c r="AQ320" i="5"/>
  <c r="AQ321" i="5"/>
  <c r="AQ322" i="5"/>
  <c r="AQ323" i="5"/>
  <c r="AQ324" i="5"/>
  <c r="AQ325" i="5"/>
  <c r="AQ326" i="5"/>
  <c r="AQ327" i="5"/>
  <c r="AQ328" i="5"/>
  <c r="AQ329" i="5"/>
  <c r="AQ330" i="5"/>
  <c r="AQ331" i="5"/>
  <c r="AQ332" i="5"/>
  <c r="AQ333" i="5"/>
  <c r="AQ334" i="5"/>
  <c r="AQ335" i="5"/>
  <c r="AQ336" i="5"/>
  <c r="AQ337" i="5"/>
  <c r="AQ338" i="5"/>
  <c r="AQ339" i="5"/>
  <c r="AQ340" i="5"/>
  <c r="AQ341" i="5"/>
  <c r="AQ342" i="5"/>
  <c r="AQ343" i="5"/>
  <c r="AQ344" i="5"/>
  <c r="AQ345" i="5"/>
  <c r="AQ346" i="5"/>
  <c r="AQ347" i="5"/>
  <c r="AQ348" i="5"/>
  <c r="AQ349" i="5"/>
  <c r="AQ350" i="5"/>
  <c r="AQ351" i="5"/>
  <c r="AQ352" i="5"/>
  <c r="AQ353" i="5"/>
  <c r="AQ354" i="5"/>
  <c r="AQ355" i="5"/>
  <c r="AQ356" i="5"/>
  <c r="AQ357" i="5"/>
  <c r="AQ358" i="5"/>
  <c r="AQ359" i="5"/>
  <c r="AQ360" i="5"/>
  <c r="AQ361" i="5"/>
  <c r="AQ362" i="5"/>
  <c r="AQ363" i="5"/>
  <c r="AQ364" i="5"/>
  <c r="AQ365" i="5"/>
  <c r="AQ366" i="5"/>
  <c r="AQ367" i="5"/>
  <c r="AQ368" i="5"/>
  <c r="AQ369" i="5"/>
  <c r="AQ370" i="5"/>
  <c r="AQ371" i="5"/>
  <c r="AQ372" i="5"/>
  <c r="AQ373" i="5"/>
  <c r="AQ374" i="5"/>
  <c r="AQ375" i="5"/>
  <c r="AQ376" i="5"/>
  <c r="AQ377" i="5"/>
  <c r="AQ378" i="5"/>
  <c r="AQ379" i="5"/>
  <c r="AQ380" i="5"/>
  <c r="AQ381" i="5"/>
  <c r="AQ382" i="5"/>
  <c r="AQ383" i="5"/>
  <c r="AQ384" i="5"/>
  <c r="AQ385" i="5"/>
  <c r="AQ386" i="5"/>
  <c r="AQ387" i="5"/>
  <c r="AQ388" i="5"/>
  <c r="AQ389" i="5"/>
  <c r="AQ390" i="5"/>
  <c r="AQ391" i="5"/>
  <c r="AQ392" i="5"/>
  <c r="AQ393" i="5"/>
  <c r="AQ394" i="5"/>
  <c r="AQ395" i="5"/>
  <c r="AQ396" i="5"/>
  <c r="AQ397" i="5"/>
  <c r="AQ398" i="5"/>
  <c r="AQ399" i="5"/>
  <c r="AQ400" i="5"/>
  <c r="AQ401" i="5"/>
  <c r="AQ402" i="5"/>
  <c r="AQ403" i="5"/>
  <c r="AQ404" i="5"/>
  <c r="AQ405" i="5"/>
  <c r="AQ406" i="5"/>
  <c r="AQ407" i="5"/>
  <c r="AQ408" i="5"/>
  <c r="AQ409" i="5"/>
  <c r="AQ410" i="5"/>
  <c r="AQ411" i="5"/>
  <c r="AQ412" i="5"/>
  <c r="AQ413" i="5"/>
  <c r="AQ414" i="5"/>
  <c r="AQ415" i="5"/>
  <c r="AQ416" i="5"/>
  <c r="AQ417" i="5"/>
  <c r="AQ418" i="5"/>
  <c r="AQ419" i="5"/>
  <c r="AQ420" i="5"/>
  <c r="AQ421" i="5"/>
  <c r="AQ422" i="5"/>
  <c r="AQ423" i="5"/>
  <c r="AQ424" i="5"/>
  <c r="AQ425" i="5"/>
  <c r="AQ426" i="5"/>
  <c r="AQ427" i="5"/>
  <c r="AQ428" i="5"/>
  <c r="AQ429" i="5"/>
  <c r="AQ430" i="5"/>
  <c r="AQ431" i="5"/>
  <c r="AQ432" i="5"/>
  <c r="AQ433" i="5"/>
  <c r="AQ434" i="5"/>
  <c r="AQ435" i="5"/>
  <c r="AQ436" i="5"/>
  <c r="AQ437" i="5"/>
  <c r="AQ438" i="5"/>
  <c r="AQ439" i="5"/>
  <c r="AQ440" i="5"/>
  <c r="AQ441" i="5"/>
  <c r="AQ442" i="5"/>
  <c r="AQ443" i="5"/>
  <c r="AQ444" i="5"/>
  <c r="AQ445" i="5"/>
  <c r="AQ446" i="5"/>
  <c r="AQ447" i="5"/>
  <c r="AQ448" i="5"/>
  <c r="AQ449" i="5"/>
  <c r="AQ450" i="5"/>
  <c r="AQ451" i="5"/>
  <c r="AQ452" i="5"/>
  <c r="AQ453" i="5"/>
  <c r="AQ454" i="5"/>
  <c r="AQ455" i="5"/>
  <c r="AQ456" i="5"/>
  <c r="AQ457" i="5"/>
  <c r="AQ458" i="5"/>
  <c r="AQ459" i="5"/>
  <c r="AQ460" i="5"/>
  <c r="AQ461" i="5"/>
  <c r="AQ462" i="5"/>
  <c r="AQ463" i="5"/>
  <c r="AQ464" i="5"/>
  <c r="AQ465" i="5"/>
  <c r="AQ466" i="5"/>
  <c r="AQ467" i="5"/>
  <c r="AQ468" i="5"/>
  <c r="AQ469" i="5"/>
  <c r="AQ470" i="5"/>
  <c r="AQ471" i="5"/>
  <c r="AQ472" i="5"/>
  <c r="AQ473" i="5"/>
  <c r="AQ474" i="5"/>
  <c r="AQ475" i="5"/>
  <c r="AQ476" i="5"/>
  <c r="AQ477" i="5"/>
  <c r="AQ478" i="5"/>
  <c r="AQ479" i="5"/>
  <c r="AQ480" i="5"/>
  <c r="AQ481" i="5"/>
  <c r="AQ482" i="5"/>
  <c r="AQ483" i="5"/>
  <c r="AQ484" i="5"/>
  <c r="AQ485" i="5"/>
  <c r="AQ486" i="5"/>
  <c r="AQ487" i="5"/>
  <c r="AQ488" i="5"/>
  <c r="AQ489" i="5"/>
  <c r="AQ490" i="5"/>
  <c r="AQ491" i="5"/>
  <c r="AQ492" i="5"/>
  <c r="AQ493" i="5"/>
  <c r="AQ494" i="5"/>
  <c r="AQ495" i="5"/>
  <c r="AQ496" i="5"/>
  <c r="AQ497" i="5"/>
  <c r="AQ498" i="5"/>
  <c r="AQ499" i="5"/>
  <c r="AQ500" i="5"/>
  <c r="AQ501" i="5"/>
  <c r="AQ502" i="5"/>
  <c r="AQ503" i="5"/>
  <c r="AQ504" i="5"/>
  <c r="AQ505" i="5"/>
  <c r="AQ506" i="5"/>
  <c r="AQ507" i="5"/>
  <c r="AQ508" i="5"/>
  <c r="AQ509" i="5"/>
  <c r="AQ510" i="5"/>
  <c r="AQ511" i="5"/>
  <c r="AQ512" i="5"/>
  <c r="AQ513" i="5"/>
  <c r="AQ514" i="5"/>
  <c r="AQ515" i="5"/>
  <c r="AQ516" i="5"/>
  <c r="AQ517" i="5"/>
  <c r="AQ518" i="5"/>
  <c r="AQ2" i="5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AM468" i="5"/>
  <c r="AM469" i="5"/>
  <c r="AM470" i="5"/>
  <c r="AM471" i="5"/>
  <c r="AM472" i="5"/>
  <c r="AM473" i="5"/>
  <c r="AM474" i="5"/>
  <c r="AM475" i="5"/>
  <c r="AM476" i="5"/>
  <c r="AM477" i="5"/>
  <c r="AM478" i="5"/>
  <c r="AM479" i="5"/>
  <c r="AM480" i="5"/>
  <c r="AM481" i="5"/>
  <c r="AM482" i="5"/>
  <c r="AM483" i="5"/>
  <c r="AM484" i="5"/>
  <c r="AM485" i="5"/>
  <c r="AM486" i="5"/>
  <c r="AM487" i="5"/>
  <c r="AM488" i="5"/>
  <c r="AM489" i="5"/>
  <c r="AM490" i="5"/>
  <c r="AM491" i="5"/>
  <c r="AM492" i="5"/>
  <c r="AM493" i="5"/>
  <c r="AM494" i="5"/>
  <c r="AM495" i="5"/>
  <c r="AM496" i="5"/>
  <c r="AM497" i="5"/>
  <c r="AM498" i="5"/>
  <c r="AM499" i="5"/>
  <c r="AM500" i="5"/>
  <c r="AM501" i="5"/>
  <c r="AM502" i="5"/>
  <c r="AM503" i="5"/>
  <c r="AM504" i="5"/>
  <c r="AM505" i="5"/>
  <c r="AM506" i="5"/>
  <c r="AM507" i="5"/>
  <c r="AM508" i="5"/>
  <c r="AM509" i="5"/>
  <c r="AM510" i="5"/>
  <c r="AM511" i="5"/>
  <c r="AM512" i="5"/>
  <c r="AM513" i="5"/>
  <c r="AM514" i="5"/>
  <c r="AM515" i="5"/>
  <c r="AM516" i="5"/>
  <c r="AM517" i="5"/>
  <c r="AM518" i="5"/>
  <c r="AM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2" i="5"/>
  <c r="BN2" i="3"/>
  <c r="BT3" i="3"/>
  <c r="BT4" i="3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0" i="3"/>
  <c r="BT121" i="3"/>
  <c r="BT122" i="3"/>
  <c r="BT123" i="3"/>
  <c r="BT124" i="3"/>
  <c r="BT125" i="3"/>
  <c r="BT126" i="3"/>
  <c r="BT127" i="3"/>
  <c r="BT128" i="3"/>
  <c r="BT129" i="3"/>
  <c r="BT130" i="3"/>
  <c r="BT131" i="3"/>
  <c r="BT132" i="3"/>
  <c r="BT133" i="3"/>
  <c r="BT134" i="3"/>
  <c r="BT135" i="3"/>
  <c r="BT136" i="3"/>
  <c r="BT137" i="3"/>
  <c r="BT138" i="3"/>
  <c r="BT139" i="3"/>
  <c r="BT140" i="3"/>
  <c r="BT141" i="3"/>
  <c r="BT142" i="3"/>
  <c r="BT143" i="3"/>
  <c r="BT144" i="3"/>
  <c r="BT145" i="3"/>
  <c r="BT146" i="3"/>
  <c r="BT147" i="3"/>
  <c r="BT148" i="3"/>
  <c r="BT149" i="3"/>
  <c r="BT150" i="3"/>
  <c r="BT151" i="3"/>
  <c r="BT152" i="3"/>
  <c r="BT153" i="3"/>
  <c r="BT154" i="3"/>
  <c r="BT155" i="3"/>
  <c r="BT156" i="3"/>
  <c r="BT157" i="3"/>
  <c r="BT158" i="3"/>
  <c r="BT159" i="3"/>
  <c r="BT160" i="3"/>
  <c r="BT161" i="3"/>
  <c r="BT162" i="3"/>
  <c r="BT163" i="3"/>
  <c r="BT164" i="3"/>
  <c r="BT165" i="3"/>
  <c r="BT166" i="3"/>
  <c r="BT167" i="3"/>
  <c r="BT168" i="3"/>
  <c r="BT169" i="3"/>
  <c r="BT170" i="3"/>
  <c r="BT171" i="3"/>
  <c r="BT172" i="3"/>
  <c r="BT173" i="3"/>
  <c r="BT174" i="3"/>
  <c r="BT175" i="3"/>
  <c r="BT176" i="3"/>
  <c r="BT177" i="3"/>
  <c r="BT178" i="3"/>
  <c r="BT179" i="3"/>
  <c r="BT180" i="3"/>
  <c r="BT181" i="3"/>
  <c r="BT182" i="3"/>
  <c r="BT183" i="3"/>
  <c r="BT184" i="3"/>
  <c r="BT185" i="3"/>
  <c r="BT186" i="3"/>
  <c r="BT187" i="3"/>
  <c r="BT188" i="3"/>
  <c r="BT189" i="3"/>
  <c r="BT190" i="3"/>
  <c r="BT191" i="3"/>
  <c r="BT192" i="3"/>
  <c r="BT193" i="3"/>
  <c r="BT194" i="3"/>
  <c r="BT195" i="3"/>
  <c r="BT196" i="3"/>
  <c r="BT197" i="3"/>
  <c r="BT198" i="3"/>
  <c r="BT199" i="3"/>
  <c r="BT200" i="3"/>
  <c r="BT201" i="3"/>
  <c r="BT202" i="3"/>
  <c r="BT203" i="3"/>
  <c r="BT204" i="3"/>
  <c r="BT205" i="3"/>
  <c r="BT206" i="3"/>
  <c r="BT207" i="3"/>
  <c r="BT208" i="3"/>
  <c r="BT209" i="3"/>
  <c r="BT210" i="3"/>
  <c r="BT211" i="3"/>
  <c r="BT212" i="3"/>
  <c r="BT213" i="3"/>
  <c r="BT214" i="3"/>
  <c r="BT215" i="3"/>
  <c r="BT216" i="3"/>
  <c r="BT217" i="3"/>
  <c r="BT218" i="3"/>
  <c r="BT219" i="3"/>
  <c r="BT220" i="3"/>
  <c r="BT221" i="3"/>
  <c r="BT222" i="3"/>
  <c r="BT223" i="3"/>
  <c r="BT224" i="3"/>
  <c r="BT225" i="3"/>
  <c r="BT226" i="3"/>
  <c r="BT227" i="3"/>
  <c r="BT228" i="3"/>
  <c r="BT229" i="3"/>
  <c r="BT230" i="3"/>
  <c r="BT231" i="3"/>
  <c r="BT232" i="3"/>
  <c r="BT233" i="3"/>
  <c r="BT234" i="3"/>
  <c r="BT235" i="3"/>
  <c r="BT236" i="3"/>
  <c r="BT237" i="3"/>
  <c r="BT238" i="3"/>
  <c r="BT239" i="3"/>
  <c r="BT240" i="3"/>
  <c r="BT241" i="3"/>
  <c r="BT242" i="3"/>
  <c r="BT243" i="3"/>
  <c r="BT244" i="3"/>
  <c r="BT245" i="3"/>
  <c r="BT246" i="3"/>
  <c r="BT247" i="3"/>
  <c r="BT248" i="3"/>
  <c r="BT249" i="3"/>
  <c r="BT250" i="3"/>
  <c r="BT251" i="3"/>
  <c r="BT252" i="3"/>
  <c r="BT253" i="3"/>
  <c r="BT254" i="3"/>
  <c r="BT255" i="3"/>
  <c r="BT256" i="3"/>
  <c r="BT257" i="3"/>
  <c r="BT258" i="3"/>
  <c r="BT259" i="3"/>
  <c r="BT260" i="3"/>
  <c r="BT261" i="3"/>
  <c r="BT262" i="3"/>
  <c r="BT263" i="3"/>
  <c r="BT264" i="3"/>
  <c r="BT265" i="3"/>
  <c r="BT266" i="3"/>
  <c r="BT267" i="3"/>
  <c r="BT268" i="3"/>
  <c r="BT269" i="3"/>
  <c r="BT270" i="3"/>
  <c r="BT271" i="3"/>
  <c r="BT272" i="3"/>
  <c r="BT273" i="3"/>
  <c r="BT274" i="3"/>
  <c r="BT275" i="3"/>
  <c r="BT276" i="3"/>
  <c r="BT277" i="3"/>
  <c r="BT278" i="3"/>
  <c r="BT279" i="3"/>
  <c r="BT280" i="3"/>
  <c r="BT281" i="3"/>
  <c r="BT282" i="3"/>
  <c r="BT283" i="3"/>
  <c r="BT284" i="3"/>
  <c r="BT285" i="3"/>
  <c r="BT286" i="3"/>
  <c r="BT287" i="3"/>
  <c r="BT288" i="3"/>
  <c r="BT289" i="3"/>
  <c r="BT290" i="3"/>
  <c r="BT291" i="3"/>
  <c r="BT292" i="3"/>
  <c r="BT293" i="3"/>
  <c r="BT294" i="3"/>
  <c r="BT295" i="3"/>
  <c r="BT296" i="3"/>
  <c r="BT297" i="3"/>
  <c r="BT298" i="3"/>
  <c r="BT299" i="3"/>
  <c r="BT300" i="3"/>
  <c r="BT301" i="3"/>
  <c r="BT302" i="3"/>
  <c r="BT303" i="3"/>
  <c r="BT304" i="3"/>
  <c r="BT305" i="3"/>
  <c r="BT306" i="3"/>
  <c r="BT307" i="3"/>
  <c r="BT308" i="3"/>
  <c r="BT309" i="3"/>
  <c r="BT310" i="3"/>
  <c r="BT311" i="3"/>
  <c r="BT312" i="3"/>
  <c r="BT313" i="3"/>
  <c r="BT314" i="3"/>
  <c r="BT315" i="3"/>
  <c r="BT316" i="3"/>
  <c r="BT317" i="3"/>
  <c r="BT318" i="3"/>
  <c r="BT319" i="3"/>
  <c r="BT320" i="3"/>
  <c r="BT321" i="3"/>
  <c r="BT322" i="3"/>
  <c r="BT323" i="3"/>
  <c r="BT324" i="3"/>
  <c r="BT325" i="3"/>
  <c r="BT326" i="3"/>
  <c r="BT327" i="3"/>
  <c r="BT328" i="3"/>
  <c r="BT329" i="3"/>
  <c r="BT330" i="3"/>
  <c r="BT331" i="3"/>
  <c r="BT332" i="3"/>
  <c r="BT333" i="3"/>
  <c r="BT334" i="3"/>
  <c r="BT335" i="3"/>
  <c r="BT336" i="3"/>
  <c r="BT337" i="3"/>
  <c r="BT338" i="3"/>
  <c r="BT339" i="3"/>
  <c r="BT340" i="3"/>
  <c r="BT341" i="3"/>
  <c r="BT342" i="3"/>
  <c r="BT343" i="3"/>
  <c r="BT344" i="3"/>
  <c r="BT345" i="3"/>
  <c r="BT346" i="3"/>
  <c r="BT347" i="3"/>
  <c r="BT348" i="3"/>
  <c r="BT349" i="3"/>
  <c r="BT350" i="3"/>
  <c r="BT351" i="3"/>
  <c r="BT352" i="3"/>
  <c r="BT353" i="3"/>
  <c r="BT354" i="3"/>
  <c r="BT355" i="3"/>
  <c r="BT356" i="3"/>
  <c r="BT357" i="3"/>
  <c r="BT358" i="3"/>
  <c r="BT359" i="3"/>
  <c r="BT360" i="3"/>
  <c r="BT361" i="3"/>
  <c r="BT362" i="3"/>
  <c r="BT363" i="3"/>
  <c r="BT364" i="3"/>
  <c r="BT365" i="3"/>
  <c r="BT366" i="3"/>
  <c r="BT367" i="3"/>
  <c r="BT368" i="3"/>
  <c r="BT369" i="3"/>
  <c r="BT370" i="3"/>
  <c r="BT371" i="3"/>
  <c r="BT372" i="3"/>
  <c r="BT373" i="3"/>
  <c r="BT374" i="3"/>
  <c r="BT375" i="3"/>
  <c r="BT376" i="3"/>
  <c r="BT377" i="3"/>
  <c r="BT378" i="3"/>
  <c r="BT379" i="3"/>
  <c r="BT380" i="3"/>
  <c r="BT381" i="3"/>
  <c r="BT382" i="3"/>
  <c r="BT383" i="3"/>
  <c r="BT384" i="3"/>
  <c r="BT385" i="3"/>
  <c r="BT386" i="3"/>
  <c r="BT387" i="3"/>
  <c r="BT388" i="3"/>
  <c r="BT389" i="3"/>
  <c r="BT390" i="3"/>
  <c r="BT391" i="3"/>
  <c r="BT392" i="3"/>
  <c r="BT393" i="3"/>
  <c r="BT394" i="3"/>
  <c r="BT395" i="3"/>
  <c r="BT396" i="3"/>
  <c r="BT397" i="3"/>
  <c r="BT398" i="3"/>
  <c r="BT399" i="3"/>
  <c r="BT400" i="3"/>
  <c r="BT401" i="3"/>
  <c r="BT402" i="3"/>
  <c r="BT403" i="3"/>
  <c r="BT404" i="3"/>
  <c r="BT405" i="3"/>
  <c r="BT406" i="3"/>
  <c r="BT407" i="3"/>
  <c r="BT408" i="3"/>
  <c r="BT409" i="3"/>
  <c r="BT410" i="3"/>
  <c r="BT411" i="3"/>
  <c r="BT412" i="3"/>
  <c r="BT413" i="3"/>
  <c r="BT414" i="3"/>
  <c r="BT415" i="3"/>
  <c r="BT416" i="3"/>
  <c r="BT417" i="3"/>
  <c r="BT418" i="3"/>
  <c r="BT419" i="3"/>
  <c r="BT420" i="3"/>
  <c r="BT421" i="3"/>
  <c r="BT422" i="3"/>
  <c r="BT423" i="3"/>
  <c r="BT424" i="3"/>
  <c r="BT425" i="3"/>
  <c r="BT426" i="3"/>
  <c r="BT427" i="3"/>
  <c r="BT428" i="3"/>
  <c r="BT429" i="3"/>
  <c r="BT430" i="3"/>
  <c r="BT431" i="3"/>
  <c r="BT432" i="3"/>
  <c r="BT433" i="3"/>
  <c r="BT434" i="3"/>
  <c r="BT435" i="3"/>
  <c r="BT436" i="3"/>
  <c r="BT437" i="3"/>
  <c r="BT438" i="3"/>
  <c r="BT439" i="3"/>
  <c r="BT440" i="3"/>
  <c r="BT441" i="3"/>
  <c r="BT442" i="3"/>
  <c r="BT443" i="3"/>
  <c r="BT444" i="3"/>
  <c r="BT445" i="3"/>
  <c r="BT446" i="3"/>
  <c r="BT447" i="3"/>
  <c r="BT448" i="3"/>
  <c r="BT449" i="3"/>
  <c r="BT450" i="3"/>
  <c r="BT451" i="3"/>
  <c r="BT452" i="3"/>
  <c r="BT453" i="3"/>
  <c r="BT454" i="3"/>
  <c r="BT455" i="3"/>
  <c r="BT456" i="3"/>
  <c r="BT457" i="3"/>
  <c r="BT458" i="3"/>
  <c r="BT459" i="3"/>
  <c r="BT460" i="3"/>
  <c r="BT461" i="3"/>
  <c r="BT462" i="3"/>
  <c r="BT463" i="3"/>
  <c r="BT464" i="3"/>
  <c r="BT465" i="3"/>
  <c r="BT466" i="3"/>
  <c r="BT467" i="3"/>
  <c r="BT468" i="3"/>
  <c r="BT469" i="3"/>
  <c r="BT470" i="3"/>
  <c r="BT471" i="3"/>
  <c r="BT472" i="3"/>
  <c r="BT473" i="3"/>
  <c r="BT474" i="3"/>
  <c r="BT475" i="3"/>
  <c r="BT476" i="3"/>
  <c r="BT477" i="3"/>
  <c r="BT478" i="3"/>
  <c r="BT479" i="3"/>
  <c r="BT480" i="3"/>
  <c r="BT481" i="3"/>
  <c r="BT482" i="3"/>
  <c r="BT483" i="3"/>
  <c r="BT484" i="3"/>
  <c r="BT485" i="3"/>
  <c r="BT486" i="3"/>
  <c r="BT487" i="3"/>
  <c r="BT488" i="3"/>
  <c r="BT489" i="3"/>
  <c r="BT490" i="3"/>
  <c r="BT491" i="3"/>
  <c r="BT492" i="3"/>
  <c r="BT493" i="3"/>
  <c r="BT494" i="3"/>
  <c r="BT495" i="3"/>
  <c r="BT496" i="3"/>
  <c r="BT497" i="3"/>
  <c r="BT498" i="3"/>
  <c r="BT499" i="3"/>
  <c r="BT500" i="3"/>
  <c r="BT501" i="3"/>
  <c r="BT502" i="3"/>
  <c r="BT503" i="3"/>
  <c r="BT504" i="3"/>
  <c r="BT505" i="3"/>
  <c r="BT506" i="3"/>
  <c r="BT507" i="3"/>
  <c r="BT508" i="3"/>
  <c r="BT509" i="3"/>
  <c r="BT510" i="3"/>
  <c r="BT511" i="3"/>
  <c r="BT512" i="3"/>
  <c r="BT513" i="3"/>
  <c r="BT514" i="3"/>
  <c r="BT515" i="3"/>
  <c r="BT516" i="3"/>
  <c r="BT517" i="3"/>
  <c r="BT518" i="3"/>
  <c r="BT2" i="3"/>
  <c r="BS3" i="3"/>
  <c r="BS4" i="3"/>
  <c r="BS5" i="3"/>
  <c r="BS6" i="3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S73" i="3"/>
  <c r="BS74" i="3"/>
  <c r="BS75" i="3"/>
  <c r="BS76" i="3"/>
  <c r="BS77" i="3"/>
  <c r="BS78" i="3"/>
  <c r="BS79" i="3"/>
  <c r="BS80" i="3"/>
  <c r="BS81" i="3"/>
  <c r="BS82" i="3"/>
  <c r="BS83" i="3"/>
  <c r="BS84" i="3"/>
  <c r="BS85" i="3"/>
  <c r="BS86" i="3"/>
  <c r="BS87" i="3"/>
  <c r="BS88" i="3"/>
  <c r="BS89" i="3"/>
  <c r="BS90" i="3"/>
  <c r="BS91" i="3"/>
  <c r="BS92" i="3"/>
  <c r="BS93" i="3"/>
  <c r="BS94" i="3"/>
  <c r="BS95" i="3"/>
  <c r="BS96" i="3"/>
  <c r="BS97" i="3"/>
  <c r="BS98" i="3"/>
  <c r="BS99" i="3"/>
  <c r="BS100" i="3"/>
  <c r="BS101" i="3"/>
  <c r="BS102" i="3"/>
  <c r="BS103" i="3"/>
  <c r="BS104" i="3"/>
  <c r="BS105" i="3"/>
  <c r="BS106" i="3"/>
  <c r="BS107" i="3"/>
  <c r="BS108" i="3"/>
  <c r="BS109" i="3"/>
  <c r="BS110" i="3"/>
  <c r="BS111" i="3"/>
  <c r="BS112" i="3"/>
  <c r="BS113" i="3"/>
  <c r="BS114" i="3"/>
  <c r="BS115" i="3"/>
  <c r="BS116" i="3"/>
  <c r="BS117" i="3"/>
  <c r="BS118" i="3"/>
  <c r="BS119" i="3"/>
  <c r="BS120" i="3"/>
  <c r="BS121" i="3"/>
  <c r="BS122" i="3"/>
  <c r="BS123" i="3"/>
  <c r="BS124" i="3"/>
  <c r="BS125" i="3"/>
  <c r="BS126" i="3"/>
  <c r="BS127" i="3"/>
  <c r="BS128" i="3"/>
  <c r="BS129" i="3"/>
  <c r="BS130" i="3"/>
  <c r="BS131" i="3"/>
  <c r="BS132" i="3"/>
  <c r="BS133" i="3"/>
  <c r="BS134" i="3"/>
  <c r="BS135" i="3"/>
  <c r="BS136" i="3"/>
  <c r="BS137" i="3"/>
  <c r="BS138" i="3"/>
  <c r="BS139" i="3"/>
  <c r="BS140" i="3"/>
  <c r="BS141" i="3"/>
  <c r="BS142" i="3"/>
  <c r="BS143" i="3"/>
  <c r="BS144" i="3"/>
  <c r="BS145" i="3"/>
  <c r="BS146" i="3"/>
  <c r="BS147" i="3"/>
  <c r="BS148" i="3"/>
  <c r="BS149" i="3"/>
  <c r="BS150" i="3"/>
  <c r="BS151" i="3"/>
  <c r="BS152" i="3"/>
  <c r="BS153" i="3"/>
  <c r="BS154" i="3"/>
  <c r="BS155" i="3"/>
  <c r="BS156" i="3"/>
  <c r="BS157" i="3"/>
  <c r="BS158" i="3"/>
  <c r="BS159" i="3"/>
  <c r="BS160" i="3"/>
  <c r="BS161" i="3"/>
  <c r="BS162" i="3"/>
  <c r="BS163" i="3"/>
  <c r="BS164" i="3"/>
  <c r="BS165" i="3"/>
  <c r="BS166" i="3"/>
  <c r="BS167" i="3"/>
  <c r="BS168" i="3"/>
  <c r="BS169" i="3"/>
  <c r="BS170" i="3"/>
  <c r="BS171" i="3"/>
  <c r="BS172" i="3"/>
  <c r="BS173" i="3"/>
  <c r="BS174" i="3"/>
  <c r="BS175" i="3"/>
  <c r="BS176" i="3"/>
  <c r="BS177" i="3"/>
  <c r="BS178" i="3"/>
  <c r="BS179" i="3"/>
  <c r="BS180" i="3"/>
  <c r="BS181" i="3"/>
  <c r="BS182" i="3"/>
  <c r="BS183" i="3"/>
  <c r="BS184" i="3"/>
  <c r="BS185" i="3"/>
  <c r="BS186" i="3"/>
  <c r="BS187" i="3"/>
  <c r="BS188" i="3"/>
  <c r="BS189" i="3"/>
  <c r="BS190" i="3"/>
  <c r="BS191" i="3"/>
  <c r="BS192" i="3"/>
  <c r="BS193" i="3"/>
  <c r="BS194" i="3"/>
  <c r="BS195" i="3"/>
  <c r="BS196" i="3"/>
  <c r="BS197" i="3"/>
  <c r="BS198" i="3"/>
  <c r="BS199" i="3"/>
  <c r="BS200" i="3"/>
  <c r="BS201" i="3"/>
  <c r="BS202" i="3"/>
  <c r="BS203" i="3"/>
  <c r="BS204" i="3"/>
  <c r="BS205" i="3"/>
  <c r="BS206" i="3"/>
  <c r="BS207" i="3"/>
  <c r="BS208" i="3"/>
  <c r="BS209" i="3"/>
  <c r="BS210" i="3"/>
  <c r="BS211" i="3"/>
  <c r="BS212" i="3"/>
  <c r="BS213" i="3"/>
  <c r="BS214" i="3"/>
  <c r="BS215" i="3"/>
  <c r="BS216" i="3"/>
  <c r="BS217" i="3"/>
  <c r="BS218" i="3"/>
  <c r="BS219" i="3"/>
  <c r="BS220" i="3"/>
  <c r="BS221" i="3"/>
  <c r="BS222" i="3"/>
  <c r="BS223" i="3"/>
  <c r="BS224" i="3"/>
  <c r="BS225" i="3"/>
  <c r="BS226" i="3"/>
  <c r="BS227" i="3"/>
  <c r="BS228" i="3"/>
  <c r="BS229" i="3"/>
  <c r="BS230" i="3"/>
  <c r="BS231" i="3"/>
  <c r="BS232" i="3"/>
  <c r="BS233" i="3"/>
  <c r="BS234" i="3"/>
  <c r="BS235" i="3"/>
  <c r="BS236" i="3"/>
  <c r="BS237" i="3"/>
  <c r="BS238" i="3"/>
  <c r="BS239" i="3"/>
  <c r="BS240" i="3"/>
  <c r="BS241" i="3"/>
  <c r="BS242" i="3"/>
  <c r="BS243" i="3"/>
  <c r="BS244" i="3"/>
  <c r="BS245" i="3"/>
  <c r="BS246" i="3"/>
  <c r="BS247" i="3"/>
  <c r="BS248" i="3"/>
  <c r="BS249" i="3"/>
  <c r="BS250" i="3"/>
  <c r="BS251" i="3"/>
  <c r="BS252" i="3"/>
  <c r="BS253" i="3"/>
  <c r="BS254" i="3"/>
  <c r="BS255" i="3"/>
  <c r="BS256" i="3"/>
  <c r="BS257" i="3"/>
  <c r="BS258" i="3"/>
  <c r="BS259" i="3"/>
  <c r="BS260" i="3"/>
  <c r="BS261" i="3"/>
  <c r="BS262" i="3"/>
  <c r="BS263" i="3"/>
  <c r="BS264" i="3"/>
  <c r="BS265" i="3"/>
  <c r="BS266" i="3"/>
  <c r="BS267" i="3"/>
  <c r="BS268" i="3"/>
  <c r="BS269" i="3"/>
  <c r="BS270" i="3"/>
  <c r="BS271" i="3"/>
  <c r="BS272" i="3"/>
  <c r="BS273" i="3"/>
  <c r="BS274" i="3"/>
  <c r="BS275" i="3"/>
  <c r="BS276" i="3"/>
  <c r="BS277" i="3"/>
  <c r="BS278" i="3"/>
  <c r="BS279" i="3"/>
  <c r="BS280" i="3"/>
  <c r="BS281" i="3"/>
  <c r="BS282" i="3"/>
  <c r="BS283" i="3"/>
  <c r="BS284" i="3"/>
  <c r="BS285" i="3"/>
  <c r="BS286" i="3"/>
  <c r="BS287" i="3"/>
  <c r="BS288" i="3"/>
  <c r="BS289" i="3"/>
  <c r="BS290" i="3"/>
  <c r="BS291" i="3"/>
  <c r="BS292" i="3"/>
  <c r="BS293" i="3"/>
  <c r="BS294" i="3"/>
  <c r="BS295" i="3"/>
  <c r="BS296" i="3"/>
  <c r="BS297" i="3"/>
  <c r="BS298" i="3"/>
  <c r="BS299" i="3"/>
  <c r="BS300" i="3"/>
  <c r="BS301" i="3"/>
  <c r="BS302" i="3"/>
  <c r="BS303" i="3"/>
  <c r="BS304" i="3"/>
  <c r="BS305" i="3"/>
  <c r="BS306" i="3"/>
  <c r="BS307" i="3"/>
  <c r="BS308" i="3"/>
  <c r="BS309" i="3"/>
  <c r="BS310" i="3"/>
  <c r="BS311" i="3"/>
  <c r="BS312" i="3"/>
  <c r="BS313" i="3"/>
  <c r="BS314" i="3"/>
  <c r="BS315" i="3"/>
  <c r="BS316" i="3"/>
  <c r="BS317" i="3"/>
  <c r="BS318" i="3"/>
  <c r="BS319" i="3"/>
  <c r="BS320" i="3"/>
  <c r="BS321" i="3"/>
  <c r="BS322" i="3"/>
  <c r="BS323" i="3"/>
  <c r="BS324" i="3"/>
  <c r="BS325" i="3"/>
  <c r="BS326" i="3"/>
  <c r="BS327" i="3"/>
  <c r="BS328" i="3"/>
  <c r="BS329" i="3"/>
  <c r="BS330" i="3"/>
  <c r="BS331" i="3"/>
  <c r="BS332" i="3"/>
  <c r="BS333" i="3"/>
  <c r="BS334" i="3"/>
  <c r="BS335" i="3"/>
  <c r="BS336" i="3"/>
  <c r="BS337" i="3"/>
  <c r="BS338" i="3"/>
  <c r="BS339" i="3"/>
  <c r="BS340" i="3"/>
  <c r="BS341" i="3"/>
  <c r="BS342" i="3"/>
  <c r="BS343" i="3"/>
  <c r="BS344" i="3"/>
  <c r="BS345" i="3"/>
  <c r="BS346" i="3"/>
  <c r="BS347" i="3"/>
  <c r="BS348" i="3"/>
  <c r="BS349" i="3"/>
  <c r="BS350" i="3"/>
  <c r="BS351" i="3"/>
  <c r="BS352" i="3"/>
  <c r="BS353" i="3"/>
  <c r="BS354" i="3"/>
  <c r="BS355" i="3"/>
  <c r="BS356" i="3"/>
  <c r="BS357" i="3"/>
  <c r="BS358" i="3"/>
  <c r="BS359" i="3"/>
  <c r="BS360" i="3"/>
  <c r="BS361" i="3"/>
  <c r="BS362" i="3"/>
  <c r="BS363" i="3"/>
  <c r="BS364" i="3"/>
  <c r="BS365" i="3"/>
  <c r="BS366" i="3"/>
  <c r="BS367" i="3"/>
  <c r="BS368" i="3"/>
  <c r="BS369" i="3"/>
  <c r="BS370" i="3"/>
  <c r="BS371" i="3"/>
  <c r="BS372" i="3"/>
  <c r="BS373" i="3"/>
  <c r="BS374" i="3"/>
  <c r="BS375" i="3"/>
  <c r="BS376" i="3"/>
  <c r="BS377" i="3"/>
  <c r="BS378" i="3"/>
  <c r="BS379" i="3"/>
  <c r="BS380" i="3"/>
  <c r="BS381" i="3"/>
  <c r="BS382" i="3"/>
  <c r="BS383" i="3"/>
  <c r="BS384" i="3"/>
  <c r="BS385" i="3"/>
  <c r="BS386" i="3"/>
  <c r="BS387" i="3"/>
  <c r="BS388" i="3"/>
  <c r="BS389" i="3"/>
  <c r="BS390" i="3"/>
  <c r="BS391" i="3"/>
  <c r="BS392" i="3"/>
  <c r="BS393" i="3"/>
  <c r="BS394" i="3"/>
  <c r="BS395" i="3"/>
  <c r="BS396" i="3"/>
  <c r="BS397" i="3"/>
  <c r="BS398" i="3"/>
  <c r="BS399" i="3"/>
  <c r="BS400" i="3"/>
  <c r="BS401" i="3"/>
  <c r="BS402" i="3"/>
  <c r="BS403" i="3"/>
  <c r="BS404" i="3"/>
  <c r="BS405" i="3"/>
  <c r="BS406" i="3"/>
  <c r="BS407" i="3"/>
  <c r="BS408" i="3"/>
  <c r="BS409" i="3"/>
  <c r="BS410" i="3"/>
  <c r="BS411" i="3"/>
  <c r="BS412" i="3"/>
  <c r="BS413" i="3"/>
  <c r="BS414" i="3"/>
  <c r="BS415" i="3"/>
  <c r="BS416" i="3"/>
  <c r="BS417" i="3"/>
  <c r="BS418" i="3"/>
  <c r="BS419" i="3"/>
  <c r="BS420" i="3"/>
  <c r="BS421" i="3"/>
  <c r="BS422" i="3"/>
  <c r="BS423" i="3"/>
  <c r="BS424" i="3"/>
  <c r="BS425" i="3"/>
  <c r="BS426" i="3"/>
  <c r="BS427" i="3"/>
  <c r="BS428" i="3"/>
  <c r="BS429" i="3"/>
  <c r="BS430" i="3"/>
  <c r="BS431" i="3"/>
  <c r="BS432" i="3"/>
  <c r="BS433" i="3"/>
  <c r="BS434" i="3"/>
  <c r="BS435" i="3"/>
  <c r="BS436" i="3"/>
  <c r="BS437" i="3"/>
  <c r="BS438" i="3"/>
  <c r="BS439" i="3"/>
  <c r="BS440" i="3"/>
  <c r="BS441" i="3"/>
  <c r="BS442" i="3"/>
  <c r="BS443" i="3"/>
  <c r="BS444" i="3"/>
  <c r="BS445" i="3"/>
  <c r="BS446" i="3"/>
  <c r="BS447" i="3"/>
  <c r="BS448" i="3"/>
  <c r="BS449" i="3"/>
  <c r="BS450" i="3"/>
  <c r="BS451" i="3"/>
  <c r="BS452" i="3"/>
  <c r="BS453" i="3"/>
  <c r="BS454" i="3"/>
  <c r="BS455" i="3"/>
  <c r="BS456" i="3"/>
  <c r="BS457" i="3"/>
  <c r="BS458" i="3"/>
  <c r="BS459" i="3"/>
  <c r="BS460" i="3"/>
  <c r="BS461" i="3"/>
  <c r="BS462" i="3"/>
  <c r="BS463" i="3"/>
  <c r="BS464" i="3"/>
  <c r="BS465" i="3"/>
  <c r="BS466" i="3"/>
  <c r="BS467" i="3"/>
  <c r="BS468" i="3"/>
  <c r="BS469" i="3"/>
  <c r="BS470" i="3"/>
  <c r="BS471" i="3"/>
  <c r="BS472" i="3"/>
  <c r="BS473" i="3"/>
  <c r="BS474" i="3"/>
  <c r="BS475" i="3"/>
  <c r="BS476" i="3"/>
  <c r="BS477" i="3"/>
  <c r="BS478" i="3"/>
  <c r="BS479" i="3"/>
  <c r="BS480" i="3"/>
  <c r="BS481" i="3"/>
  <c r="BS482" i="3"/>
  <c r="BS483" i="3"/>
  <c r="BS484" i="3"/>
  <c r="BS485" i="3"/>
  <c r="BS486" i="3"/>
  <c r="BS487" i="3"/>
  <c r="BS488" i="3"/>
  <c r="BS489" i="3"/>
  <c r="BS490" i="3"/>
  <c r="BS491" i="3"/>
  <c r="BS492" i="3"/>
  <c r="BS493" i="3"/>
  <c r="BS494" i="3"/>
  <c r="BS495" i="3"/>
  <c r="BS496" i="3"/>
  <c r="BS497" i="3"/>
  <c r="BS498" i="3"/>
  <c r="BS499" i="3"/>
  <c r="BS500" i="3"/>
  <c r="BS501" i="3"/>
  <c r="BS502" i="3"/>
  <c r="BS503" i="3"/>
  <c r="BS504" i="3"/>
  <c r="BS505" i="3"/>
  <c r="BS506" i="3"/>
  <c r="BS507" i="3"/>
  <c r="BS508" i="3"/>
  <c r="BS509" i="3"/>
  <c r="BS510" i="3"/>
  <c r="BS511" i="3"/>
  <c r="BS512" i="3"/>
  <c r="BS513" i="3"/>
  <c r="BS514" i="3"/>
  <c r="BS515" i="3"/>
  <c r="BS516" i="3"/>
  <c r="BS517" i="3"/>
  <c r="BS518" i="3"/>
  <c r="BS2" i="3"/>
  <c r="BR3" i="3"/>
  <c r="BR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81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4" i="3"/>
  <c r="BR95" i="3"/>
  <c r="BR96" i="3"/>
  <c r="BR97" i="3"/>
  <c r="BR98" i="3"/>
  <c r="BR99" i="3"/>
  <c r="BR100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15" i="3"/>
  <c r="BR116" i="3"/>
  <c r="BR117" i="3"/>
  <c r="BR118" i="3"/>
  <c r="BR119" i="3"/>
  <c r="BR120" i="3"/>
  <c r="BR121" i="3"/>
  <c r="BR122" i="3"/>
  <c r="BR123" i="3"/>
  <c r="BR124" i="3"/>
  <c r="BR125" i="3"/>
  <c r="BR126" i="3"/>
  <c r="BR127" i="3"/>
  <c r="BR128" i="3"/>
  <c r="BR129" i="3"/>
  <c r="BR130" i="3"/>
  <c r="BR131" i="3"/>
  <c r="BR132" i="3"/>
  <c r="BR133" i="3"/>
  <c r="BR134" i="3"/>
  <c r="BR135" i="3"/>
  <c r="BR136" i="3"/>
  <c r="BR137" i="3"/>
  <c r="BR138" i="3"/>
  <c r="BR139" i="3"/>
  <c r="BR140" i="3"/>
  <c r="BR141" i="3"/>
  <c r="BR142" i="3"/>
  <c r="BR143" i="3"/>
  <c r="BR144" i="3"/>
  <c r="BR145" i="3"/>
  <c r="BR146" i="3"/>
  <c r="BR147" i="3"/>
  <c r="BR148" i="3"/>
  <c r="BR149" i="3"/>
  <c r="BR150" i="3"/>
  <c r="BR151" i="3"/>
  <c r="BR152" i="3"/>
  <c r="BR153" i="3"/>
  <c r="BR154" i="3"/>
  <c r="BR155" i="3"/>
  <c r="BR156" i="3"/>
  <c r="BR157" i="3"/>
  <c r="BR158" i="3"/>
  <c r="BR159" i="3"/>
  <c r="BR160" i="3"/>
  <c r="BR161" i="3"/>
  <c r="BR162" i="3"/>
  <c r="BR163" i="3"/>
  <c r="BR164" i="3"/>
  <c r="BR165" i="3"/>
  <c r="BR166" i="3"/>
  <c r="BR167" i="3"/>
  <c r="BR168" i="3"/>
  <c r="BR169" i="3"/>
  <c r="BR170" i="3"/>
  <c r="BR171" i="3"/>
  <c r="BR172" i="3"/>
  <c r="BR173" i="3"/>
  <c r="BR174" i="3"/>
  <c r="BR175" i="3"/>
  <c r="BR176" i="3"/>
  <c r="BR177" i="3"/>
  <c r="BR178" i="3"/>
  <c r="BR179" i="3"/>
  <c r="BR180" i="3"/>
  <c r="BR181" i="3"/>
  <c r="BR182" i="3"/>
  <c r="BR183" i="3"/>
  <c r="BR184" i="3"/>
  <c r="BR185" i="3"/>
  <c r="BR186" i="3"/>
  <c r="BR187" i="3"/>
  <c r="BR188" i="3"/>
  <c r="BR189" i="3"/>
  <c r="BR190" i="3"/>
  <c r="BR191" i="3"/>
  <c r="BR192" i="3"/>
  <c r="BR193" i="3"/>
  <c r="BR194" i="3"/>
  <c r="BR195" i="3"/>
  <c r="BR196" i="3"/>
  <c r="BR197" i="3"/>
  <c r="BR198" i="3"/>
  <c r="BR199" i="3"/>
  <c r="BR200" i="3"/>
  <c r="BR201" i="3"/>
  <c r="BR202" i="3"/>
  <c r="BR203" i="3"/>
  <c r="BR204" i="3"/>
  <c r="BR205" i="3"/>
  <c r="BR206" i="3"/>
  <c r="BR207" i="3"/>
  <c r="BR208" i="3"/>
  <c r="BR209" i="3"/>
  <c r="BR210" i="3"/>
  <c r="BR211" i="3"/>
  <c r="BR212" i="3"/>
  <c r="BR213" i="3"/>
  <c r="BR214" i="3"/>
  <c r="BR215" i="3"/>
  <c r="BR216" i="3"/>
  <c r="BR217" i="3"/>
  <c r="BR218" i="3"/>
  <c r="BR219" i="3"/>
  <c r="BR220" i="3"/>
  <c r="BR221" i="3"/>
  <c r="BR222" i="3"/>
  <c r="BR223" i="3"/>
  <c r="BR224" i="3"/>
  <c r="BR225" i="3"/>
  <c r="BR226" i="3"/>
  <c r="BR227" i="3"/>
  <c r="BR228" i="3"/>
  <c r="BR229" i="3"/>
  <c r="BR230" i="3"/>
  <c r="BR231" i="3"/>
  <c r="BR232" i="3"/>
  <c r="BR233" i="3"/>
  <c r="BR234" i="3"/>
  <c r="BR235" i="3"/>
  <c r="BR236" i="3"/>
  <c r="BR237" i="3"/>
  <c r="BR238" i="3"/>
  <c r="BR239" i="3"/>
  <c r="BR240" i="3"/>
  <c r="BR241" i="3"/>
  <c r="BR242" i="3"/>
  <c r="BR243" i="3"/>
  <c r="BR244" i="3"/>
  <c r="BR245" i="3"/>
  <c r="BR246" i="3"/>
  <c r="BR247" i="3"/>
  <c r="BR248" i="3"/>
  <c r="BR249" i="3"/>
  <c r="BR250" i="3"/>
  <c r="BR251" i="3"/>
  <c r="BR252" i="3"/>
  <c r="BR253" i="3"/>
  <c r="BR254" i="3"/>
  <c r="BR255" i="3"/>
  <c r="BR256" i="3"/>
  <c r="BR257" i="3"/>
  <c r="BR258" i="3"/>
  <c r="BR259" i="3"/>
  <c r="BR260" i="3"/>
  <c r="BR261" i="3"/>
  <c r="BR262" i="3"/>
  <c r="BR263" i="3"/>
  <c r="BR264" i="3"/>
  <c r="BR265" i="3"/>
  <c r="BR266" i="3"/>
  <c r="BR267" i="3"/>
  <c r="BR268" i="3"/>
  <c r="BR269" i="3"/>
  <c r="BR270" i="3"/>
  <c r="BR271" i="3"/>
  <c r="BR272" i="3"/>
  <c r="BR273" i="3"/>
  <c r="BR274" i="3"/>
  <c r="BR275" i="3"/>
  <c r="BR276" i="3"/>
  <c r="BR277" i="3"/>
  <c r="BR278" i="3"/>
  <c r="BR279" i="3"/>
  <c r="BR280" i="3"/>
  <c r="BR281" i="3"/>
  <c r="BR282" i="3"/>
  <c r="BR283" i="3"/>
  <c r="BR284" i="3"/>
  <c r="BR285" i="3"/>
  <c r="BR286" i="3"/>
  <c r="BR287" i="3"/>
  <c r="BR288" i="3"/>
  <c r="BR289" i="3"/>
  <c r="BR290" i="3"/>
  <c r="BR291" i="3"/>
  <c r="BR292" i="3"/>
  <c r="BR293" i="3"/>
  <c r="BR294" i="3"/>
  <c r="BR295" i="3"/>
  <c r="BR296" i="3"/>
  <c r="BR297" i="3"/>
  <c r="BR298" i="3"/>
  <c r="BR299" i="3"/>
  <c r="BR300" i="3"/>
  <c r="BR301" i="3"/>
  <c r="BR302" i="3"/>
  <c r="BR303" i="3"/>
  <c r="BR304" i="3"/>
  <c r="BR305" i="3"/>
  <c r="BR306" i="3"/>
  <c r="BR307" i="3"/>
  <c r="BR308" i="3"/>
  <c r="BR309" i="3"/>
  <c r="BR310" i="3"/>
  <c r="BR311" i="3"/>
  <c r="BR312" i="3"/>
  <c r="BR313" i="3"/>
  <c r="BR314" i="3"/>
  <c r="BR315" i="3"/>
  <c r="BR316" i="3"/>
  <c r="BR317" i="3"/>
  <c r="BR318" i="3"/>
  <c r="BR319" i="3"/>
  <c r="BR320" i="3"/>
  <c r="BR321" i="3"/>
  <c r="BR322" i="3"/>
  <c r="BR323" i="3"/>
  <c r="BR324" i="3"/>
  <c r="BR325" i="3"/>
  <c r="BR326" i="3"/>
  <c r="BR327" i="3"/>
  <c r="BR328" i="3"/>
  <c r="BR329" i="3"/>
  <c r="BR330" i="3"/>
  <c r="BR331" i="3"/>
  <c r="BR332" i="3"/>
  <c r="BR333" i="3"/>
  <c r="BR334" i="3"/>
  <c r="BR335" i="3"/>
  <c r="BR336" i="3"/>
  <c r="BR337" i="3"/>
  <c r="BR338" i="3"/>
  <c r="BR339" i="3"/>
  <c r="BR340" i="3"/>
  <c r="BR341" i="3"/>
  <c r="BR342" i="3"/>
  <c r="BR343" i="3"/>
  <c r="BR344" i="3"/>
  <c r="BR345" i="3"/>
  <c r="BR346" i="3"/>
  <c r="BR347" i="3"/>
  <c r="BR348" i="3"/>
  <c r="BR349" i="3"/>
  <c r="BR350" i="3"/>
  <c r="BR351" i="3"/>
  <c r="BR352" i="3"/>
  <c r="BR353" i="3"/>
  <c r="BR354" i="3"/>
  <c r="BR355" i="3"/>
  <c r="BR356" i="3"/>
  <c r="BR357" i="3"/>
  <c r="BR358" i="3"/>
  <c r="BR359" i="3"/>
  <c r="BR360" i="3"/>
  <c r="BR361" i="3"/>
  <c r="BR362" i="3"/>
  <c r="BR363" i="3"/>
  <c r="BR364" i="3"/>
  <c r="BR365" i="3"/>
  <c r="BR366" i="3"/>
  <c r="BR367" i="3"/>
  <c r="BR368" i="3"/>
  <c r="BR369" i="3"/>
  <c r="BR370" i="3"/>
  <c r="BR371" i="3"/>
  <c r="BR372" i="3"/>
  <c r="BR373" i="3"/>
  <c r="BR374" i="3"/>
  <c r="BR375" i="3"/>
  <c r="BR376" i="3"/>
  <c r="BR377" i="3"/>
  <c r="BR378" i="3"/>
  <c r="BR379" i="3"/>
  <c r="BR380" i="3"/>
  <c r="BR381" i="3"/>
  <c r="BR382" i="3"/>
  <c r="BR383" i="3"/>
  <c r="BR384" i="3"/>
  <c r="BR385" i="3"/>
  <c r="BR386" i="3"/>
  <c r="BR387" i="3"/>
  <c r="BR388" i="3"/>
  <c r="BR389" i="3"/>
  <c r="BR390" i="3"/>
  <c r="BR391" i="3"/>
  <c r="BR392" i="3"/>
  <c r="BR393" i="3"/>
  <c r="BR394" i="3"/>
  <c r="BR395" i="3"/>
  <c r="BR396" i="3"/>
  <c r="BR397" i="3"/>
  <c r="BR398" i="3"/>
  <c r="BR399" i="3"/>
  <c r="BR400" i="3"/>
  <c r="BR401" i="3"/>
  <c r="BR402" i="3"/>
  <c r="BR403" i="3"/>
  <c r="BR404" i="3"/>
  <c r="BR405" i="3"/>
  <c r="BR406" i="3"/>
  <c r="BR407" i="3"/>
  <c r="BR408" i="3"/>
  <c r="BR409" i="3"/>
  <c r="BR410" i="3"/>
  <c r="BR411" i="3"/>
  <c r="BR412" i="3"/>
  <c r="BR413" i="3"/>
  <c r="BR414" i="3"/>
  <c r="BR415" i="3"/>
  <c r="BR416" i="3"/>
  <c r="BR417" i="3"/>
  <c r="BR418" i="3"/>
  <c r="BR419" i="3"/>
  <c r="BR420" i="3"/>
  <c r="BR421" i="3"/>
  <c r="BR422" i="3"/>
  <c r="BR423" i="3"/>
  <c r="BR424" i="3"/>
  <c r="BR425" i="3"/>
  <c r="BR426" i="3"/>
  <c r="BR427" i="3"/>
  <c r="BR428" i="3"/>
  <c r="BR429" i="3"/>
  <c r="BR430" i="3"/>
  <c r="BR431" i="3"/>
  <c r="BR432" i="3"/>
  <c r="BR433" i="3"/>
  <c r="BR434" i="3"/>
  <c r="BR435" i="3"/>
  <c r="BR436" i="3"/>
  <c r="BR437" i="3"/>
  <c r="BR438" i="3"/>
  <c r="BR439" i="3"/>
  <c r="BR440" i="3"/>
  <c r="BR441" i="3"/>
  <c r="BR442" i="3"/>
  <c r="BR443" i="3"/>
  <c r="BR444" i="3"/>
  <c r="BR445" i="3"/>
  <c r="BR446" i="3"/>
  <c r="BR447" i="3"/>
  <c r="BR448" i="3"/>
  <c r="BR449" i="3"/>
  <c r="BR450" i="3"/>
  <c r="BR451" i="3"/>
  <c r="BR452" i="3"/>
  <c r="BR453" i="3"/>
  <c r="BR454" i="3"/>
  <c r="BR455" i="3"/>
  <c r="BR456" i="3"/>
  <c r="BR457" i="3"/>
  <c r="BR458" i="3"/>
  <c r="BR459" i="3"/>
  <c r="BR460" i="3"/>
  <c r="BR461" i="3"/>
  <c r="BR462" i="3"/>
  <c r="BR463" i="3"/>
  <c r="BR464" i="3"/>
  <c r="BR465" i="3"/>
  <c r="BR466" i="3"/>
  <c r="BR467" i="3"/>
  <c r="BR468" i="3"/>
  <c r="BR469" i="3"/>
  <c r="BR470" i="3"/>
  <c r="BR471" i="3"/>
  <c r="BR472" i="3"/>
  <c r="BR473" i="3"/>
  <c r="BR474" i="3"/>
  <c r="BR475" i="3"/>
  <c r="BR476" i="3"/>
  <c r="BR477" i="3"/>
  <c r="BR478" i="3"/>
  <c r="BR479" i="3"/>
  <c r="BR480" i="3"/>
  <c r="BR481" i="3"/>
  <c r="BR482" i="3"/>
  <c r="BR483" i="3"/>
  <c r="BR484" i="3"/>
  <c r="BR485" i="3"/>
  <c r="BR486" i="3"/>
  <c r="BR487" i="3"/>
  <c r="BR488" i="3"/>
  <c r="BR489" i="3"/>
  <c r="BR490" i="3"/>
  <c r="BR491" i="3"/>
  <c r="BR492" i="3"/>
  <c r="BR493" i="3"/>
  <c r="BR494" i="3"/>
  <c r="BR495" i="3"/>
  <c r="BR496" i="3"/>
  <c r="BR497" i="3"/>
  <c r="BR498" i="3"/>
  <c r="BR499" i="3"/>
  <c r="BR500" i="3"/>
  <c r="BR501" i="3"/>
  <c r="BR502" i="3"/>
  <c r="BR503" i="3"/>
  <c r="BR504" i="3"/>
  <c r="BR505" i="3"/>
  <c r="BR506" i="3"/>
  <c r="BR507" i="3"/>
  <c r="BR508" i="3"/>
  <c r="BR509" i="3"/>
  <c r="BR510" i="3"/>
  <c r="BR511" i="3"/>
  <c r="BR512" i="3"/>
  <c r="BR513" i="3"/>
  <c r="BR514" i="3"/>
  <c r="BR515" i="3"/>
  <c r="BR516" i="3"/>
  <c r="BR517" i="3"/>
  <c r="BR518" i="3"/>
  <c r="BR2" i="3"/>
  <c r="BQ3" i="3"/>
  <c r="BQ4" i="3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Q81" i="3"/>
  <c r="BQ82" i="3"/>
  <c r="BQ83" i="3"/>
  <c r="BQ84" i="3"/>
  <c r="BQ85" i="3"/>
  <c r="BQ86" i="3"/>
  <c r="BQ87" i="3"/>
  <c r="BQ88" i="3"/>
  <c r="BQ89" i="3"/>
  <c r="BQ90" i="3"/>
  <c r="BQ91" i="3"/>
  <c r="BQ92" i="3"/>
  <c r="BQ93" i="3"/>
  <c r="BQ94" i="3"/>
  <c r="BQ95" i="3"/>
  <c r="BQ96" i="3"/>
  <c r="BQ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18" i="3"/>
  <c r="BQ119" i="3"/>
  <c r="BQ120" i="3"/>
  <c r="BQ121" i="3"/>
  <c r="BQ122" i="3"/>
  <c r="BQ123" i="3"/>
  <c r="BQ124" i="3"/>
  <c r="BQ125" i="3"/>
  <c r="BQ126" i="3"/>
  <c r="BQ127" i="3"/>
  <c r="BQ128" i="3"/>
  <c r="BQ129" i="3"/>
  <c r="BQ130" i="3"/>
  <c r="BQ131" i="3"/>
  <c r="BQ132" i="3"/>
  <c r="BQ133" i="3"/>
  <c r="BQ134" i="3"/>
  <c r="BQ135" i="3"/>
  <c r="BQ136" i="3"/>
  <c r="BQ137" i="3"/>
  <c r="BQ138" i="3"/>
  <c r="BQ139" i="3"/>
  <c r="BQ140" i="3"/>
  <c r="BQ141" i="3"/>
  <c r="BQ142" i="3"/>
  <c r="BQ143" i="3"/>
  <c r="BQ144" i="3"/>
  <c r="BQ145" i="3"/>
  <c r="BQ146" i="3"/>
  <c r="BQ147" i="3"/>
  <c r="BQ148" i="3"/>
  <c r="BQ149" i="3"/>
  <c r="BQ150" i="3"/>
  <c r="BQ151" i="3"/>
  <c r="BQ152" i="3"/>
  <c r="BQ153" i="3"/>
  <c r="BQ154" i="3"/>
  <c r="BQ155" i="3"/>
  <c r="BQ156" i="3"/>
  <c r="BQ157" i="3"/>
  <c r="BQ158" i="3"/>
  <c r="BQ159" i="3"/>
  <c r="BQ160" i="3"/>
  <c r="BQ161" i="3"/>
  <c r="BQ162" i="3"/>
  <c r="BQ163" i="3"/>
  <c r="BQ164" i="3"/>
  <c r="BQ165" i="3"/>
  <c r="BQ166" i="3"/>
  <c r="BQ167" i="3"/>
  <c r="BQ168" i="3"/>
  <c r="BQ169" i="3"/>
  <c r="BQ170" i="3"/>
  <c r="BQ171" i="3"/>
  <c r="BQ172" i="3"/>
  <c r="BQ173" i="3"/>
  <c r="BQ174" i="3"/>
  <c r="BQ175" i="3"/>
  <c r="BQ176" i="3"/>
  <c r="BQ177" i="3"/>
  <c r="BQ178" i="3"/>
  <c r="BQ179" i="3"/>
  <c r="BQ180" i="3"/>
  <c r="BQ181" i="3"/>
  <c r="BQ182" i="3"/>
  <c r="BQ183" i="3"/>
  <c r="BQ184" i="3"/>
  <c r="BQ185" i="3"/>
  <c r="BQ186" i="3"/>
  <c r="BQ187" i="3"/>
  <c r="BQ188" i="3"/>
  <c r="BQ189" i="3"/>
  <c r="BQ190" i="3"/>
  <c r="BQ191" i="3"/>
  <c r="BQ192" i="3"/>
  <c r="BQ193" i="3"/>
  <c r="BQ194" i="3"/>
  <c r="BQ195" i="3"/>
  <c r="BQ196" i="3"/>
  <c r="BQ197" i="3"/>
  <c r="BQ198" i="3"/>
  <c r="BQ199" i="3"/>
  <c r="BQ200" i="3"/>
  <c r="BQ201" i="3"/>
  <c r="BQ202" i="3"/>
  <c r="BQ203" i="3"/>
  <c r="BQ204" i="3"/>
  <c r="BQ205" i="3"/>
  <c r="BQ206" i="3"/>
  <c r="BQ207" i="3"/>
  <c r="BQ208" i="3"/>
  <c r="BQ209" i="3"/>
  <c r="BQ210" i="3"/>
  <c r="BQ211" i="3"/>
  <c r="BQ212" i="3"/>
  <c r="BQ213" i="3"/>
  <c r="BQ214" i="3"/>
  <c r="BQ215" i="3"/>
  <c r="BQ216" i="3"/>
  <c r="BQ217" i="3"/>
  <c r="BQ218" i="3"/>
  <c r="BQ219" i="3"/>
  <c r="BQ220" i="3"/>
  <c r="BQ221" i="3"/>
  <c r="BQ222" i="3"/>
  <c r="BQ223" i="3"/>
  <c r="BQ224" i="3"/>
  <c r="BQ225" i="3"/>
  <c r="BQ226" i="3"/>
  <c r="BQ227" i="3"/>
  <c r="BQ228" i="3"/>
  <c r="BQ229" i="3"/>
  <c r="BQ230" i="3"/>
  <c r="BQ231" i="3"/>
  <c r="BQ232" i="3"/>
  <c r="BQ233" i="3"/>
  <c r="BQ234" i="3"/>
  <c r="BQ235" i="3"/>
  <c r="BQ236" i="3"/>
  <c r="BQ237" i="3"/>
  <c r="BQ238" i="3"/>
  <c r="BQ239" i="3"/>
  <c r="BQ240" i="3"/>
  <c r="BQ241" i="3"/>
  <c r="BQ242" i="3"/>
  <c r="BQ243" i="3"/>
  <c r="BQ244" i="3"/>
  <c r="BQ245" i="3"/>
  <c r="BQ246" i="3"/>
  <c r="BQ247" i="3"/>
  <c r="BQ248" i="3"/>
  <c r="BQ249" i="3"/>
  <c r="BQ250" i="3"/>
  <c r="BQ251" i="3"/>
  <c r="BQ252" i="3"/>
  <c r="BQ253" i="3"/>
  <c r="BQ254" i="3"/>
  <c r="BQ255" i="3"/>
  <c r="BQ256" i="3"/>
  <c r="BQ257" i="3"/>
  <c r="BQ258" i="3"/>
  <c r="BQ259" i="3"/>
  <c r="BQ260" i="3"/>
  <c r="BQ261" i="3"/>
  <c r="BQ262" i="3"/>
  <c r="BQ263" i="3"/>
  <c r="BQ264" i="3"/>
  <c r="BQ265" i="3"/>
  <c r="BQ266" i="3"/>
  <c r="BQ267" i="3"/>
  <c r="BQ268" i="3"/>
  <c r="BQ269" i="3"/>
  <c r="BQ270" i="3"/>
  <c r="BQ271" i="3"/>
  <c r="BQ272" i="3"/>
  <c r="BQ273" i="3"/>
  <c r="BQ274" i="3"/>
  <c r="BQ275" i="3"/>
  <c r="BQ276" i="3"/>
  <c r="BQ277" i="3"/>
  <c r="BQ278" i="3"/>
  <c r="BQ279" i="3"/>
  <c r="BQ280" i="3"/>
  <c r="BQ281" i="3"/>
  <c r="BQ282" i="3"/>
  <c r="BQ283" i="3"/>
  <c r="BQ284" i="3"/>
  <c r="BQ285" i="3"/>
  <c r="BQ286" i="3"/>
  <c r="BQ287" i="3"/>
  <c r="BQ288" i="3"/>
  <c r="BQ289" i="3"/>
  <c r="BQ290" i="3"/>
  <c r="BQ291" i="3"/>
  <c r="BQ292" i="3"/>
  <c r="BQ293" i="3"/>
  <c r="BQ294" i="3"/>
  <c r="BQ295" i="3"/>
  <c r="BQ296" i="3"/>
  <c r="BQ297" i="3"/>
  <c r="BQ298" i="3"/>
  <c r="BQ299" i="3"/>
  <c r="BQ300" i="3"/>
  <c r="BQ301" i="3"/>
  <c r="BQ302" i="3"/>
  <c r="BQ303" i="3"/>
  <c r="BQ304" i="3"/>
  <c r="BQ305" i="3"/>
  <c r="BQ306" i="3"/>
  <c r="BQ307" i="3"/>
  <c r="BQ308" i="3"/>
  <c r="BQ309" i="3"/>
  <c r="BQ310" i="3"/>
  <c r="BQ311" i="3"/>
  <c r="BQ312" i="3"/>
  <c r="BQ313" i="3"/>
  <c r="BQ314" i="3"/>
  <c r="BQ315" i="3"/>
  <c r="BQ316" i="3"/>
  <c r="BQ317" i="3"/>
  <c r="BQ318" i="3"/>
  <c r="BQ319" i="3"/>
  <c r="BQ320" i="3"/>
  <c r="BQ321" i="3"/>
  <c r="BQ322" i="3"/>
  <c r="BQ323" i="3"/>
  <c r="BQ324" i="3"/>
  <c r="BQ325" i="3"/>
  <c r="BQ326" i="3"/>
  <c r="BQ327" i="3"/>
  <c r="BQ328" i="3"/>
  <c r="BQ329" i="3"/>
  <c r="BQ330" i="3"/>
  <c r="BQ331" i="3"/>
  <c r="BQ332" i="3"/>
  <c r="BQ333" i="3"/>
  <c r="BQ334" i="3"/>
  <c r="BQ335" i="3"/>
  <c r="BQ336" i="3"/>
  <c r="BQ337" i="3"/>
  <c r="BQ338" i="3"/>
  <c r="BQ339" i="3"/>
  <c r="BQ340" i="3"/>
  <c r="BQ341" i="3"/>
  <c r="BQ342" i="3"/>
  <c r="BQ343" i="3"/>
  <c r="BQ344" i="3"/>
  <c r="BQ345" i="3"/>
  <c r="BQ346" i="3"/>
  <c r="BQ347" i="3"/>
  <c r="BQ348" i="3"/>
  <c r="BQ349" i="3"/>
  <c r="BQ350" i="3"/>
  <c r="BQ351" i="3"/>
  <c r="BQ352" i="3"/>
  <c r="BQ353" i="3"/>
  <c r="BQ354" i="3"/>
  <c r="BQ355" i="3"/>
  <c r="BQ356" i="3"/>
  <c r="BQ357" i="3"/>
  <c r="BQ358" i="3"/>
  <c r="BQ359" i="3"/>
  <c r="BQ360" i="3"/>
  <c r="BQ361" i="3"/>
  <c r="BQ362" i="3"/>
  <c r="BQ363" i="3"/>
  <c r="BQ364" i="3"/>
  <c r="BQ365" i="3"/>
  <c r="BQ366" i="3"/>
  <c r="BQ367" i="3"/>
  <c r="BQ368" i="3"/>
  <c r="BQ369" i="3"/>
  <c r="BQ370" i="3"/>
  <c r="BQ371" i="3"/>
  <c r="BQ372" i="3"/>
  <c r="BQ373" i="3"/>
  <c r="BQ374" i="3"/>
  <c r="BQ375" i="3"/>
  <c r="BQ376" i="3"/>
  <c r="BQ377" i="3"/>
  <c r="BQ378" i="3"/>
  <c r="BQ379" i="3"/>
  <c r="BQ380" i="3"/>
  <c r="BQ381" i="3"/>
  <c r="BQ382" i="3"/>
  <c r="BQ383" i="3"/>
  <c r="BQ384" i="3"/>
  <c r="BQ385" i="3"/>
  <c r="BQ386" i="3"/>
  <c r="BQ387" i="3"/>
  <c r="BQ388" i="3"/>
  <c r="BQ389" i="3"/>
  <c r="BQ390" i="3"/>
  <c r="BQ391" i="3"/>
  <c r="BQ392" i="3"/>
  <c r="BQ393" i="3"/>
  <c r="BQ394" i="3"/>
  <c r="BQ395" i="3"/>
  <c r="BQ396" i="3"/>
  <c r="BQ397" i="3"/>
  <c r="BQ398" i="3"/>
  <c r="BQ399" i="3"/>
  <c r="BQ400" i="3"/>
  <c r="BQ401" i="3"/>
  <c r="BQ402" i="3"/>
  <c r="BQ403" i="3"/>
  <c r="BQ404" i="3"/>
  <c r="BQ405" i="3"/>
  <c r="BQ406" i="3"/>
  <c r="BQ407" i="3"/>
  <c r="BQ408" i="3"/>
  <c r="BQ409" i="3"/>
  <c r="BQ410" i="3"/>
  <c r="BQ411" i="3"/>
  <c r="BQ412" i="3"/>
  <c r="BQ413" i="3"/>
  <c r="BQ414" i="3"/>
  <c r="BQ415" i="3"/>
  <c r="BQ416" i="3"/>
  <c r="BQ417" i="3"/>
  <c r="BQ418" i="3"/>
  <c r="BQ419" i="3"/>
  <c r="BQ420" i="3"/>
  <c r="BQ421" i="3"/>
  <c r="BQ422" i="3"/>
  <c r="BQ423" i="3"/>
  <c r="BQ424" i="3"/>
  <c r="BQ425" i="3"/>
  <c r="BQ426" i="3"/>
  <c r="BQ427" i="3"/>
  <c r="BQ428" i="3"/>
  <c r="BQ429" i="3"/>
  <c r="BQ430" i="3"/>
  <c r="BQ431" i="3"/>
  <c r="BQ432" i="3"/>
  <c r="BQ433" i="3"/>
  <c r="BQ434" i="3"/>
  <c r="BQ435" i="3"/>
  <c r="BQ436" i="3"/>
  <c r="BQ437" i="3"/>
  <c r="BQ438" i="3"/>
  <c r="BQ439" i="3"/>
  <c r="BQ440" i="3"/>
  <c r="BQ441" i="3"/>
  <c r="BQ442" i="3"/>
  <c r="BQ443" i="3"/>
  <c r="BQ444" i="3"/>
  <c r="BQ445" i="3"/>
  <c r="BQ446" i="3"/>
  <c r="BQ447" i="3"/>
  <c r="BQ448" i="3"/>
  <c r="BQ449" i="3"/>
  <c r="BQ450" i="3"/>
  <c r="BQ451" i="3"/>
  <c r="BQ452" i="3"/>
  <c r="BQ453" i="3"/>
  <c r="BQ454" i="3"/>
  <c r="BQ455" i="3"/>
  <c r="BQ456" i="3"/>
  <c r="BQ457" i="3"/>
  <c r="BQ458" i="3"/>
  <c r="BQ459" i="3"/>
  <c r="BQ460" i="3"/>
  <c r="BQ461" i="3"/>
  <c r="BQ462" i="3"/>
  <c r="BQ463" i="3"/>
  <c r="BQ464" i="3"/>
  <c r="BQ465" i="3"/>
  <c r="BQ466" i="3"/>
  <c r="BQ467" i="3"/>
  <c r="BQ468" i="3"/>
  <c r="BQ469" i="3"/>
  <c r="BQ470" i="3"/>
  <c r="BQ471" i="3"/>
  <c r="BQ472" i="3"/>
  <c r="BQ473" i="3"/>
  <c r="BQ474" i="3"/>
  <c r="BQ475" i="3"/>
  <c r="BQ476" i="3"/>
  <c r="BQ477" i="3"/>
  <c r="BQ478" i="3"/>
  <c r="BQ479" i="3"/>
  <c r="BQ480" i="3"/>
  <c r="BQ481" i="3"/>
  <c r="BQ482" i="3"/>
  <c r="BQ483" i="3"/>
  <c r="BQ484" i="3"/>
  <c r="BQ485" i="3"/>
  <c r="BQ486" i="3"/>
  <c r="BQ487" i="3"/>
  <c r="BQ488" i="3"/>
  <c r="BQ489" i="3"/>
  <c r="BQ490" i="3"/>
  <c r="BQ491" i="3"/>
  <c r="BQ492" i="3"/>
  <c r="BQ493" i="3"/>
  <c r="BQ494" i="3"/>
  <c r="BQ495" i="3"/>
  <c r="BQ496" i="3"/>
  <c r="BQ497" i="3"/>
  <c r="BQ498" i="3"/>
  <c r="BQ499" i="3"/>
  <c r="BQ500" i="3"/>
  <c r="BQ501" i="3"/>
  <c r="BQ502" i="3"/>
  <c r="BQ503" i="3"/>
  <c r="BQ504" i="3"/>
  <c r="BQ505" i="3"/>
  <c r="BQ506" i="3"/>
  <c r="BQ507" i="3"/>
  <c r="BQ508" i="3"/>
  <c r="BQ509" i="3"/>
  <c r="BQ510" i="3"/>
  <c r="BQ511" i="3"/>
  <c r="BQ512" i="3"/>
  <c r="BQ513" i="3"/>
  <c r="BQ514" i="3"/>
  <c r="BQ515" i="3"/>
  <c r="BQ516" i="3"/>
  <c r="BQ517" i="3"/>
  <c r="BQ518" i="3"/>
  <c r="BQ2" i="3"/>
  <c r="BM17" i="3" l="1"/>
  <c r="AY2" i="5"/>
  <c r="CQ358" i="5" l="1"/>
  <c r="CQ3" i="5"/>
  <c r="CQ4" i="5"/>
  <c r="CQ5" i="5"/>
  <c r="CQ6" i="5"/>
  <c r="CQ7" i="5"/>
  <c r="CQ8" i="5"/>
  <c r="CQ9" i="5"/>
  <c r="CQ10" i="5"/>
  <c r="CQ11" i="5"/>
  <c r="CQ12" i="5"/>
  <c r="CQ13" i="5"/>
  <c r="CQ14" i="5"/>
  <c r="CQ15" i="5"/>
  <c r="CQ16" i="5"/>
  <c r="CQ17" i="5"/>
  <c r="CQ18" i="5"/>
  <c r="CQ19" i="5"/>
  <c r="CQ20" i="5"/>
  <c r="CQ21" i="5"/>
  <c r="CQ22" i="5"/>
  <c r="CQ23" i="5"/>
  <c r="CQ24" i="5"/>
  <c r="CQ25" i="5"/>
  <c r="CQ26" i="5"/>
  <c r="CQ27" i="5"/>
  <c r="CQ28" i="5"/>
  <c r="CQ29" i="5"/>
  <c r="CQ30" i="5"/>
  <c r="CQ31" i="5"/>
  <c r="CQ32" i="5"/>
  <c r="CQ33" i="5"/>
  <c r="CQ34" i="5"/>
  <c r="CQ35" i="5"/>
  <c r="CQ36" i="5"/>
  <c r="CQ37" i="5"/>
  <c r="CQ38" i="5"/>
  <c r="CQ39" i="5"/>
  <c r="CQ40" i="5"/>
  <c r="CQ41" i="5"/>
  <c r="CQ42" i="5"/>
  <c r="CQ43" i="5"/>
  <c r="CQ44" i="5"/>
  <c r="CQ45" i="5"/>
  <c r="CQ46" i="5"/>
  <c r="CQ47" i="5"/>
  <c r="CQ48" i="5"/>
  <c r="CQ49" i="5"/>
  <c r="CQ50" i="5"/>
  <c r="CQ51" i="5"/>
  <c r="CQ52" i="5"/>
  <c r="CQ53" i="5"/>
  <c r="CQ54" i="5"/>
  <c r="CQ55" i="5"/>
  <c r="CQ56" i="5"/>
  <c r="CQ57" i="5"/>
  <c r="CQ58" i="5"/>
  <c r="CQ59" i="5"/>
  <c r="CQ60" i="5"/>
  <c r="CQ61" i="5"/>
  <c r="CQ62" i="5"/>
  <c r="CQ63" i="5"/>
  <c r="CQ64" i="5"/>
  <c r="CQ65" i="5"/>
  <c r="CQ66" i="5"/>
  <c r="CQ67" i="5"/>
  <c r="CQ68" i="5"/>
  <c r="CQ69" i="5"/>
  <c r="CQ70" i="5"/>
  <c r="CQ71" i="5"/>
  <c r="CQ72" i="5"/>
  <c r="CQ73" i="5"/>
  <c r="CQ74" i="5"/>
  <c r="CQ75" i="5"/>
  <c r="CQ76" i="5"/>
  <c r="CQ77" i="5"/>
  <c r="CQ78" i="5"/>
  <c r="CQ79" i="5"/>
  <c r="CQ80" i="5"/>
  <c r="CQ81" i="5"/>
  <c r="CQ82" i="5"/>
  <c r="CQ83" i="5"/>
  <c r="CQ84" i="5"/>
  <c r="CQ85" i="5"/>
  <c r="CQ86" i="5"/>
  <c r="CQ87" i="5"/>
  <c r="CQ88" i="5"/>
  <c r="CQ89" i="5"/>
  <c r="CQ90" i="5"/>
  <c r="CQ91" i="5"/>
  <c r="CQ92" i="5"/>
  <c r="CQ93" i="5"/>
  <c r="CQ94" i="5"/>
  <c r="CQ95" i="5"/>
  <c r="CQ96" i="5"/>
  <c r="CQ97" i="5"/>
  <c r="CQ98" i="5"/>
  <c r="CQ99" i="5"/>
  <c r="CQ100" i="5"/>
  <c r="CQ101" i="5"/>
  <c r="CQ102" i="5"/>
  <c r="CQ103" i="5"/>
  <c r="CQ104" i="5"/>
  <c r="CQ105" i="5"/>
  <c r="CQ106" i="5"/>
  <c r="CQ107" i="5"/>
  <c r="CQ108" i="5"/>
  <c r="CQ109" i="5"/>
  <c r="CQ110" i="5"/>
  <c r="CQ111" i="5"/>
  <c r="CQ112" i="5"/>
  <c r="CQ113" i="5"/>
  <c r="CQ114" i="5"/>
  <c r="CQ115" i="5"/>
  <c r="CQ116" i="5"/>
  <c r="CQ117" i="5"/>
  <c r="CQ118" i="5"/>
  <c r="CQ119" i="5"/>
  <c r="CQ120" i="5"/>
  <c r="CQ121" i="5"/>
  <c r="CQ122" i="5"/>
  <c r="CQ123" i="5"/>
  <c r="CQ124" i="5"/>
  <c r="CQ125" i="5"/>
  <c r="CQ126" i="5"/>
  <c r="CQ127" i="5"/>
  <c r="CQ128" i="5"/>
  <c r="CQ129" i="5"/>
  <c r="CQ130" i="5"/>
  <c r="CQ131" i="5"/>
  <c r="CQ132" i="5"/>
  <c r="CQ133" i="5"/>
  <c r="CQ134" i="5"/>
  <c r="CQ135" i="5"/>
  <c r="CQ136" i="5"/>
  <c r="CQ137" i="5"/>
  <c r="CQ138" i="5"/>
  <c r="CQ139" i="5"/>
  <c r="CQ140" i="5"/>
  <c r="CQ141" i="5"/>
  <c r="CQ142" i="5"/>
  <c r="CQ143" i="5"/>
  <c r="CQ144" i="5"/>
  <c r="CQ145" i="5"/>
  <c r="CQ146" i="5"/>
  <c r="CQ147" i="5"/>
  <c r="CQ148" i="5"/>
  <c r="CQ149" i="5"/>
  <c r="CQ150" i="5"/>
  <c r="CQ151" i="5"/>
  <c r="CQ152" i="5"/>
  <c r="CQ153" i="5"/>
  <c r="CQ154" i="5"/>
  <c r="CQ155" i="5"/>
  <c r="CQ156" i="5"/>
  <c r="CQ157" i="5"/>
  <c r="CQ158" i="5"/>
  <c r="CQ159" i="5"/>
  <c r="CQ160" i="5"/>
  <c r="CQ161" i="5"/>
  <c r="CQ162" i="5"/>
  <c r="CQ163" i="5"/>
  <c r="CQ164" i="5"/>
  <c r="CQ165" i="5"/>
  <c r="CQ166" i="5"/>
  <c r="CQ167" i="5"/>
  <c r="CQ168" i="5"/>
  <c r="CQ169" i="5"/>
  <c r="CQ170" i="5"/>
  <c r="CQ171" i="5"/>
  <c r="CQ172" i="5"/>
  <c r="CQ173" i="5"/>
  <c r="CQ174" i="5"/>
  <c r="CQ175" i="5"/>
  <c r="CQ176" i="5"/>
  <c r="CQ177" i="5"/>
  <c r="CQ178" i="5"/>
  <c r="CQ179" i="5"/>
  <c r="CQ180" i="5"/>
  <c r="CQ181" i="5"/>
  <c r="CQ182" i="5"/>
  <c r="CQ183" i="5"/>
  <c r="CQ184" i="5"/>
  <c r="CQ185" i="5"/>
  <c r="CQ186" i="5"/>
  <c r="CQ187" i="5"/>
  <c r="CQ188" i="5"/>
  <c r="CQ189" i="5"/>
  <c r="CQ190" i="5"/>
  <c r="CQ191" i="5"/>
  <c r="CQ192" i="5"/>
  <c r="CQ193" i="5"/>
  <c r="CQ194" i="5"/>
  <c r="CQ195" i="5"/>
  <c r="CQ196" i="5"/>
  <c r="CQ197" i="5"/>
  <c r="CQ198" i="5"/>
  <c r="CQ199" i="5"/>
  <c r="CQ200" i="5"/>
  <c r="CQ201" i="5"/>
  <c r="CQ202" i="5"/>
  <c r="CQ203" i="5"/>
  <c r="CQ204" i="5"/>
  <c r="CQ205" i="5"/>
  <c r="CQ206" i="5"/>
  <c r="CQ207" i="5"/>
  <c r="CQ208" i="5"/>
  <c r="CQ209" i="5"/>
  <c r="CQ210" i="5"/>
  <c r="CQ211" i="5"/>
  <c r="CQ212" i="5"/>
  <c r="CQ213" i="5"/>
  <c r="CQ214" i="5"/>
  <c r="CQ215" i="5"/>
  <c r="CQ216" i="5"/>
  <c r="CQ217" i="5"/>
  <c r="CQ218" i="5"/>
  <c r="CQ219" i="5"/>
  <c r="CQ220" i="5"/>
  <c r="CQ221" i="5"/>
  <c r="CQ222" i="5"/>
  <c r="CQ223" i="5"/>
  <c r="CQ224" i="5"/>
  <c r="CQ225" i="5"/>
  <c r="CQ226" i="5"/>
  <c r="CQ227" i="5"/>
  <c r="CQ228" i="5"/>
  <c r="CQ229" i="5"/>
  <c r="CQ230" i="5"/>
  <c r="CQ231" i="5"/>
  <c r="CQ232" i="5"/>
  <c r="CQ233" i="5"/>
  <c r="CQ234" i="5"/>
  <c r="CQ235" i="5"/>
  <c r="CQ236" i="5"/>
  <c r="CQ237" i="5"/>
  <c r="CQ238" i="5"/>
  <c r="CQ239" i="5"/>
  <c r="CQ240" i="5"/>
  <c r="CQ241" i="5"/>
  <c r="CQ242" i="5"/>
  <c r="CQ243" i="5"/>
  <c r="CQ244" i="5"/>
  <c r="CQ245" i="5"/>
  <c r="CQ246" i="5"/>
  <c r="CQ247" i="5"/>
  <c r="CQ248" i="5"/>
  <c r="CQ249" i="5"/>
  <c r="CQ250" i="5"/>
  <c r="CQ251" i="5"/>
  <c r="CQ252" i="5"/>
  <c r="CQ253" i="5"/>
  <c r="CQ254" i="5"/>
  <c r="CQ255" i="5"/>
  <c r="CQ256" i="5"/>
  <c r="CQ257" i="5"/>
  <c r="CQ258" i="5"/>
  <c r="CQ259" i="5"/>
  <c r="CQ260" i="5"/>
  <c r="CQ261" i="5"/>
  <c r="CQ262" i="5"/>
  <c r="CQ263" i="5"/>
  <c r="CQ264" i="5"/>
  <c r="CQ265" i="5"/>
  <c r="CQ266" i="5"/>
  <c r="CQ267" i="5"/>
  <c r="CQ268" i="5"/>
  <c r="CQ269" i="5"/>
  <c r="CQ270" i="5"/>
  <c r="CQ271" i="5"/>
  <c r="CQ272" i="5"/>
  <c r="CQ273" i="5"/>
  <c r="CQ274" i="5"/>
  <c r="CQ275" i="5"/>
  <c r="CQ276" i="5"/>
  <c r="CQ277" i="5"/>
  <c r="CQ278" i="5"/>
  <c r="CQ279" i="5"/>
  <c r="CQ280" i="5"/>
  <c r="CQ281" i="5"/>
  <c r="CQ282" i="5"/>
  <c r="CQ283" i="5"/>
  <c r="CQ284" i="5"/>
  <c r="CQ285" i="5"/>
  <c r="CQ286" i="5"/>
  <c r="CQ287" i="5"/>
  <c r="CQ288" i="5"/>
  <c r="CQ289" i="5"/>
  <c r="CQ290" i="5"/>
  <c r="CQ291" i="5"/>
  <c r="CQ292" i="5"/>
  <c r="CQ293" i="5"/>
  <c r="CQ294" i="5"/>
  <c r="CQ295" i="5"/>
  <c r="CQ296" i="5"/>
  <c r="CQ297" i="5"/>
  <c r="CQ298" i="5"/>
  <c r="CQ299" i="5"/>
  <c r="CQ300" i="5"/>
  <c r="CQ301" i="5"/>
  <c r="CQ302" i="5"/>
  <c r="CQ303" i="5"/>
  <c r="CQ304" i="5"/>
  <c r="CQ305" i="5"/>
  <c r="CQ306" i="5"/>
  <c r="CQ307" i="5"/>
  <c r="CQ308" i="5"/>
  <c r="CQ309" i="5"/>
  <c r="CQ310" i="5"/>
  <c r="CQ311" i="5"/>
  <c r="CQ312" i="5"/>
  <c r="CQ313" i="5"/>
  <c r="CQ314" i="5"/>
  <c r="CQ315" i="5"/>
  <c r="CQ316" i="5"/>
  <c r="CQ317" i="5"/>
  <c r="CQ318" i="5"/>
  <c r="CQ319" i="5"/>
  <c r="CQ320" i="5"/>
  <c r="CQ321" i="5"/>
  <c r="CQ322" i="5"/>
  <c r="CQ323" i="5"/>
  <c r="CQ324" i="5"/>
  <c r="CQ325" i="5"/>
  <c r="CQ326" i="5"/>
  <c r="CQ327" i="5"/>
  <c r="CQ328" i="5"/>
  <c r="CQ329" i="5"/>
  <c r="CQ330" i="5"/>
  <c r="CQ331" i="5"/>
  <c r="CQ332" i="5"/>
  <c r="CQ333" i="5"/>
  <c r="CQ334" i="5"/>
  <c r="CQ335" i="5"/>
  <c r="CQ336" i="5"/>
  <c r="CQ337" i="5"/>
  <c r="CQ338" i="5"/>
  <c r="CQ339" i="5"/>
  <c r="CQ340" i="5"/>
  <c r="CQ341" i="5"/>
  <c r="CQ342" i="5"/>
  <c r="CQ343" i="5"/>
  <c r="CQ344" i="5"/>
  <c r="CQ345" i="5"/>
  <c r="CQ346" i="5"/>
  <c r="CQ347" i="5"/>
  <c r="CQ348" i="5"/>
  <c r="CQ349" i="5"/>
  <c r="CQ350" i="5"/>
  <c r="CQ351" i="5"/>
  <c r="CQ352" i="5"/>
  <c r="CQ353" i="5"/>
  <c r="CQ354" i="5"/>
  <c r="CQ355" i="5"/>
  <c r="CQ356" i="5"/>
  <c r="CQ357" i="5"/>
  <c r="CQ359" i="5"/>
  <c r="CQ360" i="5"/>
  <c r="CQ361" i="5"/>
  <c r="CQ362" i="5"/>
  <c r="CQ363" i="5"/>
  <c r="CQ364" i="5"/>
  <c r="CQ365" i="5"/>
  <c r="CQ366" i="5"/>
  <c r="CQ367" i="5"/>
  <c r="CQ368" i="5"/>
  <c r="CQ369" i="5"/>
  <c r="CQ370" i="5"/>
  <c r="CQ371" i="5"/>
  <c r="CQ372" i="5"/>
  <c r="CQ373" i="5"/>
  <c r="CQ374" i="5"/>
  <c r="CQ375" i="5"/>
  <c r="CQ376" i="5"/>
  <c r="CQ377" i="5"/>
  <c r="CQ378" i="5"/>
  <c r="CQ379" i="5"/>
  <c r="CQ380" i="5"/>
  <c r="CQ381" i="5"/>
  <c r="CQ382" i="5"/>
  <c r="CQ383" i="5"/>
  <c r="CQ384" i="5"/>
  <c r="CQ385" i="5"/>
  <c r="CQ386" i="5"/>
  <c r="CQ387" i="5"/>
  <c r="CQ388" i="5"/>
  <c r="CQ389" i="5"/>
  <c r="CQ390" i="5"/>
  <c r="CQ391" i="5"/>
  <c r="CQ392" i="5"/>
  <c r="CQ393" i="5"/>
  <c r="CQ394" i="5"/>
  <c r="CQ395" i="5"/>
  <c r="CQ396" i="5"/>
  <c r="CQ397" i="5"/>
  <c r="CQ398" i="5"/>
  <c r="CQ399" i="5"/>
  <c r="CQ400" i="5"/>
  <c r="CQ401" i="5"/>
  <c r="CQ402" i="5"/>
  <c r="CQ403" i="5"/>
  <c r="CQ404" i="5"/>
  <c r="CQ405" i="5"/>
  <c r="CQ406" i="5"/>
  <c r="CQ407" i="5"/>
  <c r="CQ408" i="5"/>
  <c r="CQ409" i="5"/>
  <c r="CQ410" i="5"/>
  <c r="CQ411" i="5"/>
  <c r="CQ412" i="5"/>
  <c r="CQ413" i="5"/>
  <c r="CQ414" i="5"/>
  <c r="CQ415" i="5"/>
  <c r="CQ416" i="5"/>
  <c r="CQ417" i="5"/>
  <c r="CQ418" i="5"/>
  <c r="CQ419" i="5"/>
  <c r="CQ420" i="5"/>
  <c r="CQ421" i="5"/>
  <c r="CQ422" i="5"/>
  <c r="CQ423" i="5"/>
  <c r="CQ424" i="5"/>
  <c r="CQ425" i="5"/>
  <c r="CQ426" i="5"/>
  <c r="CQ427" i="5"/>
  <c r="CQ428" i="5"/>
  <c r="CQ429" i="5"/>
  <c r="CQ430" i="5"/>
  <c r="CQ431" i="5"/>
  <c r="CQ432" i="5"/>
  <c r="CQ433" i="5"/>
  <c r="CQ434" i="5"/>
  <c r="CQ435" i="5"/>
  <c r="CQ436" i="5"/>
  <c r="CQ437" i="5"/>
  <c r="CQ438" i="5"/>
  <c r="CQ439" i="5"/>
  <c r="CQ440" i="5"/>
  <c r="CQ441" i="5"/>
  <c r="CQ442" i="5"/>
  <c r="CQ443" i="5"/>
  <c r="CQ444" i="5"/>
  <c r="CQ445" i="5"/>
  <c r="CQ446" i="5"/>
  <c r="CQ447" i="5"/>
  <c r="CQ448" i="5"/>
  <c r="CQ449" i="5"/>
  <c r="CQ450" i="5"/>
  <c r="CQ451" i="5"/>
  <c r="CQ452" i="5"/>
  <c r="CQ453" i="5"/>
  <c r="CQ454" i="5"/>
  <c r="CQ455" i="5"/>
  <c r="CQ456" i="5"/>
  <c r="CQ457" i="5"/>
  <c r="CQ458" i="5"/>
  <c r="CQ459" i="5"/>
  <c r="CQ460" i="5"/>
  <c r="CQ461" i="5"/>
  <c r="CQ462" i="5"/>
  <c r="CQ463" i="5"/>
  <c r="CQ464" i="5"/>
  <c r="CQ465" i="5"/>
  <c r="CQ466" i="5"/>
  <c r="CQ467" i="5"/>
  <c r="CQ468" i="5"/>
  <c r="CQ469" i="5"/>
  <c r="CQ470" i="5"/>
  <c r="CQ471" i="5"/>
  <c r="CQ472" i="5"/>
  <c r="CQ473" i="5"/>
  <c r="CQ474" i="5"/>
  <c r="CQ475" i="5"/>
  <c r="CQ476" i="5"/>
  <c r="CQ477" i="5"/>
  <c r="CQ478" i="5"/>
  <c r="CQ479" i="5"/>
  <c r="CQ480" i="5"/>
  <c r="CQ481" i="5"/>
  <c r="CQ482" i="5"/>
  <c r="CQ483" i="5"/>
  <c r="CQ484" i="5"/>
  <c r="CQ485" i="5"/>
  <c r="CQ486" i="5"/>
  <c r="CQ487" i="5"/>
  <c r="CQ488" i="5"/>
  <c r="CQ489" i="5"/>
  <c r="CQ490" i="5"/>
  <c r="CQ491" i="5"/>
  <c r="CQ492" i="5"/>
  <c r="CQ493" i="5"/>
  <c r="CQ494" i="5"/>
  <c r="CQ495" i="5"/>
  <c r="CQ496" i="5"/>
  <c r="CQ497" i="5"/>
  <c r="CQ498" i="5"/>
  <c r="CQ499" i="5"/>
  <c r="CQ500" i="5"/>
  <c r="CQ501" i="5"/>
  <c r="CQ502" i="5"/>
  <c r="CQ503" i="5"/>
  <c r="CQ504" i="5"/>
  <c r="CQ505" i="5"/>
  <c r="CQ506" i="5"/>
  <c r="CQ507" i="5"/>
  <c r="CQ508" i="5"/>
  <c r="CQ509" i="5"/>
  <c r="CQ510" i="5"/>
  <c r="CQ511" i="5"/>
  <c r="CQ512" i="5"/>
  <c r="CQ513" i="5"/>
  <c r="CQ514" i="5"/>
  <c r="CQ515" i="5"/>
  <c r="CQ516" i="5"/>
  <c r="CQ517" i="5"/>
  <c r="CQ518" i="5"/>
  <c r="CQ2" i="5"/>
  <c r="G519" i="5"/>
  <c r="H519" i="5"/>
  <c r="I519" i="5"/>
  <c r="J519" i="5"/>
  <c r="K519" i="5"/>
  <c r="L519" i="5"/>
  <c r="M519" i="5"/>
  <c r="N519" i="5"/>
  <c r="O519" i="5"/>
  <c r="P519" i="5"/>
  <c r="Q519" i="5"/>
  <c r="R519" i="5"/>
  <c r="S519" i="5"/>
  <c r="T519" i="5"/>
  <c r="U519" i="5"/>
  <c r="V519" i="5"/>
  <c r="W519" i="5"/>
  <c r="X519" i="5"/>
  <c r="Y519" i="5"/>
  <c r="Z519" i="5"/>
  <c r="AA519" i="5"/>
  <c r="AC519" i="5"/>
  <c r="AD519" i="5"/>
  <c r="AE519" i="5"/>
  <c r="AF519" i="5"/>
  <c r="AG519" i="5"/>
  <c r="AH519" i="5"/>
  <c r="AI519" i="5"/>
  <c r="AJ519" i="5"/>
  <c r="AK519" i="5"/>
  <c r="AL519" i="5"/>
  <c r="AN519" i="5"/>
  <c r="AO519" i="5"/>
  <c r="AP519" i="5"/>
  <c r="AR519" i="5"/>
  <c r="AS519" i="5"/>
  <c r="AU519" i="5"/>
  <c r="AV519" i="5"/>
  <c r="AW519" i="5"/>
  <c r="AX519" i="5"/>
  <c r="E519" i="5"/>
  <c r="CO3" i="5"/>
  <c r="CP3" i="5" s="1"/>
  <c r="CO4" i="5"/>
  <c r="CP4" i="5" s="1"/>
  <c r="CO5" i="5"/>
  <c r="CP5" i="5" s="1"/>
  <c r="CO6" i="5"/>
  <c r="CP6" i="5" s="1"/>
  <c r="CO7" i="5"/>
  <c r="CP7" i="5" s="1"/>
  <c r="CO8" i="5"/>
  <c r="CO9" i="5"/>
  <c r="CP9" i="5" s="1"/>
  <c r="CO10" i="5"/>
  <c r="CP10" i="5" s="1"/>
  <c r="CO11" i="5"/>
  <c r="CP11" i="5" s="1"/>
  <c r="CO12" i="5"/>
  <c r="CP12" i="5" s="1"/>
  <c r="CO13" i="5"/>
  <c r="CP13" i="5" s="1"/>
  <c r="CO14" i="5"/>
  <c r="CP14" i="5" s="1"/>
  <c r="CO15" i="5"/>
  <c r="CO16" i="5"/>
  <c r="CP16" i="5" s="1"/>
  <c r="CO17" i="5"/>
  <c r="CP17" i="5" s="1"/>
  <c r="CO18" i="5"/>
  <c r="CP18" i="5" s="1"/>
  <c r="CO19" i="5"/>
  <c r="CP19" i="5" s="1"/>
  <c r="CO20" i="5"/>
  <c r="CP20" i="5" s="1"/>
  <c r="CO21" i="5"/>
  <c r="CP21" i="5" s="1"/>
  <c r="CO22" i="5"/>
  <c r="CP22" i="5" s="1"/>
  <c r="CO23" i="5"/>
  <c r="CP23" i="5" s="1"/>
  <c r="CO24" i="5"/>
  <c r="CP24" i="5" s="1"/>
  <c r="CO25" i="5"/>
  <c r="CP25" i="5" s="1"/>
  <c r="CO26" i="5"/>
  <c r="CP26" i="5" s="1"/>
  <c r="CO27" i="5"/>
  <c r="CP27" i="5" s="1"/>
  <c r="CO28" i="5"/>
  <c r="CP28" i="5" s="1"/>
  <c r="CO29" i="5"/>
  <c r="CP29" i="5" s="1"/>
  <c r="CO30" i="5"/>
  <c r="CP30" i="5" s="1"/>
  <c r="CO31" i="5"/>
  <c r="CP31" i="5" s="1"/>
  <c r="CO32" i="5"/>
  <c r="CP32" i="5" s="1"/>
  <c r="CO33" i="5"/>
  <c r="CP33" i="5" s="1"/>
  <c r="CO34" i="5"/>
  <c r="CP34" i="5" s="1"/>
  <c r="CO35" i="5"/>
  <c r="CP35" i="5" s="1"/>
  <c r="CO36" i="5"/>
  <c r="CP36" i="5" s="1"/>
  <c r="CO37" i="5"/>
  <c r="CP37" i="5" s="1"/>
  <c r="CO38" i="5"/>
  <c r="CP38" i="5" s="1"/>
  <c r="CO39" i="5"/>
  <c r="CP39" i="5" s="1"/>
  <c r="CO40" i="5"/>
  <c r="CP40" i="5" s="1"/>
  <c r="CO41" i="5"/>
  <c r="CP41" i="5" s="1"/>
  <c r="CO42" i="5"/>
  <c r="CP42" i="5" s="1"/>
  <c r="CO43" i="5"/>
  <c r="CP43" i="5" s="1"/>
  <c r="CO44" i="5"/>
  <c r="CP44" i="5" s="1"/>
  <c r="CO45" i="5"/>
  <c r="CP45" i="5" s="1"/>
  <c r="CO46" i="5"/>
  <c r="CP46" i="5" s="1"/>
  <c r="CO47" i="5"/>
  <c r="CO48" i="5"/>
  <c r="CP48" i="5" s="1"/>
  <c r="CO49" i="5"/>
  <c r="CP49" i="5" s="1"/>
  <c r="CO50" i="5"/>
  <c r="CO51" i="5"/>
  <c r="CP51" i="5" s="1"/>
  <c r="CO52" i="5"/>
  <c r="CP52" i="5" s="1"/>
  <c r="CO53" i="5"/>
  <c r="CO54" i="5"/>
  <c r="CP54" i="5" s="1"/>
  <c r="CO55" i="5"/>
  <c r="CP55" i="5" s="1"/>
  <c r="CO56" i="5"/>
  <c r="CP56" i="5" s="1"/>
  <c r="CO57" i="5"/>
  <c r="CP57" i="5" s="1"/>
  <c r="CO58" i="5"/>
  <c r="CP58" i="5" s="1"/>
  <c r="CO59" i="5"/>
  <c r="CP59" i="5" s="1"/>
  <c r="CO60" i="5"/>
  <c r="CP60" i="5" s="1"/>
  <c r="CO61" i="5"/>
  <c r="CP61" i="5" s="1"/>
  <c r="CO62" i="5"/>
  <c r="CP62" i="5" s="1"/>
  <c r="CO63" i="5"/>
  <c r="CP63" i="5" s="1"/>
  <c r="CO64" i="5"/>
  <c r="CP64" i="5" s="1"/>
  <c r="CO65" i="5"/>
  <c r="CP65" i="5" s="1"/>
  <c r="CO66" i="5"/>
  <c r="CP66" i="5" s="1"/>
  <c r="CO67" i="5"/>
  <c r="CP67" i="5" s="1"/>
  <c r="CO68" i="5"/>
  <c r="CP68" i="5" s="1"/>
  <c r="CO69" i="5"/>
  <c r="CO70" i="5"/>
  <c r="CP70" i="5" s="1"/>
  <c r="CO71" i="5"/>
  <c r="CP71" i="5" s="1"/>
  <c r="CO72" i="5"/>
  <c r="CP72" i="5" s="1"/>
  <c r="CO73" i="5"/>
  <c r="CP73" i="5" s="1"/>
  <c r="CO74" i="5"/>
  <c r="CP74" i="5" s="1"/>
  <c r="CO75" i="5"/>
  <c r="CP75" i="5" s="1"/>
  <c r="CO76" i="5"/>
  <c r="CP76" i="5" s="1"/>
  <c r="CO77" i="5"/>
  <c r="CP77" i="5" s="1"/>
  <c r="CO78" i="5"/>
  <c r="CP78" i="5" s="1"/>
  <c r="CO79" i="5"/>
  <c r="CP79" i="5" s="1"/>
  <c r="CO80" i="5"/>
  <c r="CP80" i="5" s="1"/>
  <c r="CO81" i="5"/>
  <c r="CP81" i="5" s="1"/>
  <c r="CO82" i="5"/>
  <c r="CP82" i="5" s="1"/>
  <c r="CO83" i="5"/>
  <c r="CP83" i="5" s="1"/>
  <c r="CO84" i="5"/>
  <c r="CP84" i="5" s="1"/>
  <c r="CO85" i="5"/>
  <c r="CP85" i="5" s="1"/>
  <c r="CO86" i="5"/>
  <c r="CP86" i="5" s="1"/>
  <c r="CO87" i="5"/>
  <c r="CP87" i="5" s="1"/>
  <c r="CO88" i="5"/>
  <c r="CP88" i="5" s="1"/>
  <c r="CO89" i="5"/>
  <c r="CP89" i="5" s="1"/>
  <c r="CO90" i="5"/>
  <c r="CP90" i="5" s="1"/>
  <c r="CO91" i="5"/>
  <c r="CP91" i="5" s="1"/>
  <c r="CO92" i="5"/>
  <c r="CP92" i="5" s="1"/>
  <c r="CO93" i="5"/>
  <c r="CP93" i="5" s="1"/>
  <c r="CO94" i="5"/>
  <c r="CP94" i="5" s="1"/>
  <c r="CO95" i="5"/>
  <c r="CP95" i="5" s="1"/>
  <c r="CO96" i="5"/>
  <c r="CP96" i="5" s="1"/>
  <c r="CO97" i="5"/>
  <c r="CP97" i="5" s="1"/>
  <c r="CO98" i="5"/>
  <c r="CP98" i="5" s="1"/>
  <c r="CO99" i="5"/>
  <c r="CP99" i="5" s="1"/>
  <c r="CO100" i="5"/>
  <c r="CP100" i="5" s="1"/>
  <c r="CO101" i="5"/>
  <c r="CP101" i="5" s="1"/>
  <c r="CO102" i="5"/>
  <c r="CP102" i="5" s="1"/>
  <c r="CO103" i="5"/>
  <c r="CP103" i="5" s="1"/>
  <c r="CO104" i="5"/>
  <c r="CP104" i="5" s="1"/>
  <c r="CO105" i="5"/>
  <c r="CP105" i="5" s="1"/>
  <c r="CO106" i="5"/>
  <c r="CP106" i="5" s="1"/>
  <c r="CO107" i="5"/>
  <c r="CP107" i="5" s="1"/>
  <c r="CO108" i="5"/>
  <c r="CP108" i="5" s="1"/>
  <c r="CO109" i="5"/>
  <c r="CP109" i="5" s="1"/>
  <c r="CO110" i="5"/>
  <c r="CP110" i="5" s="1"/>
  <c r="CO111" i="5"/>
  <c r="CP111" i="5" s="1"/>
  <c r="CO112" i="5"/>
  <c r="CP112" i="5" s="1"/>
  <c r="CO113" i="5"/>
  <c r="CO114" i="5"/>
  <c r="CO115" i="5"/>
  <c r="CP115" i="5" s="1"/>
  <c r="CO116" i="5"/>
  <c r="CP116" i="5" s="1"/>
  <c r="CO117" i="5"/>
  <c r="CP117" i="5" s="1"/>
  <c r="CO118" i="5"/>
  <c r="CP118" i="5" s="1"/>
  <c r="CO119" i="5"/>
  <c r="CP119" i="5" s="1"/>
  <c r="CO120" i="5"/>
  <c r="CP120" i="5" s="1"/>
  <c r="CO121" i="5"/>
  <c r="CP121" i="5" s="1"/>
  <c r="CO122" i="5"/>
  <c r="CP122" i="5" s="1"/>
  <c r="CO123" i="5"/>
  <c r="CP123" i="5" s="1"/>
  <c r="CO124" i="5"/>
  <c r="CP124" i="5" s="1"/>
  <c r="CO125" i="5"/>
  <c r="CP125" i="5" s="1"/>
  <c r="CO126" i="5"/>
  <c r="CP126" i="5" s="1"/>
  <c r="CO127" i="5"/>
  <c r="CP127" i="5" s="1"/>
  <c r="CO128" i="5"/>
  <c r="CP128" i="5" s="1"/>
  <c r="CO129" i="5"/>
  <c r="CP129" i="5" s="1"/>
  <c r="CO130" i="5"/>
  <c r="CP130" i="5" s="1"/>
  <c r="CO131" i="5"/>
  <c r="CP131" i="5" s="1"/>
  <c r="CO132" i="5"/>
  <c r="CP132" i="5" s="1"/>
  <c r="CO133" i="5"/>
  <c r="CP133" i="5" s="1"/>
  <c r="CO134" i="5"/>
  <c r="CP134" i="5" s="1"/>
  <c r="CO135" i="5"/>
  <c r="CP135" i="5" s="1"/>
  <c r="CO136" i="5"/>
  <c r="CO137" i="5"/>
  <c r="CP137" i="5" s="1"/>
  <c r="CO138" i="5"/>
  <c r="CP138" i="5" s="1"/>
  <c r="CO139" i="5"/>
  <c r="CP139" i="5" s="1"/>
  <c r="CO140" i="5"/>
  <c r="CP140" i="5" s="1"/>
  <c r="CO141" i="5"/>
  <c r="CP141" i="5" s="1"/>
  <c r="CO142" i="5"/>
  <c r="CP142" i="5" s="1"/>
  <c r="CO143" i="5"/>
  <c r="CP143" i="5" s="1"/>
  <c r="CO144" i="5"/>
  <c r="CP144" i="5" s="1"/>
  <c r="CO145" i="5"/>
  <c r="CP145" i="5" s="1"/>
  <c r="CO146" i="5"/>
  <c r="CO147" i="5"/>
  <c r="CO148" i="5"/>
  <c r="CP148" i="5" s="1"/>
  <c r="CO149" i="5"/>
  <c r="CP149" i="5" s="1"/>
  <c r="CO150" i="5"/>
  <c r="CP150" i="5" s="1"/>
  <c r="CO151" i="5"/>
  <c r="CP151" i="5" s="1"/>
  <c r="CO152" i="5"/>
  <c r="CP152" i="5" s="1"/>
  <c r="CO153" i="5"/>
  <c r="CP153" i="5" s="1"/>
  <c r="CO154" i="5"/>
  <c r="CP154" i="5" s="1"/>
  <c r="CO155" i="5"/>
  <c r="CP155" i="5" s="1"/>
  <c r="CO156" i="5"/>
  <c r="CP156" i="5" s="1"/>
  <c r="CO157" i="5"/>
  <c r="CP157" i="5" s="1"/>
  <c r="CO158" i="5"/>
  <c r="CP158" i="5" s="1"/>
  <c r="CO159" i="5"/>
  <c r="CP159" i="5" s="1"/>
  <c r="CO160" i="5"/>
  <c r="CP160" i="5" s="1"/>
  <c r="CO161" i="5"/>
  <c r="CP161" i="5" s="1"/>
  <c r="CO162" i="5"/>
  <c r="CP162" i="5" s="1"/>
  <c r="CO163" i="5"/>
  <c r="CP163" i="5" s="1"/>
  <c r="CO164" i="5"/>
  <c r="CP164" i="5" s="1"/>
  <c r="CO165" i="5"/>
  <c r="CP165" i="5" s="1"/>
  <c r="CO166" i="5"/>
  <c r="CP166" i="5" s="1"/>
  <c r="CO167" i="5"/>
  <c r="CP167" i="5" s="1"/>
  <c r="CO168" i="5"/>
  <c r="CP168" i="5" s="1"/>
  <c r="CO169" i="5"/>
  <c r="CP169" i="5" s="1"/>
  <c r="CO170" i="5"/>
  <c r="CO171" i="5"/>
  <c r="CO172" i="5"/>
  <c r="CO173" i="5"/>
  <c r="CP173" i="5" s="1"/>
  <c r="CO174" i="5"/>
  <c r="CP174" i="5" s="1"/>
  <c r="CO175" i="5"/>
  <c r="CP175" i="5" s="1"/>
  <c r="CO176" i="5"/>
  <c r="CP176" i="5" s="1"/>
  <c r="CO177" i="5"/>
  <c r="CP177" i="5" s="1"/>
  <c r="CO178" i="5"/>
  <c r="CP178" i="5" s="1"/>
  <c r="CO179" i="5"/>
  <c r="CP179" i="5" s="1"/>
  <c r="CO180" i="5"/>
  <c r="CP180" i="5" s="1"/>
  <c r="CO181" i="5"/>
  <c r="CP181" i="5" s="1"/>
  <c r="CO182" i="5"/>
  <c r="CP182" i="5" s="1"/>
  <c r="CO183" i="5"/>
  <c r="CP183" i="5" s="1"/>
  <c r="CO184" i="5"/>
  <c r="CP184" i="5" s="1"/>
  <c r="CO185" i="5"/>
  <c r="CP185" i="5" s="1"/>
  <c r="CO186" i="5"/>
  <c r="CP186" i="5" s="1"/>
  <c r="CO187" i="5"/>
  <c r="CP187" i="5" s="1"/>
  <c r="CO188" i="5"/>
  <c r="CP188" i="5" s="1"/>
  <c r="CO189" i="5"/>
  <c r="CP189" i="5" s="1"/>
  <c r="CO190" i="5"/>
  <c r="CO191" i="5"/>
  <c r="CP191" i="5" s="1"/>
  <c r="CO192" i="5"/>
  <c r="CP192" i="5" s="1"/>
  <c r="CO193" i="5"/>
  <c r="CP193" i="5" s="1"/>
  <c r="CO194" i="5"/>
  <c r="CP194" i="5" s="1"/>
  <c r="CO195" i="5"/>
  <c r="CP195" i="5" s="1"/>
  <c r="CO196" i="5"/>
  <c r="CP196" i="5" s="1"/>
  <c r="CO197" i="5"/>
  <c r="CP197" i="5" s="1"/>
  <c r="CO198" i="5"/>
  <c r="CO199" i="5"/>
  <c r="CP199" i="5" s="1"/>
  <c r="CO200" i="5"/>
  <c r="CP200" i="5" s="1"/>
  <c r="CO201" i="5"/>
  <c r="CP201" i="5" s="1"/>
  <c r="CO202" i="5"/>
  <c r="CP202" i="5" s="1"/>
  <c r="CO203" i="5"/>
  <c r="CP203" i="5" s="1"/>
  <c r="CO204" i="5"/>
  <c r="CP204" i="5" s="1"/>
  <c r="CO205" i="5"/>
  <c r="CP205" i="5" s="1"/>
  <c r="CO206" i="5"/>
  <c r="CP206" i="5" s="1"/>
  <c r="CO207" i="5"/>
  <c r="CO208" i="5"/>
  <c r="CP208" i="5" s="1"/>
  <c r="CO209" i="5"/>
  <c r="CP209" i="5" s="1"/>
  <c r="CO210" i="5"/>
  <c r="CP210" i="5" s="1"/>
  <c r="CO211" i="5"/>
  <c r="CP211" i="5" s="1"/>
  <c r="CO212" i="5"/>
  <c r="CP212" i="5" s="1"/>
  <c r="CO213" i="5"/>
  <c r="CP213" i="5" s="1"/>
  <c r="CO214" i="5"/>
  <c r="CP214" i="5" s="1"/>
  <c r="CO215" i="5"/>
  <c r="CP215" i="5" s="1"/>
  <c r="CO216" i="5"/>
  <c r="CP216" i="5" s="1"/>
  <c r="CO217" i="5"/>
  <c r="CP217" i="5" s="1"/>
  <c r="CO218" i="5"/>
  <c r="CP218" i="5" s="1"/>
  <c r="CO219" i="5"/>
  <c r="CP219" i="5" s="1"/>
  <c r="CO220" i="5"/>
  <c r="CP220" i="5" s="1"/>
  <c r="CO221" i="5"/>
  <c r="CP221" i="5" s="1"/>
  <c r="CO222" i="5"/>
  <c r="CP222" i="5" s="1"/>
  <c r="CO223" i="5"/>
  <c r="CO224" i="5"/>
  <c r="CO225" i="5"/>
  <c r="CP225" i="5" s="1"/>
  <c r="CO226" i="5"/>
  <c r="CO227" i="5"/>
  <c r="CP227" i="5" s="1"/>
  <c r="CO228" i="5"/>
  <c r="CP228" i="5" s="1"/>
  <c r="CO229" i="5"/>
  <c r="CP229" i="5" s="1"/>
  <c r="CO230" i="5"/>
  <c r="CP230" i="5" s="1"/>
  <c r="CO231" i="5"/>
  <c r="CP231" i="5" s="1"/>
  <c r="CO232" i="5"/>
  <c r="CP232" i="5" s="1"/>
  <c r="CO233" i="5"/>
  <c r="CO234" i="5"/>
  <c r="CP234" i="5" s="1"/>
  <c r="CO235" i="5"/>
  <c r="CP235" i="5" s="1"/>
  <c r="CO236" i="5"/>
  <c r="CP236" i="5" s="1"/>
  <c r="CO237" i="5"/>
  <c r="CP237" i="5" s="1"/>
  <c r="CO238" i="5"/>
  <c r="CP238" i="5" s="1"/>
  <c r="CO239" i="5"/>
  <c r="CP239" i="5" s="1"/>
  <c r="CO240" i="5"/>
  <c r="CP240" i="5" s="1"/>
  <c r="CO241" i="5"/>
  <c r="CP241" i="5" s="1"/>
  <c r="CO242" i="5"/>
  <c r="CP242" i="5" s="1"/>
  <c r="CO243" i="5"/>
  <c r="CP243" i="5" s="1"/>
  <c r="CO244" i="5"/>
  <c r="CP244" i="5" s="1"/>
  <c r="CO245" i="5"/>
  <c r="CO246" i="5"/>
  <c r="CP246" i="5" s="1"/>
  <c r="CO247" i="5"/>
  <c r="CP247" i="5" s="1"/>
  <c r="CO248" i="5"/>
  <c r="CO249" i="5"/>
  <c r="CP249" i="5" s="1"/>
  <c r="CO250" i="5"/>
  <c r="CP250" i="5" s="1"/>
  <c r="CO251" i="5"/>
  <c r="CP251" i="5" s="1"/>
  <c r="CO252" i="5"/>
  <c r="CP252" i="5" s="1"/>
  <c r="CO253" i="5"/>
  <c r="CP253" i="5" s="1"/>
  <c r="CO254" i="5"/>
  <c r="CP254" i="5" s="1"/>
  <c r="CO255" i="5"/>
  <c r="CP255" i="5" s="1"/>
  <c r="CO256" i="5"/>
  <c r="CP256" i="5" s="1"/>
  <c r="CO257" i="5"/>
  <c r="CP257" i="5" s="1"/>
  <c r="CO258" i="5"/>
  <c r="CP258" i="5" s="1"/>
  <c r="CO259" i="5"/>
  <c r="CP259" i="5" s="1"/>
  <c r="CO260" i="5"/>
  <c r="CP260" i="5" s="1"/>
  <c r="CO261" i="5"/>
  <c r="CP261" i="5" s="1"/>
  <c r="CO262" i="5"/>
  <c r="CP262" i="5" s="1"/>
  <c r="CO263" i="5"/>
  <c r="CP263" i="5" s="1"/>
  <c r="CO264" i="5"/>
  <c r="CP264" i="5" s="1"/>
  <c r="CO265" i="5"/>
  <c r="CP265" i="5" s="1"/>
  <c r="CO266" i="5"/>
  <c r="CP266" i="5" s="1"/>
  <c r="CO267" i="5"/>
  <c r="CP267" i="5" s="1"/>
  <c r="CO268" i="5"/>
  <c r="CP268" i="5" s="1"/>
  <c r="CO269" i="5"/>
  <c r="CP269" i="5" s="1"/>
  <c r="CO270" i="5"/>
  <c r="CP270" i="5" s="1"/>
  <c r="CO271" i="5"/>
  <c r="CP271" i="5" s="1"/>
  <c r="CO272" i="5"/>
  <c r="CP272" i="5" s="1"/>
  <c r="CO273" i="5"/>
  <c r="CP273" i="5" s="1"/>
  <c r="CO274" i="5"/>
  <c r="CP274" i="5" s="1"/>
  <c r="CO275" i="5"/>
  <c r="CP275" i="5" s="1"/>
  <c r="CO276" i="5"/>
  <c r="CP276" i="5" s="1"/>
  <c r="CO277" i="5"/>
  <c r="CP277" i="5" s="1"/>
  <c r="CO278" i="5"/>
  <c r="CP278" i="5" s="1"/>
  <c r="CO279" i="5"/>
  <c r="CP279" i="5" s="1"/>
  <c r="CO280" i="5"/>
  <c r="CP280" i="5" s="1"/>
  <c r="CO281" i="5"/>
  <c r="CP281" i="5" s="1"/>
  <c r="CO282" i="5"/>
  <c r="CP282" i="5" s="1"/>
  <c r="CO283" i="5"/>
  <c r="CP283" i="5" s="1"/>
  <c r="CO284" i="5"/>
  <c r="CP284" i="5" s="1"/>
  <c r="CO285" i="5"/>
  <c r="CP285" i="5" s="1"/>
  <c r="CO286" i="5"/>
  <c r="CP286" i="5" s="1"/>
  <c r="CO287" i="5"/>
  <c r="CP287" i="5" s="1"/>
  <c r="CO288" i="5"/>
  <c r="CP288" i="5" s="1"/>
  <c r="CO289" i="5"/>
  <c r="CP289" i="5" s="1"/>
  <c r="CO290" i="5"/>
  <c r="CP290" i="5" s="1"/>
  <c r="CO291" i="5"/>
  <c r="CP291" i="5" s="1"/>
  <c r="CO292" i="5"/>
  <c r="CP292" i="5" s="1"/>
  <c r="CO293" i="5"/>
  <c r="CP293" i="5" s="1"/>
  <c r="CO294" i="5"/>
  <c r="CP294" i="5" s="1"/>
  <c r="CO295" i="5"/>
  <c r="CP295" i="5" s="1"/>
  <c r="CO296" i="5"/>
  <c r="CP296" i="5" s="1"/>
  <c r="CO297" i="5"/>
  <c r="CP297" i="5" s="1"/>
  <c r="CO298" i="5"/>
  <c r="CP298" i="5" s="1"/>
  <c r="CO299" i="5"/>
  <c r="CP299" i="5" s="1"/>
  <c r="CO300" i="5"/>
  <c r="CP300" i="5" s="1"/>
  <c r="CO301" i="5"/>
  <c r="CP301" i="5" s="1"/>
  <c r="CO302" i="5"/>
  <c r="CP302" i="5" s="1"/>
  <c r="CO303" i="5"/>
  <c r="CP303" i="5" s="1"/>
  <c r="CO304" i="5"/>
  <c r="CP304" i="5" s="1"/>
  <c r="CO305" i="5"/>
  <c r="CP305" i="5" s="1"/>
  <c r="CO306" i="5"/>
  <c r="CP306" i="5" s="1"/>
  <c r="CO307" i="5"/>
  <c r="CP307" i="5" s="1"/>
  <c r="CO308" i="5"/>
  <c r="CP308" i="5" s="1"/>
  <c r="CO309" i="5"/>
  <c r="CP309" i="5" s="1"/>
  <c r="CO310" i="5"/>
  <c r="CP310" i="5" s="1"/>
  <c r="CO311" i="5"/>
  <c r="CP311" i="5" s="1"/>
  <c r="CO312" i="5"/>
  <c r="CP312" i="5" s="1"/>
  <c r="CO313" i="5"/>
  <c r="CP313" i="5" s="1"/>
  <c r="CO314" i="5"/>
  <c r="CP314" i="5" s="1"/>
  <c r="CO315" i="5"/>
  <c r="CP315" i="5" s="1"/>
  <c r="CO316" i="5"/>
  <c r="CP316" i="5" s="1"/>
  <c r="CO317" i="5"/>
  <c r="CP317" i="5" s="1"/>
  <c r="CO318" i="5"/>
  <c r="CP318" i="5" s="1"/>
  <c r="CO319" i="5"/>
  <c r="CP319" i="5" s="1"/>
  <c r="CO320" i="5"/>
  <c r="CP320" i="5" s="1"/>
  <c r="CO321" i="5"/>
  <c r="CP321" i="5" s="1"/>
  <c r="CO322" i="5"/>
  <c r="CP322" i="5" s="1"/>
  <c r="CO323" i="5"/>
  <c r="CP323" i="5" s="1"/>
  <c r="CO324" i="5"/>
  <c r="CP324" i="5" s="1"/>
  <c r="CO325" i="5"/>
  <c r="CP325" i="5" s="1"/>
  <c r="CO326" i="5"/>
  <c r="CP326" i="5" s="1"/>
  <c r="CO327" i="5"/>
  <c r="CP327" i="5" s="1"/>
  <c r="CO328" i="5"/>
  <c r="CP328" i="5" s="1"/>
  <c r="CO329" i="5"/>
  <c r="CP329" i="5" s="1"/>
  <c r="CO330" i="5"/>
  <c r="CP330" i="5" s="1"/>
  <c r="CO331" i="5"/>
  <c r="CP331" i="5" s="1"/>
  <c r="CO332" i="5"/>
  <c r="CP332" i="5" s="1"/>
  <c r="CO333" i="5"/>
  <c r="CP333" i="5" s="1"/>
  <c r="CO334" i="5"/>
  <c r="CP334" i="5" s="1"/>
  <c r="CO335" i="5"/>
  <c r="CP335" i="5" s="1"/>
  <c r="CO336" i="5"/>
  <c r="CP336" i="5" s="1"/>
  <c r="CO337" i="5"/>
  <c r="CP337" i="5" s="1"/>
  <c r="CO338" i="5"/>
  <c r="CP338" i="5" s="1"/>
  <c r="CO339" i="5"/>
  <c r="CP339" i="5" s="1"/>
  <c r="CO340" i="5"/>
  <c r="CP340" i="5" s="1"/>
  <c r="CO341" i="5"/>
  <c r="CP341" i="5" s="1"/>
  <c r="CO342" i="5"/>
  <c r="CP342" i="5" s="1"/>
  <c r="CO343" i="5"/>
  <c r="CP343" i="5" s="1"/>
  <c r="CO344" i="5"/>
  <c r="CP344" i="5" s="1"/>
  <c r="CO345" i="5"/>
  <c r="CP345" i="5" s="1"/>
  <c r="CO346" i="5"/>
  <c r="CP346" i="5" s="1"/>
  <c r="CO347" i="5"/>
  <c r="CP347" i="5" s="1"/>
  <c r="CO348" i="5"/>
  <c r="CP348" i="5" s="1"/>
  <c r="CO349" i="5"/>
  <c r="CP349" i="5" s="1"/>
  <c r="CO350" i="5"/>
  <c r="CP350" i="5" s="1"/>
  <c r="CO351" i="5"/>
  <c r="CP351" i="5" s="1"/>
  <c r="CO352" i="5"/>
  <c r="CP352" i="5" s="1"/>
  <c r="CO353" i="5"/>
  <c r="CP353" i="5" s="1"/>
  <c r="CO354" i="5"/>
  <c r="CP354" i="5" s="1"/>
  <c r="CO355" i="5"/>
  <c r="CP355" i="5" s="1"/>
  <c r="CO356" i="5"/>
  <c r="CP356" i="5" s="1"/>
  <c r="CO357" i="5"/>
  <c r="CP357" i="5" s="1"/>
  <c r="CO358" i="5"/>
  <c r="CP358" i="5" s="1"/>
  <c r="CO359" i="5"/>
  <c r="CP359" i="5" s="1"/>
  <c r="CO360" i="5"/>
  <c r="CP360" i="5" s="1"/>
  <c r="CO361" i="5"/>
  <c r="CP361" i="5" s="1"/>
  <c r="CO362" i="5"/>
  <c r="CP362" i="5" s="1"/>
  <c r="CO363" i="5"/>
  <c r="CP363" i="5" s="1"/>
  <c r="CO364" i="5"/>
  <c r="CP364" i="5" s="1"/>
  <c r="CO365" i="5"/>
  <c r="CP365" i="5" s="1"/>
  <c r="CO366" i="5"/>
  <c r="CP366" i="5" s="1"/>
  <c r="CO367" i="5"/>
  <c r="CP367" i="5" s="1"/>
  <c r="CO368" i="5"/>
  <c r="CP368" i="5" s="1"/>
  <c r="CO369" i="5"/>
  <c r="CP369" i="5" s="1"/>
  <c r="CO370" i="5"/>
  <c r="CP370" i="5" s="1"/>
  <c r="CO371" i="5"/>
  <c r="CP371" i="5" s="1"/>
  <c r="CO372" i="5"/>
  <c r="CP372" i="5" s="1"/>
  <c r="CO373" i="5"/>
  <c r="CP373" i="5" s="1"/>
  <c r="CO374" i="5"/>
  <c r="CP374" i="5" s="1"/>
  <c r="CO375" i="5"/>
  <c r="CP375" i="5" s="1"/>
  <c r="CO376" i="5"/>
  <c r="CP376" i="5" s="1"/>
  <c r="CO377" i="5"/>
  <c r="CP377" i="5" s="1"/>
  <c r="CO378" i="5"/>
  <c r="CP378" i="5" s="1"/>
  <c r="CO379" i="5"/>
  <c r="CP379" i="5" s="1"/>
  <c r="CO380" i="5"/>
  <c r="CP380" i="5" s="1"/>
  <c r="CO381" i="5"/>
  <c r="CP381" i="5" s="1"/>
  <c r="CO382" i="5"/>
  <c r="CP382" i="5" s="1"/>
  <c r="CO383" i="5"/>
  <c r="CP383" i="5" s="1"/>
  <c r="CO384" i="5"/>
  <c r="CP384" i="5" s="1"/>
  <c r="CO385" i="5"/>
  <c r="CP385" i="5" s="1"/>
  <c r="CO386" i="5"/>
  <c r="CP386" i="5" s="1"/>
  <c r="CO387" i="5"/>
  <c r="CP387" i="5" s="1"/>
  <c r="CO388" i="5"/>
  <c r="CP388" i="5" s="1"/>
  <c r="CO389" i="5"/>
  <c r="CP389" i="5" s="1"/>
  <c r="CO390" i="5"/>
  <c r="CP390" i="5" s="1"/>
  <c r="CO391" i="5"/>
  <c r="CP391" i="5" s="1"/>
  <c r="CO392" i="5"/>
  <c r="CP392" i="5" s="1"/>
  <c r="CO393" i="5"/>
  <c r="CP393" i="5" s="1"/>
  <c r="CO394" i="5"/>
  <c r="CP394" i="5" s="1"/>
  <c r="CO395" i="5"/>
  <c r="CP395" i="5" s="1"/>
  <c r="CO396" i="5"/>
  <c r="CP396" i="5" s="1"/>
  <c r="CO397" i="5"/>
  <c r="CP397" i="5" s="1"/>
  <c r="CO398" i="5"/>
  <c r="CP398" i="5" s="1"/>
  <c r="CO399" i="5"/>
  <c r="CP399" i="5" s="1"/>
  <c r="CO400" i="5"/>
  <c r="CP400" i="5" s="1"/>
  <c r="CO401" i="5"/>
  <c r="CP401" i="5" s="1"/>
  <c r="CO402" i="5"/>
  <c r="CP402" i="5" s="1"/>
  <c r="CO403" i="5"/>
  <c r="CP403" i="5" s="1"/>
  <c r="CO404" i="5"/>
  <c r="CP404" i="5" s="1"/>
  <c r="CO405" i="5"/>
  <c r="CP405" i="5" s="1"/>
  <c r="CO406" i="5"/>
  <c r="CP406" i="5" s="1"/>
  <c r="CO407" i="5"/>
  <c r="CP407" i="5" s="1"/>
  <c r="CO408" i="5"/>
  <c r="CP408" i="5" s="1"/>
  <c r="CO409" i="5"/>
  <c r="CP409" i="5" s="1"/>
  <c r="CO410" i="5"/>
  <c r="CP410" i="5" s="1"/>
  <c r="CO411" i="5"/>
  <c r="CP411" i="5" s="1"/>
  <c r="CO412" i="5"/>
  <c r="CP412" i="5" s="1"/>
  <c r="CO413" i="5"/>
  <c r="CP413" i="5" s="1"/>
  <c r="CO414" i="5"/>
  <c r="CP414" i="5" s="1"/>
  <c r="CO415" i="5"/>
  <c r="CP415" i="5" s="1"/>
  <c r="CO416" i="5"/>
  <c r="CP416" i="5" s="1"/>
  <c r="CO417" i="5"/>
  <c r="CP417" i="5" s="1"/>
  <c r="CO418" i="5"/>
  <c r="CP418" i="5" s="1"/>
  <c r="CO419" i="5"/>
  <c r="CP419" i="5" s="1"/>
  <c r="CO420" i="5"/>
  <c r="CP420" i="5" s="1"/>
  <c r="CO421" i="5"/>
  <c r="CP421" i="5" s="1"/>
  <c r="CO422" i="5"/>
  <c r="CP422" i="5" s="1"/>
  <c r="CO423" i="5"/>
  <c r="CP423" i="5" s="1"/>
  <c r="CO424" i="5"/>
  <c r="CP424" i="5" s="1"/>
  <c r="CO425" i="5"/>
  <c r="CP425" i="5" s="1"/>
  <c r="CO426" i="5"/>
  <c r="CP426" i="5" s="1"/>
  <c r="CO427" i="5"/>
  <c r="CP427" i="5" s="1"/>
  <c r="CO428" i="5"/>
  <c r="CP428" i="5" s="1"/>
  <c r="CO429" i="5"/>
  <c r="CP429" i="5" s="1"/>
  <c r="CO430" i="5"/>
  <c r="CP430" i="5" s="1"/>
  <c r="CO431" i="5"/>
  <c r="CP431" i="5" s="1"/>
  <c r="CO432" i="5"/>
  <c r="CP432" i="5" s="1"/>
  <c r="CO433" i="5"/>
  <c r="CP433" i="5" s="1"/>
  <c r="CO434" i="5"/>
  <c r="CP434" i="5" s="1"/>
  <c r="CO435" i="5"/>
  <c r="CP435" i="5" s="1"/>
  <c r="CO436" i="5"/>
  <c r="CP436" i="5" s="1"/>
  <c r="CO437" i="5"/>
  <c r="CP437" i="5" s="1"/>
  <c r="CO438" i="5"/>
  <c r="CP438" i="5" s="1"/>
  <c r="CO439" i="5"/>
  <c r="CP439" i="5" s="1"/>
  <c r="CO440" i="5"/>
  <c r="CP440" i="5" s="1"/>
  <c r="CO441" i="5"/>
  <c r="CP441" i="5" s="1"/>
  <c r="CO442" i="5"/>
  <c r="CP442" i="5" s="1"/>
  <c r="CO443" i="5"/>
  <c r="CP443" i="5" s="1"/>
  <c r="CO444" i="5"/>
  <c r="CP444" i="5" s="1"/>
  <c r="CO445" i="5"/>
  <c r="CP445" i="5" s="1"/>
  <c r="CO446" i="5"/>
  <c r="CP446" i="5" s="1"/>
  <c r="CO447" i="5"/>
  <c r="CP447" i="5" s="1"/>
  <c r="CO448" i="5"/>
  <c r="CP448" i="5" s="1"/>
  <c r="CO449" i="5"/>
  <c r="CP449" i="5" s="1"/>
  <c r="CO450" i="5"/>
  <c r="CP450" i="5" s="1"/>
  <c r="CO451" i="5"/>
  <c r="CP451" i="5" s="1"/>
  <c r="CO452" i="5"/>
  <c r="CP452" i="5" s="1"/>
  <c r="CO453" i="5"/>
  <c r="CP453" i="5" s="1"/>
  <c r="CO454" i="5"/>
  <c r="CP454" i="5" s="1"/>
  <c r="CO455" i="5"/>
  <c r="CP455" i="5" s="1"/>
  <c r="CO456" i="5"/>
  <c r="CP456" i="5" s="1"/>
  <c r="CO457" i="5"/>
  <c r="CP457" i="5" s="1"/>
  <c r="CO458" i="5"/>
  <c r="CP458" i="5" s="1"/>
  <c r="CO459" i="5"/>
  <c r="CP459" i="5" s="1"/>
  <c r="CO460" i="5"/>
  <c r="CP460" i="5" s="1"/>
  <c r="CO461" i="5"/>
  <c r="CP461" i="5" s="1"/>
  <c r="CO462" i="5"/>
  <c r="CP462" i="5" s="1"/>
  <c r="CO463" i="5"/>
  <c r="CP463" i="5" s="1"/>
  <c r="CO464" i="5"/>
  <c r="CP464" i="5" s="1"/>
  <c r="CO465" i="5"/>
  <c r="CP465" i="5" s="1"/>
  <c r="CO466" i="5"/>
  <c r="CP466" i="5" s="1"/>
  <c r="CO467" i="5"/>
  <c r="CP467" i="5" s="1"/>
  <c r="CO468" i="5"/>
  <c r="CP468" i="5" s="1"/>
  <c r="CO469" i="5"/>
  <c r="CP469" i="5" s="1"/>
  <c r="CO470" i="5"/>
  <c r="CP470" i="5" s="1"/>
  <c r="CO471" i="5"/>
  <c r="CP471" i="5" s="1"/>
  <c r="CO472" i="5"/>
  <c r="CP472" i="5" s="1"/>
  <c r="CO473" i="5"/>
  <c r="CP473" i="5" s="1"/>
  <c r="CO474" i="5"/>
  <c r="CP474" i="5" s="1"/>
  <c r="CO475" i="5"/>
  <c r="CO476" i="5"/>
  <c r="CP476" i="5" s="1"/>
  <c r="CO477" i="5"/>
  <c r="CP477" i="5" s="1"/>
  <c r="CO478" i="5"/>
  <c r="CP478" i="5" s="1"/>
  <c r="CO479" i="5"/>
  <c r="CP479" i="5" s="1"/>
  <c r="CO480" i="5"/>
  <c r="CP480" i="5" s="1"/>
  <c r="CO481" i="5"/>
  <c r="CP481" i="5" s="1"/>
  <c r="CO482" i="5"/>
  <c r="CO483" i="5"/>
  <c r="CO484" i="5"/>
  <c r="CP484" i="5" s="1"/>
  <c r="CO485" i="5"/>
  <c r="CP485" i="5" s="1"/>
  <c r="CO486" i="5"/>
  <c r="CP486" i="5" s="1"/>
  <c r="CO487" i="5"/>
  <c r="CP487" i="5" s="1"/>
  <c r="CO488" i="5"/>
  <c r="CP488" i="5" s="1"/>
  <c r="CO489" i="5"/>
  <c r="CP489" i="5" s="1"/>
  <c r="CO490" i="5"/>
  <c r="CP490" i="5" s="1"/>
  <c r="CO491" i="5"/>
  <c r="CP491" i="5" s="1"/>
  <c r="CO492" i="5"/>
  <c r="CP492" i="5" s="1"/>
  <c r="CO493" i="5"/>
  <c r="CP493" i="5" s="1"/>
  <c r="CO494" i="5"/>
  <c r="CP494" i="5" s="1"/>
  <c r="CO495" i="5"/>
  <c r="CP495" i="5" s="1"/>
  <c r="CO496" i="5"/>
  <c r="CP496" i="5" s="1"/>
  <c r="CO497" i="5"/>
  <c r="CP497" i="5" s="1"/>
  <c r="CO498" i="5"/>
  <c r="CO499" i="5"/>
  <c r="CP499" i="5" s="1"/>
  <c r="CO500" i="5"/>
  <c r="CP500" i="5" s="1"/>
  <c r="CO501" i="5"/>
  <c r="CP501" i="5" s="1"/>
  <c r="CO502" i="5"/>
  <c r="CP502" i="5" s="1"/>
  <c r="CO503" i="5"/>
  <c r="CP503" i="5" s="1"/>
  <c r="CO504" i="5"/>
  <c r="CP504" i="5" s="1"/>
  <c r="CO505" i="5"/>
  <c r="CP505" i="5" s="1"/>
  <c r="CO506" i="5"/>
  <c r="CP506" i="5" s="1"/>
  <c r="CO507" i="5"/>
  <c r="CP507" i="5" s="1"/>
  <c r="CO508" i="5"/>
  <c r="CP508" i="5" s="1"/>
  <c r="CO509" i="5"/>
  <c r="CP509" i="5" s="1"/>
  <c r="CO510" i="5"/>
  <c r="CP510" i="5" s="1"/>
  <c r="CO511" i="5"/>
  <c r="CP511" i="5" s="1"/>
  <c r="CO512" i="5"/>
  <c r="CP512" i="5" s="1"/>
  <c r="CO513" i="5"/>
  <c r="CP513" i="5" s="1"/>
  <c r="CO514" i="5"/>
  <c r="CP514" i="5" s="1"/>
  <c r="CO515" i="5"/>
  <c r="CP515" i="5" s="1"/>
  <c r="CO516" i="5"/>
  <c r="CP516" i="5" s="1"/>
  <c r="CO517" i="5"/>
  <c r="CP517" i="5" s="1"/>
  <c r="CO518" i="5"/>
  <c r="CP518" i="5" s="1"/>
  <c r="CO2" i="5"/>
  <c r="CP2" i="5" s="1"/>
  <c r="CM3" i="5"/>
  <c r="CM4" i="5"/>
  <c r="CM5" i="5"/>
  <c r="CM6" i="5"/>
  <c r="CM7" i="5"/>
  <c r="CM8" i="5"/>
  <c r="CM9" i="5"/>
  <c r="CM10" i="5"/>
  <c r="CM11" i="5"/>
  <c r="CM12" i="5"/>
  <c r="CM13" i="5"/>
  <c r="CM14" i="5"/>
  <c r="CM15" i="5"/>
  <c r="CM16" i="5"/>
  <c r="CM17" i="5"/>
  <c r="CM18" i="5"/>
  <c r="CM19" i="5"/>
  <c r="CM20" i="5"/>
  <c r="CM21" i="5"/>
  <c r="CM22" i="5"/>
  <c r="CM23" i="5"/>
  <c r="CM24" i="5"/>
  <c r="CM25" i="5"/>
  <c r="CM26" i="5"/>
  <c r="CM27" i="5"/>
  <c r="CM28" i="5"/>
  <c r="CM29" i="5"/>
  <c r="CM30" i="5"/>
  <c r="CM31" i="5"/>
  <c r="CM32" i="5"/>
  <c r="CM33" i="5"/>
  <c r="CM34" i="5"/>
  <c r="CM35" i="5"/>
  <c r="CM36" i="5"/>
  <c r="CM37" i="5"/>
  <c r="CM38" i="5"/>
  <c r="CM39" i="5"/>
  <c r="CM40" i="5"/>
  <c r="CM41" i="5"/>
  <c r="CM42" i="5"/>
  <c r="CM43" i="5"/>
  <c r="CM44" i="5"/>
  <c r="CM45" i="5"/>
  <c r="CM46" i="5"/>
  <c r="CM47" i="5"/>
  <c r="CM48" i="5"/>
  <c r="CM49" i="5"/>
  <c r="CM50" i="5"/>
  <c r="CM51" i="5"/>
  <c r="CM52" i="5"/>
  <c r="CM53" i="5"/>
  <c r="CM54" i="5"/>
  <c r="CM55" i="5"/>
  <c r="CM56" i="5"/>
  <c r="CM57" i="5"/>
  <c r="CM58" i="5"/>
  <c r="CM59" i="5"/>
  <c r="CM60" i="5"/>
  <c r="CM61" i="5"/>
  <c r="CM62" i="5"/>
  <c r="CM63" i="5"/>
  <c r="CM64" i="5"/>
  <c r="CN64" i="5" s="1"/>
  <c r="CM65" i="5"/>
  <c r="CM66" i="5"/>
  <c r="CM67" i="5"/>
  <c r="CM68" i="5"/>
  <c r="CM69" i="5"/>
  <c r="CM70" i="5"/>
  <c r="CM71" i="5"/>
  <c r="CM72" i="5"/>
  <c r="CM73" i="5"/>
  <c r="CM74" i="5"/>
  <c r="CM75" i="5"/>
  <c r="CM76" i="5"/>
  <c r="CM77" i="5"/>
  <c r="CM78" i="5"/>
  <c r="CM79" i="5"/>
  <c r="CM80" i="5"/>
  <c r="CM81" i="5"/>
  <c r="CM82" i="5"/>
  <c r="CM83" i="5"/>
  <c r="CM84" i="5"/>
  <c r="CM85" i="5"/>
  <c r="CM86" i="5"/>
  <c r="CM87" i="5"/>
  <c r="CM88" i="5"/>
  <c r="CM89" i="5"/>
  <c r="CM90" i="5"/>
  <c r="CM91" i="5"/>
  <c r="CM92" i="5"/>
  <c r="CM93" i="5"/>
  <c r="CM94" i="5"/>
  <c r="CM95" i="5"/>
  <c r="CM96" i="5"/>
  <c r="CM97" i="5"/>
  <c r="CM98" i="5"/>
  <c r="CM99" i="5"/>
  <c r="CM100" i="5"/>
  <c r="CM101" i="5"/>
  <c r="CM102" i="5"/>
  <c r="CM103" i="5"/>
  <c r="CM104" i="5"/>
  <c r="CM105" i="5"/>
  <c r="CM106" i="5"/>
  <c r="CM107" i="5"/>
  <c r="CM108" i="5"/>
  <c r="CM109" i="5"/>
  <c r="CM110" i="5"/>
  <c r="CM111" i="5"/>
  <c r="CM112" i="5"/>
  <c r="CM113" i="5"/>
  <c r="CM114" i="5"/>
  <c r="CM115" i="5"/>
  <c r="CM116" i="5"/>
  <c r="CM117" i="5"/>
  <c r="CM118" i="5"/>
  <c r="CM119" i="5"/>
  <c r="CM120" i="5"/>
  <c r="CM121" i="5"/>
  <c r="CM122" i="5"/>
  <c r="CM123" i="5"/>
  <c r="CM124" i="5"/>
  <c r="CM125" i="5"/>
  <c r="CM126" i="5"/>
  <c r="CM127" i="5"/>
  <c r="CM128" i="5"/>
  <c r="CN128" i="5" s="1"/>
  <c r="CM129" i="5"/>
  <c r="CM130" i="5"/>
  <c r="CM131" i="5"/>
  <c r="CM132" i="5"/>
  <c r="CM133" i="5"/>
  <c r="CM134" i="5"/>
  <c r="CM135" i="5"/>
  <c r="CM136" i="5"/>
  <c r="CM137" i="5"/>
  <c r="CM138" i="5"/>
  <c r="CM139" i="5"/>
  <c r="CM140" i="5"/>
  <c r="CM141" i="5"/>
  <c r="CM142" i="5"/>
  <c r="CM143" i="5"/>
  <c r="CM144" i="5"/>
  <c r="CM145" i="5"/>
  <c r="CM146" i="5"/>
  <c r="CM147" i="5"/>
  <c r="CM148" i="5"/>
  <c r="CM149" i="5"/>
  <c r="CM150" i="5"/>
  <c r="CM151" i="5"/>
  <c r="CM152" i="5"/>
  <c r="CM153" i="5"/>
  <c r="CM154" i="5"/>
  <c r="CM155" i="5"/>
  <c r="CM156" i="5"/>
  <c r="CM157" i="5"/>
  <c r="CM158" i="5"/>
  <c r="CM159" i="5"/>
  <c r="CM160" i="5"/>
  <c r="CM161" i="5"/>
  <c r="CM162" i="5"/>
  <c r="CM163" i="5"/>
  <c r="CM164" i="5"/>
  <c r="CM165" i="5"/>
  <c r="CM166" i="5"/>
  <c r="CM167" i="5"/>
  <c r="CM168" i="5"/>
  <c r="CM169" i="5"/>
  <c r="CM170" i="5"/>
  <c r="CM171" i="5"/>
  <c r="CM172" i="5"/>
  <c r="CM173" i="5"/>
  <c r="CM174" i="5"/>
  <c r="CM175" i="5"/>
  <c r="CM176" i="5"/>
  <c r="CM177" i="5"/>
  <c r="CM178" i="5"/>
  <c r="CM179" i="5"/>
  <c r="CM180" i="5"/>
  <c r="CM181" i="5"/>
  <c r="CM182" i="5"/>
  <c r="CM183" i="5"/>
  <c r="CM184" i="5"/>
  <c r="CM185" i="5"/>
  <c r="CM186" i="5"/>
  <c r="CM187" i="5"/>
  <c r="CM188" i="5"/>
  <c r="CM189" i="5"/>
  <c r="CM190" i="5"/>
  <c r="CM191" i="5"/>
  <c r="CM192" i="5"/>
  <c r="CM193" i="5"/>
  <c r="CN193" i="5" s="1"/>
  <c r="CM194" i="5"/>
  <c r="CM195" i="5"/>
  <c r="CM196" i="5"/>
  <c r="CM197" i="5"/>
  <c r="CM198" i="5"/>
  <c r="CM199" i="5"/>
  <c r="CM200" i="5"/>
  <c r="CM201" i="5"/>
  <c r="CM202" i="5"/>
  <c r="CM203" i="5"/>
  <c r="CM204" i="5"/>
  <c r="CM205" i="5"/>
  <c r="CM206" i="5"/>
  <c r="CM207" i="5"/>
  <c r="CM208" i="5"/>
  <c r="CM209" i="5"/>
  <c r="CM210" i="5"/>
  <c r="CM211" i="5"/>
  <c r="CM212" i="5"/>
  <c r="CM213" i="5"/>
  <c r="CM214" i="5"/>
  <c r="CM215" i="5"/>
  <c r="CM216" i="5"/>
  <c r="CM217" i="5"/>
  <c r="CM218" i="5"/>
  <c r="CM219" i="5"/>
  <c r="CM220" i="5"/>
  <c r="CM221" i="5"/>
  <c r="CM222" i="5"/>
  <c r="CM223" i="5"/>
  <c r="CM224" i="5"/>
  <c r="CM225" i="5"/>
  <c r="CM226" i="5"/>
  <c r="CM227" i="5"/>
  <c r="CM228" i="5"/>
  <c r="CM229" i="5"/>
  <c r="CM230" i="5"/>
  <c r="CM231" i="5"/>
  <c r="CM232" i="5"/>
  <c r="CM233" i="5"/>
  <c r="CM234" i="5"/>
  <c r="CM235" i="5"/>
  <c r="CM236" i="5"/>
  <c r="CM237" i="5"/>
  <c r="CM238" i="5"/>
  <c r="CM239" i="5"/>
  <c r="CM240" i="5"/>
  <c r="CM241" i="5"/>
  <c r="CM242" i="5"/>
  <c r="CM243" i="5"/>
  <c r="CM244" i="5"/>
  <c r="CM245" i="5"/>
  <c r="CM246" i="5"/>
  <c r="CM247" i="5"/>
  <c r="CM248" i="5"/>
  <c r="CM249" i="5"/>
  <c r="CM250" i="5"/>
  <c r="CM251" i="5"/>
  <c r="CM252" i="5"/>
  <c r="CM253" i="5"/>
  <c r="CM254" i="5"/>
  <c r="CM255" i="5"/>
  <c r="CM256" i="5"/>
  <c r="CM257" i="5"/>
  <c r="CN257" i="5" s="1"/>
  <c r="CM258" i="5"/>
  <c r="CM259" i="5"/>
  <c r="CM260" i="5"/>
  <c r="CM261" i="5"/>
  <c r="CM262" i="5"/>
  <c r="CM263" i="5"/>
  <c r="CM264" i="5"/>
  <c r="CM265" i="5"/>
  <c r="CM266" i="5"/>
  <c r="CM267" i="5"/>
  <c r="CM268" i="5"/>
  <c r="CM269" i="5"/>
  <c r="CM270" i="5"/>
  <c r="CM271" i="5"/>
  <c r="CM272" i="5"/>
  <c r="CM273" i="5"/>
  <c r="CM274" i="5"/>
  <c r="CM275" i="5"/>
  <c r="CM276" i="5"/>
  <c r="CM277" i="5"/>
  <c r="CM278" i="5"/>
  <c r="CM279" i="5"/>
  <c r="CM280" i="5"/>
  <c r="CM281" i="5"/>
  <c r="CM282" i="5"/>
  <c r="CM283" i="5"/>
  <c r="CM284" i="5"/>
  <c r="CM285" i="5"/>
  <c r="CM286" i="5"/>
  <c r="CM287" i="5"/>
  <c r="CM288" i="5"/>
  <c r="CM289" i="5"/>
  <c r="CM290" i="5"/>
  <c r="CM291" i="5"/>
  <c r="CM292" i="5"/>
  <c r="CM293" i="5"/>
  <c r="CM294" i="5"/>
  <c r="CM295" i="5"/>
  <c r="CM296" i="5"/>
  <c r="CM297" i="5"/>
  <c r="CM298" i="5"/>
  <c r="CM299" i="5"/>
  <c r="CM300" i="5"/>
  <c r="CM301" i="5"/>
  <c r="CM302" i="5"/>
  <c r="CM303" i="5"/>
  <c r="CM304" i="5"/>
  <c r="CM305" i="5"/>
  <c r="CM306" i="5"/>
  <c r="CM307" i="5"/>
  <c r="CM308" i="5"/>
  <c r="CM309" i="5"/>
  <c r="CM310" i="5"/>
  <c r="CM311" i="5"/>
  <c r="CM312" i="5"/>
  <c r="CM313" i="5"/>
  <c r="CM314" i="5"/>
  <c r="CM315" i="5"/>
  <c r="CM316" i="5"/>
  <c r="CM317" i="5"/>
  <c r="CM318" i="5"/>
  <c r="CM319" i="5"/>
  <c r="CM320" i="5"/>
  <c r="CM321" i="5"/>
  <c r="CM322" i="5"/>
  <c r="CN322" i="5" s="1"/>
  <c r="CM323" i="5"/>
  <c r="CM324" i="5"/>
  <c r="CM325" i="5"/>
  <c r="CM326" i="5"/>
  <c r="CM327" i="5"/>
  <c r="CM328" i="5"/>
  <c r="CM329" i="5"/>
  <c r="CM330" i="5"/>
  <c r="CM331" i="5"/>
  <c r="CM332" i="5"/>
  <c r="CM333" i="5"/>
  <c r="CM334" i="5"/>
  <c r="CM335" i="5"/>
  <c r="CM336" i="5"/>
  <c r="CM337" i="5"/>
  <c r="CM338" i="5"/>
  <c r="CM339" i="5"/>
  <c r="CM340" i="5"/>
  <c r="CM341" i="5"/>
  <c r="CM342" i="5"/>
  <c r="CM343" i="5"/>
  <c r="CM344" i="5"/>
  <c r="CM345" i="5"/>
  <c r="CM346" i="5"/>
  <c r="CM347" i="5"/>
  <c r="CM348" i="5"/>
  <c r="CM349" i="5"/>
  <c r="CM350" i="5"/>
  <c r="CM351" i="5"/>
  <c r="CM352" i="5"/>
  <c r="CM353" i="5"/>
  <c r="CM354" i="5"/>
  <c r="CM355" i="5"/>
  <c r="CM356" i="5"/>
  <c r="CM357" i="5"/>
  <c r="CM358" i="5"/>
  <c r="CM359" i="5"/>
  <c r="CM360" i="5"/>
  <c r="CM361" i="5"/>
  <c r="CM362" i="5"/>
  <c r="CM363" i="5"/>
  <c r="CM364" i="5"/>
  <c r="CM365" i="5"/>
  <c r="CM366" i="5"/>
  <c r="CM367" i="5"/>
  <c r="CM368" i="5"/>
  <c r="CM369" i="5"/>
  <c r="CM370" i="5"/>
  <c r="CM371" i="5"/>
  <c r="CM372" i="5"/>
  <c r="CM373" i="5"/>
  <c r="CM374" i="5"/>
  <c r="CM375" i="5"/>
  <c r="CM376" i="5"/>
  <c r="CM377" i="5"/>
  <c r="CM378" i="5"/>
  <c r="CM379" i="5"/>
  <c r="CM380" i="5"/>
  <c r="CM381" i="5"/>
  <c r="CM382" i="5"/>
  <c r="CM383" i="5"/>
  <c r="CM384" i="5"/>
  <c r="CM385" i="5"/>
  <c r="CM386" i="5"/>
  <c r="CN386" i="5" s="1"/>
  <c r="CM387" i="5"/>
  <c r="CM388" i="5"/>
  <c r="CM389" i="5"/>
  <c r="CM390" i="5"/>
  <c r="CM391" i="5"/>
  <c r="CM392" i="5"/>
  <c r="CM393" i="5"/>
  <c r="CM394" i="5"/>
  <c r="CM395" i="5"/>
  <c r="CM396" i="5"/>
  <c r="CM397" i="5"/>
  <c r="CM398" i="5"/>
  <c r="CM399" i="5"/>
  <c r="CM400" i="5"/>
  <c r="CM401" i="5"/>
  <c r="CM402" i="5"/>
  <c r="CM403" i="5"/>
  <c r="CM404" i="5"/>
  <c r="CM405" i="5"/>
  <c r="CM406" i="5"/>
  <c r="CM407" i="5"/>
  <c r="CM408" i="5"/>
  <c r="CM409" i="5"/>
  <c r="CM410" i="5"/>
  <c r="CM411" i="5"/>
  <c r="CM412" i="5"/>
  <c r="CM413" i="5"/>
  <c r="CM414" i="5"/>
  <c r="CM415" i="5"/>
  <c r="CM416" i="5"/>
  <c r="CM417" i="5"/>
  <c r="CM418" i="5"/>
  <c r="CM419" i="5"/>
  <c r="CM420" i="5"/>
  <c r="CM421" i="5"/>
  <c r="CM422" i="5"/>
  <c r="CM423" i="5"/>
  <c r="CM424" i="5"/>
  <c r="CM425" i="5"/>
  <c r="CM426" i="5"/>
  <c r="CM427" i="5"/>
  <c r="CM428" i="5"/>
  <c r="CM429" i="5"/>
  <c r="CM430" i="5"/>
  <c r="CM431" i="5"/>
  <c r="CM432" i="5"/>
  <c r="CM433" i="5"/>
  <c r="CM434" i="5"/>
  <c r="CM435" i="5"/>
  <c r="CM436" i="5"/>
  <c r="CM437" i="5"/>
  <c r="CM438" i="5"/>
  <c r="CM439" i="5"/>
  <c r="CM440" i="5"/>
  <c r="CM441" i="5"/>
  <c r="CM442" i="5"/>
  <c r="CM443" i="5"/>
  <c r="CM444" i="5"/>
  <c r="CM445" i="5"/>
  <c r="CM446" i="5"/>
  <c r="CM447" i="5"/>
  <c r="CM448" i="5"/>
  <c r="CM449" i="5"/>
  <c r="CM450" i="5"/>
  <c r="CN450" i="5" s="1"/>
  <c r="CM451" i="5"/>
  <c r="CM452" i="5"/>
  <c r="CM453" i="5"/>
  <c r="CM454" i="5"/>
  <c r="CM455" i="5"/>
  <c r="CM456" i="5"/>
  <c r="CM457" i="5"/>
  <c r="CM458" i="5"/>
  <c r="CM459" i="5"/>
  <c r="CM460" i="5"/>
  <c r="CM461" i="5"/>
  <c r="CM462" i="5"/>
  <c r="CM463" i="5"/>
  <c r="CM464" i="5"/>
  <c r="CM465" i="5"/>
  <c r="CM466" i="5"/>
  <c r="CM467" i="5"/>
  <c r="CM468" i="5"/>
  <c r="CM469" i="5"/>
  <c r="CM470" i="5"/>
  <c r="CM471" i="5"/>
  <c r="CM472" i="5"/>
  <c r="CM473" i="5"/>
  <c r="CM474" i="5"/>
  <c r="CM475" i="5"/>
  <c r="CM476" i="5"/>
  <c r="CM477" i="5"/>
  <c r="CM478" i="5"/>
  <c r="CM479" i="5"/>
  <c r="CM480" i="5"/>
  <c r="CM481" i="5"/>
  <c r="CM482" i="5"/>
  <c r="CM483" i="5"/>
  <c r="CM484" i="5"/>
  <c r="CM485" i="5"/>
  <c r="CM486" i="5"/>
  <c r="CM487" i="5"/>
  <c r="CM488" i="5"/>
  <c r="CM489" i="5"/>
  <c r="CM490" i="5"/>
  <c r="CM491" i="5"/>
  <c r="CM492" i="5"/>
  <c r="CM493" i="5"/>
  <c r="CM494" i="5"/>
  <c r="CM495" i="5"/>
  <c r="CM496" i="5"/>
  <c r="CM497" i="5"/>
  <c r="CM498" i="5"/>
  <c r="CM499" i="5"/>
  <c r="CM500" i="5"/>
  <c r="CM501" i="5"/>
  <c r="CM502" i="5"/>
  <c r="CM503" i="5"/>
  <c r="CM504" i="5"/>
  <c r="CM505" i="5"/>
  <c r="CM506" i="5"/>
  <c r="CM507" i="5"/>
  <c r="CM508" i="5"/>
  <c r="CM509" i="5"/>
  <c r="CM510" i="5"/>
  <c r="CM511" i="5"/>
  <c r="CM512" i="5"/>
  <c r="CM513" i="5"/>
  <c r="CM514" i="5"/>
  <c r="CN514" i="5" s="1"/>
  <c r="CM515" i="5"/>
  <c r="CM516" i="5"/>
  <c r="CM517" i="5"/>
  <c r="CM518" i="5"/>
  <c r="CM2" i="5"/>
  <c r="CL7" i="5"/>
  <c r="CE2" i="5"/>
  <c r="CE9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F9" i="5"/>
  <c r="CG9" i="5"/>
  <c r="CH9" i="5"/>
  <c r="CI9" i="5"/>
  <c r="CJ9" i="5"/>
  <c r="CK9" i="5"/>
  <c r="CL9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BD155" i="5"/>
  <c r="BE155" i="5"/>
  <c r="BF155" i="5"/>
  <c r="BG155" i="5"/>
  <c r="BH155" i="5"/>
  <c r="BI155" i="5"/>
  <c r="BJ155" i="5"/>
  <c r="BK155" i="5"/>
  <c r="BL155" i="5"/>
  <c r="BM155" i="5"/>
  <c r="BN155" i="5"/>
  <c r="BO155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CF155" i="5"/>
  <c r="CG155" i="5"/>
  <c r="CH155" i="5"/>
  <c r="CI155" i="5"/>
  <c r="CJ155" i="5"/>
  <c r="CK155" i="5"/>
  <c r="CL155" i="5"/>
  <c r="BD156" i="5"/>
  <c r="BE156" i="5"/>
  <c r="BF156" i="5"/>
  <c r="BG156" i="5"/>
  <c r="BH156" i="5"/>
  <c r="BI156" i="5"/>
  <c r="BJ156" i="5"/>
  <c r="BK156" i="5"/>
  <c r="BL156" i="5"/>
  <c r="BM156" i="5"/>
  <c r="BN156" i="5"/>
  <c r="BO156" i="5"/>
  <c r="BP156" i="5"/>
  <c r="BQ156" i="5"/>
  <c r="BR156" i="5"/>
  <c r="BS156" i="5"/>
  <c r="BT156" i="5"/>
  <c r="BU156" i="5"/>
  <c r="BV156" i="5"/>
  <c r="BW156" i="5"/>
  <c r="BX156" i="5"/>
  <c r="BY156" i="5"/>
  <c r="BZ156" i="5"/>
  <c r="CA156" i="5"/>
  <c r="CB156" i="5"/>
  <c r="CC156" i="5"/>
  <c r="CD156" i="5"/>
  <c r="CE156" i="5"/>
  <c r="CF156" i="5"/>
  <c r="CG156" i="5"/>
  <c r="CH156" i="5"/>
  <c r="CI156" i="5"/>
  <c r="CJ156" i="5"/>
  <c r="CK156" i="5"/>
  <c r="CL156" i="5"/>
  <c r="BD157" i="5"/>
  <c r="BE157" i="5"/>
  <c r="BF157" i="5"/>
  <c r="BG157" i="5"/>
  <c r="BH157" i="5"/>
  <c r="BI157" i="5"/>
  <c r="BJ157" i="5"/>
  <c r="BK157" i="5"/>
  <c r="BL157" i="5"/>
  <c r="BM157" i="5"/>
  <c r="BN157" i="5"/>
  <c r="BO157" i="5"/>
  <c r="BP157" i="5"/>
  <c r="BQ157" i="5"/>
  <c r="BR157" i="5"/>
  <c r="BS157" i="5"/>
  <c r="BT157" i="5"/>
  <c r="BU157" i="5"/>
  <c r="BV157" i="5"/>
  <c r="BW157" i="5"/>
  <c r="BX157" i="5"/>
  <c r="BY157" i="5"/>
  <c r="BZ157" i="5"/>
  <c r="CA157" i="5"/>
  <c r="CB157" i="5"/>
  <c r="CC157" i="5"/>
  <c r="CD157" i="5"/>
  <c r="CE157" i="5"/>
  <c r="CF157" i="5"/>
  <c r="CG157" i="5"/>
  <c r="CH157" i="5"/>
  <c r="CI157" i="5"/>
  <c r="CJ157" i="5"/>
  <c r="CK157" i="5"/>
  <c r="CL157" i="5"/>
  <c r="BD158" i="5"/>
  <c r="BE158" i="5"/>
  <c r="BF158" i="5"/>
  <c r="BG158" i="5"/>
  <c r="BH158" i="5"/>
  <c r="BI158" i="5"/>
  <c r="BJ158" i="5"/>
  <c r="BK158" i="5"/>
  <c r="BL158" i="5"/>
  <c r="BM158" i="5"/>
  <c r="BN158" i="5"/>
  <c r="BO158" i="5"/>
  <c r="BP158" i="5"/>
  <c r="BQ158" i="5"/>
  <c r="BR158" i="5"/>
  <c r="BS158" i="5"/>
  <c r="BT158" i="5"/>
  <c r="BU158" i="5"/>
  <c r="BV158" i="5"/>
  <c r="BW158" i="5"/>
  <c r="BX158" i="5"/>
  <c r="BY158" i="5"/>
  <c r="BZ158" i="5"/>
  <c r="CA158" i="5"/>
  <c r="CB158" i="5"/>
  <c r="CC158" i="5"/>
  <c r="CD158" i="5"/>
  <c r="CE158" i="5"/>
  <c r="CF158" i="5"/>
  <c r="CG158" i="5"/>
  <c r="CH158" i="5"/>
  <c r="CI158" i="5"/>
  <c r="CJ158" i="5"/>
  <c r="CK158" i="5"/>
  <c r="CL158" i="5"/>
  <c r="BD159" i="5"/>
  <c r="BE159" i="5"/>
  <c r="BF159" i="5"/>
  <c r="BG159" i="5"/>
  <c r="BH159" i="5"/>
  <c r="BI159" i="5"/>
  <c r="BJ159" i="5"/>
  <c r="BK159" i="5"/>
  <c r="BL159" i="5"/>
  <c r="BM159" i="5"/>
  <c r="BN159" i="5"/>
  <c r="BO159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CD159" i="5"/>
  <c r="CE159" i="5"/>
  <c r="CF159" i="5"/>
  <c r="CG159" i="5"/>
  <c r="CH159" i="5"/>
  <c r="CI159" i="5"/>
  <c r="CJ159" i="5"/>
  <c r="CK159" i="5"/>
  <c r="CL159" i="5"/>
  <c r="BD160" i="5"/>
  <c r="BE160" i="5"/>
  <c r="BF160" i="5"/>
  <c r="BG160" i="5"/>
  <c r="BH160" i="5"/>
  <c r="BI160" i="5"/>
  <c r="BJ160" i="5"/>
  <c r="BK160" i="5"/>
  <c r="BL160" i="5"/>
  <c r="BM160" i="5"/>
  <c r="BN160" i="5"/>
  <c r="BO160" i="5"/>
  <c r="BP160" i="5"/>
  <c r="BQ160" i="5"/>
  <c r="BR160" i="5"/>
  <c r="BS160" i="5"/>
  <c r="BT160" i="5"/>
  <c r="BU160" i="5"/>
  <c r="BV160" i="5"/>
  <c r="BW160" i="5"/>
  <c r="BX160" i="5"/>
  <c r="BY160" i="5"/>
  <c r="BZ160" i="5"/>
  <c r="CA160" i="5"/>
  <c r="CB160" i="5"/>
  <c r="CC160" i="5"/>
  <c r="CD160" i="5"/>
  <c r="CE160" i="5"/>
  <c r="CF160" i="5"/>
  <c r="CG160" i="5"/>
  <c r="CH160" i="5"/>
  <c r="CI160" i="5"/>
  <c r="CJ160" i="5"/>
  <c r="CK160" i="5"/>
  <c r="CL160" i="5"/>
  <c r="BD161" i="5"/>
  <c r="BE161" i="5"/>
  <c r="BF161" i="5"/>
  <c r="BG161" i="5"/>
  <c r="BH161" i="5"/>
  <c r="BI161" i="5"/>
  <c r="BJ161" i="5"/>
  <c r="BK161" i="5"/>
  <c r="BL161" i="5"/>
  <c r="BM161" i="5"/>
  <c r="BN161" i="5"/>
  <c r="BO161" i="5"/>
  <c r="BP161" i="5"/>
  <c r="BQ161" i="5"/>
  <c r="BR161" i="5"/>
  <c r="BS161" i="5"/>
  <c r="BT161" i="5"/>
  <c r="BU161" i="5"/>
  <c r="BV161" i="5"/>
  <c r="BW161" i="5"/>
  <c r="BX161" i="5"/>
  <c r="BY161" i="5"/>
  <c r="BZ161" i="5"/>
  <c r="CA161" i="5"/>
  <c r="CB161" i="5"/>
  <c r="CC161" i="5"/>
  <c r="CD161" i="5"/>
  <c r="CE161" i="5"/>
  <c r="CF161" i="5"/>
  <c r="CG161" i="5"/>
  <c r="CH161" i="5"/>
  <c r="CI161" i="5"/>
  <c r="CJ161" i="5"/>
  <c r="CK161" i="5"/>
  <c r="CL161" i="5"/>
  <c r="BD162" i="5"/>
  <c r="BE162" i="5"/>
  <c r="BF162" i="5"/>
  <c r="BG162" i="5"/>
  <c r="BH162" i="5"/>
  <c r="BI162" i="5"/>
  <c r="BJ162" i="5"/>
  <c r="BK162" i="5"/>
  <c r="BL162" i="5"/>
  <c r="BM162" i="5"/>
  <c r="BN162" i="5"/>
  <c r="BO162" i="5"/>
  <c r="BP162" i="5"/>
  <c r="BQ162" i="5"/>
  <c r="BR162" i="5"/>
  <c r="BS162" i="5"/>
  <c r="BT162" i="5"/>
  <c r="BU162" i="5"/>
  <c r="BV162" i="5"/>
  <c r="BW162" i="5"/>
  <c r="BX162" i="5"/>
  <c r="BY162" i="5"/>
  <c r="BZ162" i="5"/>
  <c r="CA162" i="5"/>
  <c r="CB162" i="5"/>
  <c r="CC162" i="5"/>
  <c r="CD162" i="5"/>
  <c r="CE162" i="5"/>
  <c r="CF162" i="5"/>
  <c r="CG162" i="5"/>
  <c r="CH162" i="5"/>
  <c r="CI162" i="5"/>
  <c r="CJ162" i="5"/>
  <c r="CK162" i="5"/>
  <c r="CL162" i="5"/>
  <c r="BD163" i="5"/>
  <c r="BE163" i="5"/>
  <c r="BF163" i="5"/>
  <c r="BG163" i="5"/>
  <c r="BH163" i="5"/>
  <c r="BI163" i="5"/>
  <c r="BJ163" i="5"/>
  <c r="BK163" i="5"/>
  <c r="BL163" i="5"/>
  <c r="BM163" i="5"/>
  <c r="BN163" i="5"/>
  <c r="BO163" i="5"/>
  <c r="BP163" i="5"/>
  <c r="BQ163" i="5"/>
  <c r="BR163" i="5"/>
  <c r="BS163" i="5"/>
  <c r="BT163" i="5"/>
  <c r="BU163" i="5"/>
  <c r="BV163" i="5"/>
  <c r="BW163" i="5"/>
  <c r="BX163" i="5"/>
  <c r="BY163" i="5"/>
  <c r="BZ163" i="5"/>
  <c r="CA163" i="5"/>
  <c r="CB163" i="5"/>
  <c r="CC163" i="5"/>
  <c r="CD163" i="5"/>
  <c r="CE163" i="5"/>
  <c r="CF163" i="5"/>
  <c r="CG163" i="5"/>
  <c r="CH163" i="5"/>
  <c r="CI163" i="5"/>
  <c r="CJ163" i="5"/>
  <c r="CK163" i="5"/>
  <c r="CL163" i="5"/>
  <c r="BD164" i="5"/>
  <c r="BE164" i="5"/>
  <c r="BF164" i="5"/>
  <c r="BG164" i="5"/>
  <c r="BH164" i="5"/>
  <c r="BI164" i="5"/>
  <c r="BJ164" i="5"/>
  <c r="BK164" i="5"/>
  <c r="BL164" i="5"/>
  <c r="BM164" i="5"/>
  <c r="BN164" i="5"/>
  <c r="BO164" i="5"/>
  <c r="BP164" i="5"/>
  <c r="BQ164" i="5"/>
  <c r="BR164" i="5"/>
  <c r="BS164" i="5"/>
  <c r="BT164" i="5"/>
  <c r="BU164" i="5"/>
  <c r="BV164" i="5"/>
  <c r="BW164" i="5"/>
  <c r="BX164" i="5"/>
  <c r="BY164" i="5"/>
  <c r="BZ164" i="5"/>
  <c r="CA164" i="5"/>
  <c r="CB164" i="5"/>
  <c r="CC164" i="5"/>
  <c r="CD164" i="5"/>
  <c r="CE164" i="5"/>
  <c r="CF164" i="5"/>
  <c r="CG164" i="5"/>
  <c r="CH164" i="5"/>
  <c r="CI164" i="5"/>
  <c r="CJ164" i="5"/>
  <c r="CK164" i="5"/>
  <c r="CL164" i="5"/>
  <c r="BD165" i="5"/>
  <c r="BE165" i="5"/>
  <c r="BF165" i="5"/>
  <c r="BG165" i="5"/>
  <c r="BH165" i="5"/>
  <c r="BI165" i="5"/>
  <c r="BJ165" i="5"/>
  <c r="BK165" i="5"/>
  <c r="BL165" i="5"/>
  <c r="BM165" i="5"/>
  <c r="BN165" i="5"/>
  <c r="BO165" i="5"/>
  <c r="BP165" i="5"/>
  <c r="BQ165" i="5"/>
  <c r="BR165" i="5"/>
  <c r="BS165" i="5"/>
  <c r="BT165" i="5"/>
  <c r="BU165" i="5"/>
  <c r="BV165" i="5"/>
  <c r="BW165" i="5"/>
  <c r="BX165" i="5"/>
  <c r="BY165" i="5"/>
  <c r="BZ165" i="5"/>
  <c r="CA165" i="5"/>
  <c r="CB165" i="5"/>
  <c r="CC165" i="5"/>
  <c r="CD165" i="5"/>
  <c r="CE165" i="5"/>
  <c r="CF165" i="5"/>
  <c r="CG165" i="5"/>
  <c r="CH165" i="5"/>
  <c r="CI165" i="5"/>
  <c r="CJ165" i="5"/>
  <c r="CK165" i="5"/>
  <c r="CL165" i="5"/>
  <c r="BD166" i="5"/>
  <c r="BE166" i="5"/>
  <c r="BF166" i="5"/>
  <c r="BG166" i="5"/>
  <c r="BH166" i="5"/>
  <c r="BI166" i="5"/>
  <c r="BJ166" i="5"/>
  <c r="BK166" i="5"/>
  <c r="BL166" i="5"/>
  <c r="BM166" i="5"/>
  <c r="BN166" i="5"/>
  <c r="BO166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CF166" i="5"/>
  <c r="CG166" i="5"/>
  <c r="CH166" i="5"/>
  <c r="CI166" i="5"/>
  <c r="CJ166" i="5"/>
  <c r="CK166" i="5"/>
  <c r="CL166" i="5"/>
  <c r="BD167" i="5"/>
  <c r="BE167" i="5"/>
  <c r="BF167" i="5"/>
  <c r="BG167" i="5"/>
  <c r="BH167" i="5"/>
  <c r="BI167" i="5"/>
  <c r="BJ167" i="5"/>
  <c r="BK167" i="5"/>
  <c r="BL167" i="5"/>
  <c r="BM167" i="5"/>
  <c r="BN167" i="5"/>
  <c r="BO167" i="5"/>
  <c r="BP167" i="5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CF167" i="5"/>
  <c r="CG167" i="5"/>
  <c r="CH167" i="5"/>
  <c r="CI167" i="5"/>
  <c r="CJ167" i="5"/>
  <c r="CK167" i="5"/>
  <c r="CL167" i="5"/>
  <c r="BD168" i="5"/>
  <c r="BE168" i="5"/>
  <c r="BF168" i="5"/>
  <c r="BG168" i="5"/>
  <c r="BH168" i="5"/>
  <c r="BI168" i="5"/>
  <c r="BJ168" i="5"/>
  <c r="BK168" i="5"/>
  <c r="BL168" i="5"/>
  <c r="BM168" i="5"/>
  <c r="BN168" i="5"/>
  <c r="BO168" i="5"/>
  <c r="BP168" i="5"/>
  <c r="BQ168" i="5"/>
  <c r="BR168" i="5"/>
  <c r="BS168" i="5"/>
  <c r="BT168" i="5"/>
  <c r="BU168" i="5"/>
  <c r="BV168" i="5"/>
  <c r="BW168" i="5"/>
  <c r="BX168" i="5"/>
  <c r="BY168" i="5"/>
  <c r="BZ168" i="5"/>
  <c r="CA168" i="5"/>
  <c r="CB168" i="5"/>
  <c r="CC168" i="5"/>
  <c r="CD168" i="5"/>
  <c r="CE168" i="5"/>
  <c r="CF168" i="5"/>
  <c r="CG168" i="5"/>
  <c r="CH168" i="5"/>
  <c r="CI168" i="5"/>
  <c r="CJ168" i="5"/>
  <c r="CK168" i="5"/>
  <c r="CL168" i="5"/>
  <c r="BD169" i="5"/>
  <c r="BE169" i="5"/>
  <c r="BF169" i="5"/>
  <c r="BG169" i="5"/>
  <c r="BH169" i="5"/>
  <c r="BI169" i="5"/>
  <c r="BJ169" i="5"/>
  <c r="BK169" i="5"/>
  <c r="BL169" i="5"/>
  <c r="BM169" i="5"/>
  <c r="BN169" i="5"/>
  <c r="BO169" i="5"/>
  <c r="BP169" i="5"/>
  <c r="BQ169" i="5"/>
  <c r="BR169" i="5"/>
  <c r="BS169" i="5"/>
  <c r="BT169" i="5"/>
  <c r="BU169" i="5"/>
  <c r="BV169" i="5"/>
  <c r="BW169" i="5"/>
  <c r="BX169" i="5"/>
  <c r="BY169" i="5"/>
  <c r="BZ169" i="5"/>
  <c r="CA169" i="5"/>
  <c r="CB169" i="5"/>
  <c r="CC169" i="5"/>
  <c r="CD169" i="5"/>
  <c r="CE169" i="5"/>
  <c r="CF169" i="5"/>
  <c r="CG169" i="5"/>
  <c r="CH169" i="5"/>
  <c r="CI169" i="5"/>
  <c r="CJ169" i="5"/>
  <c r="CK169" i="5"/>
  <c r="CL169" i="5"/>
  <c r="BD170" i="5"/>
  <c r="BE170" i="5"/>
  <c r="BF170" i="5"/>
  <c r="BG170" i="5"/>
  <c r="BH170" i="5"/>
  <c r="BI170" i="5"/>
  <c r="BJ170" i="5"/>
  <c r="BK170" i="5"/>
  <c r="BL170" i="5"/>
  <c r="BM170" i="5"/>
  <c r="BN170" i="5"/>
  <c r="BO170" i="5"/>
  <c r="BP170" i="5"/>
  <c r="BQ170" i="5"/>
  <c r="BR170" i="5"/>
  <c r="BS170" i="5"/>
  <c r="BT170" i="5"/>
  <c r="BU170" i="5"/>
  <c r="BV170" i="5"/>
  <c r="BW170" i="5"/>
  <c r="BX170" i="5"/>
  <c r="BY170" i="5"/>
  <c r="BZ170" i="5"/>
  <c r="CA170" i="5"/>
  <c r="CB170" i="5"/>
  <c r="CC170" i="5"/>
  <c r="CD170" i="5"/>
  <c r="CE170" i="5"/>
  <c r="CF170" i="5"/>
  <c r="CG170" i="5"/>
  <c r="CH170" i="5"/>
  <c r="CI170" i="5"/>
  <c r="CJ170" i="5"/>
  <c r="CK170" i="5"/>
  <c r="CL170" i="5"/>
  <c r="BD171" i="5"/>
  <c r="BE171" i="5"/>
  <c r="BF171" i="5"/>
  <c r="BG171" i="5"/>
  <c r="BH171" i="5"/>
  <c r="BI171" i="5"/>
  <c r="BJ171" i="5"/>
  <c r="BK171" i="5"/>
  <c r="BL171" i="5"/>
  <c r="BM171" i="5"/>
  <c r="BN171" i="5"/>
  <c r="BO171" i="5"/>
  <c r="BP171" i="5"/>
  <c r="BQ171" i="5"/>
  <c r="BR171" i="5"/>
  <c r="BS171" i="5"/>
  <c r="BT171" i="5"/>
  <c r="BU171" i="5"/>
  <c r="BV171" i="5"/>
  <c r="BW171" i="5"/>
  <c r="BX171" i="5"/>
  <c r="BY171" i="5"/>
  <c r="BZ171" i="5"/>
  <c r="CA171" i="5"/>
  <c r="CB171" i="5"/>
  <c r="CC171" i="5"/>
  <c r="CD171" i="5"/>
  <c r="CE171" i="5"/>
  <c r="CF171" i="5"/>
  <c r="CG171" i="5"/>
  <c r="CH171" i="5"/>
  <c r="CI171" i="5"/>
  <c r="CJ171" i="5"/>
  <c r="CK171" i="5"/>
  <c r="CL171" i="5"/>
  <c r="BD172" i="5"/>
  <c r="BE172" i="5"/>
  <c r="BF172" i="5"/>
  <c r="BG172" i="5"/>
  <c r="BH172" i="5"/>
  <c r="BI172" i="5"/>
  <c r="BJ172" i="5"/>
  <c r="BK172" i="5"/>
  <c r="BL172" i="5"/>
  <c r="BM172" i="5"/>
  <c r="BN172" i="5"/>
  <c r="BO172" i="5"/>
  <c r="BP172" i="5"/>
  <c r="BQ172" i="5"/>
  <c r="BR172" i="5"/>
  <c r="BS172" i="5"/>
  <c r="BT172" i="5"/>
  <c r="BU172" i="5"/>
  <c r="BV172" i="5"/>
  <c r="BW172" i="5"/>
  <c r="BX172" i="5"/>
  <c r="BY172" i="5"/>
  <c r="BZ172" i="5"/>
  <c r="CA172" i="5"/>
  <c r="CB172" i="5"/>
  <c r="CC172" i="5"/>
  <c r="CD172" i="5"/>
  <c r="CE172" i="5"/>
  <c r="CF172" i="5"/>
  <c r="CG172" i="5"/>
  <c r="CH172" i="5"/>
  <c r="CI172" i="5"/>
  <c r="CJ172" i="5"/>
  <c r="CK172" i="5"/>
  <c r="CL172" i="5"/>
  <c r="BD173" i="5"/>
  <c r="BE173" i="5"/>
  <c r="BF173" i="5"/>
  <c r="BG173" i="5"/>
  <c r="BH173" i="5"/>
  <c r="BI173" i="5"/>
  <c r="BJ173" i="5"/>
  <c r="BK173" i="5"/>
  <c r="BL173" i="5"/>
  <c r="BM173" i="5"/>
  <c r="BN173" i="5"/>
  <c r="BO173" i="5"/>
  <c r="BP173" i="5"/>
  <c r="BQ173" i="5"/>
  <c r="BR173" i="5"/>
  <c r="BS173" i="5"/>
  <c r="BT173" i="5"/>
  <c r="BU173" i="5"/>
  <c r="BV173" i="5"/>
  <c r="BW173" i="5"/>
  <c r="BX173" i="5"/>
  <c r="BY173" i="5"/>
  <c r="BZ173" i="5"/>
  <c r="CA173" i="5"/>
  <c r="CB173" i="5"/>
  <c r="CC173" i="5"/>
  <c r="CD173" i="5"/>
  <c r="CE173" i="5"/>
  <c r="CF173" i="5"/>
  <c r="CG173" i="5"/>
  <c r="CH173" i="5"/>
  <c r="CI173" i="5"/>
  <c r="CJ173" i="5"/>
  <c r="CK173" i="5"/>
  <c r="CL173" i="5"/>
  <c r="BD174" i="5"/>
  <c r="BE174" i="5"/>
  <c r="BF174" i="5"/>
  <c r="BG174" i="5"/>
  <c r="BH174" i="5"/>
  <c r="BI174" i="5"/>
  <c r="BJ174" i="5"/>
  <c r="BK174" i="5"/>
  <c r="BL174" i="5"/>
  <c r="BM174" i="5"/>
  <c r="BN174" i="5"/>
  <c r="BO174" i="5"/>
  <c r="BP174" i="5"/>
  <c r="BQ174" i="5"/>
  <c r="BR174" i="5"/>
  <c r="BS174" i="5"/>
  <c r="BT174" i="5"/>
  <c r="BU174" i="5"/>
  <c r="BV174" i="5"/>
  <c r="BW174" i="5"/>
  <c r="BX174" i="5"/>
  <c r="BY174" i="5"/>
  <c r="BZ174" i="5"/>
  <c r="CA174" i="5"/>
  <c r="CB174" i="5"/>
  <c r="CC174" i="5"/>
  <c r="CD174" i="5"/>
  <c r="CE174" i="5"/>
  <c r="CF174" i="5"/>
  <c r="CG174" i="5"/>
  <c r="CH174" i="5"/>
  <c r="CI174" i="5"/>
  <c r="CJ174" i="5"/>
  <c r="CK174" i="5"/>
  <c r="CL174" i="5"/>
  <c r="BD175" i="5"/>
  <c r="BE175" i="5"/>
  <c r="BF175" i="5"/>
  <c r="BG175" i="5"/>
  <c r="BH175" i="5"/>
  <c r="BI175" i="5"/>
  <c r="BJ175" i="5"/>
  <c r="BK175" i="5"/>
  <c r="BL175" i="5"/>
  <c r="BM175" i="5"/>
  <c r="BN175" i="5"/>
  <c r="BO175" i="5"/>
  <c r="BP175" i="5"/>
  <c r="BQ175" i="5"/>
  <c r="BR175" i="5"/>
  <c r="BS175" i="5"/>
  <c r="BT175" i="5"/>
  <c r="BU175" i="5"/>
  <c r="BV175" i="5"/>
  <c r="BW175" i="5"/>
  <c r="BX175" i="5"/>
  <c r="BY175" i="5"/>
  <c r="BZ175" i="5"/>
  <c r="CA175" i="5"/>
  <c r="CB175" i="5"/>
  <c r="CC175" i="5"/>
  <c r="CD175" i="5"/>
  <c r="CE175" i="5"/>
  <c r="CF175" i="5"/>
  <c r="CG175" i="5"/>
  <c r="CH175" i="5"/>
  <c r="CI175" i="5"/>
  <c r="CJ175" i="5"/>
  <c r="CK175" i="5"/>
  <c r="CL175" i="5"/>
  <c r="BD176" i="5"/>
  <c r="BE176" i="5"/>
  <c r="BF176" i="5"/>
  <c r="BG176" i="5"/>
  <c r="BH176" i="5"/>
  <c r="BI176" i="5"/>
  <c r="BJ176" i="5"/>
  <c r="BK176" i="5"/>
  <c r="BL176" i="5"/>
  <c r="BM176" i="5"/>
  <c r="BN176" i="5"/>
  <c r="BO176" i="5"/>
  <c r="BP176" i="5"/>
  <c r="BQ176" i="5"/>
  <c r="BR176" i="5"/>
  <c r="BS176" i="5"/>
  <c r="BT176" i="5"/>
  <c r="BU176" i="5"/>
  <c r="BV176" i="5"/>
  <c r="BW176" i="5"/>
  <c r="BX176" i="5"/>
  <c r="BY176" i="5"/>
  <c r="BZ176" i="5"/>
  <c r="CA176" i="5"/>
  <c r="CB176" i="5"/>
  <c r="CC176" i="5"/>
  <c r="CD176" i="5"/>
  <c r="CE176" i="5"/>
  <c r="CF176" i="5"/>
  <c r="CG176" i="5"/>
  <c r="CH176" i="5"/>
  <c r="CI176" i="5"/>
  <c r="CJ176" i="5"/>
  <c r="CK176" i="5"/>
  <c r="CL176" i="5"/>
  <c r="BD177" i="5"/>
  <c r="BE177" i="5"/>
  <c r="BF177" i="5"/>
  <c r="BG177" i="5"/>
  <c r="BH177" i="5"/>
  <c r="BI177" i="5"/>
  <c r="BJ177" i="5"/>
  <c r="BK177" i="5"/>
  <c r="BL177" i="5"/>
  <c r="BM177" i="5"/>
  <c r="BN177" i="5"/>
  <c r="BO177" i="5"/>
  <c r="BP177" i="5"/>
  <c r="BQ177" i="5"/>
  <c r="BR177" i="5"/>
  <c r="BS177" i="5"/>
  <c r="BT177" i="5"/>
  <c r="BU177" i="5"/>
  <c r="BV177" i="5"/>
  <c r="BW177" i="5"/>
  <c r="BX177" i="5"/>
  <c r="BY177" i="5"/>
  <c r="BZ177" i="5"/>
  <c r="CA177" i="5"/>
  <c r="CB177" i="5"/>
  <c r="CC177" i="5"/>
  <c r="CD177" i="5"/>
  <c r="CE177" i="5"/>
  <c r="CF177" i="5"/>
  <c r="CG177" i="5"/>
  <c r="CH177" i="5"/>
  <c r="CI177" i="5"/>
  <c r="CJ177" i="5"/>
  <c r="CK177" i="5"/>
  <c r="CL177" i="5"/>
  <c r="BD178" i="5"/>
  <c r="BE178" i="5"/>
  <c r="BF178" i="5"/>
  <c r="BG178" i="5"/>
  <c r="BH178" i="5"/>
  <c r="BI178" i="5"/>
  <c r="BJ178" i="5"/>
  <c r="BK178" i="5"/>
  <c r="BL178" i="5"/>
  <c r="BM178" i="5"/>
  <c r="BN178" i="5"/>
  <c r="BO178" i="5"/>
  <c r="BP178" i="5"/>
  <c r="BQ178" i="5"/>
  <c r="BR178" i="5"/>
  <c r="BS178" i="5"/>
  <c r="BT178" i="5"/>
  <c r="BU178" i="5"/>
  <c r="BV178" i="5"/>
  <c r="BW178" i="5"/>
  <c r="BX178" i="5"/>
  <c r="BY178" i="5"/>
  <c r="BZ178" i="5"/>
  <c r="CA178" i="5"/>
  <c r="CB178" i="5"/>
  <c r="CC178" i="5"/>
  <c r="CD178" i="5"/>
  <c r="CE178" i="5"/>
  <c r="CF178" i="5"/>
  <c r="CG178" i="5"/>
  <c r="CH178" i="5"/>
  <c r="CI178" i="5"/>
  <c r="CJ178" i="5"/>
  <c r="CK178" i="5"/>
  <c r="CL178" i="5"/>
  <c r="BD179" i="5"/>
  <c r="BE179" i="5"/>
  <c r="BF179" i="5"/>
  <c r="BG179" i="5"/>
  <c r="BH179" i="5"/>
  <c r="BI179" i="5"/>
  <c r="BJ179" i="5"/>
  <c r="BK179" i="5"/>
  <c r="BL179" i="5"/>
  <c r="BM179" i="5"/>
  <c r="BN179" i="5"/>
  <c r="BO179" i="5"/>
  <c r="BP179" i="5"/>
  <c r="BQ179" i="5"/>
  <c r="BR179" i="5"/>
  <c r="BS179" i="5"/>
  <c r="BT179" i="5"/>
  <c r="BU179" i="5"/>
  <c r="BV179" i="5"/>
  <c r="BW179" i="5"/>
  <c r="BX179" i="5"/>
  <c r="BY179" i="5"/>
  <c r="BZ179" i="5"/>
  <c r="CA179" i="5"/>
  <c r="CB179" i="5"/>
  <c r="CC179" i="5"/>
  <c r="CD179" i="5"/>
  <c r="CE179" i="5"/>
  <c r="CF179" i="5"/>
  <c r="CG179" i="5"/>
  <c r="CH179" i="5"/>
  <c r="CI179" i="5"/>
  <c r="CJ179" i="5"/>
  <c r="CK179" i="5"/>
  <c r="CL179" i="5"/>
  <c r="BD180" i="5"/>
  <c r="BE180" i="5"/>
  <c r="BF180" i="5"/>
  <c r="BG180" i="5"/>
  <c r="BH180" i="5"/>
  <c r="BI180" i="5"/>
  <c r="BJ180" i="5"/>
  <c r="BK180" i="5"/>
  <c r="BL180" i="5"/>
  <c r="BM180" i="5"/>
  <c r="BN180" i="5"/>
  <c r="BO180" i="5"/>
  <c r="BP180" i="5"/>
  <c r="BQ180" i="5"/>
  <c r="BR180" i="5"/>
  <c r="BS180" i="5"/>
  <c r="BT180" i="5"/>
  <c r="BU180" i="5"/>
  <c r="BV180" i="5"/>
  <c r="BW180" i="5"/>
  <c r="BX180" i="5"/>
  <c r="BY180" i="5"/>
  <c r="BZ180" i="5"/>
  <c r="CA180" i="5"/>
  <c r="CB180" i="5"/>
  <c r="CC180" i="5"/>
  <c r="CD180" i="5"/>
  <c r="CE180" i="5"/>
  <c r="CF180" i="5"/>
  <c r="CG180" i="5"/>
  <c r="CH180" i="5"/>
  <c r="CI180" i="5"/>
  <c r="CJ180" i="5"/>
  <c r="CK180" i="5"/>
  <c r="CL180" i="5"/>
  <c r="BD181" i="5"/>
  <c r="BE181" i="5"/>
  <c r="BF181" i="5"/>
  <c r="BG181" i="5"/>
  <c r="BH181" i="5"/>
  <c r="BI181" i="5"/>
  <c r="BJ181" i="5"/>
  <c r="BK181" i="5"/>
  <c r="BL181" i="5"/>
  <c r="BM181" i="5"/>
  <c r="BN181" i="5"/>
  <c r="BO181" i="5"/>
  <c r="BP181" i="5"/>
  <c r="BQ181" i="5"/>
  <c r="BR181" i="5"/>
  <c r="BS181" i="5"/>
  <c r="BT181" i="5"/>
  <c r="BU181" i="5"/>
  <c r="BV181" i="5"/>
  <c r="BW181" i="5"/>
  <c r="BX181" i="5"/>
  <c r="BY181" i="5"/>
  <c r="BZ181" i="5"/>
  <c r="CA181" i="5"/>
  <c r="CB181" i="5"/>
  <c r="CC181" i="5"/>
  <c r="CD181" i="5"/>
  <c r="CE181" i="5"/>
  <c r="CF181" i="5"/>
  <c r="CG181" i="5"/>
  <c r="CH181" i="5"/>
  <c r="CI181" i="5"/>
  <c r="CJ181" i="5"/>
  <c r="CK181" i="5"/>
  <c r="CL181" i="5"/>
  <c r="BD182" i="5"/>
  <c r="BE182" i="5"/>
  <c r="BF182" i="5"/>
  <c r="BG182" i="5"/>
  <c r="BH182" i="5"/>
  <c r="BI182" i="5"/>
  <c r="BJ182" i="5"/>
  <c r="BK182" i="5"/>
  <c r="BL182" i="5"/>
  <c r="BM182" i="5"/>
  <c r="BN182" i="5"/>
  <c r="BO182" i="5"/>
  <c r="BP182" i="5"/>
  <c r="BQ182" i="5"/>
  <c r="BR182" i="5"/>
  <c r="BS182" i="5"/>
  <c r="BT182" i="5"/>
  <c r="BU182" i="5"/>
  <c r="BV182" i="5"/>
  <c r="BW182" i="5"/>
  <c r="BX182" i="5"/>
  <c r="BY182" i="5"/>
  <c r="BZ182" i="5"/>
  <c r="CA182" i="5"/>
  <c r="CB182" i="5"/>
  <c r="CC182" i="5"/>
  <c r="CD182" i="5"/>
  <c r="CE182" i="5"/>
  <c r="CF182" i="5"/>
  <c r="CG182" i="5"/>
  <c r="CH182" i="5"/>
  <c r="CI182" i="5"/>
  <c r="CJ182" i="5"/>
  <c r="CK182" i="5"/>
  <c r="CL182" i="5"/>
  <c r="BD183" i="5"/>
  <c r="BE183" i="5"/>
  <c r="BF183" i="5"/>
  <c r="BG183" i="5"/>
  <c r="BH183" i="5"/>
  <c r="BI183" i="5"/>
  <c r="BJ183" i="5"/>
  <c r="BK183" i="5"/>
  <c r="BL183" i="5"/>
  <c r="BM183" i="5"/>
  <c r="BN183" i="5"/>
  <c r="BO183" i="5"/>
  <c r="BP183" i="5"/>
  <c r="BQ183" i="5"/>
  <c r="BR183" i="5"/>
  <c r="BS183" i="5"/>
  <c r="BT183" i="5"/>
  <c r="BU183" i="5"/>
  <c r="BV183" i="5"/>
  <c r="BW183" i="5"/>
  <c r="BX183" i="5"/>
  <c r="BY183" i="5"/>
  <c r="BZ183" i="5"/>
  <c r="CA183" i="5"/>
  <c r="CB183" i="5"/>
  <c r="CC183" i="5"/>
  <c r="CD183" i="5"/>
  <c r="CE183" i="5"/>
  <c r="CF183" i="5"/>
  <c r="CG183" i="5"/>
  <c r="CH183" i="5"/>
  <c r="CI183" i="5"/>
  <c r="CJ183" i="5"/>
  <c r="CK183" i="5"/>
  <c r="CL183" i="5"/>
  <c r="BD184" i="5"/>
  <c r="BE184" i="5"/>
  <c r="BF184" i="5"/>
  <c r="BG184" i="5"/>
  <c r="BH184" i="5"/>
  <c r="BI184" i="5"/>
  <c r="BJ184" i="5"/>
  <c r="BK184" i="5"/>
  <c r="BL184" i="5"/>
  <c r="BM184" i="5"/>
  <c r="BN184" i="5"/>
  <c r="BO184" i="5"/>
  <c r="BP184" i="5"/>
  <c r="BQ184" i="5"/>
  <c r="BR184" i="5"/>
  <c r="BS184" i="5"/>
  <c r="BT184" i="5"/>
  <c r="BU184" i="5"/>
  <c r="BV184" i="5"/>
  <c r="BW184" i="5"/>
  <c r="BX184" i="5"/>
  <c r="BY184" i="5"/>
  <c r="BZ184" i="5"/>
  <c r="CA184" i="5"/>
  <c r="CB184" i="5"/>
  <c r="CC184" i="5"/>
  <c r="CD184" i="5"/>
  <c r="CE184" i="5"/>
  <c r="CF184" i="5"/>
  <c r="CG184" i="5"/>
  <c r="CH184" i="5"/>
  <c r="CI184" i="5"/>
  <c r="CJ184" i="5"/>
  <c r="CK184" i="5"/>
  <c r="CL184" i="5"/>
  <c r="BD185" i="5"/>
  <c r="BE185" i="5"/>
  <c r="BF185" i="5"/>
  <c r="BG185" i="5"/>
  <c r="BH185" i="5"/>
  <c r="BI185" i="5"/>
  <c r="BJ185" i="5"/>
  <c r="BK185" i="5"/>
  <c r="BL185" i="5"/>
  <c r="BM185" i="5"/>
  <c r="BN185" i="5"/>
  <c r="BO185" i="5"/>
  <c r="BP185" i="5"/>
  <c r="BQ185" i="5"/>
  <c r="BR185" i="5"/>
  <c r="BS185" i="5"/>
  <c r="BT185" i="5"/>
  <c r="BU185" i="5"/>
  <c r="BV185" i="5"/>
  <c r="BW185" i="5"/>
  <c r="BX185" i="5"/>
  <c r="BY185" i="5"/>
  <c r="BZ185" i="5"/>
  <c r="CA185" i="5"/>
  <c r="CB185" i="5"/>
  <c r="CC185" i="5"/>
  <c r="CD185" i="5"/>
  <c r="CE185" i="5"/>
  <c r="CF185" i="5"/>
  <c r="CG185" i="5"/>
  <c r="CH185" i="5"/>
  <c r="CI185" i="5"/>
  <c r="CJ185" i="5"/>
  <c r="CK185" i="5"/>
  <c r="CL185" i="5"/>
  <c r="BD186" i="5"/>
  <c r="BE186" i="5"/>
  <c r="BF186" i="5"/>
  <c r="BG186" i="5"/>
  <c r="BH186" i="5"/>
  <c r="BI186" i="5"/>
  <c r="BJ186" i="5"/>
  <c r="BK186" i="5"/>
  <c r="BL186" i="5"/>
  <c r="BM186" i="5"/>
  <c r="BN186" i="5"/>
  <c r="BO186" i="5"/>
  <c r="BP186" i="5"/>
  <c r="BQ186" i="5"/>
  <c r="BR186" i="5"/>
  <c r="BS186" i="5"/>
  <c r="BT186" i="5"/>
  <c r="BU186" i="5"/>
  <c r="BV186" i="5"/>
  <c r="BW186" i="5"/>
  <c r="BX186" i="5"/>
  <c r="BY186" i="5"/>
  <c r="BZ186" i="5"/>
  <c r="CA186" i="5"/>
  <c r="CB186" i="5"/>
  <c r="CC186" i="5"/>
  <c r="CD186" i="5"/>
  <c r="CE186" i="5"/>
  <c r="CF186" i="5"/>
  <c r="CG186" i="5"/>
  <c r="CH186" i="5"/>
  <c r="CI186" i="5"/>
  <c r="CJ186" i="5"/>
  <c r="CK186" i="5"/>
  <c r="CL186" i="5"/>
  <c r="BD187" i="5"/>
  <c r="BE187" i="5"/>
  <c r="BF187" i="5"/>
  <c r="BG187" i="5"/>
  <c r="BH187" i="5"/>
  <c r="BI187" i="5"/>
  <c r="BJ187" i="5"/>
  <c r="BK187" i="5"/>
  <c r="BL187" i="5"/>
  <c r="BM187" i="5"/>
  <c r="BN187" i="5"/>
  <c r="BO187" i="5"/>
  <c r="BP187" i="5"/>
  <c r="BQ187" i="5"/>
  <c r="BR187" i="5"/>
  <c r="BS187" i="5"/>
  <c r="BT187" i="5"/>
  <c r="BU187" i="5"/>
  <c r="BV187" i="5"/>
  <c r="BW187" i="5"/>
  <c r="BX187" i="5"/>
  <c r="BY187" i="5"/>
  <c r="BZ187" i="5"/>
  <c r="CA187" i="5"/>
  <c r="CB187" i="5"/>
  <c r="CC187" i="5"/>
  <c r="CD187" i="5"/>
  <c r="CE187" i="5"/>
  <c r="CF187" i="5"/>
  <c r="CG187" i="5"/>
  <c r="CH187" i="5"/>
  <c r="CI187" i="5"/>
  <c r="CJ187" i="5"/>
  <c r="CK187" i="5"/>
  <c r="CL187" i="5"/>
  <c r="BD188" i="5"/>
  <c r="BE188" i="5"/>
  <c r="BF188" i="5"/>
  <c r="BG188" i="5"/>
  <c r="BH188" i="5"/>
  <c r="BI188" i="5"/>
  <c r="BJ188" i="5"/>
  <c r="BK188" i="5"/>
  <c r="BL188" i="5"/>
  <c r="BM188" i="5"/>
  <c r="BN188" i="5"/>
  <c r="BO188" i="5"/>
  <c r="BP188" i="5"/>
  <c r="BQ188" i="5"/>
  <c r="BR188" i="5"/>
  <c r="BS188" i="5"/>
  <c r="BT188" i="5"/>
  <c r="BU188" i="5"/>
  <c r="BV188" i="5"/>
  <c r="BW188" i="5"/>
  <c r="BX188" i="5"/>
  <c r="BY188" i="5"/>
  <c r="BZ188" i="5"/>
  <c r="CA188" i="5"/>
  <c r="CB188" i="5"/>
  <c r="CC188" i="5"/>
  <c r="CD188" i="5"/>
  <c r="CE188" i="5"/>
  <c r="CF188" i="5"/>
  <c r="CG188" i="5"/>
  <c r="CH188" i="5"/>
  <c r="CI188" i="5"/>
  <c r="CJ188" i="5"/>
  <c r="CK188" i="5"/>
  <c r="CL188" i="5"/>
  <c r="BD189" i="5"/>
  <c r="BE189" i="5"/>
  <c r="BF189" i="5"/>
  <c r="BG189" i="5"/>
  <c r="BH189" i="5"/>
  <c r="BI189" i="5"/>
  <c r="BJ189" i="5"/>
  <c r="BK189" i="5"/>
  <c r="BL189" i="5"/>
  <c r="BM189" i="5"/>
  <c r="BN189" i="5"/>
  <c r="BO189" i="5"/>
  <c r="BP189" i="5"/>
  <c r="BQ189" i="5"/>
  <c r="BR189" i="5"/>
  <c r="BS189" i="5"/>
  <c r="BT189" i="5"/>
  <c r="BU189" i="5"/>
  <c r="BV189" i="5"/>
  <c r="BW189" i="5"/>
  <c r="BX189" i="5"/>
  <c r="BY189" i="5"/>
  <c r="BZ189" i="5"/>
  <c r="CA189" i="5"/>
  <c r="CB189" i="5"/>
  <c r="CC189" i="5"/>
  <c r="CD189" i="5"/>
  <c r="CE189" i="5"/>
  <c r="CF189" i="5"/>
  <c r="CG189" i="5"/>
  <c r="CH189" i="5"/>
  <c r="CI189" i="5"/>
  <c r="CJ189" i="5"/>
  <c r="CK189" i="5"/>
  <c r="CL189" i="5"/>
  <c r="BD190" i="5"/>
  <c r="BE190" i="5"/>
  <c r="BF190" i="5"/>
  <c r="BG190" i="5"/>
  <c r="BH190" i="5"/>
  <c r="BI190" i="5"/>
  <c r="BJ190" i="5"/>
  <c r="BK190" i="5"/>
  <c r="BL190" i="5"/>
  <c r="BM190" i="5"/>
  <c r="BN190" i="5"/>
  <c r="BO190" i="5"/>
  <c r="BP190" i="5"/>
  <c r="BQ190" i="5"/>
  <c r="BR190" i="5"/>
  <c r="BS190" i="5"/>
  <c r="BT190" i="5"/>
  <c r="BU190" i="5"/>
  <c r="BV190" i="5"/>
  <c r="BW190" i="5"/>
  <c r="BX190" i="5"/>
  <c r="BY190" i="5"/>
  <c r="BZ190" i="5"/>
  <c r="CA190" i="5"/>
  <c r="CB190" i="5"/>
  <c r="CC190" i="5"/>
  <c r="CD190" i="5"/>
  <c r="CE190" i="5"/>
  <c r="CF190" i="5"/>
  <c r="CG190" i="5"/>
  <c r="CH190" i="5"/>
  <c r="CI190" i="5"/>
  <c r="CJ190" i="5"/>
  <c r="CK190" i="5"/>
  <c r="CL190" i="5"/>
  <c r="BD191" i="5"/>
  <c r="BE191" i="5"/>
  <c r="BF191" i="5"/>
  <c r="BG191" i="5"/>
  <c r="BH191" i="5"/>
  <c r="BI191" i="5"/>
  <c r="BJ191" i="5"/>
  <c r="BK191" i="5"/>
  <c r="BL191" i="5"/>
  <c r="BM191" i="5"/>
  <c r="BN191" i="5"/>
  <c r="BO191" i="5"/>
  <c r="BP191" i="5"/>
  <c r="BQ191" i="5"/>
  <c r="BR191" i="5"/>
  <c r="BS191" i="5"/>
  <c r="BT191" i="5"/>
  <c r="BU191" i="5"/>
  <c r="BV191" i="5"/>
  <c r="BW191" i="5"/>
  <c r="BX191" i="5"/>
  <c r="BY191" i="5"/>
  <c r="BZ191" i="5"/>
  <c r="CA191" i="5"/>
  <c r="CB191" i="5"/>
  <c r="CC191" i="5"/>
  <c r="CD191" i="5"/>
  <c r="CE191" i="5"/>
  <c r="CF191" i="5"/>
  <c r="CG191" i="5"/>
  <c r="CH191" i="5"/>
  <c r="CI191" i="5"/>
  <c r="CJ191" i="5"/>
  <c r="CK191" i="5"/>
  <c r="CL191" i="5"/>
  <c r="BD192" i="5"/>
  <c r="BE192" i="5"/>
  <c r="BF192" i="5"/>
  <c r="BG192" i="5"/>
  <c r="BH192" i="5"/>
  <c r="BI192" i="5"/>
  <c r="BJ192" i="5"/>
  <c r="BK192" i="5"/>
  <c r="BL192" i="5"/>
  <c r="BM192" i="5"/>
  <c r="BN192" i="5"/>
  <c r="BO192" i="5"/>
  <c r="BP192" i="5"/>
  <c r="BQ192" i="5"/>
  <c r="BR192" i="5"/>
  <c r="BS192" i="5"/>
  <c r="BT192" i="5"/>
  <c r="BU192" i="5"/>
  <c r="BV192" i="5"/>
  <c r="BW192" i="5"/>
  <c r="BX192" i="5"/>
  <c r="BY192" i="5"/>
  <c r="BZ192" i="5"/>
  <c r="CA192" i="5"/>
  <c r="CB192" i="5"/>
  <c r="CC192" i="5"/>
  <c r="CD192" i="5"/>
  <c r="CE192" i="5"/>
  <c r="CF192" i="5"/>
  <c r="CG192" i="5"/>
  <c r="CH192" i="5"/>
  <c r="CI192" i="5"/>
  <c r="CJ192" i="5"/>
  <c r="CK192" i="5"/>
  <c r="CL192" i="5"/>
  <c r="BD193" i="5"/>
  <c r="BE193" i="5"/>
  <c r="BF193" i="5"/>
  <c r="BG193" i="5"/>
  <c r="BH193" i="5"/>
  <c r="BI193" i="5"/>
  <c r="BJ193" i="5"/>
  <c r="BK193" i="5"/>
  <c r="BL193" i="5"/>
  <c r="BM193" i="5"/>
  <c r="BN193" i="5"/>
  <c r="BO193" i="5"/>
  <c r="BP193" i="5"/>
  <c r="BQ193" i="5"/>
  <c r="BR193" i="5"/>
  <c r="BS193" i="5"/>
  <c r="BT193" i="5"/>
  <c r="BU193" i="5"/>
  <c r="BV193" i="5"/>
  <c r="BW193" i="5"/>
  <c r="BX193" i="5"/>
  <c r="BY193" i="5"/>
  <c r="BZ193" i="5"/>
  <c r="CA193" i="5"/>
  <c r="CB193" i="5"/>
  <c r="CC193" i="5"/>
  <c r="CD193" i="5"/>
  <c r="CE193" i="5"/>
  <c r="CF193" i="5"/>
  <c r="CG193" i="5"/>
  <c r="CH193" i="5"/>
  <c r="CI193" i="5"/>
  <c r="CJ193" i="5"/>
  <c r="CK193" i="5"/>
  <c r="CL193" i="5"/>
  <c r="BD194" i="5"/>
  <c r="BE194" i="5"/>
  <c r="BF194" i="5"/>
  <c r="BG194" i="5"/>
  <c r="BH194" i="5"/>
  <c r="BI194" i="5"/>
  <c r="BJ194" i="5"/>
  <c r="BK194" i="5"/>
  <c r="BL194" i="5"/>
  <c r="BM194" i="5"/>
  <c r="BN194" i="5"/>
  <c r="BO194" i="5"/>
  <c r="BP194" i="5"/>
  <c r="BQ194" i="5"/>
  <c r="BR194" i="5"/>
  <c r="BS194" i="5"/>
  <c r="BT194" i="5"/>
  <c r="BU194" i="5"/>
  <c r="BV194" i="5"/>
  <c r="BW194" i="5"/>
  <c r="BX194" i="5"/>
  <c r="BY194" i="5"/>
  <c r="BZ194" i="5"/>
  <c r="CA194" i="5"/>
  <c r="CB194" i="5"/>
  <c r="CC194" i="5"/>
  <c r="CD194" i="5"/>
  <c r="CE194" i="5"/>
  <c r="CF194" i="5"/>
  <c r="CG194" i="5"/>
  <c r="CH194" i="5"/>
  <c r="CI194" i="5"/>
  <c r="CJ194" i="5"/>
  <c r="CK194" i="5"/>
  <c r="CL194" i="5"/>
  <c r="BD195" i="5"/>
  <c r="BE195" i="5"/>
  <c r="BF195" i="5"/>
  <c r="BG195" i="5"/>
  <c r="BH195" i="5"/>
  <c r="BI195" i="5"/>
  <c r="BJ195" i="5"/>
  <c r="BK195" i="5"/>
  <c r="BL195" i="5"/>
  <c r="BM195" i="5"/>
  <c r="BN195" i="5"/>
  <c r="BO195" i="5"/>
  <c r="BP195" i="5"/>
  <c r="BQ195" i="5"/>
  <c r="BR195" i="5"/>
  <c r="BS195" i="5"/>
  <c r="BT195" i="5"/>
  <c r="BU195" i="5"/>
  <c r="BV195" i="5"/>
  <c r="BW195" i="5"/>
  <c r="BX195" i="5"/>
  <c r="BY195" i="5"/>
  <c r="BZ195" i="5"/>
  <c r="CA195" i="5"/>
  <c r="CB195" i="5"/>
  <c r="CC195" i="5"/>
  <c r="CD195" i="5"/>
  <c r="CE195" i="5"/>
  <c r="CF195" i="5"/>
  <c r="CG195" i="5"/>
  <c r="CH195" i="5"/>
  <c r="CI195" i="5"/>
  <c r="CJ195" i="5"/>
  <c r="CK195" i="5"/>
  <c r="CL195" i="5"/>
  <c r="BD196" i="5"/>
  <c r="BE196" i="5"/>
  <c r="BF196" i="5"/>
  <c r="BG196" i="5"/>
  <c r="BH196" i="5"/>
  <c r="BI196" i="5"/>
  <c r="BJ196" i="5"/>
  <c r="BK196" i="5"/>
  <c r="BL196" i="5"/>
  <c r="BM196" i="5"/>
  <c r="BN196" i="5"/>
  <c r="BO196" i="5"/>
  <c r="BP196" i="5"/>
  <c r="BQ196" i="5"/>
  <c r="BR196" i="5"/>
  <c r="BS196" i="5"/>
  <c r="BT196" i="5"/>
  <c r="BU196" i="5"/>
  <c r="BV196" i="5"/>
  <c r="BW196" i="5"/>
  <c r="BX196" i="5"/>
  <c r="BY196" i="5"/>
  <c r="BZ196" i="5"/>
  <c r="CA196" i="5"/>
  <c r="CB196" i="5"/>
  <c r="CC196" i="5"/>
  <c r="CD196" i="5"/>
  <c r="CE196" i="5"/>
  <c r="CF196" i="5"/>
  <c r="CG196" i="5"/>
  <c r="CH196" i="5"/>
  <c r="CI196" i="5"/>
  <c r="CJ196" i="5"/>
  <c r="CK196" i="5"/>
  <c r="CL196" i="5"/>
  <c r="BD197" i="5"/>
  <c r="BE197" i="5"/>
  <c r="BF197" i="5"/>
  <c r="BG197" i="5"/>
  <c r="BH197" i="5"/>
  <c r="BI197" i="5"/>
  <c r="BJ197" i="5"/>
  <c r="BK197" i="5"/>
  <c r="BL197" i="5"/>
  <c r="BM197" i="5"/>
  <c r="BN197" i="5"/>
  <c r="BO197" i="5"/>
  <c r="BP197" i="5"/>
  <c r="BQ197" i="5"/>
  <c r="BR197" i="5"/>
  <c r="BS197" i="5"/>
  <c r="BT197" i="5"/>
  <c r="BU197" i="5"/>
  <c r="BV197" i="5"/>
  <c r="BW197" i="5"/>
  <c r="BX197" i="5"/>
  <c r="BY197" i="5"/>
  <c r="BZ197" i="5"/>
  <c r="CA197" i="5"/>
  <c r="CB197" i="5"/>
  <c r="CC197" i="5"/>
  <c r="CD197" i="5"/>
  <c r="CE197" i="5"/>
  <c r="CF197" i="5"/>
  <c r="CG197" i="5"/>
  <c r="CH197" i="5"/>
  <c r="CI197" i="5"/>
  <c r="CJ197" i="5"/>
  <c r="CK197" i="5"/>
  <c r="CL197" i="5"/>
  <c r="BD198" i="5"/>
  <c r="BE198" i="5"/>
  <c r="BF198" i="5"/>
  <c r="BG198" i="5"/>
  <c r="BH198" i="5"/>
  <c r="BI198" i="5"/>
  <c r="BJ198" i="5"/>
  <c r="BK198" i="5"/>
  <c r="BL198" i="5"/>
  <c r="BM198" i="5"/>
  <c r="BN198" i="5"/>
  <c r="BO198" i="5"/>
  <c r="BP198" i="5"/>
  <c r="BQ198" i="5"/>
  <c r="BR198" i="5"/>
  <c r="BS198" i="5"/>
  <c r="BT198" i="5"/>
  <c r="BU198" i="5"/>
  <c r="BV198" i="5"/>
  <c r="BW198" i="5"/>
  <c r="BX198" i="5"/>
  <c r="BY198" i="5"/>
  <c r="BZ198" i="5"/>
  <c r="CA198" i="5"/>
  <c r="CB198" i="5"/>
  <c r="CC198" i="5"/>
  <c r="CD198" i="5"/>
  <c r="CE198" i="5"/>
  <c r="CF198" i="5"/>
  <c r="CG198" i="5"/>
  <c r="CH198" i="5"/>
  <c r="CI198" i="5"/>
  <c r="CJ198" i="5"/>
  <c r="CK198" i="5"/>
  <c r="CL198" i="5"/>
  <c r="BD199" i="5"/>
  <c r="BE199" i="5"/>
  <c r="BF199" i="5"/>
  <c r="BG199" i="5"/>
  <c r="BH199" i="5"/>
  <c r="BI199" i="5"/>
  <c r="BJ199" i="5"/>
  <c r="BK199" i="5"/>
  <c r="BL199" i="5"/>
  <c r="BM199" i="5"/>
  <c r="BN199" i="5"/>
  <c r="BO199" i="5"/>
  <c r="BP199" i="5"/>
  <c r="BQ199" i="5"/>
  <c r="BR199" i="5"/>
  <c r="BS199" i="5"/>
  <c r="BT199" i="5"/>
  <c r="BU199" i="5"/>
  <c r="BV199" i="5"/>
  <c r="BW199" i="5"/>
  <c r="BX199" i="5"/>
  <c r="BY199" i="5"/>
  <c r="BZ199" i="5"/>
  <c r="CA199" i="5"/>
  <c r="CB199" i="5"/>
  <c r="CC199" i="5"/>
  <c r="CD199" i="5"/>
  <c r="CE199" i="5"/>
  <c r="CF199" i="5"/>
  <c r="CG199" i="5"/>
  <c r="CH199" i="5"/>
  <c r="CI199" i="5"/>
  <c r="CJ199" i="5"/>
  <c r="CK199" i="5"/>
  <c r="CL199" i="5"/>
  <c r="BD200" i="5"/>
  <c r="BE200" i="5"/>
  <c r="BF200" i="5"/>
  <c r="BG200" i="5"/>
  <c r="BH200" i="5"/>
  <c r="BI200" i="5"/>
  <c r="BJ200" i="5"/>
  <c r="BK200" i="5"/>
  <c r="BL200" i="5"/>
  <c r="BM200" i="5"/>
  <c r="BN200" i="5"/>
  <c r="BO200" i="5"/>
  <c r="BP200" i="5"/>
  <c r="BQ200" i="5"/>
  <c r="BR200" i="5"/>
  <c r="BS200" i="5"/>
  <c r="BT200" i="5"/>
  <c r="BU200" i="5"/>
  <c r="BV200" i="5"/>
  <c r="BW200" i="5"/>
  <c r="BX200" i="5"/>
  <c r="BY200" i="5"/>
  <c r="BZ200" i="5"/>
  <c r="CA200" i="5"/>
  <c r="CB200" i="5"/>
  <c r="CC200" i="5"/>
  <c r="CD200" i="5"/>
  <c r="CE200" i="5"/>
  <c r="CF200" i="5"/>
  <c r="CG200" i="5"/>
  <c r="CH200" i="5"/>
  <c r="CI200" i="5"/>
  <c r="CJ200" i="5"/>
  <c r="CK200" i="5"/>
  <c r="CL200" i="5"/>
  <c r="BD201" i="5"/>
  <c r="BE201" i="5"/>
  <c r="BF201" i="5"/>
  <c r="BG201" i="5"/>
  <c r="BH201" i="5"/>
  <c r="BI201" i="5"/>
  <c r="BJ201" i="5"/>
  <c r="BK201" i="5"/>
  <c r="BL201" i="5"/>
  <c r="BM201" i="5"/>
  <c r="BN201" i="5"/>
  <c r="BO201" i="5"/>
  <c r="BP201" i="5"/>
  <c r="BQ201" i="5"/>
  <c r="BR201" i="5"/>
  <c r="BS201" i="5"/>
  <c r="BT201" i="5"/>
  <c r="BU201" i="5"/>
  <c r="BV201" i="5"/>
  <c r="BW201" i="5"/>
  <c r="BX201" i="5"/>
  <c r="BY201" i="5"/>
  <c r="BZ201" i="5"/>
  <c r="CA201" i="5"/>
  <c r="CB201" i="5"/>
  <c r="CC201" i="5"/>
  <c r="CD201" i="5"/>
  <c r="CE201" i="5"/>
  <c r="CF201" i="5"/>
  <c r="CG201" i="5"/>
  <c r="CH201" i="5"/>
  <c r="CI201" i="5"/>
  <c r="CJ201" i="5"/>
  <c r="CK201" i="5"/>
  <c r="CL201" i="5"/>
  <c r="BD202" i="5"/>
  <c r="BE202" i="5"/>
  <c r="BF202" i="5"/>
  <c r="BG202" i="5"/>
  <c r="BH202" i="5"/>
  <c r="BI202" i="5"/>
  <c r="BJ202" i="5"/>
  <c r="BK202" i="5"/>
  <c r="BL202" i="5"/>
  <c r="BM202" i="5"/>
  <c r="BN202" i="5"/>
  <c r="BO202" i="5"/>
  <c r="BP202" i="5"/>
  <c r="BQ202" i="5"/>
  <c r="BR202" i="5"/>
  <c r="BS202" i="5"/>
  <c r="BT202" i="5"/>
  <c r="BU202" i="5"/>
  <c r="BV202" i="5"/>
  <c r="BW202" i="5"/>
  <c r="BX202" i="5"/>
  <c r="BY202" i="5"/>
  <c r="BZ202" i="5"/>
  <c r="CA202" i="5"/>
  <c r="CB202" i="5"/>
  <c r="CC202" i="5"/>
  <c r="CD202" i="5"/>
  <c r="CE202" i="5"/>
  <c r="CF202" i="5"/>
  <c r="CG202" i="5"/>
  <c r="CH202" i="5"/>
  <c r="CI202" i="5"/>
  <c r="CJ202" i="5"/>
  <c r="CK202" i="5"/>
  <c r="CL202" i="5"/>
  <c r="BD203" i="5"/>
  <c r="BE203" i="5"/>
  <c r="BF203" i="5"/>
  <c r="BG203" i="5"/>
  <c r="BH203" i="5"/>
  <c r="BI203" i="5"/>
  <c r="BJ203" i="5"/>
  <c r="BK203" i="5"/>
  <c r="BL203" i="5"/>
  <c r="BM203" i="5"/>
  <c r="BN203" i="5"/>
  <c r="BO203" i="5"/>
  <c r="BP203" i="5"/>
  <c r="BQ203" i="5"/>
  <c r="BR203" i="5"/>
  <c r="BS203" i="5"/>
  <c r="BT203" i="5"/>
  <c r="BU203" i="5"/>
  <c r="BV203" i="5"/>
  <c r="BW203" i="5"/>
  <c r="BX203" i="5"/>
  <c r="BY203" i="5"/>
  <c r="BZ203" i="5"/>
  <c r="CA203" i="5"/>
  <c r="CB203" i="5"/>
  <c r="CC203" i="5"/>
  <c r="CD203" i="5"/>
  <c r="CE203" i="5"/>
  <c r="CF203" i="5"/>
  <c r="CG203" i="5"/>
  <c r="CH203" i="5"/>
  <c r="CI203" i="5"/>
  <c r="CJ203" i="5"/>
  <c r="CK203" i="5"/>
  <c r="CL203" i="5"/>
  <c r="BD204" i="5"/>
  <c r="BE204" i="5"/>
  <c r="BF204" i="5"/>
  <c r="BG204" i="5"/>
  <c r="BH204" i="5"/>
  <c r="BI204" i="5"/>
  <c r="BJ204" i="5"/>
  <c r="BK204" i="5"/>
  <c r="BL204" i="5"/>
  <c r="BM204" i="5"/>
  <c r="BN204" i="5"/>
  <c r="BO204" i="5"/>
  <c r="BP204" i="5"/>
  <c r="BQ204" i="5"/>
  <c r="BR204" i="5"/>
  <c r="BS204" i="5"/>
  <c r="BT204" i="5"/>
  <c r="BU204" i="5"/>
  <c r="BV204" i="5"/>
  <c r="BW204" i="5"/>
  <c r="BX204" i="5"/>
  <c r="BY204" i="5"/>
  <c r="BZ204" i="5"/>
  <c r="CA204" i="5"/>
  <c r="CB204" i="5"/>
  <c r="CC204" i="5"/>
  <c r="CD204" i="5"/>
  <c r="CE204" i="5"/>
  <c r="CF204" i="5"/>
  <c r="CG204" i="5"/>
  <c r="CH204" i="5"/>
  <c r="CI204" i="5"/>
  <c r="CJ204" i="5"/>
  <c r="CK204" i="5"/>
  <c r="CL204" i="5"/>
  <c r="BD205" i="5"/>
  <c r="BE205" i="5"/>
  <c r="BF205" i="5"/>
  <c r="BG205" i="5"/>
  <c r="BH205" i="5"/>
  <c r="BI205" i="5"/>
  <c r="BJ205" i="5"/>
  <c r="BK205" i="5"/>
  <c r="BL205" i="5"/>
  <c r="BM205" i="5"/>
  <c r="BN205" i="5"/>
  <c r="BO205" i="5"/>
  <c r="BP205" i="5"/>
  <c r="BQ205" i="5"/>
  <c r="BR205" i="5"/>
  <c r="BS205" i="5"/>
  <c r="BT205" i="5"/>
  <c r="BU205" i="5"/>
  <c r="BV205" i="5"/>
  <c r="BW205" i="5"/>
  <c r="BX205" i="5"/>
  <c r="BY205" i="5"/>
  <c r="BZ205" i="5"/>
  <c r="CA205" i="5"/>
  <c r="CB205" i="5"/>
  <c r="CC205" i="5"/>
  <c r="CD205" i="5"/>
  <c r="CE205" i="5"/>
  <c r="CF205" i="5"/>
  <c r="CG205" i="5"/>
  <c r="CH205" i="5"/>
  <c r="CI205" i="5"/>
  <c r="CJ205" i="5"/>
  <c r="CK205" i="5"/>
  <c r="CL205" i="5"/>
  <c r="BD206" i="5"/>
  <c r="BE206" i="5"/>
  <c r="BF206" i="5"/>
  <c r="BG206" i="5"/>
  <c r="BH206" i="5"/>
  <c r="BI206" i="5"/>
  <c r="BJ206" i="5"/>
  <c r="BK206" i="5"/>
  <c r="BL206" i="5"/>
  <c r="BM206" i="5"/>
  <c r="BN206" i="5"/>
  <c r="BO206" i="5"/>
  <c r="BP206" i="5"/>
  <c r="BQ206" i="5"/>
  <c r="BR206" i="5"/>
  <c r="BS206" i="5"/>
  <c r="BT206" i="5"/>
  <c r="BU206" i="5"/>
  <c r="BV206" i="5"/>
  <c r="BW206" i="5"/>
  <c r="BX206" i="5"/>
  <c r="BY206" i="5"/>
  <c r="BZ206" i="5"/>
  <c r="CA206" i="5"/>
  <c r="CB206" i="5"/>
  <c r="CC206" i="5"/>
  <c r="CD206" i="5"/>
  <c r="CE206" i="5"/>
  <c r="CF206" i="5"/>
  <c r="CG206" i="5"/>
  <c r="CH206" i="5"/>
  <c r="CI206" i="5"/>
  <c r="CJ206" i="5"/>
  <c r="CK206" i="5"/>
  <c r="CL206" i="5"/>
  <c r="BD207" i="5"/>
  <c r="BE207" i="5"/>
  <c r="BF207" i="5"/>
  <c r="BG207" i="5"/>
  <c r="BH207" i="5"/>
  <c r="BI207" i="5"/>
  <c r="BJ207" i="5"/>
  <c r="BK207" i="5"/>
  <c r="BL207" i="5"/>
  <c r="BM207" i="5"/>
  <c r="BN207" i="5"/>
  <c r="BO207" i="5"/>
  <c r="BP207" i="5"/>
  <c r="BQ207" i="5"/>
  <c r="BR207" i="5"/>
  <c r="BS207" i="5"/>
  <c r="BT207" i="5"/>
  <c r="BU207" i="5"/>
  <c r="BV207" i="5"/>
  <c r="BW207" i="5"/>
  <c r="BX207" i="5"/>
  <c r="BY207" i="5"/>
  <c r="BZ207" i="5"/>
  <c r="CA207" i="5"/>
  <c r="CB207" i="5"/>
  <c r="CC207" i="5"/>
  <c r="CD207" i="5"/>
  <c r="CE207" i="5"/>
  <c r="CF207" i="5"/>
  <c r="CG207" i="5"/>
  <c r="CH207" i="5"/>
  <c r="CI207" i="5"/>
  <c r="CJ207" i="5"/>
  <c r="CK207" i="5"/>
  <c r="CL207" i="5"/>
  <c r="BD208" i="5"/>
  <c r="BE208" i="5"/>
  <c r="BF208" i="5"/>
  <c r="BG208" i="5"/>
  <c r="BH208" i="5"/>
  <c r="BI208" i="5"/>
  <c r="BJ208" i="5"/>
  <c r="BK208" i="5"/>
  <c r="BL208" i="5"/>
  <c r="BM208" i="5"/>
  <c r="BN208" i="5"/>
  <c r="BO208" i="5"/>
  <c r="BP208" i="5"/>
  <c r="BQ208" i="5"/>
  <c r="BR208" i="5"/>
  <c r="BS208" i="5"/>
  <c r="BT208" i="5"/>
  <c r="BU208" i="5"/>
  <c r="BV208" i="5"/>
  <c r="BW208" i="5"/>
  <c r="BX208" i="5"/>
  <c r="BY208" i="5"/>
  <c r="BZ208" i="5"/>
  <c r="CA208" i="5"/>
  <c r="CB208" i="5"/>
  <c r="CC208" i="5"/>
  <c r="CD208" i="5"/>
  <c r="CE208" i="5"/>
  <c r="CF208" i="5"/>
  <c r="CG208" i="5"/>
  <c r="CH208" i="5"/>
  <c r="CI208" i="5"/>
  <c r="CJ208" i="5"/>
  <c r="CK208" i="5"/>
  <c r="CL208" i="5"/>
  <c r="BD209" i="5"/>
  <c r="BE209" i="5"/>
  <c r="BF209" i="5"/>
  <c r="BG209" i="5"/>
  <c r="BH209" i="5"/>
  <c r="BI209" i="5"/>
  <c r="BJ209" i="5"/>
  <c r="BK209" i="5"/>
  <c r="BL209" i="5"/>
  <c r="BM209" i="5"/>
  <c r="BN209" i="5"/>
  <c r="BO209" i="5"/>
  <c r="BP209" i="5"/>
  <c r="BQ209" i="5"/>
  <c r="BR209" i="5"/>
  <c r="BS209" i="5"/>
  <c r="BT209" i="5"/>
  <c r="BU209" i="5"/>
  <c r="BV209" i="5"/>
  <c r="BW209" i="5"/>
  <c r="BX209" i="5"/>
  <c r="BY209" i="5"/>
  <c r="BZ209" i="5"/>
  <c r="CA209" i="5"/>
  <c r="CB209" i="5"/>
  <c r="CC209" i="5"/>
  <c r="CD209" i="5"/>
  <c r="CE209" i="5"/>
  <c r="CF209" i="5"/>
  <c r="CG209" i="5"/>
  <c r="CH209" i="5"/>
  <c r="CI209" i="5"/>
  <c r="CJ209" i="5"/>
  <c r="CK209" i="5"/>
  <c r="CL209" i="5"/>
  <c r="BD210" i="5"/>
  <c r="BE210" i="5"/>
  <c r="BF210" i="5"/>
  <c r="BG210" i="5"/>
  <c r="BH210" i="5"/>
  <c r="BI210" i="5"/>
  <c r="BJ210" i="5"/>
  <c r="BK210" i="5"/>
  <c r="BL210" i="5"/>
  <c r="BM210" i="5"/>
  <c r="BN210" i="5"/>
  <c r="BO210" i="5"/>
  <c r="BP210" i="5"/>
  <c r="BQ210" i="5"/>
  <c r="BR210" i="5"/>
  <c r="BS210" i="5"/>
  <c r="BT210" i="5"/>
  <c r="BU210" i="5"/>
  <c r="BV210" i="5"/>
  <c r="BW210" i="5"/>
  <c r="BX210" i="5"/>
  <c r="BY210" i="5"/>
  <c r="BZ210" i="5"/>
  <c r="CA210" i="5"/>
  <c r="CB210" i="5"/>
  <c r="CC210" i="5"/>
  <c r="CD210" i="5"/>
  <c r="CE210" i="5"/>
  <c r="CF210" i="5"/>
  <c r="CG210" i="5"/>
  <c r="CH210" i="5"/>
  <c r="CI210" i="5"/>
  <c r="CJ210" i="5"/>
  <c r="CK210" i="5"/>
  <c r="CL210" i="5"/>
  <c r="BD211" i="5"/>
  <c r="BE211" i="5"/>
  <c r="BF211" i="5"/>
  <c r="BG211" i="5"/>
  <c r="BH211" i="5"/>
  <c r="BI211" i="5"/>
  <c r="BJ211" i="5"/>
  <c r="BK211" i="5"/>
  <c r="BL211" i="5"/>
  <c r="BM211" i="5"/>
  <c r="BN211" i="5"/>
  <c r="BO211" i="5"/>
  <c r="BP211" i="5"/>
  <c r="BQ211" i="5"/>
  <c r="BR211" i="5"/>
  <c r="BS211" i="5"/>
  <c r="BT211" i="5"/>
  <c r="BU211" i="5"/>
  <c r="BV211" i="5"/>
  <c r="BW211" i="5"/>
  <c r="BX211" i="5"/>
  <c r="BY211" i="5"/>
  <c r="BZ211" i="5"/>
  <c r="CA211" i="5"/>
  <c r="CB211" i="5"/>
  <c r="CC211" i="5"/>
  <c r="CD211" i="5"/>
  <c r="CE211" i="5"/>
  <c r="CF211" i="5"/>
  <c r="CG211" i="5"/>
  <c r="CH211" i="5"/>
  <c r="CI211" i="5"/>
  <c r="CJ211" i="5"/>
  <c r="CK211" i="5"/>
  <c r="CL211" i="5"/>
  <c r="BD212" i="5"/>
  <c r="BE212" i="5"/>
  <c r="BF212" i="5"/>
  <c r="BG212" i="5"/>
  <c r="BH212" i="5"/>
  <c r="BI212" i="5"/>
  <c r="BJ212" i="5"/>
  <c r="BK212" i="5"/>
  <c r="BL212" i="5"/>
  <c r="BM212" i="5"/>
  <c r="BN212" i="5"/>
  <c r="BO212" i="5"/>
  <c r="BP212" i="5"/>
  <c r="BQ212" i="5"/>
  <c r="BR212" i="5"/>
  <c r="BS212" i="5"/>
  <c r="BT212" i="5"/>
  <c r="BU212" i="5"/>
  <c r="BV212" i="5"/>
  <c r="BW212" i="5"/>
  <c r="BX212" i="5"/>
  <c r="BY212" i="5"/>
  <c r="BZ212" i="5"/>
  <c r="CA212" i="5"/>
  <c r="CB212" i="5"/>
  <c r="CC212" i="5"/>
  <c r="CD212" i="5"/>
  <c r="CE212" i="5"/>
  <c r="CF212" i="5"/>
  <c r="CG212" i="5"/>
  <c r="CH212" i="5"/>
  <c r="CI212" i="5"/>
  <c r="CJ212" i="5"/>
  <c r="CK212" i="5"/>
  <c r="CL212" i="5"/>
  <c r="BD213" i="5"/>
  <c r="BE213" i="5"/>
  <c r="BF213" i="5"/>
  <c r="BG213" i="5"/>
  <c r="BH213" i="5"/>
  <c r="BI213" i="5"/>
  <c r="BJ213" i="5"/>
  <c r="BK213" i="5"/>
  <c r="BL213" i="5"/>
  <c r="BM213" i="5"/>
  <c r="BN213" i="5"/>
  <c r="BO213" i="5"/>
  <c r="BP213" i="5"/>
  <c r="BQ213" i="5"/>
  <c r="BR213" i="5"/>
  <c r="BS213" i="5"/>
  <c r="BT213" i="5"/>
  <c r="BU213" i="5"/>
  <c r="BV213" i="5"/>
  <c r="BW213" i="5"/>
  <c r="BX213" i="5"/>
  <c r="BY213" i="5"/>
  <c r="BZ213" i="5"/>
  <c r="CA213" i="5"/>
  <c r="CB213" i="5"/>
  <c r="CC213" i="5"/>
  <c r="CD213" i="5"/>
  <c r="CE213" i="5"/>
  <c r="CF213" i="5"/>
  <c r="CG213" i="5"/>
  <c r="CH213" i="5"/>
  <c r="CI213" i="5"/>
  <c r="CJ213" i="5"/>
  <c r="CK213" i="5"/>
  <c r="CL213" i="5"/>
  <c r="BD214" i="5"/>
  <c r="BE214" i="5"/>
  <c r="BF214" i="5"/>
  <c r="BG214" i="5"/>
  <c r="BH214" i="5"/>
  <c r="BI214" i="5"/>
  <c r="BJ214" i="5"/>
  <c r="BK214" i="5"/>
  <c r="BL214" i="5"/>
  <c r="BM214" i="5"/>
  <c r="BN214" i="5"/>
  <c r="BO214" i="5"/>
  <c r="BP214" i="5"/>
  <c r="BQ214" i="5"/>
  <c r="BR214" i="5"/>
  <c r="BS214" i="5"/>
  <c r="BT214" i="5"/>
  <c r="BU214" i="5"/>
  <c r="BV214" i="5"/>
  <c r="BW214" i="5"/>
  <c r="BX214" i="5"/>
  <c r="BY214" i="5"/>
  <c r="BZ214" i="5"/>
  <c r="CA214" i="5"/>
  <c r="CB214" i="5"/>
  <c r="CC214" i="5"/>
  <c r="CD214" i="5"/>
  <c r="CE214" i="5"/>
  <c r="CF214" i="5"/>
  <c r="CG214" i="5"/>
  <c r="CH214" i="5"/>
  <c r="CI214" i="5"/>
  <c r="CJ214" i="5"/>
  <c r="CK214" i="5"/>
  <c r="CL214" i="5"/>
  <c r="BD215" i="5"/>
  <c r="BE215" i="5"/>
  <c r="BF215" i="5"/>
  <c r="BG215" i="5"/>
  <c r="BH215" i="5"/>
  <c r="BI215" i="5"/>
  <c r="BJ215" i="5"/>
  <c r="BK215" i="5"/>
  <c r="BL215" i="5"/>
  <c r="BM215" i="5"/>
  <c r="BN215" i="5"/>
  <c r="BO215" i="5"/>
  <c r="BP215" i="5"/>
  <c r="BQ215" i="5"/>
  <c r="BR215" i="5"/>
  <c r="BS215" i="5"/>
  <c r="BT215" i="5"/>
  <c r="BU215" i="5"/>
  <c r="BV215" i="5"/>
  <c r="BW215" i="5"/>
  <c r="BX215" i="5"/>
  <c r="BY215" i="5"/>
  <c r="BZ215" i="5"/>
  <c r="CA215" i="5"/>
  <c r="CB215" i="5"/>
  <c r="CC215" i="5"/>
  <c r="CD215" i="5"/>
  <c r="CE215" i="5"/>
  <c r="CF215" i="5"/>
  <c r="CG215" i="5"/>
  <c r="CH215" i="5"/>
  <c r="CI215" i="5"/>
  <c r="CJ215" i="5"/>
  <c r="CK215" i="5"/>
  <c r="CL215" i="5"/>
  <c r="BD216" i="5"/>
  <c r="BE216" i="5"/>
  <c r="BF216" i="5"/>
  <c r="BG216" i="5"/>
  <c r="BH216" i="5"/>
  <c r="BI216" i="5"/>
  <c r="BJ216" i="5"/>
  <c r="BK216" i="5"/>
  <c r="BL216" i="5"/>
  <c r="BM216" i="5"/>
  <c r="BN216" i="5"/>
  <c r="BO216" i="5"/>
  <c r="BP216" i="5"/>
  <c r="BQ216" i="5"/>
  <c r="BR216" i="5"/>
  <c r="BS216" i="5"/>
  <c r="BT216" i="5"/>
  <c r="BU216" i="5"/>
  <c r="BV216" i="5"/>
  <c r="BW216" i="5"/>
  <c r="BX216" i="5"/>
  <c r="BY216" i="5"/>
  <c r="BZ216" i="5"/>
  <c r="CA216" i="5"/>
  <c r="CB216" i="5"/>
  <c r="CC216" i="5"/>
  <c r="CD216" i="5"/>
  <c r="CE216" i="5"/>
  <c r="CF216" i="5"/>
  <c r="CG216" i="5"/>
  <c r="CH216" i="5"/>
  <c r="CI216" i="5"/>
  <c r="CJ216" i="5"/>
  <c r="CK216" i="5"/>
  <c r="CL216" i="5"/>
  <c r="BD217" i="5"/>
  <c r="BE217" i="5"/>
  <c r="BF217" i="5"/>
  <c r="BG217" i="5"/>
  <c r="BH217" i="5"/>
  <c r="BI217" i="5"/>
  <c r="BJ217" i="5"/>
  <c r="BK217" i="5"/>
  <c r="BL217" i="5"/>
  <c r="BM217" i="5"/>
  <c r="BN217" i="5"/>
  <c r="BO217" i="5"/>
  <c r="BP217" i="5"/>
  <c r="BQ217" i="5"/>
  <c r="BR217" i="5"/>
  <c r="BS217" i="5"/>
  <c r="BT217" i="5"/>
  <c r="BU217" i="5"/>
  <c r="BV217" i="5"/>
  <c r="BW217" i="5"/>
  <c r="BX217" i="5"/>
  <c r="BY217" i="5"/>
  <c r="BZ217" i="5"/>
  <c r="CA217" i="5"/>
  <c r="CB217" i="5"/>
  <c r="CC217" i="5"/>
  <c r="CD217" i="5"/>
  <c r="CE217" i="5"/>
  <c r="CF217" i="5"/>
  <c r="CG217" i="5"/>
  <c r="CH217" i="5"/>
  <c r="CI217" i="5"/>
  <c r="CJ217" i="5"/>
  <c r="CK217" i="5"/>
  <c r="CL217" i="5"/>
  <c r="BD218" i="5"/>
  <c r="BE218" i="5"/>
  <c r="BF218" i="5"/>
  <c r="BG218" i="5"/>
  <c r="BH218" i="5"/>
  <c r="BI218" i="5"/>
  <c r="BJ218" i="5"/>
  <c r="BK218" i="5"/>
  <c r="BL218" i="5"/>
  <c r="BM218" i="5"/>
  <c r="BN218" i="5"/>
  <c r="BO218" i="5"/>
  <c r="BP218" i="5"/>
  <c r="BQ218" i="5"/>
  <c r="BR218" i="5"/>
  <c r="BS218" i="5"/>
  <c r="BT218" i="5"/>
  <c r="BU218" i="5"/>
  <c r="BV218" i="5"/>
  <c r="BW218" i="5"/>
  <c r="BX218" i="5"/>
  <c r="BY218" i="5"/>
  <c r="BZ218" i="5"/>
  <c r="CA218" i="5"/>
  <c r="CB218" i="5"/>
  <c r="CC218" i="5"/>
  <c r="CD218" i="5"/>
  <c r="CE218" i="5"/>
  <c r="CF218" i="5"/>
  <c r="CG218" i="5"/>
  <c r="CH218" i="5"/>
  <c r="CI218" i="5"/>
  <c r="CJ218" i="5"/>
  <c r="CK218" i="5"/>
  <c r="CL218" i="5"/>
  <c r="BD219" i="5"/>
  <c r="BE219" i="5"/>
  <c r="BF219" i="5"/>
  <c r="BG219" i="5"/>
  <c r="BH219" i="5"/>
  <c r="BI219" i="5"/>
  <c r="BJ219" i="5"/>
  <c r="BK219" i="5"/>
  <c r="BL219" i="5"/>
  <c r="BM219" i="5"/>
  <c r="BN219" i="5"/>
  <c r="BO219" i="5"/>
  <c r="BP219" i="5"/>
  <c r="BQ219" i="5"/>
  <c r="BR219" i="5"/>
  <c r="BS219" i="5"/>
  <c r="BT219" i="5"/>
  <c r="BU219" i="5"/>
  <c r="BV219" i="5"/>
  <c r="BW219" i="5"/>
  <c r="BX219" i="5"/>
  <c r="BY219" i="5"/>
  <c r="BZ219" i="5"/>
  <c r="CA219" i="5"/>
  <c r="CB219" i="5"/>
  <c r="CC219" i="5"/>
  <c r="CD219" i="5"/>
  <c r="CE219" i="5"/>
  <c r="CF219" i="5"/>
  <c r="CG219" i="5"/>
  <c r="CH219" i="5"/>
  <c r="CI219" i="5"/>
  <c r="CJ219" i="5"/>
  <c r="CK219" i="5"/>
  <c r="CL219" i="5"/>
  <c r="BD220" i="5"/>
  <c r="BE220" i="5"/>
  <c r="BF220" i="5"/>
  <c r="BG220" i="5"/>
  <c r="BH220" i="5"/>
  <c r="BI220" i="5"/>
  <c r="BJ220" i="5"/>
  <c r="BK220" i="5"/>
  <c r="BL220" i="5"/>
  <c r="BM220" i="5"/>
  <c r="BN220" i="5"/>
  <c r="BO220" i="5"/>
  <c r="BP220" i="5"/>
  <c r="BQ220" i="5"/>
  <c r="BR220" i="5"/>
  <c r="BS220" i="5"/>
  <c r="BT220" i="5"/>
  <c r="BU220" i="5"/>
  <c r="BV220" i="5"/>
  <c r="BW220" i="5"/>
  <c r="BX220" i="5"/>
  <c r="BY220" i="5"/>
  <c r="BZ220" i="5"/>
  <c r="CA220" i="5"/>
  <c r="CB220" i="5"/>
  <c r="CC220" i="5"/>
  <c r="CD220" i="5"/>
  <c r="CE220" i="5"/>
  <c r="CF220" i="5"/>
  <c r="CG220" i="5"/>
  <c r="CH220" i="5"/>
  <c r="CI220" i="5"/>
  <c r="CJ220" i="5"/>
  <c r="CK220" i="5"/>
  <c r="CL220" i="5"/>
  <c r="BD221" i="5"/>
  <c r="BE221" i="5"/>
  <c r="BF221" i="5"/>
  <c r="BG221" i="5"/>
  <c r="BH221" i="5"/>
  <c r="BI221" i="5"/>
  <c r="BJ221" i="5"/>
  <c r="BK221" i="5"/>
  <c r="BL221" i="5"/>
  <c r="BM221" i="5"/>
  <c r="BN221" i="5"/>
  <c r="BO221" i="5"/>
  <c r="BP221" i="5"/>
  <c r="BQ221" i="5"/>
  <c r="BR221" i="5"/>
  <c r="BS221" i="5"/>
  <c r="BT221" i="5"/>
  <c r="BU221" i="5"/>
  <c r="BV221" i="5"/>
  <c r="BW221" i="5"/>
  <c r="BX221" i="5"/>
  <c r="BY221" i="5"/>
  <c r="BZ221" i="5"/>
  <c r="CA221" i="5"/>
  <c r="CB221" i="5"/>
  <c r="CC221" i="5"/>
  <c r="CD221" i="5"/>
  <c r="CE221" i="5"/>
  <c r="CF221" i="5"/>
  <c r="CG221" i="5"/>
  <c r="CH221" i="5"/>
  <c r="CI221" i="5"/>
  <c r="CJ221" i="5"/>
  <c r="CK221" i="5"/>
  <c r="CL221" i="5"/>
  <c r="BD222" i="5"/>
  <c r="BE222" i="5"/>
  <c r="BF222" i="5"/>
  <c r="BG222" i="5"/>
  <c r="BH222" i="5"/>
  <c r="BI222" i="5"/>
  <c r="BJ222" i="5"/>
  <c r="BK222" i="5"/>
  <c r="BL222" i="5"/>
  <c r="BM222" i="5"/>
  <c r="BN222" i="5"/>
  <c r="BO222" i="5"/>
  <c r="BP222" i="5"/>
  <c r="BQ222" i="5"/>
  <c r="BR222" i="5"/>
  <c r="BS222" i="5"/>
  <c r="BT222" i="5"/>
  <c r="BU222" i="5"/>
  <c r="BV222" i="5"/>
  <c r="BW222" i="5"/>
  <c r="BX222" i="5"/>
  <c r="BY222" i="5"/>
  <c r="BZ222" i="5"/>
  <c r="CA222" i="5"/>
  <c r="CB222" i="5"/>
  <c r="CC222" i="5"/>
  <c r="CD222" i="5"/>
  <c r="CE222" i="5"/>
  <c r="CF222" i="5"/>
  <c r="CG222" i="5"/>
  <c r="CH222" i="5"/>
  <c r="CI222" i="5"/>
  <c r="CJ222" i="5"/>
  <c r="CK222" i="5"/>
  <c r="CL222" i="5"/>
  <c r="BD223" i="5"/>
  <c r="BE223" i="5"/>
  <c r="BF223" i="5"/>
  <c r="BG223" i="5"/>
  <c r="BH223" i="5"/>
  <c r="BI223" i="5"/>
  <c r="BJ223" i="5"/>
  <c r="BK223" i="5"/>
  <c r="BL223" i="5"/>
  <c r="BM223" i="5"/>
  <c r="BN223" i="5"/>
  <c r="BO223" i="5"/>
  <c r="BP223" i="5"/>
  <c r="BQ223" i="5"/>
  <c r="BR223" i="5"/>
  <c r="BS223" i="5"/>
  <c r="BT223" i="5"/>
  <c r="BU223" i="5"/>
  <c r="BV223" i="5"/>
  <c r="BW223" i="5"/>
  <c r="BX223" i="5"/>
  <c r="BY223" i="5"/>
  <c r="BZ223" i="5"/>
  <c r="CA223" i="5"/>
  <c r="CB223" i="5"/>
  <c r="CC223" i="5"/>
  <c r="CD223" i="5"/>
  <c r="CE223" i="5"/>
  <c r="CF223" i="5"/>
  <c r="CG223" i="5"/>
  <c r="CH223" i="5"/>
  <c r="CI223" i="5"/>
  <c r="CJ223" i="5"/>
  <c r="CK223" i="5"/>
  <c r="CL223" i="5"/>
  <c r="BD224" i="5"/>
  <c r="BE224" i="5"/>
  <c r="BF224" i="5"/>
  <c r="BG224" i="5"/>
  <c r="BH224" i="5"/>
  <c r="BI224" i="5"/>
  <c r="BJ224" i="5"/>
  <c r="BK224" i="5"/>
  <c r="BL224" i="5"/>
  <c r="BM224" i="5"/>
  <c r="BN224" i="5"/>
  <c r="BO224" i="5"/>
  <c r="BP224" i="5"/>
  <c r="BQ224" i="5"/>
  <c r="BR224" i="5"/>
  <c r="BS224" i="5"/>
  <c r="BT224" i="5"/>
  <c r="BU224" i="5"/>
  <c r="BV224" i="5"/>
  <c r="BW224" i="5"/>
  <c r="BX224" i="5"/>
  <c r="BY224" i="5"/>
  <c r="BZ224" i="5"/>
  <c r="CA224" i="5"/>
  <c r="CB224" i="5"/>
  <c r="CC224" i="5"/>
  <c r="CD224" i="5"/>
  <c r="CE224" i="5"/>
  <c r="CF224" i="5"/>
  <c r="CG224" i="5"/>
  <c r="CH224" i="5"/>
  <c r="CI224" i="5"/>
  <c r="CJ224" i="5"/>
  <c r="CK224" i="5"/>
  <c r="CL224" i="5"/>
  <c r="BD225" i="5"/>
  <c r="BE225" i="5"/>
  <c r="BF225" i="5"/>
  <c r="BG225" i="5"/>
  <c r="BH225" i="5"/>
  <c r="BI225" i="5"/>
  <c r="BJ225" i="5"/>
  <c r="BK225" i="5"/>
  <c r="BL225" i="5"/>
  <c r="BM225" i="5"/>
  <c r="BN225" i="5"/>
  <c r="BO225" i="5"/>
  <c r="BP225" i="5"/>
  <c r="BQ225" i="5"/>
  <c r="BR225" i="5"/>
  <c r="BS225" i="5"/>
  <c r="BT225" i="5"/>
  <c r="BU225" i="5"/>
  <c r="BV225" i="5"/>
  <c r="BW225" i="5"/>
  <c r="BX225" i="5"/>
  <c r="BY225" i="5"/>
  <c r="BZ225" i="5"/>
  <c r="CA225" i="5"/>
  <c r="CB225" i="5"/>
  <c r="CC225" i="5"/>
  <c r="CD225" i="5"/>
  <c r="CE225" i="5"/>
  <c r="CF225" i="5"/>
  <c r="CG225" i="5"/>
  <c r="CH225" i="5"/>
  <c r="CI225" i="5"/>
  <c r="CJ225" i="5"/>
  <c r="CK225" i="5"/>
  <c r="CL225" i="5"/>
  <c r="BD226" i="5"/>
  <c r="BE226" i="5"/>
  <c r="BF226" i="5"/>
  <c r="BG226" i="5"/>
  <c r="BH226" i="5"/>
  <c r="BI226" i="5"/>
  <c r="BJ226" i="5"/>
  <c r="BK226" i="5"/>
  <c r="BL226" i="5"/>
  <c r="BM226" i="5"/>
  <c r="BN226" i="5"/>
  <c r="BO226" i="5"/>
  <c r="BP226" i="5"/>
  <c r="BQ226" i="5"/>
  <c r="BR226" i="5"/>
  <c r="BS226" i="5"/>
  <c r="BT226" i="5"/>
  <c r="BU226" i="5"/>
  <c r="BV226" i="5"/>
  <c r="BW226" i="5"/>
  <c r="BX226" i="5"/>
  <c r="BY226" i="5"/>
  <c r="BZ226" i="5"/>
  <c r="CA226" i="5"/>
  <c r="CB226" i="5"/>
  <c r="CC226" i="5"/>
  <c r="CD226" i="5"/>
  <c r="CE226" i="5"/>
  <c r="CF226" i="5"/>
  <c r="CG226" i="5"/>
  <c r="CH226" i="5"/>
  <c r="CI226" i="5"/>
  <c r="CJ226" i="5"/>
  <c r="CK226" i="5"/>
  <c r="CL226" i="5"/>
  <c r="BD227" i="5"/>
  <c r="BE227" i="5"/>
  <c r="BF227" i="5"/>
  <c r="BG227" i="5"/>
  <c r="BH227" i="5"/>
  <c r="BI227" i="5"/>
  <c r="BJ227" i="5"/>
  <c r="BK227" i="5"/>
  <c r="BL227" i="5"/>
  <c r="BM227" i="5"/>
  <c r="BN227" i="5"/>
  <c r="BO227" i="5"/>
  <c r="BP227" i="5"/>
  <c r="BQ227" i="5"/>
  <c r="BR227" i="5"/>
  <c r="BS227" i="5"/>
  <c r="BT227" i="5"/>
  <c r="BU227" i="5"/>
  <c r="BV227" i="5"/>
  <c r="BW227" i="5"/>
  <c r="BX227" i="5"/>
  <c r="BY227" i="5"/>
  <c r="BZ227" i="5"/>
  <c r="CA227" i="5"/>
  <c r="CB227" i="5"/>
  <c r="CC227" i="5"/>
  <c r="CD227" i="5"/>
  <c r="CE227" i="5"/>
  <c r="CF227" i="5"/>
  <c r="CG227" i="5"/>
  <c r="CH227" i="5"/>
  <c r="CI227" i="5"/>
  <c r="CJ227" i="5"/>
  <c r="CK227" i="5"/>
  <c r="CL227" i="5"/>
  <c r="BD228" i="5"/>
  <c r="BE228" i="5"/>
  <c r="BF228" i="5"/>
  <c r="BG228" i="5"/>
  <c r="BH228" i="5"/>
  <c r="BI228" i="5"/>
  <c r="BJ228" i="5"/>
  <c r="BK228" i="5"/>
  <c r="BL228" i="5"/>
  <c r="BM228" i="5"/>
  <c r="BN228" i="5"/>
  <c r="BO228" i="5"/>
  <c r="BP228" i="5"/>
  <c r="BQ228" i="5"/>
  <c r="BR228" i="5"/>
  <c r="BS228" i="5"/>
  <c r="BT228" i="5"/>
  <c r="BU228" i="5"/>
  <c r="BV228" i="5"/>
  <c r="BW228" i="5"/>
  <c r="BX228" i="5"/>
  <c r="BY228" i="5"/>
  <c r="BZ228" i="5"/>
  <c r="CA228" i="5"/>
  <c r="CB228" i="5"/>
  <c r="CC228" i="5"/>
  <c r="CD228" i="5"/>
  <c r="CE228" i="5"/>
  <c r="CF228" i="5"/>
  <c r="CG228" i="5"/>
  <c r="CH228" i="5"/>
  <c r="CI228" i="5"/>
  <c r="CJ228" i="5"/>
  <c r="CK228" i="5"/>
  <c r="CL228" i="5"/>
  <c r="BD229" i="5"/>
  <c r="BE229" i="5"/>
  <c r="BF229" i="5"/>
  <c r="BG229" i="5"/>
  <c r="BH229" i="5"/>
  <c r="BI229" i="5"/>
  <c r="BJ229" i="5"/>
  <c r="BK229" i="5"/>
  <c r="BL229" i="5"/>
  <c r="BM229" i="5"/>
  <c r="BN229" i="5"/>
  <c r="BO229" i="5"/>
  <c r="BP229" i="5"/>
  <c r="BQ229" i="5"/>
  <c r="BR229" i="5"/>
  <c r="BS229" i="5"/>
  <c r="BT229" i="5"/>
  <c r="BU229" i="5"/>
  <c r="BV229" i="5"/>
  <c r="BW229" i="5"/>
  <c r="BX229" i="5"/>
  <c r="BY229" i="5"/>
  <c r="BZ229" i="5"/>
  <c r="CA229" i="5"/>
  <c r="CB229" i="5"/>
  <c r="CC229" i="5"/>
  <c r="CD229" i="5"/>
  <c r="CE229" i="5"/>
  <c r="CF229" i="5"/>
  <c r="CG229" i="5"/>
  <c r="CH229" i="5"/>
  <c r="CI229" i="5"/>
  <c r="CJ229" i="5"/>
  <c r="CK229" i="5"/>
  <c r="CL229" i="5"/>
  <c r="BD230" i="5"/>
  <c r="BE230" i="5"/>
  <c r="BF230" i="5"/>
  <c r="BG230" i="5"/>
  <c r="BH230" i="5"/>
  <c r="BI230" i="5"/>
  <c r="BJ230" i="5"/>
  <c r="BK230" i="5"/>
  <c r="BL230" i="5"/>
  <c r="BM230" i="5"/>
  <c r="BN230" i="5"/>
  <c r="BO230" i="5"/>
  <c r="BP230" i="5"/>
  <c r="BQ230" i="5"/>
  <c r="BR230" i="5"/>
  <c r="BS230" i="5"/>
  <c r="BT230" i="5"/>
  <c r="BU230" i="5"/>
  <c r="BV230" i="5"/>
  <c r="BW230" i="5"/>
  <c r="BX230" i="5"/>
  <c r="BY230" i="5"/>
  <c r="BZ230" i="5"/>
  <c r="CA230" i="5"/>
  <c r="CB230" i="5"/>
  <c r="CC230" i="5"/>
  <c r="CD230" i="5"/>
  <c r="CE230" i="5"/>
  <c r="CF230" i="5"/>
  <c r="CG230" i="5"/>
  <c r="CH230" i="5"/>
  <c r="CI230" i="5"/>
  <c r="CJ230" i="5"/>
  <c r="CK230" i="5"/>
  <c r="CL230" i="5"/>
  <c r="BD231" i="5"/>
  <c r="BE231" i="5"/>
  <c r="BF231" i="5"/>
  <c r="BG231" i="5"/>
  <c r="BH231" i="5"/>
  <c r="BI231" i="5"/>
  <c r="BJ231" i="5"/>
  <c r="BK231" i="5"/>
  <c r="BL231" i="5"/>
  <c r="BM231" i="5"/>
  <c r="BN231" i="5"/>
  <c r="BO231" i="5"/>
  <c r="BP231" i="5"/>
  <c r="BQ231" i="5"/>
  <c r="BR231" i="5"/>
  <c r="BS231" i="5"/>
  <c r="BT231" i="5"/>
  <c r="BU231" i="5"/>
  <c r="BV231" i="5"/>
  <c r="BW231" i="5"/>
  <c r="BX231" i="5"/>
  <c r="BY231" i="5"/>
  <c r="BZ231" i="5"/>
  <c r="CA231" i="5"/>
  <c r="CB231" i="5"/>
  <c r="CC231" i="5"/>
  <c r="CD231" i="5"/>
  <c r="CE231" i="5"/>
  <c r="CF231" i="5"/>
  <c r="CG231" i="5"/>
  <c r="CH231" i="5"/>
  <c r="CI231" i="5"/>
  <c r="CJ231" i="5"/>
  <c r="CK231" i="5"/>
  <c r="CL231" i="5"/>
  <c r="BD232" i="5"/>
  <c r="BE232" i="5"/>
  <c r="BF232" i="5"/>
  <c r="BG232" i="5"/>
  <c r="BH232" i="5"/>
  <c r="BI232" i="5"/>
  <c r="BJ232" i="5"/>
  <c r="BK232" i="5"/>
  <c r="BL232" i="5"/>
  <c r="BM232" i="5"/>
  <c r="BN232" i="5"/>
  <c r="BO232" i="5"/>
  <c r="BP232" i="5"/>
  <c r="BQ232" i="5"/>
  <c r="BR232" i="5"/>
  <c r="BS232" i="5"/>
  <c r="BT232" i="5"/>
  <c r="BU232" i="5"/>
  <c r="BV232" i="5"/>
  <c r="BW232" i="5"/>
  <c r="BX232" i="5"/>
  <c r="BY232" i="5"/>
  <c r="BZ232" i="5"/>
  <c r="CA232" i="5"/>
  <c r="CB232" i="5"/>
  <c r="CC232" i="5"/>
  <c r="CD232" i="5"/>
  <c r="CE232" i="5"/>
  <c r="CF232" i="5"/>
  <c r="CG232" i="5"/>
  <c r="CH232" i="5"/>
  <c r="CI232" i="5"/>
  <c r="CJ232" i="5"/>
  <c r="CK232" i="5"/>
  <c r="CL232" i="5"/>
  <c r="BD233" i="5"/>
  <c r="BE233" i="5"/>
  <c r="BF233" i="5"/>
  <c r="BG233" i="5"/>
  <c r="BH233" i="5"/>
  <c r="BI233" i="5"/>
  <c r="BJ233" i="5"/>
  <c r="BK233" i="5"/>
  <c r="BL233" i="5"/>
  <c r="BM233" i="5"/>
  <c r="BN233" i="5"/>
  <c r="BO233" i="5"/>
  <c r="BP233" i="5"/>
  <c r="BQ233" i="5"/>
  <c r="BR233" i="5"/>
  <c r="BS233" i="5"/>
  <c r="BT233" i="5"/>
  <c r="BU233" i="5"/>
  <c r="BV233" i="5"/>
  <c r="BW233" i="5"/>
  <c r="BX233" i="5"/>
  <c r="BY233" i="5"/>
  <c r="BZ233" i="5"/>
  <c r="CA233" i="5"/>
  <c r="CB233" i="5"/>
  <c r="CC233" i="5"/>
  <c r="CD233" i="5"/>
  <c r="CE233" i="5"/>
  <c r="CF233" i="5"/>
  <c r="CG233" i="5"/>
  <c r="CH233" i="5"/>
  <c r="CI233" i="5"/>
  <c r="CJ233" i="5"/>
  <c r="CK233" i="5"/>
  <c r="CL233" i="5"/>
  <c r="BD234" i="5"/>
  <c r="BE234" i="5"/>
  <c r="BF234" i="5"/>
  <c r="BG234" i="5"/>
  <c r="BH234" i="5"/>
  <c r="BI234" i="5"/>
  <c r="BJ234" i="5"/>
  <c r="BK234" i="5"/>
  <c r="BL234" i="5"/>
  <c r="BM234" i="5"/>
  <c r="BN234" i="5"/>
  <c r="BO234" i="5"/>
  <c r="BP234" i="5"/>
  <c r="BQ234" i="5"/>
  <c r="BR234" i="5"/>
  <c r="BS234" i="5"/>
  <c r="BT234" i="5"/>
  <c r="BU234" i="5"/>
  <c r="BV234" i="5"/>
  <c r="BW234" i="5"/>
  <c r="BX234" i="5"/>
  <c r="BY234" i="5"/>
  <c r="BZ234" i="5"/>
  <c r="CA234" i="5"/>
  <c r="CB234" i="5"/>
  <c r="CC234" i="5"/>
  <c r="CD234" i="5"/>
  <c r="CE234" i="5"/>
  <c r="CF234" i="5"/>
  <c r="CG234" i="5"/>
  <c r="CH234" i="5"/>
  <c r="CI234" i="5"/>
  <c r="CJ234" i="5"/>
  <c r="CK234" i="5"/>
  <c r="CL234" i="5"/>
  <c r="BD235" i="5"/>
  <c r="BE235" i="5"/>
  <c r="BF235" i="5"/>
  <c r="BG235" i="5"/>
  <c r="BH235" i="5"/>
  <c r="BI235" i="5"/>
  <c r="BJ235" i="5"/>
  <c r="BK235" i="5"/>
  <c r="BL235" i="5"/>
  <c r="BM235" i="5"/>
  <c r="BN235" i="5"/>
  <c r="BO235" i="5"/>
  <c r="BP235" i="5"/>
  <c r="BQ235" i="5"/>
  <c r="BR235" i="5"/>
  <c r="BS235" i="5"/>
  <c r="BT235" i="5"/>
  <c r="BU235" i="5"/>
  <c r="BV235" i="5"/>
  <c r="BW235" i="5"/>
  <c r="BX235" i="5"/>
  <c r="BY235" i="5"/>
  <c r="BZ235" i="5"/>
  <c r="CA235" i="5"/>
  <c r="CB235" i="5"/>
  <c r="CC235" i="5"/>
  <c r="CD235" i="5"/>
  <c r="CE235" i="5"/>
  <c r="CF235" i="5"/>
  <c r="CG235" i="5"/>
  <c r="CH235" i="5"/>
  <c r="CI235" i="5"/>
  <c r="CJ235" i="5"/>
  <c r="CK235" i="5"/>
  <c r="CL235" i="5"/>
  <c r="BD236" i="5"/>
  <c r="BE236" i="5"/>
  <c r="BF236" i="5"/>
  <c r="BG236" i="5"/>
  <c r="BH236" i="5"/>
  <c r="BI236" i="5"/>
  <c r="BJ236" i="5"/>
  <c r="BK236" i="5"/>
  <c r="BL236" i="5"/>
  <c r="BM236" i="5"/>
  <c r="BN236" i="5"/>
  <c r="BO236" i="5"/>
  <c r="BP236" i="5"/>
  <c r="BQ236" i="5"/>
  <c r="BR236" i="5"/>
  <c r="BS236" i="5"/>
  <c r="BT236" i="5"/>
  <c r="BU236" i="5"/>
  <c r="BV236" i="5"/>
  <c r="BW236" i="5"/>
  <c r="BX236" i="5"/>
  <c r="BY236" i="5"/>
  <c r="BZ236" i="5"/>
  <c r="CA236" i="5"/>
  <c r="CB236" i="5"/>
  <c r="CC236" i="5"/>
  <c r="CD236" i="5"/>
  <c r="CE236" i="5"/>
  <c r="CF236" i="5"/>
  <c r="CG236" i="5"/>
  <c r="CH236" i="5"/>
  <c r="CI236" i="5"/>
  <c r="CJ236" i="5"/>
  <c r="CK236" i="5"/>
  <c r="CL236" i="5"/>
  <c r="BD237" i="5"/>
  <c r="BE237" i="5"/>
  <c r="BF237" i="5"/>
  <c r="BG237" i="5"/>
  <c r="BH237" i="5"/>
  <c r="BI237" i="5"/>
  <c r="BJ237" i="5"/>
  <c r="BK237" i="5"/>
  <c r="BL237" i="5"/>
  <c r="BM237" i="5"/>
  <c r="BN237" i="5"/>
  <c r="BO237" i="5"/>
  <c r="BP237" i="5"/>
  <c r="BQ237" i="5"/>
  <c r="BR237" i="5"/>
  <c r="BS237" i="5"/>
  <c r="BT237" i="5"/>
  <c r="BU237" i="5"/>
  <c r="BV237" i="5"/>
  <c r="BW237" i="5"/>
  <c r="BX237" i="5"/>
  <c r="BY237" i="5"/>
  <c r="BZ237" i="5"/>
  <c r="CA237" i="5"/>
  <c r="CB237" i="5"/>
  <c r="CC237" i="5"/>
  <c r="CD237" i="5"/>
  <c r="CE237" i="5"/>
  <c r="CF237" i="5"/>
  <c r="CG237" i="5"/>
  <c r="CH237" i="5"/>
  <c r="CI237" i="5"/>
  <c r="CJ237" i="5"/>
  <c r="CK237" i="5"/>
  <c r="CL237" i="5"/>
  <c r="BD238" i="5"/>
  <c r="BE238" i="5"/>
  <c r="BF238" i="5"/>
  <c r="BG238" i="5"/>
  <c r="BH238" i="5"/>
  <c r="BI238" i="5"/>
  <c r="BJ238" i="5"/>
  <c r="BK238" i="5"/>
  <c r="BL238" i="5"/>
  <c r="BM238" i="5"/>
  <c r="BN238" i="5"/>
  <c r="BO238" i="5"/>
  <c r="BP238" i="5"/>
  <c r="BQ238" i="5"/>
  <c r="BR238" i="5"/>
  <c r="BS238" i="5"/>
  <c r="BT238" i="5"/>
  <c r="BU238" i="5"/>
  <c r="BV238" i="5"/>
  <c r="BW238" i="5"/>
  <c r="BX238" i="5"/>
  <c r="BY238" i="5"/>
  <c r="BZ238" i="5"/>
  <c r="CA238" i="5"/>
  <c r="CB238" i="5"/>
  <c r="CC238" i="5"/>
  <c r="CD238" i="5"/>
  <c r="CE238" i="5"/>
  <c r="CF238" i="5"/>
  <c r="CG238" i="5"/>
  <c r="CH238" i="5"/>
  <c r="CI238" i="5"/>
  <c r="CJ238" i="5"/>
  <c r="CK238" i="5"/>
  <c r="CL238" i="5"/>
  <c r="BD239" i="5"/>
  <c r="BE239" i="5"/>
  <c r="BF239" i="5"/>
  <c r="BG239" i="5"/>
  <c r="BH239" i="5"/>
  <c r="BI239" i="5"/>
  <c r="BJ239" i="5"/>
  <c r="BK239" i="5"/>
  <c r="BL239" i="5"/>
  <c r="BM239" i="5"/>
  <c r="BN239" i="5"/>
  <c r="BO239" i="5"/>
  <c r="BP239" i="5"/>
  <c r="BQ239" i="5"/>
  <c r="BR239" i="5"/>
  <c r="BS239" i="5"/>
  <c r="BT239" i="5"/>
  <c r="BU239" i="5"/>
  <c r="BV239" i="5"/>
  <c r="BW239" i="5"/>
  <c r="BX239" i="5"/>
  <c r="BY239" i="5"/>
  <c r="BZ239" i="5"/>
  <c r="CA239" i="5"/>
  <c r="CB239" i="5"/>
  <c r="CC239" i="5"/>
  <c r="CD239" i="5"/>
  <c r="CE239" i="5"/>
  <c r="CF239" i="5"/>
  <c r="CG239" i="5"/>
  <c r="CH239" i="5"/>
  <c r="CI239" i="5"/>
  <c r="CJ239" i="5"/>
  <c r="CK239" i="5"/>
  <c r="CL239" i="5"/>
  <c r="BD240" i="5"/>
  <c r="BE240" i="5"/>
  <c r="BF240" i="5"/>
  <c r="BG240" i="5"/>
  <c r="BH240" i="5"/>
  <c r="BI240" i="5"/>
  <c r="BJ240" i="5"/>
  <c r="BK240" i="5"/>
  <c r="BL240" i="5"/>
  <c r="BM240" i="5"/>
  <c r="BN240" i="5"/>
  <c r="BO240" i="5"/>
  <c r="BP240" i="5"/>
  <c r="BQ240" i="5"/>
  <c r="BR240" i="5"/>
  <c r="BS240" i="5"/>
  <c r="BT240" i="5"/>
  <c r="BU240" i="5"/>
  <c r="BV240" i="5"/>
  <c r="BW240" i="5"/>
  <c r="BX240" i="5"/>
  <c r="BY240" i="5"/>
  <c r="BZ240" i="5"/>
  <c r="CA240" i="5"/>
  <c r="CB240" i="5"/>
  <c r="CC240" i="5"/>
  <c r="CD240" i="5"/>
  <c r="CE240" i="5"/>
  <c r="CF240" i="5"/>
  <c r="CG240" i="5"/>
  <c r="CH240" i="5"/>
  <c r="CI240" i="5"/>
  <c r="CJ240" i="5"/>
  <c r="CK240" i="5"/>
  <c r="CL240" i="5"/>
  <c r="BD241" i="5"/>
  <c r="BE241" i="5"/>
  <c r="BF241" i="5"/>
  <c r="BG241" i="5"/>
  <c r="BH241" i="5"/>
  <c r="BI241" i="5"/>
  <c r="BJ241" i="5"/>
  <c r="BK241" i="5"/>
  <c r="BL241" i="5"/>
  <c r="BM241" i="5"/>
  <c r="BN241" i="5"/>
  <c r="BO241" i="5"/>
  <c r="BP241" i="5"/>
  <c r="BQ241" i="5"/>
  <c r="BR241" i="5"/>
  <c r="BS241" i="5"/>
  <c r="BT241" i="5"/>
  <c r="BU241" i="5"/>
  <c r="BV241" i="5"/>
  <c r="BW241" i="5"/>
  <c r="BX241" i="5"/>
  <c r="BY241" i="5"/>
  <c r="BZ241" i="5"/>
  <c r="CA241" i="5"/>
  <c r="CB241" i="5"/>
  <c r="CC241" i="5"/>
  <c r="CD241" i="5"/>
  <c r="CE241" i="5"/>
  <c r="CF241" i="5"/>
  <c r="CG241" i="5"/>
  <c r="CH241" i="5"/>
  <c r="CI241" i="5"/>
  <c r="CJ241" i="5"/>
  <c r="CK241" i="5"/>
  <c r="CL241" i="5"/>
  <c r="BD242" i="5"/>
  <c r="BE242" i="5"/>
  <c r="BF242" i="5"/>
  <c r="BG242" i="5"/>
  <c r="BH242" i="5"/>
  <c r="BI242" i="5"/>
  <c r="BJ242" i="5"/>
  <c r="BK242" i="5"/>
  <c r="BL242" i="5"/>
  <c r="BM242" i="5"/>
  <c r="BN242" i="5"/>
  <c r="BO242" i="5"/>
  <c r="BP242" i="5"/>
  <c r="BQ242" i="5"/>
  <c r="BR242" i="5"/>
  <c r="BS242" i="5"/>
  <c r="BT242" i="5"/>
  <c r="BU242" i="5"/>
  <c r="BV242" i="5"/>
  <c r="BW242" i="5"/>
  <c r="BX242" i="5"/>
  <c r="BY242" i="5"/>
  <c r="BZ242" i="5"/>
  <c r="CA242" i="5"/>
  <c r="CB242" i="5"/>
  <c r="CC242" i="5"/>
  <c r="CD242" i="5"/>
  <c r="CE242" i="5"/>
  <c r="CF242" i="5"/>
  <c r="CG242" i="5"/>
  <c r="CH242" i="5"/>
  <c r="CI242" i="5"/>
  <c r="CJ242" i="5"/>
  <c r="CK242" i="5"/>
  <c r="CL242" i="5"/>
  <c r="BD243" i="5"/>
  <c r="BE243" i="5"/>
  <c r="BF243" i="5"/>
  <c r="BG243" i="5"/>
  <c r="BH243" i="5"/>
  <c r="BI243" i="5"/>
  <c r="BJ243" i="5"/>
  <c r="BK243" i="5"/>
  <c r="BL243" i="5"/>
  <c r="BM243" i="5"/>
  <c r="BN243" i="5"/>
  <c r="BO243" i="5"/>
  <c r="BP243" i="5"/>
  <c r="BQ243" i="5"/>
  <c r="BR243" i="5"/>
  <c r="BS243" i="5"/>
  <c r="BT243" i="5"/>
  <c r="BU243" i="5"/>
  <c r="BV243" i="5"/>
  <c r="BW243" i="5"/>
  <c r="BX243" i="5"/>
  <c r="BY243" i="5"/>
  <c r="BZ243" i="5"/>
  <c r="CA243" i="5"/>
  <c r="CB243" i="5"/>
  <c r="CC243" i="5"/>
  <c r="CD243" i="5"/>
  <c r="CE243" i="5"/>
  <c r="CF243" i="5"/>
  <c r="CG243" i="5"/>
  <c r="CH243" i="5"/>
  <c r="CI243" i="5"/>
  <c r="CJ243" i="5"/>
  <c r="CK243" i="5"/>
  <c r="CL243" i="5"/>
  <c r="BD244" i="5"/>
  <c r="BE244" i="5"/>
  <c r="BF244" i="5"/>
  <c r="BG244" i="5"/>
  <c r="BH244" i="5"/>
  <c r="BI244" i="5"/>
  <c r="BJ244" i="5"/>
  <c r="BK244" i="5"/>
  <c r="BL244" i="5"/>
  <c r="BM244" i="5"/>
  <c r="BN244" i="5"/>
  <c r="BO244" i="5"/>
  <c r="BP244" i="5"/>
  <c r="BQ244" i="5"/>
  <c r="BR244" i="5"/>
  <c r="BS244" i="5"/>
  <c r="BT244" i="5"/>
  <c r="BU244" i="5"/>
  <c r="BV244" i="5"/>
  <c r="BW244" i="5"/>
  <c r="BX244" i="5"/>
  <c r="BY244" i="5"/>
  <c r="BZ244" i="5"/>
  <c r="CA244" i="5"/>
  <c r="CB244" i="5"/>
  <c r="CC244" i="5"/>
  <c r="CD244" i="5"/>
  <c r="CE244" i="5"/>
  <c r="CF244" i="5"/>
  <c r="CG244" i="5"/>
  <c r="CH244" i="5"/>
  <c r="CI244" i="5"/>
  <c r="CJ244" i="5"/>
  <c r="CK244" i="5"/>
  <c r="CL244" i="5"/>
  <c r="BD245" i="5"/>
  <c r="BE245" i="5"/>
  <c r="BF245" i="5"/>
  <c r="BG245" i="5"/>
  <c r="BH245" i="5"/>
  <c r="BI245" i="5"/>
  <c r="BJ245" i="5"/>
  <c r="BK245" i="5"/>
  <c r="BL245" i="5"/>
  <c r="BM245" i="5"/>
  <c r="BN245" i="5"/>
  <c r="BO245" i="5"/>
  <c r="BP245" i="5"/>
  <c r="BQ245" i="5"/>
  <c r="BR245" i="5"/>
  <c r="BS245" i="5"/>
  <c r="BT245" i="5"/>
  <c r="BU245" i="5"/>
  <c r="BV245" i="5"/>
  <c r="BW245" i="5"/>
  <c r="BX245" i="5"/>
  <c r="BY245" i="5"/>
  <c r="BZ245" i="5"/>
  <c r="CA245" i="5"/>
  <c r="CB245" i="5"/>
  <c r="CC245" i="5"/>
  <c r="CD245" i="5"/>
  <c r="CE245" i="5"/>
  <c r="CF245" i="5"/>
  <c r="CG245" i="5"/>
  <c r="CH245" i="5"/>
  <c r="CI245" i="5"/>
  <c r="CJ245" i="5"/>
  <c r="CK245" i="5"/>
  <c r="CL245" i="5"/>
  <c r="BD246" i="5"/>
  <c r="BE246" i="5"/>
  <c r="BF246" i="5"/>
  <c r="BG246" i="5"/>
  <c r="BH246" i="5"/>
  <c r="BI246" i="5"/>
  <c r="BJ246" i="5"/>
  <c r="BK246" i="5"/>
  <c r="BL246" i="5"/>
  <c r="BM246" i="5"/>
  <c r="BN246" i="5"/>
  <c r="BO246" i="5"/>
  <c r="BP246" i="5"/>
  <c r="BQ246" i="5"/>
  <c r="BR246" i="5"/>
  <c r="BS246" i="5"/>
  <c r="BT246" i="5"/>
  <c r="BU246" i="5"/>
  <c r="BV246" i="5"/>
  <c r="BW246" i="5"/>
  <c r="BX246" i="5"/>
  <c r="BY246" i="5"/>
  <c r="BZ246" i="5"/>
  <c r="CA246" i="5"/>
  <c r="CB246" i="5"/>
  <c r="CC246" i="5"/>
  <c r="CD246" i="5"/>
  <c r="CE246" i="5"/>
  <c r="CF246" i="5"/>
  <c r="CG246" i="5"/>
  <c r="CH246" i="5"/>
  <c r="CI246" i="5"/>
  <c r="CJ246" i="5"/>
  <c r="CK246" i="5"/>
  <c r="CL246" i="5"/>
  <c r="BD247" i="5"/>
  <c r="BE247" i="5"/>
  <c r="BF247" i="5"/>
  <c r="BG247" i="5"/>
  <c r="BH247" i="5"/>
  <c r="BI247" i="5"/>
  <c r="BJ247" i="5"/>
  <c r="BK247" i="5"/>
  <c r="BL247" i="5"/>
  <c r="BM247" i="5"/>
  <c r="BN247" i="5"/>
  <c r="BO247" i="5"/>
  <c r="BP247" i="5"/>
  <c r="BQ247" i="5"/>
  <c r="BR247" i="5"/>
  <c r="BS247" i="5"/>
  <c r="BT247" i="5"/>
  <c r="BU247" i="5"/>
  <c r="BV247" i="5"/>
  <c r="BW247" i="5"/>
  <c r="BX247" i="5"/>
  <c r="BY247" i="5"/>
  <c r="BZ247" i="5"/>
  <c r="CA247" i="5"/>
  <c r="CB247" i="5"/>
  <c r="CC247" i="5"/>
  <c r="CD247" i="5"/>
  <c r="CE247" i="5"/>
  <c r="CF247" i="5"/>
  <c r="CG247" i="5"/>
  <c r="CH247" i="5"/>
  <c r="CI247" i="5"/>
  <c r="CJ247" i="5"/>
  <c r="CK247" i="5"/>
  <c r="CL247" i="5"/>
  <c r="BD248" i="5"/>
  <c r="BE248" i="5"/>
  <c r="BF248" i="5"/>
  <c r="BG248" i="5"/>
  <c r="BH248" i="5"/>
  <c r="BI248" i="5"/>
  <c r="BJ248" i="5"/>
  <c r="BK248" i="5"/>
  <c r="BL248" i="5"/>
  <c r="BM248" i="5"/>
  <c r="BN248" i="5"/>
  <c r="BO248" i="5"/>
  <c r="BP248" i="5"/>
  <c r="BQ248" i="5"/>
  <c r="BR248" i="5"/>
  <c r="BS248" i="5"/>
  <c r="BT248" i="5"/>
  <c r="BU248" i="5"/>
  <c r="BV248" i="5"/>
  <c r="BW248" i="5"/>
  <c r="BX248" i="5"/>
  <c r="BY248" i="5"/>
  <c r="BZ248" i="5"/>
  <c r="CA248" i="5"/>
  <c r="CB248" i="5"/>
  <c r="CC248" i="5"/>
  <c r="CD248" i="5"/>
  <c r="CE248" i="5"/>
  <c r="CF248" i="5"/>
  <c r="CG248" i="5"/>
  <c r="CH248" i="5"/>
  <c r="CI248" i="5"/>
  <c r="CJ248" i="5"/>
  <c r="CK248" i="5"/>
  <c r="CL248" i="5"/>
  <c r="BD249" i="5"/>
  <c r="BE249" i="5"/>
  <c r="BF249" i="5"/>
  <c r="BG249" i="5"/>
  <c r="BH249" i="5"/>
  <c r="BI249" i="5"/>
  <c r="BJ249" i="5"/>
  <c r="BK249" i="5"/>
  <c r="BL249" i="5"/>
  <c r="BM249" i="5"/>
  <c r="BN249" i="5"/>
  <c r="BO249" i="5"/>
  <c r="BP249" i="5"/>
  <c r="BQ249" i="5"/>
  <c r="BR249" i="5"/>
  <c r="BS249" i="5"/>
  <c r="BT249" i="5"/>
  <c r="BU249" i="5"/>
  <c r="BV249" i="5"/>
  <c r="BW249" i="5"/>
  <c r="BX249" i="5"/>
  <c r="BY249" i="5"/>
  <c r="BZ249" i="5"/>
  <c r="CA249" i="5"/>
  <c r="CB249" i="5"/>
  <c r="CC249" i="5"/>
  <c r="CD249" i="5"/>
  <c r="CE249" i="5"/>
  <c r="CF249" i="5"/>
  <c r="CG249" i="5"/>
  <c r="CH249" i="5"/>
  <c r="CI249" i="5"/>
  <c r="CJ249" i="5"/>
  <c r="CK249" i="5"/>
  <c r="CL249" i="5"/>
  <c r="BD250" i="5"/>
  <c r="BE250" i="5"/>
  <c r="BF250" i="5"/>
  <c r="BG250" i="5"/>
  <c r="BH250" i="5"/>
  <c r="BI250" i="5"/>
  <c r="BJ250" i="5"/>
  <c r="BK250" i="5"/>
  <c r="BL250" i="5"/>
  <c r="BM250" i="5"/>
  <c r="BN250" i="5"/>
  <c r="BO250" i="5"/>
  <c r="BP250" i="5"/>
  <c r="BQ250" i="5"/>
  <c r="BR250" i="5"/>
  <c r="BS250" i="5"/>
  <c r="BT250" i="5"/>
  <c r="BU250" i="5"/>
  <c r="BV250" i="5"/>
  <c r="BW250" i="5"/>
  <c r="BX250" i="5"/>
  <c r="BY250" i="5"/>
  <c r="BZ250" i="5"/>
  <c r="CA250" i="5"/>
  <c r="CB250" i="5"/>
  <c r="CC250" i="5"/>
  <c r="CD250" i="5"/>
  <c r="CE250" i="5"/>
  <c r="CF250" i="5"/>
  <c r="CG250" i="5"/>
  <c r="CH250" i="5"/>
  <c r="CI250" i="5"/>
  <c r="CJ250" i="5"/>
  <c r="CK250" i="5"/>
  <c r="CL250" i="5"/>
  <c r="BD251" i="5"/>
  <c r="BE251" i="5"/>
  <c r="BF251" i="5"/>
  <c r="BG251" i="5"/>
  <c r="BH251" i="5"/>
  <c r="BI251" i="5"/>
  <c r="BJ251" i="5"/>
  <c r="BK251" i="5"/>
  <c r="BL251" i="5"/>
  <c r="BM251" i="5"/>
  <c r="BN251" i="5"/>
  <c r="BO251" i="5"/>
  <c r="BP251" i="5"/>
  <c r="BQ251" i="5"/>
  <c r="BR251" i="5"/>
  <c r="BS251" i="5"/>
  <c r="BT251" i="5"/>
  <c r="BU251" i="5"/>
  <c r="BV251" i="5"/>
  <c r="BW251" i="5"/>
  <c r="BX251" i="5"/>
  <c r="BY251" i="5"/>
  <c r="BZ251" i="5"/>
  <c r="CA251" i="5"/>
  <c r="CB251" i="5"/>
  <c r="CC251" i="5"/>
  <c r="CD251" i="5"/>
  <c r="CE251" i="5"/>
  <c r="CF251" i="5"/>
  <c r="CG251" i="5"/>
  <c r="CH251" i="5"/>
  <c r="CI251" i="5"/>
  <c r="CJ251" i="5"/>
  <c r="CK251" i="5"/>
  <c r="CL251" i="5"/>
  <c r="BD252" i="5"/>
  <c r="BE252" i="5"/>
  <c r="BF252" i="5"/>
  <c r="BG252" i="5"/>
  <c r="BH252" i="5"/>
  <c r="BI252" i="5"/>
  <c r="BJ252" i="5"/>
  <c r="BK252" i="5"/>
  <c r="BL252" i="5"/>
  <c r="BM252" i="5"/>
  <c r="BN252" i="5"/>
  <c r="BO252" i="5"/>
  <c r="BP252" i="5"/>
  <c r="BQ252" i="5"/>
  <c r="BR252" i="5"/>
  <c r="BS252" i="5"/>
  <c r="BT252" i="5"/>
  <c r="BU252" i="5"/>
  <c r="BV252" i="5"/>
  <c r="BW252" i="5"/>
  <c r="BX252" i="5"/>
  <c r="BY252" i="5"/>
  <c r="BZ252" i="5"/>
  <c r="CA252" i="5"/>
  <c r="CB252" i="5"/>
  <c r="CC252" i="5"/>
  <c r="CD252" i="5"/>
  <c r="CE252" i="5"/>
  <c r="CF252" i="5"/>
  <c r="CG252" i="5"/>
  <c r="CH252" i="5"/>
  <c r="CI252" i="5"/>
  <c r="CJ252" i="5"/>
  <c r="CK252" i="5"/>
  <c r="CL252" i="5"/>
  <c r="BD253" i="5"/>
  <c r="BE253" i="5"/>
  <c r="BF253" i="5"/>
  <c r="BG253" i="5"/>
  <c r="BH253" i="5"/>
  <c r="BI253" i="5"/>
  <c r="BJ253" i="5"/>
  <c r="BK253" i="5"/>
  <c r="BL253" i="5"/>
  <c r="BM253" i="5"/>
  <c r="BN253" i="5"/>
  <c r="BO253" i="5"/>
  <c r="BP253" i="5"/>
  <c r="BQ253" i="5"/>
  <c r="BR253" i="5"/>
  <c r="BS253" i="5"/>
  <c r="BT253" i="5"/>
  <c r="BU253" i="5"/>
  <c r="BV253" i="5"/>
  <c r="BW253" i="5"/>
  <c r="BX253" i="5"/>
  <c r="BY253" i="5"/>
  <c r="BZ253" i="5"/>
  <c r="CA253" i="5"/>
  <c r="CB253" i="5"/>
  <c r="CC253" i="5"/>
  <c r="CD253" i="5"/>
  <c r="CE253" i="5"/>
  <c r="CF253" i="5"/>
  <c r="CG253" i="5"/>
  <c r="CH253" i="5"/>
  <c r="CI253" i="5"/>
  <c r="CJ253" i="5"/>
  <c r="CK253" i="5"/>
  <c r="CL253" i="5"/>
  <c r="BD254" i="5"/>
  <c r="BE254" i="5"/>
  <c r="BF254" i="5"/>
  <c r="BG254" i="5"/>
  <c r="BH254" i="5"/>
  <c r="BI254" i="5"/>
  <c r="BJ254" i="5"/>
  <c r="BK254" i="5"/>
  <c r="BL254" i="5"/>
  <c r="BM254" i="5"/>
  <c r="BN254" i="5"/>
  <c r="BO254" i="5"/>
  <c r="BP254" i="5"/>
  <c r="BQ254" i="5"/>
  <c r="BR254" i="5"/>
  <c r="BS254" i="5"/>
  <c r="BT254" i="5"/>
  <c r="BU254" i="5"/>
  <c r="BV254" i="5"/>
  <c r="BW254" i="5"/>
  <c r="BX254" i="5"/>
  <c r="BY254" i="5"/>
  <c r="BZ254" i="5"/>
  <c r="CA254" i="5"/>
  <c r="CB254" i="5"/>
  <c r="CC254" i="5"/>
  <c r="CD254" i="5"/>
  <c r="CE254" i="5"/>
  <c r="CF254" i="5"/>
  <c r="CG254" i="5"/>
  <c r="CH254" i="5"/>
  <c r="CI254" i="5"/>
  <c r="CJ254" i="5"/>
  <c r="CK254" i="5"/>
  <c r="CL254" i="5"/>
  <c r="BD255" i="5"/>
  <c r="BE255" i="5"/>
  <c r="BF255" i="5"/>
  <c r="BG255" i="5"/>
  <c r="BH255" i="5"/>
  <c r="BI255" i="5"/>
  <c r="BJ255" i="5"/>
  <c r="BK255" i="5"/>
  <c r="BL255" i="5"/>
  <c r="BM255" i="5"/>
  <c r="BN255" i="5"/>
  <c r="BO255" i="5"/>
  <c r="BP255" i="5"/>
  <c r="BQ255" i="5"/>
  <c r="BR255" i="5"/>
  <c r="BS255" i="5"/>
  <c r="BT255" i="5"/>
  <c r="BU255" i="5"/>
  <c r="BV255" i="5"/>
  <c r="BW255" i="5"/>
  <c r="BX255" i="5"/>
  <c r="BY255" i="5"/>
  <c r="BZ255" i="5"/>
  <c r="CA255" i="5"/>
  <c r="CB255" i="5"/>
  <c r="CC255" i="5"/>
  <c r="CD255" i="5"/>
  <c r="CE255" i="5"/>
  <c r="CF255" i="5"/>
  <c r="CG255" i="5"/>
  <c r="CH255" i="5"/>
  <c r="CI255" i="5"/>
  <c r="CJ255" i="5"/>
  <c r="CK255" i="5"/>
  <c r="CL255" i="5"/>
  <c r="BD256" i="5"/>
  <c r="BE256" i="5"/>
  <c r="BF256" i="5"/>
  <c r="BG256" i="5"/>
  <c r="BH256" i="5"/>
  <c r="BI256" i="5"/>
  <c r="BJ256" i="5"/>
  <c r="BK256" i="5"/>
  <c r="BL256" i="5"/>
  <c r="BM256" i="5"/>
  <c r="BN256" i="5"/>
  <c r="BO256" i="5"/>
  <c r="BP256" i="5"/>
  <c r="BQ256" i="5"/>
  <c r="BR256" i="5"/>
  <c r="BS256" i="5"/>
  <c r="BT256" i="5"/>
  <c r="BU256" i="5"/>
  <c r="BV256" i="5"/>
  <c r="BW256" i="5"/>
  <c r="BX256" i="5"/>
  <c r="BY256" i="5"/>
  <c r="BZ256" i="5"/>
  <c r="CA256" i="5"/>
  <c r="CB256" i="5"/>
  <c r="CC256" i="5"/>
  <c r="CD256" i="5"/>
  <c r="CE256" i="5"/>
  <c r="CF256" i="5"/>
  <c r="CG256" i="5"/>
  <c r="CH256" i="5"/>
  <c r="CI256" i="5"/>
  <c r="CJ256" i="5"/>
  <c r="CK256" i="5"/>
  <c r="CL256" i="5"/>
  <c r="BD257" i="5"/>
  <c r="BE257" i="5"/>
  <c r="BF257" i="5"/>
  <c r="BG257" i="5"/>
  <c r="BH257" i="5"/>
  <c r="BI257" i="5"/>
  <c r="BJ257" i="5"/>
  <c r="BK257" i="5"/>
  <c r="BL257" i="5"/>
  <c r="BM257" i="5"/>
  <c r="BN257" i="5"/>
  <c r="BO257" i="5"/>
  <c r="BP257" i="5"/>
  <c r="BQ257" i="5"/>
  <c r="BR257" i="5"/>
  <c r="BS257" i="5"/>
  <c r="BT257" i="5"/>
  <c r="BU257" i="5"/>
  <c r="BV257" i="5"/>
  <c r="BW257" i="5"/>
  <c r="BX257" i="5"/>
  <c r="BY257" i="5"/>
  <c r="BZ257" i="5"/>
  <c r="CA257" i="5"/>
  <c r="CB257" i="5"/>
  <c r="CC257" i="5"/>
  <c r="CD257" i="5"/>
  <c r="CE257" i="5"/>
  <c r="CF257" i="5"/>
  <c r="CG257" i="5"/>
  <c r="CH257" i="5"/>
  <c r="CI257" i="5"/>
  <c r="CJ257" i="5"/>
  <c r="CK257" i="5"/>
  <c r="CL257" i="5"/>
  <c r="BD258" i="5"/>
  <c r="BE258" i="5"/>
  <c r="BF258" i="5"/>
  <c r="BG258" i="5"/>
  <c r="BH258" i="5"/>
  <c r="BI258" i="5"/>
  <c r="BJ258" i="5"/>
  <c r="BK258" i="5"/>
  <c r="BL258" i="5"/>
  <c r="BM258" i="5"/>
  <c r="BN258" i="5"/>
  <c r="BO258" i="5"/>
  <c r="BP258" i="5"/>
  <c r="BQ258" i="5"/>
  <c r="BR258" i="5"/>
  <c r="BS258" i="5"/>
  <c r="BT258" i="5"/>
  <c r="BU258" i="5"/>
  <c r="BV258" i="5"/>
  <c r="BW258" i="5"/>
  <c r="BX258" i="5"/>
  <c r="BY258" i="5"/>
  <c r="BZ258" i="5"/>
  <c r="CA258" i="5"/>
  <c r="CB258" i="5"/>
  <c r="CC258" i="5"/>
  <c r="CD258" i="5"/>
  <c r="CE258" i="5"/>
  <c r="CF258" i="5"/>
  <c r="CG258" i="5"/>
  <c r="CH258" i="5"/>
  <c r="CI258" i="5"/>
  <c r="CJ258" i="5"/>
  <c r="CK258" i="5"/>
  <c r="CL258" i="5"/>
  <c r="BD259" i="5"/>
  <c r="BE259" i="5"/>
  <c r="BF259" i="5"/>
  <c r="BG259" i="5"/>
  <c r="BH259" i="5"/>
  <c r="BI259" i="5"/>
  <c r="BJ259" i="5"/>
  <c r="BK259" i="5"/>
  <c r="BL259" i="5"/>
  <c r="BM259" i="5"/>
  <c r="BN259" i="5"/>
  <c r="BO259" i="5"/>
  <c r="BP259" i="5"/>
  <c r="BQ259" i="5"/>
  <c r="BR259" i="5"/>
  <c r="BS259" i="5"/>
  <c r="BT259" i="5"/>
  <c r="BU259" i="5"/>
  <c r="BV259" i="5"/>
  <c r="BW259" i="5"/>
  <c r="BX259" i="5"/>
  <c r="BY259" i="5"/>
  <c r="BZ259" i="5"/>
  <c r="CA259" i="5"/>
  <c r="CB259" i="5"/>
  <c r="CC259" i="5"/>
  <c r="CD259" i="5"/>
  <c r="CE259" i="5"/>
  <c r="CF259" i="5"/>
  <c r="CG259" i="5"/>
  <c r="CH259" i="5"/>
  <c r="CI259" i="5"/>
  <c r="CJ259" i="5"/>
  <c r="CK259" i="5"/>
  <c r="CL259" i="5"/>
  <c r="BD260" i="5"/>
  <c r="BE260" i="5"/>
  <c r="BF260" i="5"/>
  <c r="BG260" i="5"/>
  <c r="BH260" i="5"/>
  <c r="BI260" i="5"/>
  <c r="BJ260" i="5"/>
  <c r="BK260" i="5"/>
  <c r="BL260" i="5"/>
  <c r="BM260" i="5"/>
  <c r="BN260" i="5"/>
  <c r="BO260" i="5"/>
  <c r="BP260" i="5"/>
  <c r="BQ260" i="5"/>
  <c r="BR260" i="5"/>
  <c r="BS260" i="5"/>
  <c r="BT260" i="5"/>
  <c r="BU260" i="5"/>
  <c r="BV260" i="5"/>
  <c r="BW260" i="5"/>
  <c r="BX260" i="5"/>
  <c r="BY260" i="5"/>
  <c r="BZ260" i="5"/>
  <c r="CA260" i="5"/>
  <c r="CB260" i="5"/>
  <c r="CC260" i="5"/>
  <c r="CD260" i="5"/>
  <c r="CE260" i="5"/>
  <c r="CF260" i="5"/>
  <c r="CG260" i="5"/>
  <c r="CH260" i="5"/>
  <c r="CI260" i="5"/>
  <c r="CJ260" i="5"/>
  <c r="CK260" i="5"/>
  <c r="CL260" i="5"/>
  <c r="BD261" i="5"/>
  <c r="BE261" i="5"/>
  <c r="BF261" i="5"/>
  <c r="BG261" i="5"/>
  <c r="BH261" i="5"/>
  <c r="BI261" i="5"/>
  <c r="BJ261" i="5"/>
  <c r="BK261" i="5"/>
  <c r="BL261" i="5"/>
  <c r="BM261" i="5"/>
  <c r="BN261" i="5"/>
  <c r="BO261" i="5"/>
  <c r="BP261" i="5"/>
  <c r="BQ261" i="5"/>
  <c r="BR261" i="5"/>
  <c r="BS261" i="5"/>
  <c r="BT261" i="5"/>
  <c r="BU261" i="5"/>
  <c r="BV261" i="5"/>
  <c r="BW261" i="5"/>
  <c r="BX261" i="5"/>
  <c r="BY261" i="5"/>
  <c r="BZ261" i="5"/>
  <c r="CA261" i="5"/>
  <c r="CB261" i="5"/>
  <c r="CC261" i="5"/>
  <c r="CD261" i="5"/>
  <c r="CE261" i="5"/>
  <c r="CF261" i="5"/>
  <c r="CG261" i="5"/>
  <c r="CH261" i="5"/>
  <c r="CI261" i="5"/>
  <c r="CJ261" i="5"/>
  <c r="CK261" i="5"/>
  <c r="CL261" i="5"/>
  <c r="BD262" i="5"/>
  <c r="BE262" i="5"/>
  <c r="BF262" i="5"/>
  <c r="BG262" i="5"/>
  <c r="BH262" i="5"/>
  <c r="BI262" i="5"/>
  <c r="BJ262" i="5"/>
  <c r="BK262" i="5"/>
  <c r="BL262" i="5"/>
  <c r="BM262" i="5"/>
  <c r="BN262" i="5"/>
  <c r="BO262" i="5"/>
  <c r="BP262" i="5"/>
  <c r="BQ262" i="5"/>
  <c r="BR262" i="5"/>
  <c r="BS262" i="5"/>
  <c r="BT262" i="5"/>
  <c r="BU262" i="5"/>
  <c r="BV262" i="5"/>
  <c r="BW262" i="5"/>
  <c r="BX262" i="5"/>
  <c r="BY262" i="5"/>
  <c r="BZ262" i="5"/>
  <c r="CA262" i="5"/>
  <c r="CB262" i="5"/>
  <c r="CC262" i="5"/>
  <c r="CD262" i="5"/>
  <c r="CE262" i="5"/>
  <c r="CF262" i="5"/>
  <c r="CG262" i="5"/>
  <c r="CH262" i="5"/>
  <c r="CI262" i="5"/>
  <c r="CJ262" i="5"/>
  <c r="CK262" i="5"/>
  <c r="CL262" i="5"/>
  <c r="BD263" i="5"/>
  <c r="BE263" i="5"/>
  <c r="BF263" i="5"/>
  <c r="BG263" i="5"/>
  <c r="BH263" i="5"/>
  <c r="BI263" i="5"/>
  <c r="BJ263" i="5"/>
  <c r="BK263" i="5"/>
  <c r="BL263" i="5"/>
  <c r="BM263" i="5"/>
  <c r="BN263" i="5"/>
  <c r="BO263" i="5"/>
  <c r="BP263" i="5"/>
  <c r="BQ263" i="5"/>
  <c r="BR263" i="5"/>
  <c r="BS263" i="5"/>
  <c r="BT263" i="5"/>
  <c r="BU263" i="5"/>
  <c r="BV263" i="5"/>
  <c r="BW263" i="5"/>
  <c r="BX263" i="5"/>
  <c r="BY263" i="5"/>
  <c r="BZ263" i="5"/>
  <c r="CA263" i="5"/>
  <c r="CB263" i="5"/>
  <c r="CC263" i="5"/>
  <c r="CD263" i="5"/>
  <c r="CE263" i="5"/>
  <c r="CF263" i="5"/>
  <c r="CG263" i="5"/>
  <c r="CH263" i="5"/>
  <c r="CI263" i="5"/>
  <c r="CJ263" i="5"/>
  <c r="CK263" i="5"/>
  <c r="CL263" i="5"/>
  <c r="BD264" i="5"/>
  <c r="BE264" i="5"/>
  <c r="BF264" i="5"/>
  <c r="BG264" i="5"/>
  <c r="BH264" i="5"/>
  <c r="BI264" i="5"/>
  <c r="BJ264" i="5"/>
  <c r="BK264" i="5"/>
  <c r="BL264" i="5"/>
  <c r="BM264" i="5"/>
  <c r="BN264" i="5"/>
  <c r="BO264" i="5"/>
  <c r="BP264" i="5"/>
  <c r="BQ264" i="5"/>
  <c r="BR264" i="5"/>
  <c r="BS264" i="5"/>
  <c r="BT264" i="5"/>
  <c r="BU264" i="5"/>
  <c r="BV264" i="5"/>
  <c r="BW264" i="5"/>
  <c r="BX264" i="5"/>
  <c r="BY264" i="5"/>
  <c r="BZ264" i="5"/>
  <c r="CA264" i="5"/>
  <c r="CB264" i="5"/>
  <c r="CC264" i="5"/>
  <c r="CD264" i="5"/>
  <c r="CE264" i="5"/>
  <c r="CF264" i="5"/>
  <c r="CG264" i="5"/>
  <c r="CH264" i="5"/>
  <c r="CI264" i="5"/>
  <c r="CJ264" i="5"/>
  <c r="CK264" i="5"/>
  <c r="CL264" i="5"/>
  <c r="BD265" i="5"/>
  <c r="BE265" i="5"/>
  <c r="BF265" i="5"/>
  <c r="BG265" i="5"/>
  <c r="BH265" i="5"/>
  <c r="BI265" i="5"/>
  <c r="BJ265" i="5"/>
  <c r="BK265" i="5"/>
  <c r="BL265" i="5"/>
  <c r="BM265" i="5"/>
  <c r="BN265" i="5"/>
  <c r="BO265" i="5"/>
  <c r="BP265" i="5"/>
  <c r="BQ265" i="5"/>
  <c r="BR265" i="5"/>
  <c r="BS265" i="5"/>
  <c r="BT265" i="5"/>
  <c r="BU265" i="5"/>
  <c r="BV265" i="5"/>
  <c r="BW265" i="5"/>
  <c r="BX265" i="5"/>
  <c r="BY265" i="5"/>
  <c r="BZ265" i="5"/>
  <c r="CA265" i="5"/>
  <c r="CB265" i="5"/>
  <c r="CC265" i="5"/>
  <c r="CD265" i="5"/>
  <c r="CE265" i="5"/>
  <c r="CF265" i="5"/>
  <c r="CG265" i="5"/>
  <c r="CH265" i="5"/>
  <c r="CI265" i="5"/>
  <c r="CJ265" i="5"/>
  <c r="CK265" i="5"/>
  <c r="CL265" i="5"/>
  <c r="BD266" i="5"/>
  <c r="BE266" i="5"/>
  <c r="BF266" i="5"/>
  <c r="BG266" i="5"/>
  <c r="BH266" i="5"/>
  <c r="BI266" i="5"/>
  <c r="BJ266" i="5"/>
  <c r="BK266" i="5"/>
  <c r="BL266" i="5"/>
  <c r="BM266" i="5"/>
  <c r="BN266" i="5"/>
  <c r="BO266" i="5"/>
  <c r="BP266" i="5"/>
  <c r="BQ266" i="5"/>
  <c r="BR266" i="5"/>
  <c r="BS266" i="5"/>
  <c r="BT266" i="5"/>
  <c r="BU266" i="5"/>
  <c r="BV266" i="5"/>
  <c r="BW266" i="5"/>
  <c r="BX266" i="5"/>
  <c r="BY266" i="5"/>
  <c r="BZ266" i="5"/>
  <c r="CA266" i="5"/>
  <c r="CB266" i="5"/>
  <c r="CC266" i="5"/>
  <c r="CD266" i="5"/>
  <c r="CE266" i="5"/>
  <c r="CF266" i="5"/>
  <c r="CG266" i="5"/>
  <c r="CH266" i="5"/>
  <c r="CI266" i="5"/>
  <c r="CJ266" i="5"/>
  <c r="CK266" i="5"/>
  <c r="CL266" i="5"/>
  <c r="BD267" i="5"/>
  <c r="BE267" i="5"/>
  <c r="BF267" i="5"/>
  <c r="BG267" i="5"/>
  <c r="BH267" i="5"/>
  <c r="BI267" i="5"/>
  <c r="BJ267" i="5"/>
  <c r="BK267" i="5"/>
  <c r="BL267" i="5"/>
  <c r="BM267" i="5"/>
  <c r="BN267" i="5"/>
  <c r="BO267" i="5"/>
  <c r="BP267" i="5"/>
  <c r="BQ267" i="5"/>
  <c r="BR267" i="5"/>
  <c r="BS267" i="5"/>
  <c r="BT267" i="5"/>
  <c r="BU267" i="5"/>
  <c r="BV267" i="5"/>
  <c r="BW267" i="5"/>
  <c r="BX267" i="5"/>
  <c r="BY267" i="5"/>
  <c r="BZ267" i="5"/>
  <c r="CA267" i="5"/>
  <c r="CB267" i="5"/>
  <c r="CC267" i="5"/>
  <c r="CD267" i="5"/>
  <c r="CE267" i="5"/>
  <c r="CF267" i="5"/>
  <c r="CG267" i="5"/>
  <c r="CH267" i="5"/>
  <c r="CI267" i="5"/>
  <c r="CJ267" i="5"/>
  <c r="CK267" i="5"/>
  <c r="CL267" i="5"/>
  <c r="BD268" i="5"/>
  <c r="BE268" i="5"/>
  <c r="BF268" i="5"/>
  <c r="BG268" i="5"/>
  <c r="BH268" i="5"/>
  <c r="BI268" i="5"/>
  <c r="BJ268" i="5"/>
  <c r="BK268" i="5"/>
  <c r="BL268" i="5"/>
  <c r="BM268" i="5"/>
  <c r="BN268" i="5"/>
  <c r="BO268" i="5"/>
  <c r="BP268" i="5"/>
  <c r="BQ268" i="5"/>
  <c r="BR268" i="5"/>
  <c r="BS268" i="5"/>
  <c r="BT268" i="5"/>
  <c r="BU268" i="5"/>
  <c r="BV268" i="5"/>
  <c r="BW268" i="5"/>
  <c r="BX268" i="5"/>
  <c r="BY268" i="5"/>
  <c r="BZ268" i="5"/>
  <c r="CA268" i="5"/>
  <c r="CB268" i="5"/>
  <c r="CC268" i="5"/>
  <c r="CD268" i="5"/>
  <c r="CE268" i="5"/>
  <c r="CF268" i="5"/>
  <c r="CG268" i="5"/>
  <c r="CH268" i="5"/>
  <c r="CI268" i="5"/>
  <c r="CJ268" i="5"/>
  <c r="CK268" i="5"/>
  <c r="CL268" i="5"/>
  <c r="BD269" i="5"/>
  <c r="BE269" i="5"/>
  <c r="BF269" i="5"/>
  <c r="BG269" i="5"/>
  <c r="BH269" i="5"/>
  <c r="BI269" i="5"/>
  <c r="BJ269" i="5"/>
  <c r="BK269" i="5"/>
  <c r="BL269" i="5"/>
  <c r="BM269" i="5"/>
  <c r="BN269" i="5"/>
  <c r="BO269" i="5"/>
  <c r="BP269" i="5"/>
  <c r="BQ269" i="5"/>
  <c r="BR269" i="5"/>
  <c r="BS269" i="5"/>
  <c r="BT269" i="5"/>
  <c r="BU269" i="5"/>
  <c r="BV269" i="5"/>
  <c r="BW269" i="5"/>
  <c r="BX269" i="5"/>
  <c r="BY269" i="5"/>
  <c r="BZ269" i="5"/>
  <c r="CA269" i="5"/>
  <c r="CB269" i="5"/>
  <c r="CC269" i="5"/>
  <c r="CD269" i="5"/>
  <c r="CE269" i="5"/>
  <c r="CF269" i="5"/>
  <c r="CG269" i="5"/>
  <c r="CH269" i="5"/>
  <c r="CI269" i="5"/>
  <c r="CJ269" i="5"/>
  <c r="CK269" i="5"/>
  <c r="CL269" i="5"/>
  <c r="BD270" i="5"/>
  <c r="BE270" i="5"/>
  <c r="BF270" i="5"/>
  <c r="BG270" i="5"/>
  <c r="BH270" i="5"/>
  <c r="BI270" i="5"/>
  <c r="BJ270" i="5"/>
  <c r="BK270" i="5"/>
  <c r="BL270" i="5"/>
  <c r="BM270" i="5"/>
  <c r="BN270" i="5"/>
  <c r="BO270" i="5"/>
  <c r="BP270" i="5"/>
  <c r="BQ270" i="5"/>
  <c r="BR270" i="5"/>
  <c r="BS270" i="5"/>
  <c r="BT270" i="5"/>
  <c r="BU270" i="5"/>
  <c r="BV270" i="5"/>
  <c r="BW270" i="5"/>
  <c r="BX270" i="5"/>
  <c r="BY270" i="5"/>
  <c r="BZ270" i="5"/>
  <c r="CA270" i="5"/>
  <c r="CB270" i="5"/>
  <c r="CC270" i="5"/>
  <c r="CD270" i="5"/>
  <c r="CE270" i="5"/>
  <c r="CF270" i="5"/>
  <c r="CG270" i="5"/>
  <c r="CH270" i="5"/>
  <c r="CI270" i="5"/>
  <c r="CJ270" i="5"/>
  <c r="CK270" i="5"/>
  <c r="CL270" i="5"/>
  <c r="BD271" i="5"/>
  <c r="BE271" i="5"/>
  <c r="BF271" i="5"/>
  <c r="BG271" i="5"/>
  <c r="BH271" i="5"/>
  <c r="BI271" i="5"/>
  <c r="BJ271" i="5"/>
  <c r="BK271" i="5"/>
  <c r="BL271" i="5"/>
  <c r="BM271" i="5"/>
  <c r="BN271" i="5"/>
  <c r="BO271" i="5"/>
  <c r="BP271" i="5"/>
  <c r="BQ271" i="5"/>
  <c r="BR271" i="5"/>
  <c r="BS271" i="5"/>
  <c r="BT271" i="5"/>
  <c r="BU271" i="5"/>
  <c r="BV271" i="5"/>
  <c r="BW271" i="5"/>
  <c r="BX271" i="5"/>
  <c r="BY271" i="5"/>
  <c r="BZ271" i="5"/>
  <c r="CA271" i="5"/>
  <c r="CB271" i="5"/>
  <c r="CC271" i="5"/>
  <c r="CD271" i="5"/>
  <c r="CE271" i="5"/>
  <c r="CF271" i="5"/>
  <c r="CG271" i="5"/>
  <c r="CH271" i="5"/>
  <c r="CI271" i="5"/>
  <c r="CJ271" i="5"/>
  <c r="CK271" i="5"/>
  <c r="CL271" i="5"/>
  <c r="BD272" i="5"/>
  <c r="BE272" i="5"/>
  <c r="BF272" i="5"/>
  <c r="BG272" i="5"/>
  <c r="BH272" i="5"/>
  <c r="BI272" i="5"/>
  <c r="BJ272" i="5"/>
  <c r="BK272" i="5"/>
  <c r="BL272" i="5"/>
  <c r="BM272" i="5"/>
  <c r="BN272" i="5"/>
  <c r="BO272" i="5"/>
  <c r="BP272" i="5"/>
  <c r="BQ272" i="5"/>
  <c r="BR272" i="5"/>
  <c r="BS272" i="5"/>
  <c r="BT272" i="5"/>
  <c r="BU272" i="5"/>
  <c r="BV272" i="5"/>
  <c r="BW272" i="5"/>
  <c r="BX272" i="5"/>
  <c r="BY272" i="5"/>
  <c r="BZ272" i="5"/>
  <c r="CA272" i="5"/>
  <c r="CB272" i="5"/>
  <c r="CC272" i="5"/>
  <c r="CD272" i="5"/>
  <c r="CE272" i="5"/>
  <c r="CF272" i="5"/>
  <c r="CG272" i="5"/>
  <c r="CH272" i="5"/>
  <c r="CI272" i="5"/>
  <c r="CJ272" i="5"/>
  <c r="CK272" i="5"/>
  <c r="CL272" i="5"/>
  <c r="BD273" i="5"/>
  <c r="BE273" i="5"/>
  <c r="BF273" i="5"/>
  <c r="BG273" i="5"/>
  <c r="BH273" i="5"/>
  <c r="BI273" i="5"/>
  <c r="BJ273" i="5"/>
  <c r="BK273" i="5"/>
  <c r="BL273" i="5"/>
  <c r="BM273" i="5"/>
  <c r="BN273" i="5"/>
  <c r="BO273" i="5"/>
  <c r="BP273" i="5"/>
  <c r="BQ273" i="5"/>
  <c r="BR273" i="5"/>
  <c r="BS273" i="5"/>
  <c r="BT273" i="5"/>
  <c r="BU273" i="5"/>
  <c r="BV273" i="5"/>
  <c r="BW273" i="5"/>
  <c r="BX273" i="5"/>
  <c r="BY273" i="5"/>
  <c r="BZ273" i="5"/>
  <c r="CA273" i="5"/>
  <c r="CB273" i="5"/>
  <c r="CC273" i="5"/>
  <c r="CD273" i="5"/>
  <c r="CE273" i="5"/>
  <c r="CF273" i="5"/>
  <c r="CG273" i="5"/>
  <c r="CH273" i="5"/>
  <c r="CI273" i="5"/>
  <c r="CJ273" i="5"/>
  <c r="CK273" i="5"/>
  <c r="CL273" i="5"/>
  <c r="BD274" i="5"/>
  <c r="BE274" i="5"/>
  <c r="BF274" i="5"/>
  <c r="BG274" i="5"/>
  <c r="BH274" i="5"/>
  <c r="BI274" i="5"/>
  <c r="BJ274" i="5"/>
  <c r="BK274" i="5"/>
  <c r="BL274" i="5"/>
  <c r="BM274" i="5"/>
  <c r="BN274" i="5"/>
  <c r="BO274" i="5"/>
  <c r="BP274" i="5"/>
  <c r="BQ274" i="5"/>
  <c r="BR274" i="5"/>
  <c r="BS274" i="5"/>
  <c r="BT274" i="5"/>
  <c r="BU274" i="5"/>
  <c r="BV274" i="5"/>
  <c r="BW274" i="5"/>
  <c r="BX274" i="5"/>
  <c r="BY274" i="5"/>
  <c r="BZ274" i="5"/>
  <c r="CA274" i="5"/>
  <c r="CB274" i="5"/>
  <c r="CC274" i="5"/>
  <c r="CD274" i="5"/>
  <c r="CE274" i="5"/>
  <c r="CF274" i="5"/>
  <c r="CG274" i="5"/>
  <c r="CH274" i="5"/>
  <c r="CI274" i="5"/>
  <c r="CJ274" i="5"/>
  <c r="CK274" i="5"/>
  <c r="CL274" i="5"/>
  <c r="BD275" i="5"/>
  <c r="BE275" i="5"/>
  <c r="BF275" i="5"/>
  <c r="BG275" i="5"/>
  <c r="BH275" i="5"/>
  <c r="BI275" i="5"/>
  <c r="BJ275" i="5"/>
  <c r="BK275" i="5"/>
  <c r="BL275" i="5"/>
  <c r="BM275" i="5"/>
  <c r="BN275" i="5"/>
  <c r="BO275" i="5"/>
  <c r="BP275" i="5"/>
  <c r="BQ275" i="5"/>
  <c r="BR275" i="5"/>
  <c r="BS275" i="5"/>
  <c r="BT275" i="5"/>
  <c r="BU275" i="5"/>
  <c r="BV275" i="5"/>
  <c r="BW275" i="5"/>
  <c r="BX275" i="5"/>
  <c r="BY275" i="5"/>
  <c r="BZ275" i="5"/>
  <c r="CA275" i="5"/>
  <c r="CB275" i="5"/>
  <c r="CC275" i="5"/>
  <c r="CD275" i="5"/>
  <c r="CE275" i="5"/>
  <c r="CF275" i="5"/>
  <c r="CG275" i="5"/>
  <c r="CH275" i="5"/>
  <c r="CI275" i="5"/>
  <c r="CJ275" i="5"/>
  <c r="CK275" i="5"/>
  <c r="CL275" i="5"/>
  <c r="BD276" i="5"/>
  <c r="BE276" i="5"/>
  <c r="BF276" i="5"/>
  <c r="BG276" i="5"/>
  <c r="BH276" i="5"/>
  <c r="BI276" i="5"/>
  <c r="BJ276" i="5"/>
  <c r="BK276" i="5"/>
  <c r="BL276" i="5"/>
  <c r="BM276" i="5"/>
  <c r="BN276" i="5"/>
  <c r="BO276" i="5"/>
  <c r="BP276" i="5"/>
  <c r="BQ276" i="5"/>
  <c r="BR276" i="5"/>
  <c r="BS276" i="5"/>
  <c r="BT276" i="5"/>
  <c r="BU276" i="5"/>
  <c r="BV276" i="5"/>
  <c r="BW276" i="5"/>
  <c r="BX276" i="5"/>
  <c r="BY276" i="5"/>
  <c r="BZ276" i="5"/>
  <c r="CA276" i="5"/>
  <c r="CB276" i="5"/>
  <c r="CC276" i="5"/>
  <c r="CD276" i="5"/>
  <c r="CE276" i="5"/>
  <c r="CF276" i="5"/>
  <c r="CG276" i="5"/>
  <c r="CH276" i="5"/>
  <c r="CI276" i="5"/>
  <c r="CJ276" i="5"/>
  <c r="CK276" i="5"/>
  <c r="CL276" i="5"/>
  <c r="BD277" i="5"/>
  <c r="BE277" i="5"/>
  <c r="BF277" i="5"/>
  <c r="BG277" i="5"/>
  <c r="BH277" i="5"/>
  <c r="BI277" i="5"/>
  <c r="BJ277" i="5"/>
  <c r="BK277" i="5"/>
  <c r="BL277" i="5"/>
  <c r="BM277" i="5"/>
  <c r="BN277" i="5"/>
  <c r="BO277" i="5"/>
  <c r="BP277" i="5"/>
  <c r="BQ277" i="5"/>
  <c r="BR277" i="5"/>
  <c r="BS277" i="5"/>
  <c r="BT277" i="5"/>
  <c r="BU277" i="5"/>
  <c r="BV277" i="5"/>
  <c r="BW277" i="5"/>
  <c r="BX277" i="5"/>
  <c r="BY277" i="5"/>
  <c r="BZ277" i="5"/>
  <c r="CA277" i="5"/>
  <c r="CB277" i="5"/>
  <c r="CC277" i="5"/>
  <c r="CD277" i="5"/>
  <c r="CE277" i="5"/>
  <c r="CF277" i="5"/>
  <c r="CG277" i="5"/>
  <c r="CH277" i="5"/>
  <c r="CI277" i="5"/>
  <c r="CJ277" i="5"/>
  <c r="CK277" i="5"/>
  <c r="CL277" i="5"/>
  <c r="BD278" i="5"/>
  <c r="BE278" i="5"/>
  <c r="BF278" i="5"/>
  <c r="BG278" i="5"/>
  <c r="BH278" i="5"/>
  <c r="BI278" i="5"/>
  <c r="BJ278" i="5"/>
  <c r="BK278" i="5"/>
  <c r="BL278" i="5"/>
  <c r="BM278" i="5"/>
  <c r="BN278" i="5"/>
  <c r="BO278" i="5"/>
  <c r="BP278" i="5"/>
  <c r="BQ278" i="5"/>
  <c r="BR278" i="5"/>
  <c r="BS278" i="5"/>
  <c r="BT278" i="5"/>
  <c r="BU278" i="5"/>
  <c r="BV278" i="5"/>
  <c r="BW278" i="5"/>
  <c r="BX278" i="5"/>
  <c r="BY278" i="5"/>
  <c r="BZ278" i="5"/>
  <c r="CA278" i="5"/>
  <c r="CB278" i="5"/>
  <c r="CC278" i="5"/>
  <c r="CD278" i="5"/>
  <c r="CE278" i="5"/>
  <c r="CF278" i="5"/>
  <c r="CG278" i="5"/>
  <c r="CH278" i="5"/>
  <c r="CI278" i="5"/>
  <c r="CJ278" i="5"/>
  <c r="CK278" i="5"/>
  <c r="CL278" i="5"/>
  <c r="BD279" i="5"/>
  <c r="BE279" i="5"/>
  <c r="BF279" i="5"/>
  <c r="BG279" i="5"/>
  <c r="BH279" i="5"/>
  <c r="BI279" i="5"/>
  <c r="BJ279" i="5"/>
  <c r="BK279" i="5"/>
  <c r="BL279" i="5"/>
  <c r="BM279" i="5"/>
  <c r="BN279" i="5"/>
  <c r="BO279" i="5"/>
  <c r="BP279" i="5"/>
  <c r="BQ279" i="5"/>
  <c r="BR279" i="5"/>
  <c r="BS279" i="5"/>
  <c r="BT279" i="5"/>
  <c r="BU279" i="5"/>
  <c r="BV279" i="5"/>
  <c r="BW279" i="5"/>
  <c r="BX279" i="5"/>
  <c r="BY279" i="5"/>
  <c r="BZ279" i="5"/>
  <c r="CA279" i="5"/>
  <c r="CB279" i="5"/>
  <c r="CC279" i="5"/>
  <c r="CD279" i="5"/>
  <c r="CE279" i="5"/>
  <c r="CF279" i="5"/>
  <c r="CG279" i="5"/>
  <c r="CH279" i="5"/>
  <c r="CI279" i="5"/>
  <c r="CJ279" i="5"/>
  <c r="CK279" i="5"/>
  <c r="CL279" i="5"/>
  <c r="BD280" i="5"/>
  <c r="BE280" i="5"/>
  <c r="BF280" i="5"/>
  <c r="BG280" i="5"/>
  <c r="BH280" i="5"/>
  <c r="BI280" i="5"/>
  <c r="BJ280" i="5"/>
  <c r="BK280" i="5"/>
  <c r="BL280" i="5"/>
  <c r="BM280" i="5"/>
  <c r="BN280" i="5"/>
  <c r="BO280" i="5"/>
  <c r="BP280" i="5"/>
  <c r="BQ280" i="5"/>
  <c r="BR280" i="5"/>
  <c r="BS280" i="5"/>
  <c r="BT280" i="5"/>
  <c r="BU280" i="5"/>
  <c r="BV280" i="5"/>
  <c r="BW280" i="5"/>
  <c r="BX280" i="5"/>
  <c r="BY280" i="5"/>
  <c r="BZ280" i="5"/>
  <c r="CA280" i="5"/>
  <c r="CB280" i="5"/>
  <c r="CC280" i="5"/>
  <c r="CD280" i="5"/>
  <c r="CE280" i="5"/>
  <c r="CF280" i="5"/>
  <c r="CG280" i="5"/>
  <c r="CH280" i="5"/>
  <c r="CI280" i="5"/>
  <c r="CJ280" i="5"/>
  <c r="CK280" i="5"/>
  <c r="CL280" i="5"/>
  <c r="BD281" i="5"/>
  <c r="BE281" i="5"/>
  <c r="BF281" i="5"/>
  <c r="BG281" i="5"/>
  <c r="BH281" i="5"/>
  <c r="BI281" i="5"/>
  <c r="BJ281" i="5"/>
  <c r="BK281" i="5"/>
  <c r="BL281" i="5"/>
  <c r="BM281" i="5"/>
  <c r="BN281" i="5"/>
  <c r="BO281" i="5"/>
  <c r="BP281" i="5"/>
  <c r="BQ281" i="5"/>
  <c r="BR281" i="5"/>
  <c r="BS281" i="5"/>
  <c r="BT281" i="5"/>
  <c r="BU281" i="5"/>
  <c r="BV281" i="5"/>
  <c r="BW281" i="5"/>
  <c r="BX281" i="5"/>
  <c r="BY281" i="5"/>
  <c r="BZ281" i="5"/>
  <c r="CA281" i="5"/>
  <c r="CB281" i="5"/>
  <c r="CC281" i="5"/>
  <c r="CD281" i="5"/>
  <c r="CE281" i="5"/>
  <c r="CF281" i="5"/>
  <c r="CG281" i="5"/>
  <c r="CH281" i="5"/>
  <c r="CI281" i="5"/>
  <c r="CJ281" i="5"/>
  <c r="CK281" i="5"/>
  <c r="CL281" i="5"/>
  <c r="BD282" i="5"/>
  <c r="BE282" i="5"/>
  <c r="BF282" i="5"/>
  <c r="BG282" i="5"/>
  <c r="BH282" i="5"/>
  <c r="BI282" i="5"/>
  <c r="BJ282" i="5"/>
  <c r="BK282" i="5"/>
  <c r="BL282" i="5"/>
  <c r="BM282" i="5"/>
  <c r="BN282" i="5"/>
  <c r="BO282" i="5"/>
  <c r="BP282" i="5"/>
  <c r="BQ282" i="5"/>
  <c r="BR282" i="5"/>
  <c r="BS282" i="5"/>
  <c r="BT282" i="5"/>
  <c r="BU282" i="5"/>
  <c r="BV282" i="5"/>
  <c r="BW282" i="5"/>
  <c r="BX282" i="5"/>
  <c r="BY282" i="5"/>
  <c r="BZ282" i="5"/>
  <c r="CA282" i="5"/>
  <c r="CB282" i="5"/>
  <c r="CC282" i="5"/>
  <c r="CD282" i="5"/>
  <c r="CE282" i="5"/>
  <c r="CF282" i="5"/>
  <c r="CG282" i="5"/>
  <c r="CH282" i="5"/>
  <c r="CI282" i="5"/>
  <c r="CJ282" i="5"/>
  <c r="CK282" i="5"/>
  <c r="CL282" i="5"/>
  <c r="BD283" i="5"/>
  <c r="BE283" i="5"/>
  <c r="BF283" i="5"/>
  <c r="BG283" i="5"/>
  <c r="BH283" i="5"/>
  <c r="BI283" i="5"/>
  <c r="BJ283" i="5"/>
  <c r="BK283" i="5"/>
  <c r="BL283" i="5"/>
  <c r="BM283" i="5"/>
  <c r="BN283" i="5"/>
  <c r="BO283" i="5"/>
  <c r="BP283" i="5"/>
  <c r="BQ283" i="5"/>
  <c r="BR283" i="5"/>
  <c r="BS283" i="5"/>
  <c r="BT283" i="5"/>
  <c r="BU283" i="5"/>
  <c r="BV283" i="5"/>
  <c r="BW283" i="5"/>
  <c r="BX283" i="5"/>
  <c r="BY283" i="5"/>
  <c r="BZ283" i="5"/>
  <c r="CA283" i="5"/>
  <c r="CB283" i="5"/>
  <c r="CC283" i="5"/>
  <c r="CD283" i="5"/>
  <c r="CE283" i="5"/>
  <c r="CF283" i="5"/>
  <c r="CG283" i="5"/>
  <c r="CH283" i="5"/>
  <c r="CI283" i="5"/>
  <c r="CJ283" i="5"/>
  <c r="CK283" i="5"/>
  <c r="CL283" i="5"/>
  <c r="BD284" i="5"/>
  <c r="BE284" i="5"/>
  <c r="BF284" i="5"/>
  <c r="BG284" i="5"/>
  <c r="BH284" i="5"/>
  <c r="BI284" i="5"/>
  <c r="BJ284" i="5"/>
  <c r="BK284" i="5"/>
  <c r="BL284" i="5"/>
  <c r="BM284" i="5"/>
  <c r="BN284" i="5"/>
  <c r="BO284" i="5"/>
  <c r="BP284" i="5"/>
  <c r="BQ284" i="5"/>
  <c r="BR284" i="5"/>
  <c r="BS284" i="5"/>
  <c r="BT284" i="5"/>
  <c r="BU284" i="5"/>
  <c r="BV284" i="5"/>
  <c r="BW284" i="5"/>
  <c r="BX284" i="5"/>
  <c r="BY284" i="5"/>
  <c r="BZ284" i="5"/>
  <c r="CA284" i="5"/>
  <c r="CB284" i="5"/>
  <c r="CC284" i="5"/>
  <c r="CD284" i="5"/>
  <c r="CE284" i="5"/>
  <c r="CF284" i="5"/>
  <c r="CG284" i="5"/>
  <c r="CH284" i="5"/>
  <c r="CI284" i="5"/>
  <c r="CJ284" i="5"/>
  <c r="CK284" i="5"/>
  <c r="CL284" i="5"/>
  <c r="BD285" i="5"/>
  <c r="BE285" i="5"/>
  <c r="BF285" i="5"/>
  <c r="BG285" i="5"/>
  <c r="BH285" i="5"/>
  <c r="BI285" i="5"/>
  <c r="BJ285" i="5"/>
  <c r="BK285" i="5"/>
  <c r="BL285" i="5"/>
  <c r="BM285" i="5"/>
  <c r="BN285" i="5"/>
  <c r="BO285" i="5"/>
  <c r="BP285" i="5"/>
  <c r="BQ285" i="5"/>
  <c r="BR285" i="5"/>
  <c r="BS285" i="5"/>
  <c r="BT285" i="5"/>
  <c r="BU285" i="5"/>
  <c r="BV285" i="5"/>
  <c r="BW285" i="5"/>
  <c r="BX285" i="5"/>
  <c r="BY285" i="5"/>
  <c r="BZ285" i="5"/>
  <c r="CA285" i="5"/>
  <c r="CB285" i="5"/>
  <c r="CC285" i="5"/>
  <c r="CD285" i="5"/>
  <c r="CE285" i="5"/>
  <c r="CF285" i="5"/>
  <c r="CG285" i="5"/>
  <c r="CH285" i="5"/>
  <c r="CI285" i="5"/>
  <c r="CJ285" i="5"/>
  <c r="CK285" i="5"/>
  <c r="CL285" i="5"/>
  <c r="BD286" i="5"/>
  <c r="BE286" i="5"/>
  <c r="BF286" i="5"/>
  <c r="BG286" i="5"/>
  <c r="BH286" i="5"/>
  <c r="BI286" i="5"/>
  <c r="BJ286" i="5"/>
  <c r="BK286" i="5"/>
  <c r="BL286" i="5"/>
  <c r="BM286" i="5"/>
  <c r="BN286" i="5"/>
  <c r="BO286" i="5"/>
  <c r="BP286" i="5"/>
  <c r="BQ286" i="5"/>
  <c r="BR286" i="5"/>
  <c r="BS286" i="5"/>
  <c r="BT286" i="5"/>
  <c r="BU286" i="5"/>
  <c r="BV286" i="5"/>
  <c r="BW286" i="5"/>
  <c r="BX286" i="5"/>
  <c r="BY286" i="5"/>
  <c r="BZ286" i="5"/>
  <c r="CA286" i="5"/>
  <c r="CB286" i="5"/>
  <c r="CC286" i="5"/>
  <c r="CD286" i="5"/>
  <c r="CE286" i="5"/>
  <c r="CF286" i="5"/>
  <c r="CG286" i="5"/>
  <c r="CH286" i="5"/>
  <c r="CI286" i="5"/>
  <c r="CJ286" i="5"/>
  <c r="CK286" i="5"/>
  <c r="CL286" i="5"/>
  <c r="BD287" i="5"/>
  <c r="BE287" i="5"/>
  <c r="BF287" i="5"/>
  <c r="BG287" i="5"/>
  <c r="BH287" i="5"/>
  <c r="BI287" i="5"/>
  <c r="BJ287" i="5"/>
  <c r="BK287" i="5"/>
  <c r="BL287" i="5"/>
  <c r="BM287" i="5"/>
  <c r="BN287" i="5"/>
  <c r="BO287" i="5"/>
  <c r="BP287" i="5"/>
  <c r="BQ287" i="5"/>
  <c r="BR287" i="5"/>
  <c r="BS287" i="5"/>
  <c r="BT287" i="5"/>
  <c r="BU287" i="5"/>
  <c r="BV287" i="5"/>
  <c r="BW287" i="5"/>
  <c r="BX287" i="5"/>
  <c r="BY287" i="5"/>
  <c r="BZ287" i="5"/>
  <c r="CA287" i="5"/>
  <c r="CB287" i="5"/>
  <c r="CC287" i="5"/>
  <c r="CD287" i="5"/>
  <c r="CE287" i="5"/>
  <c r="CF287" i="5"/>
  <c r="CG287" i="5"/>
  <c r="CH287" i="5"/>
  <c r="CI287" i="5"/>
  <c r="CJ287" i="5"/>
  <c r="CK287" i="5"/>
  <c r="CL287" i="5"/>
  <c r="BD288" i="5"/>
  <c r="BE288" i="5"/>
  <c r="BF288" i="5"/>
  <c r="BG288" i="5"/>
  <c r="BH288" i="5"/>
  <c r="BI288" i="5"/>
  <c r="BJ288" i="5"/>
  <c r="BK288" i="5"/>
  <c r="BL288" i="5"/>
  <c r="BM288" i="5"/>
  <c r="BN288" i="5"/>
  <c r="BO288" i="5"/>
  <c r="BP288" i="5"/>
  <c r="BQ288" i="5"/>
  <c r="BR288" i="5"/>
  <c r="BS288" i="5"/>
  <c r="BT288" i="5"/>
  <c r="BU288" i="5"/>
  <c r="BV288" i="5"/>
  <c r="BW288" i="5"/>
  <c r="BX288" i="5"/>
  <c r="BY288" i="5"/>
  <c r="BZ288" i="5"/>
  <c r="CA288" i="5"/>
  <c r="CB288" i="5"/>
  <c r="CC288" i="5"/>
  <c r="CD288" i="5"/>
  <c r="CE288" i="5"/>
  <c r="CF288" i="5"/>
  <c r="CG288" i="5"/>
  <c r="CH288" i="5"/>
  <c r="CI288" i="5"/>
  <c r="CJ288" i="5"/>
  <c r="CK288" i="5"/>
  <c r="CL288" i="5"/>
  <c r="BD289" i="5"/>
  <c r="BE289" i="5"/>
  <c r="BF289" i="5"/>
  <c r="BG289" i="5"/>
  <c r="BH289" i="5"/>
  <c r="BI289" i="5"/>
  <c r="BJ289" i="5"/>
  <c r="BK289" i="5"/>
  <c r="BL289" i="5"/>
  <c r="BM289" i="5"/>
  <c r="BN289" i="5"/>
  <c r="BO289" i="5"/>
  <c r="BP289" i="5"/>
  <c r="BQ289" i="5"/>
  <c r="BR289" i="5"/>
  <c r="BS289" i="5"/>
  <c r="BT289" i="5"/>
  <c r="BU289" i="5"/>
  <c r="BV289" i="5"/>
  <c r="BW289" i="5"/>
  <c r="BX289" i="5"/>
  <c r="BY289" i="5"/>
  <c r="BZ289" i="5"/>
  <c r="CA289" i="5"/>
  <c r="CB289" i="5"/>
  <c r="CC289" i="5"/>
  <c r="CD289" i="5"/>
  <c r="CE289" i="5"/>
  <c r="CF289" i="5"/>
  <c r="CG289" i="5"/>
  <c r="CH289" i="5"/>
  <c r="CI289" i="5"/>
  <c r="CJ289" i="5"/>
  <c r="CK289" i="5"/>
  <c r="CL289" i="5"/>
  <c r="BD290" i="5"/>
  <c r="BE290" i="5"/>
  <c r="BF290" i="5"/>
  <c r="BG290" i="5"/>
  <c r="BH290" i="5"/>
  <c r="BI290" i="5"/>
  <c r="BJ290" i="5"/>
  <c r="BK290" i="5"/>
  <c r="BL290" i="5"/>
  <c r="BM290" i="5"/>
  <c r="BN290" i="5"/>
  <c r="BO290" i="5"/>
  <c r="BP290" i="5"/>
  <c r="BQ290" i="5"/>
  <c r="BR290" i="5"/>
  <c r="BS290" i="5"/>
  <c r="BT290" i="5"/>
  <c r="BU290" i="5"/>
  <c r="BV290" i="5"/>
  <c r="BW290" i="5"/>
  <c r="BX290" i="5"/>
  <c r="BY290" i="5"/>
  <c r="BZ290" i="5"/>
  <c r="CA290" i="5"/>
  <c r="CB290" i="5"/>
  <c r="CC290" i="5"/>
  <c r="CD290" i="5"/>
  <c r="CE290" i="5"/>
  <c r="CF290" i="5"/>
  <c r="CG290" i="5"/>
  <c r="CH290" i="5"/>
  <c r="CI290" i="5"/>
  <c r="CJ290" i="5"/>
  <c r="CK290" i="5"/>
  <c r="CL290" i="5"/>
  <c r="BD291" i="5"/>
  <c r="BE291" i="5"/>
  <c r="BF291" i="5"/>
  <c r="BG291" i="5"/>
  <c r="BH291" i="5"/>
  <c r="BI291" i="5"/>
  <c r="BJ291" i="5"/>
  <c r="BK291" i="5"/>
  <c r="BL291" i="5"/>
  <c r="BM291" i="5"/>
  <c r="BN291" i="5"/>
  <c r="BO291" i="5"/>
  <c r="BP291" i="5"/>
  <c r="BQ291" i="5"/>
  <c r="BR291" i="5"/>
  <c r="BS291" i="5"/>
  <c r="BT291" i="5"/>
  <c r="BU291" i="5"/>
  <c r="BV291" i="5"/>
  <c r="BW291" i="5"/>
  <c r="BX291" i="5"/>
  <c r="BY291" i="5"/>
  <c r="BZ291" i="5"/>
  <c r="CA291" i="5"/>
  <c r="CB291" i="5"/>
  <c r="CC291" i="5"/>
  <c r="CD291" i="5"/>
  <c r="CE291" i="5"/>
  <c r="CF291" i="5"/>
  <c r="CG291" i="5"/>
  <c r="CH291" i="5"/>
  <c r="CI291" i="5"/>
  <c r="CJ291" i="5"/>
  <c r="CK291" i="5"/>
  <c r="CL291" i="5"/>
  <c r="BD292" i="5"/>
  <c r="BE292" i="5"/>
  <c r="BF292" i="5"/>
  <c r="BG292" i="5"/>
  <c r="BH292" i="5"/>
  <c r="BI292" i="5"/>
  <c r="BJ292" i="5"/>
  <c r="BK292" i="5"/>
  <c r="BL292" i="5"/>
  <c r="BM292" i="5"/>
  <c r="BN292" i="5"/>
  <c r="BO292" i="5"/>
  <c r="BP292" i="5"/>
  <c r="BQ292" i="5"/>
  <c r="BR292" i="5"/>
  <c r="BS292" i="5"/>
  <c r="BT292" i="5"/>
  <c r="BU292" i="5"/>
  <c r="BV292" i="5"/>
  <c r="BW292" i="5"/>
  <c r="BX292" i="5"/>
  <c r="BY292" i="5"/>
  <c r="BZ292" i="5"/>
  <c r="CA292" i="5"/>
  <c r="CB292" i="5"/>
  <c r="CC292" i="5"/>
  <c r="CD292" i="5"/>
  <c r="CE292" i="5"/>
  <c r="CF292" i="5"/>
  <c r="CG292" i="5"/>
  <c r="CH292" i="5"/>
  <c r="CI292" i="5"/>
  <c r="CJ292" i="5"/>
  <c r="CK292" i="5"/>
  <c r="CL292" i="5"/>
  <c r="BD293" i="5"/>
  <c r="BE293" i="5"/>
  <c r="BF293" i="5"/>
  <c r="BG293" i="5"/>
  <c r="BH293" i="5"/>
  <c r="BI293" i="5"/>
  <c r="BJ293" i="5"/>
  <c r="BK293" i="5"/>
  <c r="BL293" i="5"/>
  <c r="BM293" i="5"/>
  <c r="BN293" i="5"/>
  <c r="BO293" i="5"/>
  <c r="BP293" i="5"/>
  <c r="BQ293" i="5"/>
  <c r="BR293" i="5"/>
  <c r="BS293" i="5"/>
  <c r="BT293" i="5"/>
  <c r="BU293" i="5"/>
  <c r="BV293" i="5"/>
  <c r="BW293" i="5"/>
  <c r="BX293" i="5"/>
  <c r="BY293" i="5"/>
  <c r="BZ293" i="5"/>
  <c r="CA293" i="5"/>
  <c r="CB293" i="5"/>
  <c r="CC293" i="5"/>
  <c r="CD293" i="5"/>
  <c r="CE293" i="5"/>
  <c r="CF293" i="5"/>
  <c r="CG293" i="5"/>
  <c r="CH293" i="5"/>
  <c r="CI293" i="5"/>
  <c r="CJ293" i="5"/>
  <c r="CK293" i="5"/>
  <c r="CL293" i="5"/>
  <c r="BD294" i="5"/>
  <c r="BE294" i="5"/>
  <c r="BF294" i="5"/>
  <c r="BG294" i="5"/>
  <c r="BH294" i="5"/>
  <c r="BI294" i="5"/>
  <c r="BJ294" i="5"/>
  <c r="BK294" i="5"/>
  <c r="BL294" i="5"/>
  <c r="BM294" i="5"/>
  <c r="BN294" i="5"/>
  <c r="BO294" i="5"/>
  <c r="BP294" i="5"/>
  <c r="BQ294" i="5"/>
  <c r="BR294" i="5"/>
  <c r="BS294" i="5"/>
  <c r="BT294" i="5"/>
  <c r="BU294" i="5"/>
  <c r="BV294" i="5"/>
  <c r="BW294" i="5"/>
  <c r="BX294" i="5"/>
  <c r="BY294" i="5"/>
  <c r="BZ294" i="5"/>
  <c r="CA294" i="5"/>
  <c r="CB294" i="5"/>
  <c r="CC294" i="5"/>
  <c r="CD294" i="5"/>
  <c r="CE294" i="5"/>
  <c r="CF294" i="5"/>
  <c r="CG294" i="5"/>
  <c r="CH294" i="5"/>
  <c r="CI294" i="5"/>
  <c r="CJ294" i="5"/>
  <c r="CK294" i="5"/>
  <c r="CL294" i="5"/>
  <c r="BD295" i="5"/>
  <c r="BE295" i="5"/>
  <c r="BF295" i="5"/>
  <c r="BG295" i="5"/>
  <c r="BH295" i="5"/>
  <c r="BI295" i="5"/>
  <c r="BJ295" i="5"/>
  <c r="BK295" i="5"/>
  <c r="BL295" i="5"/>
  <c r="BM295" i="5"/>
  <c r="BN295" i="5"/>
  <c r="BO295" i="5"/>
  <c r="BP295" i="5"/>
  <c r="BQ295" i="5"/>
  <c r="BR295" i="5"/>
  <c r="BS295" i="5"/>
  <c r="BT295" i="5"/>
  <c r="BU295" i="5"/>
  <c r="BV295" i="5"/>
  <c r="BW295" i="5"/>
  <c r="BX295" i="5"/>
  <c r="BY295" i="5"/>
  <c r="BZ295" i="5"/>
  <c r="CA295" i="5"/>
  <c r="CB295" i="5"/>
  <c r="CC295" i="5"/>
  <c r="CD295" i="5"/>
  <c r="CE295" i="5"/>
  <c r="CF295" i="5"/>
  <c r="CG295" i="5"/>
  <c r="CH295" i="5"/>
  <c r="CI295" i="5"/>
  <c r="CJ295" i="5"/>
  <c r="CK295" i="5"/>
  <c r="CL295" i="5"/>
  <c r="BD296" i="5"/>
  <c r="BE296" i="5"/>
  <c r="BF296" i="5"/>
  <c r="BG296" i="5"/>
  <c r="BH296" i="5"/>
  <c r="BI296" i="5"/>
  <c r="BJ296" i="5"/>
  <c r="BK296" i="5"/>
  <c r="BL296" i="5"/>
  <c r="BM296" i="5"/>
  <c r="BN296" i="5"/>
  <c r="BO296" i="5"/>
  <c r="BP296" i="5"/>
  <c r="BQ296" i="5"/>
  <c r="BR296" i="5"/>
  <c r="BS296" i="5"/>
  <c r="BT296" i="5"/>
  <c r="BU296" i="5"/>
  <c r="BV296" i="5"/>
  <c r="BW296" i="5"/>
  <c r="BX296" i="5"/>
  <c r="BY296" i="5"/>
  <c r="BZ296" i="5"/>
  <c r="CA296" i="5"/>
  <c r="CB296" i="5"/>
  <c r="CC296" i="5"/>
  <c r="CD296" i="5"/>
  <c r="CE296" i="5"/>
  <c r="CF296" i="5"/>
  <c r="CG296" i="5"/>
  <c r="CH296" i="5"/>
  <c r="CI296" i="5"/>
  <c r="CJ296" i="5"/>
  <c r="CK296" i="5"/>
  <c r="CL296" i="5"/>
  <c r="BD297" i="5"/>
  <c r="BE297" i="5"/>
  <c r="BF297" i="5"/>
  <c r="BG297" i="5"/>
  <c r="BH297" i="5"/>
  <c r="BI297" i="5"/>
  <c r="BJ297" i="5"/>
  <c r="BK297" i="5"/>
  <c r="BL297" i="5"/>
  <c r="BM297" i="5"/>
  <c r="BN297" i="5"/>
  <c r="BO297" i="5"/>
  <c r="BP297" i="5"/>
  <c r="BQ297" i="5"/>
  <c r="BR297" i="5"/>
  <c r="BS297" i="5"/>
  <c r="BT297" i="5"/>
  <c r="BU297" i="5"/>
  <c r="BV297" i="5"/>
  <c r="BW297" i="5"/>
  <c r="BX297" i="5"/>
  <c r="BY297" i="5"/>
  <c r="BZ297" i="5"/>
  <c r="CA297" i="5"/>
  <c r="CB297" i="5"/>
  <c r="CC297" i="5"/>
  <c r="CD297" i="5"/>
  <c r="CE297" i="5"/>
  <c r="CF297" i="5"/>
  <c r="CG297" i="5"/>
  <c r="CH297" i="5"/>
  <c r="CI297" i="5"/>
  <c r="CJ297" i="5"/>
  <c r="CK297" i="5"/>
  <c r="CL297" i="5"/>
  <c r="BD298" i="5"/>
  <c r="BE298" i="5"/>
  <c r="BF298" i="5"/>
  <c r="BG298" i="5"/>
  <c r="BH298" i="5"/>
  <c r="BI298" i="5"/>
  <c r="BJ298" i="5"/>
  <c r="BK298" i="5"/>
  <c r="BL298" i="5"/>
  <c r="BM298" i="5"/>
  <c r="BN298" i="5"/>
  <c r="BO298" i="5"/>
  <c r="BP298" i="5"/>
  <c r="BQ298" i="5"/>
  <c r="BR298" i="5"/>
  <c r="BS298" i="5"/>
  <c r="BT298" i="5"/>
  <c r="BU298" i="5"/>
  <c r="BV298" i="5"/>
  <c r="BW298" i="5"/>
  <c r="BX298" i="5"/>
  <c r="BY298" i="5"/>
  <c r="BZ298" i="5"/>
  <c r="CA298" i="5"/>
  <c r="CB298" i="5"/>
  <c r="CC298" i="5"/>
  <c r="CD298" i="5"/>
  <c r="CE298" i="5"/>
  <c r="CF298" i="5"/>
  <c r="CG298" i="5"/>
  <c r="CH298" i="5"/>
  <c r="CI298" i="5"/>
  <c r="CJ298" i="5"/>
  <c r="CK298" i="5"/>
  <c r="CL298" i="5"/>
  <c r="BD299" i="5"/>
  <c r="BE299" i="5"/>
  <c r="BF299" i="5"/>
  <c r="BG299" i="5"/>
  <c r="BH299" i="5"/>
  <c r="BI299" i="5"/>
  <c r="BJ299" i="5"/>
  <c r="BK299" i="5"/>
  <c r="BL299" i="5"/>
  <c r="BM299" i="5"/>
  <c r="BN299" i="5"/>
  <c r="BO299" i="5"/>
  <c r="BP299" i="5"/>
  <c r="BQ299" i="5"/>
  <c r="BR299" i="5"/>
  <c r="BS299" i="5"/>
  <c r="BT299" i="5"/>
  <c r="BU299" i="5"/>
  <c r="BV299" i="5"/>
  <c r="BW299" i="5"/>
  <c r="BX299" i="5"/>
  <c r="BY299" i="5"/>
  <c r="BZ299" i="5"/>
  <c r="CA299" i="5"/>
  <c r="CB299" i="5"/>
  <c r="CC299" i="5"/>
  <c r="CD299" i="5"/>
  <c r="CE299" i="5"/>
  <c r="CF299" i="5"/>
  <c r="CG299" i="5"/>
  <c r="CH299" i="5"/>
  <c r="CI299" i="5"/>
  <c r="CJ299" i="5"/>
  <c r="CK299" i="5"/>
  <c r="CL299" i="5"/>
  <c r="BD300" i="5"/>
  <c r="BE300" i="5"/>
  <c r="BF300" i="5"/>
  <c r="BG300" i="5"/>
  <c r="BH300" i="5"/>
  <c r="BI300" i="5"/>
  <c r="BJ300" i="5"/>
  <c r="BK300" i="5"/>
  <c r="BL300" i="5"/>
  <c r="BM300" i="5"/>
  <c r="BN300" i="5"/>
  <c r="BO300" i="5"/>
  <c r="BP300" i="5"/>
  <c r="BQ300" i="5"/>
  <c r="BR300" i="5"/>
  <c r="BS300" i="5"/>
  <c r="BT300" i="5"/>
  <c r="BU300" i="5"/>
  <c r="BV300" i="5"/>
  <c r="BW300" i="5"/>
  <c r="BX300" i="5"/>
  <c r="BY300" i="5"/>
  <c r="BZ300" i="5"/>
  <c r="CA300" i="5"/>
  <c r="CB300" i="5"/>
  <c r="CC300" i="5"/>
  <c r="CD300" i="5"/>
  <c r="CE300" i="5"/>
  <c r="CF300" i="5"/>
  <c r="CG300" i="5"/>
  <c r="CH300" i="5"/>
  <c r="CI300" i="5"/>
  <c r="CJ300" i="5"/>
  <c r="CK300" i="5"/>
  <c r="CL300" i="5"/>
  <c r="BD301" i="5"/>
  <c r="BE301" i="5"/>
  <c r="BF301" i="5"/>
  <c r="BG301" i="5"/>
  <c r="BH301" i="5"/>
  <c r="BI301" i="5"/>
  <c r="BJ301" i="5"/>
  <c r="BK301" i="5"/>
  <c r="BL301" i="5"/>
  <c r="BM301" i="5"/>
  <c r="BN301" i="5"/>
  <c r="BO301" i="5"/>
  <c r="BP301" i="5"/>
  <c r="BQ301" i="5"/>
  <c r="BR301" i="5"/>
  <c r="BS301" i="5"/>
  <c r="BT301" i="5"/>
  <c r="BU301" i="5"/>
  <c r="BV301" i="5"/>
  <c r="BW301" i="5"/>
  <c r="BX301" i="5"/>
  <c r="BY301" i="5"/>
  <c r="BZ301" i="5"/>
  <c r="CA301" i="5"/>
  <c r="CB301" i="5"/>
  <c r="CC301" i="5"/>
  <c r="CD301" i="5"/>
  <c r="CE301" i="5"/>
  <c r="CF301" i="5"/>
  <c r="CG301" i="5"/>
  <c r="CH301" i="5"/>
  <c r="CI301" i="5"/>
  <c r="CJ301" i="5"/>
  <c r="CK301" i="5"/>
  <c r="CL301" i="5"/>
  <c r="BD302" i="5"/>
  <c r="BE302" i="5"/>
  <c r="BF302" i="5"/>
  <c r="BG302" i="5"/>
  <c r="BH302" i="5"/>
  <c r="BI302" i="5"/>
  <c r="BJ302" i="5"/>
  <c r="BK302" i="5"/>
  <c r="BL302" i="5"/>
  <c r="BM302" i="5"/>
  <c r="BN302" i="5"/>
  <c r="BO302" i="5"/>
  <c r="BP302" i="5"/>
  <c r="BQ302" i="5"/>
  <c r="BR302" i="5"/>
  <c r="BS302" i="5"/>
  <c r="BT302" i="5"/>
  <c r="BU302" i="5"/>
  <c r="BV302" i="5"/>
  <c r="BW302" i="5"/>
  <c r="BX302" i="5"/>
  <c r="BY302" i="5"/>
  <c r="BZ302" i="5"/>
  <c r="CA302" i="5"/>
  <c r="CB302" i="5"/>
  <c r="CC302" i="5"/>
  <c r="CD302" i="5"/>
  <c r="CE302" i="5"/>
  <c r="CF302" i="5"/>
  <c r="CG302" i="5"/>
  <c r="CH302" i="5"/>
  <c r="CI302" i="5"/>
  <c r="CJ302" i="5"/>
  <c r="CK302" i="5"/>
  <c r="CL302" i="5"/>
  <c r="BD303" i="5"/>
  <c r="BE303" i="5"/>
  <c r="BF303" i="5"/>
  <c r="BG303" i="5"/>
  <c r="BH303" i="5"/>
  <c r="BI303" i="5"/>
  <c r="BJ303" i="5"/>
  <c r="BK303" i="5"/>
  <c r="BL303" i="5"/>
  <c r="BM303" i="5"/>
  <c r="BN303" i="5"/>
  <c r="BO303" i="5"/>
  <c r="BP303" i="5"/>
  <c r="BQ303" i="5"/>
  <c r="BR303" i="5"/>
  <c r="BS303" i="5"/>
  <c r="BT303" i="5"/>
  <c r="BU303" i="5"/>
  <c r="BV303" i="5"/>
  <c r="BW303" i="5"/>
  <c r="BX303" i="5"/>
  <c r="BY303" i="5"/>
  <c r="BZ303" i="5"/>
  <c r="CA303" i="5"/>
  <c r="CB303" i="5"/>
  <c r="CC303" i="5"/>
  <c r="CD303" i="5"/>
  <c r="CE303" i="5"/>
  <c r="CF303" i="5"/>
  <c r="CG303" i="5"/>
  <c r="CH303" i="5"/>
  <c r="CI303" i="5"/>
  <c r="CJ303" i="5"/>
  <c r="CK303" i="5"/>
  <c r="CL303" i="5"/>
  <c r="BD304" i="5"/>
  <c r="BE304" i="5"/>
  <c r="BF304" i="5"/>
  <c r="BG304" i="5"/>
  <c r="BH304" i="5"/>
  <c r="BI304" i="5"/>
  <c r="BJ304" i="5"/>
  <c r="BK304" i="5"/>
  <c r="BL304" i="5"/>
  <c r="BM304" i="5"/>
  <c r="BN304" i="5"/>
  <c r="BO304" i="5"/>
  <c r="BP304" i="5"/>
  <c r="BQ304" i="5"/>
  <c r="BR304" i="5"/>
  <c r="BS304" i="5"/>
  <c r="BT304" i="5"/>
  <c r="BU304" i="5"/>
  <c r="BV304" i="5"/>
  <c r="BW304" i="5"/>
  <c r="BX304" i="5"/>
  <c r="BY304" i="5"/>
  <c r="BZ304" i="5"/>
  <c r="CA304" i="5"/>
  <c r="CB304" i="5"/>
  <c r="CC304" i="5"/>
  <c r="CD304" i="5"/>
  <c r="CE304" i="5"/>
  <c r="CF304" i="5"/>
  <c r="CG304" i="5"/>
  <c r="CH304" i="5"/>
  <c r="CI304" i="5"/>
  <c r="CJ304" i="5"/>
  <c r="CK304" i="5"/>
  <c r="CL304" i="5"/>
  <c r="BD305" i="5"/>
  <c r="BE305" i="5"/>
  <c r="BF305" i="5"/>
  <c r="BG305" i="5"/>
  <c r="BH305" i="5"/>
  <c r="BI305" i="5"/>
  <c r="BJ305" i="5"/>
  <c r="BK305" i="5"/>
  <c r="BL305" i="5"/>
  <c r="BM305" i="5"/>
  <c r="BN305" i="5"/>
  <c r="BO305" i="5"/>
  <c r="BP305" i="5"/>
  <c r="BQ305" i="5"/>
  <c r="BR305" i="5"/>
  <c r="BS305" i="5"/>
  <c r="BT305" i="5"/>
  <c r="BU305" i="5"/>
  <c r="BV305" i="5"/>
  <c r="BW305" i="5"/>
  <c r="BX305" i="5"/>
  <c r="BY305" i="5"/>
  <c r="BZ305" i="5"/>
  <c r="CA305" i="5"/>
  <c r="CB305" i="5"/>
  <c r="CC305" i="5"/>
  <c r="CD305" i="5"/>
  <c r="CE305" i="5"/>
  <c r="CF305" i="5"/>
  <c r="CG305" i="5"/>
  <c r="CH305" i="5"/>
  <c r="CI305" i="5"/>
  <c r="CJ305" i="5"/>
  <c r="CK305" i="5"/>
  <c r="CL305" i="5"/>
  <c r="BD306" i="5"/>
  <c r="BE306" i="5"/>
  <c r="BF306" i="5"/>
  <c r="BG306" i="5"/>
  <c r="BH306" i="5"/>
  <c r="BI306" i="5"/>
  <c r="BJ306" i="5"/>
  <c r="BK306" i="5"/>
  <c r="BL306" i="5"/>
  <c r="BM306" i="5"/>
  <c r="BN306" i="5"/>
  <c r="BO306" i="5"/>
  <c r="BP306" i="5"/>
  <c r="BQ306" i="5"/>
  <c r="BR306" i="5"/>
  <c r="BS306" i="5"/>
  <c r="BT306" i="5"/>
  <c r="BU306" i="5"/>
  <c r="BV306" i="5"/>
  <c r="BW306" i="5"/>
  <c r="BX306" i="5"/>
  <c r="BY306" i="5"/>
  <c r="BZ306" i="5"/>
  <c r="CA306" i="5"/>
  <c r="CB306" i="5"/>
  <c r="CC306" i="5"/>
  <c r="CD306" i="5"/>
  <c r="CE306" i="5"/>
  <c r="CF306" i="5"/>
  <c r="CG306" i="5"/>
  <c r="CH306" i="5"/>
  <c r="CI306" i="5"/>
  <c r="CJ306" i="5"/>
  <c r="CK306" i="5"/>
  <c r="CL306" i="5"/>
  <c r="BD307" i="5"/>
  <c r="BE307" i="5"/>
  <c r="BF307" i="5"/>
  <c r="BG307" i="5"/>
  <c r="BH307" i="5"/>
  <c r="BI307" i="5"/>
  <c r="BJ307" i="5"/>
  <c r="BK307" i="5"/>
  <c r="BL307" i="5"/>
  <c r="BM307" i="5"/>
  <c r="BN307" i="5"/>
  <c r="BO307" i="5"/>
  <c r="BP307" i="5"/>
  <c r="BQ307" i="5"/>
  <c r="BR307" i="5"/>
  <c r="BS307" i="5"/>
  <c r="BT307" i="5"/>
  <c r="BU307" i="5"/>
  <c r="BV307" i="5"/>
  <c r="BW307" i="5"/>
  <c r="BX307" i="5"/>
  <c r="BY307" i="5"/>
  <c r="BZ307" i="5"/>
  <c r="CA307" i="5"/>
  <c r="CB307" i="5"/>
  <c r="CC307" i="5"/>
  <c r="CD307" i="5"/>
  <c r="CE307" i="5"/>
  <c r="CF307" i="5"/>
  <c r="CG307" i="5"/>
  <c r="CH307" i="5"/>
  <c r="CI307" i="5"/>
  <c r="CJ307" i="5"/>
  <c r="CK307" i="5"/>
  <c r="CL307" i="5"/>
  <c r="BD308" i="5"/>
  <c r="BE308" i="5"/>
  <c r="BF308" i="5"/>
  <c r="BG308" i="5"/>
  <c r="BH308" i="5"/>
  <c r="BI308" i="5"/>
  <c r="BJ308" i="5"/>
  <c r="BK308" i="5"/>
  <c r="BL308" i="5"/>
  <c r="BM308" i="5"/>
  <c r="BN308" i="5"/>
  <c r="BO308" i="5"/>
  <c r="BP308" i="5"/>
  <c r="BQ308" i="5"/>
  <c r="BR308" i="5"/>
  <c r="BS308" i="5"/>
  <c r="BT308" i="5"/>
  <c r="BU308" i="5"/>
  <c r="BV308" i="5"/>
  <c r="BW308" i="5"/>
  <c r="BX308" i="5"/>
  <c r="BY308" i="5"/>
  <c r="BZ308" i="5"/>
  <c r="CA308" i="5"/>
  <c r="CB308" i="5"/>
  <c r="CC308" i="5"/>
  <c r="CD308" i="5"/>
  <c r="CE308" i="5"/>
  <c r="CF308" i="5"/>
  <c r="CG308" i="5"/>
  <c r="CH308" i="5"/>
  <c r="CI308" i="5"/>
  <c r="CJ308" i="5"/>
  <c r="CK308" i="5"/>
  <c r="CL308" i="5"/>
  <c r="BD309" i="5"/>
  <c r="BE309" i="5"/>
  <c r="BF309" i="5"/>
  <c r="BG309" i="5"/>
  <c r="BH309" i="5"/>
  <c r="BI309" i="5"/>
  <c r="BJ309" i="5"/>
  <c r="BK309" i="5"/>
  <c r="BL309" i="5"/>
  <c r="BM309" i="5"/>
  <c r="BN309" i="5"/>
  <c r="BO309" i="5"/>
  <c r="BP309" i="5"/>
  <c r="BQ309" i="5"/>
  <c r="BR309" i="5"/>
  <c r="BS309" i="5"/>
  <c r="BT309" i="5"/>
  <c r="BU309" i="5"/>
  <c r="BV309" i="5"/>
  <c r="BW309" i="5"/>
  <c r="BX309" i="5"/>
  <c r="BY309" i="5"/>
  <c r="BZ309" i="5"/>
  <c r="CA309" i="5"/>
  <c r="CB309" i="5"/>
  <c r="CC309" i="5"/>
  <c r="CD309" i="5"/>
  <c r="CE309" i="5"/>
  <c r="CF309" i="5"/>
  <c r="CG309" i="5"/>
  <c r="CH309" i="5"/>
  <c r="CI309" i="5"/>
  <c r="CJ309" i="5"/>
  <c r="CK309" i="5"/>
  <c r="CL309" i="5"/>
  <c r="BD310" i="5"/>
  <c r="BE310" i="5"/>
  <c r="BF310" i="5"/>
  <c r="BG310" i="5"/>
  <c r="BH310" i="5"/>
  <c r="BI310" i="5"/>
  <c r="BJ310" i="5"/>
  <c r="BK310" i="5"/>
  <c r="BL310" i="5"/>
  <c r="BM310" i="5"/>
  <c r="BN310" i="5"/>
  <c r="BO310" i="5"/>
  <c r="BP310" i="5"/>
  <c r="BQ310" i="5"/>
  <c r="BR310" i="5"/>
  <c r="BS310" i="5"/>
  <c r="BT310" i="5"/>
  <c r="BU310" i="5"/>
  <c r="BV310" i="5"/>
  <c r="BW310" i="5"/>
  <c r="BX310" i="5"/>
  <c r="BY310" i="5"/>
  <c r="BZ310" i="5"/>
  <c r="CA310" i="5"/>
  <c r="CB310" i="5"/>
  <c r="CC310" i="5"/>
  <c r="CD310" i="5"/>
  <c r="CE310" i="5"/>
  <c r="CF310" i="5"/>
  <c r="CG310" i="5"/>
  <c r="CH310" i="5"/>
  <c r="CI310" i="5"/>
  <c r="CJ310" i="5"/>
  <c r="CK310" i="5"/>
  <c r="CL310" i="5"/>
  <c r="BD311" i="5"/>
  <c r="BE311" i="5"/>
  <c r="BF311" i="5"/>
  <c r="BG311" i="5"/>
  <c r="BH311" i="5"/>
  <c r="BI311" i="5"/>
  <c r="BJ311" i="5"/>
  <c r="BK311" i="5"/>
  <c r="BL311" i="5"/>
  <c r="BM311" i="5"/>
  <c r="BN311" i="5"/>
  <c r="BO311" i="5"/>
  <c r="BP311" i="5"/>
  <c r="BQ311" i="5"/>
  <c r="BR311" i="5"/>
  <c r="BS311" i="5"/>
  <c r="BT311" i="5"/>
  <c r="BU311" i="5"/>
  <c r="BV311" i="5"/>
  <c r="BW311" i="5"/>
  <c r="BX311" i="5"/>
  <c r="BY311" i="5"/>
  <c r="BZ311" i="5"/>
  <c r="CA311" i="5"/>
  <c r="CB311" i="5"/>
  <c r="CC311" i="5"/>
  <c r="CD311" i="5"/>
  <c r="CE311" i="5"/>
  <c r="CF311" i="5"/>
  <c r="CG311" i="5"/>
  <c r="CH311" i="5"/>
  <c r="CI311" i="5"/>
  <c r="CJ311" i="5"/>
  <c r="CK311" i="5"/>
  <c r="CL311" i="5"/>
  <c r="BD312" i="5"/>
  <c r="BE312" i="5"/>
  <c r="BF312" i="5"/>
  <c r="BG312" i="5"/>
  <c r="BH312" i="5"/>
  <c r="BI312" i="5"/>
  <c r="BJ312" i="5"/>
  <c r="BK312" i="5"/>
  <c r="BL312" i="5"/>
  <c r="BM312" i="5"/>
  <c r="BN312" i="5"/>
  <c r="BO312" i="5"/>
  <c r="BP312" i="5"/>
  <c r="BQ312" i="5"/>
  <c r="BR312" i="5"/>
  <c r="BS312" i="5"/>
  <c r="BT312" i="5"/>
  <c r="BU312" i="5"/>
  <c r="BV312" i="5"/>
  <c r="BW312" i="5"/>
  <c r="BX312" i="5"/>
  <c r="BY312" i="5"/>
  <c r="BZ312" i="5"/>
  <c r="CA312" i="5"/>
  <c r="CB312" i="5"/>
  <c r="CC312" i="5"/>
  <c r="CD312" i="5"/>
  <c r="CE312" i="5"/>
  <c r="CF312" i="5"/>
  <c r="CG312" i="5"/>
  <c r="CH312" i="5"/>
  <c r="CI312" i="5"/>
  <c r="CJ312" i="5"/>
  <c r="CK312" i="5"/>
  <c r="CL312" i="5"/>
  <c r="BD313" i="5"/>
  <c r="BE313" i="5"/>
  <c r="BF313" i="5"/>
  <c r="BG313" i="5"/>
  <c r="BH313" i="5"/>
  <c r="BI313" i="5"/>
  <c r="BJ313" i="5"/>
  <c r="BK313" i="5"/>
  <c r="BL313" i="5"/>
  <c r="BM313" i="5"/>
  <c r="BN313" i="5"/>
  <c r="BO313" i="5"/>
  <c r="BP313" i="5"/>
  <c r="BQ313" i="5"/>
  <c r="BR313" i="5"/>
  <c r="BS313" i="5"/>
  <c r="BT313" i="5"/>
  <c r="BU313" i="5"/>
  <c r="BV313" i="5"/>
  <c r="BW313" i="5"/>
  <c r="BX313" i="5"/>
  <c r="BY313" i="5"/>
  <c r="BZ313" i="5"/>
  <c r="CA313" i="5"/>
  <c r="CB313" i="5"/>
  <c r="CC313" i="5"/>
  <c r="CD313" i="5"/>
  <c r="CE313" i="5"/>
  <c r="CF313" i="5"/>
  <c r="CG313" i="5"/>
  <c r="CH313" i="5"/>
  <c r="CI313" i="5"/>
  <c r="CJ313" i="5"/>
  <c r="CK313" i="5"/>
  <c r="CL313" i="5"/>
  <c r="BD314" i="5"/>
  <c r="BE314" i="5"/>
  <c r="BF314" i="5"/>
  <c r="BG314" i="5"/>
  <c r="BH314" i="5"/>
  <c r="BI314" i="5"/>
  <c r="BJ314" i="5"/>
  <c r="BK314" i="5"/>
  <c r="BL314" i="5"/>
  <c r="BM314" i="5"/>
  <c r="BN314" i="5"/>
  <c r="BO314" i="5"/>
  <c r="BP314" i="5"/>
  <c r="BQ314" i="5"/>
  <c r="BR314" i="5"/>
  <c r="BS314" i="5"/>
  <c r="BT314" i="5"/>
  <c r="BU314" i="5"/>
  <c r="BV314" i="5"/>
  <c r="BW314" i="5"/>
  <c r="BX314" i="5"/>
  <c r="BY314" i="5"/>
  <c r="BZ314" i="5"/>
  <c r="CA314" i="5"/>
  <c r="CB314" i="5"/>
  <c r="CC314" i="5"/>
  <c r="CD314" i="5"/>
  <c r="CE314" i="5"/>
  <c r="CF314" i="5"/>
  <c r="CG314" i="5"/>
  <c r="CH314" i="5"/>
  <c r="CI314" i="5"/>
  <c r="CJ314" i="5"/>
  <c r="CK314" i="5"/>
  <c r="CL314" i="5"/>
  <c r="BD315" i="5"/>
  <c r="BE315" i="5"/>
  <c r="BF315" i="5"/>
  <c r="BG315" i="5"/>
  <c r="BH315" i="5"/>
  <c r="BI315" i="5"/>
  <c r="BJ315" i="5"/>
  <c r="BK315" i="5"/>
  <c r="BL315" i="5"/>
  <c r="BM315" i="5"/>
  <c r="BN315" i="5"/>
  <c r="BO315" i="5"/>
  <c r="BP315" i="5"/>
  <c r="BQ315" i="5"/>
  <c r="BR315" i="5"/>
  <c r="BS315" i="5"/>
  <c r="BT315" i="5"/>
  <c r="BU315" i="5"/>
  <c r="BV315" i="5"/>
  <c r="BW315" i="5"/>
  <c r="BX315" i="5"/>
  <c r="BY315" i="5"/>
  <c r="BZ315" i="5"/>
  <c r="CA315" i="5"/>
  <c r="CB315" i="5"/>
  <c r="CC315" i="5"/>
  <c r="CD315" i="5"/>
  <c r="CE315" i="5"/>
  <c r="CF315" i="5"/>
  <c r="CG315" i="5"/>
  <c r="CH315" i="5"/>
  <c r="CI315" i="5"/>
  <c r="CJ315" i="5"/>
  <c r="CK315" i="5"/>
  <c r="CL315" i="5"/>
  <c r="BD316" i="5"/>
  <c r="BE316" i="5"/>
  <c r="BF316" i="5"/>
  <c r="BG316" i="5"/>
  <c r="BH316" i="5"/>
  <c r="BI316" i="5"/>
  <c r="BJ316" i="5"/>
  <c r="BK316" i="5"/>
  <c r="BL316" i="5"/>
  <c r="BM316" i="5"/>
  <c r="BN316" i="5"/>
  <c r="BO316" i="5"/>
  <c r="BP316" i="5"/>
  <c r="BQ316" i="5"/>
  <c r="BR316" i="5"/>
  <c r="BS316" i="5"/>
  <c r="BT316" i="5"/>
  <c r="BU316" i="5"/>
  <c r="BV316" i="5"/>
  <c r="BW316" i="5"/>
  <c r="BX316" i="5"/>
  <c r="BY316" i="5"/>
  <c r="BZ316" i="5"/>
  <c r="CA316" i="5"/>
  <c r="CB316" i="5"/>
  <c r="CC316" i="5"/>
  <c r="CD316" i="5"/>
  <c r="CE316" i="5"/>
  <c r="CF316" i="5"/>
  <c r="CG316" i="5"/>
  <c r="CH316" i="5"/>
  <c r="CI316" i="5"/>
  <c r="CJ316" i="5"/>
  <c r="CK316" i="5"/>
  <c r="CL316" i="5"/>
  <c r="BD317" i="5"/>
  <c r="BE317" i="5"/>
  <c r="BF317" i="5"/>
  <c r="BG317" i="5"/>
  <c r="BH317" i="5"/>
  <c r="BI317" i="5"/>
  <c r="BJ317" i="5"/>
  <c r="BK317" i="5"/>
  <c r="BL317" i="5"/>
  <c r="BM317" i="5"/>
  <c r="BN317" i="5"/>
  <c r="BO317" i="5"/>
  <c r="BP317" i="5"/>
  <c r="BQ317" i="5"/>
  <c r="BR317" i="5"/>
  <c r="BS317" i="5"/>
  <c r="BT317" i="5"/>
  <c r="BU317" i="5"/>
  <c r="BV317" i="5"/>
  <c r="BW317" i="5"/>
  <c r="BX317" i="5"/>
  <c r="BY317" i="5"/>
  <c r="BZ317" i="5"/>
  <c r="CA317" i="5"/>
  <c r="CB317" i="5"/>
  <c r="CC317" i="5"/>
  <c r="CD317" i="5"/>
  <c r="CE317" i="5"/>
  <c r="CF317" i="5"/>
  <c r="CG317" i="5"/>
  <c r="CH317" i="5"/>
  <c r="CI317" i="5"/>
  <c r="CJ317" i="5"/>
  <c r="CK317" i="5"/>
  <c r="CL317" i="5"/>
  <c r="BD318" i="5"/>
  <c r="BE318" i="5"/>
  <c r="BF318" i="5"/>
  <c r="BG318" i="5"/>
  <c r="BH318" i="5"/>
  <c r="BI318" i="5"/>
  <c r="BJ318" i="5"/>
  <c r="BK318" i="5"/>
  <c r="BL318" i="5"/>
  <c r="BM318" i="5"/>
  <c r="BN318" i="5"/>
  <c r="BO318" i="5"/>
  <c r="BP318" i="5"/>
  <c r="BQ318" i="5"/>
  <c r="BR318" i="5"/>
  <c r="BS318" i="5"/>
  <c r="BT318" i="5"/>
  <c r="BU318" i="5"/>
  <c r="BV318" i="5"/>
  <c r="BW318" i="5"/>
  <c r="BX318" i="5"/>
  <c r="BY318" i="5"/>
  <c r="BZ318" i="5"/>
  <c r="CA318" i="5"/>
  <c r="CB318" i="5"/>
  <c r="CC318" i="5"/>
  <c r="CD318" i="5"/>
  <c r="CE318" i="5"/>
  <c r="CF318" i="5"/>
  <c r="CG318" i="5"/>
  <c r="CH318" i="5"/>
  <c r="CI318" i="5"/>
  <c r="CJ318" i="5"/>
  <c r="CK318" i="5"/>
  <c r="CL318" i="5"/>
  <c r="BD319" i="5"/>
  <c r="BE319" i="5"/>
  <c r="BF319" i="5"/>
  <c r="BG319" i="5"/>
  <c r="BH319" i="5"/>
  <c r="BI319" i="5"/>
  <c r="BJ319" i="5"/>
  <c r="BK319" i="5"/>
  <c r="BL319" i="5"/>
  <c r="BM319" i="5"/>
  <c r="BN319" i="5"/>
  <c r="BO319" i="5"/>
  <c r="BP319" i="5"/>
  <c r="BQ319" i="5"/>
  <c r="BR319" i="5"/>
  <c r="BS319" i="5"/>
  <c r="BT319" i="5"/>
  <c r="BU319" i="5"/>
  <c r="BV319" i="5"/>
  <c r="BW319" i="5"/>
  <c r="BX319" i="5"/>
  <c r="BY319" i="5"/>
  <c r="BZ319" i="5"/>
  <c r="CA319" i="5"/>
  <c r="CB319" i="5"/>
  <c r="CC319" i="5"/>
  <c r="CD319" i="5"/>
  <c r="CE319" i="5"/>
  <c r="CF319" i="5"/>
  <c r="CG319" i="5"/>
  <c r="CH319" i="5"/>
  <c r="CI319" i="5"/>
  <c r="CJ319" i="5"/>
  <c r="CK319" i="5"/>
  <c r="CL319" i="5"/>
  <c r="BD320" i="5"/>
  <c r="BE320" i="5"/>
  <c r="BF320" i="5"/>
  <c r="BG320" i="5"/>
  <c r="BH320" i="5"/>
  <c r="BI320" i="5"/>
  <c r="BJ320" i="5"/>
  <c r="BK320" i="5"/>
  <c r="BL320" i="5"/>
  <c r="BM320" i="5"/>
  <c r="BN320" i="5"/>
  <c r="BO320" i="5"/>
  <c r="BP320" i="5"/>
  <c r="BQ320" i="5"/>
  <c r="BR320" i="5"/>
  <c r="BS320" i="5"/>
  <c r="BT320" i="5"/>
  <c r="BU320" i="5"/>
  <c r="BV320" i="5"/>
  <c r="BW320" i="5"/>
  <c r="BX320" i="5"/>
  <c r="BY320" i="5"/>
  <c r="BZ320" i="5"/>
  <c r="CA320" i="5"/>
  <c r="CB320" i="5"/>
  <c r="CC320" i="5"/>
  <c r="CD320" i="5"/>
  <c r="CE320" i="5"/>
  <c r="CF320" i="5"/>
  <c r="CG320" i="5"/>
  <c r="CH320" i="5"/>
  <c r="CI320" i="5"/>
  <c r="CJ320" i="5"/>
  <c r="CK320" i="5"/>
  <c r="CL320" i="5"/>
  <c r="BD321" i="5"/>
  <c r="BE321" i="5"/>
  <c r="BF321" i="5"/>
  <c r="BG321" i="5"/>
  <c r="BH321" i="5"/>
  <c r="BI321" i="5"/>
  <c r="BJ321" i="5"/>
  <c r="BK321" i="5"/>
  <c r="BL321" i="5"/>
  <c r="BM321" i="5"/>
  <c r="BN321" i="5"/>
  <c r="BO321" i="5"/>
  <c r="BP321" i="5"/>
  <c r="BQ321" i="5"/>
  <c r="BR321" i="5"/>
  <c r="BS321" i="5"/>
  <c r="BT321" i="5"/>
  <c r="BU321" i="5"/>
  <c r="BV321" i="5"/>
  <c r="BW321" i="5"/>
  <c r="BX321" i="5"/>
  <c r="BY321" i="5"/>
  <c r="BZ321" i="5"/>
  <c r="CA321" i="5"/>
  <c r="CB321" i="5"/>
  <c r="CC321" i="5"/>
  <c r="CD321" i="5"/>
  <c r="CE321" i="5"/>
  <c r="CF321" i="5"/>
  <c r="CG321" i="5"/>
  <c r="CH321" i="5"/>
  <c r="CI321" i="5"/>
  <c r="CJ321" i="5"/>
  <c r="CK321" i="5"/>
  <c r="CL321" i="5"/>
  <c r="BD322" i="5"/>
  <c r="BE322" i="5"/>
  <c r="BF322" i="5"/>
  <c r="BG322" i="5"/>
  <c r="BH322" i="5"/>
  <c r="BI322" i="5"/>
  <c r="BJ322" i="5"/>
  <c r="BK322" i="5"/>
  <c r="BL322" i="5"/>
  <c r="BM322" i="5"/>
  <c r="BN322" i="5"/>
  <c r="BO322" i="5"/>
  <c r="BP322" i="5"/>
  <c r="BQ322" i="5"/>
  <c r="BR322" i="5"/>
  <c r="BS322" i="5"/>
  <c r="BT322" i="5"/>
  <c r="BU322" i="5"/>
  <c r="BV322" i="5"/>
  <c r="BW322" i="5"/>
  <c r="BX322" i="5"/>
  <c r="BY322" i="5"/>
  <c r="BZ322" i="5"/>
  <c r="CA322" i="5"/>
  <c r="CB322" i="5"/>
  <c r="CC322" i="5"/>
  <c r="CD322" i="5"/>
  <c r="CE322" i="5"/>
  <c r="CF322" i="5"/>
  <c r="CG322" i="5"/>
  <c r="CH322" i="5"/>
  <c r="CI322" i="5"/>
  <c r="CJ322" i="5"/>
  <c r="CK322" i="5"/>
  <c r="CL322" i="5"/>
  <c r="BD323" i="5"/>
  <c r="BE323" i="5"/>
  <c r="BF323" i="5"/>
  <c r="BG323" i="5"/>
  <c r="BH323" i="5"/>
  <c r="BI323" i="5"/>
  <c r="BJ323" i="5"/>
  <c r="BK323" i="5"/>
  <c r="BL323" i="5"/>
  <c r="BM323" i="5"/>
  <c r="BN323" i="5"/>
  <c r="BO323" i="5"/>
  <c r="BP323" i="5"/>
  <c r="BQ323" i="5"/>
  <c r="BR323" i="5"/>
  <c r="BS323" i="5"/>
  <c r="BT323" i="5"/>
  <c r="BU323" i="5"/>
  <c r="BV323" i="5"/>
  <c r="BW323" i="5"/>
  <c r="BX323" i="5"/>
  <c r="BY323" i="5"/>
  <c r="BZ323" i="5"/>
  <c r="CA323" i="5"/>
  <c r="CB323" i="5"/>
  <c r="CC323" i="5"/>
  <c r="CD323" i="5"/>
  <c r="CE323" i="5"/>
  <c r="CF323" i="5"/>
  <c r="CG323" i="5"/>
  <c r="CH323" i="5"/>
  <c r="CI323" i="5"/>
  <c r="CJ323" i="5"/>
  <c r="CK323" i="5"/>
  <c r="CL323" i="5"/>
  <c r="BD324" i="5"/>
  <c r="BE324" i="5"/>
  <c r="BF324" i="5"/>
  <c r="BG324" i="5"/>
  <c r="BH324" i="5"/>
  <c r="BI324" i="5"/>
  <c r="BJ324" i="5"/>
  <c r="BK324" i="5"/>
  <c r="BL324" i="5"/>
  <c r="BM324" i="5"/>
  <c r="BN324" i="5"/>
  <c r="BO324" i="5"/>
  <c r="BP324" i="5"/>
  <c r="BQ324" i="5"/>
  <c r="BR324" i="5"/>
  <c r="BS324" i="5"/>
  <c r="BT324" i="5"/>
  <c r="BU324" i="5"/>
  <c r="BV324" i="5"/>
  <c r="BW324" i="5"/>
  <c r="BX324" i="5"/>
  <c r="BY324" i="5"/>
  <c r="BZ324" i="5"/>
  <c r="CA324" i="5"/>
  <c r="CB324" i="5"/>
  <c r="CC324" i="5"/>
  <c r="CD324" i="5"/>
  <c r="CE324" i="5"/>
  <c r="CF324" i="5"/>
  <c r="CG324" i="5"/>
  <c r="CH324" i="5"/>
  <c r="CI324" i="5"/>
  <c r="CJ324" i="5"/>
  <c r="CK324" i="5"/>
  <c r="CL324" i="5"/>
  <c r="BD325" i="5"/>
  <c r="BE325" i="5"/>
  <c r="BF325" i="5"/>
  <c r="BG325" i="5"/>
  <c r="BH325" i="5"/>
  <c r="BI325" i="5"/>
  <c r="BJ325" i="5"/>
  <c r="BK325" i="5"/>
  <c r="BL325" i="5"/>
  <c r="BM325" i="5"/>
  <c r="BN325" i="5"/>
  <c r="BO325" i="5"/>
  <c r="BP325" i="5"/>
  <c r="BQ325" i="5"/>
  <c r="BR325" i="5"/>
  <c r="BS325" i="5"/>
  <c r="BT325" i="5"/>
  <c r="BU325" i="5"/>
  <c r="BV325" i="5"/>
  <c r="BW325" i="5"/>
  <c r="BX325" i="5"/>
  <c r="BY325" i="5"/>
  <c r="BZ325" i="5"/>
  <c r="CA325" i="5"/>
  <c r="CB325" i="5"/>
  <c r="CC325" i="5"/>
  <c r="CD325" i="5"/>
  <c r="CE325" i="5"/>
  <c r="CF325" i="5"/>
  <c r="CG325" i="5"/>
  <c r="CH325" i="5"/>
  <c r="CI325" i="5"/>
  <c r="CJ325" i="5"/>
  <c r="CK325" i="5"/>
  <c r="CL325" i="5"/>
  <c r="BD326" i="5"/>
  <c r="BE326" i="5"/>
  <c r="BF326" i="5"/>
  <c r="BG326" i="5"/>
  <c r="BH326" i="5"/>
  <c r="BI326" i="5"/>
  <c r="BJ326" i="5"/>
  <c r="BK326" i="5"/>
  <c r="BL326" i="5"/>
  <c r="BM326" i="5"/>
  <c r="BN326" i="5"/>
  <c r="BO326" i="5"/>
  <c r="BP326" i="5"/>
  <c r="BQ326" i="5"/>
  <c r="BR326" i="5"/>
  <c r="BS326" i="5"/>
  <c r="BT326" i="5"/>
  <c r="BU326" i="5"/>
  <c r="BV326" i="5"/>
  <c r="BW326" i="5"/>
  <c r="BX326" i="5"/>
  <c r="BY326" i="5"/>
  <c r="BZ326" i="5"/>
  <c r="CA326" i="5"/>
  <c r="CB326" i="5"/>
  <c r="CC326" i="5"/>
  <c r="CD326" i="5"/>
  <c r="CE326" i="5"/>
  <c r="CF326" i="5"/>
  <c r="CG326" i="5"/>
  <c r="CH326" i="5"/>
  <c r="CI326" i="5"/>
  <c r="CJ326" i="5"/>
  <c r="CK326" i="5"/>
  <c r="CL326" i="5"/>
  <c r="BD327" i="5"/>
  <c r="BE327" i="5"/>
  <c r="BF327" i="5"/>
  <c r="BG327" i="5"/>
  <c r="BH327" i="5"/>
  <c r="BI327" i="5"/>
  <c r="BJ327" i="5"/>
  <c r="BK327" i="5"/>
  <c r="BL327" i="5"/>
  <c r="BM327" i="5"/>
  <c r="BN327" i="5"/>
  <c r="BO327" i="5"/>
  <c r="BP327" i="5"/>
  <c r="BQ327" i="5"/>
  <c r="BR327" i="5"/>
  <c r="BS327" i="5"/>
  <c r="BT327" i="5"/>
  <c r="BU327" i="5"/>
  <c r="BV327" i="5"/>
  <c r="BW327" i="5"/>
  <c r="BX327" i="5"/>
  <c r="BY327" i="5"/>
  <c r="BZ327" i="5"/>
  <c r="CA327" i="5"/>
  <c r="CB327" i="5"/>
  <c r="CC327" i="5"/>
  <c r="CD327" i="5"/>
  <c r="CE327" i="5"/>
  <c r="CF327" i="5"/>
  <c r="CG327" i="5"/>
  <c r="CH327" i="5"/>
  <c r="CI327" i="5"/>
  <c r="CJ327" i="5"/>
  <c r="CK327" i="5"/>
  <c r="CL327" i="5"/>
  <c r="BD328" i="5"/>
  <c r="BE328" i="5"/>
  <c r="BF328" i="5"/>
  <c r="BG328" i="5"/>
  <c r="BH328" i="5"/>
  <c r="BI328" i="5"/>
  <c r="BJ328" i="5"/>
  <c r="BK328" i="5"/>
  <c r="BL328" i="5"/>
  <c r="BM328" i="5"/>
  <c r="BN328" i="5"/>
  <c r="BO328" i="5"/>
  <c r="BP328" i="5"/>
  <c r="BQ328" i="5"/>
  <c r="BR328" i="5"/>
  <c r="BS328" i="5"/>
  <c r="BT328" i="5"/>
  <c r="BU328" i="5"/>
  <c r="BV328" i="5"/>
  <c r="BW328" i="5"/>
  <c r="BX328" i="5"/>
  <c r="BY328" i="5"/>
  <c r="BZ328" i="5"/>
  <c r="CA328" i="5"/>
  <c r="CB328" i="5"/>
  <c r="CC328" i="5"/>
  <c r="CD328" i="5"/>
  <c r="CE328" i="5"/>
  <c r="CF328" i="5"/>
  <c r="CG328" i="5"/>
  <c r="CH328" i="5"/>
  <c r="CI328" i="5"/>
  <c r="CJ328" i="5"/>
  <c r="CK328" i="5"/>
  <c r="CL328" i="5"/>
  <c r="BD329" i="5"/>
  <c r="BE329" i="5"/>
  <c r="BF329" i="5"/>
  <c r="BG329" i="5"/>
  <c r="BH329" i="5"/>
  <c r="BI329" i="5"/>
  <c r="BJ329" i="5"/>
  <c r="BK329" i="5"/>
  <c r="BL329" i="5"/>
  <c r="BM329" i="5"/>
  <c r="BN329" i="5"/>
  <c r="BO329" i="5"/>
  <c r="BP329" i="5"/>
  <c r="BQ329" i="5"/>
  <c r="BR329" i="5"/>
  <c r="BS329" i="5"/>
  <c r="BT329" i="5"/>
  <c r="BU329" i="5"/>
  <c r="BV329" i="5"/>
  <c r="BW329" i="5"/>
  <c r="BX329" i="5"/>
  <c r="BY329" i="5"/>
  <c r="BZ329" i="5"/>
  <c r="CA329" i="5"/>
  <c r="CB329" i="5"/>
  <c r="CC329" i="5"/>
  <c r="CD329" i="5"/>
  <c r="CE329" i="5"/>
  <c r="CF329" i="5"/>
  <c r="CG329" i="5"/>
  <c r="CH329" i="5"/>
  <c r="CI329" i="5"/>
  <c r="CJ329" i="5"/>
  <c r="CK329" i="5"/>
  <c r="CL329" i="5"/>
  <c r="BD330" i="5"/>
  <c r="BE330" i="5"/>
  <c r="BF330" i="5"/>
  <c r="BG330" i="5"/>
  <c r="BH330" i="5"/>
  <c r="BI330" i="5"/>
  <c r="BJ330" i="5"/>
  <c r="BK330" i="5"/>
  <c r="BL330" i="5"/>
  <c r="BM330" i="5"/>
  <c r="BN330" i="5"/>
  <c r="BO330" i="5"/>
  <c r="BP330" i="5"/>
  <c r="BQ330" i="5"/>
  <c r="BR330" i="5"/>
  <c r="BS330" i="5"/>
  <c r="BT330" i="5"/>
  <c r="BU330" i="5"/>
  <c r="BV330" i="5"/>
  <c r="BW330" i="5"/>
  <c r="BX330" i="5"/>
  <c r="BY330" i="5"/>
  <c r="BZ330" i="5"/>
  <c r="CA330" i="5"/>
  <c r="CB330" i="5"/>
  <c r="CC330" i="5"/>
  <c r="CD330" i="5"/>
  <c r="CE330" i="5"/>
  <c r="CF330" i="5"/>
  <c r="CG330" i="5"/>
  <c r="CH330" i="5"/>
  <c r="CI330" i="5"/>
  <c r="CJ330" i="5"/>
  <c r="CK330" i="5"/>
  <c r="CL330" i="5"/>
  <c r="BD331" i="5"/>
  <c r="BE331" i="5"/>
  <c r="BF331" i="5"/>
  <c r="BG331" i="5"/>
  <c r="BH331" i="5"/>
  <c r="BI331" i="5"/>
  <c r="BJ331" i="5"/>
  <c r="BK331" i="5"/>
  <c r="BL331" i="5"/>
  <c r="BM331" i="5"/>
  <c r="BN331" i="5"/>
  <c r="BO331" i="5"/>
  <c r="BP331" i="5"/>
  <c r="BQ331" i="5"/>
  <c r="BR331" i="5"/>
  <c r="BS331" i="5"/>
  <c r="BT331" i="5"/>
  <c r="BU331" i="5"/>
  <c r="BV331" i="5"/>
  <c r="BW331" i="5"/>
  <c r="BX331" i="5"/>
  <c r="BY331" i="5"/>
  <c r="BZ331" i="5"/>
  <c r="CA331" i="5"/>
  <c r="CB331" i="5"/>
  <c r="CC331" i="5"/>
  <c r="CD331" i="5"/>
  <c r="CE331" i="5"/>
  <c r="CF331" i="5"/>
  <c r="CG331" i="5"/>
  <c r="CH331" i="5"/>
  <c r="CI331" i="5"/>
  <c r="CJ331" i="5"/>
  <c r="CK331" i="5"/>
  <c r="CL331" i="5"/>
  <c r="BD332" i="5"/>
  <c r="BE332" i="5"/>
  <c r="BF332" i="5"/>
  <c r="BG332" i="5"/>
  <c r="BH332" i="5"/>
  <c r="BI332" i="5"/>
  <c r="BJ332" i="5"/>
  <c r="BK332" i="5"/>
  <c r="BL332" i="5"/>
  <c r="BM332" i="5"/>
  <c r="BN332" i="5"/>
  <c r="BO332" i="5"/>
  <c r="BP332" i="5"/>
  <c r="BQ332" i="5"/>
  <c r="BR332" i="5"/>
  <c r="BS332" i="5"/>
  <c r="BT332" i="5"/>
  <c r="BU332" i="5"/>
  <c r="BV332" i="5"/>
  <c r="BW332" i="5"/>
  <c r="BX332" i="5"/>
  <c r="BY332" i="5"/>
  <c r="BZ332" i="5"/>
  <c r="CA332" i="5"/>
  <c r="CB332" i="5"/>
  <c r="CC332" i="5"/>
  <c r="CD332" i="5"/>
  <c r="CE332" i="5"/>
  <c r="CF332" i="5"/>
  <c r="CG332" i="5"/>
  <c r="CH332" i="5"/>
  <c r="CI332" i="5"/>
  <c r="CJ332" i="5"/>
  <c r="CK332" i="5"/>
  <c r="CL332" i="5"/>
  <c r="BD333" i="5"/>
  <c r="BE333" i="5"/>
  <c r="BF333" i="5"/>
  <c r="BG333" i="5"/>
  <c r="BH333" i="5"/>
  <c r="BI333" i="5"/>
  <c r="BJ333" i="5"/>
  <c r="BK333" i="5"/>
  <c r="BL333" i="5"/>
  <c r="BM333" i="5"/>
  <c r="BN333" i="5"/>
  <c r="BO333" i="5"/>
  <c r="BP333" i="5"/>
  <c r="BQ333" i="5"/>
  <c r="BR333" i="5"/>
  <c r="BS333" i="5"/>
  <c r="BT333" i="5"/>
  <c r="BU333" i="5"/>
  <c r="BV333" i="5"/>
  <c r="BW333" i="5"/>
  <c r="BX333" i="5"/>
  <c r="BY333" i="5"/>
  <c r="BZ333" i="5"/>
  <c r="CA333" i="5"/>
  <c r="CB333" i="5"/>
  <c r="CC333" i="5"/>
  <c r="CD333" i="5"/>
  <c r="CE333" i="5"/>
  <c r="CF333" i="5"/>
  <c r="CG333" i="5"/>
  <c r="CH333" i="5"/>
  <c r="CI333" i="5"/>
  <c r="CJ333" i="5"/>
  <c r="CK333" i="5"/>
  <c r="CL333" i="5"/>
  <c r="BD334" i="5"/>
  <c r="BE334" i="5"/>
  <c r="BF334" i="5"/>
  <c r="BG334" i="5"/>
  <c r="BH334" i="5"/>
  <c r="BI334" i="5"/>
  <c r="BJ334" i="5"/>
  <c r="BK334" i="5"/>
  <c r="BL334" i="5"/>
  <c r="BM334" i="5"/>
  <c r="BN334" i="5"/>
  <c r="BO334" i="5"/>
  <c r="BP334" i="5"/>
  <c r="BQ334" i="5"/>
  <c r="BR334" i="5"/>
  <c r="BS334" i="5"/>
  <c r="BT334" i="5"/>
  <c r="BU334" i="5"/>
  <c r="BV334" i="5"/>
  <c r="BW334" i="5"/>
  <c r="BX334" i="5"/>
  <c r="BY334" i="5"/>
  <c r="BZ334" i="5"/>
  <c r="CA334" i="5"/>
  <c r="CB334" i="5"/>
  <c r="CC334" i="5"/>
  <c r="CD334" i="5"/>
  <c r="CE334" i="5"/>
  <c r="CF334" i="5"/>
  <c r="CG334" i="5"/>
  <c r="CH334" i="5"/>
  <c r="CI334" i="5"/>
  <c r="CJ334" i="5"/>
  <c r="CK334" i="5"/>
  <c r="CL334" i="5"/>
  <c r="BD335" i="5"/>
  <c r="BE335" i="5"/>
  <c r="BF335" i="5"/>
  <c r="BG335" i="5"/>
  <c r="BH335" i="5"/>
  <c r="BI335" i="5"/>
  <c r="BJ335" i="5"/>
  <c r="BK335" i="5"/>
  <c r="BL335" i="5"/>
  <c r="BM335" i="5"/>
  <c r="BN335" i="5"/>
  <c r="BO335" i="5"/>
  <c r="BP335" i="5"/>
  <c r="BQ335" i="5"/>
  <c r="BR335" i="5"/>
  <c r="BS335" i="5"/>
  <c r="BT335" i="5"/>
  <c r="BU335" i="5"/>
  <c r="BV335" i="5"/>
  <c r="BW335" i="5"/>
  <c r="BX335" i="5"/>
  <c r="BY335" i="5"/>
  <c r="BZ335" i="5"/>
  <c r="CA335" i="5"/>
  <c r="CB335" i="5"/>
  <c r="CC335" i="5"/>
  <c r="CD335" i="5"/>
  <c r="CE335" i="5"/>
  <c r="CF335" i="5"/>
  <c r="CG335" i="5"/>
  <c r="CH335" i="5"/>
  <c r="CI335" i="5"/>
  <c r="CJ335" i="5"/>
  <c r="CK335" i="5"/>
  <c r="CL335" i="5"/>
  <c r="BD336" i="5"/>
  <c r="BE336" i="5"/>
  <c r="BF336" i="5"/>
  <c r="BG336" i="5"/>
  <c r="BH336" i="5"/>
  <c r="BI336" i="5"/>
  <c r="BJ336" i="5"/>
  <c r="BK336" i="5"/>
  <c r="BL336" i="5"/>
  <c r="BM336" i="5"/>
  <c r="BN336" i="5"/>
  <c r="BO336" i="5"/>
  <c r="BP336" i="5"/>
  <c r="BQ336" i="5"/>
  <c r="BR336" i="5"/>
  <c r="BS336" i="5"/>
  <c r="BT336" i="5"/>
  <c r="BU336" i="5"/>
  <c r="BV336" i="5"/>
  <c r="BW336" i="5"/>
  <c r="BX336" i="5"/>
  <c r="BY336" i="5"/>
  <c r="BZ336" i="5"/>
  <c r="CA336" i="5"/>
  <c r="CB336" i="5"/>
  <c r="CC336" i="5"/>
  <c r="CD336" i="5"/>
  <c r="CE336" i="5"/>
  <c r="CF336" i="5"/>
  <c r="CG336" i="5"/>
  <c r="CH336" i="5"/>
  <c r="CI336" i="5"/>
  <c r="CJ336" i="5"/>
  <c r="CK336" i="5"/>
  <c r="CL336" i="5"/>
  <c r="BD337" i="5"/>
  <c r="BE337" i="5"/>
  <c r="BF337" i="5"/>
  <c r="BG337" i="5"/>
  <c r="BH337" i="5"/>
  <c r="BI337" i="5"/>
  <c r="BJ337" i="5"/>
  <c r="BK337" i="5"/>
  <c r="BL337" i="5"/>
  <c r="BM337" i="5"/>
  <c r="BN337" i="5"/>
  <c r="BO337" i="5"/>
  <c r="BP337" i="5"/>
  <c r="BQ337" i="5"/>
  <c r="BR337" i="5"/>
  <c r="BS337" i="5"/>
  <c r="BT337" i="5"/>
  <c r="BU337" i="5"/>
  <c r="BV337" i="5"/>
  <c r="BW337" i="5"/>
  <c r="BX337" i="5"/>
  <c r="BY337" i="5"/>
  <c r="BZ337" i="5"/>
  <c r="CA337" i="5"/>
  <c r="CB337" i="5"/>
  <c r="CC337" i="5"/>
  <c r="CD337" i="5"/>
  <c r="CE337" i="5"/>
  <c r="CF337" i="5"/>
  <c r="CG337" i="5"/>
  <c r="CH337" i="5"/>
  <c r="CI337" i="5"/>
  <c r="CJ337" i="5"/>
  <c r="CK337" i="5"/>
  <c r="CL337" i="5"/>
  <c r="BD338" i="5"/>
  <c r="BE338" i="5"/>
  <c r="BF338" i="5"/>
  <c r="BG338" i="5"/>
  <c r="BH338" i="5"/>
  <c r="BI338" i="5"/>
  <c r="BJ338" i="5"/>
  <c r="BK338" i="5"/>
  <c r="BL338" i="5"/>
  <c r="BM338" i="5"/>
  <c r="BN338" i="5"/>
  <c r="BO338" i="5"/>
  <c r="BP338" i="5"/>
  <c r="BQ338" i="5"/>
  <c r="BR338" i="5"/>
  <c r="BS338" i="5"/>
  <c r="BT338" i="5"/>
  <c r="BU338" i="5"/>
  <c r="BV338" i="5"/>
  <c r="BW338" i="5"/>
  <c r="BX338" i="5"/>
  <c r="BY338" i="5"/>
  <c r="BZ338" i="5"/>
  <c r="CA338" i="5"/>
  <c r="CB338" i="5"/>
  <c r="CC338" i="5"/>
  <c r="CD338" i="5"/>
  <c r="CE338" i="5"/>
  <c r="CF338" i="5"/>
  <c r="CG338" i="5"/>
  <c r="CH338" i="5"/>
  <c r="CI338" i="5"/>
  <c r="CJ338" i="5"/>
  <c r="CK338" i="5"/>
  <c r="CL338" i="5"/>
  <c r="BD339" i="5"/>
  <c r="BE339" i="5"/>
  <c r="BF339" i="5"/>
  <c r="BG339" i="5"/>
  <c r="BH339" i="5"/>
  <c r="BI339" i="5"/>
  <c r="BJ339" i="5"/>
  <c r="BK339" i="5"/>
  <c r="BL339" i="5"/>
  <c r="BM339" i="5"/>
  <c r="BN339" i="5"/>
  <c r="BO339" i="5"/>
  <c r="BP339" i="5"/>
  <c r="BQ339" i="5"/>
  <c r="BR339" i="5"/>
  <c r="BS339" i="5"/>
  <c r="BT339" i="5"/>
  <c r="BU339" i="5"/>
  <c r="BV339" i="5"/>
  <c r="BW339" i="5"/>
  <c r="BX339" i="5"/>
  <c r="BY339" i="5"/>
  <c r="BZ339" i="5"/>
  <c r="CA339" i="5"/>
  <c r="CB339" i="5"/>
  <c r="CC339" i="5"/>
  <c r="CD339" i="5"/>
  <c r="CE339" i="5"/>
  <c r="CF339" i="5"/>
  <c r="CG339" i="5"/>
  <c r="CH339" i="5"/>
  <c r="CI339" i="5"/>
  <c r="CJ339" i="5"/>
  <c r="CK339" i="5"/>
  <c r="CL339" i="5"/>
  <c r="BD340" i="5"/>
  <c r="BE340" i="5"/>
  <c r="BF340" i="5"/>
  <c r="BG340" i="5"/>
  <c r="BH340" i="5"/>
  <c r="BI340" i="5"/>
  <c r="BJ340" i="5"/>
  <c r="BK340" i="5"/>
  <c r="BL340" i="5"/>
  <c r="BM340" i="5"/>
  <c r="BN340" i="5"/>
  <c r="BO340" i="5"/>
  <c r="BP340" i="5"/>
  <c r="BQ340" i="5"/>
  <c r="BR340" i="5"/>
  <c r="BS340" i="5"/>
  <c r="BT340" i="5"/>
  <c r="BU340" i="5"/>
  <c r="BV340" i="5"/>
  <c r="BW340" i="5"/>
  <c r="BX340" i="5"/>
  <c r="BY340" i="5"/>
  <c r="BZ340" i="5"/>
  <c r="CA340" i="5"/>
  <c r="CB340" i="5"/>
  <c r="CC340" i="5"/>
  <c r="CD340" i="5"/>
  <c r="CE340" i="5"/>
  <c r="CF340" i="5"/>
  <c r="CG340" i="5"/>
  <c r="CH340" i="5"/>
  <c r="CI340" i="5"/>
  <c r="CJ340" i="5"/>
  <c r="CK340" i="5"/>
  <c r="CL340" i="5"/>
  <c r="BD341" i="5"/>
  <c r="BE341" i="5"/>
  <c r="BF341" i="5"/>
  <c r="BG341" i="5"/>
  <c r="BH341" i="5"/>
  <c r="BI341" i="5"/>
  <c r="BJ341" i="5"/>
  <c r="BK341" i="5"/>
  <c r="BL341" i="5"/>
  <c r="BM341" i="5"/>
  <c r="BN341" i="5"/>
  <c r="BO341" i="5"/>
  <c r="BP341" i="5"/>
  <c r="BQ341" i="5"/>
  <c r="BR341" i="5"/>
  <c r="BS341" i="5"/>
  <c r="BT341" i="5"/>
  <c r="BU341" i="5"/>
  <c r="BV341" i="5"/>
  <c r="BW341" i="5"/>
  <c r="BX341" i="5"/>
  <c r="BY341" i="5"/>
  <c r="BZ341" i="5"/>
  <c r="CA341" i="5"/>
  <c r="CB341" i="5"/>
  <c r="CC341" i="5"/>
  <c r="CD341" i="5"/>
  <c r="CE341" i="5"/>
  <c r="CF341" i="5"/>
  <c r="CG341" i="5"/>
  <c r="CH341" i="5"/>
  <c r="CI341" i="5"/>
  <c r="CJ341" i="5"/>
  <c r="CK341" i="5"/>
  <c r="CL341" i="5"/>
  <c r="BD342" i="5"/>
  <c r="BE342" i="5"/>
  <c r="BF342" i="5"/>
  <c r="BG342" i="5"/>
  <c r="BH342" i="5"/>
  <c r="BI342" i="5"/>
  <c r="BJ342" i="5"/>
  <c r="BK342" i="5"/>
  <c r="BL342" i="5"/>
  <c r="BM342" i="5"/>
  <c r="BN342" i="5"/>
  <c r="BO342" i="5"/>
  <c r="BP342" i="5"/>
  <c r="BQ342" i="5"/>
  <c r="BR342" i="5"/>
  <c r="BS342" i="5"/>
  <c r="BT342" i="5"/>
  <c r="BU342" i="5"/>
  <c r="BV342" i="5"/>
  <c r="BW342" i="5"/>
  <c r="BX342" i="5"/>
  <c r="BY342" i="5"/>
  <c r="BZ342" i="5"/>
  <c r="CA342" i="5"/>
  <c r="CB342" i="5"/>
  <c r="CC342" i="5"/>
  <c r="CD342" i="5"/>
  <c r="CE342" i="5"/>
  <c r="CF342" i="5"/>
  <c r="CG342" i="5"/>
  <c r="CH342" i="5"/>
  <c r="CI342" i="5"/>
  <c r="CJ342" i="5"/>
  <c r="CK342" i="5"/>
  <c r="CL342" i="5"/>
  <c r="BD343" i="5"/>
  <c r="BE343" i="5"/>
  <c r="BF343" i="5"/>
  <c r="BG343" i="5"/>
  <c r="BH343" i="5"/>
  <c r="BI343" i="5"/>
  <c r="BJ343" i="5"/>
  <c r="BK343" i="5"/>
  <c r="BL343" i="5"/>
  <c r="BM343" i="5"/>
  <c r="BN343" i="5"/>
  <c r="BO343" i="5"/>
  <c r="BP343" i="5"/>
  <c r="BQ343" i="5"/>
  <c r="BR343" i="5"/>
  <c r="BS343" i="5"/>
  <c r="BT343" i="5"/>
  <c r="BU343" i="5"/>
  <c r="BV343" i="5"/>
  <c r="BW343" i="5"/>
  <c r="BX343" i="5"/>
  <c r="BY343" i="5"/>
  <c r="BZ343" i="5"/>
  <c r="CA343" i="5"/>
  <c r="CB343" i="5"/>
  <c r="CC343" i="5"/>
  <c r="CD343" i="5"/>
  <c r="CE343" i="5"/>
  <c r="CF343" i="5"/>
  <c r="CG343" i="5"/>
  <c r="CH343" i="5"/>
  <c r="CI343" i="5"/>
  <c r="CJ343" i="5"/>
  <c r="CK343" i="5"/>
  <c r="CL343" i="5"/>
  <c r="BD344" i="5"/>
  <c r="BE344" i="5"/>
  <c r="BF344" i="5"/>
  <c r="BG344" i="5"/>
  <c r="BH344" i="5"/>
  <c r="BI344" i="5"/>
  <c r="BJ344" i="5"/>
  <c r="BK344" i="5"/>
  <c r="BL344" i="5"/>
  <c r="BM344" i="5"/>
  <c r="BN344" i="5"/>
  <c r="BO344" i="5"/>
  <c r="BP344" i="5"/>
  <c r="BQ344" i="5"/>
  <c r="BR344" i="5"/>
  <c r="BS344" i="5"/>
  <c r="BT344" i="5"/>
  <c r="BU344" i="5"/>
  <c r="BV344" i="5"/>
  <c r="BW344" i="5"/>
  <c r="BX344" i="5"/>
  <c r="BY344" i="5"/>
  <c r="BZ344" i="5"/>
  <c r="CA344" i="5"/>
  <c r="CB344" i="5"/>
  <c r="CC344" i="5"/>
  <c r="CD344" i="5"/>
  <c r="CE344" i="5"/>
  <c r="CF344" i="5"/>
  <c r="CG344" i="5"/>
  <c r="CH344" i="5"/>
  <c r="CI344" i="5"/>
  <c r="CJ344" i="5"/>
  <c r="CK344" i="5"/>
  <c r="CL344" i="5"/>
  <c r="BD345" i="5"/>
  <c r="BE345" i="5"/>
  <c r="BF345" i="5"/>
  <c r="BG345" i="5"/>
  <c r="BH345" i="5"/>
  <c r="BI345" i="5"/>
  <c r="BJ345" i="5"/>
  <c r="BK345" i="5"/>
  <c r="BL345" i="5"/>
  <c r="BM345" i="5"/>
  <c r="BN345" i="5"/>
  <c r="BO345" i="5"/>
  <c r="BP345" i="5"/>
  <c r="BQ345" i="5"/>
  <c r="BR345" i="5"/>
  <c r="BS345" i="5"/>
  <c r="BT345" i="5"/>
  <c r="BU345" i="5"/>
  <c r="BV345" i="5"/>
  <c r="BW345" i="5"/>
  <c r="BX345" i="5"/>
  <c r="BY345" i="5"/>
  <c r="BZ345" i="5"/>
  <c r="CA345" i="5"/>
  <c r="CB345" i="5"/>
  <c r="CC345" i="5"/>
  <c r="CD345" i="5"/>
  <c r="CE345" i="5"/>
  <c r="CF345" i="5"/>
  <c r="CG345" i="5"/>
  <c r="CH345" i="5"/>
  <c r="CI345" i="5"/>
  <c r="CJ345" i="5"/>
  <c r="CK345" i="5"/>
  <c r="CL345" i="5"/>
  <c r="BD346" i="5"/>
  <c r="BE346" i="5"/>
  <c r="BF346" i="5"/>
  <c r="BG346" i="5"/>
  <c r="BH346" i="5"/>
  <c r="BI346" i="5"/>
  <c r="BJ346" i="5"/>
  <c r="BK346" i="5"/>
  <c r="BL346" i="5"/>
  <c r="BM346" i="5"/>
  <c r="BN346" i="5"/>
  <c r="BO346" i="5"/>
  <c r="BP346" i="5"/>
  <c r="BQ346" i="5"/>
  <c r="BR346" i="5"/>
  <c r="BS346" i="5"/>
  <c r="BT346" i="5"/>
  <c r="BU346" i="5"/>
  <c r="BV346" i="5"/>
  <c r="BW346" i="5"/>
  <c r="BX346" i="5"/>
  <c r="BY346" i="5"/>
  <c r="BZ346" i="5"/>
  <c r="CA346" i="5"/>
  <c r="CB346" i="5"/>
  <c r="CC346" i="5"/>
  <c r="CD346" i="5"/>
  <c r="CE346" i="5"/>
  <c r="CF346" i="5"/>
  <c r="CG346" i="5"/>
  <c r="CH346" i="5"/>
  <c r="CI346" i="5"/>
  <c r="CJ346" i="5"/>
  <c r="CK346" i="5"/>
  <c r="CL346" i="5"/>
  <c r="BD347" i="5"/>
  <c r="BE347" i="5"/>
  <c r="BF347" i="5"/>
  <c r="BG347" i="5"/>
  <c r="BH347" i="5"/>
  <c r="BI347" i="5"/>
  <c r="BJ347" i="5"/>
  <c r="BK347" i="5"/>
  <c r="BL347" i="5"/>
  <c r="BM347" i="5"/>
  <c r="BN347" i="5"/>
  <c r="BO347" i="5"/>
  <c r="BP347" i="5"/>
  <c r="BQ347" i="5"/>
  <c r="BR347" i="5"/>
  <c r="BS347" i="5"/>
  <c r="BT347" i="5"/>
  <c r="BU347" i="5"/>
  <c r="BV347" i="5"/>
  <c r="BW347" i="5"/>
  <c r="BX347" i="5"/>
  <c r="BY347" i="5"/>
  <c r="BZ347" i="5"/>
  <c r="CA347" i="5"/>
  <c r="CB347" i="5"/>
  <c r="CC347" i="5"/>
  <c r="CD347" i="5"/>
  <c r="CE347" i="5"/>
  <c r="CF347" i="5"/>
  <c r="CG347" i="5"/>
  <c r="CH347" i="5"/>
  <c r="CI347" i="5"/>
  <c r="CJ347" i="5"/>
  <c r="CK347" i="5"/>
  <c r="CL347" i="5"/>
  <c r="BD348" i="5"/>
  <c r="BE348" i="5"/>
  <c r="BF348" i="5"/>
  <c r="BG348" i="5"/>
  <c r="BH348" i="5"/>
  <c r="BI348" i="5"/>
  <c r="BJ348" i="5"/>
  <c r="BK348" i="5"/>
  <c r="BL348" i="5"/>
  <c r="BM348" i="5"/>
  <c r="BN348" i="5"/>
  <c r="BO348" i="5"/>
  <c r="BP348" i="5"/>
  <c r="BQ348" i="5"/>
  <c r="BR348" i="5"/>
  <c r="BS348" i="5"/>
  <c r="BT348" i="5"/>
  <c r="BU348" i="5"/>
  <c r="BV348" i="5"/>
  <c r="BW348" i="5"/>
  <c r="BX348" i="5"/>
  <c r="BY348" i="5"/>
  <c r="BZ348" i="5"/>
  <c r="CA348" i="5"/>
  <c r="CB348" i="5"/>
  <c r="CC348" i="5"/>
  <c r="CD348" i="5"/>
  <c r="CE348" i="5"/>
  <c r="CF348" i="5"/>
  <c r="CG348" i="5"/>
  <c r="CH348" i="5"/>
  <c r="CI348" i="5"/>
  <c r="CJ348" i="5"/>
  <c r="CK348" i="5"/>
  <c r="CL348" i="5"/>
  <c r="BD349" i="5"/>
  <c r="BE349" i="5"/>
  <c r="BF349" i="5"/>
  <c r="BG349" i="5"/>
  <c r="BH349" i="5"/>
  <c r="BI349" i="5"/>
  <c r="BJ349" i="5"/>
  <c r="BK349" i="5"/>
  <c r="BL349" i="5"/>
  <c r="BM349" i="5"/>
  <c r="BN349" i="5"/>
  <c r="BO349" i="5"/>
  <c r="BP349" i="5"/>
  <c r="BQ349" i="5"/>
  <c r="BR349" i="5"/>
  <c r="BS349" i="5"/>
  <c r="BT349" i="5"/>
  <c r="BU349" i="5"/>
  <c r="BV349" i="5"/>
  <c r="BW349" i="5"/>
  <c r="BX349" i="5"/>
  <c r="BY349" i="5"/>
  <c r="BZ349" i="5"/>
  <c r="CA349" i="5"/>
  <c r="CB349" i="5"/>
  <c r="CC349" i="5"/>
  <c r="CD349" i="5"/>
  <c r="CE349" i="5"/>
  <c r="CF349" i="5"/>
  <c r="CG349" i="5"/>
  <c r="CH349" i="5"/>
  <c r="CI349" i="5"/>
  <c r="CJ349" i="5"/>
  <c r="CK349" i="5"/>
  <c r="CL349" i="5"/>
  <c r="BD350" i="5"/>
  <c r="BE350" i="5"/>
  <c r="BF350" i="5"/>
  <c r="BG350" i="5"/>
  <c r="BH350" i="5"/>
  <c r="BI350" i="5"/>
  <c r="BJ350" i="5"/>
  <c r="BK350" i="5"/>
  <c r="BL350" i="5"/>
  <c r="BM350" i="5"/>
  <c r="BN350" i="5"/>
  <c r="BO350" i="5"/>
  <c r="BP350" i="5"/>
  <c r="BQ350" i="5"/>
  <c r="BR350" i="5"/>
  <c r="BS350" i="5"/>
  <c r="BT350" i="5"/>
  <c r="BU350" i="5"/>
  <c r="BV350" i="5"/>
  <c r="BW350" i="5"/>
  <c r="BX350" i="5"/>
  <c r="BY350" i="5"/>
  <c r="BZ350" i="5"/>
  <c r="CA350" i="5"/>
  <c r="CB350" i="5"/>
  <c r="CC350" i="5"/>
  <c r="CD350" i="5"/>
  <c r="CE350" i="5"/>
  <c r="CF350" i="5"/>
  <c r="CG350" i="5"/>
  <c r="CH350" i="5"/>
  <c r="CI350" i="5"/>
  <c r="CJ350" i="5"/>
  <c r="CK350" i="5"/>
  <c r="CL350" i="5"/>
  <c r="BD351" i="5"/>
  <c r="BE351" i="5"/>
  <c r="BF351" i="5"/>
  <c r="BG351" i="5"/>
  <c r="BH351" i="5"/>
  <c r="BI351" i="5"/>
  <c r="BJ351" i="5"/>
  <c r="BK351" i="5"/>
  <c r="BL351" i="5"/>
  <c r="BM351" i="5"/>
  <c r="BN351" i="5"/>
  <c r="BO351" i="5"/>
  <c r="BP351" i="5"/>
  <c r="BQ351" i="5"/>
  <c r="BR351" i="5"/>
  <c r="BS351" i="5"/>
  <c r="BT351" i="5"/>
  <c r="BU351" i="5"/>
  <c r="BV351" i="5"/>
  <c r="BW351" i="5"/>
  <c r="BX351" i="5"/>
  <c r="BY351" i="5"/>
  <c r="BZ351" i="5"/>
  <c r="CA351" i="5"/>
  <c r="CB351" i="5"/>
  <c r="CC351" i="5"/>
  <c r="CD351" i="5"/>
  <c r="CE351" i="5"/>
  <c r="CF351" i="5"/>
  <c r="CG351" i="5"/>
  <c r="CH351" i="5"/>
  <c r="CI351" i="5"/>
  <c r="CJ351" i="5"/>
  <c r="CK351" i="5"/>
  <c r="CL351" i="5"/>
  <c r="BD352" i="5"/>
  <c r="BE352" i="5"/>
  <c r="BF352" i="5"/>
  <c r="BG352" i="5"/>
  <c r="BH352" i="5"/>
  <c r="BI352" i="5"/>
  <c r="BJ352" i="5"/>
  <c r="BK352" i="5"/>
  <c r="BL352" i="5"/>
  <c r="BM352" i="5"/>
  <c r="BN352" i="5"/>
  <c r="BO352" i="5"/>
  <c r="BP352" i="5"/>
  <c r="BQ352" i="5"/>
  <c r="BR352" i="5"/>
  <c r="BS352" i="5"/>
  <c r="BT352" i="5"/>
  <c r="BU352" i="5"/>
  <c r="BV352" i="5"/>
  <c r="BW352" i="5"/>
  <c r="BX352" i="5"/>
  <c r="BY352" i="5"/>
  <c r="BZ352" i="5"/>
  <c r="CA352" i="5"/>
  <c r="CB352" i="5"/>
  <c r="CC352" i="5"/>
  <c r="CD352" i="5"/>
  <c r="CE352" i="5"/>
  <c r="CF352" i="5"/>
  <c r="CG352" i="5"/>
  <c r="CH352" i="5"/>
  <c r="CI352" i="5"/>
  <c r="CJ352" i="5"/>
  <c r="CK352" i="5"/>
  <c r="CL352" i="5"/>
  <c r="BD353" i="5"/>
  <c r="BE353" i="5"/>
  <c r="BF353" i="5"/>
  <c r="BG353" i="5"/>
  <c r="BH353" i="5"/>
  <c r="BI353" i="5"/>
  <c r="BJ353" i="5"/>
  <c r="BK353" i="5"/>
  <c r="BL353" i="5"/>
  <c r="BM353" i="5"/>
  <c r="BN353" i="5"/>
  <c r="BO353" i="5"/>
  <c r="BP353" i="5"/>
  <c r="BQ353" i="5"/>
  <c r="BR353" i="5"/>
  <c r="BS353" i="5"/>
  <c r="BT353" i="5"/>
  <c r="BU353" i="5"/>
  <c r="BV353" i="5"/>
  <c r="BW353" i="5"/>
  <c r="BX353" i="5"/>
  <c r="BY353" i="5"/>
  <c r="BZ353" i="5"/>
  <c r="CA353" i="5"/>
  <c r="CB353" i="5"/>
  <c r="CC353" i="5"/>
  <c r="CD353" i="5"/>
  <c r="CE353" i="5"/>
  <c r="CF353" i="5"/>
  <c r="CG353" i="5"/>
  <c r="CH353" i="5"/>
  <c r="CI353" i="5"/>
  <c r="CJ353" i="5"/>
  <c r="CK353" i="5"/>
  <c r="CL353" i="5"/>
  <c r="BD354" i="5"/>
  <c r="BE354" i="5"/>
  <c r="BF354" i="5"/>
  <c r="BG354" i="5"/>
  <c r="BH354" i="5"/>
  <c r="BI354" i="5"/>
  <c r="BJ354" i="5"/>
  <c r="BK354" i="5"/>
  <c r="BL354" i="5"/>
  <c r="BM354" i="5"/>
  <c r="BN354" i="5"/>
  <c r="BO354" i="5"/>
  <c r="BP354" i="5"/>
  <c r="BQ354" i="5"/>
  <c r="BR354" i="5"/>
  <c r="BS354" i="5"/>
  <c r="BT354" i="5"/>
  <c r="BU354" i="5"/>
  <c r="BV354" i="5"/>
  <c r="BW354" i="5"/>
  <c r="BX354" i="5"/>
  <c r="BY354" i="5"/>
  <c r="BZ354" i="5"/>
  <c r="CA354" i="5"/>
  <c r="CB354" i="5"/>
  <c r="CC354" i="5"/>
  <c r="CD354" i="5"/>
  <c r="CE354" i="5"/>
  <c r="CF354" i="5"/>
  <c r="CG354" i="5"/>
  <c r="CH354" i="5"/>
  <c r="CI354" i="5"/>
  <c r="CJ354" i="5"/>
  <c r="CK354" i="5"/>
  <c r="CL354" i="5"/>
  <c r="BD355" i="5"/>
  <c r="BE355" i="5"/>
  <c r="BF355" i="5"/>
  <c r="BG355" i="5"/>
  <c r="BH355" i="5"/>
  <c r="BI355" i="5"/>
  <c r="BJ355" i="5"/>
  <c r="BK355" i="5"/>
  <c r="BL355" i="5"/>
  <c r="BM355" i="5"/>
  <c r="BN355" i="5"/>
  <c r="BO355" i="5"/>
  <c r="BP355" i="5"/>
  <c r="BQ355" i="5"/>
  <c r="BR355" i="5"/>
  <c r="BS355" i="5"/>
  <c r="BT355" i="5"/>
  <c r="BU355" i="5"/>
  <c r="BV355" i="5"/>
  <c r="BW355" i="5"/>
  <c r="BX355" i="5"/>
  <c r="BY355" i="5"/>
  <c r="BZ355" i="5"/>
  <c r="CA355" i="5"/>
  <c r="CB355" i="5"/>
  <c r="CC355" i="5"/>
  <c r="CD355" i="5"/>
  <c r="CE355" i="5"/>
  <c r="CF355" i="5"/>
  <c r="CG355" i="5"/>
  <c r="CH355" i="5"/>
  <c r="CI355" i="5"/>
  <c r="CJ355" i="5"/>
  <c r="CK355" i="5"/>
  <c r="CL355" i="5"/>
  <c r="BD356" i="5"/>
  <c r="BE356" i="5"/>
  <c r="BF356" i="5"/>
  <c r="BG356" i="5"/>
  <c r="BH356" i="5"/>
  <c r="BI356" i="5"/>
  <c r="BJ356" i="5"/>
  <c r="BK356" i="5"/>
  <c r="BL356" i="5"/>
  <c r="BM356" i="5"/>
  <c r="BN356" i="5"/>
  <c r="BO356" i="5"/>
  <c r="BP356" i="5"/>
  <c r="BQ356" i="5"/>
  <c r="BR356" i="5"/>
  <c r="BS356" i="5"/>
  <c r="BT356" i="5"/>
  <c r="BU356" i="5"/>
  <c r="BV356" i="5"/>
  <c r="BW356" i="5"/>
  <c r="BX356" i="5"/>
  <c r="BY356" i="5"/>
  <c r="BZ356" i="5"/>
  <c r="CA356" i="5"/>
  <c r="CB356" i="5"/>
  <c r="CC356" i="5"/>
  <c r="CD356" i="5"/>
  <c r="CE356" i="5"/>
  <c r="CF356" i="5"/>
  <c r="CG356" i="5"/>
  <c r="CH356" i="5"/>
  <c r="CI356" i="5"/>
  <c r="CJ356" i="5"/>
  <c r="CK356" i="5"/>
  <c r="CL356" i="5"/>
  <c r="BD357" i="5"/>
  <c r="BE357" i="5"/>
  <c r="BF357" i="5"/>
  <c r="BG357" i="5"/>
  <c r="BH357" i="5"/>
  <c r="BI357" i="5"/>
  <c r="BJ357" i="5"/>
  <c r="BK357" i="5"/>
  <c r="BL357" i="5"/>
  <c r="BM357" i="5"/>
  <c r="BN357" i="5"/>
  <c r="BO357" i="5"/>
  <c r="BP357" i="5"/>
  <c r="BQ357" i="5"/>
  <c r="BR357" i="5"/>
  <c r="BS357" i="5"/>
  <c r="BT357" i="5"/>
  <c r="BU357" i="5"/>
  <c r="BV357" i="5"/>
  <c r="BW357" i="5"/>
  <c r="BX357" i="5"/>
  <c r="BY357" i="5"/>
  <c r="BZ357" i="5"/>
  <c r="CA357" i="5"/>
  <c r="CB357" i="5"/>
  <c r="CC357" i="5"/>
  <c r="CD357" i="5"/>
  <c r="CE357" i="5"/>
  <c r="CF357" i="5"/>
  <c r="CG357" i="5"/>
  <c r="CH357" i="5"/>
  <c r="CI357" i="5"/>
  <c r="CJ357" i="5"/>
  <c r="CK357" i="5"/>
  <c r="CL357" i="5"/>
  <c r="BD358" i="5"/>
  <c r="BE358" i="5"/>
  <c r="BF358" i="5"/>
  <c r="BG358" i="5"/>
  <c r="BH358" i="5"/>
  <c r="BI358" i="5"/>
  <c r="BJ358" i="5"/>
  <c r="BK358" i="5"/>
  <c r="BL358" i="5"/>
  <c r="BM358" i="5"/>
  <c r="BN358" i="5"/>
  <c r="BO358" i="5"/>
  <c r="BP358" i="5"/>
  <c r="BQ358" i="5"/>
  <c r="BR358" i="5"/>
  <c r="BS358" i="5"/>
  <c r="BT358" i="5"/>
  <c r="BU358" i="5"/>
  <c r="BV358" i="5"/>
  <c r="BW358" i="5"/>
  <c r="BX358" i="5"/>
  <c r="BY358" i="5"/>
  <c r="BZ358" i="5"/>
  <c r="CA358" i="5"/>
  <c r="CB358" i="5"/>
  <c r="CC358" i="5"/>
  <c r="CD358" i="5"/>
  <c r="CE358" i="5"/>
  <c r="CF358" i="5"/>
  <c r="CG358" i="5"/>
  <c r="CH358" i="5"/>
  <c r="CI358" i="5"/>
  <c r="CJ358" i="5"/>
  <c r="CK358" i="5"/>
  <c r="CL358" i="5"/>
  <c r="BD359" i="5"/>
  <c r="BE359" i="5"/>
  <c r="BF359" i="5"/>
  <c r="BG359" i="5"/>
  <c r="BH359" i="5"/>
  <c r="BI359" i="5"/>
  <c r="BJ359" i="5"/>
  <c r="BK359" i="5"/>
  <c r="BL359" i="5"/>
  <c r="BM359" i="5"/>
  <c r="BN359" i="5"/>
  <c r="BO359" i="5"/>
  <c r="BP359" i="5"/>
  <c r="BQ359" i="5"/>
  <c r="BR359" i="5"/>
  <c r="BS359" i="5"/>
  <c r="BT359" i="5"/>
  <c r="BU359" i="5"/>
  <c r="BV359" i="5"/>
  <c r="BW359" i="5"/>
  <c r="BX359" i="5"/>
  <c r="BY359" i="5"/>
  <c r="BZ359" i="5"/>
  <c r="CA359" i="5"/>
  <c r="CB359" i="5"/>
  <c r="CC359" i="5"/>
  <c r="CD359" i="5"/>
  <c r="CE359" i="5"/>
  <c r="CF359" i="5"/>
  <c r="CG359" i="5"/>
  <c r="CH359" i="5"/>
  <c r="CI359" i="5"/>
  <c r="CJ359" i="5"/>
  <c r="CK359" i="5"/>
  <c r="CL359" i="5"/>
  <c r="BD360" i="5"/>
  <c r="BE360" i="5"/>
  <c r="BF360" i="5"/>
  <c r="BG360" i="5"/>
  <c r="BH360" i="5"/>
  <c r="BI360" i="5"/>
  <c r="BJ360" i="5"/>
  <c r="BK360" i="5"/>
  <c r="BL360" i="5"/>
  <c r="BM360" i="5"/>
  <c r="BN360" i="5"/>
  <c r="BO360" i="5"/>
  <c r="BP360" i="5"/>
  <c r="BQ360" i="5"/>
  <c r="BR360" i="5"/>
  <c r="BS360" i="5"/>
  <c r="BT360" i="5"/>
  <c r="BU360" i="5"/>
  <c r="BV360" i="5"/>
  <c r="BW360" i="5"/>
  <c r="BX360" i="5"/>
  <c r="BY360" i="5"/>
  <c r="BZ360" i="5"/>
  <c r="CA360" i="5"/>
  <c r="CB360" i="5"/>
  <c r="CC360" i="5"/>
  <c r="CD360" i="5"/>
  <c r="CE360" i="5"/>
  <c r="CF360" i="5"/>
  <c r="CG360" i="5"/>
  <c r="CH360" i="5"/>
  <c r="CI360" i="5"/>
  <c r="CJ360" i="5"/>
  <c r="CK360" i="5"/>
  <c r="CL360" i="5"/>
  <c r="BD361" i="5"/>
  <c r="BE361" i="5"/>
  <c r="BF361" i="5"/>
  <c r="BG361" i="5"/>
  <c r="BH361" i="5"/>
  <c r="BI361" i="5"/>
  <c r="BJ361" i="5"/>
  <c r="BK361" i="5"/>
  <c r="BL361" i="5"/>
  <c r="BM361" i="5"/>
  <c r="BN361" i="5"/>
  <c r="BO361" i="5"/>
  <c r="BP361" i="5"/>
  <c r="BQ361" i="5"/>
  <c r="BR361" i="5"/>
  <c r="BS361" i="5"/>
  <c r="BT361" i="5"/>
  <c r="BU361" i="5"/>
  <c r="BV361" i="5"/>
  <c r="BW361" i="5"/>
  <c r="BX361" i="5"/>
  <c r="BY361" i="5"/>
  <c r="BZ361" i="5"/>
  <c r="CA361" i="5"/>
  <c r="CB361" i="5"/>
  <c r="CC361" i="5"/>
  <c r="CD361" i="5"/>
  <c r="CE361" i="5"/>
  <c r="CF361" i="5"/>
  <c r="CG361" i="5"/>
  <c r="CH361" i="5"/>
  <c r="CI361" i="5"/>
  <c r="CJ361" i="5"/>
  <c r="CK361" i="5"/>
  <c r="CL361" i="5"/>
  <c r="BD362" i="5"/>
  <c r="BE362" i="5"/>
  <c r="BF362" i="5"/>
  <c r="BG362" i="5"/>
  <c r="BH362" i="5"/>
  <c r="BI362" i="5"/>
  <c r="BJ362" i="5"/>
  <c r="BK362" i="5"/>
  <c r="BL362" i="5"/>
  <c r="BM362" i="5"/>
  <c r="BN362" i="5"/>
  <c r="BO362" i="5"/>
  <c r="BP362" i="5"/>
  <c r="BQ362" i="5"/>
  <c r="BR362" i="5"/>
  <c r="BS362" i="5"/>
  <c r="BT362" i="5"/>
  <c r="BU362" i="5"/>
  <c r="BV362" i="5"/>
  <c r="BW362" i="5"/>
  <c r="BX362" i="5"/>
  <c r="BY362" i="5"/>
  <c r="BZ362" i="5"/>
  <c r="CA362" i="5"/>
  <c r="CB362" i="5"/>
  <c r="CC362" i="5"/>
  <c r="CD362" i="5"/>
  <c r="CE362" i="5"/>
  <c r="CF362" i="5"/>
  <c r="CG362" i="5"/>
  <c r="CH362" i="5"/>
  <c r="CI362" i="5"/>
  <c r="CJ362" i="5"/>
  <c r="CK362" i="5"/>
  <c r="CL362" i="5"/>
  <c r="BD363" i="5"/>
  <c r="BE363" i="5"/>
  <c r="BF363" i="5"/>
  <c r="BG363" i="5"/>
  <c r="BH363" i="5"/>
  <c r="BI363" i="5"/>
  <c r="BJ363" i="5"/>
  <c r="BK363" i="5"/>
  <c r="BL363" i="5"/>
  <c r="BM363" i="5"/>
  <c r="BN363" i="5"/>
  <c r="BO363" i="5"/>
  <c r="BP363" i="5"/>
  <c r="BQ363" i="5"/>
  <c r="BR363" i="5"/>
  <c r="BS363" i="5"/>
  <c r="BT363" i="5"/>
  <c r="BU363" i="5"/>
  <c r="BV363" i="5"/>
  <c r="BW363" i="5"/>
  <c r="BX363" i="5"/>
  <c r="BY363" i="5"/>
  <c r="BZ363" i="5"/>
  <c r="CA363" i="5"/>
  <c r="CB363" i="5"/>
  <c r="CC363" i="5"/>
  <c r="CD363" i="5"/>
  <c r="CE363" i="5"/>
  <c r="CF363" i="5"/>
  <c r="CG363" i="5"/>
  <c r="CH363" i="5"/>
  <c r="CI363" i="5"/>
  <c r="CJ363" i="5"/>
  <c r="CK363" i="5"/>
  <c r="CL363" i="5"/>
  <c r="BD364" i="5"/>
  <c r="BE364" i="5"/>
  <c r="BF364" i="5"/>
  <c r="BG364" i="5"/>
  <c r="BH364" i="5"/>
  <c r="BI364" i="5"/>
  <c r="BJ364" i="5"/>
  <c r="BK364" i="5"/>
  <c r="BL364" i="5"/>
  <c r="BM364" i="5"/>
  <c r="BN364" i="5"/>
  <c r="BO364" i="5"/>
  <c r="BP364" i="5"/>
  <c r="BQ364" i="5"/>
  <c r="BR364" i="5"/>
  <c r="BS364" i="5"/>
  <c r="BT364" i="5"/>
  <c r="BU364" i="5"/>
  <c r="BV364" i="5"/>
  <c r="BW364" i="5"/>
  <c r="BX364" i="5"/>
  <c r="BY364" i="5"/>
  <c r="BZ364" i="5"/>
  <c r="CA364" i="5"/>
  <c r="CB364" i="5"/>
  <c r="CC364" i="5"/>
  <c r="CD364" i="5"/>
  <c r="CE364" i="5"/>
  <c r="CF364" i="5"/>
  <c r="CG364" i="5"/>
  <c r="CH364" i="5"/>
  <c r="CI364" i="5"/>
  <c r="CJ364" i="5"/>
  <c r="CK364" i="5"/>
  <c r="CL364" i="5"/>
  <c r="BD365" i="5"/>
  <c r="BE365" i="5"/>
  <c r="BF365" i="5"/>
  <c r="BG365" i="5"/>
  <c r="BH365" i="5"/>
  <c r="BI365" i="5"/>
  <c r="BJ365" i="5"/>
  <c r="BK365" i="5"/>
  <c r="BL365" i="5"/>
  <c r="BM365" i="5"/>
  <c r="BN365" i="5"/>
  <c r="BO365" i="5"/>
  <c r="BP365" i="5"/>
  <c r="BQ365" i="5"/>
  <c r="BR365" i="5"/>
  <c r="BS365" i="5"/>
  <c r="BT365" i="5"/>
  <c r="BU365" i="5"/>
  <c r="BV365" i="5"/>
  <c r="BW365" i="5"/>
  <c r="BX365" i="5"/>
  <c r="BY365" i="5"/>
  <c r="BZ365" i="5"/>
  <c r="CA365" i="5"/>
  <c r="CB365" i="5"/>
  <c r="CC365" i="5"/>
  <c r="CD365" i="5"/>
  <c r="CE365" i="5"/>
  <c r="CF365" i="5"/>
  <c r="CG365" i="5"/>
  <c r="CH365" i="5"/>
  <c r="CI365" i="5"/>
  <c r="CJ365" i="5"/>
  <c r="CK365" i="5"/>
  <c r="CL365" i="5"/>
  <c r="BD366" i="5"/>
  <c r="BE366" i="5"/>
  <c r="BF366" i="5"/>
  <c r="BG366" i="5"/>
  <c r="BH366" i="5"/>
  <c r="BI366" i="5"/>
  <c r="BJ366" i="5"/>
  <c r="BK366" i="5"/>
  <c r="BL366" i="5"/>
  <c r="BM366" i="5"/>
  <c r="BN366" i="5"/>
  <c r="BO366" i="5"/>
  <c r="BP366" i="5"/>
  <c r="BQ366" i="5"/>
  <c r="BR366" i="5"/>
  <c r="BS366" i="5"/>
  <c r="BT366" i="5"/>
  <c r="BU366" i="5"/>
  <c r="BV366" i="5"/>
  <c r="BW366" i="5"/>
  <c r="BX366" i="5"/>
  <c r="BY366" i="5"/>
  <c r="BZ366" i="5"/>
  <c r="CA366" i="5"/>
  <c r="CB366" i="5"/>
  <c r="CC366" i="5"/>
  <c r="CD366" i="5"/>
  <c r="CE366" i="5"/>
  <c r="CF366" i="5"/>
  <c r="CG366" i="5"/>
  <c r="CH366" i="5"/>
  <c r="CI366" i="5"/>
  <c r="CJ366" i="5"/>
  <c r="CK366" i="5"/>
  <c r="CL366" i="5"/>
  <c r="BD367" i="5"/>
  <c r="BE367" i="5"/>
  <c r="BF367" i="5"/>
  <c r="BG367" i="5"/>
  <c r="BH367" i="5"/>
  <c r="BI367" i="5"/>
  <c r="BJ367" i="5"/>
  <c r="BK367" i="5"/>
  <c r="BL367" i="5"/>
  <c r="BM367" i="5"/>
  <c r="BN367" i="5"/>
  <c r="BO367" i="5"/>
  <c r="BP367" i="5"/>
  <c r="BQ367" i="5"/>
  <c r="BR367" i="5"/>
  <c r="BS367" i="5"/>
  <c r="BT367" i="5"/>
  <c r="BU367" i="5"/>
  <c r="BV367" i="5"/>
  <c r="BW367" i="5"/>
  <c r="BX367" i="5"/>
  <c r="BY367" i="5"/>
  <c r="BZ367" i="5"/>
  <c r="CA367" i="5"/>
  <c r="CB367" i="5"/>
  <c r="CC367" i="5"/>
  <c r="CD367" i="5"/>
  <c r="CE367" i="5"/>
  <c r="CF367" i="5"/>
  <c r="CG367" i="5"/>
  <c r="CH367" i="5"/>
  <c r="CI367" i="5"/>
  <c r="CJ367" i="5"/>
  <c r="CK367" i="5"/>
  <c r="CL367" i="5"/>
  <c r="BD368" i="5"/>
  <c r="BE368" i="5"/>
  <c r="BF368" i="5"/>
  <c r="BG368" i="5"/>
  <c r="BH368" i="5"/>
  <c r="BI368" i="5"/>
  <c r="BJ368" i="5"/>
  <c r="BK368" i="5"/>
  <c r="BL368" i="5"/>
  <c r="BM368" i="5"/>
  <c r="BN368" i="5"/>
  <c r="BO368" i="5"/>
  <c r="BP368" i="5"/>
  <c r="BQ368" i="5"/>
  <c r="BR368" i="5"/>
  <c r="BS368" i="5"/>
  <c r="BT368" i="5"/>
  <c r="BU368" i="5"/>
  <c r="BV368" i="5"/>
  <c r="BW368" i="5"/>
  <c r="BX368" i="5"/>
  <c r="BY368" i="5"/>
  <c r="BZ368" i="5"/>
  <c r="CA368" i="5"/>
  <c r="CB368" i="5"/>
  <c r="CC368" i="5"/>
  <c r="CD368" i="5"/>
  <c r="CE368" i="5"/>
  <c r="CF368" i="5"/>
  <c r="CG368" i="5"/>
  <c r="CH368" i="5"/>
  <c r="CI368" i="5"/>
  <c r="CJ368" i="5"/>
  <c r="CK368" i="5"/>
  <c r="CL368" i="5"/>
  <c r="BD369" i="5"/>
  <c r="BE369" i="5"/>
  <c r="BF369" i="5"/>
  <c r="BG369" i="5"/>
  <c r="BH369" i="5"/>
  <c r="BI369" i="5"/>
  <c r="BJ369" i="5"/>
  <c r="BK369" i="5"/>
  <c r="BL369" i="5"/>
  <c r="BM369" i="5"/>
  <c r="BN369" i="5"/>
  <c r="BO369" i="5"/>
  <c r="BP369" i="5"/>
  <c r="BQ369" i="5"/>
  <c r="BR369" i="5"/>
  <c r="BS369" i="5"/>
  <c r="BT369" i="5"/>
  <c r="BU369" i="5"/>
  <c r="BV369" i="5"/>
  <c r="BW369" i="5"/>
  <c r="BX369" i="5"/>
  <c r="BY369" i="5"/>
  <c r="BZ369" i="5"/>
  <c r="CA369" i="5"/>
  <c r="CB369" i="5"/>
  <c r="CC369" i="5"/>
  <c r="CD369" i="5"/>
  <c r="CE369" i="5"/>
  <c r="CF369" i="5"/>
  <c r="CG369" i="5"/>
  <c r="CH369" i="5"/>
  <c r="CI369" i="5"/>
  <c r="CJ369" i="5"/>
  <c r="CK369" i="5"/>
  <c r="CL369" i="5"/>
  <c r="BD370" i="5"/>
  <c r="BE370" i="5"/>
  <c r="BF370" i="5"/>
  <c r="BG370" i="5"/>
  <c r="BH370" i="5"/>
  <c r="BI370" i="5"/>
  <c r="BJ370" i="5"/>
  <c r="BK370" i="5"/>
  <c r="BL370" i="5"/>
  <c r="BM370" i="5"/>
  <c r="BN370" i="5"/>
  <c r="BO370" i="5"/>
  <c r="BP370" i="5"/>
  <c r="BQ370" i="5"/>
  <c r="BR370" i="5"/>
  <c r="BS370" i="5"/>
  <c r="BT370" i="5"/>
  <c r="BU370" i="5"/>
  <c r="BV370" i="5"/>
  <c r="BW370" i="5"/>
  <c r="BX370" i="5"/>
  <c r="BY370" i="5"/>
  <c r="BZ370" i="5"/>
  <c r="CA370" i="5"/>
  <c r="CB370" i="5"/>
  <c r="CC370" i="5"/>
  <c r="CD370" i="5"/>
  <c r="CE370" i="5"/>
  <c r="CF370" i="5"/>
  <c r="CG370" i="5"/>
  <c r="CH370" i="5"/>
  <c r="CI370" i="5"/>
  <c r="CJ370" i="5"/>
  <c r="CK370" i="5"/>
  <c r="CL370" i="5"/>
  <c r="BD371" i="5"/>
  <c r="BE371" i="5"/>
  <c r="BF371" i="5"/>
  <c r="BG371" i="5"/>
  <c r="BH371" i="5"/>
  <c r="BI371" i="5"/>
  <c r="BJ371" i="5"/>
  <c r="BK371" i="5"/>
  <c r="BL371" i="5"/>
  <c r="BM371" i="5"/>
  <c r="BN371" i="5"/>
  <c r="BO371" i="5"/>
  <c r="BP371" i="5"/>
  <c r="BQ371" i="5"/>
  <c r="BR371" i="5"/>
  <c r="BS371" i="5"/>
  <c r="BT371" i="5"/>
  <c r="BU371" i="5"/>
  <c r="BV371" i="5"/>
  <c r="BW371" i="5"/>
  <c r="BX371" i="5"/>
  <c r="BY371" i="5"/>
  <c r="BZ371" i="5"/>
  <c r="CA371" i="5"/>
  <c r="CB371" i="5"/>
  <c r="CC371" i="5"/>
  <c r="CD371" i="5"/>
  <c r="CE371" i="5"/>
  <c r="CF371" i="5"/>
  <c r="CG371" i="5"/>
  <c r="CH371" i="5"/>
  <c r="CI371" i="5"/>
  <c r="CJ371" i="5"/>
  <c r="CK371" i="5"/>
  <c r="CL371" i="5"/>
  <c r="BD372" i="5"/>
  <c r="BE372" i="5"/>
  <c r="BF372" i="5"/>
  <c r="BG372" i="5"/>
  <c r="BH372" i="5"/>
  <c r="BI372" i="5"/>
  <c r="BJ372" i="5"/>
  <c r="BK372" i="5"/>
  <c r="BL372" i="5"/>
  <c r="BM372" i="5"/>
  <c r="BN372" i="5"/>
  <c r="BO372" i="5"/>
  <c r="BP372" i="5"/>
  <c r="BQ372" i="5"/>
  <c r="BR372" i="5"/>
  <c r="BS372" i="5"/>
  <c r="BT372" i="5"/>
  <c r="BU372" i="5"/>
  <c r="BV372" i="5"/>
  <c r="BW372" i="5"/>
  <c r="BX372" i="5"/>
  <c r="BY372" i="5"/>
  <c r="BZ372" i="5"/>
  <c r="CA372" i="5"/>
  <c r="CB372" i="5"/>
  <c r="CC372" i="5"/>
  <c r="CD372" i="5"/>
  <c r="CE372" i="5"/>
  <c r="CF372" i="5"/>
  <c r="CG372" i="5"/>
  <c r="CH372" i="5"/>
  <c r="CI372" i="5"/>
  <c r="CJ372" i="5"/>
  <c r="CK372" i="5"/>
  <c r="CL372" i="5"/>
  <c r="BD373" i="5"/>
  <c r="BE373" i="5"/>
  <c r="BF373" i="5"/>
  <c r="BG373" i="5"/>
  <c r="BH373" i="5"/>
  <c r="BI373" i="5"/>
  <c r="BJ373" i="5"/>
  <c r="BK373" i="5"/>
  <c r="BL373" i="5"/>
  <c r="BM373" i="5"/>
  <c r="BN373" i="5"/>
  <c r="BO373" i="5"/>
  <c r="BP373" i="5"/>
  <c r="BQ373" i="5"/>
  <c r="BR373" i="5"/>
  <c r="BS373" i="5"/>
  <c r="BT373" i="5"/>
  <c r="BU373" i="5"/>
  <c r="BV373" i="5"/>
  <c r="BW373" i="5"/>
  <c r="BX373" i="5"/>
  <c r="BY373" i="5"/>
  <c r="BZ373" i="5"/>
  <c r="CA373" i="5"/>
  <c r="CB373" i="5"/>
  <c r="CC373" i="5"/>
  <c r="CD373" i="5"/>
  <c r="CE373" i="5"/>
  <c r="CF373" i="5"/>
  <c r="CG373" i="5"/>
  <c r="CH373" i="5"/>
  <c r="CI373" i="5"/>
  <c r="CJ373" i="5"/>
  <c r="CK373" i="5"/>
  <c r="CL373" i="5"/>
  <c r="BD374" i="5"/>
  <c r="BE374" i="5"/>
  <c r="BF374" i="5"/>
  <c r="BG374" i="5"/>
  <c r="BH374" i="5"/>
  <c r="BI374" i="5"/>
  <c r="BJ374" i="5"/>
  <c r="BK374" i="5"/>
  <c r="BL374" i="5"/>
  <c r="BM374" i="5"/>
  <c r="BN374" i="5"/>
  <c r="BO374" i="5"/>
  <c r="BP374" i="5"/>
  <c r="BQ374" i="5"/>
  <c r="BR374" i="5"/>
  <c r="BS374" i="5"/>
  <c r="BT374" i="5"/>
  <c r="BU374" i="5"/>
  <c r="BV374" i="5"/>
  <c r="BW374" i="5"/>
  <c r="BX374" i="5"/>
  <c r="BY374" i="5"/>
  <c r="BZ374" i="5"/>
  <c r="CA374" i="5"/>
  <c r="CB374" i="5"/>
  <c r="CC374" i="5"/>
  <c r="CD374" i="5"/>
  <c r="CE374" i="5"/>
  <c r="CF374" i="5"/>
  <c r="CG374" i="5"/>
  <c r="CH374" i="5"/>
  <c r="CI374" i="5"/>
  <c r="CJ374" i="5"/>
  <c r="CK374" i="5"/>
  <c r="CL374" i="5"/>
  <c r="BD375" i="5"/>
  <c r="BE375" i="5"/>
  <c r="BF375" i="5"/>
  <c r="BG375" i="5"/>
  <c r="BH375" i="5"/>
  <c r="BI375" i="5"/>
  <c r="BJ375" i="5"/>
  <c r="BK375" i="5"/>
  <c r="BL375" i="5"/>
  <c r="BM375" i="5"/>
  <c r="BN375" i="5"/>
  <c r="BO375" i="5"/>
  <c r="BP375" i="5"/>
  <c r="BQ375" i="5"/>
  <c r="BR375" i="5"/>
  <c r="BS375" i="5"/>
  <c r="BT375" i="5"/>
  <c r="BU375" i="5"/>
  <c r="BV375" i="5"/>
  <c r="BW375" i="5"/>
  <c r="BX375" i="5"/>
  <c r="BY375" i="5"/>
  <c r="BZ375" i="5"/>
  <c r="CA375" i="5"/>
  <c r="CB375" i="5"/>
  <c r="CC375" i="5"/>
  <c r="CD375" i="5"/>
  <c r="CE375" i="5"/>
  <c r="CF375" i="5"/>
  <c r="CG375" i="5"/>
  <c r="CH375" i="5"/>
  <c r="CI375" i="5"/>
  <c r="CJ375" i="5"/>
  <c r="CK375" i="5"/>
  <c r="CL375" i="5"/>
  <c r="BD376" i="5"/>
  <c r="BE376" i="5"/>
  <c r="BF376" i="5"/>
  <c r="BG376" i="5"/>
  <c r="BH376" i="5"/>
  <c r="BI376" i="5"/>
  <c r="BJ376" i="5"/>
  <c r="BK376" i="5"/>
  <c r="BL376" i="5"/>
  <c r="BM376" i="5"/>
  <c r="BN376" i="5"/>
  <c r="BO376" i="5"/>
  <c r="BP376" i="5"/>
  <c r="BQ376" i="5"/>
  <c r="BR376" i="5"/>
  <c r="BS376" i="5"/>
  <c r="BT376" i="5"/>
  <c r="BU376" i="5"/>
  <c r="BV376" i="5"/>
  <c r="BW376" i="5"/>
  <c r="BX376" i="5"/>
  <c r="BY376" i="5"/>
  <c r="BZ376" i="5"/>
  <c r="CA376" i="5"/>
  <c r="CB376" i="5"/>
  <c r="CC376" i="5"/>
  <c r="CD376" i="5"/>
  <c r="CE376" i="5"/>
  <c r="CF376" i="5"/>
  <c r="CG376" i="5"/>
  <c r="CH376" i="5"/>
  <c r="CI376" i="5"/>
  <c r="CJ376" i="5"/>
  <c r="CK376" i="5"/>
  <c r="CL376" i="5"/>
  <c r="BD377" i="5"/>
  <c r="BE377" i="5"/>
  <c r="BF377" i="5"/>
  <c r="BG377" i="5"/>
  <c r="BH377" i="5"/>
  <c r="BI377" i="5"/>
  <c r="BJ377" i="5"/>
  <c r="BK377" i="5"/>
  <c r="BL377" i="5"/>
  <c r="BM377" i="5"/>
  <c r="BN377" i="5"/>
  <c r="BO377" i="5"/>
  <c r="BP377" i="5"/>
  <c r="BQ377" i="5"/>
  <c r="BR377" i="5"/>
  <c r="BS377" i="5"/>
  <c r="BT377" i="5"/>
  <c r="BU377" i="5"/>
  <c r="BV377" i="5"/>
  <c r="BW377" i="5"/>
  <c r="BX377" i="5"/>
  <c r="BY377" i="5"/>
  <c r="BZ377" i="5"/>
  <c r="CA377" i="5"/>
  <c r="CB377" i="5"/>
  <c r="CC377" i="5"/>
  <c r="CD377" i="5"/>
  <c r="CE377" i="5"/>
  <c r="CF377" i="5"/>
  <c r="CG377" i="5"/>
  <c r="CH377" i="5"/>
  <c r="CI377" i="5"/>
  <c r="CJ377" i="5"/>
  <c r="CK377" i="5"/>
  <c r="CL377" i="5"/>
  <c r="BD378" i="5"/>
  <c r="BE378" i="5"/>
  <c r="BF378" i="5"/>
  <c r="BG378" i="5"/>
  <c r="BH378" i="5"/>
  <c r="BI378" i="5"/>
  <c r="BJ378" i="5"/>
  <c r="BK378" i="5"/>
  <c r="BL378" i="5"/>
  <c r="BM378" i="5"/>
  <c r="BN378" i="5"/>
  <c r="BO378" i="5"/>
  <c r="BP378" i="5"/>
  <c r="BQ378" i="5"/>
  <c r="BR378" i="5"/>
  <c r="BS378" i="5"/>
  <c r="BT378" i="5"/>
  <c r="BU378" i="5"/>
  <c r="BV378" i="5"/>
  <c r="BW378" i="5"/>
  <c r="BX378" i="5"/>
  <c r="BY378" i="5"/>
  <c r="BZ378" i="5"/>
  <c r="CA378" i="5"/>
  <c r="CB378" i="5"/>
  <c r="CC378" i="5"/>
  <c r="CD378" i="5"/>
  <c r="CE378" i="5"/>
  <c r="CF378" i="5"/>
  <c r="CG378" i="5"/>
  <c r="CH378" i="5"/>
  <c r="CI378" i="5"/>
  <c r="CJ378" i="5"/>
  <c r="CK378" i="5"/>
  <c r="CL378" i="5"/>
  <c r="BD379" i="5"/>
  <c r="BE379" i="5"/>
  <c r="BF379" i="5"/>
  <c r="BG379" i="5"/>
  <c r="BH379" i="5"/>
  <c r="BI379" i="5"/>
  <c r="BJ379" i="5"/>
  <c r="BK379" i="5"/>
  <c r="BL379" i="5"/>
  <c r="BM379" i="5"/>
  <c r="BN379" i="5"/>
  <c r="BO379" i="5"/>
  <c r="BP379" i="5"/>
  <c r="BQ379" i="5"/>
  <c r="BR379" i="5"/>
  <c r="BS379" i="5"/>
  <c r="BT379" i="5"/>
  <c r="BU379" i="5"/>
  <c r="BV379" i="5"/>
  <c r="BW379" i="5"/>
  <c r="BX379" i="5"/>
  <c r="BY379" i="5"/>
  <c r="BZ379" i="5"/>
  <c r="CA379" i="5"/>
  <c r="CB379" i="5"/>
  <c r="CC379" i="5"/>
  <c r="CD379" i="5"/>
  <c r="CE379" i="5"/>
  <c r="CF379" i="5"/>
  <c r="CG379" i="5"/>
  <c r="CH379" i="5"/>
  <c r="CI379" i="5"/>
  <c r="CJ379" i="5"/>
  <c r="CK379" i="5"/>
  <c r="CL379" i="5"/>
  <c r="BD380" i="5"/>
  <c r="BE380" i="5"/>
  <c r="BF380" i="5"/>
  <c r="BG380" i="5"/>
  <c r="BH380" i="5"/>
  <c r="BI380" i="5"/>
  <c r="BJ380" i="5"/>
  <c r="BK380" i="5"/>
  <c r="BL380" i="5"/>
  <c r="BM380" i="5"/>
  <c r="BN380" i="5"/>
  <c r="BO380" i="5"/>
  <c r="BP380" i="5"/>
  <c r="BQ380" i="5"/>
  <c r="BR380" i="5"/>
  <c r="BS380" i="5"/>
  <c r="BT380" i="5"/>
  <c r="BU380" i="5"/>
  <c r="BV380" i="5"/>
  <c r="BW380" i="5"/>
  <c r="BX380" i="5"/>
  <c r="BY380" i="5"/>
  <c r="BZ380" i="5"/>
  <c r="CA380" i="5"/>
  <c r="CB380" i="5"/>
  <c r="CC380" i="5"/>
  <c r="CD380" i="5"/>
  <c r="CE380" i="5"/>
  <c r="CF380" i="5"/>
  <c r="CG380" i="5"/>
  <c r="CH380" i="5"/>
  <c r="CI380" i="5"/>
  <c r="CJ380" i="5"/>
  <c r="CK380" i="5"/>
  <c r="CL380" i="5"/>
  <c r="BD381" i="5"/>
  <c r="BE381" i="5"/>
  <c r="BF381" i="5"/>
  <c r="BG381" i="5"/>
  <c r="BH381" i="5"/>
  <c r="BI381" i="5"/>
  <c r="BJ381" i="5"/>
  <c r="BK381" i="5"/>
  <c r="BL381" i="5"/>
  <c r="BM381" i="5"/>
  <c r="BN381" i="5"/>
  <c r="BO381" i="5"/>
  <c r="BP381" i="5"/>
  <c r="BQ381" i="5"/>
  <c r="BR381" i="5"/>
  <c r="BS381" i="5"/>
  <c r="BT381" i="5"/>
  <c r="BU381" i="5"/>
  <c r="BV381" i="5"/>
  <c r="BW381" i="5"/>
  <c r="BX381" i="5"/>
  <c r="BY381" i="5"/>
  <c r="BZ381" i="5"/>
  <c r="CA381" i="5"/>
  <c r="CB381" i="5"/>
  <c r="CC381" i="5"/>
  <c r="CD381" i="5"/>
  <c r="CE381" i="5"/>
  <c r="CF381" i="5"/>
  <c r="CG381" i="5"/>
  <c r="CH381" i="5"/>
  <c r="CI381" i="5"/>
  <c r="CJ381" i="5"/>
  <c r="CK381" i="5"/>
  <c r="CL381" i="5"/>
  <c r="BD382" i="5"/>
  <c r="BE382" i="5"/>
  <c r="BF382" i="5"/>
  <c r="BG382" i="5"/>
  <c r="BH382" i="5"/>
  <c r="BI382" i="5"/>
  <c r="BJ382" i="5"/>
  <c r="BK382" i="5"/>
  <c r="BL382" i="5"/>
  <c r="BM382" i="5"/>
  <c r="BN382" i="5"/>
  <c r="BO382" i="5"/>
  <c r="BP382" i="5"/>
  <c r="BQ382" i="5"/>
  <c r="BR382" i="5"/>
  <c r="BS382" i="5"/>
  <c r="BT382" i="5"/>
  <c r="BU382" i="5"/>
  <c r="BV382" i="5"/>
  <c r="BW382" i="5"/>
  <c r="BX382" i="5"/>
  <c r="BY382" i="5"/>
  <c r="BZ382" i="5"/>
  <c r="CA382" i="5"/>
  <c r="CB382" i="5"/>
  <c r="CC382" i="5"/>
  <c r="CD382" i="5"/>
  <c r="CE382" i="5"/>
  <c r="CF382" i="5"/>
  <c r="CG382" i="5"/>
  <c r="CH382" i="5"/>
  <c r="CI382" i="5"/>
  <c r="CJ382" i="5"/>
  <c r="CK382" i="5"/>
  <c r="CL382" i="5"/>
  <c r="BD383" i="5"/>
  <c r="BE383" i="5"/>
  <c r="BF383" i="5"/>
  <c r="BG383" i="5"/>
  <c r="BH383" i="5"/>
  <c r="BI383" i="5"/>
  <c r="BJ383" i="5"/>
  <c r="BK383" i="5"/>
  <c r="BL383" i="5"/>
  <c r="BM383" i="5"/>
  <c r="BN383" i="5"/>
  <c r="BO383" i="5"/>
  <c r="BP383" i="5"/>
  <c r="BQ383" i="5"/>
  <c r="BR383" i="5"/>
  <c r="BS383" i="5"/>
  <c r="BT383" i="5"/>
  <c r="BU383" i="5"/>
  <c r="BV383" i="5"/>
  <c r="BW383" i="5"/>
  <c r="BX383" i="5"/>
  <c r="BY383" i="5"/>
  <c r="BZ383" i="5"/>
  <c r="CA383" i="5"/>
  <c r="CB383" i="5"/>
  <c r="CC383" i="5"/>
  <c r="CD383" i="5"/>
  <c r="CE383" i="5"/>
  <c r="CF383" i="5"/>
  <c r="CG383" i="5"/>
  <c r="CH383" i="5"/>
  <c r="CI383" i="5"/>
  <c r="CJ383" i="5"/>
  <c r="CK383" i="5"/>
  <c r="CL383" i="5"/>
  <c r="BD384" i="5"/>
  <c r="BE384" i="5"/>
  <c r="BF384" i="5"/>
  <c r="BG384" i="5"/>
  <c r="BH384" i="5"/>
  <c r="BI384" i="5"/>
  <c r="BJ384" i="5"/>
  <c r="BK384" i="5"/>
  <c r="BL384" i="5"/>
  <c r="BM384" i="5"/>
  <c r="BN384" i="5"/>
  <c r="BO384" i="5"/>
  <c r="BP384" i="5"/>
  <c r="BQ384" i="5"/>
  <c r="BR384" i="5"/>
  <c r="BS384" i="5"/>
  <c r="BT384" i="5"/>
  <c r="BU384" i="5"/>
  <c r="BV384" i="5"/>
  <c r="BW384" i="5"/>
  <c r="BX384" i="5"/>
  <c r="BY384" i="5"/>
  <c r="BZ384" i="5"/>
  <c r="CA384" i="5"/>
  <c r="CB384" i="5"/>
  <c r="CC384" i="5"/>
  <c r="CD384" i="5"/>
  <c r="CE384" i="5"/>
  <c r="CF384" i="5"/>
  <c r="CG384" i="5"/>
  <c r="CH384" i="5"/>
  <c r="CI384" i="5"/>
  <c r="CJ384" i="5"/>
  <c r="CK384" i="5"/>
  <c r="CL384" i="5"/>
  <c r="BD385" i="5"/>
  <c r="BE385" i="5"/>
  <c r="BF385" i="5"/>
  <c r="BG385" i="5"/>
  <c r="BH385" i="5"/>
  <c r="BI385" i="5"/>
  <c r="BJ385" i="5"/>
  <c r="BK385" i="5"/>
  <c r="BL385" i="5"/>
  <c r="BM385" i="5"/>
  <c r="BN385" i="5"/>
  <c r="BO385" i="5"/>
  <c r="BP385" i="5"/>
  <c r="BQ385" i="5"/>
  <c r="BR385" i="5"/>
  <c r="BS385" i="5"/>
  <c r="BT385" i="5"/>
  <c r="BU385" i="5"/>
  <c r="BV385" i="5"/>
  <c r="BW385" i="5"/>
  <c r="BX385" i="5"/>
  <c r="BY385" i="5"/>
  <c r="BZ385" i="5"/>
  <c r="CA385" i="5"/>
  <c r="CB385" i="5"/>
  <c r="CC385" i="5"/>
  <c r="CD385" i="5"/>
  <c r="CE385" i="5"/>
  <c r="CF385" i="5"/>
  <c r="CG385" i="5"/>
  <c r="CH385" i="5"/>
  <c r="CI385" i="5"/>
  <c r="CJ385" i="5"/>
  <c r="CK385" i="5"/>
  <c r="CL385" i="5"/>
  <c r="BD386" i="5"/>
  <c r="BE386" i="5"/>
  <c r="BF386" i="5"/>
  <c r="BG386" i="5"/>
  <c r="BH386" i="5"/>
  <c r="BI386" i="5"/>
  <c r="BJ386" i="5"/>
  <c r="BK386" i="5"/>
  <c r="BL386" i="5"/>
  <c r="BM386" i="5"/>
  <c r="BN386" i="5"/>
  <c r="BO386" i="5"/>
  <c r="BP386" i="5"/>
  <c r="BQ386" i="5"/>
  <c r="BR386" i="5"/>
  <c r="BS386" i="5"/>
  <c r="BT386" i="5"/>
  <c r="BU386" i="5"/>
  <c r="BV386" i="5"/>
  <c r="BW386" i="5"/>
  <c r="BX386" i="5"/>
  <c r="BY386" i="5"/>
  <c r="BZ386" i="5"/>
  <c r="CA386" i="5"/>
  <c r="CB386" i="5"/>
  <c r="CC386" i="5"/>
  <c r="CD386" i="5"/>
  <c r="CE386" i="5"/>
  <c r="CF386" i="5"/>
  <c r="CG386" i="5"/>
  <c r="CH386" i="5"/>
  <c r="CI386" i="5"/>
  <c r="CJ386" i="5"/>
  <c r="CK386" i="5"/>
  <c r="CL386" i="5"/>
  <c r="BD387" i="5"/>
  <c r="BE387" i="5"/>
  <c r="BF387" i="5"/>
  <c r="BG387" i="5"/>
  <c r="BH387" i="5"/>
  <c r="BI387" i="5"/>
  <c r="BJ387" i="5"/>
  <c r="BK387" i="5"/>
  <c r="BL387" i="5"/>
  <c r="BM387" i="5"/>
  <c r="BN387" i="5"/>
  <c r="BO387" i="5"/>
  <c r="BP387" i="5"/>
  <c r="BQ387" i="5"/>
  <c r="BR387" i="5"/>
  <c r="BS387" i="5"/>
  <c r="BT387" i="5"/>
  <c r="BU387" i="5"/>
  <c r="BV387" i="5"/>
  <c r="BW387" i="5"/>
  <c r="BX387" i="5"/>
  <c r="BY387" i="5"/>
  <c r="BZ387" i="5"/>
  <c r="CA387" i="5"/>
  <c r="CB387" i="5"/>
  <c r="CC387" i="5"/>
  <c r="CD387" i="5"/>
  <c r="CE387" i="5"/>
  <c r="CF387" i="5"/>
  <c r="CG387" i="5"/>
  <c r="CH387" i="5"/>
  <c r="CI387" i="5"/>
  <c r="CJ387" i="5"/>
  <c r="CK387" i="5"/>
  <c r="CL387" i="5"/>
  <c r="BD388" i="5"/>
  <c r="BE388" i="5"/>
  <c r="BF388" i="5"/>
  <c r="BG388" i="5"/>
  <c r="BH388" i="5"/>
  <c r="BI388" i="5"/>
  <c r="BJ388" i="5"/>
  <c r="BK388" i="5"/>
  <c r="BL388" i="5"/>
  <c r="BM388" i="5"/>
  <c r="BN388" i="5"/>
  <c r="BO388" i="5"/>
  <c r="BP388" i="5"/>
  <c r="BQ388" i="5"/>
  <c r="BR388" i="5"/>
  <c r="BS388" i="5"/>
  <c r="BT388" i="5"/>
  <c r="BU388" i="5"/>
  <c r="BV388" i="5"/>
  <c r="BW388" i="5"/>
  <c r="BX388" i="5"/>
  <c r="BY388" i="5"/>
  <c r="BZ388" i="5"/>
  <c r="CA388" i="5"/>
  <c r="CB388" i="5"/>
  <c r="CC388" i="5"/>
  <c r="CD388" i="5"/>
  <c r="CE388" i="5"/>
  <c r="CF388" i="5"/>
  <c r="CG388" i="5"/>
  <c r="CH388" i="5"/>
  <c r="CI388" i="5"/>
  <c r="CJ388" i="5"/>
  <c r="CK388" i="5"/>
  <c r="CL388" i="5"/>
  <c r="BD389" i="5"/>
  <c r="BE389" i="5"/>
  <c r="BF389" i="5"/>
  <c r="BG389" i="5"/>
  <c r="BH389" i="5"/>
  <c r="BI389" i="5"/>
  <c r="BJ389" i="5"/>
  <c r="BK389" i="5"/>
  <c r="BL389" i="5"/>
  <c r="BM389" i="5"/>
  <c r="BN389" i="5"/>
  <c r="BO389" i="5"/>
  <c r="BP389" i="5"/>
  <c r="BQ389" i="5"/>
  <c r="BR389" i="5"/>
  <c r="BS389" i="5"/>
  <c r="BT389" i="5"/>
  <c r="BU389" i="5"/>
  <c r="BV389" i="5"/>
  <c r="BW389" i="5"/>
  <c r="BX389" i="5"/>
  <c r="BY389" i="5"/>
  <c r="BZ389" i="5"/>
  <c r="CA389" i="5"/>
  <c r="CB389" i="5"/>
  <c r="CC389" i="5"/>
  <c r="CD389" i="5"/>
  <c r="CE389" i="5"/>
  <c r="CF389" i="5"/>
  <c r="CG389" i="5"/>
  <c r="CH389" i="5"/>
  <c r="CI389" i="5"/>
  <c r="CJ389" i="5"/>
  <c r="CK389" i="5"/>
  <c r="CL389" i="5"/>
  <c r="BD390" i="5"/>
  <c r="BE390" i="5"/>
  <c r="BF390" i="5"/>
  <c r="BG390" i="5"/>
  <c r="BH390" i="5"/>
  <c r="BI390" i="5"/>
  <c r="BJ390" i="5"/>
  <c r="BK390" i="5"/>
  <c r="BL390" i="5"/>
  <c r="BM390" i="5"/>
  <c r="BN390" i="5"/>
  <c r="BO390" i="5"/>
  <c r="BP390" i="5"/>
  <c r="BQ390" i="5"/>
  <c r="BR390" i="5"/>
  <c r="BS390" i="5"/>
  <c r="BT390" i="5"/>
  <c r="BU390" i="5"/>
  <c r="BV390" i="5"/>
  <c r="BW390" i="5"/>
  <c r="BX390" i="5"/>
  <c r="BY390" i="5"/>
  <c r="BZ390" i="5"/>
  <c r="CA390" i="5"/>
  <c r="CB390" i="5"/>
  <c r="CC390" i="5"/>
  <c r="CD390" i="5"/>
  <c r="CE390" i="5"/>
  <c r="CF390" i="5"/>
  <c r="CG390" i="5"/>
  <c r="CH390" i="5"/>
  <c r="CI390" i="5"/>
  <c r="CJ390" i="5"/>
  <c r="CK390" i="5"/>
  <c r="CL390" i="5"/>
  <c r="BD391" i="5"/>
  <c r="BE391" i="5"/>
  <c r="BF391" i="5"/>
  <c r="BG391" i="5"/>
  <c r="BH391" i="5"/>
  <c r="BI391" i="5"/>
  <c r="BJ391" i="5"/>
  <c r="BK391" i="5"/>
  <c r="BL391" i="5"/>
  <c r="BM391" i="5"/>
  <c r="BN391" i="5"/>
  <c r="BO391" i="5"/>
  <c r="BP391" i="5"/>
  <c r="BQ391" i="5"/>
  <c r="BR391" i="5"/>
  <c r="BS391" i="5"/>
  <c r="BT391" i="5"/>
  <c r="BU391" i="5"/>
  <c r="BV391" i="5"/>
  <c r="BW391" i="5"/>
  <c r="BX391" i="5"/>
  <c r="BY391" i="5"/>
  <c r="BZ391" i="5"/>
  <c r="CA391" i="5"/>
  <c r="CB391" i="5"/>
  <c r="CC391" i="5"/>
  <c r="CD391" i="5"/>
  <c r="CE391" i="5"/>
  <c r="CF391" i="5"/>
  <c r="CG391" i="5"/>
  <c r="CH391" i="5"/>
  <c r="CI391" i="5"/>
  <c r="CJ391" i="5"/>
  <c r="CK391" i="5"/>
  <c r="CL391" i="5"/>
  <c r="BD392" i="5"/>
  <c r="BE392" i="5"/>
  <c r="BF392" i="5"/>
  <c r="BG392" i="5"/>
  <c r="BH392" i="5"/>
  <c r="BI392" i="5"/>
  <c r="BJ392" i="5"/>
  <c r="BK392" i="5"/>
  <c r="BL392" i="5"/>
  <c r="BM392" i="5"/>
  <c r="BN392" i="5"/>
  <c r="BO392" i="5"/>
  <c r="BP392" i="5"/>
  <c r="BQ392" i="5"/>
  <c r="BR392" i="5"/>
  <c r="BS392" i="5"/>
  <c r="BT392" i="5"/>
  <c r="BU392" i="5"/>
  <c r="BV392" i="5"/>
  <c r="BW392" i="5"/>
  <c r="BX392" i="5"/>
  <c r="BY392" i="5"/>
  <c r="BZ392" i="5"/>
  <c r="CA392" i="5"/>
  <c r="CB392" i="5"/>
  <c r="CC392" i="5"/>
  <c r="CD392" i="5"/>
  <c r="CE392" i="5"/>
  <c r="CF392" i="5"/>
  <c r="CG392" i="5"/>
  <c r="CH392" i="5"/>
  <c r="CI392" i="5"/>
  <c r="CJ392" i="5"/>
  <c r="CK392" i="5"/>
  <c r="CL392" i="5"/>
  <c r="BD393" i="5"/>
  <c r="BE393" i="5"/>
  <c r="BF393" i="5"/>
  <c r="BG393" i="5"/>
  <c r="BH393" i="5"/>
  <c r="BI393" i="5"/>
  <c r="BJ393" i="5"/>
  <c r="BK393" i="5"/>
  <c r="BL393" i="5"/>
  <c r="BM393" i="5"/>
  <c r="BN393" i="5"/>
  <c r="BO393" i="5"/>
  <c r="BP393" i="5"/>
  <c r="BQ393" i="5"/>
  <c r="BR393" i="5"/>
  <c r="BS393" i="5"/>
  <c r="BT393" i="5"/>
  <c r="BU393" i="5"/>
  <c r="BV393" i="5"/>
  <c r="BW393" i="5"/>
  <c r="BX393" i="5"/>
  <c r="BY393" i="5"/>
  <c r="BZ393" i="5"/>
  <c r="CA393" i="5"/>
  <c r="CB393" i="5"/>
  <c r="CC393" i="5"/>
  <c r="CD393" i="5"/>
  <c r="CE393" i="5"/>
  <c r="CF393" i="5"/>
  <c r="CG393" i="5"/>
  <c r="CH393" i="5"/>
  <c r="CI393" i="5"/>
  <c r="CJ393" i="5"/>
  <c r="CK393" i="5"/>
  <c r="CL393" i="5"/>
  <c r="BD394" i="5"/>
  <c r="BE394" i="5"/>
  <c r="BF394" i="5"/>
  <c r="BG394" i="5"/>
  <c r="BH394" i="5"/>
  <c r="BI394" i="5"/>
  <c r="BJ394" i="5"/>
  <c r="BK394" i="5"/>
  <c r="BL394" i="5"/>
  <c r="BM394" i="5"/>
  <c r="BN394" i="5"/>
  <c r="BO394" i="5"/>
  <c r="BP394" i="5"/>
  <c r="BQ394" i="5"/>
  <c r="BR394" i="5"/>
  <c r="BS394" i="5"/>
  <c r="BT394" i="5"/>
  <c r="BU394" i="5"/>
  <c r="BV394" i="5"/>
  <c r="BW394" i="5"/>
  <c r="BX394" i="5"/>
  <c r="BY394" i="5"/>
  <c r="BZ394" i="5"/>
  <c r="CA394" i="5"/>
  <c r="CB394" i="5"/>
  <c r="CC394" i="5"/>
  <c r="CD394" i="5"/>
  <c r="CE394" i="5"/>
  <c r="CF394" i="5"/>
  <c r="CG394" i="5"/>
  <c r="CH394" i="5"/>
  <c r="CI394" i="5"/>
  <c r="CJ394" i="5"/>
  <c r="CK394" i="5"/>
  <c r="CL394" i="5"/>
  <c r="BD395" i="5"/>
  <c r="BE395" i="5"/>
  <c r="BF395" i="5"/>
  <c r="BG395" i="5"/>
  <c r="BH395" i="5"/>
  <c r="BI395" i="5"/>
  <c r="BJ395" i="5"/>
  <c r="BK395" i="5"/>
  <c r="BL395" i="5"/>
  <c r="BM395" i="5"/>
  <c r="BN395" i="5"/>
  <c r="BO395" i="5"/>
  <c r="BP395" i="5"/>
  <c r="BQ395" i="5"/>
  <c r="BR395" i="5"/>
  <c r="BS395" i="5"/>
  <c r="BT395" i="5"/>
  <c r="BU395" i="5"/>
  <c r="BV395" i="5"/>
  <c r="BW395" i="5"/>
  <c r="BX395" i="5"/>
  <c r="BY395" i="5"/>
  <c r="BZ395" i="5"/>
  <c r="CA395" i="5"/>
  <c r="CB395" i="5"/>
  <c r="CC395" i="5"/>
  <c r="CD395" i="5"/>
  <c r="CE395" i="5"/>
  <c r="CF395" i="5"/>
  <c r="CG395" i="5"/>
  <c r="CH395" i="5"/>
  <c r="CI395" i="5"/>
  <c r="CJ395" i="5"/>
  <c r="CK395" i="5"/>
  <c r="CL395" i="5"/>
  <c r="BD396" i="5"/>
  <c r="BE396" i="5"/>
  <c r="BF396" i="5"/>
  <c r="BG396" i="5"/>
  <c r="BH396" i="5"/>
  <c r="BI396" i="5"/>
  <c r="BJ396" i="5"/>
  <c r="BK396" i="5"/>
  <c r="BL396" i="5"/>
  <c r="BM396" i="5"/>
  <c r="BN396" i="5"/>
  <c r="BO396" i="5"/>
  <c r="BP396" i="5"/>
  <c r="BQ396" i="5"/>
  <c r="BR396" i="5"/>
  <c r="BS396" i="5"/>
  <c r="BT396" i="5"/>
  <c r="BU396" i="5"/>
  <c r="BV396" i="5"/>
  <c r="BW396" i="5"/>
  <c r="BX396" i="5"/>
  <c r="BY396" i="5"/>
  <c r="BZ396" i="5"/>
  <c r="CA396" i="5"/>
  <c r="CB396" i="5"/>
  <c r="CC396" i="5"/>
  <c r="CD396" i="5"/>
  <c r="CE396" i="5"/>
  <c r="CF396" i="5"/>
  <c r="CG396" i="5"/>
  <c r="CH396" i="5"/>
  <c r="CI396" i="5"/>
  <c r="CJ396" i="5"/>
  <c r="CK396" i="5"/>
  <c r="CL396" i="5"/>
  <c r="BD397" i="5"/>
  <c r="BE397" i="5"/>
  <c r="BF397" i="5"/>
  <c r="BG397" i="5"/>
  <c r="BH397" i="5"/>
  <c r="BI397" i="5"/>
  <c r="BJ397" i="5"/>
  <c r="BK397" i="5"/>
  <c r="BL397" i="5"/>
  <c r="BM397" i="5"/>
  <c r="BN397" i="5"/>
  <c r="BO397" i="5"/>
  <c r="BP397" i="5"/>
  <c r="BQ397" i="5"/>
  <c r="BR397" i="5"/>
  <c r="BS397" i="5"/>
  <c r="BT397" i="5"/>
  <c r="BU397" i="5"/>
  <c r="BV397" i="5"/>
  <c r="BW397" i="5"/>
  <c r="BX397" i="5"/>
  <c r="BY397" i="5"/>
  <c r="BZ397" i="5"/>
  <c r="CA397" i="5"/>
  <c r="CB397" i="5"/>
  <c r="CC397" i="5"/>
  <c r="CD397" i="5"/>
  <c r="CE397" i="5"/>
  <c r="CF397" i="5"/>
  <c r="CG397" i="5"/>
  <c r="CH397" i="5"/>
  <c r="CI397" i="5"/>
  <c r="CJ397" i="5"/>
  <c r="CK397" i="5"/>
  <c r="CL397" i="5"/>
  <c r="BD398" i="5"/>
  <c r="BE398" i="5"/>
  <c r="BF398" i="5"/>
  <c r="BG398" i="5"/>
  <c r="BH398" i="5"/>
  <c r="BI398" i="5"/>
  <c r="BJ398" i="5"/>
  <c r="BK398" i="5"/>
  <c r="BL398" i="5"/>
  <c r="BM398" i="5"/>
  <c r="BN398" i="5"/>
  <c r="BO398" i="5"/>
  <c r="BP398" i="5"/>
  <c r="BQ398" i="5"/>
  <c r="BR398" i="5"/>
  <c r="BS398" i="5"/>
  <c r="BT398" i="5"/>
  <c r="BU398" i="5"/>
  <c r="BV398" i="5"/>
  <c r="BW398" i="5"/>
  <c r="BX398" i="5"/>
  <c r="BY398" i="5"/>
  <c r="BZ398" i="5"/>
  <c r="CA398" i="5"/>
  <c r="CB398" i="5"/>
  <c r="CC398" i="5"/>
  <c r="CD398" i="5"/>
  <c r="CE398" i="5"/>
  <c r="CF398" i="5"/>
  <c r="CG398" i="5"/>
  <c r="CH398" i="5"/>
  <c r="CI398" i="5"/>
  <c r="CJ398" i="5"/>
  <c r="CK398" i="5"/>
  <c r="CL398" i="5"/>
  <c r="BD399" i="5"/>
  <c r="BE399" i="5"/>
  <c r="BF399" i="5"/>
  <c r="BG399" i="5"/>
  <c r="BH399" i="5"/>
  <c r="BI399" i="5"/>
  <c r="BJ399" i="5"/>
  <c r="BK399" i="5"/>
  <c r="BL399" i="5"/>
  <c r="BM399" i="5"/>
  <c r="BN399" i="5"/>
  <c r="BO399" i="5"/>
  <c r="BP399" i="5"/>
  <c r="BQ399" i="5"/>
  <c r="BR399" i="5"/>
  <c r="BS399" i="5"/>
  <c r="BT399" i="5"/>
  <c r="BU399" i="5"/>
  <c r="BV399" i="5"/>
  <c r="BW399" i="5"/>
  <c r="BX399" i="5"/>
  <c r="BY399" i="5"/>
  <c r="BZ399" i="5"/>
  <c r="CA399" i="5"/>
  <c r="CB399" i="5"/>
  <c r="CC399" i="5"/>
  <c r="CD399" i="5"/>
  <c r="CE399" i="5"/>
  <c r="CF399" i="5"/>
  <c r="CG399" i="5"/>
  <c r="CH399" i="5"/>
  <c r="CI399" i="5"/>
  <c r="CJ399" i="5"/>
  <c r="CK399" i="5"/>
  <c r="CL399" i="5"/>
  <c r="BD400" i="5"/>
  <c r="BE400" i="5"/>
  <c r="BF400" i="5"/>
  <c r="BG400" i="5"/>
  <c r="BH400" i="5"/>
  <c r="BI400" i="5"/>
  <c r="BJ400" i="5"/>
  <c r="BK400" i="5"/>
  <c r="BL400" i="5"/>
  <c r="BM400" i="5"/>
  <c r="BN400" i="5"/>
  <c r="BO400" i="5"/>
  <c r="BP400" i="5"/>
  <c r="BQ400" i="5"/>
  <c r="BR400" i="5"/>
  <c r="BS400" i="5"/>
  <c r="BT400" i="5"/>
  <c r="BU400" i="5"/>
  <c r="BV400" i="5"/>
  <c r="BW400" i="5"/>
  <c r="BX400" i="5"/>
  <c r="BY400" i="5"/>
  <c r="BZ400" i="5"/>
  <c r="CA400" i="5"/>
  <c r="CB400" i="5"/>
  <c r="CC400" i="5"/>
  <c r="CD400" i="5"/>
  <c r="CE400" i="5"/>
  <c r="CF400" i="5"/>
  <c r="CG400" i="5"/>
  <c r="CH400" i="5"/>
  <c r="CI400" i="5"/>
  <c r="CJ400" i="5"/>
  <c r="CK400" i="5"/>
  <c r="CL400" i="5"/>
  <c r="BD401" i="5"/>
  <c r="BE401" i="5"/>
  <c r="BF401" i="5"/>
  <c r="BG401" i="5"/>
  <c r="BH401" i="5"/>
  <c r="BI401" i="5"/>
  <c r="BJ401" i="5"/>
  <c r="BK401" i="5"/>
  <c r="BL401" i="5"/>
  <c r="BM401" i="5"/>
  <c r="BN401" i="5"/>
  <c r="BO401" i="5"/>
  <c r="BP401" i="5"/>
  <c r="BQ401" i="5"/>
  <c r="BR401" i="5"/>
  <c r="BS401" i="5"/>
  <c r="BT401" i="5"/>
  <c r="BU401" i="5"/>
  <c r="BV401" i="5"/>
  <c r="BW401" i="5"/>
  <c r="BX401" i="5"/>
  <c r="BY401" i="5"/>
  <c r="BZ401" i="5"/>
  <c r="CA401" i="5"/>
  <c r="CB401" i="5"/>
  <c r="CC401" i="5"/>
  <c r="CD401" i="5"/>
  <c r="CE401" i="5"/>
  <c r="CF401" i="5"/>
  <c r="CG401" i="5"/>
  <c r="CH401" i="5"/>
  <c r="CI401" i="5"/>
  <c r="CJ401" i="5"/>
  <c r="CK401" i="5"/>
  <c r="CL401" i="5"/>
  <c r="BD402" i="5"/>
  <c r="BE402" i="5"/>
  <c r="BF402" i="5"/>
  <c r="BG402" i="5"/>
  <c r="BH402" i="5"/>
  <c r="BI402" i="5"/>
  <c r="BJ402" i="5"/>
  <c r="BK402" i="5"/>
  <c r="BL402" i="5"/>
  <c r="BM402" i="5"/>
  <c r="BN402" i="5"/>
  <c r="BO402" i="5"/>
  <c r="BP402" i="5"/>
  <c r="BQ402" i="5"/>
  <c r="BR402" i="5"/>
  <c r="BS402" i="5"/>
  <c r="BT402" i="5"/>
  <c r="BU402" i="5"/>
  <c r="BV402" i="5"/>
  <c r="BW402" i="5"/>
  <c r="BX402" i="5"/>
  <c r="BY402" i="5"/>
  <c r="BZ402" i="5"/>
  <c r="CA402" i="5"/>
  <c r="CB402" i="5"/>
  <c r="CC402" i="5"/>
  <c r="CD402" i="5"/>
  <c r="CE402" i="5"/>
  <c r="CF402" i="5"/>
  <c r="CG402" i="5"/>
  <c r="CH402" i="5"/>
  <c r="CI402" i="5"/>
  <c r="CJ402" i="5"/>
  <c r="CK402" i="5"/>
  <c r="CL402" i="5"/>
  <c r="BD403" i="5"/>
  <c r="BE403" i="5"/>
  <c r="BF403" i="5"/>
  <c r="BG403" i="5"/>
  <c r="BH403" i="5"/>
  <c r="BI403" i="5"/>
  <c r="BJ403" i="5"/>
  <c r="BK403" i="5"/>
  <c r="BL403" i="5"/>
  <c r="BM403" i="5"/>
  <c r="BN403" i="5"/>
  <c r="BO403" i="5"/>
  <c r="BP403" i="5"/>
  <c r="BQ403" i="5"/>
  <c r="BR403" i="5"/>
  <c r="BS403" i="5"/>
  <c r="BT403" i="5"/>
  <c r="BU403" i="5"/>
  <c r="BV403" i="5"/>
  <c r="BW403" i="5"/>
  <c r="BX403" i="5"/>
  <c r="BY403" i="5"/>
  <c r="BZ403" i="5"/>
  <c r="CA403" i="5"/>
  <c r="CB403" i="5"/>
  <c r="CC403" i="5"/>
  <c r="CD403" i="5"/>
  <c r="CE403" i="5"/>
  <c r="CF403" i="5"/>
  <c r="CG403" i="5"/>
  <c r="CH403" i="5"/>
  <c r="CI403" i="5"/>
  <c r="CJ403" i="5"/>
  <c r="CK403" i="5"/>
  <c r="CL403" i="5"/>
  <c r="BD404" i="5"/>
  <c r="BE404" i="5"/>
  <c r="BF404" i="5"/>
  <c r="BG404" i="5"/>
  <c r="BH404" i="5"/>
  <c r="BI404" i="5"/>
  <c r="BJ404" i="5"/>
  <c r="BK404" i="5"/>
  <c r="BL404" i="5"/>
  <c r="BM404" i="5"/>
  <c r="BN404" i="5"/>
  <c r="BO404" i="5"/>
  <c r="BP404" i="5"/>
  <c r="BQ404" i="5"/>
  <c r="BR404" i="5"/>
  <c r="BS404" i="5"/>
  <c r="BT404" i="5"/>
  <c r="BU404" i="5"/>
  <c r="BV404" i="5"/>
  <c r="BW404" i="5"/>
  <c r="BX404" i="5"/>
  <c r="BY404" i="5"/>
  <c r="BZ404" i="5"/>
  <c r="CA404" i="5"/>
  <c r="CB404" i="5"/>
  <c r="CC404" i="5"/>
  <c r="CD404" i="5"/>
  <c r="CE404" i="5"/>
  <c r="CF404" i="5"/>
  <c r="CG404" i="5"/>
  <c r="CH404" i="5"/>
  <c r="CI404" i="5"/>
  <c r="CJ404" i="5"/>
  <c r="CK404" i="5"/>
  <c r="CL404" i="5"/>
  <c r="BD405" i="5"/>
  <c r="BE405" i="5"/>
  <c r="BF405" i="5"/>
  <c r="BG405" i="5"/>
  <c r="BH405" i="5"/>
  <c r="BI405" i="5"/>
  <c r="BJ405" i="5"/>
  <c r="BK405" i="5"/>
  <c r="BL405" i="5"/>
  <c r="BM405" i="5"/>
  <c r="BN405" i="5"/>
  <c r="BO405" i="5"/>
  <c r="BP405" i="5"/>
  <c r="BQ405" i="5"/>
  <c r="BR405" i="5"/>
  <c r="BS405" i="5"/>
  <c r="BT405" i="5"/>
  <c r="BU405" i="5"/>
  <c r="BV405" i="5"/>
  <c r="BW405" i="5"/>
  <c r="BX405" i="5"/>
  <c r="BY405" i="5"/>
  <c r="BZ405" i="5"/>
  <c r="CA405" i="5"/>
  <c r="CB405" i="5"/>
  <c r="CC405" i="5"/>
  <c r="CD405" i="5"/>
  <c r="CE405" i="5"/>
  <c r="CF405" i="5"/>
  <c r="CG405" i="5"/>
  <c r="CH405" i="5"/>
  <c r="CI405" i="5"/>
  <c r="CJ405" i="5"/>
  <c r="CK405" i="5"/>
  <c r="CL405" i="5"/>
  <c r="BD406" i="5"/>
  <c r="BE406" i="5"/>
  <c r="BF406" i="5"/>
  <c r="BG406" i="5"/>
  <c r="BH406" i="5"/>
  <c r="BI406" i="5"/>
  <c r="BJ406" i="5"/>
  <c r="BK406" i="5"/>
  <c r="BL406" i="5"/>
  <c r="BM406" i="5"/>
  <c r="BN406" i="5"/>
  <c r="BO406" i="5"/>
  <c r="BP406" i="5"/>
  <c r="BQ406" i="5"/>
  <c r="BR406" i="5"/>
  <c r="BS406" i="5"/>
  <c r="BT406" i="5"/>
  <c r="BU406" i="5"/>
  <c r="BV406" i="5"/>
  <c r="BW406" i="5"/>
  <c r="BX406" i="5"/>
  <c r="BY406" i="5"/>
  <c r="BZ406" i="5"/>
  <c r="CA406" i="5"/>
  <c r="CB406" i="5"/>
  <c r="CC406" i="5"/>
  <c r="CD406" i="5"/>
  <c r="CE406" i="5"/>
  <c r="CF406" i="5"/>
  <c r="CG406" i="5"/>
  <c r="CH406" i="5"/>
  <c r="CI406" i="5"/>
  <c r="CJ406" i="5"/>
  <c r="CK406" i="5"/>
  <c r="CL406" i="5"/>
  <c r="BD407" i="5"/>
  <c r="BE407" i="5"/>
  <c r="BF407" i="5"/>
  <c r="BG407" i="5"/>
  <c r="BH407" i="5"/>
  <c r="BI407" i="5"/>
  <c r="BJ407" i="5"/>
  <c r="BK407" i="5"/>
  <c r="BL407" i="5"/>
  <c r="BM407" i="5"/>
  <c r="BN407" i="5"/>
  <c r="BO407" i="5"/>
  <c r="BP407" i="5"/>
  <c r="BQ407" i="5"/>
  <c r="BR407" i="5"/>
  <c r="BS407" i="5"/>
  <c r="BT407" i="5"/>
  <c r="BU407" i="5"/>
  <c r="BV407" i="5"/>
  <c r="BW407" i="5"/>
  <c r="BX407" i="5"/>
  <c r="BY407" i="5"/>
  <c r="BZ407" i="5"/>
  <c r="CA407" i="5"/>
  <c r="CB407" i="5"/>
  <c r="CC407" i="5"/>
  <c r="CD407" i="5"/>
  <c r="CE407" i="5"/>
  <c r="CF407" i="5"/>
  <c r="CG407" i="5"/>
  <c r="CH407" i="5"/>
  <c r="CI407" i="5"/>
  <c r="CJ407" i="5"/>
  <c r="CK407" i="5"/>
  <c r="CL407" i="5"/>
  <c r="BD408" i="5"/>
  <c r="BE408" i="5"/>
  <c r="BF408" i="5"/>
  <c r="BG408" i="5"/>
  <c r="BH408" i="5"/>
  <c r="BI408" i="5"/>
  <c r="BJ408" i="5"/>
  <c r="BK408" i="5"/>
  <c r="BL408" i="5"/>
  <c r="BM408" i="5"/>
  <c r="BN408" i="5"/>
  <c r="BO408" i="5"/>
  <c r="BP408" i="5"/>
  <c r="BQ408" i="5"/>
  <c r="BR408" i="5"/>
  <c r="BS408" i="5"/>
  <c r="BT408" i="5"/>
  <c r="BU408" i="5"/>
  <c r="BV408" i="5"/>
  <c r="BW408" i="5"/>
  <c r="BX408" i="5"/>
  <c r="BY408" i="5"/>
  <c r="BZ408" i="5"/>
  <c r="CA408" i="5"/>
  <c r="CB408" i="5"/>
  <c r="CC408" i="5"/>
  <c r="CD408" i="5"/>
  <c r="CE408" i="5"/>
  <c r="CF408" i="5"/>
  <c r="CG408" i="5"/>
  <c r="CH408" i="5"/>
  <c r="CI408" i="5"/>
  <c r="CJ408" i="5"/>
  <c r="CK408" i="5"/>
  <c r="CL408" i="5"/>
  <c r="BD409" i="5"/>
  <c r="BE409" i="5"/>
  <c r="BF409" i="5"/>
  <c r="BG409" i="5"/>
  <c r="BH409" i="5"/>
  <c r="BI409" i="5"/>
  <c r="BJ409" i="5"/>
  <c r="BK409" i="5"/>
  <c r="BL409" i="5"/>
  <c r="BM409" i="5"/>
  <c r="BN409" i="5"/>
  <c r="BO409" i="5"/>
  <c r="BP409" i="5"/>
  <c r="BQ409" i="5"/>
  <c r="BR409" i="5"/>
  <c r="BS409" i="5"/>
  <c r="BT409" i="5"/>
  <c r="BU409" i="5"/>
  <c r="BV409" i="5"/>
  <c r="BW409" i="5"/>
  <c r="BX409" i="5"/>
  <c r="BY409" i="5"/>
  <c r="BZ409" i="5"/>
  <c r="CA409" i="5"/>
  <c r="CB409" i="5"/>
  <c r="CC409" i="5"/>
  <c r="CD409" i="5"/>
  <c r="CE409" i="5"/>
  <c r="CF409" i="5"/>
  <c r="CG409" i="5"/>
  <c r="CH409" i="5"/>
  <c r="CI409" i="5"/>
  <c r="CJ409" i="5"/>
  <c r="CK409" i="5"/>
  <c r="CL409" i="5"/>
  <c r="BD410" i="5"/>
  <c r="BE410" i="5"/>
  <c r="BF410" i="5"/>
  <c r="BG410" i="5"/>
  <c r="BH410" i="5"/>
  <c r="BI410" i="5"/>
  <c r="BJ410" i="5"/>
  <c r="BK410" i="5"/>
  <c r="BL410" i="5"/>
  <c r="BM410" i="5"/>
  <c r="BN410" i="5"/>
  <c r="BO410" i="5"/>
  <c r="BP410" i="5"/>
  <c r="BQ410" i="5"/>
  <c r="BR410" i="5"/>
  <c r="BS410" i="5"/>
  <c r="BT410" i="5"/>
  <c r="BU410" i="5"/>
  <c r="BV410" i="5"/>
  <c r="BW410" i="5"/>
  <c r="BX410" i="5"/>
  <c r="BY410" i="5"/>
  <c r="BZ410" i="5"/>
  <c r="CA410" i="5"/>
  <c r="CB410" i="5"/>
  <c r="CC410" i="5"/>
  <c r="CD410" i="5"/>
  <c r="CE410" i="5"/>
  <c r="CF410" i="5"/>
  <c r="CG410" i="5"/>
  <c r="CH410" i="5"/>
  <c r="CI410" i="5"/>
  <c r="CJ410" i="5"/>
  <c r="CK410" i="5"/>
  <c r="CL410" i="5"/>
  <c r="BD411" i="5"/>
  <c r="BE411" i="5"/>
  <c r="BF411" i="5"/>
  <c r="BG411" i="5"/>
  <c r="BH411" i="5"/>
  <c r="BI411" i="5"/>
  <c r="BJ411" i="5"/>
  <c r="BK411" i="5"/>
  <c r="BL411" i="5"/>
  <c r="BM411" i="5"/>
  <c r="BN411" i="5"/>
  <c r="BO411" i="5"/>
  <c r="BP411" i="5"/>
  <c r="BQ411" i="5"/>
  <c r="BR411" i="5"/>
  <c r="BS411" i="5"/>
  <c r="BT411" i="5"/>
  <c r="BU411" i="5"/>
  <c r="BV411" i="5"/>
  <c r="BW411" i="5"/>
  <c r="BX411" i="5"/>
  <c r="BY411" i="5"/>
  <c r="BZ411" i="5"/>
  <c r="CA411" i="5"/>
  <c r="CB411" i="5"/>
  <c r="CC411" i="5"/>
  <c r="CD411" i="5"/>
  <c r="CE411" i="5"/>
  <c r="CF411" i="5"/>
  <c r="CG411" i="5"/>
  <c r="CH411" i="5"/>
  <c r="CI411" i="5"/>
  <c r="CJ411" i="5"/>
  <c r="CK411" i="5"/>
  <c r="CL411" i="5"/>
  <c r="BD412" i="5"/>
  <c r="BE412" i="5"/>
  <c r="BF412" i="5"/>
  <c r="BG412" i="5"/>
  <c r="BH412" i="5"/>
  <c r="BI412" i="5"/>
  <c r="BJ412" i="5"/>
  <c r="BK412" i="5"/>
  <c r="BL412" i="5"/>
  <c r="BM412" i="5"/>
  <c r="BN412" i="5"/>
  <c r="BO412" i="5"/>
  <c r="BP412" i="5"/>
  <c r="BQ412" i="5"/>
  <c r="BR412" i="5"/>
  <c r="BS412" i="5"/>
  <c r="BT412" i="5"/>
  <c r="BU412" i="5"/>
  <c r="BV412" i="5"/>
  <c r="BW412" i="5"/>
  <c r="BX412" i="5"/>
  <c r="BY412" i="5"/>
  <c r="BZ412" i="5"/>
  <c r="CA412" i="5"/>
  <c r="CB412" i="5"/>
  <c r="CC412" i="5"/>
  <c r="CD412" i="5"/>
  <c r="CE412" i="5"/>
  <c r="CF412" i="5"/>
  <c r="CG412" i="5"/>
  <c r="CH412" i="5"/>
  <c r="CI412" i="5"/>
  <c r="CJ412" i="5"/>
  <c r="CK412" i="5"/>
  <c r="CL412" i="5"/>
  <c r="BD413" i="5"/>
  <c r="BE413" i="5"/>
  <c r="BF413" i="5"/>
  <c r="BG413" i="5"/>
  <c r="BH413" i="5"/>
  <c r="BI413" i="5"/>
  <c r="BJ413" i="5"/>
  <c r="BK413" i="5"/>
  <c r="BL413" i="5"/>
  <c r="BM413" i="5"/>
  <c r="BN413" i="5"/>
  <c r="BO413" i="5"/>
  <c r="BP413" i="5"/>
  <c r="BQ413" i="5"/>
  <c r="BR413" i="5"/>
  <c r="BS413" i="5"/>
  <c r="BT413" i="5"/>
  <c r="BU413" i="5"/>
  <c r="BV413" i="5"/>
  <c r="BW413" i="5"/>
  <c r="BX413" i="5"/>
  <c r="BY413" i="5"/>
  <c r="BZ413" i="5"/>
  <c r="CA413" i="5"/>
  <c r="CB413" i="5"/>
  <c r="CC413" i="5"/>
  <c r="CD413" i="5"/>
  <c r="CE413" i="5"/>
  <c r="CF413" i="5"/>
  <c r="CG413" i="5"/>
  <c r="CH413" i="5"/>
  <c r="CI413" i="5"/>
  <c r="CJ413" i="5"/>
  <c r="CK413" i="5"/>
  <c r="CL413" i="5"/>
  <c r="BD414" i="5"/>
  <c r="BE414" i="5"/>
  <c r="BF414" i="5"/>
  <c r="BG414" i="5"/>
  <c r="BH414" i="5"/>
  <c r="BI414" i="5"/>
  <c r="BJ414" i="5"/>
  <c r="BK414" i="5"/>
  <c r="BL414" i="5"/>
  <c r="BM414" i="5"/>
  <c r="BN414" i="5"/>
  <c r="BO414" i="5"/>
  <c r="BP414" i="5"/>
  <c r="BQ414" i="5"/>
  <c r="BR414" i="5"/>
  <c r="BS414" i="5"/>
  <c r="BT414" i="5"/>
  <c r="BU414" i="5"/>
  <c r="BV414" i="5"/>
  <c r="BW414" i="5"/>
  <c r="BX414" i="5"/>
  <c r="BY414" i="5"/>
  <c r="BZ414" i="5"/>
  <c r="CA414" i="5"/>
  <c r="CB414" i="5"/>
  <c r="CC414" i="5"/>
  <c r="CD414" i="5"/>
  <c r="CE414" i="5"/>
  <c r="CF414" i="5"/>
  <c r="CG414" i="5"/>
  <c r="CH414" i="5"/>
  <c r="CI414" i="5"/>
  <c r="CJ414" i="5"/>
  <c r="CK414" i="5"/>
  <c r="CL414" i="5"/>
  <c r="BD415" i="5"/>
  <c r="BE415" i="5"/>
  <c r="BF415" i="5"/>
  <c r="BG415" i="5"/>
  <c r="BH415" i="5"/>
  <c r="BI415" i="5"/>
  <c r="BJ415" i="5"/>
  <c r="BK415" i="5"/>
  <c r="BL415" i="5"/>
  <c r="BM415" i="5"/>
  <c r="BN415" i="5"/>
  <c r="BO415" i="5"/>
  <c r="BP415" i="5"/>
  <c r="BQ415" i="5"/>
  <c r="BR415" i="5"/>
  <c r="BS415" i="5"/>
  <c r="BT415" i="5"/>
  <c r="BU415" i="5"/>
  <c r="BV415" i="5"/>
  <c r="BW415" i="5"/>
  <c r="BX415" i="5"/>
  <c r="BY415" i="5"/>
  <c r="BZ415" i="5"/>
  <c r="CA415" i="5"/>
  <c r="CB415" i="5"/>
  <c r="CC415" i="5"/>
  <c r="CD415" i="5"/>
  <c r="CE415" i="5"/>
  <c r="CF415" i="5"/>
  <c r="CG415" i="5"/>
  <c r="CH415" i="5"/>
  <c r="CI415" i="5"/>
  <c r="CJ415" i="5"/>
  <c r="CK415" i="5"/>
  <c r="CL415" i="5"/>
  <c r="BD416" i="5"/>
  <c r="BE416" i="5"/>
  <c r="BF416" i="5"/>
  <c r="BG416" i="5"/>
  <c r="BH416" i="5"/>
  <c r="BI416" i="5"/>
  <c r="BJ416" i="5"/>
  <c r="BK416" i="5"/>
  <c r="BL416" i="5"/>
  <c r="BM416" i="5"/>
  <c r="BN416" i="5"/>
  <c r="BO416" i="5"/>
  <c r="BP416" i="5"/>
  <c r="BQ416" i="5"/>
  <c r="BR416" i="5"/>
  <c r="BS416" i="5"/>
  <c r="BT416" i="5"/>
  <c r="BU416" i="5"/>
  <c r="BV416" i="5"/>
  <c r="BW416" i="5"/>
  <c r="BX416" i="5"/>
  <c r="BY416" i="5"/>
  <c r="BZ416" i="5"/>
  <c r="CA416" i="5"/>
  <c r="CB416" i="5"/>
  <c r="CC416" i="5"/>
  <c r="CD416" i="5"/>
  <c r="CE416" i="5"/>
  <c r="CF416" i="5"/>
  <c r="CG416" i="5"/>
  <c r="CH416" i="5"/>
  <c r="CI416" i="5"/>
  <c r="CJ416" i="5"/>
  <c r="CK416" i="5"/>
  <c r="CL416" i="5"/>
  <c r="BD417" i="5"/>
  <c r="BE417" i="5"/>
  <c r="BF417" i="5"/>
  <c r="BG417" i="5"/>
  <c r="BH417" i="5"/>
  <c r="BI417" i="5"/>
  <c r="BJ417" i="5"/>
  <c r="BK417" i="5"/>
  <c r="BL417" i="5"/>
  <c r="BM417" i="5"/>
  <c r="BN417" i="5"/>
  <c r="BO417" i="5"/>
  <c r="BP417" i="5"/>
  <c r="BQ417" i="5"/>
  <c r="BR417" i="5"/>
  <c r="BS417" i="5"/>
  <c r="BT417" i="5"/>
  <c r="BU417" i="5"/>
  <c r="BV417" i="5"/>
  <c r="BW417" i="5"/>
  <c r="BX417" i="5"/>
  <c r="BY417" i="5"/>
  <c r="BZ417" i="5"/>
  <c r="CA417" i="5"/>
  <c r="CB417" i="5"/>
  <c r="CC417" i="5"/>
  <c r="CD417" i="5"/>
  <c r="CE417" i="5"/>
  <c r="CF417" i="5"/>
  <c r="CG417" i="5"/>
  <c r="CH417" i="5"/>
  <c r="CI417" i="5"/>
  <c r="CJ417" i="5"/>
  <c r="CK417" i="5"/>
  <c r="CL417" i="5"/>
  <c r="BD418" i="5"/>
  <c r="BE418" i="5"/>
  <c r="BF418" i="5"/>
  <c r="BG418" i="5"/>
  <c r="BH418" i="5"/>
  <c r="BI418" i="5"/>
  <c r="BJ418" i="5"/>
  <c r="BK418" i="5"/>
  <c r="BL418" i="5"/>
  <c r="BM418" i="5"/>
  <c r="BN418" i="5"/>
  <c r="BO418" i="5"/>
  <c r="BP418" i="5"/>
  <c r="BQ418" i="5"/>
  <c r="BR418" i="5"/>
  <c r="BS418" i="5"/>
  <c r="BT418" i="5"/>
  <c r="BU418" i="5"/>
  <c r="BV418" i="5"/>
  <c r="BW418" i="5"/>
  <c r="BX418" i="5"/>
  <c r="BY418" i="5"/>
  <c r="BZ418" i="5"/>
  <c r="CA418" i="5"/>
  <c r="CB418" i="5"/>
  <c r="CC418" i="5"/>
  <c r="CD418" i="5"/>
  <c r="CE418" i="5"/>
  <c r="CF418" i="5"/>
  <c r="CG418" i="5"/>
  <c r="CH418" i="5"/>
  <c r="CI418" i="5"/>
  <c r="CJ418" i="5"/>
  <c r="CK418" i="5"/>
  <c r="CL418" i="5"/>
  <c r="BD419" i="5"/>
  <c r="BE419" i="5"/>
  <c r="BF419" i="5"/>
  <c r="BG419" i="5"/>
  <c r="BH419" i="5"/>
  <c r="BI419" i="5"/>
  <c r="BJ419" i="5"/>
  <c r="BK419" i="5"/>
  <c r="BL419" i="5"/>
  <c r="BM419" i="5"/>
  <c r="BN419" i="5"/>
  <c r="BO419" i="5"/>
  <c r="BP419" i="5"/>
  <c r="BQ419" i="5"/>
  <c r="BR419" i="5"/>
  <c r="BS419" i="5"/>
  <c r="BT419" i="5"/>
  <c r="BU419" i="5"/>
  <c r="BV419" i="5"/>
  <c r="BW419" i="5"/>
  <c r="BX419" i="5"/>
  <c r="BY419" i="5"/>
  <c r="BZ419" i="5"/>
  <c r="CA419" i="5"/>
  <c r="CB419" i="5"/>
  <c r="CC419" i="5"/>
  <c r="CD419" i="5"/>
  <c r="CE419" i="5"/>
  <c r="CF419" i="5"/>
  <c r="CG419" i="5"/>
  <c r="CH419" i="5"/>
  <c r="CI419" i="5"/>
  <c r="CJ419" i="5"/>
  <c r="CK419" i="5"/>
  <c r="CL419" i="5"/>
  <c r="BD420" i="5"/>
  <c r="BE420" i="5"/>
  <c r="BF420" i="5"/>
  <c r="BG420" i="5"/>
  <c r="BH420" i="5"/>
  <c r="BI420" i="5"/>
  <c r="BJ420" i="5"/>
  <c r="BK420" i="5"/>
  <c r="BL420" i="5"/>
  <c r="BM420" i="5"/>
  <c r="BN420" i="5"/>
  <c r="BO420" i="5"/>
  <c r="BP420" i="5"/>
  <c r="BQ420" i="5"/>
  <c r="BR420" i="5"/>
  <c r="BS420" i="5"/>
  <c r="BT420" i="5"/>
  <c r="BU420" i="5"/>
  <c r="BV420" i="5"/>
  <c r="BW420" i="5"/>
  <c r="BX420" i="5"/>
  <c r="BY420" i="5"/>
  <c r="BZ420" i="5"/>
  <c r="CA420" i="5"/>
  <c r="CB420" i="5"/>
  <c r="CC420" i="5"/>
  <c r="CD420" i="5"/>
  <c r="CE420" i="5"/>
  <c r="CF420" i="5"/>
  <c r="CG420" i="5"/>
  <c r="CH420" i="5"/>
  <c r="CI420" i="5"/>
  <c r="CJ420" i="5"/>
  <c r="CK420" i="5"/>
  <c r="CL420" i="5"/>
  <c r="BD421" i="5"/>
  <c r="BE421" i="5"/>
  <c r="BF421" i="5"/>
  <c r="BG421" i="5"/>
  <c r="BH421" i="5"/>
  <c r="BI421" i="5"/>
  <c r="BJ421" i="5"/>
  <c r="BK421" i="5"/>
  <c r="BL421" i="5"/>
  <c r="BM421" i="5"/>
  <c r="BN421" i="5"/>
  <c r="BO421" i="5"/>
  <c r="BP421" i="5"/>
  <c r="BQ421" i="5"/>
  <c r="BR421" i="5"/>
  <c r="BS421" i="5"/>
  <c r="BT421" i="5"/>
  <c r="BU421" i="5"/>
  <c r="BV421" i="5"/>
  <c r="BW421" i="5"/>
  <c r="BX421" i="5"/>
  <c r="BY421" i="5"/>
  <c r="BZ421" i="5"/>
  <c r="CA421" i="5"/>
  <c r="CB421" i="5"/>
  <c r="CC421" i="5"/>
  <c r="CD421" i="5"/>
  <c r="CE421" i="5"/>
  <c r="CF421" i="5"/>
  <c r="CG421" i="5"/>
  <c r="CH421" i="5"/>
  <c r="CI421" i="5"/>
  <c r="CJ421" i="5"/>
  <c r="CK421" i="5"/>
  <c r="CL421" i="5"/>
  <c r="BD422" i="5"/>
  <c r="BE422" i="5"/>
  <c r="BF422" i="5"/>
  <c r="BG422" i="5"/>
  <c r="BH422" i="5"/>
  <c r="BI422" i="5"/>
  <c r="BJ422" i="5"/>
  <c r="BK422" i="5"/>
  <c r="BL422" i="5"/>
  <c r="BM422" i="5"/>
  <c r="BN422" i="5"/>
  <c r="BO422" i="5"/>
  <c r="BP422" i="5"/>
  <c r="BQ422" i="5"/>
  <c r="BR422" i="5"/>
  <c r="BS422" i="5"/>
  <c r="BT422" i="5"/>
  <c r="BU422" i="5"/>
  <c r="BV422" i="5"/>
  <c r="BW422" i="5"/>
  <c r="BX422" i="5"/>
  <c r="BY422" i="5"/>
  <c r="BZ422" i="5"/>
  <c r="CA422" i="5"/>
  <c r="CB422" i="5"/>
  <c r="CC422" i="5"/>
  <c r="CD422" i="5"/>
  <c r="CE422" i="5"/>
  <c r="CF422" i="5"/>
  <c r="CG422" i="5"/>
  <c r="CH422" i="5"/>
  <c r="CI422" i="5"/>
  <c r="CJ422" i="5"/>
  <c r="CK422" i="5"/>
  <c r="CL422" i="5"/>
  <c r="BD423" i="5"/>
  <c r="BE423" i="5"/>
  <c r="BF423" i="5"/>
  <c r="BG423" i="5"/>
  <c r="BH423" i="5"/>
  <c r="BI423" i="5"/>
  <c r="BJ423" i="5"/>
  <c r="BK423" i="5"/>
  <c r="BL423" i="5"/>
  <c r="BM423" i="5"/>
  <c r="BN423" i="5"/>
  <c r="BO423" i="5"/>
  <c r="BP423" i="5"/>
  <c r="BQ423" i="5"/>
  <c r="BR423" i="5"/>
  <c r="BS423" i="5"/>
  <c r="BT423" i="5"/>
  <c r="BU423" i="5"/>
  <c r="BV423" i="5"/>
  <c r="BW423" i="5"/>
  <c r="BX423" i="5"/>
  <c r="BY423" i="5"/>
  <c r="BZ423" i="5"/>
  <c r="CA423" i="5"/>
  <c r="CB423" i="5"/>
  <c r="CC423" i="5"/>
  <c r="CD423" i="5"/>
  <c r="CE423" i="5"/>
  <c r="CF423" i="5"/>
  <c r="CG423" i="5"/>
  <c r="CH423" i="5"/>
  <c r="CI423" i="5"/>
  <c r="CJ423" i="5"/>
  <c r="CK423" i="5"/>
  <c r="CL423" i="5"/>
  <c r="BD424" i="5"/>
  <c r="BE424" i="5"/>
  <c r="BF424" i="5"/>
  <c r="BG424" i="5"/>
  <c r="BH424" i="5"/>
  <c r="BI424" i="5"/>
  <c r="BJ424" i="5"/>
  <c r="BK424" i="5"/>
  <c r="BL424" i="5"/>
  <c r="BM424" i="5"/>
  <c r="BN424" i="5"/>
  <c r="BO424" i="5"/>
  <c r="BP424" i="5"/>
  <c r="BQ424" i="5"/>
  <c r="BR424" i="5"/>
  <c r="BS424" i="5"/>
  <c r="BT424" i="5"/>
  <c r="BU424" i="5"/>
  <c r="BV424" i="5"/>
  <c r="BW424" i="5"/>
  <c r="BX424" i="5"/>
  <c r="BY424" i="5"/>
  <c r="BZ424" i="5"/>
  <c r="CA424" i="5"/>
  <c r="CB424" i="5"/>
  <c r="CC424" i="5"/>
  <c r="CD424" i="5"/>
  <c r="CE424" i="5"/>
  <c r="CF424" i="5"/>
  <c r="CG424" i="5"/>
  <c r="CH424" i="5"/>
  <c r="CI424" i="5"/>
  <c r="CJ424" i="5"/>
  <c r="CK424" i="5"/>
  <c r="CL424" i="5"/>
  <c r="BD425" i="5"/>
  <c r="BE425" i="5"/>
  <c r="BF425" i="5"/>
  <c r="BG425" i="5"/>
  <c r="BH425" i="5"/>
  <c r="BI425" i="5"/>
  <c r="BJ425" i="5"/>
  <c r="BK425" i="5"/>
  <c r="BL425" i="5"/>
  <c r="BM425" i="5"/>
  <c r="BN425" i="5"/>
  <c r="BO425" i="5"/>
  <c r="BP425" i="5"/>
  <c r="BQ425" i="5"/>
  <c r="BR425" i="5"/>
  <c r="BS425" i="5"/>
  <c r="BT425" i="5"/>
  <c r="BU425" i="5"/>
  <c r="BV425" i="5"/>
  <c r="BW425" i="5"/>
  <c r="BX425" i="5"/>
  <c r="BY425" i="5"/>
  <c r="BZ425" i="5"/>
  <c r="CA425" i="5"/>
  <c r="CB425" i="5"/>
  <c r="CC425" i="5"/>
  <c r="CD425" i="5"/>
  <c r="CE425" i="5"/>
  <c r="CF425" i="5"/>
  <c r="CG425" i="5"/>
  <c r="CH425" i="5"/>
  <c r="CI425" i="5"/>
  <c r="CJ425" i="5"/>
  <c r="CK425" i="5"/>
  <c r="CL425" i="5"/>
  <c r="BD426" i="5"/>
  <c r="BE426" i="5"/>
  <c r="BF426" i="5"/>
  <c r="BG426" i="5"/>
  <c r="BH426" i="5"/>
  <c r="BI426" i="5"/>
  <c r="BJ426" i="5"/>
  <c r="BK426" i="5"/>
  <c r="BL426" i="5"/>
  <c r="BM426" i="5"/>
  <c r="BN426" i="5"/>
  <c r="BO426" i="5"/>
  <c r="BP426" i="5"/>
  <c r="BQ426" i="5"/>
  <c r="BR426" i="5"/>
  <c r="BS426" i="5"/>
  <c r="BT426" i="5"/>
  <c r="BU426" i="5"/>
  <c r="BV426" i="5"/>
  <c r="BW426" i="5"/>
  <c r="BX426" i="5"/>
  <c r="BY426" i="5"/>
  <c r="BZ426" i="5"/>
  <c r="CA426" i="5"/>
  <c r="CB426" i="5"/>
  <c r="CC426" i="5"/>
  <c r="CD426" i="5"/>
  <c r="CE426" i="5"/>
  <c r="CF426" i="5"/>
  <c r="CG426" i="5"/>
  <c r="CH426" i="5"/>
  <c r="CI426" i="5"/>
  <c r="CJ426" i="5"/>
  <c r="CK426" i="5"/>
  <c r="CL426" i="5"/>
  <c r="BD427" i="5"/>
  <c r="BE427" i="5"/>
  <c r="BF427" i="5"/>
  <c r="BG427" i="5"/>
  <c r="BH427" i="5"/>
  <c r="BI427" i="5"/>
  <c r="BJ427" i="5"/>
  <c r="BK427" i="5"/>
  <c r="BL427" i="5"/>
  <c r="BM427" i="5"/>
  <c r="BN427" i="5"/>
  <c r="BO427" i="5"/>
  <c r="BP427" i="5"/>
  <c r="BQ427" i="5"/>
  <c r="BR427" i="5"/>
  <c r="BS427" i="5"/>
  <c r="BT427" i="5"/>
  <c r="BU427" i="5"/>
  <c r="BV427" i="5"/>
  <c r="BW427" i="5"/>
  <c r="BX427" i="5"/>
  <c r="BY427" i="5"/>
  <c r="BZ427" i="5"/>
  <c r="CA427" i="5"/>
  <c r="CB427" i="5"/>
  <c r="CC427" i="5"/>
  <c r="CD427" i="5"/>
  <c r="CE427" i="5"/>
  <c r="CF427" i="5"/>
  <c r="CG427" i="5"/>
  <c r="CH427" i="5"/>
  <c r="CI427" i="5"/>
  <c r="CJ427" i="5"/>
  <c r="CK427" i="5"/>
  <c r="CL427" i="5"/>
  <c r="BD428" i="5"/>
  <c r="BE428" i="5"/>
  <c r="BF428" i="5"/>
  <c r="BG428" i="5"/>
  <c r="BH428" i="5"/>
  <c r="BI428" i="5"/>
  <c r="BJ428" i="5"/>
  <c r="BK428" i="5"/>
  <c r="BL428" i="5"/>
  <c r="BM428" i="5"/>
  <c r="BN428" i="5"/>
  <c r="BO428" i="5"/>
  <c r="BP428" i="5"/>
  <c r="BQ428" i="5"/>
  <c r="BR428" i="5"/>
  <c r="BS428" i="5"/>
  <c r="BT428" i="5"/>
  <c r="BU428" i="5"/>
  <c r="BV428" i="5"/>
  <c r="BW428" i="5"/>
  <c r="BX428" i="5"/>
  <c r="BY428" i="5"/>
  <c r="BZ428" i="5"/>
  <c r="CA428" i="5"/>
  <c r="CB428" i="5"/>
  <c r="CC428" i="5"/>
  <c r="CD428" i="5"/>
  <c r="CE428" i="5"/>
  <c r="CF428" i="5"/>
  <c r="CG428" i="5"/>
  <c r="CH428" i="5"/>
  <c r="CI428" i="5"/>
  <c r="CJ428" i="5"/>
  <c r="CK428" i="5"/>
  <c r="CL428" i="5"/>
  <c r="BD429" i="5"/>
  <c r="BE429" i="5"/>
  <c r="BF429" i="5"/>
  <c r="BG429" i="5"/>
  <c r="BH429" i="5"/>
  <c r="BI429" i="5"/>
  <c r="BJ429" i="5"/>
  <c r="BK429" i="5"/>
  <c r="BL429" i="5"/>
  <c r="BM429" i="5"/>
  <c r="BN429" i="5"/>
  <c r="BO429" i="5"/>
  <c r="BP429" i="5"/>
  <c r="BQ429" i="5"/>
  <c r="BR429" i="5"/>
  <c r="BS429" i="5"/>
  <c r="BT429" i="5"/>
  <c r="BU429" i="5"/>
  <c r="BV429" i="5"/>
  <c r="BW429" i="5"/>
  <c r="BX429" i="5"/>
  <c r="BY429" i="5"/>
  <c r="BZ429" i="5"/>
  <c r="CA429" i="5"/>
  <c r="CB429" i="5"/>
  <c r="CC429" i="5"/>
  <c r="CD429" i="5"/>
  <c r="CE429" i="5"/>
  <c r="CF429" i="5"/>
  <c r="CG429" i="5"/>
  <c r="CH429" i="5"/>
  <c r="CI429" i="5"/>
  <c r="CJ429" i="5"/>
  <c r="CK429" i="5"/>
  <c r="CL429" i="5"/>
  <c r="BD430" i="5"/>
  <c r="BE430" i="5"/>
  <c r="BF430" i="5"/>
  <c r="BG430" i="5"/>
  <c r="BH430" i="5"/>
  <c r="BI430" i="5"/>
  <c r="BJ430" i="5"/>
  <c r="BK430" i="5"/>
  <c r="BL430" i="5"/>
  <c r="BM430" i="5"/>
  <c r="BN430" i="5"/>
  <c r="BO430" i="5"/>
  <c r="BP430" i="5"/>
  <c r="BQ430" i="5"/>
  <c r="BR430" i="5"/>
  <c r="BS430" i="5"/>
  <c r="BT430" i="5"/>
  <c r="BU430" i="5"/>
  <c r="BV430" i="5"/>
  <c r="BW430" i="5"/>
  <c r="BX430" i="5"/>
  <c r="BY430" i="5"/>
  <c r="BZ430" i="5"/>
  <c r="CA430" i="5"/>
  <c r="CB430" i="5"/>
  <c r="CC430" i="5"/>
  <c r="CD430" i="5"/>
  <c r="CE430" i="5"/>
  <c r="CF430" i="5"/>
  <c r="CG430" i="5"/>
  <c r="CH430" i="5"/>
  <c r="CI430" i="5"/>
  <c r="CJ430" i="5"/>
  <c r="CK430" i="5"/>
  <c r="CL430" i="5"/>
  <c r="BD431" i="5"/>
  <c r="BE431" i="5"/>
  <c r="BF431" i="5"/>
  <c r="BG431" i="5"/>
  <c r="BH431" i="5"/>
  <c r="BI431" i="5"/>
  <c r="BJ431" i="5"/>
  <c r="BK431" i="5"/>
  <c r="BL431" i="5"/>
  <c r="BM431" i="5"/>
  <c r="BN431" i="5"/>
  <c r="BO431" i="5"/>
  <c r="BP431" i="5"/>
  <c r="BQ431" i="5"/>
  <c r="BR431" i="5"/>
  <c r="BS431" i="5"/>
  <c r="BT431" i="5"/>
  <c r="BU431" i="5"/>
  <c r="BV431" i="5"/>
  <c r="BW431" i="5"/>
  <c r="BX431" i="5"/>
  <c r="BY431" i="5"/>
  <c r="BZ431" i="5"/>
  <c r="CA431" i="5"/>
  <c r="CB431" i="5"/>
  <c r="CC431" i="5"/>
  <c r="CD431" i="5"/>
  <c r="CE431" i="5"/>
  <c r="CF431" i="5"/>
  <c r="CG431" i="5"/>
  <c r="CH431" i="5"/>
  <c r="CI431" i="5"/>
  <c r="CJ431" i="5"/>
  <c r="CK431" i="5"/>
  <c r="CL431" i="5"/>
  <c r="BD432" i="5"/>
  <c r="BE432" i="5"/>
  <c r="BF432" i="5"/>
  <c r="BG432" i="5"/>
  <c r="BH432" i="5"/>
  <c r="BI432" i="5"/>
  <c r="BJ432" i="5"/>
  <c r="BK432" i="5"/>
  <c r="BL432" i="5"/>
  <c r="BM432" i="5"/>
  <c r="BN432" i="5"/>
  <c r="BO432" i="5"/>
  <c r="BP432" i="5"/>
  <c r="BQ432" i="5"/>
  <c r="BR432" i="5"/>
  <c r="BS432" i="5"/>
  <c r="BT432" i="5"/>
  <c r="BU432" i="5"/>
  <c r="BV432" i="5"/>
  <c r="BW432" i="5"/>
  <c r="BX432" i="5"/>
  <c r="BY432" i="5"/>
  <c r="BZ432" i="5"/>
  <c r="CA432" i="5"/>
  <c r="CB432" i="5"/>
  <c r="CC432" i="5"/>
  <c r="CD432" i="5"/>
  <c r="CE432" i="5"/>
  <c r="CF432" i="5"/>
  <c r="CG432" i="5"/>
  <c r="CH432" i="5"/>
  <c r="CI432" i="5"/>
  <c r="CJ432" i="5"/>
  <c r="CK432" i="5"/>
  <c r="CL432" i="5"/>
  <c r="BD433" i="5"/>
  <c r="BE433" i="5"/>
  <c r="BF433" i="5"/>
  <c r="BG433" i="5"/>
  <c r="BH433" i="5"/>
  <c r="BI433" i="5"/>
  <c r="BJ433" i="5"/>
  <c r="BK433" i="5"/>
  <c r="BL433" i="5"/>
  <c r="BM433" i="5"/>
  <c r="BN433" i="5"/>
  <c r="BO433" i="5"/>
  <c r="BP433" i="5"/>
  <c r="BQ433" i="5"/>
  <c r="BR433" i="5"/>
  <c r="BS433" i="5"/>
  <c r="BT433" i="5"/>
  <c r="BU433" i="5"/>
  <c r="BV433" i="5"/>
  <c r="BW433" i="5"/>
  <c r="BX433" i="5"/>
  <c r="BY433" i="5"/>
  <c r="BZ433" i="5"/>
  <c r="CA433" i="5"/>
  <c r="CB433" i="5"/>
  <c r="CC433" i="5"/>
  <c r="CD433" i="5"/>
  <c r="CE433" i="5"/>
  <c r="CF433" i="5"/>
  <c r="CG433" i="5"/>
  <c r="CH433" i="5"/>
  <c r="CI433" i="5"/>
  <c r="CJ433" i="5"/>
  <c r="CK433" i="5"/>
  <c r="CL433" i="5"/>
  <c r="BD434" i="5"/>
  <c r="BE434" i="5"/>
  <c r="BF434" i="5"/>
  <c r="BG434" i="5"/>
  <c r="BH434" i="5"/>
  <c r="BI434" i="5"/>
  <c r="BJ434" i="5"/>
  <c r="BK434" i="5"/>
  <c r="BL434" i="5"/>
  <c r="BM434" i="5"/>
  <c r="BN434" i="5"/>
  <c r="BO434" i="5"/>
  <c r="BP434" i="5"/>
  <c r="BQ434" i="5"/>
  <c r="BR434" i="5"/>
  <c r="BS434" i="5"/>
  <c r="BT434" i="5"/>
  <c r="BU434" i="5"/>
  <c r="BV434" i="5"/>
  <c r="BW434" i="5"/>
  <c r="BX434" i="5"/>
  <c r="BY434" i="5"/>
  <c r="BZ434" i="5"/>
  <c r="CA434" i="5"/>
  <c r="CB434" i="5"/>
  <c r="CC434" i="5"/>
  <c r="CD434" i="5"/>
  <c r="CE434" i="5"/>
  <c r="CF434" i="5"/>
  <c r="CG434" i="5"/>
  <c r="CH434" i="5"/>
  <c r="CI434" i="5"/>
  <c r="CJ434" i="5"/>
  <c r="CK434" i="5"/>
  <c r="CL434" i="5"/>
  <c r="BD435" i="5"/>
  <c r="BE435" i="5"/>
  <c r="BF435" i="5"/>
  <c r="BG435" i="5"/>
  <c r="BH435" i="5"/>
  <c r="BI435" i="5"/>
  <c r="BJ435" i="5"/>
  <c r="BK435" i="5"/>
  <c r="BL435" i="5"/>
  <c r="BM435" i="5"/>
  <c r="BN435" i="5"/>
  <c r="BO435" i="5"/>
  <c r="BP435" i="5"/>
  <c r="BQ435" i="5"/>
  <c r="BR435" i="5"/>
  <c r="BS435" i="5"/>
  <c r="BT435" i="5"/>
  <c r="BU435" i="5"/>
  <c r="BV435" i="5"/>
  <c r="BW435" i="5"/>
  <c r="BX435" i="5"/>
  <c r="BY435" i="5"/>
  <c r="BZ435" i="5"/>
  <c r="CA435" i="5"/>
  <c r="CB435" i="5"/>
  <c r="CC435" i="5"/>
  <c r="CD435" i="5"/>
  <c r="CE435" i="5"/>
  <c r="CF435" i="5"/>
  <c r="CG435" i="5"/>
  <c r="CH435" i="5"/>
  <c r="CI435" i="5"/>
  <c r="CJ435" i="5"/>
  <c r="CK435" i="5"/>
  <c r="CL435" i="5"/>
  <c r="BD436" i="5"/>
  <c r="BE436" i="5"/>
  <c r="BF436" i="5"/>
  <c r="BG436" i="5"/>
  <c r="BH436" i="5"/>
  <c r="BI436" i="5"/>
  <c r="BJ436" i="5"/>
  <c r="BK436" i="5"/>
  <c r="BL436" i="5"/>
  <c r="BM436" i="5"/>
  <c r="BN436" i="5"/>
  <c r="BO436" i="5"/>
  <c r="BP436" i="5"/>
  <c r="BQ436" i="5"/>
  <c r="BR436" i="5"/>
  <c r="BS436" i="5"/>
  <c r="BT436" i="5"/>
  <c r="BU436" i="5"/>
  <c r="BV436" i="5"/>
  <c r="BW436" i="5"/>
  <c r="BX436" i="5"/>
  <c r="BY436" i="5"/>
  <c r="BZ436" i="5"/>
  <c r="CA436" i="5"/>
  <c r="CB436" i="5"/>
  <c r="CC436" i="5"/>
  <c r="CD436" i="5"/>
  <c r="CE436" i="5"/>
  <c r="CF436" i="5"/>
  <c r="CG436" i="5"/>
  <c r="CH436" i="5"/>
  <c r="CI436" i="5"/>
  <c r="CJ436" i="5"/>
  <c r="CK436" i="5"/>
  <c r="CL436" i="5"/>
  <c r="BD437" i="5"/>
  <c r="BE437" i="5"/>
  <c r="BF437" i="5"/>
  <c r="BG437" i="5"/>
  <c r="BH437" i="5"/>
  <c r="BI437" i="5"/>
  <c r="BJ437" i="5"/>
  <c r="BK437" i="5"/>
  <c r="BL437" i="5"/>
  <c r="BM437" i="5"/>
  <c r="BN437" i="5"/>
  <c r="BO437" i="5"/>
  <c r="BP437" i="5"/>
  <c r="BQ437" i="5"/>
  <c r="BR437" i="5"/>
  <c r="BS437" i="5"/>
  <c r="BT437" i="5"/>
  <c r="BU437" i="5"/>
  <c r="BV437" i="5"/>
  <c r="BW437" i="5"/>
  <c r="BX437" i="5"/>
  <c r="BY437" i="5"/>
  <c r="BZ437" i="5"/>
  <c r="CA437" i="5"/>
  <c r="CB437" i="5"/>
  <c r="CC437" i="5"/>
  <c r="CD437" i="5"/>
  <c r="CE437" i="5"/>
  <c r="CF437" i="5"/>
  <c r="CG437" i="5"/>
  <c r="CH437" i="5"/>
  <c r="CI437" i="5"/>
  <c r="CJ437" i="5"/>
  <c r="CK437" i="5"/>
  <c r="CL437" i="5"/>
  <c r="BD438" i="5"/>
  <c r="BE438" i="5"/>
  <c r="BF438" i="5"/>
  <c r="BG438" i="5"/>
  <c r="BH438" i="5"/>
  <c r="BI438" i="5"/>
  <c r="BJ438" i="5"/>
  <c r="BK438" i="5"/>
  <c r="BL438" i="5"/>
  <c r="BM438" i="5"/>
  <c r="BN438" i="5"/>
  <c r="BO438" i="5"/>
  <c r="BP438" i="5"/>
  <c r="BQ438" i="5"/>
  <c r="BR438" i="5"/>
  <c r="BS438" i="5"/>
  <c r="BT438" i="5"/>
  <c r="BU438" i="5"/>
  <c r="BV438" i="5"/>
  <c r="BW438" i="5"/>
  <c r="BX438" i="5"/>
  <c r="BY438" i="5"/>
  <c r="BZ438" i="5"/>
  <c r="CA438" i="5"/>
  <c r="CB438" i="5"/>
  <c r="CC438" i="5"/>
  <c r="CD438" i="5"/>
  <c r="CE438" i="5"/>
  <c r="CF438" i="5"/>
  <c r="CG438" i="5"/>
  <c r="CH438" i="5"/>
  <c r="CI438" i="5"/>
  <c r="CJ438" i="5"/>
  <c r="CK438" i="5"/>
  <c r="CL438" i="5"/>
  <c r="BD439" i="5"/>
  <c r="BE439" i="5"/>
  <c r="BF439" i="5"/>
  <c r="BG439" i="5"/>
  <c r="BH439" i="5"/>
  <c r="BI439" i="5"/>
  <c r="BJ439" i="5"/>
  <c r="BK439" i="5"/>
  <c r="BL439" i="5"/>
  <c r="BM439" i="5"/>
  <c r="BN439" i="5"/>
  <c r="BO439" i="5"/>
  <c r="BP439" i="5"/>
  <c r="BQ439" i="5"/>
  <c r="BR439" i="5"/>
  <c r="BS439" i="5"/>
  <c r="BT439" i="5"/>
  <c r="BU439" i="5"/>
  <c r="BV439" i="5"/>
  <c r="BW439" i="5"/>
  <c r="BX439" i="5"/>
  <c r="BY439" i="5"/>
  <c r="BZ439" i="5"/>
  <c r="CA439" i="5"/>
  <c r="CB439" i="5"/>
  <c r="CC439" i="5"/>
  <c r="CD439" i="5"/>
  <c r="CE439" i="5"/>
  <c r="CF439" i="5"/>
  <c r="CG439" i="5"/>
  <c r="CH439" i="5"/>
  <c r="CI439" i="5"/>
  <c r="CJ439" i="5"/>
  <c r="CK439" i="5"/>
  <c r="CL439" i="5"/>
  <c r="BD440" i="5"/>
  <c r="BE440" i="5"/>
  <c r="BF440" i="5"/>
  <c r="BG440" i="5"/>
  <c r="BH440" i="5"/>
  <c r="BI440" i="5"/>
  <c r="BJ440" i="5"/>
  <c r="BK440" i="5"/>
  <c r="BL440" i="5"/>
  <c r="BM440" i="5"/>
  <c r="BN440" i="5"/>
  <c r="BO440" i="5"/>
  <c r="BP440" i="5"/>
  <c r="BQ440" i="5"/>
  <c r="BR440" i="5"/>
  <c r="BS440" i="5"/>
  <c r="BT440" i="5"/>
  <c r="BU440" i="5"/>
  <c r="BV440" i="5"/>
  <c r="BW440" i="5"/>
  <c r="BX440" i="5"/>
  <c r="BY440" i="5"/>
  <c r="BZ440" i="5"/>
  <c r="CA440" i="5"/>
  <c r="CB440" i="5"/>
  <c r="CC440" i="5"/>
  <c r="CD440" i="5"/>
  <c r="CE440" i="5"/>
  <c r="CF440" i="5"/>
  <c r="CG440" i="5"/>
  <c r="CH440" i="5"/>
  <c r="CI440" i="5"/>
  <c r="CJ440" i="5"/>
  <c r="CK440" i="5"/>
  <c r="CL440" i="5"/>
  <c r="BD441" i="5"/>
  <c r="BE441" i="5"/>
  <c r="BF441" i="5"/>
  <c r="BG441" i="5"/>
  <c r="BH441" i="5"/>
  <c r="BI441" i="5"/>
  <c r="BJ441" i="5"/>
  <c r="BK441" i="5"/>
  <c r="BL441" i="5"/>
  <c r="BM441" i="5"/>
  <c r="BN441" i="5"/>
  <c r="BO441" i="5"/>
  <c r="BP441" i="5"/>
  <c r="BQ441" i="5"/>
  <c r="BR441" i="5"/>
  <c r="BS441" i="5"/>
  <c r="BT441" i="5"/>
  <c r="BU441" i="5"/>
  <c r="BV441" i="5"/>
  <c r="BW441" i="5"/>
  <c r="BX441" i="5"/>
  <c r="BY441" i="5"/>
  <c r="BZ441" i="5"/>
  <c r="CA441" i="5"/>
  <c r="CB441" i="5"/>
  <c r="CC441" i="5"/>
  <c r="CD441" i="5"/>
  <c r="CE441" i="5"/>
  <c r="CF441" i="5"/>
  <c r="CG441" i="5"/>
  <c r="CH441" i="5"/>
  <c r="CI441" i="5"/>
  <c r="CJ441" i="5"/>
  <c r="CK441" i="5"/>
  <c r="CL441" i="5"/>
  <c r="BD442" i="5"/>
  <c r="BE442" i="5"/>
  <c r="BF442" i="5"/>
  <c r="BG442" i="5"/>
  <c r="BH442" i="5"/>
  <c r="BI442" i="5"/>
  <c r="BJ442" i="5"/>
  <c r="BK442" i="5"/>
  <c r="BL442" i="5"/>
  <c r="BM442" i="5"/>
  <c r="BN442" i="5"/>
  <c r="BO442" i="5"/>
  <c r="BP442" i="5"/>
  <c r="BQ442" i="5"/>
  <c r="BR442" i="5"/>
  <c r="BS442" i="5"/>
  <c r="BT442" i="5"/>
  <c r="BU442" i="5"/>
  <c r="BV442" i="5"/>
  <c r="BW442" i="5"/>
  <c r="BX442" i="5"/>
  <c r="BY442" i="5"/>
  <c r="BZ442" i="5"/>
  <c r="CA442" i="5"/>
  <c r="CB442" i="5"/>
  <c r="CC442" i="5"/>
  <c r="CD442" i="5"/>
  <c r="CE442" i="5"/>
  <c r="CF442" i="5"/>
  <c r="CG442" i="5"/>
  <c r="CH442" i="5"/>
  <c r="CI442" i="5"/>
  <c r="CJ442" i="5"/>
  <c r="CK442" i="5"/>
  <c r="CL442" i="5"/>
  <c r="BD443" i="5"/>
  <c r="BE443" i="5"/>
  <c r="BF443" i="5"/>
  <c r="BG443" i="5"/>
  <c r="BH443" i="5"/>
  <c r="BI443" i="5"/>
  <c r="BJ443" i="5"/>
  <c r="BK443" i="5"/>
  <c r="BL443" i="5"/>
  <c r="BM443" i="5"/>
  <c r="BN443" i="5"/>
  <c r="BO443" i="5"/>
  <c r="BP443" i="5"/>
  <c r="BQ443" i="5"/>
  <c r="BR443" i="5"/>
  <c r="BS443" i="5"/>
  <c r="BT443" i="5"/>
  <c r="BU443" i="5"/>
  <c r="BV443" i="5"/>
  <c r="BW443" i="5"/>
  <c r="BX443" i="5"/>
  <c r="BY443" i="5"/>
  <c r="BZ443" i="5"/>
  <c r="CA443" i="5"/>
  <c r="CB443" i="5"/>
  <c r="CC443" i="5"/>
  <c r="CD443" i="5"/>
  <c r="CE443" i="5"/>
  <c r="CF443" i="5"/>
  <c r="CG443" i="5"/>
  <c r="CH443" i="5"/>
  <c r="CI443" i="5"/>
  <c r="CJ443" i="5"/>
  <c r="CK443" i="5"/>
  <c r="CL443" i="5"/>
  <c r="BD444" i="5"/>
  <c r="BE444" i="5"/>
  <c r="BF444" i="5"/>
  <c r="BG444" i="5"/>
  <c r="BH444" i="5"/>
  <c r="BI444" i="5"/>
  <c r="BJ444" i="5"/>
  <c r="BK444" i="5"/>
  <c r="BL444" i="5"/>
  <c r="BM444" i="5"/>
  <c r="BN444" i="5"/>
  <c r="BO444" i="5"/>
  <c r="BP444" i="5"/>
  <c r="BQ444" i="5"/>
  <c r="BR444" i="5"/>
  <c r="BS444" i="5"/>
  <c r="BT444" i="5"/>
  <c r="BU444" i="5"/>
  <c r="BV444" i="5"/>
  <c r="BW444" i="5"/>
  <c r="BX444" i="5"/>
  <c r="BY444" i="5"/>
  <c r="BZ444" i="5"/>
  <c r="CA444" i="5"/>
  <c r="CB444" i="5"/>
  <c r="CC444" i="5"/>
  <c r="CD444" i="5"/>
  <c r="CE444" i="5"/>
  <c r="CF444" i="5"/>
  <c r="CG444" i="5"/>
  <c r="CH444" i="5"/>
  <c r="CI444" i="5"/>
  <c r="CJ444" i="5"/>
  <c r="CK444" i="5"/>
  <c r="CL444" i="5"/>
  <c r="BD445" i="5"/>
  <c r="BE445" i="5"/>
  <c r="BF445" i="5"/>
  <c r="BG445" i="5"/>
  <c r="BH445" i="5"/>
  <c r="BI445" i="5"/>
  <c r="BJ445" i="5"/>
  <c r="BK445" i="5"/>
  <c r="BL445" i="5"/>
  <c r="BM445" i="5"/>
  <c r="BN445" i="5"/>
  <c r="BO445" i="5"/>
  <c r="BP445" i="5"/>
  <c r="BQ445" i="5"/>
  <c r="BR445" i="5"/>
  <c r="BS445" i="5"/>
  <c r="BT445" i="5"/>
  <c r="BU445" i="5"/>
  <c r="BV445" i="5"/>
  <c r="BW445" i="5"/>
  <c r="BX445" i="5"/>
  <c r="BY445" i="5"/>
  <c r="BZ445" i="5"/>
  <c r="CA445" i="5"/>
  <c r="CB445" i="5"/>
  <c r="CC445" i="5"/>
  <c r="CD445" i="5"/>
  <c r="CE445" i="5"/>
  <c r="CF445" i="5"/>
  <c r="CG445" i="5"/>
  <c r="CH445" i="5"/>
  <c r="CI445" i="5"/>
  <c r="CJ445" i="5"/>
  <c r="CK445" i="5"/>
  <c r="CL445" i="5"/>
  <c r="BD446" i="5"/>
  <c r="BE446" i="5"/>
  <c r="BF446" i="5"/>
  <c r="BG446" i="5"/>
  <c r="BH446" i="5"/>
  <c r="BI446" i="5"/>
  <c r="BJ446" i="5"/>
  <c r="BK446" i="5"/>
  <c r="BL446" i="5"/>
  <c r="BM446" i="5"/>
  <c r="BN446" i="5"/>
  <c r="BO446" i="5"/>
  <c r="BP446" i="5"/>
  <c r="BQ446" i="5"/>
  <c r="BR446" i="5"/>
  <c r="BS446" i="5"/>
  <c r="BT446" i="5"/>
  <c r="BU446" i="5"/>
  <c r="BV446" i="5"/>
  <c r="BW446" i="5"/>
  <c r="BX446" i="5"/>
  <c r="BY446" i="5"/>
  <c r="BZ446" i="5"/>
  <c r="CA446" i="5"/>
  <c r="CB446" i="5"/>
  <c r="CC446" i="5"/>
  <c r="CD446" i="5"/>
  <c r="CE446" i="5"/>
  <c r="CF446" i="5"/>
  <c r="CG446" i="5"/>
  <c r="CH446" i="5"/>
  <c r="CI446" i="5"/>
  <c r="CJ446" i="5"/>
  <c r="CK446" i="5"/>
  <c r="CL446" i="5"/>
  <c r="BD447" i="5"/>
  <c r="BE447" i="5"/>
  <c r="BF447" i="5"/>
  <c r="BG447" i="5"/>
  <c r="BH447" i="5"/>
  <c r="BI447" i="5"/>
  <c r="BJ447" i="5"/>
  <c r="BK447" i="5"/>
  <c r="BL447" i="5"/>
  <c r="BM447" i="5"/>
  <c r="BN447" i="5"/>
  <c r="BO447" i="5"/>
  <c r="BP447" i="5"/>
  <c r="BQ447" i="5"/>
  <c r="BR447" i="5"/>
  <c r="BS447" i="5"/>
  <c r="BT447" i="5"/>
  <c r="BU447" i="5"/>
  <c r="BV447" i="5"/>
  <c r="BW447" i="5"/>
  <c r="BX447" i="5"/>
  <c r="BY447" i="5"/>
  <c r="BZ447" i="5"/>
  <c r="CA447" i="5"/>
  <c r="CB447" i="5"/>
  <c r="CC447" i="5"/>
  <c r="CD447" i="5"/>
  <c r="CE447" i="5"/>
  <c r="CF447" i="5"/>
  <c r="CG447" i="5"/>
  <c r="CH447" i="5"/>
  <c r="CI447" i="5"/>
  <c r="CJ447" i="5"/>
  <c r="CK447" i="5"/>
  <c r="CL447" i="5"/>
  <c r="BD448" i="5"/>
  <c r="BE448" i="5"/>
  <c r="BF448" i="5"/>
  <c r="BG448" i="5"/>
  <c r="BH448" i="5"/>
  <c r="BI448" i="5"/>
  <c r="BJ448" i="5"/>
  <c r="BK448" i="5"/>
  <c r="BL448" i="5"/>
  <c r="BM448" i="5"/>
  <c r="BN448" i="5"/>
  <c r="BO448" i="5"/>
  <c r="BP448" i="5"/>
  <c r="BQ448" i="5"/>
  <c r="BR448" i="5"/>
  <c r="BS448" i="5"/>
  <c r="BT448" i="5"/>
  <c r="BU448" i="5"/>
  <c r="BV448" i="5"/>
  <c r="BW448" i="5"/>
  <c r="BX448" i="5"/>
  <c r="BY448" i="5"/>
  <c r="BZ448" i="5"/>
  <c r="CA448" i="5"/>
  <c r="CB448" i="5"/>
  <c r="CC448" i="5"/>
  <c r="CD448" i="5"/>
  <c r="CE448" i="5"/>
  <c r="CF448" i="5"/>
  <c r="CG448" i="5"/>
  <c r="CH448" i="5"/>
  <c r="CI448" i="5"/>
  <c r="CJ448" i="5"/>
  <c r="CK448" i="5"/>
  <c r="CL448" i="5"/>
  <c r="BD449" i="5"/>
  <c r="BE449" i="5"/>
  <c r="BF449" i="5"/>
  <c r="BG449" i="5"/>
  <c r="BH449" i="5"/>
  <c r="BI449" i="5"/>
  <c r="BJ449" i="5"/>
  <c r="BK449" i="5"/>
  <c r="BL449" i="5"/>
  <c r="BM449" i="5"/>
  <c r="BN449" i="5"/>
  <c r="BO449" i="5"/>
  <c r="BP449" i="5"/>
  <c r="BQ449" i="5"/>
  <c r="BR449" i="5"/>
  <c r="BS449" i="5"/>
  <c r="BT449" i="5"/>
  <c r="BU449" i="5"/>
  <c r="BV449" i="5"/>
  <c r="BW449" i="5"/>
  <c r="BX449" i="5"/>
  <c r="BY449" i="5"/>
  <c r="BZ449" i="5"/>
  <c r="CA449" i="5"/>
  <c r="CB449" i="5"/>
  <c r="CC449" i="5"/>
  <c r="CD449" i="5"/>
  <c r="CE449" i="5"/>
  <c r="CF449" i="5"/>
  <c r="CG449" i="5"/>
  <c r="CH449" i="5"/>
  <c r="CI449" i="5"/>
  <c r="CJ449" i="5"/>
  <c r="CK449" i="5"/>
  <c r="CL449" i="5"/>
  <c r="BD450" i="5"/>
  <c r="BE450" i="5"/>
  <c r="BF450" i="5"/>
  <c r="BG450" i="5"/>
  <c r="BH450" i="5"/>
  <c r="BI450" i="5"/>
  <c r="BJ450" i="5"/>
  <c r="BK450" i="5"/>
  <c r="BL450" i="5"/>
  <c r="BM450" i="5"/>
  <c r="BN450" i="5"/>
  <c r="BO450" i="5"/>
  <c r="BP450" i="5"/>
  <c r="BQ450" i="5"/>
  <c r="BR450" i="5"/>
  <c r="BS450" i="5"/>
  <c r="BT450" i="5"/>
  <c r="BU450" i="5"/>
  <c r="BV450" i="5"/>
  <c r="BW450" i="5"/>
  <c r="BX450" i="5"/>
  <c r="BY450" i="5"/>
  <c r="BZ450" i="5"/>
  <c r="CA450" i="5"/>
  <c r="CB450" i="5"/>
  <c r="CC450" i="5"/>
  <c r="CD450" i="5"/>
  <c r="CE450" i="5"/>
  <c r="CF450" i="5"/>
  <c r="CG450" i="5"/>
  <c r="CH450" i="5"/>
  <c r="CI450" i="5"/>
  <c r="CJ450" i="5"/>
  <c r="CK450" i="5"/>
  <c r="CL450" i="5"/>
  <c r="BD451" i="5"/>
  <c r="BE451" i="5"/>
  <c r="BF451" i="5"/>
  <c r="BG451" i="5"/>
  <c r="BH451" i="5"/>
  <c r="BI451" i="5"/>
  <c r="BJ451" i="5"/>
  <c r="BK451" i="5"/>
  <c r="BL451" i="5"/>
  <c r="BM451" i="5"/>
  <c r="BN451" i="5"/>
  <c r="BO451" i="5"/>
  <c r="BP451" i="5"/>
  <c r="BQ451" i="5"/>
  <c r="BR451" i="5"/>
  <c r="BS451" i="5"/>
  <c r="BT451" i="5"/>
  <c r="BU451" i="5"/>
  <c r="BV451" i="5"/>
  <c r="BW451" i="5"/>
  <c r="BX451" i="5"/>
  <c r="BY451" i="5"/>
  <c r="BZ451" i="5"/>
  <c r="CA451" i="5"/>
  <c r="CB451" i="5"/>
  <c r="CC451" i="5"/>
  <c r="CD451" i="5"/>
  <c r="CE451" i="5"/>
  <c r="CF451" i="5"/>
  <c r="CG451" i="5"/>
  <c r="CH451" i="5"/>
  <c r="CI451" i="5"/>
  <c r="CJ451" i="5"/>
  <c r="CK451" i="5"/>
  <c r="CL451" i="5"/>
  <c r="BD452" i="5"/>
  <c r="BE452" i="5"/>
  <c r="BF452" i="5"/>
  <c r="BG452" i="5"/>
  <c r="BH452" i="5"/>
  <c r="BI452" i="5"/>
  <c r="BJ452" i="5"/>
  <c r="BK452" i="5"/>
  <c r="BL452" i="5"/>
  <c r="BM452" i="5"/>
  <c r="BN452" i="5"/>
  <c r="BO452" i="5"/>
  <c r="BP452" i="5"/>
  <c r="BQ452" i="5"/>
  <c r="BR452" i="5"/>
  <c r="BS452" i="5"/>
  <c r="BT452" i="5"/>
  <c r="BU452" i="5"/>
  <c r="BV452" i="5"/>
  <c r="BW452" i="5"/>
  <c r="BX452" i="5"/>
  <c r="BY452" i="5"/>
  <c r="BZ452" i="5"/>
  <c r="CA452" i="5"/>
  <c r="CB452" i="5"/>
  <c r="CC452" i="5"/>
  <c r="CD452" i="5"/>
  <c r="CE452" i="5"/>
  <c r="CF452" i="5"/>
  <c r="CG452" i="5"/>
  <c r="CH452" i="5"/>
  <c r="CI452" i="5"/>
  <c r="CJ452" i="5"/>
  <c r="CK452" i="5"/>
  <c r="CL452" i="5"/>
  <c r="BD453" i="5"/>
  <c r="BE453" i="5"/>
  <c r="BF453" i="5"/>
  <c r="BG453" i="5"/>
  <c r="BH453" i="5"/>
  <c r="BI453" i="5"/>
  <c r="BJ453" i="5"/>
  <c r="BK453" i="5"/>
  <c r="BL453" i="5"/>
  <c r="BM453" i="5"/>
  <c r="BN453" i="5"/>
  <c r="BO453" i="5"/>
  <c r="BP453" i="5"/>
  <c r="BQ453" i="5"/>
  <c r="BR453" i="5"/>
  <c r="BS453" i="5"/>
  <c r="BT453" i="5"/>
  <c r="BU453" i="5"/>
  <c r="BV453" i="5"/>
  <c r="BW453" i="5"/>
  <c r="BX453" i="5"/>
  <c r="BY453" i="5"/>
  <c r="BZ453" i="5"/>
  <c r="CA453" i="5"/>
  <c r="CB453" i="5"/>
  <c r="CC453" i="5"/>
  <c r="CD453" i="5"/>
  <c r="CE453" i="5"/>
  <c r="CF453" i="5"/>
  <c r="CG453" i="5"/>
  <c r="CH453" i="5"/>
  <c r="CI453" i="5"/>
  <c r="CJ453" i="5"/>
  <c r="CK453" i="5"/>
  <c r="CL453" i="5"/>
  <c r="BD454" i="5"/>
  <c r="BE454" i="5"/>
  <c r="BF454" i="5"/>
  <c r="BG454" i="5"/>
  <c r="BH454" i="5"/>
  <c r="BI454" i="5"/>
  <c r="BJ454" i="5"/>
  <c r="BK454" i="5"/>
  <c r="BL454" i="5"/>
  <c r="BM454" i="5"/>
  <c r="BN454" i="5"/>
  <c r="BO454" i="5"/>
  <c r="BP454" i="5"/>
  <c r="BQ454" i="5"/>
  <c r="BR454" i="5"/>
  <c r="BS454" i="5"/>
  <c r="BT454" i="5"/>
  <c r="BU454" i="5"/>
  <c r="BV454" i="5"/>
  <c r="BW454" i="5"/>
  <c r="BX454" i="5"/>
  <c r="BY454" i="5"/>
  <c r="BZ454" i="5"/>
  <c r="CA454" i="5"/>
  <c r="CB454" i="5"/>
  <c r="CC454" i="5"/>
  <c r="CD454" i="5"/>
  <c r="CE454" i="5"/>
  <c r="CF454" i="5"/>
  <c r="CG454" i="5"/>
  <c r="CH454" i="5"/>
  <c r="CI454" i="5"/>
  <c r="CJ454" i="5"/>
  <c r="CK454" i="5"/>
  <c r="CL454" i="5"/>
  <c r="BD455" i="5"/>
  <c r="BE455" i="5"/>
  <c r="BF455" i="5"/>
  <c r="BG455" i="5"/>
  <c r="BH455" i="5"/>
  <c r="BI455" i="5"/>
  <c r="BJ455" i="5"/>
  <c r="BK455" i="5"/>
  <c r="BL455" i="5"/>
  <c r="BM455" i="5"/>
  <c r="BN455" i="5"/>
  <c r="BO455" i="5"/>
  <c r="BP455" i="5"/>
  <c r="BQ455" i="5"/>
  <c r="BR455" i="5"/>
  <c r="BS455" i="5"/>
  <c r="BT455" i="5"/>
  <c r="BU455" i="5"/>
  <c r="BV455" i="5"/>
  <c r="BW455" i="5"/>
  <c r="BX455" i="5"/>
  <c r="BY455" i="5"/>
  <c r="BZ455" i="5"/>
  <c r="CA455" i="5"/>
  <c r="CB455" i="5"/>
  <c r="CC455" i="5"/>
  <c r="CD455" i="5"/>
  <c r="CE455" i="5"/>
  <c r="CF455" i="5"/>
  <c r="CG455" i="5"/>
  <c r="CH455" i="5"/>
  <c r="CI455" i="5"/>
  <c r="CJ455" i="5"/>
  <c r="CK455" i="5"/>
  <c r="CL455" i="5"/>
  <c r="BD456" i="5"/>
  <c r="BE456" i="5"/>
  <c r="BF456" i="5"/>
  <c r="BG456" i="5"/>
  <c r="BH456" i="5"/>
  <c r="BI456" i="5"/>
  <c r="BJ456" i="5"/>
  <c r="BK456" i="5"/>
  <c r="BL456" i="5"/>
  <c r="BM456" i="5"/>
  <c r="BN456" i="5"/>
  <c r="BO456" i="5"/>
  <c r="BP456" i="5"/>
  <c r="BQ456" i="5"/>
  <c r="BR456" i="5"/>
  <c r="BS456" i="5"/>
  <c r="BT456" i="5"/>
  <c r="BU456" i="5"/>
  <c r="BV456" i="5"/>
  <c r="BW456" i="5"/>
  <c r="BX456" i="5"/>
  <c r="BY456" i="5"/>
  <c r="BZ456" i="5"/>
  <c r="CA456" i="5"/>
  <c r="CB456" i="5"/>
  <c r="CC456" i="5"/>
  <c r="CD456" i="5"/>
  <c r="CE456" i="5"/>
  <c r="CF456" i="5"/>
  <c r="CG456" i="5"/>
  <c r="CH456" i="5"/>
  <c r="CI456" i="5"/>
  <c r="CJ456" i="5"/>
  <c r="CK456" i="5"/>
  <c r="CL456" i="5"/>
  <c r="BD457" i="5"/>
  <c r="BE457" i="5"/>
  <c r="BF457" i="5"/>
  <c r="BG457" i="5"/>
  <c r="BH457" i="5"/>
  <c r="BI457" i="5"/>
  <c r="BJ457" i="5"/>
  <c r="BK457" i="5"/>
  <c r="BL457" i="5"/>
  <c r="BM457" i="5"/>
  <c r="BN457" i="5"/>
  <c r="BO457" i="5"/>
  <c r="BP457" i="5"/>
  <c r="BQ457" i="5"/>
  <c r="BR457" i="5"/>
  <c r="BS457" i="5"/>
  <c r="BT457" i="5"/>
  <c r="BU457" i="5"/>
  <c r="BV457" i="5"/>
  <c r="BW457" i="5"/>
  <c r="BX457" i="5"/>
  <c r="BY457" i="5"/>
  <c r="BZ457" i="5"/>
  <c r="CA457" i="5"/>
  <c r="CB457" i="5"/>
  <c r="CC457" i="5"/>
  <c r="CD457" i="5"/>
  <c r="CE457" i="5"/>
  <c r="CF457" i="5"/>
  <c r="CG457" i="5"/>
  <c r="CH457" i="5"/>
  <c r="CI457" i="5"/>
  <c r="CJ457" i="5"/>
  <c r="CK457" i="5"/>
  <c r="CL457" i="5"/>
  <c r="BD458" i="5"/>
  <c r="BE458" i="5"/>
  <c r="BF458" i="5"/>
  <c r="BG458" i="5"/>
  <c r="BH458" i="5"/>
  <c r="BI458" i="5"/>
  <c r="BJ458" i="5"/>
  <c r="BK458" i="5"/>
  <c r="BL458" i="5"/>
  <c r="BM458" i="5"/>
  <c r="BN458" i="5"/>
  <c r="BO458" i="5"/>
  <c r="BP458" i="5"/>
  <c r="BQ458" i="5"/>
  <c r="BR458" i="5"/>
  <c r="BS458" i="5"/>
  <c r="BT458" i="5"/>
  <c r="BU458" i="5"/>
  <c r="BV458" i="5"/>
  <c r="BW458" i="5"/>
  <c r="BX458" i="5"/>
  <c r="BY458" i="5"/>
  <c r="BZ458" i="5"/>
  <c r="CA458" i="5"/>
  <c r="CB458" i="5"/>
  <c r="CC458" i="5"/>
  <c r="CD458" i="5"/>
  <c r="CE458" i="5"/>
  <c r="CF458" i="5"/>
  <c r="CG458" i="5"/>
  <c r="CH458" i="5"/>
  <c r="CI458" i="5"/>
  <c r="CJ458" i="5"/>
  <c r="CK458" i="5"/>
  <c r="CL458" i="5"/>
  <c r="BD459" i="5"/>
  <c r="BE459" i="5"/>
  <c r="BF459" i="5"/>
  <c r="BG459" i="5"/>
  <c r="BH459" i="5"/>
  <c r="BI459" i="5"/>
  <c r="BJ459" i="5"/>
  <c r="BK459" i="5"/>
  <c r="BL459" i="5"/>
  <c r="BM459" i="5"/>
  <c r="BN459" i="5"/>
  <c r="BO459" i="5"/>
  <c r="BP459" i="5"/>
  <c r="BQ459" i="5"/>
  <c r="BR459" i="5"/>
  <c r="BS459" i="5"/>
  <c r="BT459" i="5"/>
  <c r="BU459" i="5"/>
  <c r="BV459" i="5"/>
  <c r="BW459" i="5"/>
  <c r="BX459" i="5"/>
  <c r="BY459" i="5"/>
  <c r="BZ459" i="5"/>
  <c r="CA459" i="5"/>
  <c r="CB459" i="5"/>
  <c r="CC459" i="5"/>
  <c r="CD459" i="5"/>
  <c r="CE459" i="5"/>
  <c r="CF459" i="5"/>
  <c r="CG459" i="5"/>
  <c r="CH459" i="5"/>
  <c r="CI459" i="5"/>
  <c r="CJ459" i="5"/>
  <c r="CK459" i="5"/>
  <c r="CL459" i="5"/>
  <c r="BD460" i="5"/>
  <c r="BE460" i="5"/>
  <c r="BF460" i="5"/>
  <c r="BG460" i="5"/>
  <c r="BH460" i="5"/>
  <c r="BI460" i="5"/>
  <c r="BJ460" i="5"/>
  <c r="BK460" i="5"/>
  <c r="BL460" i="5"/>
  <c r="BM460" i="5"/>
  <c r="BN460" i="5"/>
  <c r="BO460" i="5"/>
  <c r="BP460" i="5"/>
  <c r="BQ460" i="5"/>
  <c r="BR460" i="5"/>
  <c r="BS460" i="5"/>
  <c r="BT460" i="5"/>
  <c r="BU460" i="5"/>
  <c r="BV460" i="5"/>
  <c r="BW460" i="5"/>
  <c r="BX460" i="5"/>
  <c r="BY460" i="5"/>
  <c r="BZ460" i="5"/>
  <c r="CA460" i="5"/>
  <c r="CB460" i="5"/>
  <c r="CC460" i="5"/>
  <c r="CD460" i="5"/>
  <c r="CE460" i="5"/>
  <c r="CF460" i="5"/>
  <c r="CG460" i="5"/>
  <c r="CH460" i="5"/>
  <c r="CI460" i="5"/>
  <c r="CJ460" i="5"/>
  <c r="CK460" i="5"/>
  <c r="CL460" i="5"/>
  <c r="BD461" i="5"/>
  <c r="BE461" i="5"/>
  <c r="BF461" i="5"/>
  <c r="BG461" i="5"/>
  <c r="BH461" i="5"/>
  <c r="BI461" i="5"/>
  <c r="BJ461" i="5"/>
  <c r="BK461" i="5"/>
  <c r="BL461" i="5"/>
  <c r="BM461" i="5"/>
  <c r="BN461" i="5"/>
  <c r="BO461" i="5"/>
  <c r="BP461" i="5"/>
  <c r="BQ461" i="5"/>
  <c r="BR461" i="5"/>
  <c r="BS461" i="5"/>
  <c r="BT461" i="5"/>
  <c r="BU461" i="5"/>
  <c r="BV461" i="5"/>
  <c r="BW461" i="5"/>
  <c r="BX461" i="5"/>
  <c r="BY461" i="5"/>
  <c r="BZ461" i="5"/>
  <c r="CA461" i="5"/>
  <c r="CB461" i="5"/>
  <c r="CC461" i="5"/>
  <c r="CD461" i="5"/>
  <c r="CE461" i="5"/>
  <c r="CF461" i="5"/>
  <c r="CG461" i="5"/>
  <c r="CH461" i="5"/>
  <c r="CI461" i="5"/>
  <c r="CJ461" i="5"/>
  <c r="CK461" i="5"/>
  <c r="CL461" i="5"/>
  <c r="BD462" i="5"/>
  <c r="BE462" i="5"/>
  <c r="BF462" i="5"/>
  <c r="BG462" i="5"/>
  <c r="BH462" i="5"/>
  <c r="BI462" i="5"/>
  <c r="BJ462" i="5"/>
  <c r="BK462" i="5"/>
  <c r="BL462" i="5"/>
  <c r="BM462" i="5"/>
  <c r="BN462" i="5"/>
  <c r="BO462" i="5"/>
  <c r="BP462" i="5"/>
  <c r="BQ462" i="5"/>
  <c r="BR462" i="5"/>
  <c r="BS462" i="5"/>
  <c r="BT462" i="5"/>
  <c r="BU462" i="5"/>
  <c r="BV462" i="5"/>
  <c r="BW462" i="5"/>
  <c r="BX462" i="5"/>
  <c r="BY462" i="5"/>
  <c r="BZ462" i="5"/>
  <c r="CA462" i="5"/>
  <c r="CB462" i="5"/>
  <c r="CC462" i="5"/>
  <c r="CD462" i="5"/>
  <c r="CE462" i="5"/>
  <c r="CF462" i="5"/>
  <c r="CG462" i="5"/>
  <c r="CH462" i="5"/>
  <c r="CI462" i="5"/>
  <c r="CJ462" i="5"/>
  <c r="CK462" i="5"/>
  <c r="CL462" i="5"/>
  <c r="BD463" i="5"/>
  <c r="BE463" i="5"/>
  <c r="BF463" i="5"/>
  <c r="BG463" i="5"/>
  <c r="BH463" i="5"/>
  <c r="BI463" i="5"/>
  <c r="BJ463" i="5"/>
  <c r="BK463" i="5"/>
  <c r="BL463" i="5"/>
  <c r="BM463" i="5"/>
  <c r="BN463" i="5"/>
  <c r="BO463" i="5"/>
  <c r="BP463" i="5"/>
  <c r="BQ463" i="5"/>
  <c r="BR463" i="5"/>
  <c r="BS463" i="5"/>
  <c r="BT463" i="5"/>
  <c r="BU463" i="5"/>
  <c r="BV463" i="5"/>
  <c r="BW463" i="5"/>
  <c r="BX463" i="5"/>
  <c r="BY463" i="5"/>
  <c r="BZ463" i="5"/>
  <c r="CA463" i="5"/>
  <c r="CB463" i="5"/>
  <c r="CC463" i="5"/>
  <c r="CD463" i="5"/>
  <c r="CE463" i="5"/>
  <c r="CF463" i="5"/>
  <c r="CG463" i="5"/>
  <c r="CH463" i="5"/>
  <c r="CI463" i="5"/>
  <c r="CJ463" i="5"/>
  <c r="CK463" i="5"/>
  <c r="CL463" i="5"/>
  <c r="BD464" i="5"/>
  <c r="BE464" i="5"/>
  <c r="BF464" i="5"/>
  <c r="BG464" i="5"/>
  <c r="BH464" i="5"/>
  <c r="BI464" i="5"/>
  <c r="BJ464" i="5"/>
  <c r="BK464" i="5"/>
  <c r="BL464" i="5"/>
  <c r="BM464" i="5"/>
  <c r="BN464" i="5"/>
  <c r="BO464" i="5"/>
  <c r="BP464" i="5"/>
  <c r="BQ464" i="5"/>
  <c r="BR464" i="5"/>
  <c r="BS464" i="5"/>
  <c r="BT464" i="5"/>
  <c r="BU464" i="5"/>
  <c r="BV464" i="5"/>
  <c r="BW464" i="5"/>
  <c r="BX464" i="5"/>
  <c r="BY464" i="5"/>
  <c r="BZ464" i="5"/>
  <c r="CA464" i="5"/>
  <c r="CB464" i="5"/>
  <c r="CC464" i="5"/>
  <c r="CD464" i="5"/>
  <c r="CE464" i="5"/>
  <c r="CF464" i="5"/>
  <c r="CG464" i="5"/>
  <c r="CH464" i="5"/>
  <c r="CI464" i="5"/>
  <c r="CJ464" i="5"/>
  <c r="CK464" i="5"/>
  <c r="CL464" i="5"/>
  <c r="BD465" i="5"/>
  <c r="BE465" i="5"/>
  <c r="BF465" i="5"/>
  <c r="BG465" i="5"/>
  <c r="BH465" i="5"/>
  <c r="BI465" i="5"/>
  <c r="BJ465" i="5"/>
  <c r="BK465" i="5"/>
  <c r="BL465" i="5"/>
  <c r="BM465" i="5"/>
  <c r="BN465" i="5"/>
  <c r="BO465" i="5"/>
  <c r="BP465" i="5"/>
  <c r="BQ465" i="5"/>
  <c r="BR465" i="5"/>
  <c r="BS465" i="5"/>
  <c r="BT465" i="5"/>
  <c r="BU465" i="5"/>
  <c r="BV465" i="5"/>
  <c r="BW465" i="5"/>
  <c r="BX465" i="5"/>
  <c r="BY465" i="5"/>
  <c r="BZ465" i="5"/>
  <c r="CA465" i="5"/>
  <c r="CB465" i="5"/>
  <c r="CC465" i="5"/>
  <c r="CD465" i="5"/>
  <c r="CE465" i="5"/>
  <c r="CF465" i="5"/>
  <c r="CG465" i="5"/>
  <c r="CH465" i="5"/>
  <c r="CI465" i="5"/>
  <c r="CJ465" i="5"/>
  <c r="CK465" i="5"/>
  <c r="CL465" i="5"/>
  <c r="BD466" i="5"/>
  <c r="BE466" i="5"/>
  <c r="BF466" i="5"/>
  <c r="BG466" i="5"/>
  <c r="BH466" i="5"/>
  <c r="BI466" i="5"/>
  <c r="BJ466" i="5"/>
  <c r="BK466" i="5"/>
  <c r="BL466" i="5"/>
  <c r="BM466" i="5"/>
  <c r="BN466" i="5"/>
  <c r="BO466" i="5"/>
  <c r="BP466" i="5"/>
  <c r="BQ466" i="5"/>
  <c r="BR466" i="5"/>
  <c r="BS466" i="5"/>
  <c r="BT466" i="5"/>
  <c r="BU466" i="5"/>
  <c r="BV466" i="5"/>
  <c r="BW466" i="5"/>
  <c r="BX466" i="5"/>
  <c r="BY466" i="5"/>
  <c r="BZ466" i="5"/>
  <c r="CA466" i="5"/>
  <c r="CB466" i="5"/>
  <c r="CC466" i="5"/>
  <c r="CD466" i="5"/>
  <c r="CE466" i="5"/>
  <c r="CF466" i="5"/>
  <c r="CG466" i="5"/>
  <c r="CH466" i="5"/>
  <c r="CI466" i="5"/>
  <c r="CJ466" i="5"/>
  <c r="CK466" i="5"/>
  <c r="CL466" i="5"/>
  <c r="BD467" i="5"/>
  <c r="BE467" i="5"/>
  <c r="BF467" i="5"/>
  <c r="BG467" i="5"/>
  <c r="BH467" i="5"/>
  <c r="BI467" i="5"/>
  <c r="BJ467" i="5"/>
  <c r="BK467" i="5"/>
  <c r="BL467" i="5"/>
  <c r="BM467" i="5"/>
  <c r="BN467" i="5"/>
  <c r="BO467" i="5"/>
  <c r="BP467" i="5"/>
  <c r="BQ467" i="5"/>
  <c r="BR467" i="5"/>
  <c r="BS467" i="5"/>
  <c r="BT467" i="5"/>
  <c r="BU467" i="5"/>
  <c r="BV467" i="5"/>
  <c r="BW467" i="5"/>
  <c r="BX467" i="5"/>
  <c r="BY467" i="5"/>
  <c r="BZ467" i="5"/>
  <c r="CA467" i="5"/>
  <c r="CB467" i="5"/>
  <c r="CC467" i="5"/>
  <c r="CD467" i="5"/>
  <c r="CE467" i="5"/>
  <c r="CF467" i="5"/>
  <c r="CG467" i="5"/>
  <c r="CH467" i="5"/>
  <c r="CI467" i="5"/>
  <c r="CJ467" i="5"/>
  <c r="CK467" i="5"/>
  <c r="CL467" i="5"/>
  <c r="BD468" i="5"/>
  <c r="BE468" i="5"/>
  <c r="BF468" i="5"/>
  <c r="BG468" i="5"/>
  <c r="BH468" i="5"/>
  <c r="BI468" i="5"/>
  <c r="BJ468" i="5"/>
  <c r="BK468" i="5"/>
  <c r="BL468" i="5"/>
  <c r="BM468" i="5"/>
  <c r="BN468" i="5"/>
  <c r="BO468" i="5"/>
  <c r="BP468" i="5"/>
  <c r="BQ468" i="5"/>
  <c r="BR468" i="5"/>
  <c r="BS468" i="5"/>
  <c r="BT468" i="5"/>
  <c r="BU468" i="5"/>
  <c r="BV468" i="5"/>
  <c r="BW468" i="5"/>
  <c r="BX468" i="5"/>
  <c r="BY468" i="5"/>
  <c r="BZ468" i="5"/>
  <c r="CA468" i="5"/>
  <c r="CB468" i="5"/>
  <c r="CC468" i="5"/>
  <c r="CD468" i="5"/>
  <c r="CE468" i="5"/>
  <c r="CF468" i="5"/>
  <c r="CG468" i="5"/>
  <c r="CH468" i="5"/>
  <c r="CI468" i="5"/>
  <c r="CJ468" i="5"/>
  <c r="CK468" i="5"/>
  <c r="CL468" i="5"/>
  <c r="BD469" i="5"/>
  <c r="BE469" i="5"/>
  <c r="BF469" i="5"/>
  <c r="BG469" i="5"/>
  <c r="BH469" i="5"/>
  <c r="BI469" i="5"/>
  <c r="BJ469" i="5"/>
  <c r="BK469" i="5"/>
  <c r="BL469" i="5"/>
  <c r="BM469" i="5"/>
  <c r="BN469" i="5"/>
  <c r="BO469" i="5"/>
  <c r="BP469" i="5"/>
  <c r="BQ469" i="5"/>
  <c r="BR469" i="5"/>
  <c r="BS469" i="5"/>
  <c r="BT469" i="5"/>
  <c r="BU469" i="5"/>
  <c r="BV469" i="5"/>
  <c r="BW469" i="5"/>
  <c r="BX469" i="5"/>
  <c r="BY469" i="5"/>
  <c r="BZ469" i="5"/>
  <c r="CA469" i="5"/>
  <c r="CB469" i="5"/>
  <c r="CC469" i="5"/>
  <c r="CD469" i="5"/>
  <c r="CE469" i="5"/>
  <c r="CF469" i="5"/>
  <c r="CG469" i="5"/>
  <c r="CH469" i="5"/>
  <c r="CI469" i="5"/>
  <c r="CJ469" i="5"/>
  <c r="CK469" i="5"/>
  <c r="CL469" i="5"/>
  <c r="BD470" i="5"/>
  <c r="BE470" i="5"/>
  <c r="BF470" i="5"/>
  <c r="BG470" i="5"/>
  <c r="BH470" i="5"/>
  <c r="BI470" i="5"/>
  <c r="BJ470" i="5"/>
  <c r="BK470" i="5"/>
  <c r="BL470" i="5"/>
  <c r="BM470" i="5"/>
  <c r="BN470" i="5"/>
  <c r="BO470" i="5"/>
  <c r="BP470" i="5"/>
  <c r="BQ470" i="5"/>
  <c r="BR470" i="5"/>
  <c r="BS470" i="5"/>
  <c r="BT470" i="5"/>
  <c r="BU470" i="5"/>
  <c r="BV470" i="5"/>
  <c r="BW470" i="5"/>
  <c r="BX470" i="5"/>
  <c r="BY470" i="5"/>
  <c r="BZ470" i="5"/>
  <c r="CA470" i="5"/>
  <c r="CB470" i="5"/>
  <c r="CC470" i="5"/>
  <c r="CD470" i="5"/>
  <c r="CE470" i="5"/>
  <c r="CF470" i="5"/>
  <c r="CG470" i="5"/>
  <c r="CH470" i="5"/>
  <c r="CI470" i="5"/>
  <c r="CJ470" i="5"/>
  <c r="CK470" i="5"/>
  <c r="CL470" i="5"/>
  <c r="BD471" i="5"/>
  <c r="BE471" i="5"/>
  <c r="BF471" i="5"/>
  <c r="BG471" i="5"/>
  <c r="BH471" i="5"/>
  <c r="BI471" i="5"/>
  <c r="BJ471" i="5"/>
  <c r="BK471" i="5"/>
  <c r="BL471" i="5"/>
  <c r="BM471" i="5"/>
  <c r="BN471" i="5"/>
  <c r="BO471" i="5"/>
  <c r="BP471" i="5"/>
  <c r="BQ471" i="5"/>
  <c r="BR471" i="5"/>
  <c r="BS471" i="5"/>
  <c r="BT471" i="5"/>
  <c r="BU471" i="5"/>
  <c r="BV471" i="5"/>
  <c r="BW471" i="5"/>
  <c r="BX471" i="5"/>
  <c r="BY471" i="5"/>
  <c r="BZ471" i="5"/>
  <c r="CA471" i="5"/>
  <c r="CB471" i="5"/>
  <c r="CC471" i="5"/>
  <c r="CD471" i="5"/>
  <c r="CE471" i="5"/>
  <c r="CF471" i="5"/>
  <c r="CG471" i="5"/>
  <c r="CH471" i="5"/>
  <c r="CI471" i="5"/>
  <c r="CJ471" i="5"/>
  <c r="CK471" i="5"/>
  <c r="CL471" i="5"/>
  <c r="BD472" i="5"/>
  <c r="BE472" i="5"/>
  <c r="BF472" i="5"/>
  <c r="BG472" i="5"/>
  <c r="BH472" i="5"/>
  <c r="BI472" i="5"/>
  <c r="BJ472" i="5"/>
  <c r="BK472" i="5"/>
  <c r="BL472" i="5"/>
  <c r="BM472" i="5"/>
  <c r="BN472" i="5"/>
  <c r="BO472" i="5"/>
  <c r="BP472" i="5"/>
  <c r="BQ472" i="5"/>
  <c r="BR472" i="5"/>
  <c r="BS472" i="5"/>
  <c r="BT472" i="5"/>
  <c r="BU472" i="5"/>
  <c r="BV472" i="5"/>
  <c r="BW472" i="5"/>
  <c r="BX472" i="5"/>
  <c r="BY472" i="5"/>
  <c r="BZ472" i="5"/>
  <c r="CA472" i="5"/>
  <c r="CB472" i="5"/>
  <c r="CC472" i="5"/>
  <c r="CD472" i="5"/>
  <c r="CE472" i="5"/>
  <c r="CF472" i="5"/>
  <c r="CG472" i="5"/>
  <c r="CH472" i="5"/>
  <c r="CI472" i="5"/>
  <c r="CJ472" i="5"/>
  <c r="CK472" i="5"/>
  <c r="CL472" i="5"/>
  <c r="BD473" i="5"/>
  <c r="BE473" i="5"/>
  <c r="BF473" i="5"/>
  <c r="BG473" i="5"/>
  <c r="BH473" i="5"/>
  <c r="BI473" i="5"/>
  <c r="BJ473" i="5"/>
  <c r="BK473" i="5"/>
  <c r="BL473" i="5"/>
  <c r="BM473" i="5"/>
  <c r="BN473" i="5"/>
  <c r="BO473" i="5"/>
  <c r="BP473" i="5"/>
  <c r="BQ473" i="5"/>
  <c r="BR473" i="5"/>
  <c r="BS473" i="5"/>
  <c r="BT473" i="5"/>
  <c r="BU473" i="5"/>
  <c r="BV473" i="5"/>
  <c r="BW473" i="5"/>
  <c r="BX473" i="5"/>
  <c r="BY473" i="5"/>
  <c r="BZ473" i="5"/>
  <c r="CA473" i="5"/>
  <c r="CB473" i="5"/>
  <c r="CC473" i="5"/>
  <c r="CD473" i="5"/>
  <c r="CE473" i="5"/>
  <c r="CF473" i="5"/>
  <c r="CG473" i="5"/>
  <c r="CH473" i="5"/>
  <c r="CI473" i="5"/>
  <c r="CJ473" i="5"/>
  <c r="CK473" i="5"/>
  <c r="CL473" i="5"/>
  <c r="BD474" i="5"/>
  <c r="BE474" i="5"/>
  <c r="BF474" i="5"/>
  <c r="BG474" i="5"/>
  <c r="BH474" i="5"/>
  <c r="BI474" i="5"/>
  <c r="BJ474" i="5"/>
  <c r="BK474" i="5"/>
  <c r="BL474" i="5"/>
  <c r="BM474" i="5"/>
  <c r="BN474" i="5"/>
  <c r="BO474" i="5"/>
  <c r="BP474" i="5"/>
  <c r="BQ474" i="5"/>
  <c r="BR474" i="5"/>
  <c r="BS474" i="5"/>
  <c r="BT474" i="5"/>
  <c r="BU474" i="5"/>
  <c r="BV474" i="5"/>
  <c r="BW474" i="5"/>
  <c r="BX474" i="5"/>
  <c r="BY474" i="5"/>
  <c r="BZ474" i="5"/>
  <c r="CA474" i="5"/>
  <c r="CB474" i="5"/>
  <c r="CC474" i="5"/>
  <c r="CD474" i="5"/>
  <c r="CE474" i="5"/>
  <c r="CF474" i="5"/>
  <c r="CG474" i="5"/>
  <c r="CH474" i="5"/>
  <c r="CI474" i="5"/>
  <c r="CJ474" i="5"/>
  <c r="CK474" i="5"/>
  <c r="CL474" i="5"/>
  <c r="BD475" i="5"/>
  <c r="BE475" i="5"/>
  <c r="BF475" i="5"/>
  <c r="BG475" i="5"/>
  <c r="BH475" i="5"/>
  <c r="BI475" i="5"/>
  <c r="BJ475" i="5"/>
  <c r="BK475" i="5"/>
  <c r="BL475" i="5"/>
  <c r="BM475" i="5"/>
  <c r="BN475" i="5"/>
  <c r="BO475" i="5"/>
  <c r="BP475" i="5"/>
  <c r="BQ475" i="5"/>
  <c r="BR475" i="5"/>
  <c r="BS475" i="5"/>
  <c r="BT475" i="5"/>
  <c r="BU475" i="5"/>
  <c r="BV475" i="5"/>
  <c r="BW475" i="5"/>
  <c r="BX475" i="5"/>
  <c r="BY475" i="5"/>
  <c r="BZ475" i="5"/>
  <c r="CA475" i="5"/>
  <c r="CB475" i="5"/>
  <c r="CC475" i="5"/>
  <c r="CD475" i="5"/>
  <c r="CE475" i="5"/>
  <c r="CF475" i="5"/>
  <c r="CG475" i="5"/>
  <c r="CH475" i="5"/>
  <c r="CI475" i="5"/>
  <c r="CJ475" i="5"/>
  <c r="CK475" i="5"/>
  <c r="CL475" i="5"/>
  <c r="BD476" i="5"/>
  <c r="BE476" i="5"/>
  <c r="BF476" i="5"/>
  <c r="BG476" i="5"/>
  <c r="BH476" i="5"/>
  <c r="BI476" i="5"/>
  <c r="BJ476" i="5"/>
  <c r="BK476" i="5"/>
  <c r="BL476" i="5"/>
  <c r="BM476" i="5"/>
  <c r="BN476" i="5"/>
  <c r="BO476" i="5"/>
  <c r="BP476" i="5"/>
  <c r="BQ476" i="5"/>
  <c r="BR476" i="5"/>
  <c r="BS476" i="5"/>
  <c r="BT476" i="5"/>
  <c r="BU476" i="5"/>
  <c r="BV476" i="5"/>
  <c r="BW476" i="5"/>
  <c r="BX476" i="5"/>
  <c r="BY476" i="5"/>
  <c r="BZ476" i="5"/>
  <c r="CA476" i="5"/>
  <c r="CB476" i="5"/>
  <c r="CC476" i="5"/>
  <c r="CD476" i="5"/>
  <c r="CE476" i="5"/>
  <c r="CF476" i="5"/>
  <c r="CG476" i="5"/>
  <c r="CH476" i="5"/>
  <c r="CI476" i="5"/>
  <c r="CJ476" i="5"/>
  <c r="CK476" i="5"/>
  <c r="CL476" i="5"/>
  <c r="BD477" i="5"/>
  <c r="BE477" i="5"/>
  <c r="BF477" i="5"/>
  <c r="BG477" i="5"/>
  <c r="BH477" i="5"/>
  <c r="BI477" i="5"/>
  <c r="BJ477" i="5"/>
  <c r="BK477" i="5"/>
  <c r="BL477" i="5"/>
  <c r="BM477" i="5"/>
  <c r="BN477" i="5"/>
  <c r="BO477" i="5"/>
  <c r="BP477" i="5"/>
  <c r="BQ477" i="5"/>
  <c r="BR477" i="5"/>
  <c r="BS477" i="5"/>
  <c r="BT477" i="5"/>
  <c r="BU477" i="5"/>
  <c r="BV477" i="5"/>
  <c r="BW477" i="5"/>
  <c r="BX477" i="5"/>
  <c r="BY477" i="5"/>
  <c r="BZ477" i="5"/>
  <c r="CA477" i="5"/>
  <c r="CB477" i="5"/>
  <c r="CC477" i="5"/>
  <c r="CD477" i="5"/>
  <c r="CE477" i="5"/>
  <c r="CF477" i="5"/>
  <c r="CG477" i="5"/>
  <c r="CH477" i="5"/>
  <c r="CI477" i="5"/>
  <c r="CJ477" i="5"/>
  <c r="CK477" i="5"/>
  <c r="CL477" i="5"/>
  <c r="BD478" i="5"/>
  <c r="BE478" i="5"/>
  <c r="BF478" i="5"/>
  <c r="BG478" i="5"/>
  <c r="BH478" i="5"/>
  <c r="BI478" i="5"/>
  <c r="BJ478" i="5"/>
  <c r="BK478" i="5"/>
  <c r="BL478" i="5"/>
  <c r="BM478" i="5"/>
  <c r="BN478" i="5"/>
  <c r="BO478" i="5"/>
  <c r="BP478" i="5"/>
  <c r="BQ478" i="5"/>
  <c r="BR478" i="5"/>
  <c r="BS478" i="5"/>
  <c r="BT478" i="5"/>
  <c r="BU478" i="5"/>
  <c r="BV478" i="5"/>
  <c r="BW478" i="5"/>
  <c r="BX478" i="5"/>
  <c r="BY478" i="5"/>
  <c r="BZ478" i="5"/>
  <c r="CA478" i="5"/>
  <c r="CB478" i="5"/>
  <c r="CC478" i="5"/>
  <c r="CD478" i="5"/>
  <c r="CE478" i="5"/>
  <c r="CF478" i="5"/>
  <c r="CG478" i="5"/>
  <c r="CH478" i="5"/>
  <c r="CI478" i="5"/>
  <c r="CJ478" i="5"/>
  <c r="CK478" i="5"/>
  <c r="CL478" i="5"/>
  <c r="BD479" i="5"/>
  <c r="BE479" i="5"/>
  <c r="BF479" i="5"/>
  <c r="BG479" i="5"/>
  <c r="BH479" i="5"/>
  <c r="BI479" i="5"/>
  <c r="BJ479" i="5"/>
  <c r="BK479" i="5"/>
  <c r="BL479" i="5"/>
  <c r="BM479" i="5"/>
  <c r="BN479" i="5"/>
  <c r="BO479" i="5"/>
  <c r="BP479" i="5"/>
  <c r="BQ479" i="5"/>
  <c r="BR479" i="5"/>
  <c r="BS479" i="5"/>
  <c r="BT479" i="5"/>
  <c r="BU479" i="5"/>
  <c r="BV479" i="5"/>
  <c r="BW479" i="5"/>
  <c r="BX479" i="5"/>
  <c r="BY479" i="5"/>
  <c r="BZ479" i="5"/>
  <c r="CA479" i="5"/>
  <c r="CB479" i="5"/>
  <c r="CC479" i="5"/>
  <c r="CD479" i="5"/>
  <c r="CE479" i="5"/>
  <c r="CF479" i="5"/>
  <c r="CG479" i="5"/>
  <c r="CH479" i="5"/>
  <c r="CI479" i="5"/>
  <c r="CJ479" i="5"/>
  <c r="CK479" i="5"/>
  <c r="CL479" i="5"/>
  <c r="BD480" i="5"/>
  <c r="BE480" i="5"/>
  <c r="BF480" i="5"/>
  <c r="BG480" i="5"/>
  <c r="BH480" i="5"/>
  <c r="BI480" i="5"/>
  <c r="BJ480" i="5"/>
  <c r="BK480" i="5"/>
  <c r="BL480" i="5"/>
  <c r="BM480" i="5"/>
  <c r="BN480" i="5"/>
  <c r="BO480" i="5"/>
  <c r="BP480" i="5"/>
  <c r="BQ480" i="5"/>
  <c r="BR480" i="5"/>
  <c r="BS480" i="5"/>
  <c r="BT480" i="5"/>
  <c r="BU480" i="5"/>
  <c r="BV480" i="5"/>
  <c r="BW480" i="5"/>
  <c r="BX480" i="5"/>
  <c r="BY480" i="5"/>
  <c r="BZ480" i="5"/>
  <c r="CA480" i="5"/>
  <c r="CB480" i="5"/>
  <c r="CC480" i="5"/>
  <c r="CD480" i="5"/>
  <c r="CE480" i="5"/>
  <c r="CF480" i="5"/>
  <c r="CG480" i="5"/>
  <c r="CH480" i="5"/>
  <c r="CI480" i="5"/>
  <c r="CJ480" i="5"/>
  <c r="CK480" i="5"/>
  <c r="CL480" i="5"/>
  <c r="BD481" i="5"/>
  <c r="BE481" i="5"/>
  <c r="BF481" i="5"/>
  <c r="BG481" i="5"/>
  <c r="BH481" i="5"/>
  <c r="BI481" i="5"/>
  <c r="BJ481" i="5"/>
  <c r="BK481" i="5"/>
  <c r="BL481" i="5"/>
  <c r="BM481" i="5"/>
  <c r="BN481" i="5"/>
  <c r="BO481" i="5"/>
  <c r="BP481" i="5"/>
  <c r="BQ481" i="5"/>
  <c r="BR481" i="5"/>
  <c r="BS481" i="5"/>
  <c r="BT481" i="5"/>
  <c r="BU481" i="5"/>
  <c r="BV481" i="5"/>
  <c r="BW481" i="5"/>
  <c r="BX481" i="5"/>
  <c r="BY481" i="5"/>
  <c r="BZ481" i="5"/>
  <c r="CA481" i="5"/>
  <c r="CB481" i="5"/>
  <c r="CC481" i="5"/>
  <c r="CD481" i="5"/>
  <c r="CE481" i="5"/>
  <c r="CF481" i="5"/>
  <c r="CG481" i="5"/>
  <c r="CH481" i="5"/>
  <c r="CI481" i="5"/>
  <c r="CJ481" i="5"/>
  <c r="CK481" i="5"/>
  <c r="CL481" i="5"/>
  <c r="BD482" i="5"/>
  <c r="BE482" i="5"/>
  <c r="BF482" i="5"/>
  <c r="BG482" i="5"/>
  <c r="BH482" i="5"/>
  <c r="BI482" i="5"/>
  <c r="BJ482" i="5"/>
  <c r="BK482" i="5"/>
  <c r="BL482" i="5"/>
  <c r="BM482" i="5"/>
  <c r="BN482" i="5"/>
  <c r="BO482" i="5"/>
  <c r="BP482" i="5"/>
  <c r="BQ482" i="5"/>
  <c r="BR482" i="5"/>
  <c r="BS482" i="5"/>
  <c r="BT482" i="5"/>
  <c r="BU482" i="5"/>
  <c r="BV482" i="5"/>
  <c r="BW482" i="5"/>
  <c r="BX482" i="5"/>
  <c r="BY482" i="5"/>
  <c r="BZ482" i="5"/>
  <c r="CA482" i="5"/>
  <c r="CB482" i="5"/>
  <c r="CC482" i="5"/>
  <c r="CD482" i="5"/>
  <c r="CE482" i="5"/>
  <c r="CF482" i="5"/>
  <c r="CG482" i="5"/>
  <c r="CH482" i="5"/>
  <c r="CI482" i="5"/>
  <c r="CJ482" i="5"/>
  <c r="CK482" i="5"/>
  <c r="CL482" i="5"/>
  <c r="BD483" i="5"/>
  <c r="BE483" i="5"/>
  <c r="BF483" i="5"/>
  <c r="BG483" i="5"/>
  <c r="BH483" i="5"/>
  <c r="BI483" i="5"/>
  <c r="BJ483" i="5"/>
  <c r="BK483" i="5"/>
  <c r="BL483" i="5"/>
  <c r="BM483" i="5"/>
  <c r="BN483" i="5"/>
  <c r="BO483" i="5"/>
  <c r="BP483" i="5"/>
  <c r="BQ483" i="5"/>
  <c r="BR483" i="5"/>
  <c r="BS483" i="5"/>
  <c r="BT483" i="5"/>
  <c r="BU483" i="5"/>
  <c r="BV483" i="5"/>
  <c r="BW483" i="5"/>
  <c r="BX483" i="5"/>
  <c r="BY483" i="5"/>
  <c r="BZ483" i="5"/>
  <c r="CA483" i="5"/>
  <c r="CB483" i="5"/>
  <c r="CC483" i="5"/>
  <c r="CD483" i="5"/>
  <c r="CE483" i="5"/>
  <c r="CF483" i="5"/>
  <c r="CG483" i="5"/>
  <c r="CH483" i="5"/>
  <c r="CI483" i="5"/>
  <c r="CJ483" i="5"/>
  <c r="CK483" i="5"/>
  <c r="CL483" i="5"/>
  <c r="BD484" i="5"/>
  <c r="BE484" i="5"/>
  <c r="BF484" i="5"/>
  <c r="BG484" i="5"/>
  <c r="BH484" i="5"/>
  <c r="BI484" i="5"/>
  <c r="BJ484" i="5"/>
  <c r="BK484" i="5"/>
  <c r="BL484" i="5"/>
  <c r="BM484" i="5"/>
  <c r="BN484" i="5"/>
  <c r="BO484" i="5"/>
  <c r="BP484" i="5"/>
  <c r="BQ484" i="5"/>
  <c r="BR484" i="5"/>
  <c r="BS484" i="5"/>
  <c r="BT484" i="5"/>
  <c r="BU484" i="5"/>
  <c r="BV484" i="5"/>
  <c r="BW484" i="5"/>
  <c r="BX484" i="5"/>
  <c r="BY484" i="5"/>
  <c r="BZ484" i="5"/>
  <c r="CA484" i="5"/>
  <c r="CB484" i="5"/>
  <c r="CC484" i="5"/>
  <c r="CD484" i="5"/>
  <c r="CE484" i="5"/>
  <c r="CF484" i="5"/>
  <c r="CG484" i="5"/>
  <c r="CH484" i="5"/>
  <c r="CI484" i="5"/>
  <c r="CJ484" i="5"/>
  <c r="CK484" i="5"/>
  <c r="CL484" i="5"/>
  <c r="BD485" i="5"/>
  <c r="BE485" i="5"/>
  <c r="BF485" i="5"/>
  <c r="BG485" i="5"/>
  <c r="BH485" i="5"/>
  <c r="BI485" i="5"/>
  <c r="BJ485" i="5"/>
  <c r="BK485" i="5"/>
  <c r="BL485" i="5"/>
  <c r="BM485" i="5"/>
  <c r="BN485" i="5"/>
  <c r="BO485" i="5"/>
  <c r="BP485" i="5"/>
  <c r="BQ485" i="5"/>
  <c r="BR485" i="5"/>
  <c r="BS485" i="5"/>
  <c r="BT485" i="5"/>
  <c r="BU485" i="5"/>
  <c r="BV485" i="5"/>
  <c r="BW485" i="5"/>
  <c r="BX485" i="5"/>
  <c r="BY485" i="5"/>
  <c r="BZ485" i="5"/>
  <c r="CA485" i="5"/>
  <c r="CB485" i="5"/>
  <c r="CC485" i="5"/>
  <c r="CD485" i="5"/>
  <c r="CE485" i="5"/>
  <c r="CF485" i="5"/>
  <c r="CG485" i="5"/>
  <c r="CH485" i="5"/>
  <c r="CI485" i="5"/>
  <c r="CJ485" i="5"/>
  <c r="CK485" i="5"/>
  <c r="CL485" i="5"/>
  <c r="BD486" i="5"/>
  <c r="BE486" i="5"/>
  <c r="BF486" i="5"/>
  <c r="BG486" i="5"/>
  <c r="BH486" i="5"/>
  <c r="BI486" i="5"/>
  <c r="BJ486" i="5"/>
  <c r="BK486" i="5"/>
  <c r="BL486" i="5"/>
  <c r="BM486" i="5"/>
  <c r="BN486" i="5"/>
  <c r="BO486" i="5"/>
  <c r="BP486" i="5"/>
  <c r="BQ486" i="5"/>
  <c r="BR486" i="5"/>
  <c r="BS486" i="5"/>
  <c r="BT486" i="5"/>
  <c r="BU486" i="5"/>
  <c r="BV486" i="5"/>
  <c r="BW486" i="5"/>
  <c r="BX486" i="5"/>
  <c r="BY486" i="5"/>
  <c r="BZ486" i="5"/>
  <c r="CA486" i="5"/>
  <c r="CB486" i="5"/>
  <c r="CC486" i="5"/>
  <c r="CD486" i="5"/>
  <c r="CE486" i="5"/>
  <c r="CF486" i="5"/>
  <c r="CG486" i="5"/>
  <c r="CH486" i="5"/>
  <c r="CI486" i="5"/>
  <c r="CJ486" i="5"/>
  <c r="CK486" i="5"/>
  <c r="CL486" i="5"/>
  <c r="BD487" i="5"/>
  <c r="BE487" i="5"/>
  <c r="BF487" i="5"/>
  <c r="BG487" i="5"/>
  <c r="BH487" i="5"/>
  <c r="BI487" i="5"/>
  <c r="BJ487" i="5"/>
  <c r="BK487" i="5"/>
  <c r="BL487" i="5"/>
  <c r="BM487" i="5"/>
  <c r="BN487" i="5"/>
  <c r="BO487" i="5"/>
  <c r="BP487" i="5"/>
  <c r="BQ487" i="5"/>
  <c r="BR487" i="5"/>
  <c r="BS487" i="5"/>
  <c r="BT487" i="5"/>
  <c r="BU487" i="5"/>
  <c r="BV487" i="5"/>
  <c r="BW487" i="5"/>
  <c r="BX487" i="5"/>
  <c r="BY487" i="5"/>
  <c r="BZ487" i="5"/>
  <c r="CA487" i="5"/>
  <c r="CB487" i="5"/>
  <c r="CC487" i="5"/>
  <c r="CD487" i="5"/>
  <c r="CE487" i="5"/>
  <c r="CF487" i="5"/>
  <c r="CG487" i="5"/>
  <c r="CH487" i="5"/>
  <c r="CI487" i="5"/>
  <c r="CJ487" i="5"/>
  <c r="CK487" i="5"/>
  <c r="CL487" i="5"/>
  <c r="BD488" i="5"/>
  <c r="BE488" i="5"/>
  <c r="BF488" i="5"/>
  <c r="BG488" i="5"/>
  <c r="BH488" i="5"/>
  <c r="BI488" i="5"/>
  <c r="BJ488" i="5"/>
  <c r="BK488" i="5"/>
  <c r="BL488" i="5"/>
  <c r="BM488" i="5"/>
  <c r="BN488" i="5"/>
  <c r="BO488" i="5"/>
  <c r="BP488" i="5"/>
  <c r="BQ488" i="5"/>
  <c r="BR488" i="5"/>
  <c r="BS488" i="5"/>
  <c r="BT488" i="5"/>
  <c r="BU488" i="5"/>
  <c r="BV488" i="5"/>
  <c r="BW488" i="5"/>
  <c r="BX488" i="5"/>
  <c r="BY488" i="5"/>
  <c r="BZ488" i="5"/>
  <c r="CA488" i="5"/>
  <c r="CB488" i="5"/>
  <c r="CC488" i="5"/>
  <c r="CD488" i="5"/>
  <c r="CE488" i="5"/>
  <c r="CF488" i="5"/>
  <c r="CG488" i="5"/>
  <c r="CH488" i="5"/>
  <c r="CI488" i="5"/>
  <c r="CJ488" i="5"/>
  <c r="CK488" i="5"/>
  <c r="CL488" i="5"/>
  <c r="BD489" i="5"/>
  <c r="BE489" i="5"/>
  <c r="BF489" i="5"/>
  <c r="BG489" i="5"/>
  <c r="BH489" i="5"/>
  <c r="BI489" i="5"/>
  <c r="BJ489" i="5"/>
  <c r="BK489" i="5"/>
  <c r="BL489" i="5"/>
  <c r="BM489" i="5"/>
  <c r="BN489" i="5"/>
  <c r="BO489" i="5"/>
  <c r="BP489" i="5"/>
  <c r="BQ489" i="5"/>
  <c r="BR489" i="5"/>
  <c r="BS489" i="5"/>
  <c r="BT489" i="5"/>
  <c r="BU489" i="5"/>
  <c r="BV489" i="5"/>
  <c r="BW489" i="5"/>
  <c r="BX489" i="5"/>
  <c r="BY489" i="5"/>
  <c r="BZ489" i="5"/>
  <c r="CA489" i="5"/>
  <c r="CB489" i="5"/>
  <c r="CC489" i="5"/>
  <c r="CD489" i="5"/>
  <c r="CE489" i="5"/>
  <c r="CF489" i="5"/>
  <c r="CG489" i="5"/>
  <c r="CH489" i="5"/>
  <c r="CI489" i="5"/>
  <c r="CJ489" i="5"/>
  <c r="CK489" i="5"/>
  <c r="CL489" i="5"/>
  <c r="BD490" i="5"/>
  <c r="BE490" i="5"/>
  <c r="BF490" i="5"/>
  <c r="BG490" i="5"/>
  <c r="BH490" i="5"/>
  <c r="BI490" i="5"/>
  <c r="BJ490" i="5"/>
  <c r="BK490" i="5"/>
  <c r="BL490" i="5"/>
  <c r="BM490" i="5"/>
  <c r="BN490" i="5"/>
  <c r="BO490" i="5"/>
  <c r="BP490" i="5"/>
  <c r="BQ490" i="5"/>
  <c r="BR490" i="5"/>
  <c r="BS490" i="5"/>
  <c r="BT490" i="5"/>
  <c r="BU490" i="5"/>
  <c r="BV490" i="5"/>
  <c r="BW490" i="5"/>
  <c r="BX490" i="5"/>
  <c r="BY490" i="5"/>
  <c r="BZ490" i="5"/>
  <c r="CA490" i="5"/>
  <c r="CB490" i="5"/>
  <c r="CC490" i="5"/>
  <c r="CD490" i="5"/>
  <c r="CE490" i="5"/>
  <c r="CF490" i="5"/>
  <c r="CG490" i="5"/>
  <c r="CH490" i="5"/>
  <c r="CI490" i="5"/>
  <c r="CJ490" i="5"/>
  <c r="CK490" i="5"/>
  <c r="CL490" i="5"/>
  <c r="BD491" i="5"/>
  <c r="BE491" i="5"/>
  <c r="BF491" i="5"/>
  <c r="BG491" i="5"/>
  <c r="BH491" i="5"/>
  <c r="BI491" i="5"/>
  <c r="BJ491" i="5"/>
  <c r="BK491" i="5"/>
  <c r="BL491" i="5"/>
  <c r="BM491" i="5"/>
  <c r="BN491" i="5"/>
  <c r="BO491" i="5"/>
  <c r="BP491" i="5"/>
  <c r="BQ491" i="5"/>
  <c r="BR491" i="5"/>
  <c r="BS491" i="5"/>
  <c r="BT491" i="5"/>
  <c r="BU491" i="5"/>
  <c r="BV491" i="5"/>
  <c r="BW491" i="5"/>
  <c r="BX491" i="5"/>
  <c r="BY491" i="5"/>
  <c r="BZ491" i="5"/>
  <c r="CA491" i="5"/>
  <c r="CB491" i="5"/>
  <c r="CC491" i="5"/>
  <c r="CD491" i="5"/>
  <c r="CE491" i="5"/>
  <c r="CF491" i="5"/>
  <c r="CG491" i="5"/>
  <c r="CH491" i="5"/>
  <c r="CI491" i="5"/>
  <c r="CJ491" i="5"/>
  <c r="CK491" i="5"/>
  <c r="CL491" i="5"/>
  <c r="BD492" i="5"/>
  <c r="BE492" i="5"/>
  <c r="BF492" i="5"/>
  <c r="BG492" i="5"/>
  <c r="BH492" i="5"/>
  <c r="BI492" i="5"/>
  <c r="BJ492" i="5"/>
  <c r="BK492" i="5"/>
  <c r="BL492" i="5"/>
  <c r="BM492" i="5"/>
  <c r="BN492" i="5"/>
  <c r="BO492" i="5"/>
  <c r="BP492" i="5"/>
  <c r="BQ492" i="5"/>
  <c r="BR492" i="5"/>
  <c r="BS492" i="5"/>
  <c r="BT492" i="5"/>
  <c r="BU492" i="5"/>
  <c r="BV492" i="5"/>
  <c r="BW492" i="5"/>
  <c r="BX492" i="5"/>
  <c r="BY492" i="5"/>
  <c r="BZ492" i="5"/>
  <c r="CA492" i="5"/>
  <c r="CB492" i="5"/>
  <c r="CC492" i="5"/>
  <c r="CD492" i="5"/>
  <c r="CE492" i="5"/>
  <c r="CF492" i="5"/>
  <c r="CG492" i="5"/>
  <c r="CH492" i="5"/>
  <c r="CI492" i="5"/>
  <c r="CJ492" i="5"/>
  <c r="CK492" i="5"/>
  <c r="CL492" i="5"/>
  <c r="BD493" i="5"/>
  <c r="BE493" i="5"/>
  <c r="BF493" i="5"/>
  <c r="BG493" i="5"/>
  <c r="BH493" i="5"/>
  <c r="BI493" i="5"/>
  <c r="BJ493" i="5"/>
  <c r="BK493" i="5"/>
  <c r="BL493" i="5"/>
  <c r="BM493" i="5"/>
  <c r="BN493" i="5"/>
  <c r="BO493" i="5"/>
  <c r="BP493" i="5"/>
  <c r="BQ493" i="5"/>
  <c r="BR493" i="5"/>
  <c r="BS493" i="5"/>
  <c r="BT493" i="5"/>
  <c r="BU493" i="5"/>
  <c r="BV493" i="5"/>
  <c r="BW493" i="5"/>
  <c r="BX493" i="5"/>
  <c r="BY493" i="5"/>
  <c r="BZ493" i="5"/>
  <c r="CA493" i="5"/>
  <c r="CB493" i="5"/>
  <c r="CC493" i="5"/>
  <c r="CD493" i="5"/>
  <c r="CE493" i="5"/>
  <c r="CF493" i="5"/>
  <c r="CG493" i="5"/>
  <c r="CH493" i="5"/>
  <c r="CI493" i="5"/>
  <c r="CJ493" i="5"/>
  <c r="CK493" i="5"/>
  <c r="CL493" i="5"/>
  <c r="BD494" i="5"/>
  <c r="BE494" i="5"/>
  <c r="BF494" i="5"/>
  <c r="BG494" i="5"/>
  <c r="BH494" i="5"/>
  <c r="BI494" i="5"/>
  <c r="BJ494" i="5"/>
  <c r="BK494" i="5"/>
  <c r="BL494" i="5"/>
  <c r="BM494" i="5"/>
  <c r="BN494" i="5"/>
  <c r="BO494" i="5"/>
  <c r="BP494" i="5"/>
  <c r="BQ494" i="5"/>
  <c r="BR494" i="5"/>
  <c r="BS494" i="5"/>
  <c r="BT494" i="5"/>
  <c r="BU494" i="5"/>
  <c r="BV494" i="5"/>
  <c r="BW494" i="5"/>
  <c r="BX494" i="5"/>
  <c r="BY494" i="5"/>
  <c r="BZ494" i="5"/>
  <c r="CA494" i="5"/>
  <c r="CB494" i="5"/>
  <c r="CC494" i="5"/>
  <c r="CD494" i="5"/>
  <c r="CE494" i="5"/>
  <c r="CF494" i="5"/>
  <c r="CG494" i="5"/>
  <c r="CH494" i="5"/>
  <c r="CI494" i="5"/>
  <c r="CJ494" i="5"/>
  <c r="CK494" i="5"/>
  <c r="CL494" i="5"/>
  <c r="BD495" i="5"/>
  <c r="BE495" i="5"/>
  <c r="BF495" i="5"/>
  <c r="BG495" i="5"/>
  <c r="BH495" i="5"/>
  <c r="BI495" i="5"/>
  <c r="BJ495" i="5"/>
  <c r="BK495" i="5"/>
  <c r="BL495" i="5"/>
  <c r="BM495" i="5"/>
  <c r="BN495" i="5"/>
  <c r="BO495" i="5"/>
  <c r="BP495" i="5"/>
  <c r="BQ495" i="5"/>
  <c r="BR495" i="5"/>
  <c r="BS495" i="5"/>
  <c r="BT495" i="5"/>
  <c r="BU495" i="5"/>
  <c r="BV495" i="5"/>
  <c r="BW495" i="5"/>
  <c r="BX495" i="5"/>
  <c r="BY495" i="5"/>
  <c r="BZ495" i="5"/>
  <c r="CA495" i="5"/>
  <c r="CB495" i="5"/>
  <c r="CC495" i="5"/>
  <c r="CD495" i="5"/>
  <c r="CE495" i="5"/>
  <c r="CF495" i="5"/>
  <c r="CG495" i="5"/>
  <c r="CH495" i="5"/>
  <c r="CI495" i="5"/>
  <c r="CJ495" i="5"/>
  <c r="CK495" i="5"/>
  <c r="CL495" i="5"/>
  <c r="BD496" i="5"/>
  <c r="BE496" i="5"/>
  <c r="BF496" i="5"/>
  <c r="BG496" i="5"/>
  <c r="BH496" i="5"/>
  <c r="BI496" i="5"/>
  <c r="BJ496" i="5"/>
  <c r="BK496" i="5"/>
  <c r="BL496" i="5"/>
  <c r="BM496" i="5"/>
  <c r="BN496" i="5"/>
  <c r="BO496" i="5"/>
  <c r="BP496" i="5"/>
  <c r="BQ496" i="5"/>
  <c r="BR496" i="5"/>
  <c r="BS496" i="5"/>
  <c r="BT496" i="5"/>
  <c r="BU496" i="5"/>
  <c r="BV496" i="5"/>
  <c r="BW496" i="5"/>
  <c r="BX496" i="5"/>
  <c r="BY496" i="5"/>
  <c r="BZ496" i="5"/>
  <c r="CA496" i="5"/>
  <c r="CB496" i="5"/>
  <c r="CC496" i="5"/>
  <c r="CD496" i="5"/>
  <c r="CE496" i="5"/>
  <c r="CF496" i="5"/>
  <c r="CG496" i="5"/>
  <c r="CH496" i="5"/>
  <c r="CI496" i="5"/>
  <c r="CJ496" i="5"/>
  <c r="CK496" i="5"/>
  <c r="CL496" i="5"/>
  <c r="BD497" i="5"/>
  <c r="BE497" i="5"/>
  <c r="BF497" i="5"/>
  <c r="BG497" i="5"/>
  <c r="BH497" i="5"/>
  <c r="BI497" i="5"/>
  <c r="BJ497" i="5"/>
  <c r="BK497" i="5"/>
  <c r="BL497" i="5"/>
  <c r="BM497" i="5"/>
  <c r="BN497" i="5"/>
  <c r="BO497" i="5"/>
  <c r="BP497" i="5"/>
  <c r="BQ497" i="5"/>
  <c r="BR497" i="5"/>
  <c r="BS497" i="5"/>
  <c r="BT497" i="5"/>
  <c r="BU497" i="5"/>
  <c r="BV497" i="5"/>
  <c r="BW497" i="5"/>
  <c r="BX497" i="5"/>
  <c r="BY497" i="5"/>
  <c r="BZ497" i="5"/>
  <c r="CA497" i="5"/>
  <c r="CB497" i="5"/>
  <c r="CC497" i="5"/>
  <c r="CD497" i="5"/>
  <c r="CE497" i="5"/>
  <c r="CF497" i="5"/>
  <c r="CG497" i="5"/>
  <c r="CH497" i="5"/>
  <c r="CI497" i="5"/>
  <c r="CJ497" i="5"/>
  <c r="CK497" i="5"/>
  <c r="CL497" i="5"/>
  <c r="BD498" i="5"/>
  <c r="BE498" i="5"/>
  <c r="BF498" i="5"/>
  <c r="BG498" i="5"/>
  <c r="BH498" i="5"/>
  <c r="BI498" i="5"/>
  <c r="BJ498" i="5"/>
  <c r="BK498" i="5"/>
  <c r="BL498" i="5"/>
  <c r="BM498" i="5"/>
  <c r="BN498" i="5"/>
  <c r="BO498" i="5"/>
  <c r="BP498" i="5"/>
  <c r="BQ498" i="5"/>
  <c r="BR498" i="5"/>
  <c r="BS498" i="5"/>
  <c r="BT498" i="5"/>
  <c r="BU498" i="5"/>
  <c r="BV498" i="5"/>
  <c r="BW498" i="5"/>
  <c r="BX498" i="5"/>
  <c r="BY498" i="5"/>
  <c r="BZ498" i="5"/>
  <c r="CA498" i="5"/>
  <c r="CB498" i="5"/>
  <c r="CC498" i="5"/>
  <c r="CD498" i="5"/>
  <c r="CE498" i="5"/>
  <c r="CF498" i="5"/>
  <c r="CG498" i="5"/>
  <c r="CH498" i="5"/>
  <c r="CI498" i="5"/>
  <c r="CJ498" i="5"/>
  <c r="CK498" i="5"/>
  <c r="CL498" i="5"/>
  <c r="BD499" i="5"/>
  <c r="BE499" i="5"/>
  <c r="BF499" i="5"/>
  <c r="BG499" i="5"/>
  <c r="BH499" i="5"/>
  <c r="BI499" i="5"/>
  <c r="BJ499" i="5"/>
  <c r="BK499" i="5"/>
  <c r="BL499" i="5"/>
  <c r="BM499" i="5"/>
  <c r="BN499" i="5"/>
  <c r="BO499" i="5"/>
  <c r="BP499" i="5"/>
  <c r="BQ499" i="5"/>
  <c r="BR499" i="5"/>
  <c r="BS499" i="5"/>
  <c r="BT499" i="5"/>
  <c r="BU499" i="5"/>
  <c r="BV499" i="5"/>
  <c r="BW499" i="5"/>
  <c r="BX499" i="5"/>
  <c r="BY499" i="5"/>
  <c r="BZ499" i="5"/>
  <c r="CA499" i="5"/>
  <c r="CB499" i="5"/>
  <c r="CC499" i="5"/>
  <c r="CD499" i="5"/>
  <c r="CE499" i="5"/>
  <c r="CF499" i="5"/>
  <c r="CG499" i="5"/>
  <c r="CH499" i="5"/>
  <c r="CI499" i="5"/>
  <c r="CJ499" i="5"/>
  <c r="CK499" i="5"/>
  <c r="CL499" i="5"/>
  <c r="BD500" i="5"/>
  <c r="BE500" i="5"/>
  <c r="BF500" i="5"/>
  <c r="BG500" i="5"/>
  <c r="BH500" i="5"/>
  <c r="BI500" i="5"/>
  <c r="BJ500" i="5"/>
  <c r="BK500" i="5"/>
  <c r="BL500" i="5"/>
  <c r="BM500" i="5"/>
  <c r="BN500" i="5"/>
  <c r="BO500" i="5"/>
  <c r="BP500" i="5"/>
  <c r="BQ500" i="5"/>
  <c r="BR500" i="5"/>
  <c r="BS500" i="5"/>
  <c r="BT500" i="5"/>
  <c r="BU500" i="5"/>
  <c r="BV500" i="5"/>
  <c r="BW500" i="5"/>
  <c r="BX500" i="5"/>
  <c r="BY500" i="5"/>
  <c r="BZ500" i="5"/>
  <c r="CA500" i="5"/>
  <c r="CB500" i="5"/>
  <c r="CC500" i="5"/>
  <c r="CD500" i="5"/>
  <c r="CE500" i="5"/>
  <c r="CF500" i="5"/>
  <c r="CG500" i="5"/>
  <c r="CH500" i="5"/>
  <c r="CI500" i="5"/>
  <c r="CJ500" i="5"/>
  <c r="CK500" i="5"/>
  <c r="CL500" i="5"/>
  <c r="BD501" i="5"/>
  <c r="BE501" i="5"/>
  <c r="BF501" i="5"/>
  <c r="BG501" i="5"/>
  <c r="BH501" i="5"/>
  <c r="BI501" i="5"/>
  <c r="BJ501" i="5"/>
  <c r="BK501" i="5"/>
  <c r="BL501" i="5"/>
  <c r="BM501" i="5"/>
  <c r="BN501" i="5"/>
  <c r="BO501" i="5"/>
  <c r="BP501" i="5"/>
  <c r="BQ501" i="5"/>
  <c r="BR501" i="5"/>
  <c r="BS501" i="5"/>
  <c r="BT501" i="5"/>
  <c r="BU501" i="5"/>
  <c r="BV501" i="5"/>
  <c r="BW501" i="5"/>
  <c r="BX501" i="5"/>
  <c r="BY501" i="5"/>
  <c r="BZ501" i="5"/>
  <c r="CA501" i="5"/>
  <c r="CB501" i="5"/>
  <c r="CC501" i="5"/>
  <c r="CD501" i="5"/>
  <c r="CE501" i="5"/>
  <c r="CF501" i="5"/>
  <c r="CG501" i="5"/>
  <c r="CH501" i="5"/>
  <c r="CI501" i="5"/>
  <c r="CJ501" i="5"/>
  <c r="CK501" i="5"/>
  <c r="CL501" i="5"/>
  <c r="BD502" i="5"/>
  <c r="BE502" i="5"/>
  <c r="BF502" i="5"/>
  <c r="BG502" i="5"/>
  <c r="BH502" i="5"/>
  <c r="BI502" i="5"/>
  <c r="BJ502" i="5"/>
  <c r="BK502" i="5"/>
  <c r="BL502" i="5"/>
  <c r="BM502" i="5"/>
  <c r="BN502" i="5"/>
  <c r="BO502" i="5"/>
  <c r="BP502" i="5"/>
  <c r="BQ502" i="5"/>
  <c r="BR502" i="5"/>
  <c r="BS502" i="5"/>
  <c r="BT502" i="5"/>
  <c r="BU502" i="5"/>
  <c r="BV502" i="5"/>
  <c r="BW502" i="5"/>
  <c r="BX502" i="5"/>
  <c r="BY502" i="5"/>
  <c r="BZ502" i="5"/>
  <c r="CA502" i="5"/>
  <c r="CB502" i="5"/>
  <c r="CC502" i="5"/>
  <c r="CD502" i="5"/>
  <c r="CE502" i="5"/>
  <c r="CF502" i="5"/>
  <c r="CG502" i="5"/>
  <c r="CH502" i="5"/>
  <c r="CI502" i="5"/>
  <c r="CJ502" i="5"/>
  <c r="CK502" i="5"/>
  <c r="CL502" i="5"/>
  <c r="BD503" i="5"/>
  <c r="BE503" i="5"/>
  <c r="BF503" i="5"/>
  <c r="BG503" i="5"/>
  <c r="BH503" i="5"/>
  <c r="BI503" i="5"/>
  <c r="BJ503" i="5"/>
  <c r="BK503" i="5"/>
  <c r="BL503" i="5"/>
  <c r="BM503" i="5"/>
  <c r="BN503" i="5"/>
  <c r="BO503" i="5"/>
  <c r="BP503" i="5"/>
  <c r="BQ503" i="5"/>
  <c r="BR503" i="5"/>
  <c r="BS503" i="5"/>
  <c r="BT503" i="5"/>
  <c r="BU503" i="5"/>
  <c r="BV503" i="5"/>
  <c r="BW503" i="5"/>
  <c r="BX503" i="5"/>
  <c r="BY503" i="5"/>
  <c r="BZ503" i="5"/>
  <c r="CA503" i="5"/>
  <c r="CB503" i="5"/>
  <c r="CC503" i="5"/>
  <c r="CD503" i="5"/>
  <c r="CE503" i="5"/>
  <c r="CF503" i="5"/>
  <c r="CG503" i="5"/>
  <c r="CH503" i="5"/>
  <c r="CI503" i="5"/>
  <c r="CJ503" i="5"/>
  <c r="CK503" i="5"/>
  <c r="CL503" i="5"/>
  <c r="BD504" i="5"/>
  <c r="BE504" i="5"/>
  <c r="BF504" i="5"/>
  <c r="BG504" i="5"/>
  <c r="BH504" i="5"/>
  <c r="BI504" i="5"/>
  <c r="BJ504" i="5"/>
  <c r="BK504" i="5"/>
  <c r="BL504" i="5"/>
  <c r="BM504" i="5"/>
  <c r="BN504" i="5"/>
  <c r="BO504" i="5"/>
  <c r="BP504" i="5"/>
  <c r="BQ504" i="5"/>
  <c r="BR504" i="5"/>
  <c r="BS504" i="5"/>
  <c r="BT504" i="5"/>
  <c r="BU504" i="5"/>
  <c r="BV504" i="5"/>
  <c r="BW504" i="5"/>
  <c r="BX504" i="5"/>
  <c r="BY504" i="5"/>
  <c r="BZ504" i="5"/>
  <c r="CA504" i="5"/>
  <c r="CB504" i="5"/>
  <c r="CC504" i="5"/>
  <c r="CD504" i="5"/>
  <c r="CE504" i="5"/>
  <c r="CF504" i="5"/>
  <c r="CG504" i="5"/>
  <c r="CH504" i="5"/>
  <c r="CI504" i="5"/>
  <c r="CJ504" i="5"/>
  <c r="CK504" i="5"/>
  <c r="CL504" i="5"/>
  <c r="BD505" i="5"/>
  <c r="BE505" i="5"/>
  <c r="BF505" i="5"/>
  <c r="BG505" i="5"/>
  <c r="BH505" i="5"/>
  <c r="BI505" i="5"/>
  <c r="BJ505" i="5"/>
  <c r="BK505" i="5"/>
  <c r="BL505" i="5"/>
  <c r="BM505" i="5"/>
  <c r="BN505" i="5"/>
  <c r="BO505" i="5"/>
  <c r="BP505" i="5"/>
  <c r="BQ505" i="5"/>
  <c r="BR505" i="5"/>
  <c r="BS505" i="5"/>
  <c r="BT505" i="5"/>
  <c r="BU505" i="5"/>
  <c r="BV505" i="5"/>
  <c r="BW505" i="5"/>
  <c r="BX505" i="5"/>
  <c r="BY505" i="5"/>
  <c r="BZ505" i="5"/>
  <c r="CA505" i="5"/>
  <c r="CB505" i="5"/>
  <c r="CC505" i="5"/>
  <c r="CD505" i="5"/>
  <c r="CE505" i="5"/>
  <c r="CF505" i="5"/>
  <c r="CG505" i="5"/>
  <c r="CH505" i="5"/>
  <c r="CI505" i="5"/>
  <c r="CJ505" i="5"/>
  <c r="CK505" i="5"/>
  <c r="CL505" i="5"/>
  <c r="BD506" i="5"/>
  <c r="BE506" i="5"/>
  <c r="BF506" i="5"/>
  <c r="BG506" i="5"/>
  <c r="BH506" i="5"/>
  <c r="BI506" i="5"/>
  <c r="BJ506" i="5"/>
  <c r="BK506" i="5"/>
  <c r="BL506" i="5"/>
  <c r="BM506" i="5"/>
  <c r="BN506" i="5"/>
  <c r="BO506" i="5"/>
  <c r="BP506" i="5"/>
  <c r="BQ506" i="5"/>
  <c r="BR506" i="5"/>
  <c r="BS506" i="5"/>
  <c r="BT506" i="5"/>
  <c r="BU506" i="5"/>
  <c r="BV506" i="5"/>
  <c r="BW506" i="5"/>
  <c r="BX506" i="5"/>
  <c r="BY506" i="5"/>
  <c r="BZ506" i="5"/>
  <c r="CA506" i="5"/>
  <c r="CB506" i="5"/>
  <c r="CC506" i="5"/>
  <c r="CD506" i="5"/>
  <c r="CE506" i="5"/>
  <c r="CF506" i="5"/>
  <c r="CG506" i="5"/>
  <c r="CH506" i="5"/>
  <c r="CI506" i="5"/>
  <c r="CJ506" i="5"/>
  <c r="CK506" i="5"/>
  <c r="CL506" i="5"/>
  <c r="BD507" i="5"/>
  <c r="BE507" i="5"/>
  <c r="BF507" i="5"/>
  <c r="BG507" i="5"/>
  <c r="BH507" i="5"/>
  <c r="BI507" i="5"/>
  <c r="BJ507" i="5"/>
  <c r="BK507" i="5"/>
  <c r="BL507" i="5"/>
  <c r="BM507" i="5"/>
  <c r="BN507" i="5"/>
  <c r="BO507" i="5"/>
  <c r="BP507" i="5"/>
  <c r="BQ507" i="5"/>
  <c r="BR507" i="5"/>
  <c r="BS507" i="5"/>
  <c r="BT507" i="5"/>
  <c r="BU507" i="5"/>
  <c r="BV507" i="5"/>
  <c r="BW507" i="5"/>
  <c r="BX507" i="5"/>
  <c r="BY507" i="5"/>
  <c r="BZ507" i="5"/>
  <c r="CA507" i="5"/>
  <c r="CB507" i="5"/>
  <c r="CC507" i="5"/>
  <c r="CD507" i="5"/>
  <c r="CE507" i="5"/>
  <c r="CF507" i="5"/>
  <c r="CG507" i="5"/>
  <c r="CH507" i="5"/>
  <c r="CI507" i="5"/>
  <c r="CJ507" i="5"/>
  <c r="CK507" i="5"/>
  <c r="CL507" i="5"/>
  <c r="BD508" i="5"/>
  <c r="BE508" i="5"/>
  <c r="BF508" i="5"/>
  <c r="BG508" i="5"/>
  <c r="BH508" i="5"/>
  <c r="BI508" i="5"/>
  <c r="BJ508" i="5"/>
  <c r="BK508" i="5"/>
  <c r="BL508" i="5"/>
  <c r="BM508" i="5"/>
  <c r="BN508" i="5"/>
  <c r="BO508" i="5"/>
  <c r="BP508" i="5"/>
  <c r="BQ508" i="5"/>
  <c r="BR508" i="5"/>
  <c r="BS508" i="5"/>
  <c r="BT508" i="5"/>
  <c r="BU508" i="5"/>
  <c r="BV508" i="5"/>
  <c r="BW508" i="5"/>
  <c r="BX508" i="5"/>
  <c r="BY508" i="5"/>
  <c r="BZ508" i="5"/>
  <c r="CA508" i="5"/>
  <c r="CB508" i="5"/>
  <c r="CC508" i="5"/>
  <c r="CD508" i="5"/>
  <c r="CE508" i="5"/>
  <c r="CF508" i="5"/>
  <c r="CG508" i="5"/>
  <c r="CH508" i="5"/>
  <c r="CI508" i="5"/>
  <c r="CJ508" i="5"/>
  <c r="CK508" i="5"/>
  <c r="CL508" i="5"/>
  <c r="BD509" i="5"/>
  <c r="BE509" i="5"/>
  <c r="BF509" i="5"/>
  <c r="BG509" i="5"/>
  <c r="BH509" i="5"/>
  <c r="BI509" i="5"/>
  <c r="BJ509" i="5"/>
  <c r="BK509" i="5"/>
  <c r="BL509" i="5"/>
  <c r="BM509" i="5"/>
  <c r="BN509" i="5"/>
  <c r="BO509" i="5"/>
  <c r="BP509" i="5"/>
  <c r="BQ509" i="5"/>
  <c r="BR509" i="5"/>
  <c r="BS509" i="5"/>
  <c r="BT509" i="5"/>
  <c r="BU509" i="5"/>
  <c r="BV509" i="5"/>
  <c r="BW509" i="5"/>
  <c r="BX509" i="5"/>
  <c r="BY509" i="5"/>
  <c r="BZ509" i="5"/>
  <c r="CA509" i="5"/>
  <c r="CB509" i="5"/>
  <c r="CC509" i="5"/>
  <c r="CD509" i="5"/>
  <c r="CE509" i="5"/>
  <c r="CF509" i="5"/>
  <c r="CG509" i="5"/>
  <c r="CH509" i="5"/>
  <c r="CI509" i="5"/>
  <c r="CJ509" i="5"/>
  <c r="CK509" i="5"/>
  <c r="CL509" i="5"/>
  <c r="BD510" i="5"/>
  <c r="BE510" i="5"/>
  <c r="BF510" i="5"/>
  <c r="BG510" i="5"/>
  <c r="BH510" i="5"/>
  <c r="BI510" i="5"/>
  <c r="BJ510" i="5"/>
  <c r="BK510" i="5"/>
  <c r="BL510" i="5"/>
  <c r="BM510" i="5"/>
  <c r="BN510" i="5"/>
  <c r="BO510" i="5"/>
  <c r="BP510" i="5"/>
  <c r="BQ510" i="5"/>
  <c r="BR510" i="5"/>
  <c r="BS510" i="5"/>
  <c r="BT510" i="5"/>
  <c r="BU510" i="5"/>
  <c r="BV510" i="5"/>
  <c r="BW510" i="5"/>
  <c r="BX510" i="5"/>
  <c r="BY510" i="5"/>
  <c r="BZ510" i="5"/>
  <c r="CA510" i="5"/>
  <c r="CB510" i="5"/>
  <c r="CC510" i="5"/>
  <c r="CD510" i="5"/>
  <c r="CE510" i="5"/>
  <c r="CF510" i="5"/>
  <c r="CG510" i="5"/>
  <c r="CH510" i="5"/>
  <c r="CI510" i="5"/>
  <c r="CJ510" i="5"/>
  <c r="CK510" i="5"/>
  <c r="CL510" i="5"/>
  <c r="BD511" i="5"/>
  <c r="BE511" i="5"/>
  <c r="BF511" i="5"/>
  <c r="BG511" i="5"/>
  <c r="BH511" i="5"/>
  <c r="BI511" i="5"/>
  <c r="BJ511" i="5"/>
  <c r="BK511" i="5"/>
  <c r="BL511" i="5"/>
  <c r="BM511" i="5"/>
  <c r="BN511" i="5"/>
  <c r="BO511" i="5"/>
  <c r="BP511" i="5"/>
  <c r="BQ511" i="5"/>
  <c r="BR511" i="5"/>
  <c r="BS511" i="5"/>
  <c r="BT511" i="5"/>
  <c r="BU511" i="5"/>
  <c r="BV511" i="5"/>
  <c r="BW511" i="5"/>
  <c r="BX511" i="5"/>
  <c r="BY511" i="5"/>
  <c r="BZ511" i="5"/>
  <c r="CA511" i="5"/>
  <c r="CB511" i="5"/>
  <c r="CC511" i="5"/>
  <c r="CD511" i="5"/>
  <c r="CE511" i="5"/>
  <c r="CF511" i="5"/>
  <c r="CG511" i="5"/>
  <c r="CH511" i="5"/>
  <c r="CI511" i="5"/>
  <c r="CJ511" i="5"/>
  <c r="CK511" i="5"/>
  <c r="CL511" i="5"/>
  <c r="BD512" i="5"/>
  <c r="BE512" i="5"/>
  <c r="BF512" i="5"/>
  <c r="BG512" i="5"/>
  <c r="BH512" i="5"/>
  <c r="BI512" i="5"/>
  <c r="BJ512" i="5"/>
  <c r="BK512" i="5"/>
  <c r="BL512" i="5"/>
  <c r="BM512" i="5"/>
  <c r="BN512" i="5"/>
  <c r="BO512" i="5"/>
  <c r="BP512" i="5"/>
  <c r="BQ512" i="5"/>
  <c r="BR512" i="5"/>
  <c r="BS512" i="5"/>
  <c r="BT512" i="5"/>
  <c r="BU512" i="5"/>
  <c r="BV512" i="5"/>
  <c r="BW512" i="5"/>
  <c r="BX512" i="5"/>
  <c r="BY512" i="5"/>
  <c r="BZ512" i="5"/>
  <c r="CA512" i="5"/>
  <c r="CB512" i="5"/>
  <c r="CC512" i="5"/>
  <c r="CD512" i="5"/>
  <c r="CE512" i="5"/>
  <c r="CF512" i="5"/>
  <c r="CG512" i="5"/>
  <c r="CH512" i="5"/>
  <c r="CI512" i="5"/>
  <c r="CJ512" i="5"/>
  <c r="CK512" i="5"/>
  <c r="CL512" i="5"/>
  <c r="BD513" i="5"/>
  <c r="BE513" i="5"/>
  <c r="BF513" i="5"/>
  <c r="BG513" i="5"/>
  <c r="BH513" i="5"/>
  <c r="BI513" i="5"/>
  <c r="BJ513" i="5"/>
  <c r="BK513" i="5"/>
  <c r="BL513" i="5"/>
  <c r="BM513" i="5"/>
  <c r="BN513" i="5"/>
  <c r="BO513" i="5"/>
  <c r="BP513" i="5"/>
  <c r="BQ513" i="5"/>
  <c r="BR513" i="5"/>
  <c r="BS513" i="5"/>
  <c r="BT513" i="5"/>
  <c r="BU513" i="5"/>
  <c r="BV513" i="5"/>
  <c r="BW513" i="5"/>
  <c r="BX513" i="5"/>
  <c r="BY513" i="5"/>
  <c r="BZ513" i="5"/>
  <c r="CA513" i="5"/>
  <c r="CB513" i="5"/>
  <c r="CC513" i="5"/>
  <c r="CD513" i="5"/>
  <c r="CE513" i="5"/>
  <c r="CF513" i="5"/>
  <c r="CG513" i="5"/>
  <c r="CH513" i="5"/>
  <c r="CI513" i="5"/>
  <c r="CJ513" i="5"/>
  <c r="CK513" i="5"/>
  <c r="CL513" i="5"/>
  <c r="BD514" i="5"/>
  <c r="BE514" i="5"/>
  <c r="BF514" i="5"/>
  <c r="BG514" i="5"/>
  <c r="BH514" i="5"/>
  <c r="BI514" i="5"/>
  <c r="BJ514" i="5"/>
  <c r="BK514" i="5"/>
  <c r="BL514" i="5"/>
  <c r="BM514" i="5"/>
  <c r="BN514" i="5"/>
  <c r="BO514" i="5"/>
  <c r="BP514" i="5"/>
  <c r="BQ514" i="5"/>
  <c r="BR514" i="5"/>
  <c r="BS514" i="5"/>
  <c r="BT514" i="5"/>
  <c r="BU514" i="5"/>
  <c r="BV514" i="5"/>
  <c r="BW514" i="5"/>
  <c r="BX514" i="5"/>
  <c r="BY514" i="5"/>
  <c r="BZ514" i="5"/>
  <c r="CA514" i="5"/>
  <c r="CB514" i="5"/>
  <c r="CC514" i="5"/>
  <c r="CD514" i="5"/>
  <c r="CE514" i="5"/>
  <c r="CF514" i="5"/>
  <c r="CG514" i="5"/>
  <c r="CH514" i="5"/>
  <c r="CI514" i="5"/>
  <c r="CJ514" i="5"/>
  <c r="CK514" i="5"/>
  <c r="CL514" i="5"/>
  <c r="BD515" i="5"/>
  <c r="BE515" i="5"/>
  <c r="BF515" i="5"/>
  <c r="BG515" i="5"/>
  <c r="BH515" i="5"/>
  <c r="BI515" i="5"/>
  <c r="BJ515" i="5"/>
  <c r="BK515" i="5"/>
  <c r="BL515" i="5"/>
  <c r="BM515" i="5"/>
  <c r="BN515" i="5"/>
  <c r="BO515" i="5"/>
  <c r="BP515" i="5"/>
  <c r="BQ515" i="5"/>
  <c r="BR515" i="5"/>
  <c r="BS515" i="5"/>
  <c r="BT515" i="5"/>
  <c r="BU515" i="5"/>
  <c r="BV515" i="5"/>
  <c r="BW515" i="5"/>
  <c r="BX515" i="5"/>
  <c r="BY515" i="5"/>
  <c r="BZ515" i="5"/>
  <c r="CA515" i="5"/>
  <c r="CB515" i="5"/>
  <c r="CC515" i="5"/>
  <c r="CD515" i="5"/>
  <c r="CE515" i="5"/>
  <c r="CF515" i="5"/>
  <c r="CG515" i="5"/>
  <c r="CH515" i="5"/>
  <c r="CI515" i="5"/>
  <c r="CJ515" i="5"/>
  <c r="CK515" i="5"/>
  <c r="CL515" i="5"/>
  <c r="BD516" i="5"/>
  <c r="BE516" i="5"/>
  <c r="BF516" i="5"/>
  <c r="BG516" i="5"/>
  <c r="BH516" i="5"/>
  <c r="BI516" i="5"/>
  <c r="BJ516" i="5"/>
  <c r="BK516" i="5"/>
  <c r="BL516" i="5"/>
  <c r="BM516" i="5"/>
  <c r="BN516" i="5"/>
  <c r="BO516" i="5"/>
  <c r="BP516" i="5"/>
  <c r="BQ516" i="5"/>
  <c r="BR516" i="5"/>
  <c r="BS516" i="5"/>
  <c r="BT516" i="5"/>
  <c r="BU516" i="5"/>
  <c r="BV516" i="5"/>
  <c r="BW516" i="5"/>
  <c r="BX516" i="5"/>
  <c r="BY516" i="5"/>
  <c r="BZ516" i="5"/>
  <c r="CA516" i="5"/>
  <c r="CB516" i="5"/>
  <c r="CC516" i="5"/>
  <c r="CD516" i="5"/>
  <c r="CE516" i="5"/>
  <c r="CF516" i="5"/>
  <c r="CG516" i="5"/>
  <c r="CH516" i="5"/>
  <c r="CI516" i="5"/>
  <c r="CJ516" i="5"/>
  <c r="CK516" i="5"/>
  <c r="CL516" i="5"/>
  <c r="BD517" i="5"/>
  <c r="BE517" i="5"/>
  <c r="BF517" i="5"/>
  <c r="BG517" i="5"/>
  <c r="BH517" i="5"/>
  <c r="BI517" i="5"/>
  <c r="BJ517" i="5"/>
  <c r="BK517" i="5"/>
  <c r="BL517" i="5"/>
  <c r="BM517" i="5"/>
  <c r="BN517" i="5"/>
  <c r="BO517" i="5"/>
  <c r="BP517" i="5"/>
  <c r="BQ517" i="5"/>
  <c r="BR517" i="5"/>
  <c r="BS517" i="5"/>
  <c r="BT517" i="5"/>
  <c r="BU517" i="5"/>
  <c r="BV517" i="5"/>
  <c r="BW517" i="5"/>
  <c r="BX517" i="5"/>
  <c r="BY517" i="5"/>
  <c r="BZ517" i="5"/>
  <c r="CA517" i="5"/>
  <c r="CB517" i="5"/>
  <c r="CC517" i="5"/>
  <c r="CD517" i="5"/>
  <c r="CE517" i="5"/>
  <c r="CF517" i="5"/>
  <c r="CG517" i="5"/>
  <c r="CH517" i="5"/>
  <c r="CI517" i="5"/>
  <c r="CJ517" i="5"/>
  <c r="CK517" i="5"/>
  <c r="CL517" i="5"/>
  <c r="BD518" i="5"/>
  <c r="BE518" i="5"/>
  <c r="BF518" i="5"/>
  <c r="BG518" i="5"/>
  <c r="BH518" i="5"/>
  <c r="BI518" i="5"/>
  <c r="BJ518" i="5"/>
  <c r="BK518" i="5"/>
  <c r="BL518" i="5"/>
  <c r="BM518" i="5"/>
  <c r="BN518" i="5"/>
  <c r="BO518" i="5"/>
  <c r="BP518" i="5"/>
  <c r="BQ518" i="5"/>
  <c r="BR518" i="5"/>
  <c r="BS518" i="5"/>
  <c r="BT518" i="5"/>
  <c r="BU518" i="5"/>
  <c r="BV518" i="5"/>
  <c r="BW518" i="5"/>
  <c r="BX518" i="5"/>
  <c r="BY518" i="5"/>
  <c r="BZ518" i="5"/>
  <c r="CA518" i="5"/>
  <c r="CB518" i="5"/>
  <c r="CC518" i="5"/>
  <c r="CD518" i="5"/>
  <c r="CE518" i="5"/>
  <c r="CF518" i="5"/>
  <c r="CG518" i="5"/>
  <c r="CH518" i="5"/>
  <c r="CI518" i="5"/>
  <c r="CJ518" i="5"/>
  <c r="CK518" i="5"/>
  <c r="CL518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F2" i="5"/>
  <c r="CG2" i="5"/>
  <c r="CH2" i="5"/>
  <c r="CI2" i="5"/>
  <c r="CJ2" i="5"/>
  <c r="CK2" i="5"/>
  <c r="CL2" i="5"/>
  <c r="BC3" i="5"/>
  <c r="BC4" i="5"/>
  <c r="BC5" i="5"/>
  <c r="BC6" i="5"/>
  <c r="BC7" i="5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27" i="5"/>
  <c r="BC28" i="5"/>
  <c r="BC29" i="5"/>
  <c r="BC30" i="5"/>
  <c r="BC31" i="5"/>
  <c r="BC32" i="5"/>
  <c r="BC33" i="5"/>
  <c r="BC34" i="5"/>
  <c r="BC35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0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2" i="5"/>
  <c r="BC123" i="5"/>
  <c r="BC124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39" i="5"/>
  <c r="BC140" i="5"/>
  <c r="BC141" i="5"/>
  <c r="BC142" i="5"/>
  <c r="BC143" i="5"/>
  <c r="BC144" i="5"/>
  <c r="BC145" i="5"/>
  <c r="BC146" i="5"/>
  <c r="BC147" i="5"/>
  <c r="BC148" i="5"/>
  <c r="BC149" i="5"/>
  <c r="BC150" i="5"/>
  <c r="BC151" i="5"/>
  <c r="BC152" i="5"/>
  <c r="BC153" i="5"/>
  <c r="BC154" i="5"/>
  <c r="BC155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70" i="5"/>
  <c r="BC171" i="5"/>
  <c r="BC172" i="5"/>
  <c r="BC173" i="5"/>
  <c r="BC174" i="5"/>
  <c r="BC175" i="5"/>
  <c r="BC176" i="5"/>
  <c r="BC177" i="5"/>
  <c r="BC178" i="5"/>
  <c r="BC179" i="5"/>
  <c r="BC180" i="5"/>
  <c r="BC181" i="5"/>
  <c r="BC182" i="5"/>
  <c r="BC183" i="5"/>
  <c r="BC184" i="5"/>
  <c r="BC185" i="5"/>
  <c r="BC186" i="5"/>
  <c r="BC187" i="5"/>
  <c r="BC188" i="5"/>
  <c r="BC189" i="5"/>
  <c r="BC190" i="5"/>
  <c r="BC191" i="5"/>
  <c r="BC192" i="5"/>
  <c r="BC193" i="5"/>
  <c r="BC194" i="5"/>
  <c r="BC195" i="5"/>
  <c r="BC196" i="5"/>
  <c r="BC197" i="5"/>
  <c r="BC198" i="5"/>
  <c r="BC199" i="5"/>
  <c r="BC200" i="5"/>
  <c r="BC201" i="5"/>
  <c r="BC202" i="5"/>
  <c r="BC203" i="5"/>
  <c r="BC204" i="5"/>
  <c r="BC205" i="5"/>
  <c r="BC206" i="5"/>
  <c r="BC207" i="5"/>
  <c r="BC208" i="5"/>
  <c r="BC209" i="5"/>
  <c r="BC210" i="5"/>
  <c r="BC211" i="5"/>
  <c r="BC212" i="5"/>
  <c r="BC213" i="5"/>
  <c r="BC214" i="5"/>
  <c r="BC215" i="5"/>
  <c r="BC216" i="5"/>
  <c r="BC217" i="5"/>
  <c r="BC218" i="5"/>
  <c r="BC219" i="5"/>
  <c r="BC220" i="5"/>
  <c r="BC221" i="5"/>
  <c r="BC222" i="5"/>
  <c r="BC223" i="5"/>
  <c r="BC224" i="5"/>
  <c r="BC225" i="5"/>
  <c r="BC226" i="5"/>
  <c r="BC227" i="5"/>
  <c r="BC228" i="5"/>
  <c r="BC229" i="5"/>
  <c r="BC230" i="5"/>
  <c r="BC231" i="5"/>
  <c r="BC232" i="5"/>
  <c r="BC233" i="5"/>
  <c r="BC234" i="5"/>
  <c r="BC235" i="5"/>
  <c r="BC236" i="5"/>
  <c r="BC237" i="5"/>
  <c r="BC238" i="5"/>
  <c r="BC239" i="5"/>
  <c r="BC240" i="5"/>
  <c r="BC241" i="5"/>
  <c r="BC242" i="5"/>
  <c r="BC243" i="5"/>
  <c r="BC244" i="5"/>
  <c r="BC245" i="5"/>
  <c r="BC246" i="5"/>
  <c r="BC247" i="5"/>
  <c r="BC248" i="5"/>
  <c r="BC249" i="5"/>
  <c r="BC250" i="5"/>
  <c r="BC251" i="5"/>
  <c r="BC252" i="5"/>
  <c r="BC253" i="5"/>
  <c r="BC254" i="5"/>
  <c r="BC255" i="5"/>
  <c r="BC256" i="5"/>
  <c r="BC257" i="5"/>
  <c r="BC258" i="5"/>
  <c r="BC259" i="5"/>
  <c r="BC260" i="5"/>
  <c r="BC261" i="5"/>
  <c r="BC262" i="5"/>
  <c r="BC263" i="5"/>
  <c r="BC264" i="5"/>
  <c r="BC265" i="5"/>
  <c r="BC266" i="5"/>
  <c r="BC267" i="5"/>
  <c r="BC268" i="5"/>
  <c r="BC269" i="5"/>
  <c r="BC270" i="5"/>
  <c r="BC271" i="5"/>
  <c r="BC272" i="5"/>
  <c r="BC273" i="5"/>
  <c r="BC274" i="5"/>
  <c r="BC275" i="5"/>
  <c r="BC276" i="5"/>
  <c r="BC277" i="5"/>
  <c r="BC278" i="5"/>
  <c r="BC279" i="5"/>
  <c r="BC280" i="5"/>
  <c r="BC281" i="5"/>
  <c r="BC282" i="5"/>
  <c r="BC283" i="5"/>
  <c r="BC284" i="5"/>
  <c r="BC285" i="5"/>
  <c r="BC286" i="5"/>
  <c r="BC287" i="5"/>
  <c r="BC288" i="5"/>
  <c r="BC289" i="5"/>
  <c r="BC290" i="5"/>
  <c r="BC291" i="5"/>
  <c r="BC292" i="5"/>
  <c r="BC293" i="5"/>
  <c r="BC294" i="5"/>
  <c r="BC295" i="5"/>
  <c r="BC296" i="5"/>
  <c r="BC297" i="5"/>
  <c r="BC298" i="5"/>
  <c r="BC299" i="5"/>
  <c r="BC300" i="5"/>
  <c r="BC301" i="5"/>
  <c r="BC302" i="5"/>
  <c r="BC303" i="5"/>
  <c r="BC304" i="5"/>
  <c r="BC305" i="5"/>
  <c r="BC306" i="5"/>
  <c r="BC307" i="5"/>
  <c r="BC308" i="5"/>
  <c r="BC309" i="5"/>
  <c r="BC310" i="5"/>
  <c r="BC311" i="5"/>
  <c r="BC312" i="5"/>
  <c r="BC313" i="5"/>
  <c r="BC314" i="5"/>
  <c r="BC315" i="5"/>
  <c r="BC316" i="5"/>
  <c r="BC317" i="5"/>
  <c r="BC318" i="5"/>
  <c r="BC319" i="5"/>
  <c r="BC320" i="5"/>
  <c r="BC321" i="5"/>
  <c r="BC322" i="5"/>
  <c r="BC323" i="5"/>
  <c r="BC324" i="5"/>
  <c r="BC325" i="5"/>
  <c r="BC326" i="5"/>
  <c r="BC327" i="5"/>
  <c r="BC328" i="5"/>
  <c r="BC329" i="5"/>
  <c r="BC330" i="5"/>
  <c r="BC331" i="5"/>
  <c r="BC332" i="5"/>
  <c r="BC333" i="5"/>
  <c r="BC334" i="5"/>
  <c r="BC335" i="5"/>
  <c r="BC336" i="5"/>
  <c r="BC337" i="5"/>
  <c r="BC338" i="5"/>
  <c r="BC339" i="5"/>
  <c r="BC340" i="5"/>
  <c r="BC341" i="5"/>
  <c r="BC342" i="5"/>
  <c r="BC343" i="5"/>
  <c r="BC344" i="5"/>
  <c r="BC345" i="5"/>
  <c r="BC346" i="5"/>
  <c r="BC347" i="5"/>
  <c r="BC348" i="5"/>
  <c r="BC349" i="5"/>
  <c r="BC350" i="5"/>
  <c r="BC351" i="5"/>
  <c r="BC352" i="5"/>
  <c r="BC353" i="5"/>
  <c r="BC354" i="5"/>
  <c r="BC355" i="5"/>
  <c r="BC356" i="5"/>
  <c r="BC357" i="5"/>
  <c r="BC358" i="5"/>
  <c r="BC359" i="5"/>
  <c r="BC360" i="5"/>
  <c r="BC361" i="5"/>
  <c r="BC362" i="5"/>
  <c r="BC363" i="5"/>
  <c r="BC364" i="5"/>
  <c r="BC365" i="5"/>
  <c r="BC366" i="5"/>
  <c r="BC367" i="5"/>
  <c r="BC368" i="5"/>
  <c r="BC369" i="5"/>
  <c r="BC370" i="5"/>
  <c r="BC371" i="5"/>
  <c r="BC372" i="5"/>
  <c r="BC373" i="5"/>
  <c r="BC374" i="5"/>
  <c r="BC375" i="5"/>
  <c r="BC376" i="5"/>
  <c r="BC377" i="5"/>
  <c r="BC378" i="5"/>
  <c r="BC379" i="5"/>
  <c r="BC380" i="5"/>
  <c r="BC381" i="5"/>
  <c r="BC382" i="5"/>
  <c r="BC383" i="5"/>
  <c r="BC384" i="5"/>
  <c r="BC385" i="5"/>
  <c r="BC386" i="5"/>
  <c r="BC387" i="5"/>
  <c r="BC388" i="5"/>
  <c r="BC389" i="5"/>
  <c r="BC390" i="5"/>
  <c r="BC391" i="5"/>
  <c r="BC392" i="5"/>
  <c r="BC393" i="5"/>
  <c r="BC394" i="5"/>
  <c r="BC395" i="5"/>
  <c r="BC396" i="5"/>
  <c r="BC397" i="5"/>
  <c r="BC398" i="5"/>
  <c r="BC399" i="5"/>
  <c r="BC400" i="5"/>
  <c r="BC401" i="5"/>
  <c r="BC402" i="5"/>
  <c r="BC403" i="5"/>
  <c r="BC404" i="5"/>
  <c r="BC405" i="5"/>
  <c r="BC406" i="5"/>
  <c r="BC407" i="5"/>
  <c r="BC408" i="5"/>
  <c r="BC409" i="5"/>
  <c r="BC410" i="5"/>
  <c r="BC411" i="5"/>
  <c r="BC412" i="5"/>
  <c r="BC413" i="5"/>
  <c r="BC414" i="5"/>
  <c r="BC415" i="5"/>
  <c r="BC416" i="5"/>
  <c r="BC417" i="5"/>
  <c r="BC418" i="5"/>
  <c r="BC419" i="5"/>
  <c r="BC420" i="5"/>
  <c r="BC421" i="5"/>
  <c r="BC422" i="5"/>
  <c r="BC423" i="5"/>
  <c r="BC424" i="5"/>
  <c r="BC425" i="5"/>
  <c r="BC426" i="5"/>
  <c r="BC427" i="5"/>
  <c r="BC428" i="5"/>
  <c r="BC429" i="5"/>
  <c r="BC430" i="5"/>
  <c r="BC431" i="5"/>
  <c r="BC432" i="5"/>
  <c r="BC433" i="5"/>
  <c r="BC434" i="5"/>
  <c r="BC435" i="5"/>
  <c r="BC436" i="5"/>
  <c r="BC437" i="5"/>
  <c r="BC438" i="5"/>
  <c r="BC439" i="5"/>
  <c r="BC440" i="5"/>
  <c r="BC441" i="5"/>
  <c r="BC442" i="5"/>
  <c r="BC443" i="5"/>
  <c r="BC444" i="5"/>
  <c r="BC445" i="5"/>
  <c r="BC446" i="5"/>
  <c r="BC447" i="5"/>
  <c r="BC448" i="5"/>
  <c r="BC449" i="5"/>
  <c r="BC450" i="5"/>
  <c r="BC451" i="5"/>
  <c r="BC452" i="5"/>
  <c r="BC453" i="5"/>
  <c r="BC454" i="5"/>
  <c r="BC455" i="5"/>
  <c r="BC456" i="5"/>
  <c r="BC457" i="5"/>
  <c r="BC458" i="5"/>
  <c r="BC459" i="5"/>
  <c r="BC460" i="5"/>
  <c r="BC461" i="5"/>
  <c r="BC462" i="5"/>
  <c r="BC463" i="5"/>
  <c r="BC464" i="5"/>
  <c r="BC465" i="5"/>
  <c r="BC466" i="5"/>
  <c r="BC467" i="5"/>
  <c r="BC468" i="5"/>
  <c r="BC469" i="5"/>
  <c r="BC470" i="5"/>
  <c r="BC471" i="5"/>
  <c r="BC472" i="5"/>
  <c r="BC473" i="5"/>
  <c r="BC474" i="5"/>
  <c r="BC475" i="5"/>
  <c r="BC476" i="5"/>
  <c r="BC477" i="5"/>
  <c r="BC478" i="5"/>
  <c r="BC479" i="5"/>
  <c r="BC480" i="5"/>
  <c r="BC481" i="5"/>
  <c r="BC482" i="5"/>
  <c r="BC483" i="5"/>
  <c r="BC484" i="5"/>
  <c r="BC485" i="5"/>
  <c r="BC486" i="5"/>
  <c r="BC487" i="5"/>
  <c r="BC488" i="5"/>
  <c r="BC489" i="5"/>
  <c r="BC490" i="5"/>
  <c r="BC491" i="5"/>
  <c r="BC492" i="5"/>
  <c r="BC493" i="5"/>
  <c r="BC494" i="5"/>
  <c r="BC495" i="5"/>
  <c r="BC496" i="5"/>
  <c r="BC497" i="5"/>
  <c r="BC498" i="5"/>
  <c r="BC499" i="5"/>
  <c r="BC500" i="5"/>
  <c r="BC501" i="5"/>
  <c r="BC502" i="5"/>
  <c r="BC503" i="5"/>
  <c r="BC504" i="5"/>
  <c r="BC505" i="5"/>
  <c r="BC506" i="5"/>
  <c r="BC507" i="5"/>
  <c r="BC508" i="5"/>
  <c r="BC509" i="5"/>
  <c r="BC510" i="5"/>
  <c r="BC511" i="5"/>
  <c r="BC512" i="5"/>
  <c r="BC513" i="5"/>
  <c r="BC514" i="5"/>
  <c r="BC515" i="5"/>
  <c r="BC516" i="5"/>
  <c r="BC517" i="5"/>
  <c r="BC518" i="5"/>
  <c r="BC2" i="5"/>
  <c r="BB3" i="5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89" i="5"/>
  <c r="BB190" i="5"/>
  <c r="BB191" i="5"/>
  <c r="BB192" i="5"/>
  <c r="BB193" i="5"/>
  <c r="BB194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8" i="5"/>
  <c r="BB239" i="5"/>
  <c r="BB240" i="5"/>
  <c r="BB241" i="5"/>
  <c r="BB242" i="5"/>
  <c r="BB243" i="5"/>
  <c r="BB244" i="5"/>
  <c r="BB245" i="5"/>
  <c r="BB246" i="5"/>
  <c r="BB247" i="5"/>
  <c r="BB248" i="5"/>
  <c r="BB249" i="5"/>
  <c r="BB250" i="5"/>
  <c r="BB251" i="5"/>
  <c r="BB252" i="5"/>
  <c r="BB253" i="5"/>
  <c r="BB254" i="5"/>
  <c r="BB255" i="5"/>
  <c r="BB256" i="5"/>
  <c r="BB257" i="5"/>
  <c r="BB258" i="5"/>
  <c r="BB259" i="5"/>
  <c r="BB260" i="5"/>
  <c r="BB261" i="5"/>
  <c r="BB262" i="5"/>
  <c r="BB263" i="5"/>
  <c r="BB264" i="5"/>
  <c r="BB265" i="5"/>
  <c r="BB266" i="5"/>
  <c r="BB267" i="5"/>
  <c r="BB268" i="5"/>
  <c r="BB269" i="5"/>
  <c r="BB270" i="5"/>
  <c r="BB271" i="5"/>
  <c r="BB272" i="5"/>
  <c r="BB273" i="5"/>
  <c r="BB274" i="5"/>
  <c r="BB275" i="5"/>
  <c r="BB276" i="5"/>
  <c r="BB277" i="5"/>
  <c r="BB278" i="5"/>
  <c r="BB279" i="5"/>
  <c r="BB280" i="5"/>
  <c r="BB281" i="5"/>
  <c r="BB282" i="5"/>
  <c r="BB283" i="5"/>
  <c r="BB284" i="5"/>
  <c r="BB285" i="5"/>
  <c r="BB286" i="5"/>
  <c r="BB287" i="5"/>
  <c r="BB288" i="5"/>
  <c r="BB289" i="5"/>
  <c r="BB290" i="5"/>
  <c r="BB291" i="5"/>
  <c r="BB292" i="5"/>
  <c r="BB293" i="5"/>
  <c r="BB294" i="5"/>
  <c r="BB295" i="5"/>
  <c r="BB296" i="5"/>
  <c r="BB297" i="5"/>
  <c r="BB298" i="5"/>
  <c r="BB299" i="5"/>
  <c r="BB300" i="5"/>
  <c r="BB301" i="5"/>
  <c r="BB302" i="5"/>
  <c r="BB303" i="5"/>
  <c r="BB304" i="5"/>
  <c r="BB305" i="5"/>
  <c r="BB306" i="5"/>
  <c r="BB307" i="5"/>
  <c r="BB308" i="5"/>
  <c r="BB309" i="5"/>
  <c r="BB310" i="5"/>
  <c r="BB311" i="5"/>
  <c r="BB312" i="5"/>
  <c r="BB313" i="5"/>
  <c r="BB314" i="5"/>
  <c r="BB315" i="5"/>
  <c r="BB316" i="5"/>
  <c r="BB317" i="5"/>
  <c r="BB318" i="5"/>
  <c r="BB319" i="5"/>
  <c r="BB320" i="5"/>
  <c r="BB321" i="5"/>
  <c r="BB322" i="5"/>
  <c r="BB323" i="5"/>
  <c r="BB324" i="5"/>
  <c r="BB325" i="5"/>
  <c r="BB326" i="5"/>
  <c r="BB327" i="5"/>
  <c r="BB328" i="5"/>
  <c r="BB329" i="5"/>
  <c r="BB330" i="5"/>
  <c r="BB331" i="5"/>
  <c r="BB332" i="5"/>
  <c r="BB333" i="5"/>
  <c r="BB334" i="5"/>
  <c r="BB335" i="5"/>
  <c r="BB336" i="5"/>
  <c r="BB337" i="5"/>
  <c r="BB338" i="5"/>
  <c r="BB339" i="5"/>
  <c r="BB340" i="5"/>
  <c r="BB341" i="5"/>
  <c r="BB342" i="5"/>
  <c r="BB343" i="5"/>
  <c r="BB344" i="5"/>
  <c r="BB345" i="5"/>
  <c r="BB346" i="5"/>
  <c r="BB347" i="5"/>
  <c r="BB348" i="5"/>
  <c r="BB349" i="5"/>
  <c r="BB350" i="5"/>
  <c r="BB351" i="5"/>
  <c r="BB352" i="5"/>
  <c r="BB353" i="5"/>
  <c r="BB354" i="5"/>
  <c r="BB355" i="5"/>
  <c r="BB356" i="5"/>
  <c r="BB357" i="5"/>
  <c r="BB358" i="5"/>
  <c r="BB359" i="5"/>
  <c r="BB360" i="5"/>
  <c r="BB361" i="5"/>
  <c r="BB362" i="5"/>
  <c r="BB363" i="5"/>
  <c r="BB364" i="5"/>
  <c r="BB365" i="5"/>
  <c r="BB366" i="5"/>
  <c r="BB367" i="5"/>
  <c r="BB368" i="5"/>
  <c r="BB369" i="5"/>
  <c r="BB370" i="5"/>
  <c r="BB371" i="5"/>
  <c r="BB372" i="5"/>
  <c r="BB373" i="5"/>
  <c r="BB374" i="5"/>
  <c r="BB375" i="5"/>
  <c r="BB376" i="5"/>
  <c r="BB377" i="5"/>
  <c r="BB378" i="5"/>
  <c r="BB379" i="5"/>
  <c r="BB380" i="5"/>
  <c r="BB381" i="5"/>
  <c r="BB382" i="5"/>
  <c r="BB383" i="5"/>
  <c r="BB384" i="5"/>
  <c r="BB385" i="5"/>
  <c r="BB386" i="5"/>
  <c r="BB387" i="5"/>
  <c r="BB388" i="5"/>
  <c r="BB389" i="5"/>
  <c r="BB390" i="5"/>
  <c r="BB391" i="5"/>
  <c r="BB392" i="5"/>
  <c r="BB393" i="5"/>
  <c r="BB394" i="5"/>
  <c r="BB395" i="5"/>
  <c r="BB396" i="5"/>
  <c r="BB397" i="5"/>
  <c r="BB398" i="5"/>
  <c r="BB399" i="5"/>
  <c r="BB400" i="5"/>
  <c r="BB401" i="5"/>
  <c r="BB402" i="5"/>
  <c r="BB403" i="5"/>
  <c r="BB404" i="5"/>
  <c r="BB405" i="5"/>
  <c r="BB406" i="5"/>
  <c r="BB407" i="5"/>
  <c r="BB408" i="5"/>
  <c r="BB409" i="5"/>
  <c r="BB410" i="5"/>
  <c r="BB411" i="5"/>
  <c r="BB412" i="5"/>
  <c r="BB413" i="5"/>
  <c r="BB414" i="5"/>
  <c r="BB415" i="5"/>
  <c r="BB416" i="5"/>
  <c r="BB417" i="5"/>
  <c r="BB418" i="5"/>
  <c r="BB419" i="5"/>
  <c r="BB420" i="5"/>
  <c r="BB421" i="5"/>
  <c r="BB422" i="5"/>
  <c r="BB423" i="5"/>
  <c r="BB424" i="5"/>
  <c r="BB425" i="5"/>
  <c r="BB426" i="5"/>
  <c r="BB427" i="5"/>
  <c r="BB428" i="5"/>
  <c r="BB429" i="5"/>
  <c r="BB430" i="5"/>
  <c r="BB431" i="5"/>
  <c r="BB432" i="5"/>
  <c r="BB433" i="5"/>
  <c r="BB434" i="5"/>
  <c r="BB435" i="5"/>
  <c r="BB436" i="5"/>
  <c r="BB437" i="5"/>
  <c r="BB438" i="5"/>
  <c r="BB439" i="5"/>
  <c r="BB440" i="5"/>
  <c r="BB441" i="5"/>
  <c r="BB442" i="5"/>
  <c r="BB443" i="5"/>
  <c r="BB444" i="5"/>
  <c r="BB445" i="5"/>
  <c r="BB446" i="5"/>
  <c r="BB447" i="5"/>
  <c r="BB448" i="5"/>
  <c r="BB449" i="5"/>
  <c r="BB450" i="5"/>
  <c r="BB451" i="5"/>
  <c r="BB452" i="5"/>
  <c r="BB453" i="5"/>
  <c r="BB454" i="5"/>
  <c r="BB455" i="5"/>
  <c r="BB456" i="5"/>
  <c r="BB457" i="5"/>
  <c r="BB458" i="5"/>
  <c r="BB459" i="5"/>
  <c r="BB460" i="5"/>
  <c r="BB461" i="5"/>
  <c r="BB462" i="5"/>
  <c r="BB463" i="5"/>
  <c r="BB464" i="5"/>
  <c r="BB465" i="5"/>
  <c r="BB466" i="5"/>
  <c r="BB467" i="5"/>
  <c r="BB468" i="5"/>
  <c r="BB469" i="5"/>
  <c r="BB470" i="5"/>
  <c r="BB471" i="5"/>
  <c r="BB472" i="5"/>
  <c r="BB473" i="5"/>
  <c r="BB474" i="5"/>
  <c r="BB475" i="5"/>
  <c r="BB476" i="5"/>
  <c r="BB477" i="5"/>
  <c r="BB478" i="5"/>
  <c r="BB479" i="5"/>
  <c r="BB480" i="5"/>
  <c r="BB481" i="5"/>
  <c r="BB482" i="5"/>
  <c r="BB483" i="5"/>
  <c r="BB484" i="5"/>
  <c r="BB485" i="5"/>
  <c r="BB486" i="5"/>
  <c r="BB487" i="5"/>
  <c r="BB488" i="5"/>
  <c r="BB489" i="5"/>
  <c r="BB490" i="5"/>
  <c r="BB491" i="5"/>
  <c r="BB492" i="5"/>
  <c r="BB493" i="5"/>
  <c r="BB494" i="5"/>
  <c r="BB495" i="5"/>
  <c r="BB496" i="5"/>
  <c r="BB497" i="5"/>
  <c r="BB498" i="5"/>
  <c r="BB499" i="5"/>
  <c r="BB500" i="5"/>
  <c r="BB501" i="5"/>
  <c r="BB502" i="5"/>
  <c r="BB503" i="5"/>
  <c r="BB504" i="5"/>
  <c r="BB505" i="5"/>
  <c r="BB506" i="5"/>
  <c r="BB507" i="5"/>
  <c r="BB508" i="5"/>
  <c r="BB509" i="5"/>
  <c r="BB510" i="5"/>
  <c r="BB511" i="5"/>
  <c r="BB512" i="5"/>
  <c r="BB513" i="5"/>
  <c r="BB514" i="5"/>
  <c r="BB515" i="5"/>
  <c r="BB516" i="5"/>
  <c r="BB517" i="5"/>
  <c r="BB518" i="5"/>
  <c r="BB2" i="5"/>
  <c r="BA3" i="5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231" i="5"/>
  <c r="BA232" i="5"/>
  <c r="BA233" i="5"/>
  <c r="BA234" i="5"/>
  <c r="BA235" i="5"/>
  <c r="BA236" i="5"/>
  <c r="BA237" i="5"/>
  <c r="BA238" i="5"/>
  <c r="BA239" i="5"/>
  <c r="BA240" i="5"/>
  <c r="BA241" i="5"/>
  <c r="BA242" i="5"/>
  <c r="BA243" i="5"/>
  <c r="BA244" i="5"/>
  <c r="BA245" i="5"/>
  <c r="BA246" i="5"/>
  <c r="BA247" i="5"/>
  <c r="BA248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74" i="5"/>
  <c r="BA275" i="5"/>
  <c r="BA276" i="5"/>
  <c r="BA277" i="5"/>
  <c r="BA278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99" i="5"/>
  <c r="BA300" i="5"/>
  <c r="BA301" i="5"/>
  <c r="BA302" i="5"/>
  <c r="BA303" i="5"/>
  <c r="BA304" i="5"/>
  <c r="BA305" i="5"/>
  <c r="BA306" i="5"/>
  <c r="BA307" i="5"/>
  <c r="BA308" i="5"/>
  <c r="BA309" i="5"/>
  <c r="BA310" i="5"/>
  <c r="BA311" i="5"/>
  <c r="BA312" i="5"/>
  <c r="BA313" i="5"/>
  <c r="BA314" i="5"/>
  <c r="BA315" i="5"/>
  <c r="BA316" i="5"/>
  <c r="BA317" i="5"/>
  <c r="BA318" i="5"/>
  <c r="BA319" i="5"/>
  <c r="BA320" i="5"/>
  <c r="BA321" i="5"/>
  <c r="BA322" i="5"/>
  <c r="BA323" i="5"/>
  <c r="BA324" i="5"/>
  <c r="BA325" i="5"/>
  <c r="BA326" i="5"/>
  <c r="BA327" i="5"/>
  <c r="BA328" i="5"/>
  <c r="BA329" i="5"/>
  <c r="BA330" i="5"/>
  <c r="BA331" i="5"/>
  <c r="BA332" i="5"/>
  <c r="BA333" i="5"/>
  <c r="BA334" i="5"/>
  <c r="BA335" i="5"/>
  <c r="BA336" i="5"/>
  <c r="BA337" i="5"/>
  <c r="BA338" i="5"/>
  <c r="BA339" i="5"/>
  <c r="BA340" i="5"/>
  <c r="BA341" i="5"/>
  <c r="BA342" i="5"/>
  <c r="BA343" i="5"/>
  <c r="BA344" i="5"/>
  <c r="BA345" i="5"/>
  <c r="BA346" i="5"/>
  <c r="BA347" i="5"/>
  <c r="BA348" i="5"/>
  <c r="BA349" i="5"/>
  <c r="BA350" i="5"/>
  <c r="BA351" i="5"/>
  <c r="BA352" i="5"/>
  <c r="BA353" i="5"/>
  <c r="BA354" i="5"/>
  <c r="BA355" i="5"/>
  <c r="BA356" i="5"/>
  <c r="BA357" i="5"/>
  <c r="BA358" i="5"/>
  <c r="BA359" i="5"/>
  <c r="BA360" i="5"/>
  <c r="BA361" i="5"/>
  <c r="BA362" i="5"/>
  <c r="BA363" i="5"/>
  <c r="BA364" i="5"/>
  <c r="BA365" i="5"/>
  <c r="BA366" i="5"/>
  <c r="BA367" i="5"/>
  <c r="BA368" i="5"/>
  <c r="BA369" i="5"/>
  <c r="BA370" i="5"/>
  <c r="BA371" i="5"/>
  <c r="BA372" i="5"/>
  <c r="BA373" i="5"/>
  <c r="BA374" i="5"/>
  <c r="BA375" i="5"/>
  <c r="BA376" i="5"/>
  <c r="BA377" i="5"/>
  <c r="BA378" i="5"/>
  <c r="BA379" i="5"/>
  <c r="BA380" i="5"/>
  <c r="BA381" i="5"/>
  <c r="BA382" i="5"/>
  <c r="BA383" i="5"/>
  <c r="BA384" i="5"/>
  <c r="BA385" i="5"/>
  <c r="BA386" i="5"/>
  <c r="BA387" i="5"/>
  <c r="BA388" i="5"/>
  <c r="BA389" i="5"/>
  <c r="BA390" i="5"/>
  <c r="BA391" i="5"/>
  <c r="BA392" i="5"/>
  <c r="BA393" i="5"/>
  <c r="BA394" i="5"/>
  <c r="BA395" i="5"/>
  <c r="BA396" i="5"/>
  <c r="BA397" i="5"/>
  <c r="BA398" i="5"/>
  <c r="BA399" i="5"/>
  <c r="BA400" i="5"/>
  <c r="BA401" i="5"/>
  <c r="BA402" i="5"/>
  <c r="BA403" i="5"/>
  <c r="BA404" i="5"/>
  <c r="BA405" i="5"/>
  <c r="BA406" i="5"/>
  <c r="BA407" i="5"/>
  <c r="BA408" i="5"/>
  <c r="BA409" i="5"/>
  <c r="BA410" i="5"/>
  <c r="BA411" i="5"/>
  <c r="BA412" i="5"/>
  <c r="BA413" i="5"/>
  <c r="BA414" i="5"/>
  <c r="BA415" i="5"/>
  <c r="BA416" i="5"/>
  <c r="BA417" i="5"/>
  <c r="BA418" i="5"/>
  <c r="BA419" i="5"/>
  <c r="BA420" i="5"/>
  <c r="BA421" i="5"/>
  <c r="BA422" i="5"/>
  <c r="BA423" i="5"/>
  <c r="BA424" i="5"/>
  <c r="BA425" i="5"/>
  <c r="BA426" i="5"/>
  <c r="BA427" i="5"/>
  <c r="BA428" i="5"/>
  <c r="BA429" i="5"/>
  <c r="BA430" i="5"/>
  <c r="BA431" i="5"/>
  <c r="BA432" i="5"/>
  <c r="BA433" i="5"/>
  <c r="BA434" i="5"/>
  <c r="BA435" i="5"/>
  <c r="BA436" i="5"/>
  <c r="BA437" i="5"/>
  <c r="BA438" i="5"/>
  <c r="BA439" i="5"/>
  <c r="BA440" i="5"/>
  <c r="BA441" i="5"/>
  <c r="BA442" i="5"/>
  <c r="BA443" i="5"/>
  <c r="BA444" i="5"/>
  <c r="BA445" i="5"/>
  <c r="BA446" i="5"/>
  <c r="BA447" i="5"/>
  <c r="BA448" i="5"/>
  <c r="BA449" i="5"/>
  <c r="BA450" i="5"/>
  <c r="BA451" i="5"/>
  <c r="BA452" i="5"/>
  <c r="BA453" i="5"/>
  <c r="BA454" i="5"/>
  <c r="BA455" i="5"/>
  <c r="BA456" i="5"/>
  <c r="BA457" i="5"/>
  <c r="BA458" i="5"/>
  <c r="BA459" i="5"/>
  <c r="BA460" i="5"/>
  <c r="BA461" i="5"/>
  <c r="BA462" i="5"/>
  <c r="BA463" i="5"/>
  <c r="BA464" i="5"/>
  <c r="BA465" i="5"/>
  <c r="BA466" i="5"/>
  <c r="BA467" i="5"/>
  <c r="BA468" i="5"/>
  <c r="BA469" i="5"/>
  <c r="BA470" i="5"/>
  <c r="BA471" i="5"/>
  <c r="BA472" i="5"/>
  <c r="BA473" i="5"/>
  <c r="BA474" i="5"/>
  <c r="BA475" i="5"/>
  <c r="BA476" i="5"/>
  <c r="BA477" i="5"/>
  <c r="BA478" i="5"/>
  <c r="BA479" i="5"/>
  <c r="BA480" i="5"/>
  <c r="BA481" i="5"/>
  <c r="BA482" i="5"/>
  <c r="BA483" i="5"/>
  <c r="BA484" i="5"/>
  <c r="BA485" i="5"/>
  <c r="BA486" i="5"/>
  <c r="BA487" i="5"/>
  <c r="BA488" i="5"/>
  <c r="BA489" i="5"/>
  <c r="BA490" i="5"/>
  <c r="BA491" i="5"/>
  <c r="BA492" i="5"/>
  <c r="BA493" i="5"/>
  <c r="BA494" i="5"/>
  <c r="BA495" i="5"/>
  <c r="BA496" i="5"/>
  <c r="BA497" i="5"/>
  <c r="BA499" i="5"/>
  <c r="BA500" i="5"/>
  <c r="BA501" i="5"/>
  <c r="BA502" i="5"/>
  <c r="BA503" i="5"/>
  <c r="BA504" i="5"/>
  <c r="BA505" i="5"/>
  <c r="BA506" i="5"/>
  <c r="BA507" i="5"/>
  <c r="BA508" i="5"/>
  <c r="BA509" i="5"/>
  <c r="BA510" i="5"/>
  <c r="BA511" i="5"/>
  <c r="BA512" i="5"/>
  <c r="BA513" i="5"/>
  <c r="BA514" i="5"/>
  <c r="BA515" i="5"/>
  <c r="BA516" i="5"/>
  <c r="BA517" i="5"/>
  <c r="BA518" i="5"/>
  <c r="BA2" i="5"/>
  <c r="AZ10" i="5"/>
  <c r="AZ3" i="5"/>
  <c r="AZ4" i="5"/>
  <c r="AZ5" i="5"/>
  <c r="AZ6" i="5"/>
  <c r="AZ7" i="5"/>
  <c r="AZ8" i="5"/>
  <c r="AZ9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Z150" i="5"/>
  <c r="AZ151" i="5"/>
  <c r="AZ152" i="5"/>
  <c r="AZ153" i="5"/>
  <c r="AZ154" i="5"/>
  <c r="AZ155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83" i="5"/>
  <c r="AZ184" i="5"/>
  <c r="AZ185" i="5"/>
  <c r="AZ186" i="5"/>
  <c r="AZ187" i="5"/>
  <c r="AZ188" i="5"/>
  <c r="AZ189" i="5"/>
  <c r="AZ190" i="5"/>
  <c r="AZ191" i="5"/>
  <c r="AZ192" i="5"/>
  <c r="AZ193" i="5"/>
  <c r="AZ194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7" i="5"/>
  <c r="AZ238" i="5"/>
  <c r="AZ239" i="5"/>
  <c r="AZ240" i="5"/>
  <c r="AZ241" i="5"/>
  <c r="AZ242" i="5"/>
  <c r="AZ243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72" i="5"/>
  <c r="AZ273" i="5"/>
  <c r="AZ274" i="5"/>
  <c r="AZ275" i="5"/>
  <c r="AZ276" i="5"/>
  <c r="AZ277" i="5"/>
  <c r="AZ278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299" i="5"/>
  <c r="AZ300" i="5"/>
  <c r="AZ301" i="5"/>
  <c r="AZ302" i="5"/>
  <c r="AZ303" i="5"/>
  <c r="AZ304" i="5"/>
  <c r="AZ305" i="5"/>
  <c r="AZ306" i="5"/>
  <c r="AZ307" i="5"/>
  <c r="AZ308" i="5"/>
  <c r="AZ309" i="5"/>
  <c r="AZ310" i="5"/>
  <c r="AZ311" i="5"/>
  <c r="AZ312" i="5"/>
  <c r="AZ313" i="5"/>
  <c r="AZ314" i="5"/>
  <c r="AZ315" i="5"/>
  <c r="AZ316" i="5"/>
  <c r="AZ317" i="5"/>
  <c r="AZ318" i="5"/>
  <c r="AZ319" i="5"/>
  <c r="AZ320" i="5"/>
  <c r="AZ321" i="5"/>
  <c r="AZ322" i="5"/>
  <c r="AZ323" i="5"/>
  <c r="AZ324" i="5"/>
  <c r="AZ325" i="5"/>
  <c r="AZ326" i="5"/>
  <c r="AZ327" i="5"/>
  <c r="AZ328" i="5"/>
  <c r="AZ329" i="5"/>
  <c r="AZ330" i="5"/>
  <c r="AZ331" i="5"/>
  <c r="AZ332" i="5"/>
  <c r="AZ333" i="5"/>
  <c r="AZ334" i="5"/>
  <c r="AZ335" i="5"/>
  <c r="AZ336" i="5"/>
  <c r="AZ337" i="5"/>
  <c r="AZ338" i="5"/>
  <c r="AZ339" i="5"/>
  <c r="AZ340" i="5"/>
  <c r="AZ341" i="5"/>
  <c r="AZ342" i="5"/>
  <c r="AZ343" i="5"/>
  <c r="AZ344" i="5"/>
  <c r="AZ345" i="5"/>
  <c r="AZ346" i="5"/>
  <c r="AZ347" i="5"/>
  <c r="AZ348" i="5"/>
  <c r="AZ349" i="5"/>
  <c r="AZ350" i="5"/>
  <c r="AZ351" i="5"/>
  <c r="AZ352" i="5"/>
  <c r="AZ353" i="5"/>
  <c r="AZ354" i="5"/>
  <c r="AZ355" i="5"/>
  <c r="AZ356" i="5"/>
  <c r="AZ357" i="5"/>
  <c r="AZ358" i="5"/>
  <c r="AZ359" i="5"/>
  <c r="AZ360" i="5"/>
  <c r="AZ361" i="5"/>
  <c r="AZ362" i="5"/>
  <c r="AZ363" i="5"/>
  <c r="AZ364" i="5"/>
  <c r="AZ365" i="5"/>
  <c r="AZ366" i="5"/>
  <c r="AZ367" i="5"/>
  <c r="AZ368" i="5"/>
  <c r="AZ369" i="5"/>
  <c r="AZ370" i="5"/>
  <c r="AZ371" i="5"/>
  <c r="AZ372" i="5"/>
  <c r="AZ373" i="5"/>
  <c r="AZ374" i="5"/>
  <c r="AZ375" i="5"/>
  <c r="AZ376" i="5"/>
  <c r="AZ377" i="5"/>
  <c r="AZ378" i="5"/>
  <c r="AZ379" i="5"/>
  <c r="AZ380" i="5"/>
  <c r="AZ381" i="5"/>
  <c r="AZ382" i="5"/>
  <c r="AZ383" i="5"/>
  <c r="AZ384" i="5"/>
  <c r="AZ385" i="5"/>
  <c r="AZ386" i="5"/>
  <c r="AZ387" i="5"/>
  <c r="AZ388" i="5"/>
  <c r="AZ389" i="5"/>
  <c r="AZ390" i="5"/>
  <c r="AZ391" i="5"/>
  <c r="AZ392" i="5"/>
  <c r="AZ393" i="5"/>
  <c r="AZ394" i="5"/>
  <c r="AZ395" i="5"/>
  <c r="AZ396" i="5"/>
  <c r="AZ397" i="5"/>
  <c r="AZ398" i="5"/>
  <c r="AZ399" i="5"/>
  <c r="AZ400" i="5"/>
  <c r="AZ401" i="5"/>
  <c r="AZ402" i="5"/>
  <c r="AZ403" i="5"/>
  <c r="AZ404" i="5"/>
  <c r="AZ405" i="5"/>
  <c r="AZ406" i="5"/>
  <c r="AZ407" i="5"/>
  <c r="AZ408" i="5"/>
  <c r="AZ409" i="5"/>
  <c r="AZ410" i="5"/>
  <c r="AZ411" i="5"/>
  <c r="AZ412" i="5"/>
  <c r="AZ413" i="5"/>
  <c r="AZ414" i="5"/>
  <c r="AZ415" i="5"/>
  <c r="AZ416" i="5"/>
  <c r="AZ417" i="5"/>
  <c r="AZ418" i="5"/>
  <c r="AZ419" i="5"/>
  <c r="AZ420" i="5"/>
  <c r="AZ421" i="5"/>
  <c r="AZ422" i="5"/>
  <c r="AZ423" i="5"/>
  <c r="AZ424" i="5"/>
  <c r="AZ425" i="5"/>
  <c r="AZ426" i="5"/>
  <c r="AZ427" i="5"/>
  <c r="AZ428" i="5"/>
  <c r="AZ429" i="5"/>
  <c r="AZ430" i="5"/>
  <c r="AZ431" i="5"/>
  <c r="AZ432" i="5"/>
  <c r="AZ433" i="5"/>
  <c r="AZ434" i="5"/>
  <c r="AZ435" i="5"/>
  <c r="AZ436" i="5"/>
  <c r="AZ437" i="5"/>
  <c r="AZ438" i="5"/>
  <c r="AZ439" i="5"/>
  <c r="AZ440" i="5"/>
  <c r="AZ441" i="5"/>
  <c r="AZ442" i="5"/>
  <c r="AZ443" i="5"/>
  <c r="AZ444" i="5"/>
  <c r="AZ445" i="5"/>
  <c r="AZ446" i="5"/>
  <c r="AZ447" i="5"/>
  <c r="AZ448" i="5"/>
  <c r="AZ449" i="5"/>
  <c r="AZ450" i="5"/>
  <c r="AZ451" i="5"/>
  <c r="AZ452" i="5"/>
  <c r="AZ453" i="5"/>
  <c r="AZ454" i="5"/>
  <c r="AZ455" i="5"/>
  <c r="AZ456" i="5"/>
  <c r="AZ457" i="5"/>
  <c r="AZ458" i="5"/>
  <c r="AZ459" i="5"/>
  <c r="AZ460" i="5"/>
  <c r="AZ461" i="5"/>
  <c r="AZ462" i="5"/>
  <c r="AZ463" i="5"/>
  <c r="AZ464" i="5"/>
  <c r="AZ465" i="5"/>
  <c r="AZ466" i="5"/>
  <c r="AZ467" i="5"/>
  <c r="AZ468" i="5"/>
  <c r="AZ469" i="5"/>
  <c r="AZ470" i="5"/>
  <c r="AZ471" i="5"/>
  <c r="AZ472" i="5"/>
  <c r="AZ473" i="5"/>
  <c r="AZ474" i="5"/>
  <c r="AZ475" i="5"/>
  <c r="AZ476" i="5"/>
  <c r="AZ477" i="5"/>
  <c r="AZ478" i="5"/>
  <c r="AZ479" i="5"/>
  <c r="AZ480" i="5"/>
  <c r="AZ481" i="5"/>
  <c r="AZ482" i="5"/>
  <c r="AZ483" i="5"/>
  <c r="AZ484" i="5"/>
  <c r="AZ485" i="5"/>
  <c r="AZ486" i="5"/>
  <c r="AZ487" i="5"/>
  <c r="AZ488" i="5"/>
  <c r="AZ489" i="5"/>
  <c r="AZ490" i="5"/>
  <c r="AZ491" i="5"/>
  <c r="AZ492" i="5"/>
  <c r="AZ493" i="5"/>
  <c r="AZ494" i="5"/>
  <c r="AZ495" i="5"/>
  <c r="AZ496" i="5"/>
  <c r="AZ497" i="5"/>
  <c r="AZ498" i="5"/>
  <c r="AZ499" i="5"/>
  <c r="AZ500" i="5"/>
  <c r="AZ501" i="5"/>
  <c r="AZ502" i="5"/>
  <c r="AZ503" i="5"/>
  <c r="AZ504" i="5"/>
  <c r="AZ505" i="5"/>
  <c r="AZ506" i="5"/>
  <c r="AZ507" i="5"/>
  <c r="AZ508" i="5"/>
  <c r="AZ509" i="5"/>
  <c r="AZ510" i="5"/>
  <c r="AZ511" i="5"/>
  <c r="AZ512" i="5"/>
  <c r="AZ513" i="5"/>
  <c r="AZ514" i="5"/>
  <c r="AZ515" i="5"/>
  <c r="AZ516" i="5"/>
  <c r="AZ517" i="5"/>
  <c r="AZ518" i="5"/>
  <c r="AZ2" i="5"/>
  <c r="AY11" i="5"/>
  <c r="AY3" i="5"/>
  <c r="AY4" i="5"/>
  <c r="AY5" i="5"/>
  <c r="AY6" i="5"/>
  <c r="AY7" i="5"/>
  <c r="AY8" i="5"/>
  <c r="AY9" i="5"/>
  <c r="AY10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Y345" i="5"/>
  <c r="AY346" i="5"/>
  <c r="AY347" i="5"/>
  <c r="AY348" i="5"/>
  <c r="AY349" i="5"/>
  <c r="AY350" i="5"/>
  <c r="AY351" i="5"/>
  <c r="AY352" i="5"/>
  <c r="AY353" i="5"/>
  <c r="AY354" i="5"/>
  <c r="AY355" i="5"/>
  <c r="AY356" i="5"/>
  <c r="AY357" i="5"/>
  <c r="AY358" i="5"/>
  <c r="AY359" i="5"/>
  <c r="AY360" i="5"/>
  <c r="AY361" i="5"/>
  <c r="AY362" i="5"/>
  <c r="AY363" i="5"/>
  <c r="AY364" i="5"/>
  <c r="AY365" i="5"/>
  <c r="AY366" i="5"/>
  <c r="AY367" i="5"/>
  <c r="AY368" i="5"/>
  <c r="AY369" i="5"/>
  <c r="AY370" i="5"/>
  <c r="AY371" i="5"/>
  <c r="AY372" i="5"/>
  <c r="AY373" i="5"/>
  <c r="AY374" i="5"/>
  <c r="AY375" i="5"/>
  <c r="AY376" i="5"/>
  <c r="AY377" i="5"/>
  <c r="AY378" i="5"/>
  <c r="AY379" i="5"/>
  <c r="AY380" i="5"/>
  <c r="AY381" i="5"/>
  <c r="AY382" i="5"/>
  <c r="AY383" i="5"/>
  <c r="AY384" i="5"/>
  <c r="AY385" i="5"/>
  <c r="AY386" i="5"/>
  <c r="AY387" i="5"/>
  <c r="AY388" i="5"/>
  <c r="AY389" i="5"/>
  <c r="AY390" i="5"/>
  <c r="AY391" i="5"/>
  <c r="AY392" i="5"/>
  <c r="AY393" i="5"/>
  <c r="AY394" i="5"/>
  <c r="AY395" i="5"/>
  <c r="AY396" i="5"/>
  <c r="AY397" i="5"/>
  <c r="AY398" i="5"/>
  <c r="AY399" i="5"/>
  <c r="AY400" i="5"/>
  <c r="AY401" i="5"/>
  <c r="AY402" i="5"/>
  <c r="AY403" i="5"/>
  <c r="AY404" i="5"/>
  <c r="AY405" i="5"/>
  <c r="AY406" i="5"/>
  <c r="AY407" i="5"/>
  <c r="AY408" i="5"/>
  <c r="AY409" i="5"/>
  <c r="AY410" i="5"/>
  <c r="AY411" i="5"/>
  <c r="AY412" i="5"/>
  <c r="AY413" i="5"/>
  <c r="AY414" i="5"/>
  <c r="AY415" i="5"/>
  <c r="AY416" i="5"/>
  <c r="AY417" i="5"/>
  <c r="AY418" i="5"/>
  <c r="AY419" i="5"/>
  <c r="AY420" i="5"/>
  <c r="AY421" i="5"/>
  <c r="AY422" i="5"/>
  <c r="AY423" i="5"/>
  <c r="AY424" i="5"/>
  <c r="AY425" i="5"/>
  <c r="AY426" i="5"/>
  <c r="AY427" i="5"/>
  <c r="AY428" i="5"/>
  <c r="AY429" i="5"/>
  <c r="AY430" i="5"/>
  <c r="AY431" i="5"/>
  <c r="AY432" i="5"/>
  <c r="AY433" i="5"/>
  <c r="AY434" i="5"/>
  <c r="AY435" i="5"/>
  <c r="AY436" i="5"/>
  <c r="AY437" i="5"/>
  <c r="AY438" i="5"/>
  <c r="AY439" i="5"/>
  <c r="AY440" i="5"/>
  <c r="AY441" i="5"/>
  <c r="AY442" i="5"/>
  <c r="AY443" i="5"/>
  <c r="AY444" i="5"/>
  <c r="AY445" i="5"/>
  <c r="AY446" i="5"/>
  <c r="AY447" i="5"/>
  <c r="AY448" i="5"/>
  <c r="AY449" i="5"/>
  <c r="AY450" i="5"/>
  <c r="AY451" i="5"/>
  <c r="AY452" i="5"/>
  <c r="AY453" i="5"/>
  <c r="AY454" i="5"/>
  <c r="AY455" i="5"/>
  <c r="AY456" i="5"/>
  <c r="AY457" i="5"/>
  <c r="AY458" i="5"/>
  <c r="AY459" i="5"/>
  <c r="AY460" i="5"/>
  <c r="AY461" i="5"/>
  <c r="AY462" i="5"/>
  <c r="AY463" i="5"/>
  <c r="AY464" i="5"/>
  <c r="AY465" i="5"/>
  <c r="AY466" i="5"/>
  <c r="AY467" i="5"/>
  <c r="AY468" i="5"/>
  <c r="AY469" i="5"/>
  <c r="AY470" i="5"/>
  <c r="AY471" i="5"/>
  <c r="AY472" i="5"/>
  <c r="AY473" i="5"/>
  <c r="AY474" i="5"/>
  <c r="AY475" i="5"/>
  <c r="AY476" i="5"/>
  <c r="AY477" i="5"/>
  <c r="AY478" i="5"/>
  <c r="AY479" i="5"/>
  <c r="AY480" i="5"/>
  <c r="AY481" i="5"/>
  <c r="AY482" i="5"/>
  <c r="AY483" i="5"/>
  <c r="AY484" i="5"/>
  <c r="AY485" i="5"/>
  <c r="AY486" i="5"/>
  <c r="AY487" i="5"/>
  <c r="AY488" i="5"/>
  <c r="AY489" i="5"/>
  <c r="AY490" i="5"/>
  <c r="AY491" i="5"/>
  <c r="AY492" i="5"/>
  <c r="AY493" i="5"/>
  <c r="AY494" i="5"/>
  <c r="AY495" i="5"/>
  <c r="AY496" i="5"/>
  <c r="AY497" i="5"/>
  <c r="AY498" i="5"/>
  <c r="AY499" i="5"/>
  <c r="AY500" i="5"/>
  <c r="AY501" i="5"/>
  <c r="AY502" i="5"/>
  <c r="AY503" i="5"/>
  <c r="AY504" i="5"/>
  <c r="AY505" i="5"/>
  <c r="AY506" i="5"/>
  <c r="AY507" i="5"/>
  <c r="AY508" i="5"/>
  <c r="AY509" i="5"/>
  <c r="AY510" i="5"/>
  <c r="AY511" i="5"/>
  <c r="AY512" i="5"/>
  <c r="AY513" i="5"/>
  <c r="AY514" i="5"/>
  <c r="AY515" i="5"/>
  <c r="AY516" i="5"/>
  <c r="AY517" i="5"/>
  <c r="AY518" i="5"/>
  <c r="F49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2" i="5"/>
  <c r="CN309" i="5" l="1"/>
  <c r="CG519" i="5"/>
  <c r="BX519" i="5"/>
  <c r="BP519" i="5"/>
  <c r="BH519" i="5"/>
  <c r="CN117" i="5"/>
  <c r="CN94" i="5"/>
  <c r="CN53" i="5"/>
  <c r="AY519" i="5"/>
  <c r="BF519" i="5"/>
  <c r="CN2" i="5"/>
  <c r="CM519" i="5"/>
  <c r="CN511" i="5"/>
  <c r="CN503" i="5"/>
  <c r="CN495" i="5"/>
  <c r="CN487" i="5"/>
  <c r="CN479" i="5"/>
  <c r="CN471" i="5"/>
  <c r="CN463" i="5"/>
  <c r="CN455" i="5"/>
  <c r="CN447" i="5"/>
  <c r="CN439" i="5"/>
  <c r="CN431" i="5"/>
  <c r="CN423" i="5"/>
  <c r="CN415" i="5"/>
  <c r="CN407" i="5"/>
  <c r="CN399" i="5"/>
  <c r="CN383" i="5"/>
  <c r="CN375" i="5"/>
  <c r="CN367" i="5"/>
  <c r="CN359" i="5"/>
  <c r="CN351" i="5"/>
  <c r="CN343" i="5"/>
  <c r="CN335" i="5"/>
  <c r="CN327" i="5"/>
  <c r="CN319" i="5"/>
  <c r="CN311" i="5"/>
  <c r="CN303" i="5"/>
  <c r="CN295" i="5"/>
  <c r="CN287" i="5"/>
  <c r="CN279" i="5"/>
  <c r="CN271" i="5"/>
  <c r="CN255" i="5"/>
  <c r="CN247" i="5"/>
  <c r="CN239" i="5"/>
  <c r="CN231" i="5"/>
  <c r="CN215" i="5"/>
  <c r="CN207" i="5"/>
  <c r="CN199" i="5"/>
  <c r="CN191" i="5"/>
  <c r="CN183" i="5"/>
  <c r="CN175" i="5"/>
  <c r="CN167" i="5"/>
  <c r="CN159" i="5"/>
  <c r="CN151" i="5"/>
  <c r="CN143" i="5"/>
  <c r="CN127" i="5"/>
  <c r="BB519" i="5"/>
  <c r="BG519" i="5"/>
  <c r="BV519" i="5"/>
  <c r="CL519" i="5"/>
  <c r="CC519" i="5"/>
  <c r="BU519" i="5"/>
  <c r="BM519" i="5"/>
  <c r="BE519" i="5"/>
  <c r="CN518" i="5"/>
  <c r="CN510" i="5"/>
  <c r="CN502" i="5"/>
  <c r="CN494" i="5"/>
  <c r="CN486" i="5"/>
  <c r="CN470" i="5"/>
  <c r="CN462" i="5"/>
  <c r="CN454" i="5"/>
  <c r="CN446" i="5"/>
  <c r="CN438" i="5"/>
  <c r="CN430" i="5"/>
  <c r="CN422" i="5"/>
  <c r="CN414" i="5"/>
  <c r="CN406" i="5"/>
  <c r="CN398" i="5"/>
  <c r="CN390" i="5"/>
  <c r="CN382" i="5"/>
  <c r="CN374" i="5"/>
  <c r="CN366" i="5"/>
  <c r="CN358" i="5"/>
  <c r="CN350" i="5"/>
  <c r="CN342" i="5"/>
  <c r="CN334" i="5"/>
  <c r="CN326" i="5"/>
  <c r="CN318" i="5"/>
  <c r="CN310" i="5"/>
  <c r="CN302" i="5"/>
  <c r="CN294" i="5"/>
  <c r="CN286" i="5"/>
  <c r="CN278" i="5"/>
  <c r="CN270" i="5"/>
  <c r="CN262" i="5"/>
  <c r="CN254" i="5"/>
  <c r="CN246" i="5"/>
  <c r="CN238" i="5"/>
  <c r="CN230" i="5"/>
  <c r="CN214" i="5"/>
  <c r="CN206" i="5"/>
  <c r="CN182" i="5"/>
  <c r="CN174" i="5"/>
  <c r="CN166" i="5"/>
  <c r="CN158" i="5"/>
  <c r="CN150" i="5"/>
  <c r="CN142" i="5"/>
  <c r="CN134" i="5"/>
  <c r="CN126" i="5"/>
  <c r="CN118" i="5"/>
  <c r="CN110" i="5"/>
  <c r="CN102" i="5"/>
  <c r="CN86" i="5"/>
  <c r="CN78" i="5"/>
  <c r="CN70" i="5"/>
  <c r="CN62" i="5"/>
  <c r="CN54" i="5"/>
  <c r="CN46" i="5"/>
  <c r="CN38" i="5"/>
  <c r="CN30" i="5"/>
  <c r="CN22" i="5"/>
  <c r="CN14" i="5"/>
  <c r="CN6" i="5"/>
  <c r="CN263" i="5"/>
  <c r="BT519" i="5"/>
  <c r="CN517" i="5"/>
  <c r="CN509" i="5"/>
  <c r="CN501" i="5"/>
  <c r="CN493" i="5"/>
  <c r="CN485" i="5"/>
  <c r="CN477" i="5"/>
  <c r="CN469" i="5"/>
  <c r="CN461" i="5"/>
  <c r="CN453" i="5"/>
  <c r="CN445" i="5"/>
  <c r="CN429" i="5"/>
  <c r="CN421" i="5"/>
  <c r="CN413" i="5"/>
  <c r="CN405" i="5"/>
  <c r="CN397" i="5"/>
  <c r="CN222" i="5"/>
  <c r="BO519" i="5"/>
  <c r="BA519" i="5"/>
  <c r="CK519" i="5"/>
  <c r="BL519" i="5"/>
  <c r="CJ519" i="5"/>
  <c r="CA519" i="5"/>
  <c r="BS519" i="5"/>
  <c r="BK519" i="5"/>
  <c r="CN516" i="5"/>
  <c r="CN508" i="5"/>
  <c r="CN500" i="5"/>
  <c r="CN492" i="5"/>
  <c r="CN484" i="5"/>
  <c r="CN476" i="5"/>
  <c r="CN468" i="5"/>
  <c r="CN460" i="5"/>
  <c r="CN452" i="5"/>
  <c r="CN444" i="5"/>
  <c r="CN436" i="5"/>
  <c r="CN428" i="5"/>
  <c r="CN420" i="5"/>
  <c r="CN412" i="5"/>
  <c r="CN404" i="5"/>
  <c r="CN396" i="5"/>
  <c r="CN388" i="5"/>
  <c r="CN380" i="5"/>
  <c r="CN372" i="5"/>
  <c r="CN364" i="5"/>
  <c r="CN356" i="5"/>
  <c r="CN348" i="5"/>
  <c r="CN340" i="5"/>
  <c r="CN332" i="5"/>
  <c r="CN324" i="5"/>
  <c r="CN316" i="5"/>
  <c r="CN308" i="5"/>
  <c r="CN300" i="5"/>
  <c r="CN292" i="5"/>
  <c r="CN284" i="5"/>
  <c r="CN276" i="5"/>
  <c r="CN268" i="5"/>
  <c r="CN260" i="5"/>
  <c r="CN252" i="5"/>
  <c r="CN244" i="5"/>
  <c r="CN236" i="5"/>
  <c r="CN228" i="5"/>
  <c r="CN220" i="5"/>
  <c r="CN212" i="5"/>
  <c r="CN204" i="5"/>
  <c r="CN196" i="5"/>
  <c r="CN188" i="5"/>
  <c r="CN180" i="5"/>
  <c r="CN164" i="5"/>
  <c r="CN156" i="5"/>
  <c r="CN148" i="5"/>
  <c r="CN140" i="5"/>
  <c r="CN132" i="5"/>
  <c r="CN124" i="5"/>
  <c r="CN116" i="5"/>
  <c r="CN108" i="5"/>
  <c r="CN100" i="5"/>
  <c r="CN92" i="5"/>
  <c r="CN84" i="5"/>
  <c r="CN76" i="5"/>
  <c r="CN68" i="5"/>
  <c r="CN60" i="5"/>
  <c r="CN52" i="5"/>
  <c r="CN44" i="5"/>
  <c r="CN36" i="5"/>
  <c r="CN28" i="5"/>
  <c r="CN20" i="5"/>
  <c r="CN12" i="5"/>
  <c r="CN4" i="5"/>
  <c r="CN135" i="5"/>
  <c r="CF519" i="5"/>
  <c r="CD519" i="5"/>
  <c r="BN519" i="5"/>
  <c r="CB519" i="5"/>
  <c r="BD519" i="5"/>
  <c r="F519" i="5"/>
  <c r="BC519" i="5"/>
  <c r="CI519" i="5"/>
  <c r="BZ519" i="5"/>
  <c r="BR519" i="5"/>
  <c r="BJ519" i="5"/>
  <c r="CN515" i="5"/>
  <c r="CN507" i="5"/>
  <c r="CN499" i="5"/>
  <c r="CN491" i="5"/>
  <c r="CN483" i="5"/>
  <c r="CN475" i="5"/>
  <c r="CN467" i="5"/>
  <c r="CN459" i="5"/>
  <c r="CN451" i="5"/>
  <c r="CN443" i="5"/>
  <c r="CN435" i="5"/>
  <c r="CN427" i="5"/>
  <c r="CN419" i="5"/>
  <c r="CN411" i="5"/>
  <c r="CN403" i="5"/>
  <c r="BW519" i="5"/>
  <c r="AZ519" i="5"/>
  <c r="CH519" i="5"/>
  <c r="BY519" i="5"/>
  <c r="BQ519" i="5"/>
  <c r="BI519" i="5"/>
  <c r="CN506" i="5"/>
  <c r="CN490" i="5"/>
  <c r="CN482" i="5"/>
  <c r="CN474" i="5"/>
  <c r="CN466" i="5"/>
  <c r="CN458" i="5"/>
  <c r="CN442" i="5"/>
  <c r="CN434" i="5"/>
  <c r="CN426" i="5"/>
  <c r="CN418" i="5"/>
  <c r="CN410" i="5"/>
  <c r="CN402" i="5"/>
  <c r="CN394" i="5"/>
  <c r="CN378" i="5"/>
  <c r="CN370" i="5"/>
  <c r="CN362" i="5"/>
  <c r="CN354" i="5"/>
  <c r="CN346" i="5"/>
  <c r="CN338" i="5"/>
  <c r="CN330" i="5"/>
  <c r="CN314" i="5"/>
  <c r="CN306" i="5"/>
  <c r="CN298" i="5"/>
  <c r="CN290" i="5"/>
  <c r="CN282" i="5"/>
  <c r="CN274" i="5"/>
  <c r="CN266" i="5"/>
  <c r="CN258" i="5"/>
  <c r="CN250" i="5"/>
  <c r="CN242" i="5"/>
  <c r="CN234" i="5"/>
  <c r="CN218" i="5"/>
  <c r="CN210" i="5"/>
  <c r="CN202" i="5"/>
  <c r="CN194" i="5"/>
  <c r="CN478" i="5"/>
  <c r="CE519" i="5"/>
  <c r="CN513" i="5"/>
  <c r="CN505" i="5"/>
  <c r="CN497" i="5"/>
  <c r="CN489" i="5"/>
  <c r="CN481" i="5"/>
  <c r="CN473" i="5"/>
  <c r="CN465" i="5"/>
  <c r="CN457" i="5"/>
  <c r="CN449" i="5"/>
  <c r="CN441" i="5"/>
  <c r="CN433" i="5"/>
  <c r="CN425" i="5"/>
  <c r="CN417" i="5"/>
  <c r="CN409" i="5"/>
  <c r="CN401" i="5"/>
  <c r="CN393" i="5"/>
  <c r="CN385" i="5"/>
  <c r="CN377" i="5"/>
  <c r="CN369" i="5"/>
  <c r="CN361" i="5"/>
  <c r="CN353" i="5"/>
  <c r="CN345" i="5"/>
  <c r="CN337" i="5"/>
  <c r="CN329" i="5"/>
  <c r="CN321" i="5"/>
  <c r="CN313" i="5"/>
  <c r="CN305" i="5"/>
  <c r="CN297" i="5"/>
  <c r="CN289" i="5"/>
  <c r="CN281" i="5"/>
  <c r="CN273" i="5"/>
  <c r="CN265" i="5"/>
  <c r="CN249" i="5"/>
  <c r="CN241" i="5"/>
  <c r="CN225" i="5"/>
  <c r="CN217" i="5"/>
  <c r="CN209" i="5"/>
  <c r="CN201" i="5"/>
  <c r="CN185" i="5"/>
  <c r="CN177" i="5"/>
  <c r="CN169" i="5"/>
  <c r="CN161" i="5"/>
  <c r="CN153" i="5"/>
  <c r="CN437" i="5"/>
  <c r="CN512" i="5"/>
  <c r="CN504" i="5"/>
  <c r="CN496" i="5"/>
  <c r="CN488" i="5"/>
  <c r="CN480" i="5"/>
  <c r="CN472" i="5"/>
  <c r="CN464" i="5"/>
  <c r="CN456" i="5"/>
  <c r="CN448" i="5"/>
  <c r="CN440" i="5"/>
  <c r="CN432" i="5"/>
  <c r="CN424" i="5"/>
  <c r="CN416" i="5"/>
  <c r="CN408" i="5"/>
  <c r="CN400" i="5"/>
  <c r="CN392" i="5"/>
  <c r="CN384" i="5"/>
  <c r="CN376" i="5"/>
  <c r="CN368" i="5"/>
  <c r="CN360" i="5"/>
  <c r="CN352" i="5"/>
  <c r="CN344" i="5"/>
  <c r="CN336" i="5"/>
  <c r="CN328" i="5"/>
  <c r="CN320" i="5"/>
  <c r="CN312" i="5"/>
  <c r="CN304" i="5"/>
  <c r="CN296" i="5"/>
  <c r="CN288" i="5"/>
  <c r="CN280" i="5"/>
  <c r="CN272" i="5"/>
  <c r="CN264" i="5"/>
  <c r="CN256" i="5"/>
  <c r="CN240" i="5"/>
  <c r="CN232" i="5"/>
  <c r="CN216" i="5"/>
  <c r="CN208" i="5"/>
  <c r="CN200" i="5"/>
  <c r="CN192" i="5"/>
  <c r="CN184" i="5"/>
  <c r="CN176" i="5"/>
  <c r="CN168" i="5"/>
  <c r="CN160" i="5"/>
  <c r="CN152" i="5"/>
  <c r="CN144" i="5"/>
  <c r="CN136" i="5"/>
  <c r="CN120" i="5"/>
  <c r="CN112" i="5"/>
  <c r="CN104" i="5"/>
  <c r="CN96" i="5"/>
  <c r="CN88" i="5"/>
  <c r="CN80" i="5"/>
  <c r="CN72" i="5"/>
  <c r="CN56" i="5"/>
  <c r="CN48" i="5"/>
  <c r="CN40" i="5"/>
  <c r="CN32" i="5"/>
  <c r="CN24" i="5"/>
  <c r="CN16" i="5"/>
  <c r="CN8" i="5"/>
  <c r="CN391" i="5"/>
  <c r="CP519" i="5"/>
  <c r="CN389" i="5"/>
  <c r="CN381" i="5"/>
  <c r="CN365" i="5"/>
  <c r="CN357" i="5"/>
  <c r="CN349" i="5"/>
  <c r="CN341" i="5"/>
  <c r="CN333" i="5"/>
  <c r="CN325" i="5"/>
  <c r="CN317" i="5"/>
  <c r="CN301" i="5"/>
  <c r="CN293" i="5"/>
  <c r="CN285" i="5"/>
  <c r="CN277" i="5"/>
  <c r="CN269" i="5"/>
  <c r="CN261" i="5"/>
  <c r="CN253" i="5"/>
  <c r="CN237" i="5"/>
  <c r="CN229" i="5"/>
  <c r="CN221" i="5"/>
  <c r="CN213" i="5"/>
  <c r="CN205" i="5"/>
  <c r="CN197" i="5"/>
  <c r="CN189" i="5"/>
  <c r="CN173" i="5"/>
  <c r="CN165" i="5"/>
  <c r="CN157" i="5"/>
  <c r="CN149" i="5"/>
  <c r="CN141" i="5"/>
  <c r="CN133" i="5"/>
  <c r="CN125" i="5"/>
  <c r="CN109" i="5"/>
  <c r="CN101" i="5"/>
  <c r="CN93" i="5"/>
  <c r="CN85" i="5"/>
  <c r="CN77" i="5"/>
  <c r="CN61" i="5"/>
  <c r="CN45" i="5"/>
  <c r="CN37" i="5"/>
  <c r="CN29" i="5"/>
  <c r="CN21" i="5"/>
  <c r="CN13" i="5"/>
  <c r="CN5" i="5"/>
  <c r="CN245" i="5"/>
  <c r="CN71" i="5"/>
  <c r="CN395" i="5"/>
  <c r="CN387" i="5"/>
  <c r="CN379" i="5"/>
  <c r="CN371" i="5"/>
  <c r="CN363" i="5"/>
  <c r="CN355" i="5"/>
  <c r="CN347" i="5"/>
  <c r="CN339" i="5"/>
  <c r="CN331" i="5"/>
  <c r="CN323" i="5"/>
  <c r="CN315" i="5"/>
  <c r="CN307" i="5"/>
  <c r="CN299" i="5"/>
  <c r="CN291" i="5"/>
  <c r="CN283" i="5"/>
  <c r="CN275" i="5"/>
  <c r="CN267" i="5"/>
  <c r="CN259" i="5"/>
  <c r="CN251" i="5"/>
  <c r="CN243" i="5"/>
  <c r="CN235" i="5"/>
  <c r="CN227" i="5"/>
  <c r="CN219" i="5"/>
  <c r="CN211" i="5"/>
  <c r="CN203" i="5"/>
  <c r="CN195" i="5"/>
  <c r="CN187" i="5"/>
  <c r="CN179" i="5"/>
  <c r="CN163" i="5"/>
  <c r="CN155" i="5"/>
  <c r="CN147" i="5"/>
  <c r="CN139" i="5"/>
  <c r="CN131" i="5"/>
  <c r="CN123" i="5"/>
  <c r="CN107" i="5"/>
  <c r="CN99" i="5"/>
  <c r="CN91" i="5"/>
  <c r="CN83" i="5"/>
  <c r="CN75" i="5"/>
  <c r="CN67" i="5"/>
  <c r="CN59" i="5"/>
  <c r="CN51" i="5"/>
  <c r="CN43" i="5"/>
  <c r="CN35" i="5"/>
  <c r="CN27" i="5"/>
  <c r="CN19" i="5"/>
  <c r="CN11" i="5"/>
  <c r="CN3" i="5"/>
  <c r="CN373" i="5"/>
  <c r="CN186" i="5"/>
  <c r="CN178" i="5"/>
  <c r="CN162" i="5"/>
  <c r="CN154" i="5"/>
  <c r="CN146" i="5"/>
  <c r="CN138" i="5"/>
  <c r="CN130" i="5"/>
  <c r="CN122" i="5"/>
  <c r="CN106" i="5"/>
  <c r="CN98" i="5"/>
  <c r="CN90" i="5"/>
  <c r="CN82" i="5"/>
  <c r="CN74" i="5"/>
  <c r="CN66" i="5"/>
  <c r="CN58" i="5"/>
  <c r="CN42" i="5"/>
  <c r="CN34" i="5"/>
  <c r="CN26" i="5"/>
  <c r="CN18" i="5"/>
  <c r="CN10" i="5"/>
  <c r="CN181" i="5"/>
  <c r="CO519" i="5"/>
  <c r="CN145" i="5"/>
  <c r="CN137" i="5"/>
  <c r="CN129" i="5"/>
  <c r="CN121" i="5"/>
  <c r="CN113" i="5"/>
  <c r="CN105" i="5"/>
  <c r="CN97" i="5"/>
  <c r="CN89" i="5"/>
  <c r="CN81" i="5"/>
  <c r="CN73" i="5"/>
  <c r="CN65" i="5"/>
  <c r="CN57" i="5"/>
  <c r="CN49" i="5"/>
  <c r="CN41" i="5"/>
  <c r="CN33" i="5"/>
  <c r="CN25" i="5"/>
  <c r="CN17" i="5"/>
  <c r="CN9" i="5"/>
  <c r="CN111" i="5"/>
  <c r="CN103" i="5"/>
  <c r="CN95" i="5"/>
  <c r="CN87" i="5"/>
  <c r="CN79" i="5"/>
  <c r="CN63" i="5"/>
  <c r="CN55" i="5"/>
  <c r="CN39" i="5"/>
  <c r="CN31" i="5"/>
  <c r="CN23" i="5"/>
  <c r="CN15" i="5"/>
  <c r="CN7" i="5"/>
  <c r="BN3" i="3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99" i="3"/>
  <c r="BN100" i="3"/>
  <c r="BN101" i="3"/>
  <c r="BN102" i="3"/>
  <c r="BN103" i="3"/>
  <c r="BN104" i="3"/>
  <c r="BN105" i="3"/>
  <c r="BN106" i="3"/>
  <c r="BN107" i="3"/>
  <c r="BN108" i="3"/>
  <c r="BN109" i="3"/>
  <c r="BN110" i="3"/>
  <c r="BN111" i="3"/>
  <c r="BN112" i="3"/>
  <c r="BN113" i="3"/>
  <c r="BN114" i="3"/>
  <c r="BN115" i="3"/>
  <c r="BN116" i="3"/>
  <c r="BN117" i="3"/>
  <c r="BN118" i="3"/>
  <c r="BN119" i="3"/>
  <c r="BN120" i="3"/>
  <c r="BN121" i="3"/>
  <c r="BN122" i="3"/>
  <c r="BN123" i="3"/>
  <c r="BN124" i="3"/>
  <c r="BN125" i="3"/>
  <c r="BN126" i="3"/>
  <c r="BN127" i="3"/>
  <c r="BN128" i="3"/>
  <c r="BN129" i="3"/>
  <c r="BN130" i="3"/>
  <c r="BN131" i="3"/>
  <c r="BN132" i="3"/>
  <c r="BN133" i="3"/>
  <c r="BN134" i="3"/>
  <c r="BN135" i="3"/>
  <c r="BN136" i="3"/>
  <c r="BN137" i="3"/>
  <c r="BN138" i="3"/>
  <c r="BN139" i="3"/>
  <c r="BN140" i="3"/>
  <c r="BN141" i="3"/>
  <c r="BN142" i="3"/>
  <c r="BN143" i="3"/>
  <c r="BN144" i="3"/>
  <c r="BN145" i="3"/>
  <c r="BN146" i="3"/>
  <c r="BN147" i="3"/>
  <c r="BN148" i="3"/>
  <c r="BN149" i="3"/>
  <c r="BN150" i="3"/>
  <c r="BN151" i="3"/>
  <c r="BN152" i="3"/>
  <c r="BN153" i="3"/>
  <c r="BN154" i="3"/>
  <c r="BN155" i="3"/>
  <c r="BN156" i="3"/>
  <c r="BN157" i="3"/>
  <c r="BN158" i="3"/>
  <c r="BN159" i="3"/>
  <c r="BN160" i="3"/>
  <c r="BN161" i="3"/>
  <c r="BN162" i="3"/>
  <c r="BN163" i="3"/>
  <c r="BN164" i="3"/>
  <c r="BN165" i="3"/>
  <c r="BN166" i="3"/>
  <c r="BN167" i="3"/>
  <c r="BN168" i="3"/>
  <c r="BN169" i="3"/>
  <c r="BN170" i="3"/>
  <c r="BN171" i="3"/>
  <c r="BN172" i="3"/>
  <c r="BN173" i="3"/>
  <c r="BN174" i="3"/>
  <c r="BN175" i="3"/>
  <c r="BN176" i="3"/>
  <c r="BN177" i="3"/>
  <c r="BN178" i="3"/>
  <c r="BN179" i="3"/>
  <c r="BN180" i="3"/>
  <c r="BN181" i="3"/>
  <c r="BN182" i="3"/>
  <c r="BN183" i="3"/>
  <c r="BN184" i="3"/>
  <c r="BN185" i="3"/>
  <c r="BN186" i="3"/>
  <c r="BN187" i="3"/>
  <c r="BN188" i="3"/>
  <c r="BN189" i="3"/>
  <c r="BN190" i="3"/>
  <c r="BN191" i="3"/>
  <c r="BN192" i="3"/>
  <c r="BN193" i="3"/>
  <c r="BN194" i="3"/>
  <c r="BN195" i="3"/>
  <c r="BN196" i="3"/>
  <c r="BN197" i="3"/>
  <c r="BN198" i="3"/>
  <c r="BN199" i="3"/>
  <c r="BN200" i="3"/>
  <c r="BN201" i="3"/>
  <c r="BN202" i="3"/>
  <c r="BN203" i="3"/>
  <c r="BN204" i="3"/>
  <c r="BN205" i="3"/>
  <c r="BN206" i="3"/>
  <c r="BN207" i="3"/>
  <c r="BN208" i="3"/>
  <c r="BN209" i="3"/>
  <c r="BN210" i="3"/>
  <c r="BN211" i="3"/>
  <c r="BN212" i="3"/>
  <c r="BN213" i="3"/>
  <c r="BN214" i="3"/>
  <c r="BN215" i="3"/>
  <c r="BN216" i="3"/>
  <c r="BN217" i="3"/>
  <c r="BN218" i="3"/>
  <c r="BN219" i="3"/>
  <c r="BN220" i="3"/>
  <c r="BN221" i="3"/>
  <c r="BN222" i="3"/>
  <c r="BN223" i="3"/>
  <c r="BN224" i="3"/>
  <c r="BN225" i="3"/>
  <c r="BN226" i="3"/>
  <c r="BN227" i="3"/>
  <c r="BN228" i="3"/>
  <c r="BN229" i="3"/>
  <c r="BN230" i="3"/>
  <c r="BN231" i="3"/>
  <c r="BN232" i="3"/>
  <c r="BN233" i="3"/>
  <c r="BN234" i="3"/>
  <c r="BN235" i="3"/>
  <c r="BN236" i="3"/>
  <c r="BN237" i="3"/>
  <c r="BN238" i="3"/>
  <c r="BN239" i="3"/>
  <c r="BN240" i="3"/>
  <c r="BN241" i="3"/>
  <c r="BN242" i="3"/>
  <c r="BN243" i="3"/>
  <c r="BN244" i="3"/>
  <c r="BN245" i="3"/>
  <c r="BN246" i="3"/>
  <c r="BN247" i="3"/>
  <c r="BN248" i="3"/>
  <c r="BN249" i="3"/>
  <c r="BN250" i="3"/>
  <c r="BN251" i="3"/>
  <c r="BN252" i="3"/>
  <c r="BN253" i="3"/>
  <c r="BN254" i="3"/>
  <c r="BN255" i="3"/>
  <c r="BN256" i="3"/>
  <c r="BN257" i="3"/>
  <c r="BN258" i="3"/>
  <c r="BN259" i="3"/>
  <c r="BN260" i="3"/>
  <c r="BN261" i="3"/>
  <c r="BN262" i="3"/>
  <c r="BN263" i="3"/>
  <c r="BN264" i="3"/>
  <c r="BN265" i="3"/>
  <c r="BN266" i="3"/>
  <c r="BN267" i="3"/>
  <c r="BN268" i="3"/>
  <c r="BN269" i="3"/>
  <c r="BN270" i="3"/>
  <c r="BN271" i="3"/>
  <c r="BN272" i="3"/>
  <c r="BN273" i="3"/>
  <c r="BN274" i="3"/>
  <c r="BN275" i="3"/>
  <c r="BN276" i="3"/>
  <c r="BN277" i="3"/>
  <c r="BN278" i="3"/>
  <c r="BN279" i="3"/>
  <c r="BN280" i="3"/>
  <c r="BN281" i="3"/>
  <c r="BN282" i="3"/>
  <c r="BN283" i="3"/>
  <c r="BN284" i="3"/>
  <c r="BN285" i="3"/>
  <c r="BN286" i="3"/>
  <c r="BN287" i="3"/>
  <c r="BN288" i="3"/>
  <c r="BN289" i="3"/>
  <c r="BN290" i="3"/>
  <c r="BN291" i="3"/>
  <c r="BN292" i="3"/>
  <c r="BN293" i="3"/>
  <c r="BN294" i="3"/>
  <c r="BN295" i="3"/>
  <c r="BN296" i="3"/>
  <c r="BN297" i="3"/>
  <c r="BN298" i="3"/>
  <c r="BN299" i="3"/>
  <c r="BN300" i="3"/>
  <c r="BN301" i="3"/>
  <c r="BN302" i="3"/>
  <c r="BN303" i="3"/>
  <c r="BN304" i="3"/>
  <c r="BN305" i="3"/>
  <c r="BN306" i="3"/>
  <c r="BN307" i="3"/>
  <c r="BN308" i="3"/>
  <c r="BN309" i="3"/>
  <c r="BN310" i="3"/>
  <c r="BN311" i="3"/>
  <c r="BN312" i="3"/>
  <c r="BN313" i="3"/>
  <c r="BN314" i="3"/>
  <c r="BN315" i="3"/>
  <c r="BN316" i="3"/>
  <c r="BN317" i="3"/>
  <c r="BN318" i="3"/>
  <c r="BN319" i="3"/>
  <c r="BN320" i="3"/>
  <c r="BN321" i="3"/>
  <c r="BN322" i="3"/>
  <c r="BN323" i="3"/>
  <c r="BN324" i="3"/>
  <c r="BN325" i="3"/>
  <c r="BN326" i="3"/>
  <c r="BN327" i="3"/>
  <c r="BN328" i="3"/>
  <c r="BN329" i="3"/>
  <c r="BN330" i="3"/>
  <c r="BN331" i="3"/>
  <c r="BN332" i="3"/>
  <c r="BN333" i="3"/>
  <c r="BN334" i="3"/>
  <c r="BN335" i="3"/>
  <c r="BN336" i="3"/>
  <c r="BN337" i="3"/>
  <c r="BN338" i="3"/>
  <c r="BN339" i="3"/>
  <c r="BN340" i="3"/>
  <c r="BN341" i="3"/>
  <c r="BN342" i="3"/>
  <c r="BN343" i="3"/>
  <c r="BN344" i="3"/>
  <c r="BN345" i="3"/>
  <c r="BN346" i="3"/>
  <c r="BN347" i="3"/>
  <c r="BN348" i="3"/>
  <c r="BN349" i="3"/>
  <c r="BN350" i="3"/>
  <c r="BN351" i="3"/>
  <c r="BN352" i="3"/>
  <c r="BN353" i="3"/>
  <c r="BN354" i="3"/>
  <c r="BN355" i="3"/>
  <c r="BN356" i="3"/>
  <c r="BN357" i="3"/>
  <c r="BN358" i="3"/>
  <c r="BN359" i="3"/>
  <c r="BN360" i="3"/>
  <c r="BN361" i="3"/>
  <c r="BN362" i="3"/>
  <c r="BN363" i="3"/>
  <c r="BN364" i="3"/>
  <c r="BN365" i="3"/>
  <c r="BN366" i="3"/>
  <c r="BN367" i="3"/>
  <c r="BN368" i="3"/>
  <c r="BN369" i="3"/>
  <c r="BN370" i="3"/>
  <c r="BN371" i="3"/>
  <c r="BN372" i="3"/>
  <c r="BN373" i="3"/>
  <c r="BN374" i="3"/>
  <c r="BN375" i="3"/>
  <c r="BN376" i="3"/>
  <c r="BN377" i="3"/>
  <c r="BN378" i="3"/>
  <c r="BN379" i="3"/>
  <c r="BN380" i="3"/>
  <c r="BN381" i="3"/>
  <c r="BN382" i="3"/>
  <c r="BN383" i="3"/>
  <c r="BN384" i="3"/>
  <c r="BN385" i="3"/>
  <c r="BN386" i="3"/>
  <c r="BN387" i="3"/>
  <c r="BN388" i="3"/>
  <c r="BN389" i="3"/>
  <c r="BN390" i="3"/>
  <c r="BN391" i="3"/>
  <c r="BN392" i="3"/>
  <c r="BN393" i="3"/>
  <c r="BN394" i="3"/>
  <c r="BN395" i="3"/>
  <c r="BN396" i="3"/>
  <c r="BN397" i="3"/>
  <c r="BN398" i="3"/>
  <c r="BN399" i="3"/>
  <c r="BN400" i="3"/>
  <c r="BN401" i="3"/>
  <c r="BN402" i="3"/>
  <c r="BN403" i="3"/>
  <c r="BN404" i="3"/>
  <c r="BN405" i="3"/>
  <c r="BN406" i="3"/>
  <c r="BN407" i="3"/>
  <c r="BN408" i="3"/>
  <c r="BN409" i="3"/>
  <c r="BN410" i="3"/>
  <c r="BN411" i="3"/>
  <c r="BN412" i="3"/>
  <c r="BN413" i="3"/>
  <c r="BN414" i="3"/>
  <c r="BN415" i="3"/>
  <c r="BN416" i="3"/>
  <c r="BN417" i="3"/>
  <c r="BN418" i="3"/>
  <c r="BN419" i="3"/>
  <c r="BN420" i="3"/>
  <c r="BN421" i="3"/>
  <c r="BN422" i="3"/>
  <c r="BN423" i="3"/>
  <c r="BN424" i="3"/>
  <c r="BN425" i="3"/>
  <c r="BN426" i="3"/>
  <c r="BN427" i="3"/>
  <c r="BN428" i="3"/>
  <c r="BN429" i="3"/>
  <c r="BN430" i="3"/>
  <c r="BN431" i="3"/>
  <c r="BN432" i="3"/>
  <c r="BN433" i="3"/>
  <c r="BN434" i="3"/>
  <c r="BN435" i="3"/>
  <c r="BN436" i="3"/>
  <c r="BN437" i="3"/>
  <c r="BN438" i="3"/>
  <c r="BN439" i="3"/>
  <c r="BN440" i="3"/>
  <c r="BN441" i="3"/>
  <c r="BN442" i="3"/>
  <c r="BN443" i="3"/>
  <c r="BN444" i="3"/>
  <c r="BN445" i="3"/>
  <c r="BN446" i="3"/>
  <c r="BN447" i="3"/>
  <c r="BN448" i="3"/>
  <c r="BN449" i="3"/>
  <c r="BN450" i="3"/>
  <c r="BN451" i="3"/>
  <c r="BN452" i="3"/>
  <c r="BN453" i="3"/>
  <c r="BN454" i="3"/>
  <c r="BN455" i="3"/>
  <c r="BN456" i="3"/>
  <c r="BN457" i="3"/>
  <c r="BN458" i="3"/>
  <c r="BN459" i="3"/>
  <c r="BN460" i="3"/>
  <c r="BN461" i="3"/>
  <c r="BN462" i="3"/>
  <c r="BN463" i="3"/>
  <c r="BN464" i="3"/>
  <c r="BN465" i="3"/>
  <c r="BN466" i="3"/>
  <c r="BN467" i="3"/>
  <c r="BN468" i="3"/>
  <c r="BN469" i="3"/>
  <c r="BN470" i="3"/>
  <c r="BN471" i="3"/>
  <c r="BN472" i="3"/>
  <c r="BN473" i="3"/>
  <c r="BN474" i="3"/>
  <c r="BN475" i="3"/>
  <c r="BN476" i="3"/>
  <c r="BN477" i="3"/>
  <c r="BN478" i="3"/>
  <c r="BN479" i="3"/>
  <c r="BN480" i="3"/>
  <c r="BN481" i="3"/>
  <c r="BN482" i="3"/>
  <c r="BN483" i="3"/>
  <c r="BN484" i="3"/>
  <c r="BN485" i="3"/>
  <c r="BN486" i="3"/>
  <c r="BN487" i="3"/>
  <c r="BN488" i="3"/>
  <c r="BN489" i="3"/>
  <c r="BN490" i="3"/>
  <c r="BN491" i="3"/>
  <c r="BN492" i="3"/>
  <c r="BN493" i="3"/>
  <c r="BN494" i="3"/>
  <c r="BN495" i="3"/>
  <c r="BN496" i="3"/>
  <c r="BN497" i="3"/>
  <c r="BN498" i="3"/>
  <c r="BN499" i="3"/>
  <c r="BN500" i="3"/>
  <c r="BN501" i="3"/>
  <c r="BN502" i="3"/>
  <c r="BN503" i="3"/>
  <c r="BN504" i="3"/>
  <c r="BN505" i="3"/>
  <c r="BN506" i="3"/>
  <c r="BN507" i="3"/>
  <c r="BN508" i="3"/>
  <c r="BN509" i="3"/>
  <c r="BN510" i="3"/>
  <c r="BN511" i="3"/>
  <c r="BN512" i="3"/>
  <c r="BN513" i="3"/>
  <c r="BN514" i="3"/>
  <c r="BN515" i="3"/>
  <c r="BN516" i="3"/>
  <c r="BN517" i="3"/>
  <c r="BN518" i="3"/>
  <c r="BP3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P211" i="3"/>
  <c r="BP212" i="3"/>
  <c r="BP213" i="3"/>
  <c r="BP214" i="3"/>
  <c r="BP215" i="3"/>
  <c r="BP216" i="3"/>
  <c r="BP217" i="3"/>
  <c r="BP218" i="3"/>
  <c r="BP219" i="3"/>
  <c r="BP220" i="3"/>
  <c r="BP221" i="3"/>
  <c r="BP222" i="3"/>
  <c r="BP223" i="3"/>
  <c r="BP224" i="3"/>
  <c r="BP225" i="3"/>
  <c r="BP226" i="3"/>
  <c r="BP227" i="3"/>
  <c r="BP228" i="3"/>
  <c r="BP229" i="3"/>
  <c r="BP230" i="3"/>
  <c r="BP231" i="3"/>
  <c r="BP232" i="3"/>
  <c r="BP233" i="3"/>
  <c r="BP234" i="3"/>
  <c r="BP235" i="3"/>
  <c r="BP236" i="3"/>
  <c r="BP237" i="3"/>
  <c r="BP238" i="3"/>
  <c r="BP239" i="3"/>
  <c r="BP240" i="3"/>
  <c r="BP241" i="3"/>
  <c r="BP242" i="3"/>
  <c r="BP243" i="3"/>
  <c r="BP244" i="3"/>
  <c r="BP245" i="3"/>
  <c r="BP246" i="3"/>
  <c r="BP247" i="3"/>
  <c r="BP248" i="3"/>
  <c r="BP249" i="3"/>
  <c r="BP250" i="3"/>
  <c r="BP251" i="3"/>
  <c r="BP252" i="3"/>
  <c r="BP253" i="3"/>
  <c r="BP254" i="3"/>
  <c r="BP255" i="3"/>
  <c r="BP256" i="3"/>
  <c r="BP257" i="3"/>
  <c r="BP258" i="3"/>
  <c r="BP259" i="3"/>
  <c r="BP260" i="3"/>
  <c r="BP261" i="3"/>
  <c r="BP262" i="3"/>
  <c r="BP263" i="3"/>
  <c r="BP264" i="3"/>
  <c r="BP265" i="3"/>
  <c r="BP266" i="3"/>
  <c r="BP267" i="3"/>
  <c r="BP268" i="3"/>
  <c r="BP269" i="3"/>
  <c r="BP270" i="3"/>
  <c r="BP271" i="3"/>
  <c r="BP272" i="3"/>
  <c r="BP273" i="3"/>
  <c r="BP274" i="3"/>
  <c r="BP275" i="3"/>
  <c r="BP276" i="3"/>
  <c r="BP277" i="3"/>
  <c r="BP278" i="3"/>
  <c r="BP279" i="3"/>
  <c r="BP280" i="3"/>
  <c r="BP281" i="3"/>
  <c r="BP282" i="3"/>
  <c r="BP283" i="3"/>
  <c r="BP284" i="3"/>
  <c r="BP285" i="3"/>
  <c r="BP286" i="3"/>
  <c r="BP287" i="3"/>
  <c r="BP288" i="3"/>
  <c r="BP289" i="3"/>
  <c r="BP290" i="3"/>
  <c r="BP291" i="3"/>
  <c r="BP292" i="3"/>
  <c r="BP293" i="3"/>
  <c r="BP294" i="3"/>
  <c r="BP295" i="3"/>
  <c r="BP296" i="3"/>
  <c r="BP297" i="3"/>
  <c r="BP298" i="3"/>
  <c r="BP299" i="3"/>
  <c r="BP300" i="3"/>
  <c r="BP301" i="3"/>
  <c r="BP302" i="3"/>
  <c r="BP303" i="3"/>
  <c r="BP304" i="3"/>
  <c r="BP305" i="3"/>
  <c r="BP306" i="3"/>
  <c r="BP307" i="3"/>
  <c r="BP308" i="3"/>
  <c r="BP309" i="3"/>
  <c r="BP310" i="3"/>
  <c r="BP311" i="3"/>
  <c r="BP312" i="3"/>
  <c r="BP313" i="3"/>
  <c r="BP314" i="3"/>
  <c r="BP315" i="3"/>
  <c r="BP316" i="3"/>
  <c r="BP317" i="3"/>
  <c r="BP318" i="3"/>
  <c r="BP319" i="3"/>
  <c r="BP320" i="3"/>
  <c r="BP321" i="3"/>
  <c r="BP322" i="3"/>
  <c r="BP323" i="3"/>
  <c r="BP324" i="3"/>
  <c r="BP325" i="3"/>
  <c r="BP326" i="3"/>
  <c r="BP327" i="3"/>
  <c r="BP328" i="3"/>
  <c r="BP329" i="3"/>
  <c r="BP330" i="3"/>
  <c r="BP331" i="3"/>
  <c r="BP332" i="3"/>
  <c r="BP333" i="3"/>
  <c r="BP334" i="3"/>
  <c r="BP335" i="3"/>
  <c r="BP336" i="3"/>
  <c r="BP337" i="3"/>
  <c r="BP338" i="3"/>
  <c r="BP339" i="3"/>
  <c r="BP340" i="3"/>
  <c r="BP341" i="3"/>
  <c r="BP342" i="3"/>
  <c r="BP343" i="3"/>
  <c r="BP344" i="3"/>
  <c r="BP345" i="3"/>
  <c r="BP346" i="3"/>
  <c r="BP347" i="3"/>
  <c r="BP348" i="3"/>
  <c r="BP349" i="3"/>
  <c r="BP350" i="3"/>
  <c r="BP351" i="3"/>
  <c r="BP352" i="3"/>
  <c r="BP353" i="3"/>
  <c r="BP354" i="3"/>
  <c r="BP355" i="3"/>
  <c r="BP356" i="3"/>
  <c r="BP357" i="3"/>
  <c r="BP358" i="3"/>
  <c r="BP359" i="3"/>
  <c r="BP360" i="3"/>
  <c r="BP361" i="3"/>
  <c r="BP362" i="3"/>
  <c r="BP363" i="3"/>
  <c r="BP364" i="3"/>
  <c r="BP365" i="3"/>
  <c r="BP366" i="3"/>
  <c r="BP367" i="3"/>
  <c r="BP368" i="3"/>
  <c r="BP369" i="3"/>
  <c r="BP370" i="3"/>
  <c r="BP371" i="3"/>
  <c r="BP372" i="3"/>
  <c r="BP373" i="3"/>
  <c r="BP374" i="3"/>
  <c r="BP375" i="3"/>
  <c r="BP376" i="3"/>
  <c r="BP377" i="3"/>
  <c r="BP378" i="3"/>
  <c r="BP379" i="3"/>
  <c r="BP380" i="3"/>
  <c r="BP381" i="3"/>
  <c r="BP382" i="3"/>
  <c r="BP383" i="3"/>
  <c r="BP384" i="3"/>
  <c r="BP385" i="3"/>
  <c r="BP386" i="3"/>
  <c r="BP387" i="3"/>
  <c r="BP388" i="3"/>
  <c r="BP389" i="3"/>
  <c r="BP390" i="3"/>
  <c r="BP391" i="3"/>
  <c r="BP392" i="3"/>
  <c r="BP393" i="3"/>
  <c r="BP394" i="3"/>
  <c r="BP395" i="3"/>
  <c r="BP396" i="3"/>
  <c r="BP397" i="3"/>
  <c r="BP398" i="3"/>
  <c r="BP399" i="3"/>
  <c r="BP400" i="3"/>
  <c r="BP401" i="3"/>
  <c r="BP402" i="3"/>
  <c r="BP403" i="3"/>
  <c r="BP404" i="3"/>
  <c r="BP405" i="3"/>
  <c r="BP406" i="3"/>
  <c r="BP407" i="3"/>
  <c r="BP408" i="3"/>
  <c r="BP409" i="3"/>
  <c r="BP410" i="3"/>
  <c r="BP411" i="3"/>
  <c r="BP412" i="3"/>
  <c r="BP413" i="3"/>
  <c r="BP414" i="3"/>
  <c r="BP415" i="3"/>
  <c r="BP416" i="3"/>
  <c r="BP417" i="3"/>
  <c r="BP418" i="3"/>
  <c r="BP419" i="3"/>
  <c r="BP420" i="3"/>
  <c r="BP421" i="3"/>
  <c r="BP422" i="3"/>
  <c r="BP423" i="3"/>
  <c r="BP424" i="3"/>
  <c r="BP425" i="3"/>
  <c r="BP426" i="3"/>
  <c r="BP427" i="3"/>
  <c r="BP428" i="3"/>
  <c r="BP429" i="3"/>
  <c r="BP430" i="3"/>
  <c r="BP431" i="3"/>
  <c r="BP432" i="3"/>
  <c r="BP433" i="3"/>
  <c r="BP434" i="3"/>
  <c r="BP435" i="3"/>
  <c r="BP436" i="3"/>
  <c r="BP437" i="3"/>
  <c r="BP438" i="3"/>
  <c r="BP439" i="3"/>
  <c r="BP440" i="3"/>
  <c r="BP441" i="3"/>
  <c r="BP442" i="3"/>
  <c r="BP443" i="3"/>
  <c r="BP444" i="3"/>
  <c r="BP445" i="3"/>
  <c r="BP446" i="3"/>
  <c r="BP447" i="3"/>
  <c r="BP448" i="3"/>
  <c r="BP449" i="3"/>
  <c r="BP450" i="3"/>
  <c r="BP451" i="3"/>
  <c r="BP452" i="3"/>
  <c r="BP453" i="3"/>
  <c r="BP454" i="3"/>
  <c r="BP455" i="3"/>
  <c r="BP456" i="3"/>
  <c r="BP457" i="3"/>
  <c r="BP458" i="3"/>
  <c r="BP459" i="3"/>
  <c r="BP460" i="3"/>
  <c r="BP461" i="3"/>
  <c r="BP462" i="3"/>
  <c r="BP463" i="3"/>
  <c r="BP464" i="3"/>
  <c r="BP465" i="3"/>
  <c r="BP466" i="3"/>
  <c r="BP467" i="3"/>
  <c r="BP468" i="3"/>
  <c r="BP469" i="3"/>
  <c r="BP470" i="3"/>
  <c r="BP471" i="3"/>
  <c r="BP472" i="3"/>
  <c r="BP473" i="3"/>
  <c r="BP474" i="3"/>
  <c r="BP475" i="3"/>
  <c r="BP476" i="3"/>
  <c r="BP477" i="3"/>
  <c r="BP478" i="3"/>
  <c r="BP479" i="3"/>
  <c r="BP480" i="3"/>
  <c r="BP481" i="3"/>
  <c r="BP482" i="3"/>
  <c r="BP483" i="3"/>
  <c r="BP484" i="3"/>
  <c r="BP485" i="3"/>
  <c r="BP486" i="3"/>
  <c r="BP487" i="3"/>
  <c r="BP488" i="3"/>
  <c r="BP489" i="3"/>
  <c r="BP490" i="3"/>
  <c r="BP491" i="3"/>
  <c r="BP492" i="3"/>
  <c r="BP493" i="3"/>
  <c r="BP494" i="3"/>
  <c r="BP495" i="3"/>
  <c r="BP496" i="3"/>
  <c r="BP497" i="3"/>
  <c r="BP498" i="3"/>
  <c r="BP499" i="3"/>
  <c r="BP500" i="3"/>
  <c r="BP501" i="3"/>
  <c r="BP502" i="3"/>
  <c r="BP503" i="3"/>
  <c r="BP504" i="3"/>
  <c r="BP505" i="3"/>
  <c r="BP506" i="3"/>
  <c r="BP507" i="3"/>
  <c r="BP508" i="3"/>
  <c r="BP509" i="3"/>
  <c r="BP510" i="3"/>
  <c r="BP511" i="3"/>
  <c r="BP512" i="3"/>
  <c r="BP513" i="3"/>
  <c r="BP514" i="3"/>
  <c r="BP515" i="3"/>
  <c r="BP516" i="3"/>
  <c r="BP517" i="3"/>
  <c r="BP518" i="3"/>
  <c r="BP2" i="3"/>
  <c r="BO3" i="3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O73" i="3"/>
  <c r="BO74" i="3"/>
  <c r="BO75" i="3"/>
  <c r="BO76" i="3"/>
  <c r="BO77" i="3"/>
  <c r="BO78" i="3"/>
  <c r="BO79" i="3"/>
  <c r="BO80" i="3"/>
  <c r="BO81" i="3"/>
  <c r="BO82" i="3"/>
  <c r="BO83" i="3"/>
  <c r="BO84" i="3"/>
  <c r="BO85" i="3"/>
  <c r="BO86" i="3"/>
  <c r="BO87" i="3"/>
  <c r="BO88" i="3"/>
  <c r="BO89" i="3"/>
  <c r="BO90" i="3"/>
  <c r="BO91" i="3"/>
  <c r="BO92" i="3"/>
  <c r="BO93" i="3"/>
  <c r="BO94" i="3"/>
  <c r="BO95" i="3"/>
  <c r="BO96" i="3"/>
  <c r="BO97" i="3"/>
  <c r="BO98" i="3"/>
  <c r="BO99" i="3"/>
  <c r="BO100" i="3"/>
  <c r="BO101" i="3"/>
  <c r="BO102" i="3"/>
  <c r="BO103" i="3"/>
  <c r="BO104" i="3"/>
  <c r="BO105" i="3"/>
  <c r="BO106" i="3"/>
  <c r="BO107" i="3"/>
  <c r="BO108" i="3"/>
  <c r="BO109" i="3"/>
  <c r="BO110" i="3"/>
  <c r="BO111" i="3"/>
  <c r="BO112" i="3"/>
  <c r="BO113" i="3"/>
  <c r="BO114" i="3"/>
  <c r="BO115" i="3"/>
  <c r="BO116" i="3"/>
  <c r="BO117" i="3"/>
  <c r="BO118" i="3"/>
  <c r="BO119" i="3"/>
  <c r="BO120" i="3"/>
  <c r="BO121" i="3"/>
  <c r="BO122" i="3"/>
  <c r="BO123" i="3"/>
  <c r="BO124" i="3"/>
  <c r="BO125" i="3"/>
  <c r="BO126" i="3"/>
  <c r="BO127" i="3"/>
  <c r="BO128" i="3"/>
  <c r="BO129" i="3"/>
  <c r="BO130" i="3"/>
  <c r="BO131" i="3"/>
  <c r="BO132" i="3"/>
  <c r="BO133" i="3"/>
  <c r="BO134" i="3"/>
  <c r="BO135" i="3"/>
  <c r="BO136" i="3"/>
  <c r="BO137" i="3"/>
  <c r="BO138" i="3"/>
  <c r="BO139" i="3"/>
  <c r="BO140" i="3"/>
  <c r="BO141" i="3"/>
  <c r="BO142" i="3"/>
  <c r="BO143" i="3"/>
  <c r="BO144" i="3"/>
  <c r="BO145" i="3"/>
  <c r="BO146" i="3"/>
  <c r="BO147" i="3"/>
  <c r="BO148" i="3"/>
  <c r="BO149" i="3"/>
  <c r="BO150" i="3"/>
  <c r="BO151" i="3"/>
  <c r="BO152" i="3"/>
  <c r="BO153" i="3"/>
  <c r="BO154" i="3"/>
  <c r="BO155" i="3"/>
  <c r="BO156" i="3"/>
  <c r="BO157" i="3"/>
  <c r="BO158" i="3"/>
  <c r="BO159" i="3"/>
  <c r="BO160" i="3"/>
  <c r="BO161" i="3"/>
  <c r="BO162" i="3"/>
  <c r="BO163" i="3"/>
  <c r="BO164" i="3"/>
  <c r="BO165" i="3"/>
  <c r="BO166" i="3"/>
  <c r="BO167" i="3"/>
  <c r="BO168" i="3"/>
  <c r="BO169" i="3"/>
  <c r="BO170" i="3"/>
  <c r="BO171" i="3"/>
  <c r="BO172" i="3"/>
  <c r="BO173" i="3"/>
  <c r="BO174" i="3"/>
  <c r="BO175" i="3"/>
  <c r="BO176" i="3"/>
  <c r="BO177" i="3"/>
  <c r="BO178" i="3"/>
  <c r="BO179" i="3"/>
  <c r="BO180" i="3"/>
  <c r="BO181" i="3"/>
  <c r="BO182" i="3"/>
  <c r="BO183" i="3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BO352" i="3"/>
  <c r="BO353" i="3"/>
  <c r="BO354" i="3"/>
  <c r="BO355" i="3"/>
  <c r="BO356" i="3"/>
  <c r="BO357" i="3"/>
  <c r="BO358" i="3"/>
  <c r="BO359" i="3"/>
  <c r="BO360" i="3"/>
  <c r="BO361" i="3"/>
  <c r="BO362" i="3"/>
  <c r="BO363" i="3"/>
  <c r="BO364" i="3"/>
  <c r="BO365" i="3"/>
  <c r="BO366" i="3"/>
  <c r="BO367" i="3"/>
  <c r="BO368" i="3"/>
  <c r="BO369" i="3"/>
  <c r="BO370" i="3"/>
  <c r="BO371" i="3"/>
  <c r="BO372" i="3"/>
  <c r="BO373" i="3"/>
  <c r="BO374" i="3"/>
  <c r="BO375" i="3"/>
  <c r="BO376" i="3"/>
  <c r="BO377" i="3"/>
  <c r="BO378" i="3"/>
  <c r="BO379" i="3"/>
  <c r="BO380" i="3"/>
  <c r="BO381" i="3"/>
  <c r="BO382" i="3"/>
  <c r="BO383" i="3"/>
  <c r="BO384" i="3"/>
  <c r="BO385" i="3"/>
  <c r="BO386" i="3"/>
  <c r="BO387" i="3"/>
  <c r="BO388" i="3"/>
  <c r="BO389" i="3"/>
  <c r="BO390" i="3"/>
  <c r="BO391" i="3"/>
  <c r="BO392" i="3"/>
  <c r="BO393" i="3"/>
  <c r="BO394" i="3"/>
  <c r="BO395" i="3"/>
  <c r="BO396" i="3"/>
  <c r="BO397" i="3"/>
  <c r="BO398" i="3"/>
  <c r="BO399" i="3"/>
  <c r="BO400" i="3"/>
  <c r="BO401" i="3"/>
  <c r="BO402" i="3"/>
  <c r="BO403" i="3"/>
  <c r="BO404" i="3"/>
  <c r="BO405" i="3"/>
  <c r="BO406" i="3"/>
  <c r="BO407" i="3"/>
  <c r="BO408" i="3"/>
  <c r="BO409" i="3"/>
  <c r="BO410" i="3"/>
  <c r="BO411" i="3"/>
  <c r="BO412" i="3"/>
  <c r="BO413" i="3"/>
  <c r="BO414" i="3"/>
  <c r="BO415" i="3"/>
  <c r="BO416" i="3"/>
  <c r="BO417" i="3"/>
  <c r="BO418" i="3"/>
  <c r="BO419" i="3"/>
  <c r="BO420" i="3"/>
  <c r="BO421" i="3"/>
  <c r="BO422" i="3"/>
  <c r="BO423" i="3"/>
  <c r="BO424" i="3"/>
  <c r="BO425" i="3"/>
  <c r="BO426" i="3"/>
  <c r="BO427" i="3"/>
  <c r="BO428" i="3"/>
  <c r="BO429" i="3"/>
  <c r="BO430" i="3"/>
  <c r="BO431" i="3"/>
  <c r="BO432" i="3"/>
  <c r="BO433" i="3"/>
  <c r="BO434" i="3"/>
  <c r="BO435" i="3"/>
  <c r="BO436" i="3"/>
  <c r="BO437" i="3"/>
  <c r="BO438" i="3"/>
  <c r="BO439" i="3"/>
  <c r="BO440" i="3"/>
  <c r="BO441" i="3"/>
  <c r="BO442" i="3"/>
  <c r="BO443" i="3"/>
  <c r="BO444" i="3"/>
  <c r="BO445" i="3"/>
  <c r="BO446" i="3"/>
  <c r="BO447" i="3"/>
  <c r="BO448" i="3"/>
  <c r="BO449" i="3"/>
  <c r="BO450" i="3"/>
  <c r="BO451" i="3"/>
  <c r="BO452" i="3"/>
  <c r="BO453" i="3"/>
  <c r="BO454" i="3"/>
  <c r="BO455" i="3"/>
  <c r="BO456" i="3"/>
  <c r="BO457" i="3"/>
  <c r="BO458" i="3"/>
  <c r="BO459" i="3"/>
  <c r="BO460" i="3"/>
  <c r="BO461" i="3"/>
  <c r="BO462" i="3"/>
  <c r="BO463" i="3"/>
  <c r="BO464" i="3"/>
  <c r="BO465" i="3"/>
  <c r="BO466" i="3"/>
  <c r="BO467" i="3"/>
  <c r="BO468" i="3"/>
  <c r="BO469" i="3"/>
  <c r="BO470" i="3"/>
  <c r="BO471" i="3"/>
  <c r="BO472" i="3"/>
  <c r="BO473" i="3"/>
  <c r="BO474" i="3"/>
  <c r="BO475" i="3"/>
  <c r="BO476" i="3"/>
  <c r="BO477" i="3"/>
  <c r="BO478" i="3"/>
  <c r="BO479" i="3"/>
  <c r="BO480" i="3"/>
  <c r="BO481" i="3"/>
  <c r="BO482" i="3"/>
  <c r="BO483" i="3"/>
  <c r="BO484" i="3"/>
  <c r="BO485" i="3"/>
  <c r="BO486" i="3"/>
  <c r="BO487" i="3"/>
  <c r="BO488" i="3"/>
  <c r="BO489" i="3"/>
  <c r="BO490" i="3"/>
  <c r="BO491" i="3"/>
  <c r="BO492" i="3"/>
  <c r="BO493" i="3"/>
  <c r="BO494" i="3"/>
  <c r="BO495" i="3"/>
  <c r="BO496" i="3"/>
  <c r="BO497" i="3"/>
  <c r="BO498" i="3"/>
  <c r="BO499" i="3"/>
  <c r="BO500" i="3"/>
  <c r="BO501" i="3"/>
  <c r="BO502" i="3"/>
  <c r="BO503" i="3"/>
  <c r="BO504" i="3"/>
  <c r="BO505" i="3"/>
  <c r="BO506" i="3"/>
  <c r="BO507" i="3"/>
  <c r="BO508" i="3"/>
  <c r="BO509" i="3"/>
  <c r="BO510" i="3"/>
  <c r="BO511" i="3"/>
  <c r="BO512" i="3"/>
  <c r="BO513" i="3"/>
  <c r="BO514" i="3"/>
  <c r="BO515" i="3"/>
  <c r="BO516" i="3"/>
  <c r="BO517" i="3"/>
  <c r="BO518" i="3"/>
  <c r="BO2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2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16" i="3"/>
  <c r="BM117" i="3"/>
  <c r="BM118" i="3"/>
  <c r="BM119" i="3"/>
  <c r="BM120" i="3"/>
  <c r="BM121" i="3"/>
  <c r="BM122" i="3"/>
  <c r="BM123" i="3"/>
  <c r="BM124" i="3"/>
  <c r="BM125" i="3"/>
  <c r="BM126" i="3"/>
  <c r="BM127" i="3"/>
  <c r="BM128" i="3"/>
  <c r="BM129" i="3"/>
  <c r="BM130" i="3"/>
  <c r="BM131" i="3"/>
  <c r="BM132" i="3"/>
  <c r="BM133" i="3"/>
  <c r="BM134" i="3"/>
  <c r="BM135" i="3"/>
  <c r="BM136" i="3"/>
  <c r="BM137" i="3"/>
  <c r="BM138" i="3"/>
  <c r="BM139" i="3"/>
  <c r="BM140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351" i="3"/>
  <c r="BM352" i="3"/>
  <c r="BM353" i="3"/>
  <c r="BM354" i="3"/>
  <c r="BM355" i="3"/>
  <c r="BM356" i="3"/>
  <c r="BM357" i="3"/>
  <c r="BM358" i="3"/>
  <c r="BM359" i="3"/>
  <c r="BM360" i="3"/>
  <c r="BM361" i="3"/>
  <c r="BM362" i="3"/>
  <c r="BM363" i="3"/>
  <c r="BM364" i="3"/>
  <c r="BM365" i="3"/>
  <c r="BM366" i="3"/>
  <c r="BM367" i="3"/>
  <c r="BM368" i="3"/>
  <c r="BM369" i="3"/>
  <c r="BM370" i="3"/>
  <c r="BM371" i="3"/>
  <c r="BM372" i="3"/>
  <c r="BM373" i="3"/>
  <c r="BM374" i="3"/>
  <c r="BM375" i="3"/>
  <c r="BM376" i="3"/>
  <c r="BM377" i="3"/>
  <c r="BM378" i="3"/>
  <c r="BM379" i="3"/>
  <c r="BM380" i="3"/>
  <c r="BM381" i="3"/>
  <c r="BM382" i="3"/>
  <c r="BM383" i="3"/>
  <c r="BM384" i="3"/>
  <c r="BM385" i="3"/>
  <c r="BM386" i="3"/>
  <c r="BM387" i="3"/>
  <c r="BM388" i="3"/>
  <c r="BM389" i="3"/>
  <c r="BM390" i="3"/>
  <c r="BM391" i="3"/>
  <c r="BM392" i="3"/>
  <c r="BM393" i="3"/>
  <c r="BM394" i="3"/>
  <c r="BM395" i="3"/>
  <c r="BM396" i="3"/>
  <c r="BM397" i="3"/>
  <c r="BM398" i="3"/>
  <c r="BM399" i="3"/>
  <c r="BM400" i="3"/>
  <c r="BM401" i="3"/>
  <c r="BM402" i="3"/>
  <c r="BM403" i="3"/>
  <c r="BM404" i="3"/>
  <c r="BM405" i="3"/>
  <c r="BM406" i="3"/>
  <c r="BM407" i="3"/>
  <c r="BM408" i="3"/>
  <c r="BM409" i="3"/>
  <c r="BM410" i="3"/>
  <c r="BM411" i="3"/>
  <c r="BM412" i="3"/>
  <c r="BM413" i="3"/>
  <c r="BM414" i="3"/>
  <c r="BM415" i="3"/>
  <c r="BM416" i="3"/>
  <c r="BM417" i="3"/>
  <c r="BM418" i="3"/>
  <c r="BM419" i="3"/>
  <c r="BM420" i="3"/>
  <c r="BM421" i="3"/>
  <c r="BM422" i="3"/>
  <c r="BM423" i="3"/>
  <c r="BM424" i="3"/>
  <c r="BM425" i="3"/>
  <c r="BM426" i="3"/>
  <c r="BM427" i="3"/>
  <c r="BM428" i="3"/>
  <c r="BM429" i="3"/>
  <c r="BM430" i="3"/>
  <c r="BM431" i="3"/>
  <c r="BM432" i="3"/>
  <c r="BM433" i="3"/>
  <c r="BM434" i="3"/>
  <c r="BM435" i="3"/>
  <c r="BM436" i="3"/>
  <c r="BM437" i="3"/>
  <c r="BM438" i="3"/>
  <c r="BM439" i="3"/>
  <c r="BM440" i="3"/>
  <c r="BM441" i="3"/>
  <c r="BM442" i="3"/>
  <c r="BM443" i="3"/>
  <c r="BM444" i="3"/>
  <c r="BM445" i="3"/>
  <c r="BM446" i="3"/>
  <c r="BM447" i="3"/>
  <c r="BM448" i="3"/>
  <c r="BM449" i="3"/>
  <c r="BM450" i="3"/>
  <c r="BM451" i="3"/>
  <c r="BM452" i="3"/>
  <c r="BM453" i="3"/>
  <c r="BM454" i="3"/>
  <c r="BM455" i="3"/>
  <c r="BM456" i="3"/>
  <c r="BM457" i="3"/>
  <c r="BM458" i="3"/>
  <c r="BM459" i="3"/>
  <c r="BM460" i="3"/>
  <c r="BM461" i="3"/>
  <c r="BM462" i="3"/>
  <c r="BM463" i="3"/>
  <c r="BM464" i="3"/>
  <c r="BM465" i="3"/>
  <c r="BM466" i="3"/>
  <c r="BM467" i="3"/>
  <c r="BM468" i="3"/>
  <c r="BM469" i="3"/>
  <c r="BM470" i="3"/>
  <c r="BM471" i="3"/>
  <c r="BM472" i="3"/>
  <c r="BM473" i="3"/>
  <c r="BM474" i="3"/>
  <c r="BM475" i="3"/>
  <c r="BM476" i="3"/>
  <c r="BM477" i="3"/>
  <c r="BM478" i="3"/>
  <c r="BM479" i="3"/>
  <c r="BM480" i="3"/>
  <c r="BM481" i="3"/>
  <c r="BM482" i="3"/>
  <c r="BM483" i="3"/>
  <c r="BM484" i="3"/>
  <c r="BM485" i="3"/>
  <c r="BM486" i="3"/>
  <c r="BM487" i="3"/>
  <c r="BM488" i="3"/>
  <c r="BM489" i="3"/>
  <c r="BM490" i="3"/>
  <c r="BM491" i="3"/>
  <c r="BM492" i="3"/>
  <c r="BM493" i="3"/>
  <c r="BM494" i="3"/>
  <c r="BM495" i="3"/>
  <c r="BM496" i="3"/>
  <c r="BM497" i="3"/>
  <c r="BM498" i="3"/>
  <c r="BM499" i="3"/>
  <c r="BM500" i="3"/>
  <c r="BM501" i="3"/>
  <c r="BM502" i="3"/>
  <c r="BM503" i="3"/>
  <c r="BM504" i="3"/>
  <c r="BM505" i="3"/>
  <c r="BM506" i="3"/>
  <c r="BM507" i="3"/>
  <c r="BM508" i="3"/>
  <c r="BM509" i="3"/>
  <c r="BM510" i="3"/>
  <c r="BM511" i="3"/>
  <c r="BM512" i="3"/>
  <c r="BM513" i="3"/>
  <c r="BM514" i="3"/>
  <c r="BM515" i="3"/>
  <c r="BM516" i="3"/>
  <c r="BM517" i="3"/>
  <c r="BM518" i="3"/>
  <c r="BM3" i="3"/>
  <c r="BM2" i="3"/>
  <c r="CN519" i="5" l="1"/>
</calcChain>
</file>

<file path=xl/sharedStrings.xml><?xml version="1.0" encoding="utf-8"?>
<sst xmlns="http://schemas.openxmlformats.org/spreadsheetml/2006/main" count="3521" uniqueCount="269">
  <si>
    <t>Population UN</t>
  </si>
  <si>
    <t>Burkina Faso</t>
  </si>
  <si>
    <t>BFA</t>
  </si>
  <si>
    <t>Central African Republic</t>
  </si>
  <si>
    <t>CAF</t>
  </si>
  <si>
    <t>Democratic Republic of Sao Tome and Principe</t>
  </si>
  <si>
    <t>STP</t>
  </si>
  <si>
    <t>Democratic Republic of the Congo</t>
  </si>
  <si>
    <t>COD</t>
  </si>
  <si>
    <t>Federal Democratic Republic of Ethiopia</t>
  </si>
  <si>
    <t>ETH</t>
  </si>
  <si>
    <t>Federal Republic of Nigeria</t>
  </si>
  <si>
    <t>NGA</t>
  </si>
  <si>
    <t>Gabonese Republic</t>
  </si>
  <si>
    <t>GAB</t>
  </si>
  <si>
    <t>Islamic Republic of Mauritania</t>
  </si>
  <si>
    <t>MRT</t>
  </si>
  <si>
    <t>Kingdom of Eswatini</t>
  </si>
  <si>
    <t>SWZ</t>
  </si>
  <si>
    <t>Kingdom of Lesotho</t>
  </si>
  <si>
    <t>LSO</t>
  </si>
  <si>
    <t>People's Democratic Republic of Algeria</t>
  </si>
  <si>
    <t>DZA</t>
  </si>
  <si>
    <t>Republic of Angola</t>
  </si>
  <si>
    <t>AGO</t>
  </si>
  <si>
    <t>Republic of Benin</t>
  </si>
  <si>
    <t>BEN</t>
  </si>
  <si>
    <t>Republic of Botswana</t>
  </si>
  <si>
    <t>BWA</t>
  </si>
  <si>
    <t>Republic of Burundi</t>
  </si>
  <si>
    <t>BDI</t>
  </si>
  <si>
    <t>Republic of Cabo Verde</t>
  </si>
  <si>
    <t>CPV</t>
  </si>
  <si>
    <t>Republic of Cameroon</t>
  </si>
  <si>
    <t>CMR</t>
  </si>
  <si>
    <t>Republic of Chad</t>
  </si>
  <si>
    <t>TCD</t>
  </si>
  <si>
    <t>Republic of CÃ´te d'Ivoire</t>
  </si>
  <si>
    <t>CIV</t>
  </si>
  <si>
    <t>Republic of Equatorial Guinea</t>
  </si>
  <si>
    <t>GNQ</t>
  </si>
  <si>
    <t>Republic of Gambia</t>
  </si>
  <si>
    <t>GMB</t>
  </si>
  <si>
    <t>Republic of Ghana</t>
  </si>
  <si>
    <t>GHA</t>
  </si>
  <si>
    <t>Republic of Guinea</t>
  </si>
  <si>
    <t>GIN</t>
  </si>
  <si>
    <t>Republic of Guinea-Bissau</t>
  </si>
  <si>
    <t>GNB</t>
  </si>
  <si>
    <t>Republic of Kenya</t>
  </si>
  <si>
    <t>KEN</t>
  </si>
  <si>
    <t>Republic of Liberia</t>
  </si>
  <si>
    <t>LBR</t>
  </si>
  <si>
    <t>Republic of Madagascar</t>
  </si>
  <si>
    <t>MDG</t>
  </si>
  <si>
    <t>Republic of Malawi</t>
  </si>
  <si>
    <t>MWI</t>
  </si>
  <si>
    <t>Republic of Mali</t>
  </si>
  <si>
    <t>MLI</t>
  </si>
  <si>
    <t>Republic of Mauritius</t>
  </si>
  <si>
    <t>MUS</t>
  </si>
  <si>
    <t>Republic of Mozambique</t>
  </si>
  <si>
    <t>MOZ</t>
  </si>
  <si>
    <t>Republic of Namibia</t>
  </si>
  <si>
    <t>NAM</t>
  </si>
  <si>
    <t>Republic of Rwanda</t>
  </si>
  <si>
    <t>RWA</t>
  </si>
  <si>
    <t>Republic of Senegal</t>
  </si>
  <si>
    <t>SEN</t>
  </si>
  <si>
    <t>Republic of Seychelles</t>
  </si>
  <si>
    <t>SYC</t>
  </si>
  <si>
    <t>Republic of Sierra Leone</t>
  </si>
  <si>
    <t>SLE</t>
  </si>
  <si>
    <t>Republic of South Africa</t>
  </si>
  <si>
    <t>ZAF</t>
  </si>
  <si>
    <t>Republic of South Sudan</t>
  </si>
  <si>
    <t>SSD</t>
  </si>
  <si>
    <t>Republic of the Congo</t>
  </si>
  <si>
    <t>COG</t>
  </si>
  <si>
    <t>Republic of the Niger</t>
  </si>
  <si>
    <t>NER</t>
  </si>
  <si>
    <t>Republic of Uganda</t>
  </si>
  <si>
    <t>UGA</t>
  </si>
  <si>
    <t>Republic of Zambia</t>
  </si>
  <si>
    <t>ZMB</t>
  </si>
  <si>
    <t>Republic of Zimbabwe</t>
  </si>
  <si>
    <t>ZWE</t>
  </si>
  <si>
    <t>State of Eritrea</t>
  </si>
  <si>
    <t>ERI</t>
  </si>
  <si>
    <t>Togolese Republic</t>
  </si>
  <si>
    <t>TGO</t>
  </si>
  <si>
    <t>Union of the Comoros</t>
  </si>
  <si>
    <t>COM</t>
  </si>
  <si>
    <t>United Republic of Tanzania</t>
  </si>
  <si>
    <t>TZA</t>
  </si>
  <si>
    <t>Country</t>
  </si>
  <si>
    <t>Country Code</t>
  </si>
  <si>
    <t>Year</t>
  </si>
  <si>
    <t>Nursing Professionals Stock with additional midwifery training Total</t>
  </si>
  <si>
    <t>Nursing Associate Professionals Stock with additional midwifery training Total</t>
  </si>
  <si>
    <t xml:space="preserve">Medical Doctors </t>
  </si>
  <si>
    <t xml:space="preserve">Generalist Medical Practitioners (incl. Family medical practitioners) </t>
  </si>
  <si>
    <t xml:space="preserve">Medical group of Specialists Practitioners </t>
  </si>
  <si>
    <t xml:space="preserve">Nursing Personnel </t>
  </si>
  <si>
    <t xml:space="preserve">Midwifery personnel </t>
  </si>
  <si>
    <t xml:space="preserve">Dentists </t>
  </si>
  <si>
    <t xml:space="preserve">Pharmacists </t>
  </si>
  <si>
    <t xml:space="preserve">Administrative staff </t>
  </si>
  <si>
    <t xml:space="preserve">Ambulance Workers </t>
  </si>
  <si>
    <t xml:space="preserve">Audiologists and Speech Therapists </t>
  </si>
  <si>
    <t xml:space="preserve">Biomedical engineer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</si>
  <si>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</si>
  <si>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</si>
  <si>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</si>
  <si>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Dieticians </t>
  </si>
  <si>
    <t xml:space="preserve">Dispensing Opticians </t>
  </si>
  <si>
    <t xml:space="preserve">Engineering and maintenance staff </t>
  </si>
  <si>
    <t xml:space="preserve">Environmental and Occupational Health Inspectors and Associates </t>
  </si>
  <si>
    <t xml:space="preserve">Environmental and Occupational Health and Hygiene Professionals </t>
  </si>
  <si>
    <t xml:space="preserve">General Paediatricians Practitioners </t>
  </si>
  <si>
    <t xml:space="preserve">Health Care Assistants </t>
  </si>
  <si>
    <t xml:space="preserve">Health information systems personnel </t>
  </si>
  <si>
    <t xml:space="preserve">Home-based Personal Care Workers </t>
  </si>
  <si>
    <t xml:space="preserve">Medical Imaging and Therapeutic Equipment Technicians </t>
  </si>
  <si>
    <t xml:space="preserve">Managerial staff </t>
  </si>
  <si>
    <t xml:space="preserve">Medical Assistants </t>
  </si>
  <si>
    <t xml:space="preserve">Medical and Pathology Laboratory Technicians </t>
  </si>
  <si>
    <t xml:space="preserve">Medical and Pathology Laboratory scientists </t>
  </si>
  <si>
    <t xml:space="preserve">Medical Prosthetic Technicians </t>
  </si>
  <si>
    <t xml:space="preserve">Medical Records and Health Information Technicians </t>
  </si>
  <si>
    <t xml:space="preserve">Medical doctors not further defined </t>
  </si>
  <si>
    <t xml:space="preserve">Medical secretaries </t>
  </si>
  <si>
    <t xml:space="preserve">Midwifery Associate Professionals </t>
  </si>
  <si>
    <t xml:space="preserve">Midwifery Professionals </t>
  </si>
  <si>
    <t xml:space="preserve">Midwives not further defined </t>
  </si>
  <si>
    <t xml:space="preserve">Nurses not further defined </t>
  </si>
  <si>
    <t xml:space="preserve">Nursing Associate Professionals </t>
  </si>
  <si>
    <t xml:space="preserve">Nursing Professionals </t>
  </si>
  <si>
    <t xml:space="preserve">Nutritionists </t>
  </si>
  <si>
    <t xml:space="preserve">Obstetricians and Gynaecologists Practitioners </t>
  </si>
  <si>
    <t xml:space="preserve">Optometrists and Ophthalmic Opticians </t>
  </si>
  <si>
    <t xml:space="preserve">Other Specialists Practitioners </t>
  </si>
  <si>
    <t xml:space="preserve">Other non-medical professional staff </t>
  </si>
  <si>
    <t xml:space="preserve">Other non-medical support staff </t>
  </si>
  <si>
    <t xml:space="preserve">Paramedical Practitioners </t>
  </si>
  <si>
    <t xml:space="preserve">Personal care workers </t>
  </si>
  <si>
    <t xml:space="preserve">Personal care workers in health services n.e.c </t>
  </si>
  <si>
    <t xml:space="preserve">Pharmaceutical Technicians and Assistants </t>
  </si>
  <si>
    <t xml:space="preserve">Physiotherapists </t>
  </si>
  <si>
    <t xml:space="preserve">Physiotherapy Technicians and Assistants </t>
  </si>
  <si>
    <t xml:space="preserve">Psychiatrists Practitioners </t>
  </si>
  <si>
    <t xml:space="preserve">Psychologists </t>
  </si>
  <si>
    <t xml:space="preserve">Social work associate professionals </t>
  </si>
  <si>
    <t xml:space="preserve">Social work and counselling professionals </t>
  </si>
  <si>
    <t xml:space="preserve">Specialist Medical Practitioners </t>
  </si>
  <si>
    <t xml:space="preserve">Surgical group of Specialists Practitioners </t>
  </si>
  <si>
    <t xml:space="preserve">Traditional and Complementary Medicine Associate Professionals </t>
  </si>
  <si>
    <t xml:space="preserve">Traditional and Complementary Medicine Professionals </t>
  </si>
  <si>
    <t>SN</t>
  </si>
  <si>
    <t>Occupation</t>
  </si>
  <si>
    <t>Medical Doctors</t>
  </si>
  <si>
    <t>General Medical Practitioners (incl. Family medical practitioners)</t>
  </si>
  <si>
    <t>Specialist Medical Practitioners</t>
  </si>
  <si>
    <t>1.2.1</t>
  </si>
  <si>
    <t>General paediatricians</t>
  </si>
  <si>
    <t>1.2.2</t>
  </si>
  <si>
    <t>Obstetricians and Gynaecologists</t>
  </si>
  <si>
    <t>1.2.3</t>
  </si>
  <si>
    <t>Psychiatrists Practitioners</t>
  </si>
  <si>
    <t>1.2.4</t>
  </si>
  <si>
    <t>Medical group of Specialists Practitioners</t>
  </si>
  <si>
    <t>1.2.5</t>
  </si>
  <si>
    <t>Surgical group of Specialists Practitioners</t>
  </si>
  <si>
    <t>1.2.6</t>
  </si>
  <si>
    <t>Other Specialists Practitioners</t>
  </si>
  <si>
    <t>Medical doctors not further defined</t>
  </si>
  <si>
    <t>Nursing Personnel</t>
  </si>
  <si>
    <t>Nursing Professionals</t>
  </si>
  <si>
    <t>Nursing Associate Professionals</t>
  </si>
  <si>
    <t>Nurses not further defined</t>
  </si>
  <si>
    <t>Midwifery personnel</t>
  </si>
  <si>
    <t>Midwifery Professionals</t>
  </si>
  <si>
    <t>Midwifery Associate Professionals</t>
  </si>
  <si>
    <t>Midwives not further defined</t>
  </si>
  <si>
    <t>Dentists</t>
  </si>
  <si>
    <t>Dental Assistants and Therapists</t>
  </si>
  <si>
    <t>Dental Prosthetic Technicians</t>
  </si>
  <si>
    <t>Pharmacists</t>
  </si>
  <si>
    <t>Pharmaceutical Technicians</t>
  </si>
  <si>
    <t>Paramedical Practitioners</t>
  </si>
  <si>
    <t>Medical and Pathology Laboratory scientists</t>
  </si>
  <si>
    <t>Medical Imaging and Therapeutic Equipment Technicians</t>
  </si>
  <si>
    <t>Medical and Pathology Laboratory Technicians</t>
  </si>
  <si>
    <t>Environmental and Occupational Health Professionals </t>
  </si>
  <si>
    <t>Environmental and Occupational Health Inspectors/associates</t>
  </si>
  <si>
    <t>Traditional and Complementary Medicine Professionals</t>
  </si>
  <si>
    <t>Traditional and Complementary Medicine Associate Professionals</t>
  </si>
  <si>
    <t>Community Health Workers</t>
  </si>
  <si>
    <t>Personal care workers in health service</t>
  </si>
  <si>
    <t>Health Care Assistants</t>
  </si>
  <si>
    <t>Home-based Personal Care</t>
  </si>
  <si>
    <t>Personal care workers in health service n.e.c</t>
  </si>
  <si>
    <t>Physiotherapists</t>
  </si>
  <si>
    <t>Physiotherapy Technicians and Assistants</t>
  </si>
  <si>
    <t>Dieticians</t>
  </si>
  <si>
    <t>Nutritionists</t>
  </si>
  <si>
    <t>Audiologists and Speech Therapists</t>
  </si>
  <si>
    <t>Optometrists and Ophthalmic Opticians</t>
  </si>
  <si>
    <t>Dispensing Opticians</t>
  </si>
  <si>
    <t>Medical Prosthetic Technicians</t>
  </si>
  <si>
    <t>Medical Records Technicians</t>
  </si>
  <si>
    <t>Medical Assistants</t>
  </si>
  <si>
    <t>Ambulance Workers</t>
  </si>
  <si>
    <t>Social work and counselling professionals</t>
  </si>
  <si>
    <t>Social work associate professionals</t>
  </si>
  <si>
    <t>Biomedical engineer</t>
  </si>
  <si>
    <t>Psychologists</t>
  </si>
  <si>
    <t>Medical secretaries</t>
  </si>
  <si>
    <t>Managerial staff</t>
  </si>
  <si>
    <t>Administrative staff</t>
  </si>
  <si>
    <t>Health information systems personnel</t>
  </si>
  <si>
    <t>Engineering and maintenance staff</t>
  </si>
  <si>
    <t>Other non-medical professional staff</t>
  </si>
  <si>
    <t>Other non-medical support staff</t>
  </si>
  <si>
    <t>Epidemiologist (incl. FETP course graduates)</t>
  </si>
  <si>
    <t>Field Epidemiologist</t>
  </si>
  <si>
    <t>Population UN 1</t>
  </si>
  <si>
    <t>pop factor</t>
  </si>
  <si>
    <t>Nurses and midwives</t>
  </si>
  <si>
    <t>Nurses and midwives density</t>
  </si>
  <si>
    <t>Doctors, Nurses and midwives</t>
  </si>
  <si>
    <t>Doctors, Nurses and midwives density</t>
  </si>
  <si>
    <t>Total number of staff</t>
  </si>
  <si>
    <t>Population UN (provided)</t>
  </si>
  <si>
    <t>Row Labels</t>
  </si>
  <si>
    <t>Grand Total</t>
  </si>
  <si>
    <t>Sum of Medical Doctors</t>
  </si>
  <si>
    <t>Sum of Nursing Personnel</t>
  </si>
  <si>
    <t>Sum of Midwifery personnel</t>
  </si>
  <si>
    <t xml:space="preserve">Sum of Paramedical Practitioners </t>
  </si>
  <si>
    <t xml:space="preserve">Sum of Medical and Pathology Laboratory scientists </t>
  </si>
  <si>
    <t xml:space="preserve">Sum of Medical Imaging and Therapeutic Equipment Technicians </t>
  </si>
  <si>
    <t xml:space="preserve">Sum of Medical and Pathology Laboratory Technicians </t>
  </si>
  <si>
    <t xml:space="preserve">Sum of Community Health Workers </t>
  </si>
  <si>
    <t xml:space="preserve">Sum of Audiologists and Speech Therapists </t>
  </si>
  <si>
    <t xml:space="preserve">Sum of Optometrists and Ophthalmic Opticians </t>
  </si>
  <si>
    <t xml:space="preserve">Dentists1 </t>
  </si>
  <si>
    <t xml:space="preserve">Pharmacists1 </t>
  </si>
  <si>
    <t>Dieticians and nutritionists</t>
  </si>
  <si>
    <t>Environmental and occupational health &amp; hygiene workers</t>
  </si>
  <si>
    <t>Sum of Population UN 1</t>
  </si>
  <si>
    <t>Sum of Pharmacists</t>
  </si>
  <si>
    <t>Sum of Dentists</t>
  </si>
  <si>
    <t>Sum of Dieticians and nutritionists</t>
  </si>
  <si>
    <t>Sum of Environmental and occupational health &amp; hygiene workers</t>
  </si>
  <si>
    <t>Sum of Personal care workers in health service</t>
  </si>
  <si>
    <t xml:space="preserve">Sum of Managerial staff </t>
  </si>
  <si>
    <t xml:space="preserve">Medical and dental Prosthetic Technicians </t>
  </si>
  <si>
    <t xml:space="preserve">Sum of Medical and dental Prosthetic Technicians </t>
  </si>
  <si>
    <t xml:space="preserve">Sum of Medical Assistants </t>
  </si>
  <si>
    <t xml:space="preserve">Sum of Medical Records and Health Information Technicians </t>
  </si>
  <si>
    <t xml:space="preserve">Sum of Other non-medical professional staff </t>
  </si>
  <si>
    <t xml:space="preserve">Sum of Other non-medical support staff </t>
  </si>
  <si>
    <t>Physiotherapists and physiotherapy assistants</t>
  </si>
  <si>
    <t>Sum of Physiotherapists and physiotherapy assistants</t>
  </si>
  <si>
    <t>Social workers</t>
  </si>
  <si>
    <t>Traditional and complementary medicine practitioners</t>
  </si>
  <si>
    <t>Sum of Social workers</t>
  </si>
  <si>
    <t>Sum of Traditional and complementary medicine practitioners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</si>
</sst>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4" fillId="0" borderId="0" xfId="0" applyFont="1"/>
    <xf numFmtId="164" fontId="4" fillId="0" borderId="0" xfId="1" applyNumberFormat="1" applyFont="1"/>
    <xf numFmtId="0" fontId="4" fillId="0" borderId="0" xfId="0" applyFont="1" applyAlignment="1">
      <alignment vertical="center"/>
    </xf>
    <xf numFmtId="43" fontId="4" fillId="0" borderId="0" xfId="0" applyNumberFormat="1" applyFont="1"/>
    <xf numFmtId="43" fontId="4" fillId="6" borderId="0" xfId="0" applyNumberFormat="1" applyFont="1" applyFill="1"/>
    <xf numFmtId="0" fontId="4" fillId="6" borderId="0" xfId="0" applyFont="1" applyFill="1"/>
    <xf numFmtId="164" fontId="4" fillId="0" borderId="0" xfId="0" applyNumberFormat="1" applyFont="1"/>
    <xf numFmtId="0" fontId="0" fillId="7" borderId="0" xfId="0" applyFill="1"/>
    <xf numFmtId="0" fontId="4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0" fillId="7" borderId="1" xfId="0" applyFill="1" applyBorder="1"/>
    <xf numFmtId="0" fontId="4" fillId="7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 applyAlignment="1">
      <alignment wrapText="1"/>
    </xf>
    <xf numFmtId="0" fontId="4" fillId="9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6.536411921297" createdVersion="8" refreshedVersion="8" minRefreshableVersion="3" recordCount="517" xr:uid="{28CA7114-D853-4F7C-ABF4-11C425B02150}">
  <cacheSource type="worksheet">
    <worksheetSource ref="A1:CU518" sheet="CLEAN (Final)"/>
  </cacheSource>
  <cacheFields count="99">
    <cacheField name="Year" numFmtId="0">
      <sharedItems containsSemiMixedTypes="0" containsString="0" containsNumber="1" containsInteger="1" minValue="2012" maxValue="2022" count="11"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ountry" numFmtId="0">
      <sharedItems/>
    </cacheField>
    <cacheField name="Country Code" numFmtId="0">
      <sharedItems count="47">
        <s v="BFA"/>
        <s v="CAF"/>
        <s v="STP"/>
        <s v="COD"/>
        <s v="ETH"/>
        <s v="NGA"/>
        <s v="GAB"/>
        <s v="MRT"/>
        <s v="SWZ"/>
        <s v="LSO"/>
        <s v="DZA"/>
        <s v="AGO"/>
        <s v="BEN"/>
        <s v="BWA"/>
        <s v="BDI"/>
        <s v="CIV"/>
        <s v="CPV"/>
        <s v="CMR"/>
        <s v="TCD"/>
        <s v="GNQ"/>
        <s v="GMB"/>
        <s v="GHA"/>
        <s v="GIN"/>
        <s v="GNB"/>
        <s v="KEN"/>
        <s v="LBR"/>
        <s v="MDG"/>
        <s v="MWI"/>
        <s v="MLI"/>
        <s v="MUS"/>
        <s v="MOZ"/>
        <s v="NAM"/>
        <s v="RWA"/>
        <s v="SEN"/>
        <s v="SYC"/>
        <s v="SLE"/>
        <s v="ZAF"/>
        <s v="SSD"/>
        <s v="COG"/>
        <s v="NER"/>
        <s v="UGA"/>
        <s v="ZMB"/>
        <s v="ZWE"/>
        <s v="ERI"/>
        <s v="TGO"/>
        <s v="COM"/>
        <s v="TZA"/>
      </sharedItems>
    </cacheField>
    <cacheField name="Population UN (provided)" numFmtId="164">
      <sharedItems containsSemiMixedTypes="0" containsString="0" containsNumber="1" minValue="1715.5" maxValue="7745147.0999999996"/>
    </cacheField>
    <cacheField name="Population UN 1" numFmtId="164">
      <sharedItems containsSemiMixedTypes="0" containsString="0" containsNumber="1" minValue="95308.999999999985" maxValue="218541211.50000003"/>
    </cacheField>
    <cacheField name="pop factor" numFmtId="164">
      <sharedItems containsSemiMixedTypes="0" containsString="0" containsNumber="1" minValue="21.905318074381476" maxValue="89.777674913467223"/>
    </cacheField>
    <cacheField name="Dentists1 " numFmtId="0">
      <sharedItems containsString="0" containsBlank="1" containsNumber="1" containsInteger="1" minValue="0" maxValue="15437"/>
    </cacheField>
    <cacheField name="Pharmacists1 " numFmtId="0">
      <sharedItems containsString="0" containsBlank="1" containsNumber="1" containsInteger="1" minValue="0" maxValue="24668"/>
    </cacheField>
    <cacheField name="Administrative staff " numFmtId="0">
      <sharedItems containsString="0" containsBlank="1" containsNumber="1" containsInteger="1" minValue="0" maxValue="121853"/>
    </cacheField>
    <cacheField name="Ambulance Workers " numFmtId="0">
      <sharedItems containsString="0" containsBlank="1" containsNumber="1" containsInteger="1" minValue="0" maxValue="69276"/>
    </cacheField>
    <cacheField name="Audiologists and Speech Therapists " numFmtId="0">
      <sharedItems containsString="0" containsBlank="1" containsNumber="1" containsInteger="1" minValue="0" maxValue="4037"/>
    </cacheField>
    <cacheField name="Biomedical engineer " numFmtId="0">
      <sharedItems containsString="0" containsBlank="1" containsNumber="1" containsInteger="1" minValue="0" maxValue="1086"/>
    </cacheField>
    <cacheField name="Community Health Workers " numFmtId="0">
      <sharedItems containsString="0" containsBlank="1" containsNumber="1" containsInteger="1" minValue="0" maxValue="179175"/>
    </cacheField>
    <cacheField name="Dental Assistants and Therapists " numFmtId="0">
      <sharedItems containsString="0" containsBlank="1" containsNumber="1" containsInteger="1" minValue="0" maxValue="19269"/>
    </cacheField>
    <cacheField name="Dental Prosthetic Technicians " numFmtId="0">
      <sharedItems containsString="0" containsBlank="1" containsNumber="1" containsInteger="1" minValue="0" maxValue="11408"/>
    </cacheField>
    <cacheField name="Dieticians " numFmtId="0">
      <sharedItems containsString="0" containsBlank="1" containsNumber="1" containsInteger="1" minValue="0" maxValue="3822"/>
    </cacheField>
    <cacheField name="Dispensing Opticians " numFmtId="0">
      <sharedItems containsString="0" containsBlank="1" containsNumber="1" containsInteger="1" minValue="0" maxValue="2660"/>
    </cacheField>
    <cacheField name="Engineering and maintenance staff " numFmtId="0">
      <sharedItems containsString="0" containsBlank="1" containsNumber="1" containsInteger="1" minValue="0" maxValue="436"/>
    </cacheField>
    <cacheField name="Environmental and Occupational Health Inspectors and Associates " numFmtId="0">
      <sharedItems containsString="0" containsBlank="1" containsNumber="1" containsInteger="1" minValue="0" maxValue="3936"/>
    </cacheField>
    <cacheField name="Environmental and Occupational Health and Hygiene Professionals " numFmtId="0">
      <sharedItems containsString="0" containsBlank="1" containsNumber="1" containsInteger="1" minValue="0" maxValue="20392"/>
    </cacheField>
    <cacheField name="Health information systems personnel " numFmtId="0">
      <sharedItems containsString="0" containsBlank="1" containsNumber="1" containsInteger="1" minValue="0" maxValue="354339"/>
    </cacheField>
    <cacheField name="Medical Imaging and Therapeutic Equipment Technicians " numFmtId="0">
      <sharedItems containsString="0" containsBlank="1" containsNumber="1" containsInteger="1" minValue="0" maxValue="9281"/>
    </cacheField>
    <cacheField name="Managerial staff " numFmtId="0">
      <sharedItems containsString="0" containsBlank="1" containsNumber="1" containsInteger="1" minValue="0" maxValue="26692"/>
    </cacheField>
    <cacheField name="Medical Assistants " numFmtId="0">
      <sharedItems containsString="0" containsBlank="1" containsNumber="1" containsInteger="1" minValue="0" maxValue="14531"/>
    </cacheField>
    <cacheField name="Medical and Pathology Laboratory Technicians " numFmtId="0">
      <sharedItems containsString="0" containsBlank="1" containsNumber="1" containsInteger="1" minValue="0" maxValue="38712"/>
    </cacheField>
    <cacheField name="Medical and Pathology Laboratory scientists " numFmtId="0">
      <sharedItems containsString="0" containsBlank="1" containsNumber="1" containsInteger="1" minValue="0" maxValue="37181"/>
    </cacheField>
    <cacheField name="Medical Prosthetic Technicians " numFmtId="0">
      <sharedItems containsString="0" containsBlank="1" containsNumber="1" containsInteger="1" minValue="0" maxValue="37181"/>
    </cacheField>
    <cacheField name="Medical and dental Prosthetic Technicians " numFmtId="0">
      <sharedItems containsSemiMixedTypes="0" containsString="0" containsNumber="1" containsInteger="1" minValue="0" maxValue="48589"/>
    </cacheField>
    <cacheField name="Medical Records and Health Information Technicians " numFmtId="0">
      <sharedItems containsString="0" containsBlank="1" containsNumber="1" containsInteger="1" minValue="0" maxValue="27247"/>
    </cacheField>
    <cacheField name="Medical secretaries " numFmtId="0">
      <sharedItems containsString="0" containsBlank="1" containsNumber="1" containsInteger="1" minValue="0" maxValue="639"/>
    </cacheField>
    <cacheField name="Nutritionists " numFmtId="0">
      <sharedItems containsString="0" containsBlank="1" containsNumber="1" containsInteger="1" minValue="0" maxValue="2217"/>
    </cacheField>
    <cacheField name="Optometrists and Ophthalmic Opticians " numFmtId="0">
      <sharedItems containsString="0" containsBlank="1" containsNumber="1" containsInteger="1" minValue="0" maxValue="5632"/>
    </cacheField>
    <cacheField name="Other non-medical professional staff " numFmtId="0">
      <sharedItems containsString="0" containsBlank="1" containsNumber="1" containsInteger="1" minValue="0" maxValue="34992"/>
    </cacheField>
    <cacheField name="Other non-medical support staff " numFmtId="0">
      <sharedItems containsString="0" containsBlank="1" containsNumber="1" containsInteger="1" minValue="0" maxValue="75033"/>
    </cacheField>
    <cacheField name="Paramedical Practitioners " numFmtId="0">
      <sharedItems containsString="0" containsBlank="1" containsNumber="1" containsInteger="1" minValue="0" maxValue="128823"/>
    </cacheField>
    <cacheField name="Pharmaceutical Technicians and Assistants " numFmtId="0">
      <sharedItems containsString="0" containsBlank="1" containsNumber="1" containsInteger="1" minValue="0" maxValue="21713"/>
    </cacheField>
    <cacheField name="Physiotherapists " numFmtId="0">
      <sharedItems containsString="0" containsBlank="1" containsNumber="1" containsInteger="1" minValue="0" maxValue="8345"/>
    </cacheField>
    <cacheField name="Physiotherapy Technicians and Assistants " numFmtId="0">
      <sharedItems containsString="0" containsBlank="1" containsNumber="1" containsInteger="1" minValue="0" maxValue="9289"/>
    </cacheField>
    <cacheField name="Physiotherapists and physiotherapy assistants" numFmtId="0">
      <sharedItems containsSemiMixedTypes="0" containsString="0" containsNumber="1" containsInteger="1" minValue="0" maxValue="9289"/>
    </cacheField>
    <cacheField name="Psychologists " numFmtId="0">
      <sharedItems containsString="0" containsBlank="1" containsNumber="1" containsInteger="1" minValue="0" maxValue="9125"/>
    </cacheField>
    <cacheField name="Social work associate professionals " numFmtId="0">
      <sharedItems containsString="0" containsBlank="1" containsNumber="1" containsInteger="1" minValue="0" maxValue="68565"/>
    </cacheField>
    <cacheField name="Social work and counselling professionals " numFmtId="0">
      <sharedItems containsString="0" containsBlank="1" containsNumber="1" containsInteger="1" minValue="0" maxValue="15011"/>
    </cacheField>
    <cacheField name="Social workers" numFmtId="0">
      <sharedItems containsSemiMixedTypes="0" containsString="0" containsNumber="1" containsInteger="1" minValue="0" maxValue="68565"/>
    </cacheField>
    <cacheField name="Traditional and Complementary Medicine Associate Professionals " numFmtId="0">
      <sharedItems containsString="0" containsBlank="1" containsNumber="1" containsInteger="1" minValue="0" maxValue="99939"/>
    </cacheField>
    <cacheField name="Traditional and Complementary Medicine Professionals " numFmtId="0">
      <sharedItems containsString="0" containsBlank="1" containsNumber="1" containsInteger="1" minValue="0" maxValue="262512"/>
    </cacheField>
    <cacheField name="Traditional and complementary medicine practitioners" numFmtId="0">
      <sharedItems containsSemiMixedTypes="0" containsString="0" containsNumber="1" containsInteger="1" minValue="0" maxValue="262512"/>
    </cacheField>
    <cacheField name="Medical Doctors" numFmtId="0">
      <sharedItems containsSemiMixedTypes="0" containsString="0" containsNumber="1" containsInteger="1" minValue="0" maxValue="185038"/>
    </cacheField>
    <cacheField name="Nursing Personnel" numFmtId="0">
      <sharedItems containsSemiMixedTypes="0" containsString="0" containsNumber="1" containsInteger="1" minValue="0" maxValue="535392"/>
    </cacheField>
    <cacheField name="Midwifery personnel" numFmtId="0">
      <sharedItems containsSemiMixedTypes="0" containsString="0" containsNumber="1" containsInteger="1" minValue="0" maxValue="293574"/>
    </cacheField>
    <cacheField name="Personal care workers in health service" numFmtId="0">
      <sharedItems containsSemiMixedTypes="0" containsString="0" containsNumber="1" containsInteger="1" minValue="0" maxValue="42507"/>
    </cacheField>
    <cacheField name="Medical Doctors2" numFmtId="43">
      <sharedItems containsString="0" containsBlank="1" containsNumber="1" minValue="0" maxValue="93.264851441331388"/>
    </cacheField>
    <cacheField name="Nursing Personnel2" numFmtId="43">
      <sharedItems containsString="0" containsBlank="1" containsNumber="1" minValue="0" maxValue="215.61381557889831"/>
    </cacheField>
    <cacheField name="Midwifery personnel2" numFmtId="43">
      <sharedItems containsString="0" containsBlank="1" containsNumber="1" minValue="0" maxValue="30.649557230288739"/>
    </cacheField>
    <cacheField name="Personal care workers in health service2" numFmtId="43">
      <sharedItems containsSemiMixedTypes="0" containsString="0" containsNumber="1" minValue="0" maxValue="10.138333986015265"/>
    </cacheField>
    <cacheField name="Dentists " numFmtId="43">
      <sharedItems containsSemiMixedTypes="0" containsString="0" containsNumber="1" minValue="0" maxValue="4.107600461171506"/>
    </cacheField>
    <cacheField name="Pharmacists " numFmtId="43">
      <sharedItems containsSemiMixedTypes="0" containsString="0" containsNumber="1" minValue="0" maxValue="12.027041444796847"/>
    </cacheField>
    <cacheField name="Administrative staff 2" numFmtId="43">
      <sharedItems containsSemiMixedTypes="0" containsString="0" containsNumber="1" minValue="0" maxValue="18.951991858239882"/>
    </cacheField>
    <cacheField name="Ambulance Workers 2" numFmtId="43">
      <sharedItems containsSemiMixedTypes="0" containsString="0" containsNumber="1" minValue="0" maxValue="12.398055540482634"/>
    </cacheField>
    <cacheField name="Audiologists and Speech Therapists 2" numFmtId="43">
      <sharedItems containsSemiMixedTypes="0" containsString="0" containsNumber="1" minValue="0" maxValue="0.67971825619350534"/>
    </cacheField>
    <cacheField name="Biomedical engineer 2" numFmtId="43">
      <sharedItems containsSemiMixedTypes="0" containsString="0" containsNumber="1" minValue="0" maxValue="0.63524060796761128"/>
    </cacheField>
    <cacheField name="Community Health Workers 2" numFmtId="43">
      <sharedItems containsSemiMixedTypes="0" containsString="0" containsNumber="1" minValue="0" maxValue="66.004949006308863"/>
    </cacheField>
    <cacheField name="Dental Assistants and Therapists 2" numFmtId="43">
      <sharedItems containsSemiMixedTypes="0" containsString="0" containsNumber="1" minValue="0" maxValue="3.5449950897027485"/>
    </cacheField>
    <cacheField name="Dental Prosthetic Technicians 2" numFmtId="43">
      <sharedItems containsSemiMixedTypes="0" containsString="0" containsNumber="1" minValue="0" maxValue="1.3413494934010399"/>
    </cacheField>
    <cacheField name="Dieticians 2" numFmtId="43">
      <sharedItems containsSemiMixedTypes="0" containsString="0" containsNumber="1" minValue="0" maxValue="0.64581954239518835"/>
    </cacheField>
    <cacheField name="Dispensing Opticians 2" numFmtId="43">
      <sharedItems containsSemiMixedTypes="0" containsString="0" containsNumber="1" minValue="0" maxValue="0.37569091908087232"/>
    </cacheField>
    <cacheField name="Engineering and maintenance staff 2" numFmtId="43">
      <sharedItems containsSemiMixedTypes="0" containsString="0" containsNumber="1" minValue="0" maxValue="0.40299646883848783"/>
    </cacheField>
    <cacheField name="Environmental and Occupational Health Inspectors and Associates 2" numFmtId="43">
      <sharedItems containsSemiMixedTypes="0" containsString="0" containsNumber="1" minValue="0" maxValue="1.6610320629143991"/>
    </cacheField>
    <cacheField name="Environmental and Occupational Health and Hygiene Professionals 2" numFmtId="43">
      <sharedItems containsSemiMixedTypes="0" containsString="0" containsNumber="1" minValue="0" maxValue="2.3858522964341886"/>
    </cacheField>
    <cacheField name="Health information systems personnel 2" numFmtId="43">
      <sharedItems containsSemiMixedTypes="0" containsString="0" containsNumber="1" minValue="0" maxValue="16.21382976546737"/>
    </cacheField>
    <cacheField name="Medical Imaging and Therapeutic Equipment Technicians 2" numFmtId="43">
      <sharedItems containsSemiMixedTypes="0" containsString="0" containsNumber="1" minValue="0" maxValue="2.000843451789823"/>
    </cacheField>
    <cacheField name="Managerial staff 2" numFmtId="43">
      <sharedItems containsSemiMixedTypes="0" containsString="0" containsNumber="1" minValue="0" maxValue="4.4565484067651617"/>
    </cacheField>
    <cacheField name="Medical Assistants 2" numFmtId="43">
      <sharedItems containsSemiMixedTypes="0" containsString="0" containsNumber="1" minValue="0" maxValue="3.5688460323189375"/>
    </cacheField>
    <cacheField name="Medical and Pathology Laboratory Technicians 2" numFmtId="43">
      <sharedItems containsSemiMixedTypes="0" containsString="0" containsNumber="1" minValue="0" maxValue="4.1487916400874569"/>
    </cacheField>
    <cacheField name="Medical and Pathology Laboratory scientists 2" numFmtId="43">
      <sharedItems containsSemiMixedTypes="0" containsString="0" containsNumber="1" minValue="0" maxValue="6.8864511498433556"/>
    </cacheField>
    <cacheField name="Medical Prosthetic Technicians 2" numFmtId="43">
      <sharedItems containsSemiMixedTypes="0" containsString="0" containsNumber="1" minValue="0" maxValue="1.7423041040432168"/>
    </cacheField>
    <cacheField name="Medical Records and Health Information Technicians 2" numFmtId="43">
      <sharedItems containsSemiMixedTypes="0" containsString="0" containsNumber="1" minValue="0" maxValue="2.9088804734857114"/>
    </cacheField>
    <cacheField name="Medical secretaries 2" numFmtId="43">
      <sharedItems containsSemiMixedTypes="0" containsString="0" containsNumber="1" minValue="0" maxValue="1.1480790844666724"/>
    </cacheField>
    <cacheField name="Nutritionists 2" numFmtId="43">
      <sharedItems containsSemiMixedTypes="0" containsString="0" containsNumber="1" minValue="0" maxValue="0.6445372527832135"/>
    </cacheField>
    <cacheField name="Optometrists and Ophthalmic Opticians 2" numFmtId="43">
      <sharedItems containsSemiMixedTypes="0" containsString="0" containsNumber="1" minValue="0" maxValue="2.0663000549447976"/>
    </cacheField>
    <cacheField name="Other non-medical professional staff 2" numFmtId="43">
      <sharedItems containsSemiMixedTypes="0" containsString="0" containsNumber="1" minValue="0" maxValue="12.24805203573986"/>
    </cacheField>
    <cacheField name="Other non-medical support staff 2" numFmtId="43">
      <sharedItems containsSemiMixedTypes="0" containsString="0" containsNumber="1" minValue="0" maxValue="17.896102147238889"/>
    </cacheField>
    <cacheField name="Paramedical Practitioners 2" numFmtId="43">
      <sharedItems containsSemiMixedTypes="0" containsString="0" containsNumber="1" minValue="0" maxValue="30.165528252027588"/>
    </cacheField>
    <cacheField name="Pharmaceutical Technicians and Assistants 2" numFmtId="43">
      <sharedItems containsSemiMixedTypes="0" containsString="0" containsNumber="1" minValue="0" maxValue="6.3676206489998375"/>
    </cacheField>
    <cacheField name="Physiotherapists 2" numFmtId="43">
      <sharedItems containsSemiMixedTypes="0" containsString="0" containsNumber="1" minValue="0" maxValue="1.8784545954043617"/>
    </cacheField>
    <cacheField name="Physiotherapy Technicians and Assistants 2" numFmtId="43">
      <sharedItems containsSemiMixedTypes="0" containsString="0" containsNumber="1" minValue="0" maxValue="3.7569091908087233"/>
    </cacheField>
    <cacheField name="Psychologists 2" numFmtId="43">
      <sharedItems containsSemiMixedTypes="0" containsString="0" containsNumber="1" minValue="0" maxValue="1.5363956125255727"/>
    </cacheField>
    <cacheField name="Social work associate professionals 2" numFmtId="43">
      <sharedItems containsSemiMixedTypes="0" containsString="0" containsNumber="1" minValue="0" maxValue="3.9241413147931468"/>
    </cacheField>
    <cacheField name="Social work and counselling professionals 2" numFmtId="43">
      <sharedItems containsSemiMixedTypes="0" containsString="0" containsNumber="1" minValue="0" maxValue="2.6501905825298446"/>
    </cacheField>
    <cacheField name="Traditional and Complementary Medicine Associate Professionals 2" numFmtId="43">
      <sharedItems containsSemiMixedTypes="0" containsString="0" containsNumber="1" minValue="0" maxValue="30.312544600856082"/>
    </cacheField>
    <cacheField name="Traditional and Complementary Medicine Professionals 2" numFmtId="43">
      <sharedItems containsSemiMixedTypes="0" containsString="0" containsNumber="1" minValue="0" maxValue="15.024198714052046"/>
    </cacheField>
    <cacheField name="Nurses and midwives" numFmtId="0">
      <sharedItems containsSemiMixedTypes="0" containsString="0" containsNumber="1" containsInteger="1" minValue="0" maxValue="799236"/>
    </cacheField>
    <cacheField name="Nurses and midwives density" numFmtId="43">
      <sharedItems containsString="0" containsBlank="1" containsNumber="1" minValue="0" maxValue="246.26337280918705"/>
    </cacheField>
    <cacheField name="Doctors, Nurses and midwives" numFmtId="0">
      <sharedItems containsSemiMixedTypes="0" containsString="0" containsNumber="1" containsInteger="1" minValue="0" maxValue="967931"/>
    </cacheField>
    <cacheField name="Doctors, Nurses and midwives density" numFmtId="43">
      <sharedItems containsString="0" containsBlank="1" containsNumber="1" minValue="0" maxValue="298.34822164673466"/>
    </cacheField>
    <cacheField name="Total number of staff" numFmtId="0">
      <sharedItems containsSemiMixedTypes="0" containsString="0" containsNumber="1" containsInteger="1" minValue="0" maxValue="1564156"/>
    </cacheField>
    <cacheField name="Dentists" numFmtId="0">
      <sharedItems containsSemiMixedTypes="0" containsString="0" containsNumber="1" containsInteger="1" minValue="0" maxValue="23627"/>
    </cacheField>
    <cacheField name="Pharmacists" numFmtId="0">
      <sharedItems containsSemiMixedTypes="0" containsString="0" containsNumber="1" containsInteger="1" minValue="0" maxValue="36980"/>
    </cacheField>
    <cacheField name="Dieticians and nutritionists" numFmtId="0">
      <sharedItems containsSemiMixedTypes="0" containsString="0" containsNumber="1" containsInteger="1" minValue="0" maxValue="4038"/>
    </cacheField>
    <cacheField name="Environmental and occupational health &amp; hygiene workers" numFmtId="0">
      <sharedItems containsSemiMixedTypes="0" containsString="0" containsNumber="1" containsInteger="1" minValue="0" maxValue="203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s v="Burkina Faso"/>
    <x v="0"/>
    <n v="699018.1"/>
    <n v="17113732.499999996"/>
    <n v="24.482531282094122"/>
    <n v="38"/>
    <n v="203"/>
    <m/>
    <m/>
    <m/>
    <m/>
    <n v="2099"/>
    <m/>
    <m/>
    <m/>
    <m/>
    <m/>
    <n v="91"/>
    <m/>
    <m/>
    <n v="109"/>
    <m/>
    <m/>
    <n v="458"/>
    <m/>
    <m/>
    <n v="0"/>
    <m/>
    <m/>
    <m/>
    <m/>
    <m/>
    <m/>
    <m/>
    <n v="148"/>
    <m/>
    <m/>
    <n v="0"/>
    <m/>
    <m/>
    <m/>
    <n v="0"/>
    <m/>
    <m/>
    <n v="0"/>
    <n v="1574"/>
    <n v="12016"/>
    <n v="8902"/>
    <n v="0"/>
    <n v="0.91972922914390554"/>
    <n v="7.0212620186741859"/>
    <n v="5.2016706466575906"/>
    <n v="0"/>
    <n v="2.2204390538417034E-2"/>
    <n v="0.118618191560491"/>
    <n v="0"/>
    <n v="0"/>
    <n v="0"/>
    <n v="0"/>
    <n v="1.2265004142141409"/>
    <n v="0"/>
    <n v="0"/>
    <n v="0"/>
    <n v="0"/>
    <n v="0"/>
    <n v="5.3173672078840793E-2"/>
    <n v="0"/>
    <n v="0"/>
    <n v="6.3691541281248862E-2"/>
    <n v="0"/>
    <n v="0"/>
    <n v="0.2676213385946053"/>
    <n v="0"/>
    <n v="0"/>
    <n v="0"/>
    <n v="0"/>
    <n v="0"/>
    <n v="0"/>
    <n v="0"/>
    <n v="0"/>
    <n v="0"/>
    <n v="8.6480257886466336E-2"/>
    <n v="0"/>
    <n v="0"/>
    <n v="0"/>
    <n v="0"/>
    <n v="0"/>
    <n v="0"/>
    <n v="0"/>
    <n v="20918"/>
    <n v="12.222932665331776"/>
    <n v="22492"/>
    <n v="13.142661894475681"/>
    <n v="25638"/>
    <n v="39"/>
    <n v="785"/>
    <n v="128"/>
    <n v="1791"/>
  </r>
  <r>
    <x v="1"/>
    <s v="Burkina Faso"/>
    <x v="0"/>
    <n v="712157.2"/>
    <n v="17636407.5"/>
    <n v="24.764767526046217"/>
    <m/>
    <n v="20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06"/>
    <n v="12392"/>
    <n v="3182"/>
    <n v="0"/>
    <n v="0.91061629189504723"/>
    <n v="7.0263742771876867"/>
    <n v="1.8042223168182068"/>
    <n v="0"/>
    <n v="0"/>
    <n v="0.11737084210602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74"/>
    <n v="8.8305965940058933"/>
    <n v="17180"/>
    <n v="9.741212885900941"/>
    <n v="17387"/>
    <n v="0"/>
    <n v="0"/>
    <n v="0"/>
    <n v="0"/>
  </r>
  <r>
    <x v="2"/>
    <s v="Burkina Faso"/>
    <x v="0"/>
    <n v="722847.5"/>
    <n v="18169842.499999996"/>
    <n v="25.136481069658533"/>
    <m/>
    <n v="21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18"/>
    <n v="12716"/>
    <n v="3488"/>
    <n v="0"/>
    <n v="1.0005590307125669"/>
    <n v="6.9984095899565464"/>
    <n v="1.9196644109600844"/>
    <n v="0"/>
    <n v="0"/>
    <n v="0.11942866318186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04"/>
    <n v="8.9180740009166311"/>
    <n v="18022"/>
    <n v="9.9186330316291969"/>
    <n v="18239"/>
    <n v="0"/>
    <n v="0"/>
    <n v="0"/>
    <n v="0"/>
  </r>
  <r>
    <x v="3"/>
    <s v="Burkina Faso"/>
    <x v="0"/>
    <n v="731106.9"/>
    <n v="18718019.499999996"/>
    <n v="25.602301797452597"/>
    <m/>
    <n v="25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378"/>
    <n v="19496"/>
    <n v="4766"/>
    <n v="0"/>
    <n v="1.2704335520112053"/>
    <n v="10.415631846093548"/>
    <n v="2.5462095495733408"/>
    <n v="0"/>
    <n v="0"/>
    <n v="0.13783509521399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62"/>
    <n v="12.961841395666889"/>
    <n v="26640"/>
    <n v="14.232274947678095"/>
    <n v="26898"/>
    <n v="392"/>
    <n v="1184"/>
    <n v="1688"/>
    <n v="718"/>
  </r>
  <r>
    <x v="4"/>
    <s v="Burkina Faso"/>
    <x v="0"/>
    <n v="735658.4"/>
    <n v="19275497.999999981"/>
    <n v="26.201696330796985"/>
    <m/>
    <n v="23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404"/>
    <n v="19402"/>
    <n v="5160"/>
    <n v="0"/>
    <n v="1.2471791909085836"/>
    <n v="10.065628395178178"/>
    <n v="2.6769736377239153"/>
    <n v="0"/>
    <n v="0"/>
    <n v="0.12191643505137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62"/>
    <n v="12.742602032902093"/>
    <n v="26966"/>
    <n v="13.989781223810677"/>
    <n v="27201"/>
    <n v="466"/>
    <n v="17091"/>
    <n v="940"/>
    <n v="2367"/>
  </r>
  <r>
    <x v="5"/>
    <s v="Burkina Faso"/>
    <x v="0"/>
    <n v="737568.4"/>
    <n v="19835858.500000007"/>
    <n v="26.893585055975834"/>
    <n v="80"/>
    <n v="284"/>
    <m/>
    <m/>
    <m/>
    <m/>
    <n v="2749"/>
    <m/>
    <m/>
    <m/>
    <m/>
    <m/>
    <m/>
    <n v="160"/>
    <m/>
    <m/>
    <m/>
    <m/>
    <m/>
    <n v="699"/>
    <n v="3"/>
    <n v="3"/>
    <m/>
    <n v="4"/>
    <n v="19"/>
    <n v="3"/>
    <m/>
    <m/>
    <m/>
    <n v="156"/>
    <n v="18"/>
    <m/>
    <n v="18"/>
    <m/>
    <m/>
    <m/>
    <n v="0"/>
    <m/>
    <n v="336"/>
    <n v="336"/>
    <n v="3990"/>
    <n v="20752"/>
    <n v="13138"/>
    <n v="0"/>
    <n v="2.0115086019594255"/>
    <n v="10.461861280165914"/>
    <n v="6.6233583991335667"/>
    <n v="0"/>
    <n v="4.0330999538033589E-2"/>
    <n v="0.14317504836001926"/>
    <n v="0"/>
    <n v="0"/>
    <n v="0"/>
    <n v="0"/>
    <n v="1.3858739716256794"/>
    <n v="0"/>
    <n v="0"/>
    <n v="0"/>
    <n v="0"/>
    <n v="0"/>
    <n v="0"/>
    <n v="8.0661999076067178E-2"/>
    <n v="0"/>
    <n v="0"/>
    <n v="0"/>
    <n v="0"/>
    <n v="0"/>
    <n v="0.3523921084635685"/>
    <n v="1.5124124826762597E-3"/>
    <n v="0"/>
    <n v="2.0165499769016796E-3"/>
    <n v="9.578612390282978E-3"/>
    <n v="1.5124124826762597E-3"/>
    <n v="0"/>
    <n v="0"/>
    <n v="0"/>
    <n v="7.8645449099165501E-2"/>
    <n v="9.0744748960575588E-3"/>
    <n v="0"/>
    <n v="0"/>
    <n v="0"/>
    <n v="0"/>
    <n v="0"/>
    <n v="0.16939019805974109"/>
    <n v="33890"/>
    <n v="17.085219679299481"/>
    <n v="37880"/>
    <n v="19.096728281258905"/>
    <n v="42748"/>
    <n v="5048"/>
    <n v="20603"/>
    <n v="0"/>
    <n v="20392"/>
  </r>
  <r>
    <x v="6"/>
    <s v="Burkina Faso"/>
    <x v="0"/>
    <n v="743373"/>
    <n v="20392723"/>
    <n v="27.432692605192816"/>
    <n v="91"/>
    <n v="239"/>
    <m/>
    <m/>
    <m/>
    <m/>
    <m/>
    <n v="185"/>
    <n v="2"/>
    <m/>
    <m/>
    <m/>
    <m/>
    <m/>
    <m/>
    <m/>
    <m/>
    <m/>
    <m/>
    <n v="648"/>
    <m/>
    <n v="2"/>
    <m/>
    <m/>
    <m/>
    <m/>
    <m/>
    <m/>
    <m/>
    <m/>
    <m/>
    <m/>
    <n v="0"/>
    <m/>
    <m/>
    <m/>
    <n v="0"/>
    <m/>
    <m/>
    <n v="0"/>
    <n v="3368"/>
    <n v="0"/>
    <n v="0"/>
    <n v="0"/>
    <n v="1.651569532916227"/>
    <n v="0"/>
    <n v="0"/>
    <n v="0"/>
    <n v="4.4623761132831549E-2"/>
    <n v="0.11719866934886528"/>
    <n v="0"/>
    <n v="0"/>
    <n v="0"/>
    <n v="0"/>
    <n v="0"/>
    <n v="9.0718635270042161E-2"/>
    <n v="9.8074200291937475E-4"/>
    <n v="0"/>
    <n v="0"/>
    <n v="0"/>
    <n v="0"/>
    <n v="0"/>
    <n v="0"/>
    <n v="0"/>
    <n v="0"/>
    <n v="0"/>
    <n v="0"/>
    <n v="0.31776040894587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8"/>
    <m/>
    <n v="4535"/>
    <n v="111"/>
    <n v="401"/>
    <n v="0"/>
    <n v="157"/>
  </r>
  <r>
    <x v="7"/>
    <s v="Burkina Faso"/>
    <x v="0"/>
    <n v="752782.1"/>
    <n v="20951638.999999996"/>
    <n v="27.832275767449833"/>
    <n v="52"/>
    <n v="313"/>
    <n v="811"/>
    <n v="200"/>
    <m/>
    <n v="7"/>
    <n v="2979"/>
    <n v="143"/>
    <m/>
    <m/>
    <m/>
    <n v="6"/>
    <n v="1348"/>
    <n v="222"/>
    <n v="174"/>
    <n v="191"/>
    <m/>
    <m/>
    <m/>
    <n v="800"/>
    <n v="143"/>
    <n v="143"/>
    <m/>
    <n v="15"/>
    <n v="21"/>
    <m/>
    <n v="22"/>
    <n v="2079"/>
    <m/>
    <n v="192"/>
    <m/>
    <m/>
    <n v="0"/>
    <n v="8"/>
    <n v="6"/>
    <n v="28"/>
    <n v="34"/>
    <n v="335"/>
    <n v="1"/>
    <n v="336"/>
    <n v="5397"/>
    <n v="22728"/>
    <n v="14954"/>
    <n v="0"/>
    <n v="2.5759321263601387"/>
    <n v="10.847838682214793"/>
    <n v="7.1373891083174934"/>
    <n v="0"/>
    <n v="2.4819060694965204E-2"/>
    <n v="0.14939165379854055"/>
    <n v="0.38708188891570733"/>
    <n v="9.5457925749866168E-2"/>
    <n v="0"/>
    <n v="3.3410274012453159E-3"/>
    <n v="1.4218458040442568"/>
    <n v="6.8252416911154315E-2"/>
    <n v="0"/>
    <n v="0"/>
    <n v="0"/>
    <n v="2.863737772495985E-3"/>
    <n v="0.64338641955409803"/>
    <n v="0.10595829758235145"/>
    <n v="8.3048395402383568E-2"/>
    <n v="9.1162319091122199E-2"/>
    <n v="0"/>
    <n v="0"/>
    <n v="0"/>
    <n v="0.38183170299946467"/>
    <n v="6.8252416911154315E-2"/>
    <n v="0"/>
    <n v="7.1593444312399628E-3"/>
    <n v="1.0023082203735947E-2"/>
    <n v="0"/>
    <n v="1.0500371832485278E-2"/>
    <n v="0.99228513816985886"/>
    <n v="0"/>
    <n v="9.1639608719871521E-2"/>
    <n v="0"/>
    <n v="0"/>
    <n v="3.8183170299946468E-3"/>
    <n v="2.863737772495985E-3"/>
    <n v="1.3364109604981264E-2"/>
    <n v="0.15989202563102584"/>
    <n v="4.7728962874933086E-4"/>
    <n v="37682"/>
    <n v="17.985227790532285"/>
    <n v="43079"/>
    <n v="20.561159916892425"/>
    <n v="53688"/>
    <n v="131"/>
    <n v="85"/>
    <n v="0"/>
    <n v="0"/>
  </r>
  <r>
    <x v="8"/>
    <s v="Burkina Faso"/>
    <x v="0"/>
    <n v="761670.7"/>
    <n v="21522625.999999993"/>
    <n v="28.257127391141598"/>
    <n v="103"/>
    <n v="718"/>
    <m/>
    <m/>
    <m/>
    <n v="8"/>
    <n v="2923"/>
    <n v="172"/>
    <m/>
    <m/>
    <m/>
    <m/>
    <m/>
    <n v="275"/>
    <m/>
    <n v="274"/>
    <m/>
    <m/>
    <m/>
    <n v="906"/>
    <m/>
    <n v="0"/>
    <m/>
    <n v="16"/>
    <n v="31"/>
    <n v="3"/>
    <m/>
    <m/>
    <m/>
    <n v="203"/>
    <n v="22"/>
    <m/>
    <n v="22"/>
    <n v="8"/>
    <m/>
    <m/>
    <n v="0"/>
    <m/>
    <m/>
    <n v="0"/>
    <n v="4360"/>
    <n v="23748"/>
    <n v="15608"/>
    <n v="68"/>
    <n v="2.0257751075542556"/>
    <n v="11.033969553715243"/>
    <n v="7.2519031831896372"/>
    <n v="3.1594657640754441E-2"/>
    <n v="4.7856613779378054E-2"/>
    <n v="0.33360241450090722"/>
    <n v="0"/>
    <n v="0"/>
    <n v="0"/>
    <n v="3.7170185459711111E-3"/>
    <n v="1.3581056512341947"/>
    <n v="7.9915898738378885E-2"/>
    <n v="0"/>
    <n v="0"/>
    <n v="0"/>
    <n v="0"/>
    <n v="0"/>
    <n v="0.12777251251775693"/>
    <n v="0"/>
    <n v="0.12730788519951056"/>
    <n v="0"/>
    <n v="0"/>
    <n v="0"/>
    <n v="0.4209523503312283"/>
    <n v="0"/>
    <n v="0"/>
    <n v="7.4340370919422222E-3"/>
    <n v="1.4403446865638055E-2"/>
    <n v="1.3938819547391667E-3"/>
    <n v="0"/>
    <n v="0"/>
    <n v="0"/>
    <n v="9.4319345604016946E-2"/>
    <n v="1.0221801001420555E-2"/>
    <n v="0"/>
    <n v="3.7170185459711111E-3"/>
    <n v="0"/>
    <n v="0"/>
    <n v="0"/>
    <n v="0"/>
    <n v="39356"/>
    <n v="18.285872736904881"/>
    <n v="43716"/>
    <n v="20.311647844459134"/>
    <n v="49468"/>
    <n v="0"/>
    <n v="0"/>
    <n v="0"/>
    <n v="0"/>
  </r>
  <r>
    <x v="9"/>
    <s v="Burkina Faso"/>
    <x v="0"/>
    <n v="770961.1"/>
    <n v="22100683.499999989"/>
    <n v="28.666405477526673"/>
    <n v="107"/>
    <n v="691"/>
    <m/>
    <m/>
    <m/>
    <m/>
    <n v="2947"/>
    <n v="168"/>
    <m/>
    <m/>
    <m/>
    <n v="19"/>
    <m/>
    <m/>
    <m/>
    <n v="209"/>
    <m/>
    <n v="8"/>
    <m/>
    <n v="899"/>
    <m/>
    <n v="0"/>
    <m/>
    <n v="16"/>
    <n v="35"/>
    <n v="3"/>
    <m/>
    <m/>
    <m/>
    <n v="203"/>
    <m/>
    <n v="47"/>
    <n v="47"/>
    <n v="8"/>
    <m/>
    <m/>
    <n v="0"/>
    <m/>
    <n v="50"/>
    <n v="50"/>
    <n v="4684"/>
    <n v="24378"/>
    <n v="16104"/>
    <n v="0"/>
    <n v="2.1193914658793256"/>
    <n v="11.030428086081598"/>
    <n v="7.2866524693682022"/>
    <n v="0"/>
    <n v="4.8414792239344112E-2"/>
    <n v="0.31266001343352134"/>
    <n v="0"/>
    <n v="0"/>
    <n v="0"/>
    <n v="0"/>
    <n v="1.3334429227041786"/>
    <n v="7.6015748562708513E-2"/>
    <n v="0"/>
    <n v="0"/>
    <n v="0"/>
    <n v="8.5970191826872724E-3"/>
    <n v="0"/>
    <n v="0"/>
    <n v="0"/>
    <n v="9.4567211009560004E-2"/>
    <n v="0"/>
    <n v="3.6197975506051675E-3"/>
    <n v="0"/>
    <n v="0.4067747497492557"/>
    <n v="0"/>
    <n v="0"/>
    <n v="7.239595101210335E-3"/>
    <n v="1.5836614283897609E-2"/>
    <n v="1.3574240814769379E-3"/>
    <n v="0"/>
    <n v="0"/>
    <n v="0"/>
    <n v="9.1852362846606125E-2"/>
    <n v="0"/>
    <n v="2.1266310609805359E-2"/>
    <n v="3.6197975506051675E-3"/>
    <n v="0"/>
    <n v="0"/>
    <n v="0"/>
    <n v="2.2623734691282298E-2"/>
    <n v="40482"/>
    <n v="18.317080555449799"/>
    <n v="45166"/>
    <n v="20.436472021329124"/>
    <n v="50673"/>
    <n v="80"/>
    <n v="232"/>
    <n v="15"/>
    <n v="31"/>
  </r>
  <r>
    <x v="10"/>
    <s v="Burkina Faso"/>
    <x v="0"/>
    <n v="780085.6"/>
    <n v="22673762.000000007"/>
    <n v="29.065735862833524"/>
    <n v="39"/>
    <n v="575"/>
    <m/>
    <n v="275"/>
    <m/>
    <n v="18"/>
    <n v="3145"/>
    <m/>
    <n v="7"/>
    <n v="57"/>
    <m/>
    <m/>
    <m/>
    <n v="1791"/>
    <m/>
    <m/>
    <m/>
    <m/>
    <m/>
    <m/>
    <n v="7"/>
    <n v="14"/>
    <n v="44"/>
    <n v="2"/>
    <n v="71"/>
    <n v="2"/>
    <m/>
    <m/>
    <n v="1698"/>
    <n v="210"/>
    <m/>
    <m/>
    <n v="0"/>
    <n v="9"/>
    <m/>
    <n v="39"/>
    <n v="39"/>
    <m/>
    <m/>
    <n v="0"/>
    <n v="7587"/>
    <n v="27922"/>
    <n v="18588"/>
    <n v="886"/>
    <n v="3.3461584363459393"/>
    <n v="12.314674556432228"/>
    <n v="8.1980220132856623"/>
    <n v="0.39076003355773059"/>
    <n v="1.7200498091141641E-2"/>
    <n v="0.25359708724119084"/>
    <n v="0"/>
    <n v="0.12128556346317823"/>
    <n v="0"/>
    <n v="7.9386914266807579E-3"/>
    <n v="1.3870658076061657"/>
    <n v="0"/>
    <n v="3.0872688881536277E-3"/>
    <n v="2.5139189517822399E-2"/>
    <n v="0"/>
    <n v="0"/>
    <n v="0"/>
    <n v="0.78989979695473533"/>
    <n v="0"/>
    <n v="0"/>
    <n v="0"/>
    <n v="0"/>
    <n v="0"/>
    <n v="0"/>
    <n v="3.0872688881536277E-3"/>
    <n v="1.9405690154108517E-2"/>
    <n v="8.8207682518675083E-4"/>
    <n v="3.1313727294129651E-2"/>
    <n v="8.8207682518675083E-4"/>
    <n v="0"/>
    <n v="0"/>
    <n v="0.74888322458355139"/>
    <n v="9.2618066644608837E-2"/>
    <n v="0"/>
    <n v="0"/>
    <n v="3.9693457133403789E-3"/>
    <n v="0"/>
    <n v="1.7200498091141641E-2"/>
    <n v="0"/>
    <n v="0"/>
    <n v="46510"/>
    <n v="20.512696569717889"/>
    <n v="54097"/>
    <n v="23.85885500606383"/>
    <n v="63025"/>
    <n v="0"/>
    <n v="0"/>
    <n v="0"/>
    <n v="0"/>
  </r>
  <r>
    <x v="0"/>
    <s v="Central African Republic"/>
    <x v="1"/>
    <n v="196643.20000000001"/>
    <n v="4773305.4999999991"/>
    <n v="24.27394133130460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"/>
    <n v="1603"/>
    <n v="15"/>
    <n v="11"/>
  </r>
  <r>
    <x v="1"/>
    <s v="Central African Republic"/>
    <x v="1"/>
    <n v="196632.4"/>
    <n v="4802428.5000000065"/>
    <n v="24.42338343019770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028"/>
    <n v="0"/>
    <n v="0"/>
    <n v="0"/>
    <n v="2.140583665118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8"/>
    <n v="2.140583665118593"/>
    <n v="1028"/>
    <n v="2.140583665118593"/>
    <n v="1028"/>
    <n v="50"/>
    <n v="382"/>
    <n v="44"/>
    <n v="257"/>
  </r>
  <r>
    <x v="2"/>
    <s v="Central African Republic"/>
    <x v="1"/>
    <n v="194995.3"/>
    <n v="4798734.5"/>
    <n v="24.60948802355749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"/>
    <n v="0"/>
    <n v="0"/>
    <n v="0"/>
    <n v="3.542600658569462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m/>
    <n v="17"/>
    <n v="110"/>
    <n v="574"/>
    <n v="44"/>
    <n v="0"/>
  </r>
  <r>
    <x v="3"/>
    <s v="Central African Republic"/>
    <x v="1"/>
    <n v="192500.5"/>
    <n v="4819332.9999999991"/>
    <n v="25.035431076802393"/>
    <m/>
    <n v="20"/>
    <n v="734"/>
    <m/>
    <m/>
    <n v="109"/>
    <m/>
    <m/>
    <m/>
    <m/>
    <m/>
    <m/>
    <n v="85"/>
    <m/>
    <m/>
    <m/>
    <m/>
    <m/>
    <m/>
    <m/>
    <m/>
    <n v="0"/>
    <m/>
    <m/>
    <m/>
    <m/>
    <m/>
    <m/>
    <m/>
    <m/>
    <m/>
    <m/>
    <n v="0"/>
    <m/>
    <m/>
    <n v="83"/>
    <n v="83"/>
    <m/>
    <m/>
    <n v="0"/>
    <n v="648"/>
    <n v="644"/>
    <n v="1210"/>
    <n v="0"/>
    <n v="1.3445844061823495"/>
    <n v="1.3362845024404832"/>
    <n v="2.5107208819145725"/>
    <n v="0"/>
    <n v="0"/>
    <n v="4.149951870933178E-2"/>
    <n v="1.5230323366324763"/>
    <n v="0"/>
    <n v="0"/>
    <n v="0.22617237696585818"/>
    <n v="0"/>
    <n v="0"/>
    <n v="0"/>
    <n v="0"/>
    <n v="0"/>
    <n v="0"/>
    <n v="0.17637295451466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222300264372686"/>
    <n v="0"/>
    <n v="0"/>
    <n v="1854"/>
    <n v="3.8470053843550556"/>
    <n v="2502"/>
    <n v="5.1915897905374049"/>
    <n v="3616"/>
    <n v="0"/>
    <n v="0"/>
    <n v="0"/>
    <n v="0"/>
  </r>
  <r>
    <x v="4"/>
    <s v="Central African Republic"/>
    <x v="1"/>
    <n v="193339.6"/>
    <n v="4904177.5000000019"/>
    <n v="25.3656131490910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9"/>
    <n v="11"/>
    <n v="0"/>
  </r>
  <r>
    <x v="5"/>
    <s v="Central African Republic"/>
    <x v="1"/>
    <n v="198589"/>
    <n v="4996741.0000000009"/>
    <n v="25.16121738867712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971"/>
    <n v="55"/>
    <n v="669"/>
  </r>
  <r>
    <x v="6"/>
    <s v="Central African Republic"/>
    <x v="1"/>
    <n v="204196.5"/>
    <n v="5094779.9999999991"/>
    <n v="24.950378679360316"/>
    <n v="10"/>
    <n v="36"/>
    <m/>
    <m/>
    <m/>
    <m/>
    <n v="115"/>
    <m/>
    <n v="1"/>
    <m/>
    <m/>
    <m/>
    <m/>
    <m/>
    <m/>
    <m/>
    <m/>
    <m/>
    <m/>
    <n v="112"/>
    <m/>
    <n v="1"/>
    <m/>
    <m/>
    <m/>
    <m/>
    <m/>
    <m/>
    <m/>
    <m/>
    <m/>
    <m/>
    <n v="0"/>
    <m/>
    <m/>
    <m/>
    <n v="0"/>
    <m/>
    <m/>
    <n v="0"/>
    <n v="670"/>
    <n v="2390"/>
    <n v="0"/>
    <n v="0"/>
    <n v="1.3150715045595691"/>
    <n v="4.6910759640259254"/>
    <n v="0"/>
    <n v="0"/>
    <n v="1.9627932903874164E-2"/>
    <n v="7.0660558453946989E-2"/>
    <n v="0"/>
    <n v="0"/>
    <n v="0"/>
    <n v="0"/>
    <n v="0.22572122839455289"/>
    <n v="0"/>
    <n v="1.9627932903874164E-3"/>
    <n v="0"/>
    <n v="0"/>
    <n v="0"/>
    <n v="0"/>
    <n v="0"/>
    <n v="0"/>
    <n v="0"/>
    <n v="0"/>
    <n v="0"/>
    <n v="0"/>
    <n v="0.21983284852339066"/>
    <n v="0"/>
    <n v="0"/>
    <n v="0"/>
    <n v="0"/>
    <n v="0"/>
    <n v="0"/>
    <n v="0"/>
    <n v="0"/>
    <n v="0"/>
    <n v="0"/>
    <n v="0"/>
    <n v="0"/>
    <n v="0"/>
    <n v="0"/>
    <n v="0"/>
    <n v="0"/>
    <n v="2390"/>
    <n v="4.6910759640259254"/>
    <n v="3060"/>
    <n v="6.0061474685854943"/>
    <n v="3335"/>
    <n v="21"/>
    <n v="483"/>
    <n v="77"/>
    <n v="0"/>
  </r>
  <r>
    <x v="7"/>
    <s v="Central African Republic"/>
    <x v="1"/>
    <n v="209572.8"/>
    <n v="5209324.4999999963"/>
    <n v="24.8568731247566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"/>
    <n v="1362"/>
    <n v="0"/>
    <n v="0"/>
  </r>
  <r>
    <x v="8"/>
    <s v="Central African Republic"/>
    <x v="1"/>
    <n v="215791.4"/>
    <n v="5343019.9999999991"/>
    <n v="24.7601155560416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0"/>
  </r>
  <r>
    <x v="9"/>
    <s v="Central African Republic"/>
    <x v="1"/>
    <n v="223125.3"/>
    <n v="5457154.4999999991"/>
    <n v="24.457802409677431"/>
    <n v="2"/>
    <n v="2"/>
    <n v="12"/>
    <m/>
    <m/>
    <m/>
    <n v="1595"/>
    <m/>
    <m/>
    <m/>
    <m/>
    <m/>
    <n v="39"/>
    <n v="25"/>
    <m/>
    <m/>
    <m/>
    <m/>
    <n v="47"/>
    <m/>
    <m/>
    <n v="0"/>
    <m/>
    <m/>
    <m/>
    <m/>
    <m/>
    <m/>
    <m/>
    <m/>
    <m/>
    <n v="155"/>
    <n v="155"/>
    <m/>
    <m/>
    <m/>
    <n v="0"/>
    <m/>
    <m/>
    <n v="0"/>
    <n v="561"/>
    <n v="1010"/>
    <n v="1074"/>
    <n v="308"/>
    <n v="1.0280082779404542"/>
    <n v="1.8507813916575024"/>
    <n v="1.9680586283565917"/>
    <n v="0.56439670161436706"/>
    <n v="3.6649136468465396E-3"/>
    <n v="3.6649136468465396E-3"/>
    <n v="2.1989481881079236E-2"/>
    <n v="0"/>
    <n v="0"/>
    <n v="0"/>
    <n v="2.9227686333601151"/>
    <n v="0"/>
    <n v="0"/>
    <n v="0"/>
    <n v="0"/>
    <n v="0"/>
    <n v="7.1465816113507524E-2"/>
    <n v="4.5811420585581741E-2"/>
    <n v="0"/>
    <n v="0"/>
    <n v="0"/>
    <n v="0"/>
    <n v="8.6125470700893672E-2"/>
    <n v="0"/>
    <n v="0"/>
    <n v="0"/>
    <n v="0"/>
    <n v="0"/>
    <n v="0"/>
    <n v="0"/>
    <n v="0"/>
    <n v="0"/>
    <n v="0"/>
    <n v="0"/>
    <n v="0.28403080763060679"/>
    <n v="0"/>
    <n v="0"/>
    <n v="0"/>
    <n v="0"/>
    <n v="0"/>
    <n v="2084"/>
    <n v="3.8188400200140942"/>
    <n v="2645"/>
    <n v="4.8468482979545486"/>
    <n v="4985"/>
    <n v="0"/>
    <n v="0"/>
    <n v="0"/>
    <n v="0"/>
  </r>
  <r>
    <x v="10"/>
    <s v="Central African Republic"/>
    <x v="1"/>
    <n v="228677.8"/>
    <n v="5579143.5000000047"/>
    <n v="24.39739887299949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8"/>
    <n v="2695"/>
    <n v="1634"/>
    <n v="47"/>
  </r>
  <r>
    <x v="0"/>
    <s v="Democratic Republic of Sao Tome and Principe"/>
    <x v="2"/>
    <n v="6575.5"/>
    <n v="189924.5"/>
    <n v="28.88365903733556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0"/>
  </r>
  <r>
    <x v="1"/>
    <s v="Democratic Republic of Sao Tome and Principe"/>
    <x v="2"/>
    <n v="6883.1"/>
    <n v="193756.99999999997"/>
    <n v="28.14967093315511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62"/>
    <n v="0"/>
    <n v="0"/>
    <n v="0"/>
    <n v="3.1998843912736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3.1998843912736059"/>
    <n v="62"/>
    <n v="3.1998843912736059"/>
    <n v="62"/>
    <n v="22"/>
    <n v="82"/>
    <n v="4"/>
    <n v="24"/>
  </r>
  <r>
    <x v="2"/>
    <s v="Democratic Republic of Sao Tome and Principe"/>
    <x v="2"/>
    <n v="6820.9"/>
    <n v="197496.99999999994"/>
    <n v="28.9546833995513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2683"/>
    <n v="2217"/>
    <n v="4286"/>
  </r>
  <r>
    <x v="3"/>
    <s v="Democratic Republic of Sao Tome and Principe"/>
    <x v="2"/>
    <n v="6722.6"/>
    <n v="201123.50000000012"/>
    <n v="29.9175170321006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6"/>
    <n v="884"/>
    <n v="0"/>
    <n v="0"/>
    <n v="6.2648074441823018"/>
    <n v="43.953093497279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"/>
    <n v="43.953093497279006"/>
    <n v="1010"/>
    <n v="50.217900941461309"/>
    <n v="1010"/>
    <n v="6"/>
    <n v="617"/>
    <n v="0"/>
    <n v="0"/>
  </r>
  <r>
    <x v="4"/>
    <s v="Democratic Republic of Sao Tome and Principe"/>
    <x v="2"/>
    <n v="6608.2"/>
    <n v="204632.49999999985"/>
    <n v="30.96645077328165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"/>
    <n v="27"/>
    <n v="0"/>
    <n v="0"/>
  </r>
  <r>
    <x v="5"/>
    <s v="Democratic Republic of Sao Tome and Principe"/>
    <x v="2"/>
    <n v="6489.7"/>
    <n v="208036.50000000012"/>
    <n v="32.0564124689893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"/>
    <n v="821"/>
    <n v="61"/>
    <n v="548"/>
  </r>
  <r>
    <x v="6"/>
    <s v="Democratic Republic of Sao Tome and Principe"/>
    <x v="2"/>
    <n v="6389.2"/>
    <n v="211344"/>
    <n v="33.0783196644337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12"/>
    <n v="0"/>
    <n v="0"/>
    <n v="0"/>
    <n v="38.420773714891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2"/>
    <n v="38.420773714891361"/>
    <n v="812"/>
    <n v="38.420773714891361"/>
    <n v="812"/>
    <n v="0"/>
    <n v="1721"/>
    <n v="0"/>
    <n v="0"/>
  </r>
  <r>
    <x v="7"/>
    <s v="Democratic Republic of Sao Tome and Principe"/>
    <x v="2"/>
    <n v="6338.5"/>
    <n v="214599.00000000006"/>
    <n v="33.856432909994489"/>
    <n v="6"/>
    <n v="3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13"/>
    <n v="880"/>
    <n v="44"/>
    <n v="0"/>
    <n v="9.9254889351767694"/>
    <n v="41.006714849556602"/>
    <n v="2.0503357424778303"/>
    <n v="0"/>
    <n v="0.27959123761061322"/>
    <n v="1.7241459652654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4"/>
    <n v="43.057050592034436"/>
    <n v="1137"/>
    <n v="52.982539527211202"/>
    <n v="1180"/>
    <n v="78"/>
    <n v="349"/>
    <n v="14"/>
    <n v="26"/>
  </r>
  <r>
    <x v="8"/>
    <s v="Democratic Republic of Sao Tome and Principe"/>
    <x v="2"/>
    <n v="6343.5"/>
    <n v="218640.99999999997"/>
    <n v="34.46693465752344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"/>
    <n v="3797"/>
    <n v="1344"/>
    <n v="0"/>
  </r>
  <r>
    <x v="9"/>
    <s v="Democratic Republic of Sao Tome and Principe"/>
    <x v="2"/>
    <n v="6406.9"/>
    <n v="223107.49999999991"/>
    <n v="34.82300332454072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"/>
    <n v="1057"/>
    <n v="44"/>
    <n v="245"/>
  </r>
  <r>
    <x v="10"/>
    <s v="Democratic Republic of Sao Tome and Principe"/>
    <x v="2"/>
    <n v="6481.1"/>
    <n v="227379.5"/>
    <n v="35.0834734844393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mocratic Republic of the Congo"/>
    <x v="3"/>
    <n v="3026941"/>
    <n v="70997869.50000006"/>
    <n v="23.4553199087792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409"/>
    <n v="19"/>
    <n v="634"/>
  </r>
  <r>
    <x v="1"/>
    <s v="Democratic Republic of the Congo"/>
    <x v="3"/>
    <n v="3118004.4"/>
    <n v="73460021"/>
    <n v="23.559947830734298"/>
    <m/>
    <n v="283"/>
    <m/>
    <m/>
    <m/>
    <m/>
    <m/>
    <m/>
    <m/>
    <m/>
    <m/>
    <m/>
    <m/>
    <m/>
    <m/>
    <n v="287"/>
    <m/>
    <m/>
    <m/>
    <n v="2126"/>
    <m/>
    <n v="0"/>
    <m/>
    <m/>
    <n v="582"/>
    <m/>
    <m/>
    <m/>
    <m/>
    <m/>
    <m/>
    <m/>
    <n v="0"/>
    <m/>
    <m/>
    <m/>
    <n v="0"/>
    <m/>
    <m/>
    <n v="0"/>
    <n v="12836"/>
    <n v="119626"/>
    <n v="3110"/>
    <n v="0"/>
    <n v="1.7473449946332034"/>
    <n v="16.284503920846959"/>
    <n v="0.42335953048529623"/>
    <n v="0"/>
    <n v="0"/>
    <n v="3.8524355989498014E-2"/>
    <n v="0"/>
    <n v="0"/>
    <n v="0"/>
    <n v="0"/>
    <n v="0"/>
    <n v="0"/>
    <n v="0"/>
    <n v="0"/>
    <n v="0"/>
    <n v="0"/>
    <n v="0"/>
    <n v="0"/>
    <n v="0"/>
    <n v="3.9068869855073962E-2"/>
    <n v="0"/>
    <n v="0"/>
    <n v="0"/>
    <n v="0.28940911955361409"/>
    <n v="0"/>
    <n v="0"/>
    <n v="0"/>
    <n v="7.9226767441299806E-2"/>
    <n v="0"/>
    <n v="0"/>
    <n v="0"/>
    <n v="0"/>
    <n v="0"/>
    <n v="0"/>
    <n v="0"/>
    <n v="0"/>
    <n v="0"/>
    <n v="0"/>
    <n v="0"/>
    <n v="0"/>
    <n v="122736"/>
    <n v="16.707863451332255"/>
    <n v="135572"/>
    <n v="18.455208445965461"/>
    <n v="138850"/>
    <n v="44"/>
    <n v="35"/>
    <n v="0"/>
    <n v="0"/>
  </r>
  <r>
    <x v="2"/>
    <s v="Democratic Republic of the Congo"/>
    <x v="3"/>
    <n v="3207143.3"/>
    <n v="76035588.49999994"/>
    <n v="23.708198040293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177"/>
    <n v="361"/>
    <n v="163"/>
  </r>
  <r>
    <x v="3"/>
    <s v="Democratic Republic of the Congo"/>
    <x v="3"/>
    <n v="3300775.6"/>
    <n v="78656903.50000006"/>
    <n v="23.8298245721399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44540"/>
    <n v="0"/>
    <n v="0"/>
    <n v="0"/>
    <n v="18.376009424271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540"/>
    <n v="18.376009424271309"/>
    <n v="144540"/>
    <n v="18.376009424271309"/>
    <n v="144540"/>
    <n v="2898"/>
    <n v="3609"/>
    <n v="2192"/>
    <n v="1168"/>
  </r>
  <r>
    <x v="4"/>
    <s v="Democratic Republic of the Congo"/>
    <x v="3"/>
    <n v="3397335.8"/>
    <n v="81430976.499999985"/>
    <n v="23.969069086429428"/>
    <n v="147"/>
    <n v="40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00"/>
    <n v="89794"/>
    <n v="3586"/>
    <n v="0"/>
    <n v="2.4560678085445781E-2"/>
    <n v="11.027007640022592"/>
    <n v="0.44037295807204285"/>
    <n v="0"/>
    <n v="1.8052098392802651E-2"/>
    <n v="4.961256973260047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380"/>
    <n v="11.467380598094636"/>
    <n v="93580"/>
    <n v="11.49194127618008"/>
    <n v="94131"/>
    <n v="0"/>
    <n v="0"/>
    <n v="0"/>
    <n v="0"/>
  </r>
  <r>
    <x v="5"/>
    <s v="Democratic Republic of the Congo"/>
    <x v="3"/>
    <n v="3505486.6"/>
    <n v="84283273.000000045"/>
    <n v="24.0432449520702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46092"/>
    <n v="0"/>
    <n v="0"/>
    <n v="0"/>
    <n v="17.333451205673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092"/>
    <n v="17.333451205673981"/>
    <n v="146092"/>
    <n v="17.333451205673981"/>
    <n v="146092"/>
    <n v="9"/>
    <n v="108"/>
    <n v="0"/>
    <n v="0"/>
  </r>
  <r>
    <x v="6"/>
    <s v="Democratic Republic of the Congo"/>
    <x v="3"/>
    <n v="3612384.5"/>
    <n v="87087354.999999985"/>
    <n v="24.107997086135207"/>
    <n v="404"/>
    <n v="1687"/>
    <m/>
    <m/>
    <m/>
    <m/>
    <m/>
    <m/>
    <m/>
    <m/>
    <m/>
    <m/>
    <m/>
    <m/>
    <m/>
    <m/>
    <m/>
    <m/>
    <m/>
    <n v="2934"/>
    <m/>
    <n v="0"/>
    <m/>
    <m/>
    <m/>
    <m/>
    <m/>
    <m/>
    <m/>
    <m/>
    <m/>
    <m/>
    <n v="0"/>
    <m/>
    <m/>
    <m/>
    <n v="0"/>
    <m/>
    <m/>
    <n v="0"/>
    <n v="0"/>
    <n v="186652"/>
    <n v="0"/>
    <n v="0"/>
    <n v="0"/>
    <n v="21.43273268547426"/>
    <n v="0"/>
    <n v="0"/>
    <n v="4.6390202113728227E-2"/>
    <n v="0.19371354199470178"/>
    <n v="0"/>
    <n v="0"/>
    <n v="0"/>
    <n v="0"/>
    <n v="0"/>
    <n v="0"/>
    <n v="0"/>
    <n v="0"/>
    <n v="0"/>
    <n v="0"/>
    <n v="0"/>
    <n v="0"/>
    <n v="0"/>
    <n v="0"/>
    <n v="0"/>
    <n v="0"/>
    <n v="0"/>
    <n v="0.33690310148930352"/>
    <n v="0"/>
    <n v="0"/>
    <n v="0"/>
    <n v="0"/>
    <n v="0"/>
    <n v="0"/>
    <n v="0"/>
    <n v="0"/>
    <n v="0"/>
    <n v="0"/>
    <n v="0"/>
    <n v="0"/>
    <n v="0"/>
    <n v="0"/>
    <n v="0"/>
    <n v="0"/>
    <n v="186652"/>
    <n v="21.43273268547426"/>
    <n v="186652"/>
    <n v="21.43273268547426"/>
    <n v="191677"/>
    <n v="24"/>
    <n v="47"/>
    <n v="119"/>
    <n v="136"/>
  </r>
  <r>
    <x v="7"/>
    <s v="Democratic Republic of the Congo"/>
    <x v="3"/>
    <n v="3709546.6"/>
    <n v="89906890.500000015"/>
    <n v="24.236625171388873"/>
    <n v="422"/>
    <n v="584"/>
    <n v="75871"/>
    <m/>
    <m/>
    <m/>
    <m/>
    <m/>
    <m/>
    <m/>
    <m/>
    <m/>
    <m/>
    <n v="166"/>
    <m/>
    <m/>
    <n v="3342"/>
    <m/>
    <m/>
    <m/>
    <m/>
    <n v="0"/>
    <m/>
    <m/>
    <n v="668"/>
    <m/>
    <n v="1939"/>
    <m/>
    <m/>
    <n v="188"/>
    <n v="496"/>
    <m/>
    <n v="496"/>
    <m/>
    <m/>
    <m/>
    <n v="0"/>
    <m/>
    <m/>
    <n v="0"/>
    <n v="30032"/>
    <n v="187928"/>
    <n v="6298"/>
    <n v="0"/>
    <n v="3.3403446424387235"/>
    <n v="20.902513584317543"/>
    <n v="0.70050248262117343"/>
    <n v="0"/>
    <n v="4.6937448025743914E-2"/>
    <n v="6.4956089210982101E-2"/>
    <n v="8.4388415146000391"/>
    <n v="0"/>
    <n v="0"/>
    <n v="0"/>
    <n v="0"/>
    <n v="0"/>
    <n v="0"/>
    <n v="0"/>
    <n v="0"/>
    <n v="0"/>
    <n v="0"/>
    <n v="1.8463545905861349E-2"/>
    <n v="0"/>
    <n v="0"/>
    <n v="0.37171789408065442"/>
    <n v="0"/>
    <n v="0"/>
    <n v="0"/>
    <n v="0"/>
    <n v="0"/>
    <n v="0"/>
    <n v="7.4299088344068565E-2"/>
    <n v="0"/>
    <n v="0.21566756332207926"/>
    <n v="0"/>
    <n v="0"/>
    <n v="2.0910521869288757E-2"/>
    <n v="5.516818535727247E-2"/>
    <n v="0"/>
    <n v="0"/>
    <n v="0"/>
    <n v="0"/>
    <n v="0"/>
    <n v="0"/>
    <n v="194226"/>
    <n v="21.603016066938714"/>
    <n v="224258"/>
    <n v="24.943360709377437"/>
    <n v="308430"/>
    <n v="1440"/>
    <n v="3532"/>
    <n v="0"/>
    <n v="4362"/>
  </r>
  <r>
    <x v="8"/>
    <s v="Democratic Republic of the Congo"/>
    <x v="3"/>
    <n v="3804138.2"/>
    <n v="92853164.500000015"/>
    <n v="24.40846247383967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4"/>
    <n v="2439"/>
    <n v="776"/>
    <n v="3788"/>
  </r>
  <r>
    <x v="9"/>
    <s v="Democratic Republic of the Congo"/>
    <x v="3"/>
    <n v="3905396.8"/>
    <n v="95894118.499999985"/>
    <n v="24.55425745727041"/>
    <n v="268"/>
    <n v="682"/>
    <n v="87086"/>
    <m/>
    <m/>
    <m/>
    <m/>
    <m/>
    <m/>
    <m/>
    <m/>
    <m/>
    <m/>
    <n v="665"/>
    <m/>
    <n v="439"/>
    <n v="3724"/>
    <m/>
    <m/>
    <m/>
    <m/>
    <n v="0"/>
    <m/>
    <m/>
    <n v="1385"/>
    <m/>
    <n v="1785"/>
    <m/>
    <m/>
    <n v="313"/>
    <n v="680"/>
    <m/>
    <n v="680"/>
    <m/>
    <m/>
    <m/>
    <n v="0"/>
    <m/>
    <m/>
    <n v="0"/>
    <n v="33978"/>
    <n v="203504"/>
    <n v="4186"/>
    <n v="0"/>
    <n v="3.5432830012405825"/>
    <n v="21.221739475085744"/>
    <n v="0.43652312211410554"/>
    <n v="0"/>
    <n v="2.7947490856803699E-2"/>
    <n v="7.1120107329627327E-2"/>
    <n v="9.0814745849089817"/>
    <n v="0"/>
    <n v="0"/>
    <n v="0"/>
    <n v="0"/>
    <n v="0"/>
    <n v="0"/>
    <n v="0"/>
    <n v="0"/>
    <n v="0"/>
    <n v="0"/>
    <n v="6.934731873050172E-2"/>
    <n v="0"/>
    <n v="4.5779658530361284E-2"/>
    <n v="0.3883449848908096"/>
    <n v="0"/>
    <n v="0"/>
    <n v="0"/>
    <n v="0"/>
    <n v="0"/>
    <n v="0"/>
    <n v="0.14443012998758628"/>
    <n v="0"/>
    <n v="0.18614280290818883"/>
    <n v="0"/>
    <n v="0"/>
    <n v="3.2640166560371484E-2"/>
    <n v="7.0911543965024304E-2"/>
    <n v="0"/>
    <n v="0"/>
    <n v="0"/>
    <n v="0"/>
    <n v="0"/>
    <n v="0"/>
    <n v="207690"/>
    <n v="21.658262597199851"/>
    <n v="241668"/>
    <n v="25.201545598440433"/>
    <n v="339375"/>
    <n v="2881"/>
    <n v="2490"/>
    <n v="91"/>
    <n v="2684"/>
  </r>
  <r>
    <x v="10"/>
    <s v="Democratic Republic of the Congo"/>
    <x v="3"/>
    <n v="4011145.2"/>
    <n v="99010212"/>
    <n v="24.683776593278147"/>
    <n v="392"/>
    <n v="806"/>
    <n v="101117"/>
    <m/>
    <m/>
    <m/>
    <m/>
    <m/>
    <m/>
    <m/>
    <m/>
    <m/>
    <m/>
    <n v="718"/>
    <m/>
    <n v="528"/>
    <n v="4695"/>
    <m/>
    <m/>
    <m/>
    <m/>
    <n v="0"/>
    <m/>
    <m/>
    <n v="1688"/>
    <m/>
    <n v="1803"/>
    <m/>
    <m/>
    <n v="378"/>
    <n v="793"/>
    <m/>
    <n v="793"/>
    <m/>
    <m/>
    <m/>
    <n v="0"/>
    <m/>
    <m/>
    <n v="0"/>
    <n v="36986"/>
    <n v="230632"/>
    <n v="5280"/>
    <n v="0"/>
    <n v="3.7355742658141162"/>
    <n v="23.293758829644766"/>
    <n v="0.53327832486612592"/>
    <n v="0"/>
    <n v="3.9591875634000261E-2"/>
    <n v="8.1405744288276044E-2"/>
    <n v="10.212784919600011"/>
    <n v="0"/>
    <n v="0"/>
    <n v="0"/>
    <n v="0"/>
    <n v="0"/>
    <n v="0"/>
    <n v="0"/>
    <n v="0"/>
    <n v="0"/>
    <n v="0"/>
    <n v="7.2517772207173939E-2"/>
    <n v="0"/>
    <n v="5.3327832486612596E-2"/>
    <n v="0.47419351046334496"/>
    <n v="0"/>
    <n v="0"/>
    <n v="0"/>
    <n v="0"/>
    <n v="0"/>
    <n v="0"/>
    <n v="0.17048746446477661"/>
    <n v="0"/>
    <n v="0.18210242797985324"/>
    <n v="0"/>
    <n v="0"/>
    <n v="3.8177880075643107E-2"/>
    <n v="8.009274841265869E-2"/>
    <n v="0"/>
    <n v="0"/>
    <n v="0"/>
    <n v="0"/>
    <n v="0"/>
    <n v="0"/>
    <n v="235912"/>
    <n v="23.82703715451089"/>
    <n v="272898"/>
    <n v="27.562611420325005"/>
    <n v="386609"/>
    <n v="215"/>
    <n v="487"/>
    <n v="0"/>
    <n v="233"/>
  </r>
  <r>
    <x v="0"/>
    <s v="Federal Democratic Republic of Ethiopia"/>
    <x v="4"/>
    <n v="3248329.2"/>
    <n v="94451279.50000006"/>
    <n v="29.0768803543680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328"/>
    <n v="50"/>
    <n v="461"/>
  </r>
  <r>
    <x v="1"/>
    <s v="Federal Democratic Republic of Ethiopia"/>
    <x v="4"/>
    <n v="3257516.8"/>
    <n v="97084366.00000003"/>
    <n v="29.8031819820545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3850"/>
    <n v="0"/>
    <n v="0"/>
    <n v="0"/>
    <n v="1.4265942675054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50"/>
    <m/>
    <n v="13850"/>
    <m/>
    <n v="13850"/>
    <n v="0"/>
    <n v="0"/>
    <n v="0"/>
    <n v="0"/>
  </r>
  <r>
    <x v="2"/>
    <s v="Federal Democratic Republic of Ethiopia"/>
    <x v="4"/>
    <n v="3292126.2"/>
    <n v="99746766.49999994"/>
    <n v="30.29858530332158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2"/>
    <n v="7329"/>
    <n v="0"/>
    <n v="2970"/>
  </r>
  <r>
    <x v="3"/>
    <s v="Federal Democratic Republic of Ethiopia"/>
    <x v="4"/>
    <n v="3362812.3"/>
    <n v="102471895.49999996"/>
    <n v="30.4720829943437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894"/>
    <n v="35"/>
    <n v="0"/>
  </r>
  <r>
    <x v="4"/>
    <s v="Federal Democratic Republic of Ethiopia"/>
    <x v="4"/>
    <n v="3447899.3"/>
    <n v="105293228.50000003"/>
    <n v="30.538371146744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96"/>
    <n v="0"/>
    <n v="24138"/>
    <n v="0"/>
    <n v="2.8111969232665318E-2"/>
    <n v="0"/>
    <n v="2.2924551126286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38"/>
    <m/>
    <n v="24434"/>
    <m/>
    <n v="24434"/>
    <n v="2"/>
    <n v="2"/>
    <n v="0"/>
    <n v="64"/>
  </r>
  <r>
    <x v="5"/>
    <s v="Federal Democratic Republic of Ethiopia"/>
    <x v="4"/>
    <n v="3528311.4"/>
    <n v="108197949.49999994"/>
    <n v="30.6656463202199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76328"/>
    <n v="0"/>
    <n v="0"/>
    <n v="0"/>
    <n v="16.296796826080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328"/>
    <n v="16.296796826080339"/>
    <n v="176328"/>
    <n v="16.296796826080339"/>
    <n v="176328"/>
    <n v="0"/>
    <n v="0"/>
    <n v="0"/>
    <n v="0"/>
  </r>
  <r>
    <x v="6"/>
    <s v="Federal Democratic Republic of Ethiopia"/>
    <x v="4"/>
    <n v="3612346.7"/>
    <n v="111129438.00000001"/>
    <n v="30.763779678179841"/>
    <n v="1889"/>
    <n v="10752"/>
    <m/>
    <m/>
    <m/>
    <m/>
    <n v="37259"/>
    <m/>
    <m/>
    <m/>
    <m/>
    <m/>
    <m/>
    <m/>
    <m/>
    <m/>
    <m/>
    <m/>
    <m/>
    <n v="10450"/>
    <m/>
    <n v="0"/>
    <m/>
    <m/>
    <m/>
    <m/>
    <m/>
    <m/>
    <m/>
    <m/>
    <m/>
    <m/>
    <n v="0"/>
    <m/>
    <m/>
    <m/>
    <n v="0"/>
    <m/>
    <m/>
    <n v="0"/>
    <n v="17026"/>
    <n v="123544"/>
    <n v="32318"/>
    <n v="0"/>
    <n v="1.5320872944574775"/>
    <n v="11.117126318950698"/>
    <n v="2.9081403255184282"/>
    <n v="0"/>
    <n v="0.16998196283508604"/>
    <n v="0.96752041524766808"/>
    <n v="0"/>
    <n v="0"/>
    <n v="0"/>
    <n v="0"/>
    <n v="3.352756989556628"/>
    <n v="0"/>
    <n v="0"/>
    <n v="0"/>
    <n v="0"/>
    <n v="0"/>
    <n v="0"/>
    <n v="0"/>
    <n v="0"/>
    <n v="0"/>
    <n v="0"/>
    <n v="0"/>
    <n v="0"/>
    <n v="0.94034489763189466"/>
    <n v="0"/>
    <n v="0"/>
    <n v="0"/>
    <n v="0"/>
    <n v="0"/>
    <n v="0"/>
    <n v="0"/>
    <n v="0"/>
    <n v="0"/>
    <n v="0"/>
    <n v="0"/>
    <n v="0"/>
    <n v="0"/>
    <n v="0"/>
    <n v="0"/>
    <n v="0"/>
    <n v="155862"/>
    <n v="14.025266644469125"/>
    <n v="172888"/>
    <n v="15.557353938926603"/>
    <n v="233238"/>
    <n v="268"/>
    <n v="995"/>
    <n v="1385"/>
    <n v="665"/>
  </r>
  <r>
    <x v="7"/>
    <s v="Federal Democratic Republic of Ethiopia"/>
    <x v="4"/>
    <n v="3717724.4"/>
    <n v="114120593.49999996"/>
    <n v="30.69635648624195"/>
    <n v="52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734"/>
    <n v="0"/>
    <n v="0"/>
    <n v="0"/>
    <n v="1.0282105656942631"/>
    <n v="0"/>
    <n v="0"/>
    <n v="0"/>
    <n v="4.556583382998268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34"/>
    <m/>
    <n v="11786"/>
    <n v="0"/>
    <n v="15498"/>
    <n v="0"/>
    <n v="0"/>
  </r>
  <r>
    <x v="8"/>
    <s v="Federal Democratic Republic of Ethiopia"/>
    <x v="4"/>
    <n v="3808847.5"/>
    <n v="117190910.99999994"/>
    <n v="30.768076432569153"/>
    <n v="228"/>
    <n v="5394"/>
    <n v="113189"/>
    <m/>
    <n v="4"/>
    <n v="423"/>
    <n v="42630"/>
    <n v="110"/>
    <m/>
    <m/>
    <m/>
    <m/>
    <n v="508"/>
    <n v="2378"/>
    <n v="5002"/>
    <m/>
    <m/>
    <m/>
    <n v="4752"/>
    <n v="8005"/>
    <n v="22"/>
    <n v="22"/>
    <m/>
    <m/>
    <n v="688"/>
    <n v="654"/>
    <m/>
    <m/>
    <n v="1234"/>
    <n v="10104"/>
    <n v="240"/>
    <n v="9"/>
    <n v="249"/>
    <m/>
    <m/>
    <m/>
    <n v="0"/>
    <m/>
    <m/>
    <n v="0"/>
    <n v="27155"/>
    <n v="139648"/>
    <n v="40710"/>
    <n v="0"/>
    <n v="2.3171592206498004"/>
    <n v="11.916282483715829"/>
    <n v="3.4738188868588984"/>
    <n v="0"/>
    <n v="1.9455433706800019E-2"/>
    <n v="0.46027460269508469"/>
    <n v="9.6585135343815232"/>
    <n v="0"/>
    <n v="3.413233983649126E-4"/>
    <n v="3.6094949377089507E-2"/>
    <n v="3.6376541180740563"/>
    <n v="9.3863934550350962E-3"/>
    <n v="0"/>
    <n v="0"/>
    <n v="0"/>
    <n v="0"/>
    <n v="4.3348071592343905E-2"/>
    <n v="0.20291676032794057"/>
    <n v="0.42682490965532321"/>
    <n v="0"/>
    <n v="0"/>
    <n v="0"/>
    <n v="0.40549219725751617"/>
    <n v="0.68307345097778138"/>
    <n v="1.8772786910070194E-3"/>
    <n v="0"/>
    <n v="0"/>
    <n v="5.8707624518764968E-2"/>
    <n v="5.5806375632663212E-2"/>
    <n v="0"/>
    <n v="0"/>
    <n v="0.10529826839557554"/>
    <n v="0.86218290426976929"/>
    <n v="2.0479403901894757E-2"/>
    <n v="7.6797764632105341E-4"/>
    <n v="0"/>
    <n v="0"/>
    <n v="0"/>
    <n v="0"/>
    <n v="0"/>
    <n v="180358"/>
    <n v="15.390101370574728"/>
    <n v="207513"/>
    <n v="17.707260591224529"/>
    <n v="403358"/>
    <n v="16139"/>
    <n v="17331"/>
    <n v="0"/>
    <n v="1234"/>
  </r>
  <r>
    <x v="9"/>
    <s v="Federal Democratic Republic of Ethiopia"/>
    <x v="4"/>
    <n v="3870531"/>
    <n v="120283026.00000006"/>
    <n v="31.076621269794781"/>
    <m/>
    <n v="15498"/>
    <n v="113189"/>
    <m/>
    <m/>
    <n v="987"/>
    <n v="42630"/>
    <m/>
    <m/>
    <m/>
    <m/>
    <m/>
    <m/>
    <m/>
    <n v="4921"/>
    <m/>
    <m/>
    <m/>
    <m/>
    <m/>
    <n v="17"/>
    <n v="17"/>
    <m/>
    <m/>
    <m/>
    <n v="567"/>
    <m/>
    <m/>
    <m/>
    <m/>
    <m/>
    <m/>
    <n v="0"/>
    <m/>
    <m/>
    <m/>
    <n v="0"/>
    <m/>
    <m/>
    <n v="0"/>
    <n v="25424"/>
    <n v="139648"/>
    <n v="40710"/>
    <n v="0"/>
    <n v="2.1136814432985735"/>
    <n v="11.609950684147233"/>
    <n v="3.3845174463768464"/>
    <n v="0"/>
    <n v="0"/>
    <n v="1.2884611000724235"/>
    <n v="9.4102221871272125"/>
    <n v="0"/>
    <n v="0"/>
    <n v="8.205646572276952E-2"/>
    <n v="3.5441409663238752"/>
    <n v="0"/>
    <n v="0"/>
    <n v="0"/>
    <n v="0"/>
    <n v="0"/>
    <n v="0"/>
    <n v="0"/>
    <n v="0.40911840711423386"/>
    <n v="0"/>
    <n v="0"/>
    <n v="0"/>
    <n v="0"/>
    <n v="0"/>
    <n v="1.4133332495309848E-3"/>
    <n v="0"/>
    <n v="0"/>
    <n v="0"/>
    <n v="4.7138820734356962E-2"/>
    <n v="0"/>
    <n v="0"/>
    <n v="0"/>
    <n v="0"/>
    <n v="0"/>
    <n v="0"/>
    <n v="0"/>
    <n v="0"/>
    <n v="0"/>
    <n v="0"/>
    <n v="0"/>
    <n v="180358"/>
    <n v="14.994468130524078"/>
    <n v="205782"/>
    <n v="17.108149573822651"/>
    <n v="383608"/>
    <n v="0"/>
    <n v="0"/>
    <n v="0"/>
    <n v="0"/>
  </r>
  <r>
    <x v="10"/>
    <s v="Federal Democratic Republic of Ethiopia"/>
    <x v="4"/>
    <n v="3920543"/>
    <n v="123379924.50000004"/>
    <n v="31.470111283054425"/>
    <n v="271"/>
    <n v="5871"/>
    <n v="121853"/>
    <m/>
    <m/>
    <n v="1086"/>
    <n v="41101"/>
    <n v="195"/>
    <n v="65"/>
    <n v="310"/>
    <m/>
    <m/>
    <n v="0"/>
    <n v="2367"/>
    <n v="5283"/>
    <n v="1469"/>
    <m/>
    <m/>
    <n v="13915"/>
    <n v="0"/>
    <n v="65"/>
    <n v="130"/>
    <m/>
    <m/>
    <n v="630"/>
    <n v="383"/>
    <m/>
    <m/>
    <n v="1205"/>
    <n v="11220"/>
    <n v="231"/>
    <m/>
    <n v="231"/>
    <m/>
    <m/>
    <m/>
    <n v="0"/>
    <n v="0"/>
    <n v="0"/>
    <n v="0"/>
    <n v="35754"/>
    <n v="140492"/>
    <n v="43986"/>
    <n v="0"/>
    <n v="2.8978782524704809"/>
    <n v="11.386941641385098"/>
    <n v="3.5650856635108399"/>
    <n v="0"/>
    <n v="2.1964675460633784E-2"/>
    <n v="0.47584726800509575"/>
    <n v="9.8762420623786298"/>
    <n v="0"/>
    <n v="0"/>
    <n v="8.8020802768443873E-2"/>
    <n v="3.3312550778874876"/>
    <n v="1.5804840276101802E-2"/>
    <n v="5.2682800920339336E-3"/>
    <n v="2.5125643515854144E-2"/>
    <n v="0"/>
    <n v="0"/>
    <n v="0"/>
    <n v="0.19184644581298954"/>
    <n v="0.42818959578792726"/>
    <n v="0.1190631300799669"/>
    <n v="0"/>
    <n v="0"/>
    <n v="1.1278171920100335"/>
    <n v="0"/>
    <n v="5.2682800920339336E-3"/>
    <n v="0"/>
    <n v="0"/>
    <n v="5.1061791661251972E-2"/>
    <n v="3.1042327311523024E-2"/>
    <n v="0"/>
    <n v="0"/>
    <n v="9.7665807860013693E-2"/>
    <n v="0.90938619434801127"/>
    <n v="1.8722656942459056E-2"/>
    <n v="0"/>
    <n v="0"/>
    <n v="0"/>
    <n v="0"/>
    <n v="0"/>
    <n v="0"/>
    <n v="184478"/>
    <n v="14.952027304895939"/>
    <n v="220232"/>
    <n v="17.849905557366419"/>
    <n v="428113"/>
    <n v="121"/>
    <n v="75"/>
    <n v="0"/>
    <n v="0"/>
  </r>
  <r>
    <x v="0"/>
    <s v="Federal Republic of Nigeria"/>
    <x v="5"/>
    <n v="6713643.7999999998"/>
    <n v="170075931.5"/>
    <n v="25.3328798140884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4"/>
    <n v="0"/>
    <n v="0"/>
    <n v="0"/>
    <n v="8.466806486372236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8.4668064863722362E-3"/>
    <n v="144"/>
    <n v="0"/>
    <n v="0"/>
    <n v="0"/>
    <n v="0"/>
  </r>
  <r>
    <x v="1"/>
    <s v="Federal Republic of Nigeria"/>
    <x v="5"/>
    <n v="6805083.0999999996"/>
    <n v="174726123.50000006"/>
    <n v="25.675825104913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n v="68565"/>
    <m/>
    <n v="68565"/>
    <m/>
    <n v="262512"/>
    <n v="262512"/>
    <n v="131518"/>
    <n v="149840"/>
    <n v="202550"/>
    <n v="0"/>
    <n v="7.5270942527377684"/>
    <n v="8.575706768885075"/>
    <n v="11.592427963412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1413147931468"/>
    <n v="0"/>
    <n v="0"/>
    <n v="15.024198714052046"/>
    <n v="352390"/>
    <n v="20.168134732297194"/>
    <n v="483908"/>
    <n v="27.695228985034962"/>
    <n v="1146062"/>
    <n v="0"/>
    <n v="0"/>
    <n v="0"/>
    <n v="0"/>
  </r>
  <r>
    <x v="2"/>
    <s v="Federal Republic of Nigeria"/>
    <x v="5"/>
    <n v="6894101.5999999996"/>
    <n v="179379016.5"/>
    <n v="26.01920118206555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81"/>
    <n v="0"/>
    <n v="0"/>
    <n v="0"/>
    <n v="0.12716091572505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1"/>
    <n v="0.12716091572505639"/>
    <n v="2281"/>
    <n v="0"/>
    <n v="0"/>
    <n v="0"/>
    <n v="0"/>
  </r>
  <r>
    <x v="3"/>
    <s v="Federal Republic of Nigeria"/>
    <x v="5"/>
    <n v="6983906.0999999996"/>
    <n v="183995784.49999991"/>
    <n v="26.345684186675982"/>
    <m/>
    <n v="2003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1.0888836423314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35"/>
    <n v="0"/>
    <n v="0"/>
    <n v="0"/>
    <n v="0"/>
  </r>
  <r>
    <x v="4"/>
    <s v="Federal Republic of Nigeria"/>
    <x v="5"/>
    <n v="7083326.4000000004"/>
    <n v="188666930.99999988"/>
    <n v="26.635357506608742"/>
    <n v="4081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7130"/>
    <n v="370202"/>
    <n v="282550"/>
    <n v="0"/>
    <n v="8.8584681541250117"/>
    <n v="19.621986642693638"/>
    <n v="14.976127427439851"/>
    <n v="0"/>
    <n v="0.21630711743543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752"/>
    <n v="34.598114070133491"/>
    <n v="819882"/>
    <n v="43.456582224258504"/>
    <n v="823963"/>
    <n v="56"/>
    <n v="459"/>
    <n v="44"/>
    <n v="311"/>
  </r>
  <r>
    <x v="5"/>
    <s v="Federal Republic of Nigeria"/>
    <x v="5"/>
    <n v="7193818.5999999996"/>
    <n v="193495906.50000003"/>
    <n v="26.8975237296086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571"/>
    <n v="48"/>
    <n v="0"/>
  </r>
  <r>
    <x v="6"/>
    <s v="Federal Republic of Nigeria"/>
    <x v="5"/>
    <n v="7300350.5"/>
    <n v="198387623.50000006"/>
    <n v="27.175082004624308"/>
    <n v="4358"/>
    <n v="24668"/>
    <m/>
    <m/>
    <n v="56"/>
    <m/>
    <n v="116454"/>
    <n v="19269"/>
    <n v="6165"/>
    <m/>
    <n v="1029"/>
    <m/>
    <m/>
    <m/>
    <m/>
    <n v="2578"/>
    <m/>
    <m/>
    <n v="29246"/>
    <n v="26677"/>
    <m/>
    <n v="6165"/>
    <m/>
    <m/>
    <m/>
    <n v="4626"/>
    <m/>
    <m/>
    <m/>
    <n v="5793"/>
    <n v="4793"/>
    <n v="360"/>
    <n v="5153"/>
    <m/>
    <m/>
    <m/>
    <n v="0"/>
    <m/>
    <m/>
    <n v="0"/>
    <n v="149976"/>
    <n v="220210"/>
    <n v="142474"/>
    <n v="0"/>
    <n v="7.5597457822261758"/>
    <n v="11.099986789246454"/>
    <n v="7.1815971927301181"/>
    <n v="0"/>
    <n v="0.21967096148011464"/>
    <n v="1.2434243409342516"/>
    <n v="0"/>
    <n v="0"/>
    <n v="2.822756733108403E-3"/>
    <n v="0"/>
    <n v="5.8700234392393922"/>
    <n v="0.97128034804046104"/>
    <n v="0.3107552724930947"/>
    <n v="0"/>
    <n v="5.1868154970866907E-2"/>
    <n v="0"/>
    <n v="0"/>
    <n v="0"/>
    <n v="0"/>
    <n v="0.1299476224634547"/>
    <n v="0"/>
    <n v="0"/>
    <n v="1.4741847038658635"/>
    <n v="1.3446907387345155"/>
    <n v="0"/>
    <n v="0"/>
    <n v="0"/>
    <n v="0"/>
    <n v="0.23317986870284771"/>
    <n v="0"/>
    <n v="0"/>
    <n v="0"/>
    <n v="0.29200410276601746"/>
    <n v="0.24159773253193884"/>
    <n v="1.8146293284268304E-2"/>
    <n v="0"/>
    <n v="0"/>
    <n v="0"/>
    <n v="0"/>
    <n v="0"/>
    <n v="362684"/>
    <n v="18.281583981976571"/>
    <n v="512660"/>
    <n v="25.841329764202747"/>
    <n v="770050"/>
    <n v="0"/>
    <n v="105"/>
    <n v="7"/>
    <n v="0"/>
  </r>
  <r>
    <x v="7"/>
    <s v="Federal Republic of Nigeria"/>
    <x v="5"/>
    <n v="7409670.9000000004"/>
    <n v="203304491.50000006"/>
    <n v="27.437722166580983"/>
    <n v="4358"/>
    <n v="24668"/>
    <m/>
    <m/>
    <n v="79"/>
    <m/>
    <n v="116454"/>
    <n v="6165"/>
    <m/>
    <m/>
    <n v="942"/>
    <m/>
    <m/>
    <n v="14743"/>
    <n v="7146"/>
    <n v="369"/>
    <m/>
    <m/>
    <n v="29803"/>
    <n v="26677"/>
    <n v="7"/>
    <n v="7"/>
    <n v="27247"/>
    <m/>
    <m/>
    <n v="4429"/>
    <m/>
    <m/>
    <m/>
    <n v="5793"/>
    <n v="4971"/>
    <n v="118"/>
    <n v="5089"/>
    <n v="267"/>
    <m/>
    <m/>
    <n v="0"/>
    <m/>
    <n v="32"/>
    <n v="32"/>
    <n v="159688"/>
    <n v="361418"/>
    <n v="241740"/>
    <n v="0"/>
    <n v="7.8546223362704186"/>
    <n v="17.777177342882261"/>
    <n v="11.890539073505906"/>
    <n v="0"/>
    <n v="0.21435827451947853"/>
    <n v="1.2133524359445838"/>
    <n v="0"/>
    <n v="0"/>
    <n v="3.885797082845067E-3"/>
    <n v="0"/>
    <n v="5.7280583985523981"/>
    <n v="0.30323973437645368"/>
    <n v="0"/>
    <n v="0"/>
    <n v="4.6334441165063966E-2"/>
    <n v="0"/>
    <n v="0"/>
    <n v="0.72516843534664333"/>
    <n v="0.35149248043051712"/>
    <n v="1.8150115488225694E-2"/>
    <n v="0"/>
    <n v="0"/>
    <n v="1.465929246329513"/>
    <n v="1.3121697313804792"/>
    <n v="3.4431113392298065E-4"/>
    <n v="1.340206495142779"/>
    <n v="0"/>
    <n v="0"/>
    <n v="0.21785057316355447"/>
    <n v="0"/>
    <n v="0"/>
    <n v="0"/>
    <n v="0.28494205697368957"/>
    <n v="0.24451009239016239"/>
    <n v="5.8041019718445309E-3"/>
    <n v="1.3133010393919405E-2"/>
    <n v="0"/>
    <n v="0"/>
    <n v="0"/>
    <n v="1.573993755076483E-3"/>
    <n v="603158"/>
    <n v="29.667716416388167"/>
    <n v="762846"/>
    <n v="37.522338752658584"/>
    <n v="1042242"/>
    <n v="0"/>
    <n v="0"/>
    <n v="0"/>
    <n v="0"/>
  </r>
  <r>
    <x v="8"/>
    <s v="Federal Republic of Nigeria"/>
    <x v="5"/>
    <n v="7523678.7000000002"/>
    <n v="208327404.49999994"/>
    <n v="27.6895668737156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"/>
    <n v="588"/>
    <n v="71"/>
    <n v="0"/>
  </r>
  <r>
    <x v="9"/>
    <s v="Federal Republic of Nigeria"/>
    <x v="5"/>
    <n v="7641925.4000000004"/>
    <n v="213401322.49999997"/>
    <n v="27.92507271793048"/>
    <n v="4358"/>
    <n v="17331"/>
    <m/>
    <m/>
    <m/>
    <m/>
    <n v="7912"/>
    <n v="11781"/>
    <n v="11408"/>
    <m/>
    <n v="2071"/>
    <m/>
    <m/>
    <n v="1234"/>
    <n v="9205"/>
    <m/>
    <m/>
    <m/>
    <n v="34554"/>
    <n v="37181"/>
    <n v="37181"/>
    <n v="48589"/>
    <m/>
    <m/>
    <m/>
    <n v="5485"/>
    <m/>
    <m/>
    <m/>
    <m/>
    <m/>
    <m/>
    <n v="0"/>
    <m/>
    <m/>
    <m/>
    <n v="0"/>
    <m/>
    <m/>
    <n v="0"/>
    <n v="168695"/>
    <n v="535392"/>
    <n v="263844"/>
    <n v="0"/>
    <n v="7.905058788939793"/>
    <n v="25.088504313275756"/>
    <n v="12.363747183431819"/>
    <n v="0"/>
    <n v="0.20421616646729079"/>
    <n v="0.81213179923006351"/>
    <n v="0"/>
    <n v="0"/>
    <n v="0"/>
    <n v="0"/>
    <n v="0.37075684008471882"/>
    <n v="0.55205843440824987"/>
    <n v="0.53457962988959462"/>
    <n v="0"/>
    <n v="9.7047196134410096E-2"/>
    <n v="0"/>
    <n v="0"/>
    <n v="5.782532111533658E-2"/>
    <n v="0.43134690507834134"/>
    <n v="0"/>
    <n v="0"/>
    <n v="0"/>
    <n v="1.6192027113608916"/>
    <n v="1.7423041040432168"/>
    <n v="1.7423041040432168"/>
    <n v="0"/>
    <n v="0"/>
    <n v="0"/>
    <n v="0.25702746054912573"/>
    <n v="0"/>
    <n v="0"/>
    <n v="0"/>
    <n v="0"/>
    <n v="0"/>
    <n v="0"/>
    <n v="0"/>
    <n v="0"/>
    <n v="0"/>
    <n v="0"/>
    <n v="0"/>
    <n v="799236"/>
    <n v="37.452251496707575"/>
    <n v="967931"/>
    <n v="45.357310285647372"/>
    <n v="1196221"/>
    <n v="30"/>
    <n v="419"/>
    <n v="77"/>
    <n v="0"/>
  </r>
  <r>
    <x v="10"/>
    <s v="Federal Republic of Nigeria"/>
    <x v="5"/>
    <n v="7745147.0999999996"/>
    <n v="218541211.50000003"/>
    <n v="28.216534647870024"/>
    <n v="5048"/>
    <n v="18277"/>
    <m/>
    <m/>
    <n v="168"/>
    <m/>
    <n v="154477"/>
    <m/>
    <m/>
    <m/>
    <n v="2660"/>
    <m/>
    <m/>
    <n v="20392"/>
    <n v="354339"/>
    <n v="4262"/>
    <m/>
    <m/>
    <n v="38712"/>
    <n v="36833"/>
    <n v="280"/>
    <n v="280"/>
    <m/>
    <m/>
    <m/>
    <n v="5632"/>
    <m/>
    <m/>
    <m/>
    <n v="2326"/>
    <n v="6282"/>
    <n v="197"/>
    <n v="6479"/>
    <m/>
    <m/>
    <m/>
    <n v="0"/>
    <m/>
    <m/>
    <n v="0"/>
    <n v="172576"/>
    <n v="441362"/>
    <n v="293574"/>
    <n v="0"/>
    <n v="7.8967256937714918"/>
    <n v="20.195824712905463"/>
    <n v="13.433347330006907"/>
    <n v="0"/>
    <n v="0.23098618175272628"/>
    <n v="0.83631823373505909"/>
    <n v="0"/>
    <n v="0"/>
    <n v="7.6873372691081644E-3"/>
    <n v="0"/>
    <n v="7.0685523769048926"/>
    <n v="0"/>
    <n v="0"/>
    <n v="0"/>
    <n v="0.12171617342754594"/>
    <n v="0"/>
    <n v="0"/>
    <n v="0.93309631899793866"/>
    <n v="16.21382976546737"/>
    <n v="0.19502042524368451"/>
    <n v="0"/>
    <n v="0"/>
    <n v="1.7713821450102099"/>
    <n v="1.6854029382920299"/>
    <n v="1.2812228781846942E-2"/>
    <n v="0"/>
    <n v="0"/>
    <n v="0"/>
    <n v="0.25770883035486419"/>
    <n v="0"/>
    <n v="0"/>
    <n v="0"/>
    <n v="0.10643301480919995"/>
    <n v="0.28745150431272315"/>
    <n v="9.0143181072280254E-3"/>
    <n v="0"/>
    <n v="0"/>
    <n v="0"/>
    <n v="0"/>
    <n v="0"/>
    <n v="734936"/>
    <n v="33.629172042912366"/>
    <n v="907512"/>
    <n v="41.525897736683859"/>
    <n v="1564156"/>
    <n v="416"/>
    <n v="1332"/>
    <n v="0"/>
    <n v="0"/>
  </r>
  <r>
    <x v="0"/>
    <s v="Gabonese Republic"/>
    <x v="6"/>
    <n v="59226.3"/>
    <n v="1836705"/>
    <n v="31.0116451643948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Gabonese Republic"/>
    <x v="6"/>
    <n v="60469.599999999999"/>
    <n v="1902226.5000000007"/>
    <n v="31.4575671081006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874"/>
    <n v="0"/>
    <n v="0"/>
    <n v="0"/>
    <n v="4.5946158357062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4"/>
    <m/>
    <n v="874"/>
    <m/>
    <n v="874"/>
    <n v="25"/>
    <n v="98"/>
    <n v="0"/>
    <n v="296"/>
  </r>
  <r>
    <x v="2"/>
    <s v="Gabonese Republic"/>
    <x v="6"/>
    <n v="61619.1"/>
    <n v="1966855.5"/>
    <n v="31.9195752615666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2131"/>
    <n v="999"/>
    <n v="6"/>
  </r>
  <r>
    <x v="3"/>
    <s v="Gabonese Republic"/>
    <x v="6"/>
    <n v="62601.9"/>
    <n v="2028517.0000000007"/>
    <n v="32.40344142909401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Gabonese Republic"/>
    <x v="6"/>
    <n v="63306.9"/>
    <n v="2086205.5000000009"/>
    <n v="32.95384073458029"/>
    <m/>
    <n v="46"/>
    <m/>
    <m/>
    <m/>
    <m/>
    <m/>
    <m/>
    <n v="33"/>
    <m/>
    <m/>
    <m/>
    <m/>
    <n v="174"/>
    <m/>
    <n v="66"/>
    <m/>
    <m/>
    <n v="287"/>
    <m/>
    <m/>
    <n v="33"/>
    <m/>
    <m/>
    <m/>
    <m/>
    <m/>
    <m/>
    <m/>
    <n v="72"/>
    <m/>
    <m/>
    <n v="0"/>
    <m/>
    <m/>
    <m/>
    <n v="0"/>
    <m/>
    <m/>
    <n v="0"/>
    <n v="1430"/>
    <n v="9192"/>
    <n v="1026"/>
    <n v="0"/>
    <n v="6.8545500431285378"/>
    <n v="44.060855941564704"/>
    <n v="4.918019821153762"/>
    <n v="0"/>
    <n v="0"/>
    <n v="0.22049601537336558"/>
    <n v="0"/>
    <n v="0"/>
    <n v="0"/>
    <n v="0"/>
    <n v="0"/>
    <n v="0"/>
    <n v="0.15818192407219703"/>
    <n v="0"/>
    <n v="0"/>
    <n v="0"/>
    <n v="0"/>
    <n v="0.83405014510794806"/>
    <n v="0"/>
    <n v="0.31636384814439406"/>
    <n v="0"/>
    <n v="0"/>
    <n v="1.375703400264259"/>
    <n v="0"/>
    <n v="0"/>
    <n v="0"/>
    <n v="0"/>
    <n v="0"/>
    <n v="0"/>
    <n v="0"/>
    <n v="0"/>
    <n v="0"/>
    <n v="0.3451241979757026"/>
    <n v="0"/>
    <n v="0"/>
    <n v="0"/>
    <n v="0"/>
    <n v="0"/>
    <n v="0"/>
    <n v="0"/>
    <n v="10218"/>
    <n v="48.978875762718467"/>
    <n v="11648"/>
    <n v="55.833425805847"/>
    <n v="12359"/>
    <n v="23"/>
    <n v="78"/>
    <n v="4"/>
    <n v="29"/>
  </r>
  <r>
    <x v="5"/>
    <s v="Gabonese Republic"/>
    <x v="6"/>
    <n v="63752.5"/>
    <n v="2140215.5000000005"/>
    <n v="33.570691345437439"/>
    <n v="37"/>
    <n v="121"/>
    <n v="1943"/>
    <m/>
    <n v="2"/>
    <n v="8"/>
    <m/>
    <n v="3"/>
    <n v="46"/>
    <n v="2"/>
    <m/>
    <m/>
    <m/>
    <m/>
    <n v="127"/>
    <n v="93"/>
    <m/>
    <n v="18"/>
    <n v="442"/>
    <m/>
    <m/>
    <n v="46"/>
    <n v="32"/>
    <n v="195"/>
    <n v="4"/>
    <n v="5"/>
    <m/>
    <m/>
    <n v="58"/>
    <n v="106"/>
    <n v="43"/>
    <m/>
    <n v="43"/>
    <n v="41"/>
    <m/>
    <m/>
    <n v="0"/>
    <m/>
    <n v="99"/>
    <n v="99"/>
    <n v="3543"/>
    <n v="10700"/>
    <n v="1466"/>
    <n v="0"/>
    <n v="16.55440772202612"/>
    <n v="49.994965460253873"/>
    <n v="6.8497775107226335"/>
    <n v="0"/>
    <n v="0.17287978710555077"/>
    <n v="0.5653636281019363"/>
    <n v="9.0785250363806806"/>
    <n v="0"/>
    <n v="9.3448533570567992E-3"/>
    <n v="3.7379413428227197E-2"/>
    <n v="0"/>
    <n v="1.4017280035585198E-2"/>
    <n v="0.21493162721230638"/>
    <n v="9.3448533570567992E-3"/>
    <n v="0"/>
    <n v="0"/>
    <n v="0"/>
    <n v="0"/>
    <n v="0.59339818817310674"/>
    <n v="0.43453568110314117"/>
    <n v="0"/>
    <n v="8.4103680213511195E-2"/>
    <n v="2.0652125919095528"/>
    <n v="0"/>
    <n v="0"/>
    <n v="0.14951765371290879"/>
    <n v="0.91112320231303789"/>
    <n v="1.8689706714113598E-2"/>
    <n v="2.3362133392641999E-2"/>
    <n v="0"/>
    <n v="0"/>
    <n v="0.27100074735464719"/>
    <n v="0.49527722792401035"/>
    <n v="0.20091434717672119"/>
    <n v="0"/>
    <n v="0.19156949381966437"/>
    <n v="0"/>
    <n v="0"/>
    <n v="0"/>
    <n v="0.46257024117431156"/>
    <n v="12166"/>
    <n v="56.844742970976512"/>
    <n v="15709"/>
    <n v="73.399150693002625"/>
    <n v="19322"/>
    <n v="246"/>
    <n v="2917"/>
    <n v="1985"/>
    <n v="5029"/>
  </r>
  <r>
    <x v="6"/>
    <s v="Gabonese Republic"/>
    <x v="6"/>
    <n v="63976.2"/>
    <n v="2192011.5"/>
    <n v="34.262921211325462"/>
    <n v="40"/>
    <n v="227"/>
    <m/>
    <m/>
    <m/>
    <m/>
    <m/>
    <m/>
    <m/>
    <m/>
    <m/>
    <m/>
    <m/>
    <m/>
    <m/>
    <m/>
    <m/>
    <m/>
    <m/>
    <n v="439"/>
    <m/>
    <n v="0"/>
    <m/>
    <m/>
    <m/>
    <m/>
    <m/>
    <m/>
    <m/>
    <m/>
    <m/>
    <m/>
    <n v="0"/>
    <m/>
    <m/>
    <m/>
    <n v="0"/>
    <m/>
    <m/>
    <n v="0"/>
    <n v="2736"/>
    <n v="12170"/>
    <n v="0"/>
    <n v="0"/>
    <n v="12.481686341517825"/>
    <n v="55.519781716473659"/>
    <n v="0"/>
    <n v="0"/>
    <n v="0.18248079446663487"/>
    <n v="1.0355785085981528"/>
    <n v="0"/>
    <n v="0"/>
    <n v="0"/>
    <n v="0"/>
    <n v="0"/>
    <n v="0"/>
    <n v="0"/>
    <n v="0"/>
    <n v="0"/>
    <n v="0"/>
    <n v="0"/>
    <n v="0"/>
    <n v="0"/>
    <n v="0"/>
    <n v="0"/>
    <n v="0"/>
    <n v="0"/>
    <n v="2.0027267192713176"/>
    <n v="0"/>
    <n v="0"/>
    <n v="0"/>
    <n v="0"/>
    <n v="0"/>
    <n v="0"/>
    <n v="0"/>
    <n v="0"/>
    <n v="0"/>
    <n v="0"/>
    <n v="0"/>
    <n v="0"/>
    <n v="0"/>
    <n v="0"/>
    <n v="0"/>
    <n v="0"/>
    <n v="12170"/>
    <n v="55.519781716473659"/>
    <n v="14906"/>
    <n v="68.001468057991488"/>
    <n v="15612"/>
    <n v="6"/>
    <n v="596"/>
    <n v="0"/>
    <n v="0"/>
  </r>
  <r>
    <x v="7"/>
    <s v="Gabonese Republic"/>
    <x v="6"/>
    <n v="64066.9"/>
    <n v="2242785.5000000005"/>
    <n v="35.00693025571708"/>
    <n v="34"/>
    <n v="140"/>
    <n v="693"/>
    <n v="159"/>
    <n v="1"/>
    <n v="65"/>
    <n v="117"/>
    <n v="32"/>
    <n v="9"/>
    <n v="10"/>
    <n v="14"/>
    <n v="30"/>
    <n v="7"/>
    <n v="201"/>
    <n v="89"/>
    <n v="78"/>
    <n v="344"/>
    <n v="14"/>
    <n v="72"/>
    <n v="454"/>
    <n v="0"/>
    <n v="9"/>
    <n v="1"/>
    <n v="107"/>
    <n v="3"/>
    <n v="9"/>
    <n v="942"/>
    <n v="2595"/>
    <n v="703"/>
    <n v="179"/>
    <n v="29"/>
    <n v="14"/>
    <n v="43"/>
    <n v="85"/>
    <n v="10"/>
    <n v="109"/>
    <n v="119"/>
    <n v="84"/>
    <n v="33"/>
    <n v="117"/>
    <n v="3587"/>
    <n v="10179"/>
    <n v="1214"/>
    <n v="40"/>
    <n v="15.993504505892334"/>
    <n v="45.385526168240332"/>
    <n v="5.4129117563850837"/>
    <n v="0.17834964600939318"/>
    <n v="0.15159719910798422"/>
    <n v="0.62422376103287613"/>
    <n v="3.0899076171127371"/>
    <n v="0.70893984288733791"/>
    <n v="4.4587411502348302E-3"/>
    <n v="0.28981817476526395"/>
    <n v="0.52167271457747511"/>
    <n v="0.14267971680751457"/>
    <n v="4.0128670352113469E-2"/>
    <n v="4.4587411502348295E-2"/>
    <n v="6.2422376103287616E-2"/>
    <n v="0.13376223450704489"/>
    <n v="3.1211188051643808E-2"/>
    <n v="0.89620697119720083"/>
    <n v="0.39682796237089984"/>
    <n v="0.34778180971831674"/>
    <n v="1.5338069556807814"/>
    <n v="6.2422376103287616E-2"/>
    <n v="0.32102936281690775"/>
    <n v="2.0242684822066126"/>
    <n v="0"/>
    <n v="4.4587411502348302E-3"/>
    <n v="0.47708530307512681"/>
    <n v="1.3376223450704489E-2"/>
    <n v="4.0128670352113469E-2"/>
    <n v="4.2001341635212093"/>
    <n v="11.570433284859384"/>
    <n v="3.1344950286150852"/>
    <n v="0.7981146658920345"/>
    <n v="0.12930349335681007"/>
    <n v="6.2422376103287616E-2"/>
    <n v="0.37899299776996054"/>
    <n v="4.4587411502348295E-2"/>
    <n v="0.48600278537559644"/>
    <n v="0.37453425661972573"/>
    <n v="0.14713845795774938"/>
    <n v="11393"/>
    <n v="50.798437924625418"/>
    <n v="14980"/>
    <n v="66.79194243051775"/>
    <n v="22774"/>
    <n v="0"/>
    <n v="0"/>
    <n v="0"/>
    <n v="0"/>
  </r>
  <r>
    <x v="8"/>
    <s v="Gabonese Republic"/>
    <x v="6"/>
    <n v="64112.7"/>
    <n v="2292572.9999999981"/>
    <n v="35.758484668404208"/>
    <n v="34"/>
    <n v="139"/>
    <n v="693"/>
    <n v="132"/>
    <n v="0"/>
    <n v="66"/>
    <n v="110"/>
    <n v="32"/>
    <n v="9"/>
    <n v="8"/>
    <n v="14"/>
    <n v="31"/>
    <n v="7"/>
    <n v="198"/>
    <n v="86"/>
    <n v="82"/>
    <n v="390"/>
    <n v="14"/>
    <n v="74"/>
    <n v="469"/>
    <n v="0"/>
    <n v="9"/>
    <n v="0"/>
    <n v="106"/>
    <n v="3"/>
    <n v="9"/>
    <n v="947"/>
    <n v="2714"/>
    <n v="615"/>
    <n v="179"/>
    <n v="17"/>
    <n v="15"/>
    <n v="32"/>
    <n v="86"/>
    <n v="9"/>
    <n v="106"/>
    <n v="115"/>
    <n v="79"/>
    <n v="33"/>
    <n v="112"/>
    <n v="3559"/>
    <n v="10963"/>
    <n v="1324"/>
    <n v="18"/>
    <n v="15.524042200619142"/>
    <n v="47.819633224329209"/>
    <n v="5.7751705180162247"/>
    <n v="7.8514402812909403E-2"/>
    <n v="0.14830498309105108"/>
    <n v="0.60630566616635595"/>
    <n v="3.0228045082970119"/>
    <n v="0.57577228729466889"/>
    <n v="0"/>
    <n v="0.28788614364733445"/>
    <n v="0.47981023941222412"/>
    <n v="0.13958116055628339"/>
    <n v="3.9257201406454702E-2"/>
    <n v="3.4895290139070848E-2"/>
    <n v="6.106675774337398E-2"/>
    <n v="0.13521924928889953"/>
    <n v="3.053337887168699E-2"/>
    <n v="0.86365843094200345"/>
    <n v="0.37512436899501161"/>
    <n v="0.35767672392547617"/>
    <n v="1.7011453942797037"/>
    <n v="6.106675774337398E-2"/>
    <n v="0.32278143378640534"/>
    <n v="2.0457363844030283"/>
    <n v="0"/>
    <n v="0"/>
    <n v="0.46236259434268873"/>
    <n v="1.3085733802151568E-2"/>
    <n v="3.9257201406454702E-2"/>
    <n v="4.1307299702125109"/>
    <n v="11.838227179679784"/>
    <n v="2.6825754294410711"/>
    <n v="0.78078211686171017"/>
    <n v="7.4152491545525542E-2"/>
    <n v="6.5428669010757834E-2"/>
    <n v="0.37512436899501161"/>
    <n v="3.9257201406454702E-2"/>
    <n v="0.46236259434268873"/>
    <n v="0.34459099012332461"/>
    <n v="0.14394307182366722"/>
    <n v="12287"/>
    <n v="53.594803742345434"/>
    <n v="15846"/>
    <n v="69.118845942964583"/>
    <n v="23638"/>
    <n v="0"/>
    <n v="0"/>
    <n v="0"/>
    <n v="0"/>
  </r>
  <r>
    <x v="9"/>
    <s v="Gabonese Republic"/>
    <x v="6"/>
    <n v="64185.3"/>
    <n v="2341178.9999999986"/>
    <n v="36.4753144411570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Gabonese Republic"/>
    <x v="6"/>
    <n v="64514.8"/>
    <n v="2388992.5000000005"/>
    <n v="37.030146571019365"/>
    <n v="44"/>
    <n v="168"/>
    <m/>
    <m/>
    <m/>
    <m/>
    <n v="98"/>
    <n v="67"/>
    <n v="17"/>
    <m/>
    <m/>
    <m/>
    <n v="2"/>
    <n v="155"/>
    <m/>
    <n v="478"/>
    <m/>
    <m/>
    <n v="228"/>
    <n v="231"/>
    <m/>
    <n v="17"/>
    <m/>
    <m/>
    <m/>
    <m/>
    <m/>
    <m/>
    <n v="84"/>
    <n v="233"/>
    <n v="2"/>
    <m/>
    <n v="2"/>
    <n v="175"/>
    <m/>
    <m/>
    <n v="0"/>
    <m/>
    <m/>
    <n v="0"/>
    <n v="2832"/>
    <n v="8554"/>
    <n v="1840"/>
    <n v="70"/>
    <n v="11.854369572110416"/>
    <n v="35.80588888412165"/>
    <n v="7.7019915299022479"/>
    <n v="0.29301054733323773"/>
    <n v="0.18417805832374942"/>
    <n v="0.70322531359977047"/>
    <n v="0"/>
    <n v="0"/>
    <n v="0"/>
    <n v="0"/>
    <n v="0.4102147662665328"/>
    <n v="0.28045295244752749"/>
    <n v="7.1159704352357731E-2"/>
    <n v="0"/>
    <n v="0"/>
    <n v="0"/>
    <n v="8.3717299238067911E-3"/>
    <n v="0.64880906909502634"/>
    <n v="0"/>
    <n v="2.000843451789823"/>
    <n v="0"/>
    <n v="0"/>
    <n v="0.95437721131397424"/>
    <n v="0.96693480619968442"/>
    <n v="0"/>
    <n v="0"/>
    <n v="0"/>
    <n v="0"/>
    <n v="0"/>
    <n v="0"/>
    <n v="0"/>
    <n v="0.35161265679988524"/>
    <n v="0.97530653612349116"/>
    <n v="8.3717299238067911E-3"/>
    <n v="0"/>
    <n v="0.73252636833309426"/>
    <n v="0"/>
    <n v="0"/>
    <n v="0"/>
    <n v="0"/>
    <n v="10394"/>
    <n v="43.507880414023894"/>
    <n v="13226"/>
    <n v="55.362249986134309"/>
    <n v="15297"/>
    <n v="0"/>
    <n v="0"/>
    <n v="0"/>
    <n v="0"/>
  </r>
  <r>
    <x v="0"/>
    <s v="Islamic Republic of Mauritania"/>
    <x v="7"/>
    <n v="140118.5"/>
    <n v="3636113.5000000009"/>
    <n v="25.9502742321677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5"/>
    <n v="3445"/>
    <n v="1172"/>
    <n v="0"/>
  </r>
  <r>
    <x v="1"/>
    <s v="Islamic Republic of Mauritania"/>
    <x v="7"/>
    <n v="137079.5"/>
    <n v="3742958.9999999981"/>
    <n v="27.3050237271072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736"/>
    <n v="0"/>
    <n v="0"/>
    <n v="0"/>
    <n v="1.9663587017651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6"/>
    <n v="1.9663587017651019"/>
    <n v="736"/>
    <n v="1.9663587017651019"/>
    <n v="736"/>
    <n v="209"/>
    <n v="975"/>
    <n v="35"/>
    <n v="209"/>
  </r>
  <r>
    <x v="2"/>
    <s v="Islamic Republic of Mauritania"/>
    <x v="7"/>
    <n v="133349.5"/>
    <n v="3843173.9999999991"/>
    <n v="28.8203105373473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44"/>
    <n v="7692"/>
    <n v="0"/>
    <n v="0"/>
    <n v="3.2369078267078208"/>
    <n v="20.014706594080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2"/>
    <n v="20.014706594080835"/>
    <n v="8936"/>
    <n v="23.251614420788655"/>
    <n v="8936"/>
    <n v="0"/>
    <n v="0"/>
    <n v="0"/>
    <n v="0"/>
  </r>
  <r>
    <x v="3"/>
    <s v="Islamic Republic of Mauritania"/>
    <x v="7"/>
    <n v="135862.20000000001"/>
    <n v="3946219.4999999991"/>
    <n v="29.0457500320177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84"/>
    <n v="8274"/>
    <n v="0"/>
    <n v="0"/>
    <n v="3.5071541256131353"/>
    <n v="20.966902626678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74"/>
    <n v="20.966902626678525"/>
    <n v="9658"/>
    <n v="24.474056752291663"/>
    <n v="9658"/>
    <n v="204"/>
    <n v="333"/>
    <n v="12"/>
    <n v="53"/>
  </r>
  <r>
    <x v="4"/>
    <s v="Islamic Republic of Mauritania"/>
    <x v="7"/>
    <n v="138275.5"/>
    <n v="4051890.5000000014"/>
    <n v="29.3030254817375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</r>
  <r>
    <x v="5"/>
    <s v="Islamic Republic of Mauritania"/>
    <x v="7"/>
    <n v="140591.4"/>
    <n v="4160014.4999999995"/>
    <n v="29.5893952261660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582"/>
    <n v="9142"/>
    <n v="0"/>
    <n v="0"/>
    <n v="3.8028713601839614"/>
    <n v="21.975884939824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42"/>
    <n v="21.97588493982413"/>
    <n v="10724"/>
    <n v="25.778756300008091"/>
    <n v="10724"/>
    <n v="0"/>
    <n v="0"/>
    <n v="0"/>
    <n v="0"/>
  </r>
  <r>
    <x v="6"/>
    <s v="Islamic Republic of Mauritania"/>
    <x v="7"/>
    <n v="143140.70000000001"/>
    <n v="4270711.4999999972"/>
    <n v="29.83575950096651"/>
    <n v="112"/>
    <n v="78"/>
    <m/>
    <m/>
    <m/>
    <m/>
    <m/>
    <m/>
    <m/>
    <m/>
    <m/>
    <m/>
    <m/>
    <n v="5"/>
    <m/>
    <m/>
    <m/>
    <m/>
    <m/>
    <m/>
    <m/>
    <n v="0"/>
    <m/>
    <m/>
    <m/>
    <m/>
    <m/>
    <m/>
    <m/>
    <m/>
    <m/>
    <m/>
    <n v="0"/>
    <m/>
    <m/>
    <m/>
    <n v="0"/>
    <m/>
    <m/>
    <n v="0"/>
    <n v="1700"/>
    <n v="8223"/>
    <n v="1342"/>
    <n v="0"/>
    <n v="3.9806013588133995"/>
    <n v="19.254402925601518"/>
    <n v="3.1423335432515187"/>
    <n v="0"/>
    <n v="0.26225138363947104"/>
    <n v="0.18263935646320303"/>
    <n v="0"/>
    <n v="0"/>
    <n v="0"/>
    <n v="0"/>
    <n v="0"/>
    <n v="0"/>
    <n v="0"/>
    <n v="0"/>
    <n v="0"/>
    <n v="0"/>
    <n v="0"/>
    <n v="1.170765105533352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65"/>
    <n v="22.396736468853039"/>
    <n v="11265"/>
    <n v="26.377337827666437"/>
    <n v="11460"/>
    <n v="12751"/>
    <n v="0"/>
    <n v="4038"/>
    <n v="4745"/>
  </r>
  <r>
    <x v="7"/>
    <s v="Islamic Republic of Mauritania"/>
    <x v="7"/>
    <n v="145586.5"/>
    <n v="4383848.5000000009"/>
    <n v="30.111641532697064"/>
    <n v="118"/>
    <n v="7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94"/>
    <n v="8738"/>
    <n v="1864"/>
    <n v="0"/>
    <n v="4.0922947040710911"/>
    <n v="19.932258151713039"/>
    <n v="4.2519717549545781"/>
    <n v="0"/>
    <n v="0.2691698857750216"/>
    <n v="0.16880145379111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02"/>
    <n v="24.184229906667618"/>
    <n v="12396"/>
    <n v="28.276524610738708"/>
    <n v="12588"/>
    <n v="0"/>
    <n v="0"/>
    <n v="0"/>
    <n v="0"/>
  </r>
  <r>
    <x v="8"/>
    <s v="Islamic Republic of Mauritania"/>
    <x v="7"/>
    <n v="147926"/>
    <n v="4498603.4999999953"/>
    <n v="30.411175182185655"/>
    <n v="117"/>
    <n v="76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68"/>
    <n v="8580"/>
    <n v="2054"/>
    <n v="0"/>
    <n v="4.1523997391635028"/>
    <n v="19.072585525708163"/>
    <n v="4.565861383427106"/>
    <n v="0"/>
    <n v="0.26008071171420222"/>
    <n v="0.16894131701093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34"/>
    <n v="23.638446909135272"/>
    <n v="12502"/>
    <n v="27.790846648298771"/>
    <n v="12695"/>
    <n v="0"/>
    <n v="0"/>
    <n v="0"/>
    <n v="0"/>
  </r>
  <r>
    <x v="9"/>
    <s v="Islamic Republic of Mauritania"/>
    <x v="7"/>
    <n v="150737.70000000001"/>
    <n v="4614974"/>
    <n v="30.615924218029065"/>
    <n v="121"/>
    <n v="7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070"/>
    <n v="12312"/>
    <n v="2504"/>
    <n v="0"/>
    <n v="4.4853990510022372"/>
    <n v="26.678373485961135"/>
    <n v="5.4258160501012576"/>
    <n v="0"/>
    <n v="0.26218999283636268"/>
    <n v="0.162514458369646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16"/>
    <n v="32.104189536062393"/>
    <n v="16886"/>
    <n v="36.589588587064632"/>
    <n v="17082"/>
    <n v="0"/>
    <n v="0"/>
    <n v="0"/>
    <n v="0"/>
  </r>
  <r>
    <x v="10"/>
    <s v="Islamic Republic of Mauritania"/>
    <x v="7"/>
    <n v="153744"/>
    <n v="4736138.9999999991"/>
    <n v="30.805358257883228"/>
    <n v="131"/>
    <n v="8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36"/>
    <n v="13006"/>
    <n v="2680"/>
    <n v="0"/>
    <n v="4.7211452197665658"/>
    <n v="27.461187266674401"/>
    <n v="5.6586177052658302"/>
    <n v="0"/>
    <n v="0.27659661171262084"/>
    <n v="0.17947108393566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86"/>
    <n v="33.119804971940233"/>
    <n v="17922"/>
    <n v="37.840950191706796"/>
    <n v="18138"/>
    <n v="0"/>
    <n v="0"/>
    <n v="0"/>
    <n v="0"/>
  </r>
  <r>
    <x v="0"/>
    <s v="Kingdom of Eswatini"/>
    <x v="8"/>
    <n v="32540"/>
    <n v="1111443.9999999998"/>
    <n v="34.15623847572218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8"/>
    <n v="3320"/>
    <n v="0"/>
    <n v="4646"/>
  </r>
  <r>
    <x v="1"/>
    <s v="Kingdom of Eswatini"/>
    <x v="8"/>
    <n v="32451"/>
    <n v="1118318.9999999998"/>
    <n v="34.46177313488027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470"/>
    <n v="0"/>
    <n v="0"/>
    <n v="0"/>
    <n v="66.796683236178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70"/>
    <n v="66.796683236178595"/>
    <n v="7470"/>
    <n v="66.796683236178595"/>
    <n v="7470"/>
    <n v="0"/>
    <n v="0"/>
    <n v="0"/>
    <n v="0"/>
  </r>
  <r>
    <x v="2"/>
    <s v="Kingdom of Eswatini"/>
    <x v="8"/>
    <n v="32210.7"/>
    <n v="1125865.0000000005"/>
    <n v="34.9531366906028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694"/>
    <n v="0"/>
    <n v="0"/>
    <n v="0"/>
    <n v="68.338566346764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4"/>
    <n v="68.338566346764466"/>
    <n v="7694"/>
    <n v="68.338566346764466"/>
    <n v="7694"/>
    <n v="214"/>
    <n v="488"/>
    <n v="0"/>
    <n v="234"/>
  </r>
  <r>
    <x v="3"/>
    <s v="Kingdom of Eswatini"/>
    <x v="8"/>
    <n v="31767.3"/>
    <n v="1133935.9999999998"/>
    <n v="35.6950700877946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952"/>
    <n v="0"/>
    <n v="0"/>
    <n v="0"/>
    <n v="70.1274145983547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52"/>
    <n v="70.127414598354775"/>
    <n v="7952"/>
    <n v="70.127414598354775"/>
    <n v="7952"/>
    <n v="13"/>
    <n v="65"/>
    <n v="15"/>
    <n v="428"/>
  </r>
  <r>
    <x v="4"/>
    <s v="Kingdom of Eswatini"/>
    <x v="8"/>
    <n v="31320.3"/>
    <n v="1142524"/>
    <n v="36.4787055040979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0"/>
    <n v="8400"/>
    <n v="0"/>
    <n v="0"/>
    <n v="1.9255613011192763"/>
    <n v="73.521431497281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73.521431497281455"/>
    <n v="8620"/>
    <n v="75.446992798400728"/>
    <n v="8620"/>
    <n v="0"/>
    <n v="0"/>
    <n v="0"/>
    <n v="0"/>
  </r>
  <r>
    <x v="5"/>
    <s v="Kingdom of Eswatini"/>
    <x v="8"/>
    <n v="30815.7"/>
    <n v="1151390.5000000002"/>
    <n v="37.3637626274918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25"/>
    <n v="8862"/>
    <n v="0"/>
    <n v="0"/>
    <n v="3.6911890448983202"/>
    <n v="76.967805449150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62"/>
    <n v="76.967805449150376"/>
    <n v="9287"/>
    <n v="80.658994494048699"/>
    <n v="9287"/>
    <n v="0"/>
    <n v="0"/>
    <n v="0"/>
    <n v="0"/>
  </r>
  <r>
    <x v="6"/>
    <s v="Kingdom of Eswatini"/>
    <x v="8"/>
    <n v="30300.3"/>
    <n v="1160427.5"/>
    <n v="38.297558109985708"/>
    <n v="74"/>
    <n v="281"/>
    <m/>
    <m/>
    <m/>
    <m/>
    <n v="6324"/>
    <m/>
    <m/>
    <m/>
    <m/>
    <m/>
    <m/>
    <m/>
    <m/>
    <m/>
    <m/>
    <m/>
    <m/>
    <n v="370"/>
    <m/>
    <n v="0"/>
    <m/>
    <m/>
    <m/>
    <m/>
    <m/>
    <m/>
    <m/>
    <m/>
    <m/>
    <m/>
    <n v="0"/>
    <m/>
    <m/>
    <m/>
    <n v="0"/>
    <m/>
    <m/>
    <n v="0"/>
    <n v="556"/>
    <n v="9412"/>
    <n v="0"/>
    <n v="0"/>
    <n v="4.791337675124038"/>
    <n v="81.108039924941451"/>
    <n v="0"/>
    <n v="0"/>
    <n v="0.63769602150931448"/>
    <n v="2.4215213789745591"/>
    <n v="0"/>
    <n v="0"/>
    <n v="0"/>
    <n v="0"/>
    <n v="54.497157297633848"/>
    <n v="0"/>
    <n v="0"/>
    <n v="0"/>
    <n v="0"/>
    <n v="0"/>
    <n v="0"/>
    <n v="0"/>
    <n v="0"/>
    <n v="0"/>
    <n v="0"/>
    <n v="0"/>
    <n v="0"/>
    <n v="3.1884801075465723"/>
    <n v="0"/>
    <n v="0"/>
    <n v="0"/>
    <n v="0"/>
    <n v="0"/>
    <n v="0"/>
    <n v="0"/>
    <n v="0"/>
    <n v="0"/>
    <n v="0"/>
    <n v="0"/>
    <n v="0"/>
    <n v="0"/>
    <n v="0"/>
    <n v="0"/>
    <n v="0"/>
    <n v="9412"/>
    <n v="81.108039924941451"/>
    <n v="9968"/>
    <n v="85.899377600065492"/>
    <n v="17017"/>
    <n v="275"/>
    <n v="921"/>
    <n v="31"/>
    <n v="275"/>
  </r>
  <r>
    <x v="7"/>
    <s v="Kingdom of Eswatini"/>
    <x v="8"/>
    <n v="29875.9"/>
    <n v="1169612.9999999998"/>
    <n v="39.149046555919647"/>
    <n v="14"/>
    <m/>
    <m/>
    <m/>
    <m/>
    <m/>
    <m/>
    <n v="19"/>
    <n v="3"/>
    <m/>
    <m/>
    <m/>
    <m/>
    <m/>
    <m/>
    <m/>
    <m/>
    <m/>
    <m/>
    <m/>
    <m/>
    <n v="3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1969771197823556"/>
    <n v="0"/>
    <n v="0"/>
    <n v="0"/>
    <n v="0"/>
    <n v="0"/>
    <n v="0"/>
    <n v="0.16244689482760541"/>
    <n v="2.564950970962190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0"/>
    <n v="0"/>
    <n v="0"/>
    <n v="0"/>
  </r>
  <r>
    <x v="8"/>
    <s v="Kingdom of Eswatini"/>
    <x v="8"/>
    <n v="29530.3"/>
    <n v="1180654.9999999998"/>
    <n v="39.981138017561619"/>
    <n v="22"/>
    <n v="48"/>
    <n v="2087"/>
    <n v="374"/>
    <n v="7"/>
    <n v="75"/>
    <n v="5386"/>
    <n v="28"/>
    <m/>
    <n v="7"/>
    <m/>
    <n v="18"/>
    <n v="63"/>
    <n v="79"/>
    <n v="51"/>
    <n v="53"/>
    <m/>
    <n v="30"/>
    <m/>
    <m/>
    <m/>
    <n v="0"/>
    <m/>
    <n v="0"/>
    <n v="9"/>
    <n v="6"/>
    <n v="52"/>
    <n v="1861"/>
    <m/>
    <n v="80"/>
    <n v="10"/>
    <n v="5"/>
    <n v="15"/>
    <n v="12"/>
    <n v="16"/>
    <n v="22"/>
    <n v="38"/>
    <m/>
    <m/>
    <n v="0"/>
    <n v="330"/>
    <n v="6881"/>
    <n v="0"/>
    <n v="0"/>
    <n v="2.7950586750574899"/>
    <n v="58.28120831233511"/>
    <n v="0"/>
    <n v="0"/>
    <n v="0.18633724500383267"/>
    <n v="0.40655398909927126"/>
    <n v="17.676628651045398"/>
    <n v="3.167733165065155"/>
    <n v="5.9289123410310389E-2"/>
    <n v="0.63524060796761128"/>
    <n v="45.618745526847391"/>
    <n v="0.23715649364124156"/>
    <n v="0"/>
    <n v="5.9289123410310389E-2"/>
    <n v="0"/>
    <n v="0.15245774591222672"/>
    <n v="0.53360211069279351"/>
    <n v="0.66912010705921721"/>
    <n v="0.43196361341797568"/>
    <n v="0.4489033629637787"/>
    <n v="0"/>
    <n v="0.25409624318704455"/>
    <n v="0"/>
    <n v="0"/>
    <n v="0"/>
    <n v="0"/>
    <n v="0"/>
    <n v="7.6228872956113358E-2"/>
    <n v="5.0819248637408908E-2"/>
    <n v="0.44043348819087719"/>
    <n v="15.762436952369661"/>
    <n v="0"/>
    <n v="0.67758998183211872"/>
    <n v="8.4698747729014839E-2"/>
    <n v="4.234937386450742E-2"/>
    <n v="0.10163849727481782"/>
    <n v="0.13551799636642375"/>
    <n v="0.18633724500383267"/>
    <n v="0"/>
    <n v="0"/>
    <n v="6881"/>
    <n v="58.28120831233511"/>
    <n v="7211"/>
    <n v="61.0762669873926"/>
    <n v="17665"/>
    <n v="0"/>
    <n v="0"/>
    <n v="0"/>
    <n v="0"/>
  </r>
  <r>
    <x v="9"/>
    <s v="Kingdom of Eswatini"/>
    <x v="8"/>
    <n v="29226.2"/>
    <n v="1192271.0000000002"/>
    <n v="40.79459526041703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Kingdom of Eswatini"/>
    <x v="8"/>
    <n v="28860"/>
    <n v="1201670.4999999995"/>
    <n v="41.6379244629244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63"/>
    <n v="7648"/>
    <n v="0"/>
    <n v="0"/>
    <n v="33.811265234521457"/>
    <n v="63.644734559099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48"/>
    <n v="63.644734559099213"/>
    <n v="11711"/>
    <n v="97.455999793620663"/>
    <n v="11711"/>
    <n v="338"/>
    <n v="15498"/>
    <n v="688"/>
    <n v="2886"/>
  </r>
  <r>
    <x v="0"/>
    <s v="Kingdom of Lesotho"/>
    <x v="9"/>
    <n v="58544.2"/>
    <n v="2054717.9999999998"/>
    <n v="35.09686698255335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Kingdom of Lesotho"/>
    <x v="9"/>
    <n v="59174.8"/>
    <n v="2073938.4999999998"/>
    <n v="35.04766387043132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318"/>
    <n v="11"/>
    <n v="205"/>
  </r>
  <r>
    <x v="2"/>
    <s v="Kingdom of Lesotho"/>
    <x v="9"/>
    <n v="59339.9"/>
    <n v="2095242.4999999993"/>
    <n v="35.30916803027978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"/>
    <n v="76"/>
    <n v="0"/>
    <n v="0"/>
  </r>
  <r>
    <x v="3"/>
    <s v="Kingdom of Lesotho"/>
    <x v="9"/>
    <n v="59058.5"/>
    <n v="2118520.5000000019"/>
    <n v="35.8715595553561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28"/>
    <n v="16"/>
    <n v="142"/>
  </r>
  <r>
    <x v="4"/>
    <s v="Kingdom of Lesotho"/>
    <x v="9"/>
    <n v="59260.7"/>
    <n v="2143872.0000000023"/>
    <n v="36.17696044764915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Kingdom of Lesotho"/>
    <x v="9"/>
    <n v="59424.3"/>
    <n v="2170616.9999999995"/>
    <n v="36.52743069754291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Kingdom of Lesotho"/>
    <x v="9"/>
    <n v="59244.9"/>
    <n v="2198017"/>
    <n v="37.10052679639935"/>
    <n v="159"/>
    <n v="398"/>
    <m/>
    <m/>
    <m/>
    <m/>
    <n v="14508"/>
    <m/>
    <m/>
    <m/>
    <m/>
    <m/>
    <m/>
    <m/>
    <m/>
    <m/>
    <m/>
    <m/>
    <m/>
    <n v="205"/>
    <m/>
    <n v="0"/>
    <m/>
    <m/>
    <m/>
    <m/>
    <m/>
    <m/>
    <m/>
    <m/>
    <m/>
    <m/>
    <n v="0"/>
    <m/>
    <m/>
    <m/>
    <n v="0"/>
    <m/>
    <m/>
    <n v="0"/>
    <n v="1996"/>
    <n v="13732"/>
    <n v="0"/>
    <n v="0"/>
    <n v="9.0809124770190586"/>
    <n v="62.474494055323504"/>
    <n v="0"/>
    <n v="0"/>
    <n v="0.7233793005240633"/>
    <n v="1.8107230289847622"/>
    <n v="0"/>
    <n v="0"/>
    <n v="0"/>
    <n v="0"/>
    <n v="66.004949006308863"/>
    <n v="0"/>
    <n v="0"/>
    <n v="0"/>
    <n v="0"/>
    <n v="0"/>
    <n v="0"/>
    <n v="0"/>
    <n v="0"/>
    <n v="0"/>
    <n v="0"/>
    <n v="0"/>
    <n v="0"/>
    <n v="0.93265884658762876"/>
    <n v="0"/>
    <n v="0"/>
    <n v="0"/>
    <n v="0"/>
    <n v="0"/>
    <n v="0"/>
    <n v="0"/>
    <n v="0"/>
    <n v="0"/>
    <n v="0"/>
    <n v="0"/>
    <n v="0"/>
    <n v="0"/>
    <n v="0"/>
    <n v="0"/>
    <n v="0"/>
    <n v="13732"/>
    <n v="62.474494055323504"/>
    <n v="15728"/>
    <n v="71.555406532342559"/>
    <n v="30998"/>
    <n v="0"/>
    <n v="0"/>
    <n v="0"/>
    <n v="0"/>
  </r>
  <r>
    <x v="7"/>
    <s v="Kingdom of Lesotho"/>
    <x v="9"/>
    <n v="59062.8"/>
    <n v="2225701.4999999995"/>
    <n v="37.683643511651994"/>
    <n v="37"/>
    <m/>
    <m/>
    <m/>
    <m/>
    <m/>
    <m/>
    <n v="47"/>
    <n v="6"/>
    <m/>
    <m/>
    <m/>
    <m/>
    <m/>
    <m/>
    <m/>
    <m/>
    <m/>
    <m/>
    <m/>
    <m/>
    <n v="6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662397226222834"/>
    <n v="0"/>
    <n v="0"/>
    <n v="0"/>
    <n v="0"/>
    <n v="0"/>
    <n v="0"/>
    <n v="0.2111693773850627"/>
    <n v="2.695779285766757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</r>
  <r>
    <x v="8"/>
    <s v="Kingdom of Lesotho"/>
    <x v="9"/>
    <n v="58877.4"/>
    <n v="2254100.0000000005"/>
    <n v="38.2846389276700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"/>
    <n v="580"/>
    <n v="43"/>
    <n v="0"/>
  </r>
  <r>
    <x v="9"/>
    <s v="Kingdom of Lesotho"/>
    <x v="9"/>
    <n v="58852.800000000003"/>
    <n v="2281454.5000000014"/>
    <n v="38.7654368186390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Kingdom of Lesotho"/>
    <x v="9"/>
    <n v="58859.199999999997"/>
    <n v="2305825.5000000019"/>
    <n v="39.175277611656327"/>
    <n v="31"/>
    <n v="201"/>
    <n v="343"/>
    <n v="0"/>
    <n v="0"/>
    <n v="1"/>
    <n v="9196"/>
    <n v="49"/>
    <n v="5"/>
    <n v="15"/>
    <n v="0"/>
    <n v="4"/>
    <n v="0"/>
    <n v="31"/>
    <n v="3"/>
    <n v="76"/>
    <n v="33"/>
    <n v="5"/>
    <n v="28"/>
    <n v="0"/>
    <n v="0"/>
    <n v="5"/>
    <n v="0"/>
    <n v="0"/>
    <n v="0"/>
    <n v="3"/>
    <n v="620"/>
    <n v="0"/>
    <n v="2"/>
    <n v="31"/>
    <n v="5"/>
    <n v="2"/>
    <n v="7"/>
    <n v="0"/>
    <n v="0"/>
    <n v="0"/>
    <n v="0"/>
    <n v="0"/>
    <n v="0"/>
    <n v="0"/>
    <n v="748"/>
    <n v="0"/>
    <n v="0"/>
    <n v="0"/>
    <n v="3.2439575327794725"/>
    <n v="0"/>
    <n v="0"/>
    <n v="0"/>
    <n v="0.13444209026225087"/>
    <n v="0.8717051658939492"/>
    <n v="1.4875366761274855"/>
    <n v="0"/>
    <n v="0"/>
    <n v="4.3368416213629317E-3"/>
    <n v="39.881595550053518"/>
    <n v="0.21250523944678365"/>
    <n v="2.1684208106814658E-2"/>
    <n v="6.5052624320443966E-2"/>
    <n v="0"/>
    <n v="1.7347366485451727E-2"/>
    <n v="0"/>
    <n v="0.13444209026225087"/>
    <n v="1.3010524864088794E-2"/>
    <n v="0.32959996322358276"/>
    <n v="0.14311577350497673"/>
    <n v="2.1684208106814658E-2"/>
    <n v="0.12143156539816208"/>
    <n v="0"/>
    <n v="0"/>
    <n v="0"/>
    <n v="0"/>
    <n v="0"/>
    <n v="1.3010524864088794E-2"/>
    <n v="2.6888418052450174"/>
    <n v="0"/>
    <n v="8.6736832427258635E-3"/>
    <n v="0.13444209026225087"/>
    <n v="2.1684208106814658E-2"/>
    <n v="8.6736832427258635E-3"/>
    <n v="0"/>
    <n v="0"/>
    <n v="0"/>
    <n v="0"/>
    <n v="0"/>
    <n v="0"/>
    <n v="0"/>
    <n v="748"/>
    <n v="3.2439575327794725"/>
    <n v="11444"/>
    <n v="0"/>
    <n v="0"/>
    <n v="0"/>
    <n v="0"/>
  </r>
  <r>
    <x v="0"/>
    <s v="People's Democratic Republic of Algeria"/>
    <x v="10"/>
    <n v="944686.2"/>
    <n v="37260562.50000003"/>
    <n v="39.4422640025862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391"/>
    <n v="20"/>
    <n v="199"/>
  </r>
  <r>
    <x v="1"/>
    <s v="People's Democratic Republic of Algeria"/>
    <x v="10"/>
    <n v="971174.5"/>
    <n v="38000626.500000022"/>
    <n v="39.1285258210548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628"/>
    <n v="0"/>
    <n v="0"/>
    <n v="0"/>
    <n v="1.2178746579349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8"/>
    <m/>
    <n v="4628"/>
    <n v="0"/>
    <n v="54"/>
    <n v="1"/>
    <n v="0"/>
  </r>
  <r>
    <x v="2"/>
    <s v="People's Democratic Republic of Algeria"/>
    <x v="10"/>
    <n v="991164.8"/>
    <n v="38760167.5"/>
    <n v="39.1056739504873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12"/>
    <n v="0"/>
    <n v="22278"/>
    <n v="0"/>
    <n v="0.15789405450840738"/>
    <n v="0"/>
    <n v="5.7476531802913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78"/>
    <m/>
    <n v="22890"/>
    <m/>
    <n v="22890"/>
    <n v="397"/>
    <n v="1029"/>
    <n v="0"/>
    <n v="0"/>
  </r>
  <r>
    <x v="3"/>
    <s v="People's Democratic Republic of Algeria"/>
    <x v="10"/>
    <n v="1014537.2"/>
    <n v="39543154.499999985"/>
    <n v="38.97654467475415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</r>
  <r>
    <x v="4"/>
    <s v="People's Democratic Republic of Algeria"/>
    <x v="10"/>
    <n v="1030448.2"/>
    <n v="40339328.5"/>
    <n v="39.14736179848730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8618"/>
    <n v="181916"/>
    <n v="0"/>
    <n v="0"/>
    <n v="36.841961809056883"/>
    <n v="45.096437339059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916"/>
    <n v="45.096437339059818"/>
    <n v="330534"/>
    <n v="81.938399148116702"/>
    <n v="330534"/>
    <n v="25"/>
    <n v="81"/>
    <n v="0"/>
    <n v="304"/>
  </r>
  <r>
    <x v="5"/>
    <s v="People's Democratic Republic of Algeria"/>
    <x v="10"/>
    <n v="1038181.5"/>
    <n v="41136545.999999985"/>
    <n v="39.623655401295423"/>
    <n v="14263"/>
    <m/>
    <m/>
    <m/>
    <m/>
    <m/>
    <m/>
    <m/>
    <n v="521"/>
    <m/>
    <m/>
    <m/>
    <m/>
    <m/>
    <m/>
    <m/>
    <m/>
    <m/>
    <m/>
    <m/>
    <m/>
    <n v="521"/>
    <m/>
    <m/>
    <m/>
    <m/>
    <m/>
    <m/>
    <m/>
    <m/>
    <m/>
    <m/>
    <n v="0"/>
    <m/>
    <m/>
    <m/>
    <n v="0"/>
    <m/>
    <m/>
    <n v="0"/>
    <n v="0"/>
    <n v="184000"/>
    <n v="0"/>
    <n v="0"/>
    <n v="0"/>
    <n v="44.729083477256466"/>
    <n v="0"/>
    <n v="0"/>
    <n v="3.4672332480223313"/>
    <n v="0"/>
    <n v="0"/>
    <n v="0"/>
    <n v="0"/>
    <n v="0"/>
    <n v="0"/>
    <n v="0"/>
    <n v="0.12665137223723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000"/>
    <n v="44.729083477256466"/>
    <n v="184000"/>
    <n v="44.729083477256466"/>
    <n v="199305"/>
    <n v="0"/>
    <n v="1388"/>
    <n v="0"/>
    <n v="0"/>
  </r>
  <r>
    <x v="6"/>
    <s v="People's Democratic Republic of Algeria"/>
    <x v="10"/>
    <n v="1036361.6"/>
    <n v="41927007.000000007"/>
    <n v="40.455963439787823"/>
    <n v="15437"/>
    <n v="18807"/>
    <n v="25611"/>
    <m/>
    <m/>
    <n v="515"/>
    <m/>
    <n v="46"/>
    <n v="729"/>
    <n v="406"/>
    <m/>
    <n v="240"/>
    <m/>
    <n v="1258"/>
    <n v="653"/>
    <n v="6245"/>
    <n v="900"/>
    <n v="2148"/>
    <n v="15238"/>
    <n v="136"/>
    <n v="107"/>
    <n v="836"/>
    <m/>
    <n v="168"/>
    <m/>
    <n v="1533"/>
    <n v="6184"/>
    <n v="75033"/>
    <n v="365"/>
    <n v="880"/>
    <n v="1751"/>
    <n v="220"/>
    <n v="1971"/>
    <n v="4403"/>
    <m/>
    <m/>
    <n v="0"/>
    <m/>
    <m/>
    <n v="0"/>
    <n v="185038"/>
    <n v="112822"/>
    <n v="17896"/>
    <n v="42507"/>
    <n v="44.133367306662258"/>
    <n v="26.909147128007486"/>
    <n v="4.2683705040047331"/>
    <n v="10.138333986015265"/>
    <n v="3.6818750262807924"/>
    <n v="4.485652887171268"/>
    <n v="6.1084732330166078"/>
    <n v="0"/>
    <n v="0"/>
    <n v="0.12283252176812905"/>
    <n v="0"/>
    <n v="1.0971448546279489E-2"/>
    <n v="0.17387360848342928"/>
    <n v="9.6834958908466787E-2"/>
    <n v="0"/>
    <n v="5.7242340241458196E-2"/>
    <n v="0"/>
    <n v="0.30004526676564341"/>
    <n v="0.15574686740696753"/>
    <n v="1.4894933950329436"/>
    <n v="0.21465877590546825"/>
    <n v="0.51231894516105092"/>
    <n v="3.6344115858305837"/>
    <n v="3.243732613682631E-2"/>
    <n v="2.5520543357650114E-2"/>
    <n v="0"/>
    <n v="4.006963816902074E-2"/>
    <n v="0"/>
    <n v="0.36563544829231426"/>
    <n v="1.474944300221573"/>
    <n v="17.896102147238889"/>
    <n v="8.7056059117217671E-2"/>
    <n v="0.20988858088534673"/>
    <n v="0.41763057401163878"/>
    <n v="5.2472145221336683E-2"/>
    <n v="1.0501584336797518"/>
    <n v="0"/>
    <n v="0"/>
    <n v="0"/>
    <n v="0"/>
    <n v="130718"/>
    <n v="31.177517632012218"/>
    <n v="315756"/>
    <n v="75.310884938674477"/>
    <n v="540083"/>
    <n v="0"/>
    <n v="0"/>
    <n v="0"/>
    <n v="0"/>
  </r>
  <r>
    <x v="7"/>
    <s v="People's Democratic Republic of Algeria"/>
    <x v="10"/>
    <n v="1025953.1"/>
    <n v="42705368.50000003"/>
    <n v="41.625068923715936"/>
    <n v="7018"/>
    <n v="2156"/>
    <m/>
    <m/>
    <m/>
    <m/>
    <m/>
    <m/>
    <m/>
    <m/>
    <m/>
    <m/>
    <m/>
    <m/>
    <m/>
    <m/>
    <m/>
    <m/>
    <m/>
    <m/>
    <m/>
    <n v="0"/>
    <m/>
    <m/>
    <m/>
    <m/>
    <m/>
    <m/>
    <n v="128823"/>
    <m/>
    <m/>
    <m/>
    <n v="0"/>
    <m/>
    <m/>
    <m/>
    <n v="0"/>
    <m/>
    <m/>
    <n v="0"/>
    <n v="84280"/>
    <n v="8850"/>
    <n v="18140"/>
    <n v="0"/>
    <n v="19.73522368739189"/>
    <m/>
    <n v="4.2477095122127295"/>
    <n v="0"/>
    <n v="1.6433531067645499"/>
    <n v="0.504854559444908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165528252027588"/>
    <n v="0"/>
    <n v="0"/>
    <n v="0"/>
    <n v="0"/>
    <n v="0"/>
    <n v="0"/>
    <n v="0"/>
    <n v="0"/>
    <n v="26990"/>
    <m/>
    <n v="111270"/>
    <n v="26.055272184339053"/>
    <n v="249267"/>
    <n v="5"/>
    <n v="86"/>
    <n v="7"/>
    <n v="20"/>
  </r>
  <r>
    <x v="8"/>
    <s v="People's Democratic Republic of Algeria"/>
    <x v="10"/>
    <n v="1010048.1"/>
    <n v="43451665.999999985"/>
    <n v="43.0194027393348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People's Democratic Republic of Algeria"/>
    <x v="10"/>
    <n v="989535.7"/>
    <n v="44177968.500000007"/>
    <n v="44.64514872985381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13"/>
    <n v="0"/>
    <n v="0"/>
  </r>
  <r>
    <x v="10"/>
    <s v="People's Democratic Republic of Algeria"/>
    <x v="10"/>
    <n v="966316.9"/>
    <n v="44903225.000000007"/>
    <n v="46.4684256272450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Republic of Angola"/>
    <x v="11"/>
    <n v="1060133.3"/>
    <n v="25188292.499999996"/>
    <n v="23.7595522185747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"/>
    <n v="751"/>
    <n v="85"/>
    <n v="517"/>
  </r>
  <r>
    <x v="1"/>
    <s v="Republic of Angola"/>
    <x v="11"/>
    <n v="1089608.5"/>
    <n v="26147002.000000011"/>
    <n v="23.9966942254947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60"/>
    <n v="0"/>
    <n v="0"/>
    <n v="0"/>
    <n v="2.294718147801418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2.2947181478014181E-2"/>
    <n v="60"/>
    <n v="2.2947181478014181E-2"/>
    <n v="60"/>
    <n v="0"/>
    <n v="0"/>
    <n v="0"/>
    <n v="0"/>
  </r>
  <r>
    <x v="2"/>
    <s v="Republic of Angola"/>
    <x v="11"/>
    <n v="1117632.7"/>
    <n v="27128336.499999981"/>
    <n v="24.27303397618912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Republic of Angola"/>
    <x v="11"/>
    <n v="1144292.3999999999"/>
    <n v="28127721.000000004"/>
    <n v="24.5808859693553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2781"/>
    <n v="870"/>
    <n v="0"/>
  </r>
  <r>
    <x v="4"/>
    <s v="Republic of Angola"/>
    <x v="11"/>
    <n v="1170060.7"/>
    <n v="29154745.500000007"/>
    <n v="24.9172931797470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884"/>
    <n v="32"/>
    <n v="177"/>
  </r>
  <r>
    <x v="5"/>
    <s v="Republic of Angola"/>
    <x v="11"/>
    <n v="1196892.8"/>
    <n v="30208628.000000015"/>
    <n v="25.2392093928545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800"/>
    <n v="0"/>
    <n v="0"/>
    <n v="0"/>
    <n v="4.2372000476155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00"/>
    <n v="4.2372000476155334"/>
    <n v="12800"/>
    <n v="0"/>
    <n v="0"/>
    <n v="0"/>
    <n v="0"/>
  </r>
  <r>
    <x v="6"/>
    <s v="Republic of Angola"/>
    <x v="11"/>
    <n v="1224269.3"/>
    <n v="31273533.000000004"/>
    <n v="25.544651818027294"/>
    <n v="1652"/>
    <n v="2302"/>
    <m/>
    <m/>
    <m/>
    <m/>
    <n v="1680"/>
    <m/>
    <m/>
    <m/>
    <m/>
    <m/>
    <m/>
    <m/>
    <m/>
    <m/>
    <m/>
    <m/>
    <m/>
    <n v="98"/>
    <m/>
    <n v="0"/>
    <m/>
    <m/>
    <m/>
    <m/>
    <m/>
    <m/>
    <m/>
    <m/>
    <m/>
    <m/>
    <n v="0"/>
    <m/>
    <m/>
    <m/>
    <n v="0"/>
    <m/>
    <m/>
    <n v="0"/>
    <n v="13186"/>
    <n v="25108"/>
    <n v="0"/>
    <n v="0"/>
    <n v="4.2163448562079626"/>
    <n v="8.0285140793014964"/>
    <n v="0"/>
    <n v="0"/>
    <n v="0.52824220403879529"/>
    <n v="0.73608568625744963"/>
    <n v="0"/>
    <n v="0"/>
    <n v="0"/>
    <n v="0"/>
    <n v="0.53719546173436805"/>
    <n v="0"/>
    <n v="0"/>
    <n v="0"/>
    <n v="0"/>
    <n v="0"/>
    <n v="0"/>
    <n v="0"/>
    <n v="0"/>
    <n v="0"/>
    <n v="0"/>
    <n v="0"/>
    <n v="0"/>
    <n v="3.1336401934504807E-2"/>
    <n v="0"/>
    <n v="0"/>
    <n v="0"/>
    <n v="0"/>
    <n v="0"/>
    <n v="0"/>
    <n v="0"/>
    <n v="0"/>
    <n v="0"/>
    <n v="0"/>
    <n v="0"/>
    <n v="0"/>
    <n v="0"/>
    <n v="0"/>
    <n v="0"/>
    <n v="0"/>
    <n v="25108"/>
    <n v="8.0285140793014964"/>
    <n v="38294"/>
    <n v="12.244858935509459"/>
    <n v="44026"/>
    <n v="134"/>
    <n v="260"/>
    <n v="4"/>
    <n v="411"/>
  </r>
  <r>
    <x v="7"/>
    <s v="Republic of Angola"/>
    <x v="11"/>
    <n v="1251836.8999999999"/>
    <n v="32353587.999999993"/>
    <n v="25.84489081604799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Republic of Angola"/>
    <x v="11"/>
    <n v="1280498.2"/>
    <n v="33428485.999999974"/>
    <n v="26.105843803607044"/>
    <m/>
    <m/>
    <m/>
    <m/>
    <m/>
    <m/>
    <n v="2652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.79333536074592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2"/>
    <n v="81"/>
    <n v="525"/>
    <n v="57"/>
    <n v="236"/>
  </r>
  <r>
    <x v="9"/>
    <s v="Republic of Angola"/>
    <x v="11"/>
    <n v="1308712.3"/>
    <n v="34503773.49999997"/>
    <n v="26.36467426798079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Angola"/>
    <x v="11"/>
    <n v="1332678.6000000001"/>
    <n v="35588987.00000003"/>
    <n v="26.704853668393884"/>
    <n v="171"/>
    <n v="967"/>
    <n v="13442"/>
    <n v="1045"/>
    <n v="1"/>
    <n v="16"/>
    <n v="5"/>
    <n v="0"/>
    <n v="0"/>
    <n v="0"/>
    <m/>
    <m/>
    <n v="0"/>
    <n v="11"/>
    <n v="110"/>
    <n v="107"/>
    <n v="2072"/>
    <m/>
    <n v="12"/>
    <n v="9"/>
    <m/>
    <n v="0"/>
    <n v="117"/>
    <m/>
    <n v="15"/>
    <n v="6"/>
    <m/>
    <n v="8431"/>
    <n v="0"/>
    <n v="636"/>
    <n v="705"/>
    <n v="490"/>
    <n v="1195"/>
    <n v="767"/>
    <m/>
    <n v="41"/>
    <n v="41"/>
    <n v="0"/>
    <n v="0"/>
    <n v="0"/>
    <n v="21301"/>
    <n v="89978"/>
    <n v="44"/>
    <n v="0"/>
    <n v="5.9852785357447749"/>
    <n v="25.282540354407931"/>
    <n v="1.2363375220542231E-2"/>
    <n v="0"/>
    <n v="4.8048571879834585E-2"/>
    <n v="0.27171326905146226"/>
    <n v="3.7770111298756519"/>
    <n v="0.29363016148787802"/>
    <n v="2.8098580046686893E-4"/>
    <n v="4.4957728074699029E-3"/>
    <n v="1.4049290023343446E-3"/>
    <n v="0"/>
    <n v="0"/>
    <n v="0"/>
    <n v="0"/>
    <n v="0"/>
    <n v="0"/>
    <n v="3.0908438051355579E-3"/>
    <n v="3.0908438051355579E-2"/>
    <n v="3.0065480649954974E-2"/>
    <n v="0.58220257856735236"/>
    <n v="0"/>
    <n v="3.3718296056024269E-3"/>
    <n v="2.5288722042018201E-3"/>
    <n v="0"/>
    <n v="3.2875338654623665E-2"/>
    <n v="0"/>
    <n v="4.2147870070030338E-3"/>
    <n v="1.6859148028012135E-3"/>
    <n v="0"/>
    <n v="2.3689912837361717"/>
    <n v="0"/>
    <n v="0.17870696909692863"/>
    <n v="0.19809498932914257"/>
    <n v="0.13768304222876576"/>
    <n v="0.21551610895808845"/>
    <n v="0"/>
    <n v="1.1520417819141626E-2"/>
    <n v="0"/>
    <n v="0"/>
    <n v="90022"/>
    <n v="25.294903729628473"/>
    <n v="111323"/>
    <n v="31.280182265373249"/>
    <n v="141735"/>
    <n v="156"/>
    <n v="430"/>
    <n v="197"/>
    <n v="10"/>
  </r>
  <r>
    <x v="0"/>
    <s v="Republic of Benin"/>
    <x v="12"/>
    <n v="376547.2"/>
    <n v="10014078.499999996"/>
    <n v="26.59448403812323"/>
    <m/>
    <m/>
    <m/>
    <m/>
    <m/>
    <m/>
    <m/>
    <m/>
    <m/>
    <m/>
    <m/>
    <m/>
    <m/>
    <m/>
    <m/>
    <n v="241"/>
    <m/>
    <m/>
    <n v="845"/>
    <m/>
    <m/>
    <n v="0"/>
    <m/>
    <m/>
    <m/>
    <m/>
    <m/>
    <m/>
    <m/>
    <m/>
    <m/>
    <m/>
    <n v="0"/>
    <m/>
    <m/>
    <m/>
    <n v="0"/>
    <m/>
    <m/>
    <n v="0"/>
    <n v="26"/>
    <n v="10276"/>
    <n v="2960"/>
    <n v="0"/>
    <n v="2.5963447360633343E-2"/>
    <n v="10.261553272225701"/>
    <n v="2.9558386225951803"/>
    <n v="0"/>
    <n v="0"/>
    <n v="0"/>
    <n v="0"/>
    <n v="0"/>
    <n v="0"/>
    <n v="0"/>
    <n v="0"/>
    <n v="0"/>
    <n v="0"/>
    <n v="0"/>
    <n v="0"/>
    <n v="0"/>
    <n v="0"/>
    <n v="0"/>
    <n v="0"/>
    <n v="0.24066118515048598"/>
    <n v="0"/>
    <n v="0"/>
    <n v="0.84381203922058357"/>
    <n v="0"/>
    <n v="0"/>
    <n v="0"/>
    <n v="0"/>
    <n v="0"/>
    <n v="0"/>
    <n v="0"/>
    <n v="0"/>
    <n v="0"/>
    <n v="0"/>
    <n v="0"/>
    <n v="0"/>
    <n v="0"/>
    <n v="0"/>
    <n v="0"/>
    <n v="0"/>
    <n v="0"/>
    <n v="13236"/>
    <n v="13.217391894820882"/>
    <n v="13262"/>
    <n v="13.243355342181514"/>
    <n v="14348"/>
    <n v="0"/>
    <n v="0"/>
    <n v="0"/>
    <n v="0"/>
  </r>
  <r>
    <x v="1"/>
    <s v="Republic of Benin"/>
    <x v="12"/>
    <n v="387605.1"/>
    <n v="10308730.499999994"/>
    <n v="26.595961972636569"/>
    <m/>
    <n v="1330"/>
    <m/>
    <m/>
    <m/>
    <m/>
    <m/>
    <m/>
    <m/>
    <m/>
    <m/>
    <m/>
    <m/>
    <m/>
    <m/>
    <n v="206"/>
    <m/>
    <m/>
    <n v="830"/>
    <m/>
    <m/>
    <n v="0"/>
    <m/>
    <m/>
    <m/>
    <m/>
    <m/>
    <m/>
    <m/>
    <n v="770"/>
    <m/>
    <m/>
    <n v="0"/>
    <m/>
    <m/>
    <m/>
    <n v="0"/>
    <m/>
    <n v="10200"/>
    <n v="10200"/>
    <n v="0"/>
    <n v="9760"/>
    <n v="1886"/>
    <n v="0"/>
    <n v="0"/>
    <n v="9.4677031279457786"/>
    <n v="1.8295172232895225"/>
    <n v="0"/>
    <n v="0"/>
    <n v="1.2901685614926113"/>
    <n v="0"/>
    <n v="0"/>
    <n v="0"/>
    <n v="0"/>
    <n v="0"/>
    <n v="0"/>
    <n v="0"/>
    <n v="0"/>
    <n v="0"/>
    <n v="0"/>
    <n v="0"/>
    <n v="0"/>
    <n v="0"/>
    <n v="0.19983061929885557"/>
    <n v="0"/>
    <n v="0"/>
    <n v="0.80514278649538895"/>
    <n v="0"/>
    <n v="0"/>
    <n v="0"/>
    <n v="0"/>
    <n v="0"/>
    <n v="0"/>
    <n v="0"/>
    <n v="0"/>
    <n v="0"/>
    <n v="0.74693969349572231"/>
    <n v="0"/>
    <n v="0"/>
    <n v="0"/>
    <n v="0"/>
    <n v="0"/>
    <n v="0"/>
    <n v="9.8945258099433353"/>
    <n v="11646"/>
    <n v="11.297220351235302"/>
    <n v="11646"/>
    <n v="11.297220351235302"/>
    <n v="35182"/>
    <n v="0"/>
    <n v="0"/>
    <n v="0"/>
    <n v="0"/>
  </r>
  <r>
    <x v="2"/>
    <s v="Republic of Benin"/>
    <x v="12"/>
    <n v="399718.40000000002"/>
    <n v="10614844.000000013"/>
    <n v="26.55580528692202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91"/>
    <n v="0"/>
    <n v="0"/>
    <n v="0"/>
    <n v="0.17993669996469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"/>
    <m/>
    <n v="191"/>
    <n v="255"/>
    <n v="1717"/>
    <n v="0"/>
    <n v="0"/>
  </r>
  <r>
    <x v="3"/>
    <s v="Republic of Benin"/>
    <x v="12"/>
    <n v="411367.9"/>
    <n v="10932783.499999994"/>
    <n v="26.5766568076896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"/>
    <n v="2626"/>
    <n v="0"/>
    <n v="3830"/>
  </r>
  <r>
    <x v="4"/>
    <s v="Republic of Benin"/>
    <x v="12"/>
    <n v="422641.3"/>
    <n v="11260084.499999996"/>
    <n v="26.64217742090041"/>
    <n v="9"/>
    <n v="13"/>
    <m/>
    <m/>
    <m/>
    <m/>
    <m/>
    <m/>
    <m/>
    <m/>
    <m/>
    <m/>
    <m/>
    <n v="254"/>
    <m/>
    <n v="234"/>
    <m/>
    <m/>
    <n v="1166"/>
    <m/>
    <m/>
    <n v="0"/>
    <m/>
    <m/>
    <m/>
    <m/>
    <m/>
    <m/>
    <m/>
    <m/>
    <m/>
    <m/>
    <n v="0"/>
    <m/>
    <m/>
    <m/>
    <n v="0"/>
    <m/>
    <m/>
    <n v="0"/>
    <n v="1046"/>
    <n v="14448"/>
    <n v="2068"/>
    <n v="0"/>
    <n v="0.92894507141576099"/>
    <n v="12.831164810530511"/>
    <n v="1.8365759155715045"/>
    <n v="0"/>
    <n v="7.9928352225065481E-3"/>
    <n v="1.1545206432509458E-2"/>
    <n v="0"/>
    <n v="0"/>
    <n v="0"/>
    <n v="0"/>
    <n v="0"/>
    <n v="0"/>
    <n v="0"/>
    <n v="0"/>
    <n v="0"/>
    <n v="0"/>
    <n v="0"/>
    <n v="0.22557557183518478"/>
    <n v="0"/>
    <n v="0.20781371578517024"/>
    <n v="0"/>
    <n v="0"/>
    <n v="1.0355162077158484"/>
    <n v="0"/>
    <n v="0"/>
    <n v="0"/>
    <n v="0"/>
    <n v="0"/>
    <n v="0"/>
    <n v="0"/>
    <n v="0"/>
    <n v="0"/>
    <n v="0"/>
    <n v="0"/>
    <n v="0"/>
    <n v="0"/>
    <n v="0"/>
    <n v="0"/>
    <n v="0"/>
    <n v="0"/>
    <n v="16516"/>
    <n v="14.667740726102016"/>
    <n v="17562"/>
    <n v="15.596685797517777"/>
    <n v="19238"/>
    <n v="234"/>
    <n v="1600"/>
    <n v="0"/>
    <n v="0"/>
  </r>
  <r>
    <x v="5"/>
    <s v="Republic of Benin"/>
    <x v="12"/>
    <n v="433722.2"/>
    <n v="11596778.499999991"/>
    <n v="26.737802445897376"/>
    <n v="73"/>
    <m/>
    <m/>
    <m/>
    <m/>
    <m/>
    <m/>
    <n v="33"/>
    <n v="15"/>
    <m/>
    <m/>
    <m/>
    <m/>
    <m/>
    <m/>
    <m/>
    <m/>
    <m/>
    <m/>
    <m/>
    <m/>
    <n v="15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6.2948516262512091E-2"/>
    <n v="0"/>
    <n v="0"/>
    <n v="0"/>
    <n v="0"/>
    <n v="0"/>
    <n v="0"/>
    <n v="2.8456178584423276E-2"/>
    <n v="1.293462662928330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"/>
    <n v="0"/>
    <n v="0"/>
    <n v="0"/>
    <n v="0"/>
  </r>
  <r>
    <x v="6"/>
    <s v="Republic of Benin"/>
    <x v="12"/>
    <n v="442748.4"/>
    <n v="11940683.499999996"/>
    <n v="26.969456016103042"/>
    <n v="12"/>
    <n v="306"/>
    <n v="4463"/>
    <m/>
    <m/>
    <m/>
    <m/>
    <m/>
    <m/>
    <m/>
    <m/>
    <m/>
    <m/>
    <n v="255"/>
    <m/>
    <n v="137"/>
    <m/>
    <m/>
    <m/>
    <n v="668"/>
    <m/>
    <n v="0"/>
    <m/>
    <m/>
    <m/>
    <m/>
    <m/>
    <m/>
    <n v="5086"/>
    <n v="45"/>
    <n v="58"/>
    <m/>
    <n v="58"/>
    <m/>
    <m/>
    <n v="102"/>
    <n v="102"/>
    <m/>
    <m/>
    <n v="0"/>
    <n v="2300"/>
    <n v="6820"/>
    <n v="2110"/>
    <n v="0"/>
    <n v="1.9261878936829711"/>
    <n v="5.7115658412686363"/>
    <n v="1.7670680242048127"/>
    <n v="0"/>
    <n v="1.0049675967041588E-2"/>
    <n v="0.2562667371595605"/>
    <n v="3.7376419867422173"/>
    <n v="0"/>
    <n v="0"/>
    <n v="0"/>
    <n v="0"/>
    <n v="0"/>
    <n v="0"/>
    <n v="0"/>
    <n v="0"/>
    <n v="0"/>
    <n v="0"/>
    <n v="0.21355561429963374"/>
    <n v="0"/>
    <n v="0.1147338006237248"/>
    <n v="0"/>
    <n v="0"/>
    <n v="0"/>
    <n v="0.5594319621653151"/>
    <n v="0"/>
    <n v="0"/>
    <n v="0"/>
    <n v="0"/>
    <n v="0"/>
    <n v="0"/>
    <n v="0"/>
    <n v="4.2593876640311263"/>
    <n v="3.7686284876405955E-2"/>
    <n v="4.8573433840701008E-2"/>
    <n v="0"/>
    <n v="0"/>
    <n v="0"/>
    <n v="8.5422245719853504E-2"/>
    <n v="0"/>
    <n v="0"/>
    <n v="8930"/>
    <n v="7.4786338654734488"/>
    <n v="11230"/>
    <n v="9.4048217591564196"/>
    <n v="22522"/>
    <n v="0"/>
    <n v="281"/>
    <n v="8"/>
    <n v="429"/>
  </r>
  <r>
    <x v="7"/>
    <s v="Republic of Benin"/>
    <x v="12"/>
    <n v="450366.9"/>
    <n v="12290444.000000004"/>
    <n v="27.289847455485745"/>
    <m/>
    <m/>
    <m/>
    <m/>
    <m/>
    <m/>
    <m/>
    <m/>
    <m/>
    <m/>
    <m/>
    <m/>
    <m/>
    <m/>
    <m/>
    <n v="92"/>
    <m/>
    <m/>
    <m/>
    <m/>
    <m/>
    <n v="0"/>
    <m/>
    <m/>
    <m/>
    <m/>
    <m/>
    <m/>
    <m/>
    <m/>
    <m/>
    <m/>
    <n v="0"/>
    <m/>
    <m/>
    <m/>
    <n v="0"/>
    <m/>
    <m/>
    <n v="0"/>
    <n v="1842"/>
    <n v="5340"/>
    <n v="1810"/>
    <n v="0"/>
    <n v="1.4987253511752703"/>
    <n v="4.3448389659478526"/>
    <n v="1.4726888629898152"/>
    <n v="0"/>
    <n v="0"/>
    <n v="0"/>
    <n v="0"/>
    <n v="0"/>
    <n v="0"/>
    <n v="0"/>
    <n v="0"/>
    <n v="0"/>
    <n v="0"/>
    <n v="0"/>
    <n v="0"/>
    <n v="0"/>
    <n v="0"/>
    <n v="0"/>
    <n v="0"/>
    <n v="7.4854903533183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0"/>
    <n v="5.8175278289376671"/>
    <n v="8992"/>
    <n v="7.3162531801129376"/>
    <n v="9084"/>
    <n v="32"/>
    <n v="106"/>
    <n v="0"/>
    <n v="0"/>
  </r>
  <r>
    <x v="8"/>
    <s v="Republic of Benin"/>
    <x v="12"/>
    <n v="457449.9"/>
    <n v="12643123.000000002"/>
    <n v="27.638268146959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Benin"/>
    <x v="12"/>
    <n v="464321.1"/>
    <n v="12996895"/>
    <n v="27.991178949222856"/>
    <n v="50"/>
    <n v="403"/>
    <n v="5903"/>
    <m/>
    <m/>
    <m/>
    <n v="21"/>
    <n v="6"/>
    <m/>
    <m/>
    <m/>
    <m/>
    <m/>
    <n v="311"/>
    <m/>
    <n v="352"/>
    <m/>
    <m/>
    <n v="1744"/>
    <m/>
    <m/>
    <n v="0"/>
    <m/>
    <n v="4"/>
    <n v="44"/>
    <m/>
    <m/>
    <m/>
    <n v="382"/>
    <n v="56"/>
    <n v="187"/>
    <m/>
    <n v="187"/>
    <m/>
    <m/>
    <m/>
    <n v="0"/>
    <m/>
    <m/>
    <n v="0"/>
    <n v="5861"/>
    <n v="10968"/>
    <n v="4172"/>
    <n v="6809"/>
    <n v="4.5095386244176012"/>
    <n v="8.438938684970525"/>
    <n v="3.2099974647790877"/>
    <n v="5.2389436092235879"/>
    <n v="3.8470727046729235E-2"/>
    <n v="0.31007405999663767"/>
    <n v="4.5418540351368542"/>
    <n v="0"/>
    <n v="0"/>
    <n v="0"/>
    <n v="1.6157705359626282E-2"/>
    <n v="4.6164872456075081E-3"/>
    <n v="0"/>
    <n v="0"/>
    <n v="0"/>
    <n v="0"/>
    <n v="0"/>
    <n v="0.23928792223065587"/>
    <n v="0"/>
    <n v="0.27083391840897386"/>
    <n v="0"/>
    <n v="0"/>
    <n v="1.3418589593899157"/>
    <n v="0"/>
    <n v="0"/>
    <n v="0"/>
    <n v="3.0776581637383389E-3"/>
    <n v="3.3854239801121733E-2"/>
    <n v="0"/>
    <n v="0"/>
    <n v="0"/>
    <n v="0.29391635463701138"/>
    <n v="4.3087214292336744E-2"/>
    <n v="0.14388051915476735"/>
    <n v="0"/>
    <n v="0"/>
    <n v="0"/>
    <n v="0"/>
    <n v="0"/>
    <n v="0"/>
    <n v="15140"/>
    <n v="11.648936149749613"/>
    <n v="21001"/>
    <n v="16.158474774167214"/>
    <n v="37460"/>
    <n v="195"/>
    <n v="505"/>
    <n v="21"/>
    <n v="1570"/>
  </r>
  <r>
    <x v="10"/>
    <s v="Republic of Benin"/>
    <x v="12"/>
    <n v="470912.8"/>
    <n v="13352864"/>
    <n v="28.35527936382277"/>
    <n v="50"/>
    <n v="382"/>
    <n v="5106"/>
    <m/>
    <m/>
    <m/>
    <n v="21"/>
    <m/>
    <m/>
    <m/>
    <m/>
    <m/>
    <m/>
    <n v="257"/>
    <m/>
    <m/>
    <m/>
    <m/>
    <n v="1602"/>
    <m/>
    <m/>
    <n v="0"/>
    <m/>
    <n v="4"/>
    <n v="44"/>
    <m/>
    <m/>
    <m/>
    <n v="382"/>
    <m/>
    <n v="187"/>
    <m/>
    <n v="187"/>
    <m/>
    <m/>
    <m/>
    <n v="0"/>
    <m/>
    <m/>
    <n v="0"/>
    <n v="5567"/>
    <n v="11786"/>
    <n v="4110"/>
    <n v="0"/>
    <n v="4.1691430392760687"/>
    <n v="8.8265708390349822"/>
    <n v="3.0779913582584228"/>
    <n v="0"/>
    <n v="3.7445150343776434E-2"/>
    <n v="0.28608094862645195"/>
    <n v="3.8238987531064499"/>
    <n v="0"/>
    <n v="0"/>
    <n v="0"/>
    <n v="1.5726963144386104E-2"/>
    <n v="0"/>
    <n v="0"/>
    <n v="0"/>
    <n v="0"/>
    <n v="0"/>
    <n v="0"/>
    <n v="0.19246807276701089"/>
    <n v="0"/>
    <n v="0"/>
    <n v="0"/>
    <n v="0"/>
    <n v="1.1997426170145971"/>
    <n v="0"/>
    <n v="0"/>
    <n v="0"/>
    <n v="2.9956120275021151E-3"/>
    <n v="3.2951732302523261E-2"/>
    <n v="0"/>
    <n v="0"/>
    <n v="0"/>
    <n v="0.28608094862645195"/>
    <n v="0"/>
    <n v="0.14004486228572388"/>
    <n v="0"/>
    <n v="0"/>
    <n v="0"/>
    <n v="0"/>
    <n v="0"/>
    <n v="0"/>
    <n v="15896"/>
    <n v="11.904562197293405"/>
    <n v="21463"/>
    <n v="16.073705236569474"/>
    <n v="29685"/>
    <n v="0"/>
    <n v="0"/>
    <n v="0"/>
    <n v="0"/>
  </r>
  <r>
    <x v="0"/>
    <s v="Republic of Botswana"/>
    <x v="13"/>
    <n v="59490.1"/>
    <n v="2175425.5000000005"/>
    <n v="36.567857509064545"/>
    <n v="55"/>
    <m/>
    <m/>
    <m/>
    <m/>
    <m/>
    <n v="16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38"/>
    <n v="11632"/>
    <n v="0"/>
    <n v="0"/>
    <n v="7.5295614582066799"/>
    <n v="53.469999317374914"/>
    <n v="0"/>
    <n v="0"/>
    <n v="0.25282410268703748"/>
    <n v="0"/>
    <n v="0"/>
    <n v="0"/>
    <n v="0"/>
    <n v="0"/>
    <n v="0.76306910992814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32"/>
    <n v="53.469999317374914"/>
    <n v="13270"/>
    <n v="60.999560775581593"/>
    <n v="13491"/>
    <n v="6"/>
    <n v="37"/>
    <n v="0"/>
    <n v="0"/>
  </r>
  <r>
    <x v="1"/>
    <s v="Republic of Botswana"/>
    <x v="13"/>
    <n v="60143.3"/>
    <n v="2217278.0000000009"/>
    <n v="36.8665836427332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3002"/>
    <n v="0"/>
    <n v="0"/>
    <n v="0"/>
    <n v="13.539123195196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2"/>
    <n v="13.539123195196987"/>
    <n v="3002"/>
    <m/>
    <n v="3002"/>
    <n v="422"/>
    <n v="772"/>
    <n v="668"/>
    <n v="166"/>
  </r>
  <r>
    <x v="2"/>
    <s v="Republic of Botswana"/>
    <x v="13"/>
    <n v="60621.9"/>
    <n v="2260375.5000000019"/>
    <n v="37.2864509360478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6"/>
    <n v="0"/>
    <n v="0"/>
    <n v="0"/>
    <n v="0.3362273215224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m/>
    <n v="76"/>
    <n v="52"/>
    <n v="0"/>
    <n v="0"/>
    <n v="0"/>
  </r>
  <r>
    <x v="3"/>
    <s v="Republic of Botswana"/>
    <x v="13"/>
    <n v="61044.4"/>
    <n v="2305171.5000000005"/>
    <n v="37.7622107842816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23"/>
    <n v="30461"/>
    <n v="0"/>
    <n v="14743"/>
  </r>
  <r>
    <x v="4"/>
    <s v="Republic of Botswana"/>
    <x v="13"/>
    <n v="61561.1"/>
    <n v="2352415.5000000005"/>
    <n v="38.212694380054948"/>
    <n v="91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71"/>
    <n v="14854"/>
    <n v="2922"/>
    <n v="0"/>
    <n v="7.1033369742717634"/>
    <n v="63.143607071114765"/>
    <n v="12.421275068116152"/>
    <n v="0"/>
    <n v="0.3868364240925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76"/>
    <n v="75.564882139230917"/>
    <n v="19447"/>
    <n v="82.668219113502673"/>
    <n v="19538"/>
    <n v="66"/>
    <n v="319"/>
    <n v="13"/>
    <n v="208"/>
  </r>
  <r>
    <x v="5"/>
    <s v="Republic of Botswana"/>
    <x v="13"/>
    <n v="62008.2"/>
    <n v="2401839.9999999986"/>
    <n v="38.7342319241648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"/>
    <n v="74"/>
    <n v="0"/>
    <n v="0"/>
  </r>
  <r>
    <x v="6"/>
    <s v="Republic of Botswana"/>
    <x v="13"/>
    <n v="62387.4"/>
    <n v="2451408.4999999995"/>
    <n v="39.293326857666763"/>
    <n v="96"/>
    <n v="156"/>
    <n v="534"/>
    <n v="927"/>
    <n v="9"/>
    <n v="16"/>
    <m/>
    <n v="27"/>
    <n v="27"/>
    <n v="40"/>
    <m/>
    <n v="36"/>
    <m/>
    <m/>
    <n v="24"/>
    <n v="134"/>
    <n v="156"/>
    <n v="63"/>
    <n v="318"/>
    <n v="160"/>
    <m/>
    <n v="27"/>
    <n v="73"/>
    <m/>
    <n v="3"/>
    <n v="5"/>
    <n v="1248"/>
    <n v="3342"/>
    <n v="10"/>
    <n v="435"/>
    <n v="42"/>
    <m/>
    <n v="42"/>
    <n v="16"/>
    <m/>
    <m/>
    <n v="0"/>
    <m/>
    <m/>
    <n v="0"/>
    <n v="1850"/>
    <n v="15290"/>
    <n v="0"/>
    <n v="1563"/>
    <n v="7.54668183617704"/>
    <n v="62.372305554133483"/>
    <n v="0"/>
    <n v="6.375926329699845"/>
    <n v="0.39161159798540318"/>
    <n v="0.63636884672628014"/>
    <n v="2.1783395137938051"/>
    <n v="3.7814994930465491"/>
    <n v="3.6713587311131543E-2"/>
    <n v="6.5268599664233859E-2"/>
    <n v="0"/>
    <n v="0.11014076193339464"/>
    <n v="0.11014076193339464"/>
    <n v="0.16317149916058465"/>
    <n v="0"/>
    <n v="0.14685434924452617"/>
    <n v="0"/>
    <n v="0"/>
    <n v="9.7902899496350795E-2"/>
    <n v="0.54662452218795854"/>
    <n v="0.63636884672628014"/>
    <n v="0.25699511117792084"/>
    <n v="1.2972134183266479"/>
    <n v="0.65268599664233862"/>
    <n v="0"/>
    <n v="0.29778798596806699"/>
    <n v="0"/>
    <n v="1.2237862437043849E-2"/>
    <n v="2.0396437395073082E-2"/>
    <n v="5.0909507738102411"/>
    <n v="13.632978754866848"/>
    <n v="4.0792874790146164E-2"/>
    <n v="1.7744900533713581"/>
    <n v="0.1713300741186139"/>
    <n v="0"/>
    <n v="6.5268599664233859E-2"/>
    <n v="0"/>
    <n v="0"/>
    <n v="0"/>
    <n v="0"/>
    <n v="15290"/>
    <n v="62.372305554133483"/>
    <n v="17140"/>
    <n v="69.918987390310519"/>
    <n v="26669"/>
    <n v="33"/>
    <n v="0"/>
    <n v="0"/>
    <n v="0"/>
  </r>
  <r>
    <x v="7"/>
    <s v="Republic of Botswana"/>
    <x v="13"/>
    <n v="62733.4"/>
    <n v="2499701.5"/>
    <n v="39.84642152346278"/>
    <n v="88"/>
    <n v="138"/>
    <n v="491"/>
    <n v="843"/>
    <n v="8"/>
    <n v="11"/>
    <m/>
    <n v="27"/>
    <n v="33"/>
    <n v="41"/>
    <m/>
    <n v="32"/>
    <m/>
    <m/>
    <n v="25"/>
    <n v="116"/>
    <n v="131"/>
    <n v="64"/>
    <n v="330"/>
    <n v="156"/>
    <m/>
    <n v="33"/>
    <n v="110"/>
    <m/>
    <n v="3"/>
    <n v="3"/>
    <n v="1376"/>
    <n v="3956"/>
    <n v="10"/>
    <n v="408"/>
    <n v="38"/>
    <m/>
    <n v="38"/>
    <n v="15"/>
    <m/>
    <m/>
    <n v="0"/>
    <m/>
    <m/>
    <n v="0"/>
    <n v="1840"/>
    <n v="15526"/>
    <n v="0"/>
    <n v="1421"/>
    <n v="7.3608788889393395"/>
    <n v="62.111416103082711"/>
    <n v="0"/>
    <n v="5.6846787506428269"/>
    <n v="0.35204203381883797"/>
    <n v="0.55206591667045046"/>
    <n v="1.9642345296028345"/>
    <n v="3.3724026648781864"/>
    <n v="3.2003821256257996E-2"/>
    <n v="4.4005254227354747E-2"/>
    <n v="0"/>
    <n v="0.10801289673987075"/>
    <n v="0.13201576268206425"/>
    <n v="0.16401958393832222"/>
    <n v="0"/>
    <n v="0.12801528502503198"/>
    <n v="0"/>
    <n v="0"/>
    <n v="0.10001194142580624"/>
    <n v="0.46405540821574098"/>
    <n v="0.52406257307122472"/>
    <n v="0.25603057005006397"/>
    <n v="1.3201576268206423"/>
    <n v="0.624074514497031"/>
    <n v="0"/>
    <n v="0.44005254227354745"/>
    <n v="0"/>
    <n v="1.2001432971096749E-2"/>
    <n v="1.2001432971096749E-2"/>
    <n v="5.5046572560763751"/>
    <n v="15.82588961121958"/>
    <n v="4.0004776570322496E-2"/>
    <n v="1.6321948840691578"/>
    <n v="0.15201815096722548"/>
    <n v="0"/>
    <n v="6.0007164855483748E-2"/>
    <n v="0"/>
    <n v="0"/>
    <n v="0"/>
    <n v="0"/>
    <n v="15526"/>
    <n v="62.111416103082711"/>
    <n v="17366"/>
    <n v="69.472294992022043"/>
    <n v="27311"/>
    <n v="84"/>
    <n v="0"/>
    <n v="0"/>
    <n v="0"/>
  </r>
  <r>
    <x v="8"/>
    <s v="Republic of Botswana"/>
    <x v="13"/>
    <n v="62582.3"/>
    <n v="2546401.9999999986"/>
    <n v="40.688852918476925"/>
    <n v="89"/>
    <n v="145"/>
    <n v="463"/>
    <n v="842"/>
    <n v="7"/>
    <n v="11"/>
    <m/>
    <n v="28"/>
    <n v="33"/>
    <n v="40"/>
    <m/>
    <n v="92"/>
    <m/>
    <m/>
    <n v="25"/>
    <n v="117"/>
    <n v="125"/>
    <n v="67"/>
    <n v="338"/>
    <n v="167"/>
    <m/>
    <n v="33"/>
    <n v="63"/>
    <m/>
    <n v="3"/>
    <n v="3"/>
    <n v="1221"/>
    <n v="3691"/>
    <n v="10"/>
    <n v="435"/>
    <n v="66"/>
    <m/>
    <n v="66"/>
    <n v="13"/>
    <m/>
    <m/>
    <n v="0"/>
    <m/>
    <m/>
    <n v="0"/>
    <n v="2048"/>
    <n v="15542"/>
    <n v="0"/>
    <n v="1423"/>
    <n v="8.0427206701848384"/>
    <n v="61.035138992193723"/>
    <n v="0"/>
    <n v="5.5882771062856564"/>
    <n v="0.34951276349924343"/>
    <n v="0.56943090682461006"/>
    <n v="1.8182517921365136"/>
    <n v="3.3066263692849773"/>
    <n v="2.7489767915670833E-2"/>
    <n v="4.3198206724625592E-2"/>
    <n v="0"/>
    <n v="0.10995907166268333"/>
    <n v="0.12959462017387677"/>
    <n v="0.15708438808954761"/>
    <n v="0"/>
    <n v="0.36129409260595952"/>
    <n v="0"/>
    <n v="0"/>
    <n v="9.8177742555967257E-2"/>
    <n v="0.45947183516192674"/>
    <n v="0.49088871277983631"/>
    <n v="0.26311635004999223"/>
    <n v="1.3273630793566773"/>
    <n v="0.65582732027386126"/>
    <n v="0"/>
    <n v="0.24740791124103748"/>
    <n v="0"/>
    <n v="1.178132910671607E-2"/>
    <n v="1.178132910671607E-2"/>
    <n v="4.7950009464334409"/>
    <n v="14.494961910963006"/>
    <n v="3.9271097022386903E-2"/>
    <n v="1.7082927204738303"/>
    <n v="0.25918924034775354"/>
    <n v="0"/>
    <n v="5.1052426129102976E-2"/>
    <n v="0"/>
    <n v="0"/>
    <n v="0"/>
    <n v="0"/>
    <n v="15542"/>
    <n v="61.035138992193723"/>
    <n v="17590"/>
    <n v="69.077859662378557"/>
    <n v="27206"/>
    <n v="7018"/>
    <n v="2156"/>
    <n v="0"/>
    <n v="0"/>
  </r>
  <r>
    <x v="9"/>
    <s v="Republic of Botswana"/>
    <x v="13"/>
    <n v="62086.9"/>
    <n v="2588422.9999999981"/>
    <n v="41.690324367942324"/>
    <n v="89"/>
    <n v="158"/>
    <n v="465"/>
    <n v="845"/>
    <n v="8"/>
    <n v="12"/>
    <m/>
    <n v="26"/>
    <n v="35"/>
    <n v="45"/>
    <m/>
    <n v="35"/>
    <m/>
    <m/>
    <n v="203"/>
    <n v="123"/>
    <n v="147"/>
    <n v="66"/>
    <n v="337"/>
    <n v="161"/>
    <m/>
    <n v="35"/>
    <n v="62"/>
    <m/>
    <n v="3"/>
    <n v="6"/>
    <n v="1355"/>
    <n v="3629"/>
    <n v="11"/>
    <n v="413"/>
    <n v="42"/>
    <m/>
    <n v="42"/>
    <n v="15"/>
    <m/>
    <m/>
    <n v="0"/>
    <m/>
    <m/>
    <n v="0"/>
    <n v="2028"/>
    <n v="15772"/>
    <n v="0"/>
    <n v="1519"/>
    <n v="7.8348863381294382"/>
    <n v="60.932853710541174"/>
    <n v="0"/>
    <n v="5.8684380412320598"/>
    <n v="0.34383870024335306"/>
    <n v="0.61041027683651439"/>
    <n v="1.796460624866957"/>
    <n v="3.2645359742205993"/>
    <n v="3.0906849460076678E-2"/>
    <n v="4.6360274190115021E-2"/>
    <n v="0"/>
    <n v="0.10044726074524921"/>
    <n v="0.13521746638783547"/>
    <n v="0.17385102821293133"/>
    <n v="0"/>
    <n v="0.13521746638783547"/>
    <n v="0"/>
    <n v="0"/>
    <n v="0.78426130504944569"/>
    <n v="0.47519281044867895"/>
    <n v="0.56791335882890892"/>
    <n v="0.25498150804563258"/>
    <n v="1.30195103350573"/>
    <n v="0.62200034538404314"/>
    <n v="0"/>
    <n v="0.23952808331559428"/>
    <n v="0"/>
    <n v="1.1590068547528755E-2"/>
    <n v="2.318013709505751E-2"/>
    <n v="5.2348476273004874"/>
    <n v="14.020119586327283"/>
    <n v="4.2496918007605432E-2"/>
    <n v="1.5955661033764585"/>
    <n v="0.16226095966540258"/>
    <n v="0"/>
    <n v="5.7950342737643774E-2"/>
    <n v="0"/>
    <n v="0"/>
    <n v="0"/>
    <n v="0"/>
    <n v="15772"/>
    <n v="60.932853710541174"/>
    <n v="17800"/>
    <n v="68.767740048670618"/>
    <n v="27687"/>
    <n v="0"/>
    <n v="0"/>
    <n v="0"/>
    <n v="0"/>
  </r>
  <r>
    <x v="10"/>
    <s v="Republic of Botswana"/>
    <x v="13"/>
    <n v="61665.2"/>
    <n v="2630296.0000000019"/>
    <n v="42.654463133177252"/>
    <n v="86"/>
    <n v="125"/>
    <n v="449"/>
    <n v="848"/>
    <n v="11"/>
    <n v="13"/>
    <m/>
    <n v="24"/>
    <n v="33"/>
    <n v="40"/>
    <m/>
    <n v="106"/>
    <m/>
    <m/>
    <n v="113"/>
    <n v="82"/>
    <n v="159"/>
    <n v="63"/>
    <n v="318"/>
    <n v="191"/>
    <m/>
    <n v="33"/>
    <n v="74"/>
    <m/>
    <n v="4"/>
    <n v="4"/>
    <n v="1579"/>
    <n v="3204"/>
    <n v="6"/>
    <n v="449"/>
    <n v="30"/>
    <m/>
    <n v="30"/>
    <n v="17"/>
    <m/>
    <m/>
    <n v="0"/>
    <m/>
    <m/>
    <n v="0"/>
    <n v="1984"/>
    <n v="16056"/>
    <n v="0"/>
    <n v="1563"/>
    <n v="7.5428773035430181"/>
    <n v="61.042559468592081"/>
    <n v="0"/>
    <n v="5.9422969886278914"/>
    <n v="0.32695939924632034"/>
    <n v="0.47523168495104701"/>
    <n v="1.7070322123441608"/>
    <n v="3.2239717507079027"/>
    <n v="4.1820388275692136E-2"/>
    <n v="4.9424095234908885E-2"/>
    <n v="0"/>
    <n v="9.1244483510601021E-2"/>
    <n v="0.12546116482707642"/>
    <n v="0.15207413918433504"/>
    <n v="0"/>
    <n v="0.40299646883848783"/>
    <n v="0"/>
    <n v="0"/>
    <n v="0.42960944319574651"/>
    <n v="0.31175198532788684"/>
    <n v="0.6044947032577318"/>
    <n v="0.23951676921532769"/>
    <n v="1.2089894065154636"/>
    <n v="0.72615401460519979"/>
    <n v="0"/>
    <n v="0.28133715749101984"/>
    <n v="0"/>
    <n v="1.5207413918433504E-2"/>
    <n v="1.5207413918433504E-2"/>
    <n v="6.0031266443016253"/>
    <n v="12.181138548665237"/>
    <n v="2.2811120877650255E-2"/>
    <n v="1.7070322123441608"/>
    <n v="0.11405560438825128"/>
    <n v="0"/>
    <n v="6.4631509153342398E-2"/>
    <n v="0"/>
    <n v="0"/>
    <n v="0"/>
    <n v="0"/>
    <n v="16056"/>
    <n v="61.042559468592081"/>
    <n v="18040"/>
    <n v="68.585436772135097"/>
    <n v="27694"/>
    <n v="0"/>
    <n v="0"/>
    <n v="0"/>
    <n v="0"/>
  </r>
  <r>
    <x v="0"/>
    <s v="Republic of Burundi"/>
    <x v="14"/>
    <n v="423678.2"/>
    <n v="9795479.0000000019"/>
    <n v="23.120092088759822"/>
    <m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996"/>
    <n v="12972"/>
    <n v="32"/>
    <n v="0"/>
    <n v="1.0167956054012262"/>
    <n v="13.242843969141271"/>
    <n v="3.2668131900441003E-2"/>
    <n v="0"/>
    <n v="0"/>
    <n v="4.0835164875551253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4"/>
    <n v="13.275512101041713"/>
    <n v="14000"/>
    <n v="14.292307706442939"/>
    <n v="14004"/>
    <n v="115"/>
    <n v="546"/>
    <n v="44"/>
    <n v="0"/>
  </r>
  <r>
    <x v="1"/>
    <s v="Republic of Burundi"/>
    <x v="14"/>
    <n v="429312"/>
    <n v="10149577.500000002"/>
    <n v="23.6414949966458"/>
    <n v="4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08"/>
    <n v="13146"/>
    <n v="70"/>
    <n v="0"/>
    <n v="1.0916710572435155"/>
    <n v="12.952263283865754"/>
    <n v="6.8968388093001889E-2"/>
    <n v="0"/>
    <n v="3.941050748171536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16"/>
    <n v="13.021231671958757"/>
    <n v="14324"/>
    <n v="14.112902729202272"/>
    <n v="14328"/>
    <n v="0"/>
    <n v="0"/>
    <n v="0"/>
    <n v="0"/>
  </r>
  <r>
    <x v="2"/>
    <s v="Republic of Burundi"/>
    <x v="14"/>
    <n v="435003"/>
    <n v="10494912.499999989"/>
    <n v="24.126069245499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18"/>
    <n v="13638"/>
    <n v="48"/>
    <n v="0"/>
    <n v="1.1605623200765145"/>
    <n v="12.994867751398608"/>
    <n v="4.573644611138973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6"/>
    <n v="13.040604197509998"/>
    <n v="14904"/>
    <n v="14.201166517586513"/>
    <n v="14904"/>
    <n v="194"/>
    <n v="0"/>
    <n v="0"/>
    <n v="0"/>
  </r>
  <r>
    <x v="3"/>
    <s v="Republic of Burundi"/>
    <x v="14"/>
    <n v="437619.8"/>
    <n v="10727148.499999996"/>
    <n v="24.5124843528560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16"/>
    <n v="13376"/>
    <n v="158"/>
    <n v="0"/>
    <n v="0.9471296123102988"/>
    <n v="12.469296943171807"/>
    <n v="0.14728984128447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34"/>
    <n v="12.616586784456283"/>
    <n v="14550"/>
    <n v="13.563716396766582"/>
    <n v="14550"/>
    <n v="300"/>
    <n v="0"/>
    <n v="0"/>
    <n v="0"/>
  </r>
  <r>
    <x v="4"/>
    <s v="Republic of Burundi"/>
    <x v="14"/>
    <n v="431656.2"/>
    <n v="10903327.500000004"/>
    <n v="25.25928620971968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88"/>
    <n v="42"/>
    <n v="96"/>
  </r>
  <r>
    <x v="5"/>
    <s v="Republic of Burundi"/>
    <x v="14"/>
    <n v="423373"/>
    <n v="11155593.000000002"/>
    <n v="26.349325535638791"/>
    <m/>
    <m/>
    <m/>
    <m/>
    <m/>
    <m/>
    <m/>
    <m/>
    <m/>
    <m/>
    <m/>
    <m/>
    <m/>
    <n v="363"/>
    <m/>
    <m/>
    <m/>
    <m/>
    <m/>
    <n v="1073"/>
    <m/>
    <n v="0"/>
    <m/>
    <m/>
    <m/>
    <m/>
    <n v="2946"/>
    <n v="9003"/>
    <m/>
    <m/>
    <m/>
    <m/>
    <n v="0"/>
    <n v="93"/>
    <m/>
    <m/>
    <n v="0"/>
    <m/>
    <m/>
    <n v="0"/>
    <n v="0"/>
    <n v="18142"/>
    <n v="320"/>
    <n v="0"/>
    <n v="0"/>
    <n v="16.262694417051605"/>
    <n v="0.2868516268028064"/>
    <n v="0"/>
    <n v="0"/>
    <n v="0"/>
    <n v="0"/>
    <n v="0"/>
    <n v="0"/>
    <n v="0"/>
    <n v="0"/>
    <n v="0"/>
    <n v="0"/>
    <n v="0"/>
    <n v="0"/>
    <n v="0"/>
    <n v="0"/>
    <n v="0.32539731415443351"/>
    <n v="0"/>
    <n v="0"/>
    <n v="0"/>
    <n v="0"/>
    <n v="0"/>
    <n v="0.96184936112316022"/>
    <n v="0"/>
    <n v="0"/>
    <n v="0"/>
    <n v="0"/>
    <n v="0"/>
    <n v="2.6408277892533363"/>
    <n v="8.0703912378302061"/>
    <n v="0"/>
    <n v="0"/>
    <n v="0"/>
    <n v="0"/>
    <n v="8.3366254039565615E-2"/>
    <n v="0"/>
    <n v="0"/>
    <n v="0"/>
    <n v="0"/>
    <n v="18462"/>
    <n v="16.549546043854413"/>
    <n v="18462"/>
    <n v="16.549546043854413"/>
    <n v="31940"/>
    <n v="373"/>
    <n v="944"/>
    <n v="0"/>
    <n v="0"/>
  </r>
  <r>
    <x v="6"/>
    <s v="Republic of Burundi"/>
    <x v="14"/>
    <n v="421562"/>
    <n v="11493472.499999993"/>
    <n v="27.264014545903077"/>
    <n v="14"/>
    <n v="119"/>
    <m/>
    <m/>
    <m/>
    <m/>
    <n v="11845"/>
    <m/>
    <m/>
    <m/>
    <m/>
    <m/>
    <m/>
    <m/>
    <m/>
    <m/>
    <m/>
    <m/>
    <m/>
    <n v="1071"/>
    <m/>
    <n v="0"/>
    <m/>
    <m/>
    <m/>
    <m/>
    <m/>
    <m/>
    <m/>
    <m/>
    <m/>
    <m/>
    <n v="0"/>
    <m/>
    <m/>
    <m/>
    <n v="0"/>
    <m/>
    <m/>
    <n v="0"/>
    <n v="45"/>
    <n v="18312"/>
    <n v="0"/>
    <n v="0"/>
    <n v="3.9152658171844955E-2"/>
    <n v="15.932521698729442"/>
    <n v="0"/>
    <n v="0"/>
    <n v="1.2180826986796209E-2"/>
    <n v="0.10353702938776778"/>
    <n v="0"/>
    <n v="0"/>
    <n v="0"/>
    <n v="0"/>
    <n v="10.305849689900079"/>
    <n v="0"/>
    <n v="0"/>
    <n v="0"/>
    <n v="0"/>
    <n v="0"/>
    <n v="0"/>
    <n v="0"/>
    <n v="0"/>
    <n v="0"/>
    <n v="0"/>
    <n v="0"/>
    <n v="0"/>
    <n v="0.93183326448991"/>
    <n v="0"/>
    <n v="0"/>
    <n v="0"/>
    <n v="0"/>
    <n v="0"/>
    <n v="0"/>
    <n v="0"/>
    <n v="0"/>
    <n v="0"/>
    <n v="0"/>
    <n v="0"/>
    <n v="0"/>
    <n v="0"/>
    <n v="0"/>
    <n v="0"/>
    <n v="0"/>
    <n v="18312"/>
    <n v="15.932521698729442"/>
    <n v="18357"/>
    <n v="15.971674356901286"/>
    <n v="31406"/>
    <n v="0"/>
    <n v="0"/>
    <n v="0"/>
    <n v="0"/>
  </r>
  <r>
    <x v="7"/>
    <s v="Republic of Burundi"/>
    <x v="14"/>
    <n v="425247.1"/>
    <n v="11874838"/>
    <n v="27.92455962662649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5036"/>
    <n v="248"/>
    <n v="0"/>
    <n v="0"/>
    <n v="12.662067474099436"/>
    <n v="0.20884495434800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84"/>
    <n v="12.870912428447445"/>
    <n v="15284"/>
    <n v="12.870912428447445"/>
    <n v="15284"/>
    <n v="18"/>
    <n v="83"/>
    <n v="0"/>
    <n v="149"/>
  </r>
  <r>
    <x v="8"/>
    <s v="Republic of Burundi"/>
    <x v="14"/>
    <n v="430785.2"/>
    <n v="12220226.500000007"/>
    <n v="28.367331328931467"/>
    <m/>
    <m/>
    <m/>
    <m/>
    <m/>
    <m/>
    <n v="11845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04"/>
    <n v="15426"/>
    <n v="0"/>
    <n v="0"/>
    <n v="1.3944095062395112"/>
    <n v="12.623333945569659"/>
    <n v="0"/>
    <n v="0"/>
    <n v="0"/>
    <n v="0"/>
    <n v="0"/>
    <n v="0"/>
    <n v="0"/>
    <n v="0"/>
    <n v="9.6929463623280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26"/>
    <n v="12.623333945569659"/>
    <n v="17130"/>
    <n v="14.017743451809171"/>
    <n v="28975"/>
    <n v="0"/>
    <n v="1138"/>
    <n v="0"/>
    <n v="0"/>
  </r>
  <r>
    <x v="9"/>
    <s v="Republic of Burundi"/>
    <x v="14"/>
    <n v="434393"/>
    <n v="12551212.999999998"/>
    <n v="28.89368152801725"/>
    <m/>
    <n v="99"/>
    <n v="1750"/>
    <m/>
    <n v="5"/>
    <m/>
    <m/>
    <m/>
    <m/>
    <m/>
    <m/>
    <m/>
    <m/>
    <m/>
    <n v="1352"/>
    <n v="81"/>
    <m/>
    <m/>
    <n v="729"/>
    <m/>
    <m/>
    <n v="0"/>
    <m/>
    <m/>
    <n v="7"/>
    <m/>
    <n v="7805"/>
    <m/>
    <m/>
    <n v="6"/>
    <m/>
    <m/>
    <n v="0"/>
    <n v="15"/>
    <m/>
    <m/>
    <n v="0"/>
    <m/>
    <m/>
    <n v="0"/>
    <n v="1816"/>
    <n v="18744"/>
    <n v="286"/>
    <n v="0"/>
    <n v="1.4468721071023178"/>
    <n v="14.934014744232293"/>
    <n v="0.22786642215377911"/>
    <n v="0"/>
    <n v="0"/>
    <n v="7.8876838437846611E-2"/>
    <n v="1.3942875481437533"/>
    <n v="0"/>
    <n v="3.9836787089821525E-3"/>
    <n v="0"/>
    <n v="0"/>
    <n v="0"/>
    <n v="0"/>
    <n v="0"/>
    <n v="0"/>
    <n v="0"/>
    <n v="0"/>
    <n v="0"/>
    <n v="1.0771867229087739"/>
    <n v="6.4535595085510863E-2"/>
    <n v="0"/>
    <n v="0"/>
    <n v="0.58082035576959778"/>
    <n v="0"/>
    <n v="0"/>
    <n v="0"/>
    <n v="0"/>
    <n v="5.5771501925750136E-3"/>
    <n v="0"/>
    <n v="6.2185224647211399"/>
    <n v="0"/>
    <n v="0"/>
    <n v="4.7804144507785831E-3"/>
    <n v="0"/>
    <n v="0"/>
    <n v="1.1951036126946457E-2"/>
    <n v="0"/>
    <n v="0"/>
    <n v="0"/>
    <n v="0"/>
    <n v="19030"/>
    <n v="15.161881166386072"/>
    <n v="20846"/>
    <n v="16.608753273488389"/>
    <n v="32695"/>
    <n v="0"/>
    <n v="0"/>
    <n v="0"/>
    <n v="0"/>
  </r>
  <r>
    <x v="10"/>
    <s v="Republic of Burundi"/>
    <x v="14"/>
    <n v="437298.7"/>
    <n v="12889576.499999994"/>
    <n v="29.47545121904088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Republic of CÃ´te d'Ivoire"/>
    <x v="15"/>
    <n v="808861.1"/>
    <n v="22010711.499999996"/>
    <n v="27.2119792879148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4"/>
    <n v="0"/>
    <n v="0"/>
    <n v="0"/>
  </r>
  <r>
    <x v="1"/>
    <s v="Republic of CÃ´te d'Ivoire"/>
    <x v="15"/>
    <n v="812933"/>
    <n v="22469267.5"/>
    <n v="27.639753214594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7560"/>
    <n v="7702"/>
    <n v="0"/>
    <n v="0"/>
    <n v="7.8151190286910781"/>
    <n v="3.4277930956138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62"/>
    <n v="11.242912124304898"/>
    <n v="25262"/>
    <n v="11.242912124304898"/>
    <n v="25262"/>
    <n v="4"/>
    <n v="255"/>
    <n v="0"/>
    <n v="0"/>
  </r>
  <r>
    <x v="2"/>
    <s v="Republic of CÃ´te d'Ivoire"/>
    <x v="15"/>
    <n v="819320.4"/>
    <n v="22995555.5"/>
    <n v="28.06662143405681"/>
    <n v="490"/>
    <n v="2430"/>
    <m/>
    <m/>
    <m/>
    <m/>
    <m/>
    <n v="120"/>
    <n v="190"/>
    <n v="50"/>
    <m/>
    <m/>
    <m/>
    <n v="790"/>
    <m/>
    <n v="820"/>
    <m/>
    <m/>
    <n v="1600"/>
    <n v="2380"/>
    <m/>
    <n v="190"/>
    <m/>
    <m/>
    <n v="70"/>
    <n v="70"/>
    <m/>
    <m/>
    <m/>
    <n v="2310"/>
    <n v="60"/>
    <m/>
    <n v="60"/>
    <m/>
    <m/>
    <m/>
    <n v="0"/>
    <m/>
    <m/>
    <n v="0"/>
    <n v="11036"/>
    <n v="17736"/>
    <n v="10600"/>
    <n v="0"/>
    <n v="4.7991882605314755"/>
    <n v="7.7127947615790369"/>
    <n v="4.6095864046424104"/>
    <n v="0"/>
    <n v="0.21308465455422462"/>
    <n v="1.0567259399321751"/>
    <n v="0"/>
    <n v="0"/>
    <n v="0"/>
    <n v="0"/>
    <n v="0"/>
    <n v="5.218399703368766E-2"/>
    <n v="8.2624661970005467E-2"/>
    <n v="2.1743332097369859E-2"/>
    <n v="0"/>
    <n v="0"/>
    <n v="0"/>
    <n v="0.34354464713844379"/>
    <n v="0"/>
    <n v="0.35659064639686566"/>
    <n v="0"/>
    <n v="0"/>
    <n v="0.6957866271158355"/>
    <n v="1.0349826078348052"/>
    <n v="0"/>
    <n v="0"/>
    <n v="0"/>
    <n v="3.0440664936317804E-2"/>
    <n v="3.0440664936317804E-2"/>
    <n v="0"/>
    <n v="0"/>
    <n v="0"/>
    <n v="1.0045419428984874"/>
    <n v="2.609199851684383E-2"/>
    <n v="0"/>
    <n v="0"/>
    <n v="0"/>
    <n v="0"/>
    <n v="0"/>
    <n v="0"/>
    <n v="28336"/>
    <n v="12.322381166221447"/>
    <n v="39372"/>
    <n v="17.12156942675292"/>
    <n v="51002"/>
    <n v="21"/>
    <n v="0"/>
    <n v="0"/>
    <n v="0"/>
  </r>
  <r>
    <x v="3"/>
    <s v="Republic of CÃ´te d'Ivoire"/>
    <x v="15"/>
    <n v="830910.6"/>
    <n v="23596741"/>
    <n v="28.3986520330827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21782"/>
    <n v="0"/>
    <n v="0"/>
    <n v="0"/>
    <n v="9.2309357465931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82"/>
    <m/>
    <n v="21782"/>
    <m/>
    <n v="21782"/>
    <n v="0"/>
    <n v="0"/>
    <n v="0"/>
    <n v="0"/>
  </r>
  <r>
    <x v="4"/>
    <s v="Republic of CÃ´te d'Ivoire"/>
    <x v="15"/>
    <n v="846051"/>
    <n v="24213621.500000015"/>
    <n v="28.6195767158244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24264"/>
    <n v="0"/>
    <n v="0"/>
    <n v="0"/>
    <n v="10.02080585095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64"/>
    <m/>
    <n v="24264"/>
    <m/>
    <n v="24264"/>
    <n v="0"/>
    <n v="0"/>
    <n v="0"/>
    <n v="0"/>
  </r>
  <r>
    <x v="5"/>
    <s v="Republic of CÃ´te d'Ivoire"/>
    <x v="15"/>
    <n v="863980"/>
    <n v="24848015.5"/>
    <n v="28.75994293849394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27166"/>
    <n v="0"/>
    <n v="0"/>
    <n v="0"/>
    <n v="10.9328650410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66"/>
    <m/>
    <n v="27166"/>
    <m/>
    <n v="27166"/>
    <n v="351"/>
    <n v="0"/>
    <n v="0"/>
    <n v="0"/>
  </r>
  <r>
    <x v="6"/>
    <s v="Republic of CÃ´te d'Ivoire"/>
    <x v="15"/>
    <n v="875669"/>
    <n v="25493988.499999996"/>
    <n v="29.113727333044789"/>
    <n v="506"/>
    <n v="2495"/>
    <m/>
    <m/>
    <m/>
    <m/>
    <n v="1455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204"/>
    <n v="30326"/>
    <n v="0"/>
    <n v="0"/>
    <n v="4.3947615336846964"/>
    <n v="11.895353290835605"/>
    <n v="0"/>
    <n v="0"/>
    <n v="0.19847816280296826"/>
    <n v="0.97866208733874671"/>
    <n v="0"/>
    <n v="0"/>
    <n v="0"/>
    <n v="0"/>
    <n v="5.709581299920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26"/>
    <n v="11.895353290835605"/>
    <n v="41530"/>
    <n v="16.290114824520302"/>
    <n v="59087"/>
    <n v="593"/>
    <n v="2646"/>
    <n v="745"/>
    <n v="0"/>
  </r>
  <r>
    <x v="7"/>
    <s v="Republic of CÃ´te d'Ivoire"/>
    <x v="15"/>
    <n v="883020.80000000005"/>
    <n v="26147550.999999996"/>
    <n v="29.611478008219052"/>
    <n v="373"/>
    <n v="944"/>
    <m/>
    <m/>
    <m/>
    <m/>
    <m/>
    <m/>
    <n v="40"/>
    <m/>
    <m/>
    <m/>
    <m/>
    <m/>
    <m/>
    <m/>
    <m/>
    <m/>
    <m/>
    <m/>
    <m/>
    <n v="40"/>
    <m/>
    <m/>
    <m/>
    <m/>
    <m/>
    <n v="3470"/>
    <m/>
    <m/>
    <m/>
    <m/>
    <n v="0"/>
    <m/>
    <m/>
    <m/>
    <n v="0"/>
    <m/>
    <m/>
    <n v="0"/>
    <n v="8346"/>
    <n v="22518"/>
    <n v="11202"/>
    <n v="4168"/>
    <n v="3.1918859246129787"/>
    <n v="8.6118963875431405"/>
    <n v="4.2841488290815466"/>
    <n v="1.5940307373336802"/>
    <n v="0.14265198297156015"/>
    <n v="0.36102807486636135"/>
    <n v="0"/>
    <n v="0"/>
    <n v="0"/>
    <n v="0"/>
    <n v="0"/>
    <n v="0"/>
    <n v="1.5297799782472938E-2"/>
    <n v="0"/>
    <n v="0"/>
    <n v="0"/>
    <n v="0"/>
    <n v="0"/>
    <n v="0"/>
    <n v="0"/>
    <n v="0"/>
    <n v="0"/>
    <n v="0"/>
    <n v="0"/>
    <n v="0"/>
    <n v="0"/>
    <n v="0"/>
    <n v="0"/>
    <n v="0"/>
    <n v="0"/>
    <n v="1.3270841311295274"/>
    <n v="0"/>
    <n v="0"/>
    <n v="0"/>
    <n v="0"/>
    <n v="0"/>
    <n v="0"/>
    <n v="0"/>
    <n v="0"/>
    <n v="0"/>
    <n v="33720"/>
    <n v="12.896045216624687"/>
    <n v="42066"/>
    <n v="16.087931141237664"/>
    <n v="51101"/>
    <n v="160"/>
    <n v="814"/>
    <n v="29"/>
    <n v="148"/>
  </r>
  <r>
    <x v="8"/>
    <s v="Republic of CÃ´te d'Ivoire"/>
    <x v="15"/>
    <n v="896181.6"/>
    <n v="26811790.500000004"/>
    <n v="29.917809626977395"/>
    <n v="397"/>
    <n v="1029"/>
    <m/>
    <m/>
    <m/>
    <m/>
    <m/>
    <m/>
    <m/>
    <m/>
    <m/>
    <m/>
    <m/>
    <m/>
    <m/>
    <m/>
    <m/>
    <m/>
    <m/>
    <m/>
    <m/>
    <n v="0"/>
    <m/>
    <m/>
    <m/>
    <m/>
    <m/>
    <m/>
    <n v="3734"/>
    <m/>
    <m/>
    <m/>
    <n v="0"/>
    <m/>
    <m/>
    <m/>
    <n v="0"/>
    <m/>
    <m/>
    <n v="0"/>
    <n v="8870"/>
    <n v="26792"/>
    <n v="12690"/>
    <n v="0"/>
    <n v="3.3082460494385852"/>
    <n v="9.9926187324192295"/>
    <n v="4.732992375126905"/>
    <n v="0"/>
    <n v="0.14806918620373374"/>
    <n v="0.38378637935426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926708848482161"/>
    <n v="0"/>
    <n v="0"/>
    <n v="0"/>
    <n v="0"/>
    <n v="0"/>
    <n v="0"/>
    <n v="0"/>
    <n v="0"/>
    <n v="39482"/>
    <n v="14.725611107546134"/>
    <n v="48352"/>
    <n v="18.03385715698472"/>
    <n v="53512"/>
    <n v="0"/>
    <n v="0"/>
    <n v="0"/>
    <n v="0"/>
  </r>
  <r>
    <x v="9"/>
    <s v="Republic of CÃ´te d'Ivoire"/>
    <x v="15"/>
    <n v="911396.5"/>
    <n v="27478249.000000004"/>
    <n v="30.149609966683002"/>
    <n v="416"/>
    <n v="1117"/>
    <m/>
    <m/>
    <m/>
    <m/>
    <m/>
    <m/>
    <m/>
    <m/>
    <m/>
    <m/>
    <m/>
    <m/>
    <m/>
    <m/>
    <m/>
    <m/>
    <m/>
    <m/>
    <m/>
    <n v="0"/>
    <m/>
    <n v="139"/>
    <m/>
    <m/>
    <m/>
    <m/>
    <n v="3480"/>
    <n v="215"/>
    <n v="97"/>
    <m/>
    <n v="97"/>
    <m/>
    <m/>
    <m/>
    <n v="0"/>
    <m/>
    <m/>
    <n v="0"/>
    <n v="9902"/>
    <n v="25774"/>
    <n v="14148"/>
    <n v="4221"/>
    <n v="3.6035775059757258"/>
    <n v="9.3797825327225173"/>
    <n v="5.1487996924403729"/>
    <n v="1.536124081268788"/>
    <n v="0.15139247045908927"/>
    <n v="0.40650334015096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585464888974543E-2"/>
    <n v="0"/>
    <n v="0"/>
    <n v="0"/>
    <n v="0"/>
    <n v="1.2664562432635353"/>
    <n v="7.8243704684385088E-2"/>
    <n v="3.5300648159931877E-2"/>
    <n v="0"/>
    <n v="0"/>
    <n v="0"/>
    <n v="0"/>
    <n v="0"/>
    <n v="0"/>
    <n v="39922"/>
    <n v="14.528582225162889"/>
    <n v="49824"/>
    <n v="18.132159731138614"/>
    <n v="59606"/>
    <n v="219"/>
    <n v="233"/>
    <n v="7"/>
    <n v="835"/>
  </r>
  <r>
    <x v="10"/>
    <s v="Republic of CÃ´te d'Ivoire"/>
    <x v="15"/>
    <n v="924980.8"/>
    <n v="28160542.500000004"/>
    <n v="30.444461658014959"/>
    <n v="418"/>
    <n v="1162"/>
    <m/>
    <m/>
    <m/>
    <m/>
    <m/>
    <n v="28"/>
    <m/>
    <m/>
    <m/>
    <m/>
    <m/>
    <m/>
    <m/>
    <m/>
    <m/>
    <m/>
    <m/>
    <m/>
    <m/>
    <n v="0"/>
    <m/>
    <n v="148"/>
    <m/>
    <m/>
    <m/>
    <m/>
    <n v="3896"/>
    <n v="200"/>
    <n v="95"/>
    <m/>
    <n v="95"/>
    <m/>
    <m/>
    <m/>
    <n v="0"/>
    <m/>
    <m/>
    <n v="0"/>
    <n v="9860"/>
    <n v="29958"/>
    <n v="14850"/>
    <n v="4140"/>
    <n v="3.5013530012782952"/>
    <n v="10.63828937244373"/>
    <n v="5.2733359096331327"/>
    <n v="1.4701421323825703"/>
    <n v="0.14843464041930299"/>
    <n v="0.41263409609385182"/>
    <n v="0"/>
    <n v="0"/>
    <n v="0"/>
    <n v="0"/>
    <n v="0"/>
    <n v="9.9429902673217312E-3"/>
    <n v="0"/>
    <n v="0"/>
    <n v="0"/>
    <n v="0"/>
    <n v="0"/>
    <n v="0"/>
    <n v="0"/>
    <n v="0"/>
    <n v="0"/>
    <n v="0"/>
    <n v="0"/>
    <n v="0"/>
    <n v="0"/>
    <n v="0"/>
    <n v="5.2555805698700581E-2"/>
    <n v="0"/>
    <n v="0"/>
    <n v="0"/>
    <n v="0"/>
    <n v="1.3834960743387665"/>
    <n v="7.1021359052298075E-2"/>
    <n v="3.373514554984159E-2"/>
    <n v="0"/>
    <n v="0"/>
    <n v="0"/>
    <n v="0"/>
    <n v="0"/>
    <n v="0"/>
    <n v="44808"/>
    <n v="15.91162528207686"/>
    <n v="54668"/>
    <n v="19.412978283355155"/>
    <n v="64850"/>
    <n v="79"/>
    <n v="0"/>
    <n v="0"/>
    <n v="0"/>
  </r>
  <r>
    <x v="0"/>
    <s v="Republic of Cabo Verde"/>
    <x v="16"/>
    <n v="11441.9"/>
    <n v="533864.00000000012"/>
    <n v="46.65868430942414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20"/>
    <n v="1102"/>
    <n v="0"/>
    <n v="0"/>
    <n v="9.7403083931488155"/>
    <n v="20.641961248557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2"/>
    <n v="20.641961248557681"/>
    <n v="1622"/>
    <n v="30.382269641706497"/>
    <n v="1622"/>
    <n v="147"/>
    <n v="377"/>
    <n v="130"/>
    <n v="121"/>
  </r>
  <r>
    <x v="1"/>
    <s v="Republic of Cabo Verde"/>
    <x v="16"/>
    <n v="11037.4"/>
    <n v="539939.99999999988"/>
    <n v="48.9191295051370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16"/>
    <n v="806"/>
    <n v="0"/>
    <n v="0"/>
    <n v="11.408675037967184"/>
    <n v="14.927584546431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6"/>
    <n v="14.927584546431088"/>
    <n v="1422"/>
    <n v="26.336259584398274"/>
    <n v="1422"/>
    <n v="6365"/>
    <n v="0"/>
    <n v="3781"/>
    <n v="3881"/>
  </r>
  <r>
    <x v="2"/>
    <s v="Republic of Cabo Verde"/>
    <x v="16"/>
    <n v="10993.6"/>
    <n v="546076"/>
    <n v="49.6721729005967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952"/>
    <n v="0"/>
    <n v="0"/>
    <n v="0"/>
    <n v="17.4334707989364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2"/>
    <n v="17.433470798936412"/>
    <n v="952"/>
    <n v="17.433470798936412"/>
    <n v="952"/>
    <n v="116"/>
    <n v="351"/>
    <n v="168"/>
    <n v="8"/>
  </r>
  <r>
    <x v="3"/>
    <s v="Republic of Cabo Verde"/>
    <x v="16"/>
    <n v="11002.7"/>
    <n v="552166.00000000012"/>
    <n v="50.184591054922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20"/>
    <n v="996"/>
    <n v="0"/>
    <n v="0"/>
    <n v="14.85060652050289"/>
    <n v="18.038053773683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6"/>
    <n v="18.038053773683998"/>
    <n v="1816"/>
    <n v="32.888660294186884"/>
    <n v="1816"/>
    <n v="0"/>
    <n v="0"/>
    <n v="0"/>
    <n v="0"/>
  </r>
  <r>
    <x v="4"/>
    <s v="Republic of Cabo Verde"/>
    <x v="16"/>
    <n v="11070.9"/>
    <n v="558394.50000000035"/>
    <n v="50.438040267728944"/>
    <n v="4"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16"/>
    <n v="1224"/>
    <n v="0"/>
    <n v="0"/>
    <n v="14.613324450724344"/>
    <n v="21.919986676086516"/>
    <n v="0"/>
    <n v="0"/>
    <n v="7.1633943385903648E-2"/>
    <n v="7.163394338590364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4"/>
    <n v="21.919986676086516"/>
    <n v="2040"/>
    <n v="36.533311126810858"/>
    <n v="2048"/>
    <n v="0"/>
    <n v="0"/>
    <n v="0"/>
    <n v="0"/>
  </r>
  <r>
    <x v="5"/>
    <s v="Republic of Cabo Verde"/>
    <x v="16"/>
    <n v="11160.3"/>
    <n v="564954.00000000035"/>
    <n v="50.6217574796376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376"/>
    <n v="0"/>
    <n v="0"/>
    <n v="0"/>
    <n v="24.355965264428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6"/>
    <n v="24.355965264428594"/>
    <n v="1376"/>
    <n v="24.355965264428594"/>
    <n v="1376"/>
    <n v="1210"/>
    <n v="0"/>
    <n v="0"/>
    <n v="0"/>
  </r>
  <r>
    <x v="6"/>
    <s v="Republic of Cabo Verde"/>
    <x v="16"/>
    <n v="10880.9"/>
    <n v="571201.5"/>
    <n v="52.495795384572972"/>
    <n v="81"/>
    <n v="172"/>
    <m/>
    <m/>
    <m/>
    <m/>
    <n v="117"/>
    <m/>
    <m/>
    <m/>
    <m/>
    <m/>
    <m/>
    <m/>
    <m/>
    <m/>
    <m/>
    <m/>
    <m/>
    <n v="65"/>
    <m/>
    <n v="0"/>
    <m/>
    <m/>
    <m/>
    <m/>
    <m/>
    <m/>
    <m/>
    <m/>
    <m/>
    <m/>
    <n v="0"/>
    <m/>
    <m/>
    <m/>
    <n v="0"/>
    <m/>
    <m/>
    <n v="0"/>
    <n v="916"/>
    <n v="1412"/>
    <n v="0"/>
    <n v="0"/>
    <n v="16.036372453503709"/>
    <n v="24.719823039680392"/>
    <n v="0"/>
    <n v="0"/>
    <n v="1.4180635029844986"/>
    <n v="3.0111965742386881"/>
    <n v="0"/>
    <n v="0"/>
    <n v="0"/>
    <n v="0"/>
    <n v="2.0483139487553865"/>
    <n v="0"/>
    <n v="0"/>
    <n v="0"/>
    <n v="0"/>
    <n v="0"/>
    <n v="0"/>
    <n v="0"/>
    <n v="0"/>
    <n v="0"/>
    <n v="0"/>
    <n v="0"/>
    <n v="0"/>
    <n v="1.1379521937529926"/>
    <n v="0"/>
    <n v="0"/>
    <n v="0"/>
    <n v="0"/>
    <n v="0"/>
    <n v="0"/>
    <n v="0"/>
    <n v="0"/>
    <n v="0"/>
    <n v="0"/>
    <n v="0"/>
    <n v="0"/>
    <n v="0"/>
    <n v="0"/>
    <n v="0"/>
    <n v="0"/>
    <n v="1412"/>
    <n v="24.719823039680392"/>
    <n v="2328"/>
    <n v="40.756195493184102"/>
    <n v="2763"/>
    <n v="570"/>
    <n v="2168"/>
    <n v="0"/>
    <n v="3207"/>
  </r>
  <r>
    <x v="7"/>
    <s v="Republic of Cabo Verde"/>
    <x v="16"/>
    <n v="10569"/>
    <n v="577030.49999999965"/>
    <n v="54.596508657394232"/>
    <n v="120"/>
    <m/>
    <m/>
    <m/>
    <m/>
    <m/>
    <m/>
    <n v="74"/>
    <n v="20"/>
    <m/>
    <m/>
    <m/>
    <m/>
    <m/>
    <m/>
    <m/>
    <m/>
    <m/>
    <m/>
    <m/>
    <m/>
    <n v="2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2.0796127761010914"/>
    <n v="0"/>
    <n v="0"/>
    <n v="0"/>
    <n v="0"/>
    <n v="0"/>
    <n v="0"/>
    <n v="1.2824278785956729"/>
    <n v="0.34660212935018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"/>
    <n v="577"/>
    <n v="0"/>
    <n v="0"/>
    <n v="0"/>
  </r>
  <r>
    <x v="8"/>
    <s v="Republic of Cabo Verde"/>
    <x v="16"/>
    <n v="10491.7"/>
    <n v="582640.00000000023"/>
    <n v="55.53342165711945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Cabo Verde"/>
    <x v="16"/>
    <n v="10447"/>
    <n v="587925"/>
    <n v="56.2769216042883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4"/>
    <n v="6"/>
    <n v="353"/>
  </r>
  <r>
    <x v="10"/>
    <s v="Republic of Cabo Verde"/>
    <x v="16"/>
    <n v="10405.299999999999"/>
    <n v="593149.50000000012"/>
    <n v="57.004555370820654"/>
    <n v="10"/>
    <n v="23"/>
    <n v="0"/>
    <n v="0"/>
    <n v="0"/>
    <n v="0"/>
    <n v="155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4"/>
    <n v="0"/>
    <n v="0"/>
    <n v="0"/>
    <n v="6"/>
    <n v="10"/>
    <n v="0"/>
    <n v="10"/>
    <n v="0"/>
    <n v="0"/>
    <n v="0"/>
    <n v="0"/>
    <n v="0"/>
    <n v="0"/>
    <n v="0"/>
    <n v="5532"/>
    <n v="1882"/>
    <n v="0"/>
    <n v="0"/>
    <n v="93.264851441331388"/>
    <n v="31.72893174486364"/>
    <n v="0"/>
    <n v="0"/>
    <n v="0.16859156081224039"/>
    <n v="0.38776058986815287"/>
    <n v="0"/>
    <n v="0"/>
    <n v="0"/>
    <n v="0"/>
    <n v="2.613169192589726"/>
    <n v="0"/>
    <n v="0"/>
    <n v="0"/>
    <n v="0"/>
    <n v="0"/>
    <n v="0"/>
    <n v="0"/>
    <n v="0"/>
    <n v="0"/>
    <n v="0"/>
    <n v="0"/>
    <n v="0"/>
    <n v="0"/>
    <n v="0"/>
    <n v="0"/>
    <n v="0"/>
    <n v="0.18545071689346443"/>
    <n v="6.7436624324896152E-2"/>
    <n v="0"/>
    <n v="0"/>
    <n v="0"/>
    <n v="0.10115493648734424"/>
    <n v="0.16859156081224039"/>
    <n v="0"/>
    <n v="0"/>
    <n v="0"/>
    <n v="0"/>
    <n v="0"/>
    <n v="0"/>
    <n v="1882"/>
    <n v="31.72893174486364"/>
    <n v="7414"/>
    <n v="124.99378318619502"/>
    <n v="7643"/>
    <n v="0"/>
    <n v="0"/>
    <n v="0"/>
    <n v="0"/>
  </r>
  <r>
    <x v="0"/>
    <s v="Republic of Cameroon"/>
    <x v="17"/>
    <n v="791411.5"/>
    <n v="21032684.000000004"/>
    <n v="26.576166760275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Cameroon"/>
    <x v="17"/>
    <n v="803500.2"/>
    <n v="21632850.000000004"/>
    <n v="26.92326647834064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254"/>
    <n v="0"/>
    <n v="0"/>
    <n v="0"/>
    <n v="0.11741402542891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"/>
    <m/>
    <n v="254"/>
    <m/>
    <n v="254"/>
    <n v="276"/>
    <n v="239"/>
    <n v="0"/>
    <n v="0"/>
  </r>
  <r>
    <x v="2"/>
    <s v="Republic of Cameroon"/>
    <x v="17"/>
    <n v="818448.6"/>
    <n v="22299584.999999989"/>
    <n v="27.2461642673712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6"/>
    <n v="0"/>
    <n v="0"/>
  </r>
  <r>
    <x v="3"/>
    <s v="Republic of Cameroon"/>
    <x v="17"/>
    <n v="840650.2"/>
    <n v="23012646.5"/>
    <n v="27.37481832514879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Cameroon"/>
    <x v="17"/>
    <n v="867237.3"/>
    <n v="23711630.000000004"/>
    <n v="27.34157075577815"/>
    <n v="88"/>
    <n v="199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3.7112589897868677E-2"/>
    <n v="8.392506124631667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404"/>
    <n v="1687"/>
    <n v="0"/>
    <n v="0"/>
  </r>
  <r>
    <x v="5"/>
    <s v="Republic of Cameroon"/>
    <x v="17"/>
    <n v="889229.5"/>
    <n v="24393181.5"/>
    <n v="27.4318176578712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9"/>
    <n v="10752"/>
    <n v="0"/>
    <n v="0"/>
  </r>
  <r>
    <x v="6"/>
    <s v="Republic of Cameroon"/>
    <x v="17"/>
    <n v="903131.8"/>
    <n v="25076746.500000015"/>
    <n v="27.766430658293743"/>
    <m/>
    <n v="14"/>
    <m/>
    <m/>
    <m/>
    <m/>
    <m/>
    <m/>
    <m/>
    <m/>
    <m/>
    <m/>
    <m/>
    <m/>
    <m/>
    <m/>
    <m/>
    <m/>
    <m/>
    <n v="241"/>
    <m/>
    <n v="0"/>
    <m/>
    <m/>
    <m/>
    <m/>
    <m/>
    <m/>
    <m/>
    <m/>
    <m/>
    <m/>
    <n v="0"/>
    <m/>
    <m/>
    <m/>
    <n v="0"/>
    <m/>
    <m/>
    <n v="0"/>
    <n v="6518"/>
    <n v="18312"/>
    <n v="0"/>
    <n v="0"/>
    <n v="2.5992207561694642"/>
    <n v="7.3023827074217902"/>
    <n v="0"/>
    <n v="0"/>
    <n v="0"/>
    <n v="5.5828613971114598E-3"/>
    <n v="0"/>
    <n v="0"/>
    <n v="0"/>
    <n v="0"/>
    <n v="0"/>
    <n v="0"/>
    <n v="0"/>
    <n v="0"/>
    <n v="0"/>
    <n v="0"/>
    <n v="0"/>
    <n v="0"/>
    <n v="0"/>
    <n v="0"/>
    <n v="0"/>
    <n v="0"/>
    <n v="0"/>
    <n v="9.6104971193132993E-2"/>
    <n v="0"/>
    <n v="0"/>
    <n v="0"/>
    <n v="0"/>
    <n v="0"/>
    <n v="0"/>
    <n v="0"/>
    <n v="0"/>
    <n v="0"/>
    <n v="0"/>
    <n v="0"/>
    <n v="0"/>
    <n v="0"/>
    <n v="0"/>
    <n v="0"/>
    <n v="0"/>
    <n v="18312"/>
    <n v="7.3023827074217902"/>
    <n v="24830"/>
    <n v="9.901603463591254"/>
    <n v="25085"/>
    <n v="23627"/>
    <n v="30461"/>
    <n v="0"/>
    <n v="0"/>
  </r>
  <r>
    <x v="7"/>
    <s v="Republic of Cameroon"/>
    <x v="17"/>
    <n v="914051.2"/>
    <n v="25782340.999999996"/>
    <n v="28.206670479728047"/>
    <n v="30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1635871234501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40"/>
    <n v="227"/>
    <n v="0"/>
    <n v="0"/>
  </r>
  <r>
    <x v="8"/>
    <s v="Republic of Cameroon"/>
    <x v="17"/>
    <n v="925124.6"/>
    <n v="26491086.500000011"/>
    <n v="28.635155199634742"/>
    <n v="179"/>
    <n v="337"/>
    <n v="2735"/>
    <n v="16"/>
    <n v="2"/>
    <n v="15"/>
    <n v="154"/>
    <n v="45"/>
    <n v="12"/>
    <n v="3"/>
    <n v="10"/>
    <n v="137"/>
    <n v="5"/>
    <n v="194"/>
    <n v="21"/>
    <n v="73"/>
    <n v="21"/>
    <n v="6"/>
    <n v="48"/>
    <n v="112"/>
    <n v="19"/>
    <n v="31"/>
    <n v="4"/>
    <n v="13"/>
    <n v="17"/>
    <n v="207"/>
    <n v="1406"/>
    <n v="152"/>
    <n v="2098"/>
    <n v="54"/>
    <n v="5"/>
    <n v="64"/>
    <n v="69"/>
    <n v="6"/>
    <n v="16"/>
    <n v="48"/>
    <n v="64"/>
    <n v="4"/>
    <n v="3"/>
    <n v="7"/>
    <n v="5930"/>
    <n v="23436"/>
    <n v="2516"/>
    <n v="5390"/>
    <n v="2.2384887837650589"/>
    <n v="8.8467492641345569"/>
    <n v="0.94975341989087492"/>
    <n v="2.0346466348218666"/>
    <n v="6.7569897520058278E-2"/>
    <n v="0.1272126003589924"/>
    <n v="1.0324227358511697"/>
    <n v="6.0397673760945944E-3"/>
    <n v="7.549709220118243E-4"/>
    <n v="5.6622819150886818E-3"/>
    <n v="5.8132760994910472E-2"/>
    <n v="1.6986845745266047E-2"/>
    <n v="4.5298255320709458E-3"/>
    <n v="1.1324563830177365E-3"/>
    <n v="3.7748546100591215E-3"/>
    <n v="5.1715508157809967E-2"/>
    <n v="1.8874273050295608E-3"/>
    <n v="7.3232179435146955E-2"/>
    <n v="7.9271946811241556E-3"/>
    <n v="2.7556438653431586E-2"/>
    <n v="7.9271946811241556E-3"/>
    <n v="2.2649127660354729E-3"/>
    <n v="1.8119302128283783E-2"/>
    <n v="4.2278371632662161E-2"/>
    <n v="7.1722237591123304E-3"/>
    <n v="1.5099418440236486E-3"/>
    <n v="4.9073109930768575E-3"/>
    <n v="6.4172528371005061E-3"/>
    <n v="7.813949042822381E-2"/>
    <n v="0.53074455817431243"/>
    <n v="5.7377790072898643E-2"/>
    <n v="0.79196449719040374"/>
    <n v="2.0384214894319255E-2"/>
    <n v="1.8874273050295608E-3"/>
    <n v="2.4159069504378378E-2"/>
    <n v="2.2649127660354729E-3"/>
    <n v="6.0397673760945944E-3"/>
    <n v="1.8119302128283783E-2"/>
    <n v="1.5099418440236486E-3"/>
    <n v="1.1324563830177365E-3"/>
    <n v="25952"/>
    <n v="9.7965026840254321"/>
    <n v="31882"/>
    <n v="12.034991467790491"/>
    <n v="45684"/>
    <n v="112"/>
    <n v="78"/>
    <n v="0"/>
    <n v="5"/>
  </r>
  <r>
    <x v="9"/>
    <s v="Republic of Cameroon"/>
    <x v="17"/>
    <n v="935437.5"/>
    <n v="27198627.999999985"/>
    <n v="29.075836707422983"/>
    <n v="133"/>
    <n v="264"/>
    <n v="3229"/>
    <n v="37"/>
    <m/>
    <n v="22"/>
    <m/>
    <n v="97"/>
    <n v="3"/>
    <n v="6"/>
    <m/>
    <n v="364"/>
    <m/>
    <m/>
    <n v="339"/>
    <n v="267"/>
    <n v="4216"/>
    <m/>
    <n v="249"/>
    <n v="2247"/>
    <m/>
    <n v="3"/>
    <m/>
    <n v="639"/>
    <n v="65"/>
    <m/>
    <m/>
    <m/>
    <m/>
    <n v="324"/>
    <n v="21"/>
    <m/>
    <n v="21"/>
    <n v="44"/>
    <m/>
    <n v="584"/>
    <n v="584"/>
    <m/>
    <m/>
    <n v="0"/>
    <n v="7653"/>
    <n v="9254"/>
    <n v="1408"/>
    <n v="0"/>
    <n v="2.8137448697779917"/>
    <n v="3.4023775022769551"/>
    <n v="0.51767317086729547"/>
    <n v="0"/>
    <n v="4.8899525373118112E-2"/>
    <n v="9.7063719537617901E-2"/>
    <n v="1.1871922363142735"/>
    <n v="1.3603627359438873E-2"/>
    <n v="0"/>
    <n v="8.0886432948014918E-3"/>
    <n v="0"/>
    <n v="3.5663563617988399E-2"/>
    <n v="1.1029968129274762E-3"/>
    <n v="2.2059936258549523E-3"/>
    <n v="0"/>
    <n v="0.13383027996853378"/>
    <n v="0"/>
    <n v="0"/>
    <n v="0.12463863986080481"/>
    <n v="9.8166716350545385E-2"/>
    <n v="1.5500781877674132"/>
    <n v="0"/>
    <n v="9.1548735472980522E-2"/>
    <n v="0.82614461288267971"/>
    <n v="0"/>
    <n v="0"/>
    <n v="0.23493832115355243"/>
    <n v="2.3898264280095317E-2"/>
    <n v="0"/>
    <n v="0"/>
    <n v="0"/>
    <n v="0"/>
    <n v="0.11912365579616743"/>
    <n v="7.7209776904923338E-3"/>
    <n v="0"/>
    <n v="1.6177286589602984E-2"/>
    <n v="0"/>
    <n v="0.2147167129165487"/>
    <n v="0"/>
    <n v="0"/>
    <n v="10662"/>
    <m/>
    <n v="18315"/>
    <m/>
    <n v="32073"/>
    <n v="74"/>
    <n v="281"/>
    <n v="0"/>
    <n v="0"/>
  </r>
  <r>
    <x v="10"/>
    <s v="Republic of Cameroon"/>
    <x v="17"/>
    <n v="946149.4"/>
    <n v="27914536.499999989"/>
    <n v="29.503307300094455"/>
    <n v="317"/>
    <n v="602"/>
    <n v="3699"/>
    <n v="61"/>
    <n v="0"/>
    <n v="85"/>
    <n v="310"/>
    <n v="88"/>
    <n v="11"/>
    <n v="6"/>
    <n v="1"/>
    <n v="89"/>
    <n v="1"/>
    <n v="668"/>
    <n v="20"/>
    <n v="4864"/>
    <n v="1195"/>
    <n v="118"/>
    <n v="161"/>
    <n v="293"/>
    <n v="8"/>
    <n v="19"/>
    <n v="85"/>
    <n v="83"/>
    <n v="49"/>
    <n v="10"/>
    <n v="5"/>
    <n v="74"/>
    <n v="34"/>
    <n v="369"/>
    <n v="24"/>
    <n v="167"/>
    <n v="191"/>
    <n v="32"/>
    <n v="11"/>
    <n v="595"/>
    <n v="606"/>
    <n v="11"/>
    <n v="5"/>
    <n v="16"/>
    <n v="8865"/>
    <n v="32946"/>
    <n v="3348"/>
    <n v="146"/>
    <n v="3.1757647131271565"/>
    <n v="11.802452818802854"/>
    <n v="1.1993750997800021"/>
    <n v="5.230249837750308E-2"/>
    <n v="0.11356090401142793"/>
    <n v="0.21565824673463599"/>
    <n v="1.3251160376601636"/>
    <n v="2.1852413705669097E-2"/>
    <n v="0"/>
    <n v="3.0450084671833987E-2"/>
    <n v="0.11105324997962983"/>
    <n v="3.1524793542604596E-2"/>
    <n v="3.9405991928255744E-3"/>
    <n v="2.1494177415412228E-3"/>
    <n v="3.5823629025687041E-4"/>
    <n v="3.1883029832861468E-2"/>
    <n v="3.5823629025687041E-4"/>
    <n v="0.23930184189158946"/>
    <n v="7.1647258051374084E-3"/>
    <n v="1.7424613158094178"/>
    <n v="0.42809236685696017"/>
    <n v="4.2271882250310713E-2"/>
    <n v="5.7676042731356139E-2"/>
    <n v="0.10496323304526303"/>
    <n v="2.8658903220549633E-3"/>
    <n v="3.0450084671833987E-2"/>
    <n v="2.9733612091320246E-2"/>
    <n v="1.7553578222586651E-2"/>
    <n v="3.5823629025687042E-3"/>
    <n v="1.7911814512843521E-3"/>
    <n v="2.6509485479008412E-2"/>
    <n v="1.2180033868733595E-2"/>
    <n v="0.13218919110478519"/>
    <n v="8.5976709661648911E-3"/>
    <n v="5.9825460472897364E-2"/>
    <n v="1.1463561288219853E-2"/>
    <n v="3.9405991928255744E-3"/>
    <n v="0.2131505927028379"/>
    <n v="3.9405991928255744E-3"/>
    <n v="1.7911814512843521E-3"/>
    <n v="36294"/>
    <n v="13.001827918582855"/>
    <n v="45159"/>
    <n v="16.177592631710013"/>
    <n v="60288"/>
    <n v="159"/>
    <n v="398"/>
    <n v="0"/>
    <n v="0"/>
  </r>
  <r>
    <x v="0"/>
    <s v="Republic of Chad"/>
    <x v="18"/>
    <n v="579359.69999999995"/>
    <n v="12754906"/>
    <n v="22.015521618089764"/>
    <m/>
    <n v="6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56"/>
    <n v="6282"/>
    <n v="832"/>
    <n v="0"/>
    <n v="0.82791672474889266"/>
    <n v="4.9251636977959699"/>
    <n v="0.6522980255597336"/>
    <n v="0"/>
    <n v="0"/>
    <n v="5.331281939670899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14"/>
    <n v="5.5774617233557029"/>
    <n v="8170"/>
    <n v="6.4053784481045959"/>
    <n v="8238"/>
    <n v="15483"/>
    <n v="19687"/>
    <n v="406"/>
    <n v="1258"/>
  </r>
  <r>
    <x v="1"/>
    <s v="Republic of Chad"/>
    <x v="18"/>
    <n v="595182.19999999995"/>
    <n v="13216766.5"/>
    <n v="22.206252975979456"/>
    <m/>
    <n v="72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46"/>
    <n v="7212"/>
    <n v="902"/>
    <n v="0"/>
    <n v="0.86708046177557874"/>
    <n v="5.4567053144201347"/>
    <n v="0.6824664716593124"/>
    <n v="0"/>
    <n v="0"/>
    <n v="5.447625937857039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14"/>
    <n v="6.139171786079447"/>
    <n v="9260"/>
    <n v="7.0062522478550253"/>
    <n v="9332"/>
    <n v="1652"/>
    <n v="2302"/>
    <n v="0"/>
    <n v="0"/>
  </r>
  <r>
    <x v="2"/>
    <s v="Republic of Chad"/>
    <x v="18"/>
    <n v="610899.30000000005"/>
    <n v="13697125.5"/>
    <n v="22.421249295915054"/>
    <m/>
    <n v="7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16"/>
    <n v="7212"/>
    <n v="0"/>
    <n v="0"/>
    <n v="0.88777751215026834"/>
    <n v="5.2653383368649136"/>
    <n v="0"/>
    <n v="0"/>
    <n v="0"/>
    <n v="5.694625489121787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12"/>
    <n v="5.2653383368649136"/>
    <n v="8428"/>
    <n v="6.1531158490151823"/>
    <n v="8506"/>
    <n v="12"/>
    <n v="351"/>
    <n v="0"/>
    <n v="255"/>
  </r>
  <r>
    <x v="3"/>
    <s v="Republic of Chad"/>
    <x v="18"/>
    <n v="625581.19999999995"/>
    <n v="14140274"/>
    <n v="22.603419028576948"/>
    <m/>
    <n v="79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92"/>
    <n v="7126"/>
    <n v="0"/>
    <n v="0"/>
    <n v="0.98442222548162783"/>
    <n v="5.0395063065963219"/>
    <n v="0"/>
    <n v="0"/>
    <n v="0"/>
    <n v="5.586879009558089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26"/>
    <n v="5.0395063065963219"/>
    <n v="8518"/>
    <n v="6.0239285320779494"/>
    <n v="8597"/>
    <n v="123"/>
    <n v="591"/>
    <n v="43"/>
    <n v="0"/>
  </r>
  <r>
    <x v="4"/>
    <s v="Republic of Chad"/>
    <x v="18"/>
    <n v="635851.69999999995"/>
    <n v="14592585.000000004"/>
    <n v="22.9496673516796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80"/>
    <n v="6212"/>
    <n v="0"/>
    <n v="0"/>
    <n v="0.74010190792104324"/>
    <n v="4.25695652963474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12"/>
    <n v="4.2569565296347411"/>
    <n v="7292"/>
    <n v="4.9970584375557845"/>
    <n v="7292"/>
    <n v="14"/>
    <n v="119"/>
    <n v="0"/>
    <n v="0"/>
  </r>
  <r>
    <x v="5"/>
    <s v="Republic of Chad"/>
    <x v="18"/>
    <n v="646467.9"/>
    <n v="15085884.000000006"/>
    <n v="23.335859367495285"/>
    <m/>
    <n v="71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02"/>
    <n v="6974"/>
    <n v="0"/>
    <n v="0"/>
    <n v="0.86305847241036693"/>
    <n v="4.6228646594392462"/>
    <n v="0"/>
    <n v="0"/>
    <n v="0"/>
    <n v="4.706386447091862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74"/>
    <n v="4.6228646594392462"/>
    <n v="8276"/>
    <n v="5.4859231318496136"/>
    <n v="8347"/>
    <n v="81"/>
    <n v="172"/>
    <n v="0"/>
    <n v="0"/>
  </r>
  <r>
    <x v="6"/>
    <s v="Republic of Chad"/>
    <x v="18"/>
    <n v="661394.80000000005"/>
    <n v="15604210"/>
    <n v="23.592882798594726"/>
    <n v="3"/>
    <n v="269"/>
    <m/>
    <m/>
    <m/>
    <m/>
    <m/>
    <m/>
    <m/>
    <m/>
    <m/>
    <m/>
    <m/>
    <m/>
    <m/>
    <m/>
    <m/>
    <m/>
    <m/>
    <n v="749"/>
    <m/>
    <n v="0"/>
    <m/>
    <m/>
    <m/>
    <m/>
    <m/>
    <m/>
    <m/>
    <m/>
    <m/>
    <m/>
    <n v="0"/>
    <m/>
    <m/>
    <m/>
    <n v="0"/>
    <m/>
    <m/>
    <n v="0"/>
    <n v="1606"/>
    <n v="9598"/>
    <n v="0"/>
    <n v="0"/>
    <n v="1.0292094248923849"/>
    <n v="6.1509041470218611"/>
    <n v="0"/>
    <n v="0"/>
    <n v="1.9225580788774311E-3"/>
    <n v="0.17238937440600965"/>
    <n v="0"/>
    <n v="0"/>
    <n v="0"/>
    <n v="0"/>
    <n v="0"/>
    <n v="0"/>
    <n v="0"/>
    <n v="0"/>
    <n v="0"/>
    <n v="0"/>
    <n v="0"/>
    <n v="0"/>
    <n v="0"/>
    <n v="0"/>
    <n v="0"/>
    <n v="0"/>
    <n v="0"/>
    <n v="0.47999866702639865"/>
    <n v="0"/>
    <n v="0"/>
    <n v="0"/>
    <n v="0"/>
    <n v="0"/>
    <n v="0"/>
    <n v="0"/>
    <n v="0"/>
    <n v="0"/>
    <n v="0"/>
    <n v="0"/>
    <n v="0"/>
    <n v="0"/>
    <n v="0"/>
    <n v="0"/>
    <n v="0"/>
    <n v="9598"/>
    <n v="6.1509041470218611"/>
    <n v="11204"/>
    <n v="7.1801135719142462"/>
    <n v="12225"/>
    <n v="0"/>
    <n v="14"/>
    <n v="0"/>
    <n v="0"/>
  </r>
  <r>
    <x v="7"/>
    <s v="Republic of Chad"/>
    <x v="18"/>
    <n v="680354"/>
    <n v="16126866"/>
    <n v="23.703639575867857"/>
    <m/>
    <n v="52"/>
    <n v="335"/>
    <m/>
    <m/>
    <n v="560"/>
    <m/>
    <n v="11"/>
    <m/>
    <m/>
    <m/>
    <n v="26"/>
    <m/>
    <n v="96"/>
    <m/>
    <n v="48"/>
    <n v="109"/>
    <m/>
    <m/>
    <m/>
    <m/>
    <n v="0"/>
    <m/>
    <n v="150"/>
    <n v="42"/>
    <n v="50"/>
    <n v="6"/>
    <n v="791"/>
    <m/>
    <n v="136"/>
    <n v="18"/>
    <m/>
    <n v="18"/>
    <m/>
    <n v="19"/>
    <m/>
    <n v="19"/>
    <m/>
    <m/>
    <n v="0"/>
    <n v="1905"/>
    <n v="0"/>
    <n v="1178"/>
    <n v="208"/>
    <n v="1.1812586524870983"/>
    <n v="0"/>
    <n v="0.73045810636734998"/>
    <n v="0.12897732268625534"/>
    <n v="0"/>
    <n v="3.2244330671563834E-2"/>
    <n v="0.20772789951872855"/>
    <n v="0"/>
    <n v="0"/>
    <n v="0.34724663800145672"/>
    <n v="0"/>
    <n v="6.8209161036000424E-3"/>
    <n v="0"/>
    <n v="0"/>
    <n v="0"/>
    <n v="1.6122165335781917E-2"/>
    <n v="0"/>
    <n v="5.9527995085964007E-2"/>
    <n v="0"/>
    <n v="2.9763997542982003E-2"/>
    <n v="6.7589077753854962E-2"/>
    <n v="0"/>
    <n v="0"/>
    <n v="0"/>
    <n v="0"/>
    <n v="0"/>
    <n v="9.3012492321818754E-2"/>
    <n v="2.6043497850109253E-2"/>
    <n v="3.100416410727292E-2"/>
    <n v="3.7204996928727504E-3"/>
    <n v="0.49048587617705758"/>
    <n v="0"/>
    <n v="8.4331326371782339E-2"/>
    <n v="1.1161499078618251E-2"/>
    <n v="0"/>
    <n v="0"/>
    <n v="1.1781582360763709E-2"/>
    <n v="0"/>
    <n v="0"/>
    <n v="0"/>
    <n v="1178"/>
    <n v="0.73045810636734998"/>
    <n v="3083"/>
    <m/>
    <n v="5777"/>
    <n v="3"/>
    <n v="269"/>
    <n v="0"/>
    <n v="0"/>
  </r>
  <r>
    <x v="8"/>
    <s v="Republic of Chad"/>
    <x v="18"/>
    <n v="699467.2"/>
    <n v="16644701.499999996"/>
    <n v="23.796257351309677"/>
    <m/>
    <n v="54"/>
    <m/>
    <m/>
    <m/>
    <n v="2"/>
    <n v="592"/>
    <m/>
    <m/>
    <m/>
    <m/>
    <m/>
    <m/>
    <m/>
    <m/>
    <m/>
    <m/>
    <m/>
    <m/>
    <m/>
    <m/>
    <n v="0"/>
    <m/>
    <m/>
    <n v="1"/>
    <n v="1"/>
    <m/>
    <m/>
    <m/>
    <m/>
    <m/>
    <m/>
    <n v="0"/>
    <m/>
    <m/>
    <m/>
    <n v="0"/>
    <m/>
    <m/>
    <n v="0"/>
    <n v="2023"/>
    <n v="5246"/>
    <n v="1420"/>
    <n v="0"/>
    <n v="1.2154017901732876"/>
    <n v="3.1517537277553469"/>
    <n v="0.85312434110037982"/>
    <n v="0"/>
    <n v="0"/>
    <n v="3.2442756633394722E-2"/>
    <n v="0"/>
    <n v="0"/>
    <n v="0"/>
    <n v="1.2015835790146194E-3"/>
    <n v="0.35566873938832733"/>
    <n v="0"/>
    <n v="0"/>
    <n v="0"/>
    <n v="0"/>
    <n v="0"/>
    <n v="0"/>
    <n v="0"/>
    <n v="0"/>
    <n v="0"/>
    <n v="0"/>
    <n v="0"/>
    <n v="0"/>
    <n v="0"/>
    <n v="0"/>
    <n v="0"/>
    <n v="0"/>
    <n v="6.0079178950730972E-4"/>
    <n v="6.0079178950730972E-4"/>
    <n v="0"/>
    <n v="0"/>
    <n v="0"/>
    <n v="0"/>
    <n v="0"/>
    <n v="0"/>
    <n v="0"/>
    <n v="0"/>
    <n v="0"/>
    <n v="0"/>
    <n v="0"/>
    <n v="6666"/>
    <n v="4.0048780688557262"/>
    <n v="8689"/>
    <n v="5.2202798590290138"/>
    <n v="9339"/>
    <n v="506"/>
    <n v="2495"/>
    <n v="0"/>
    <n v="0"/>
  </r>
  <r>
    <x v="9"/>
    <s v="Republic of Chad"/>
    <x v="18"/>
    <n v="715665.6"/>
    <n v="17179739.999999996"/>
    <n v="24.005261675285212"/>
    <n v="19"/>
    <n v="142"/>
    <m/>
    <m/>
    <m/>
    <m/>
    <n v="8077"/>
    <n v="11"/>
    <n v="4"/>
    <m/>
    <m/>
    <n v="30"/>
    <m/>
    <m/>
    <n v="18"/>
    <m/>
    <n v="371"/>
    <n v="104"/>
    <n v="848"/>
    <n v="848"/>
    <m/>
    <n v="4"/>
    <m/>
    <m/>
    <n v="77"/>
    <m/>
    <m/>
    <m/>
    <m/>
    <n v="277"/>
    <m/>
    <m/>
    <n v="0"/>
    <m/>
    <m/>
    <m/>
    <n v="0"/>
    <m/>
    <m/>
    <n v="0"/>
    <n v="2260"/>
    <n v="5354"/>
    <n v="1442"/>
    <n v="0"/>
    <n v="1.315503028567371"/>
    <n v="3.1164615995352674"/>
    <n v="0.83936078194431363"/>
    <n v="0"/>
    <n v="1.1059538735743384E-2"/>
    <n v="8.2655500025029499E-2"/>
    <n v="0"/>
    <n v="0"/>
    <n v="0"/>
    <n v="0"/>
    <n v="4.7014681246631218"/>
    <n v="6.4028908470093278E-3"/>
    <n v="2.3283239443670284E-3"/>
    <n v="0"/>
    <n v="0"/>
    <n v="1.7462429582752712E-2"/>
    <n v="0"/>
    <n v="0"/>
    <n v="1.0477457749651626E-2"/>
    <n v="0"/>
    <n v="0.21595204584004185"/>
    <n v="6.0536422553542732E-2"/>
    <n v="0.49360467620581"/>
    <n v="0.49360467620581"/>
    <n v="0"/>
    <n v="0"/>
    <n v="0"/>
    <n v="4.482023592906529E-2"/>
    <n v="0"/>
    <n v="0"/>
    <n v="0"/>
    <n v="0"/>
    <n v="0.1612364331474167"/>
    <n v="0"/>
    <n v="0"/>
    <n v="0"/>
    <n v="0"/>
    <n v="0"/>
    <n v="0"/>
    <n v="0"/>
    <n v="6796"/>
    <n v="3.9558223814795808"/>
    <n v="9056"/>
    <n v="5.271325410046952"/>
    <n v="19886"/>
    <n v="0"/>
    <n v="10"/>
    <n v="0"/>
    <n v="0"/>
  </r>
  <r>
    <x v="10"/>
    <s v="Republic of Chad"/>
    <x v="18"/>
    <n v="734070.3"/>
    <n v="17723314.500000004"/>
    <n v="24.143892621728469"/>
    <n v="21"/>
    <n v="163"/>
    <n v="431"/>
    <m/>
    <m/>
    <m/>
    <m/>
    <m/>
    <n v="11"/>
    <m/>
    <m/>
    <n v="30"/>
    <m/>
    <m/>
    <n v="18"/>
    <m/>
    <m/>
    <n v="104"/>
    <n v="1028"/>
    <n v="1028"/>
    <m/>
    <n v="11"/>
    <m/>
    <m/>
    <n v="77"/>
    <m/>
    <m/>
    <m/>
    <m/>
    <n v="320"/>
    <m/>
    <m/>
    <n v="0"/>
    <m/>
    <m/>
    <m/>
    <n v="0"/>
    <m/>
    <n v="21983"/>
    <n v="21983"/>
    <n v="3311"/>
    <n v="5866"/>
    <n v="1566"/>
    <n v="0"/>
    <n v="1.8681607212917197"/>
    <n v="3.3097646605548858"/>
    <n v="0.8835819056305747"/>
    <n v="0"/>
    <n v="1.1848799500793148E-2"/>
    <n v="9.1969253268061102E-2"/>
    <n v="0.24318250404008793"/>
    <n v="0"/>
    <n v="0"/>
    <n v="0"/>
    <n v="0"/>
    <n v="0"/>
    <n v="6.206514024224982E-3"/>
    <n v="0"/>
    <n v="0"/>
    <n v="1.6926856429704498E-2"/>
    <n v="0"/>
    <n v="0"/>
    <n v="1.0156113857822698E-2"/>
    <n v="0"/>
    <n v="0"/>
    <n v="5.8679768956308921E-2"/>
    <n v="0.58002694699120738"/>
    <n v="0.58002694699120738"/>
    <n v="0"/>
    <n v="0"/>
    <n v="0"/>
    <n v="4.3445598169574877E-2"/>
    <n v="0"/>
    <n v="0"/>
    <n v="0"/>
    <n v="0"/>
    <n v="0.1805531352501813"/>
    <n v="0"/>
    <n v="0"/>
    <n v="0"/>
    <n v="0"/>
    <n v="0"/>
    <n v="0"/>
    <n v="12.403436163139798"/>
    <n v="7432"/>
    <n v="4.1933465661854603"/>
    <n v="10743"/>
    <n v="6.0615072874771805"/>
    <n v="57951"/>
    <n v="14"/>
    <n v="78"/>
    <n v="0"/>
    <n v="0"/>
  </r>
  <r>
    <x v="0"/>
    <s v="Republic of Equatorial Guinea"/>
    <x v="19"/>
    <n v="42828"/>
    <n v="1193635.4999999998"/>
    <n v="27.87044690389464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3"/>
    <n v="918"/>
    <n v="0"/>
    <n v="0"/>
  </r>
  <r>
    <x v="1"/>
    <s v="Republic of Equatorial Guinea"/>
    <x v="19"/>
    <n v="44010.1"/>
    <n v="1243941.0000000002"/>
    <n v="28.2648982847119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255"/>
    <n v="0"/>
    <n v="0"/>
  </r>
  <r>
    <x v="2"/>
    <s v="Republic of Equatorial Guinea"/>
    <x v="19"/>
    <n v="45062.400000000001"/>
    <n v="1295183.0000000005"/>
    <n v="28.741988886521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9"/>
    <n v="5"/>
    <n v="1"/>
  </r>
  <r>
    <x v="3"/>
    <s v="Republic of Equatorial Guinea"/>
    <x v="19"/>
    <n v="45967.3"/>
    <n v="1346973.0000000005"/>
    <n v="29.302852244965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1"/>
    <n v="2295"/>
    <n v="1147"/>
    <n v="5310"/>
  </r>
  <r>
    <x v="4"/>
    <s v="Republic of Equatorial Guinea"/>
    <x v="19"/>
    <n v="46750.5"/>
    <n v="1398926.5"/>
    <n v="29.9232414626581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3"/>
    <n v="0"/>
    <n v="0"/>
  </r>
  <r>
    <x v="5"/>
    <s v="Republic of Equatorial Guinea"/>
    <x v="19"/>
    <n v="47406.7"/>
    <n v="1450694.0000000005"/>
    <n v="30.60103318729210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14"/>
    <n v="1268"/>
    <n v="0"/>
    <n v="0"/>
    <n v="6.9897580054787545"/>
    <n v="8.7406441330838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8"/>
    <n v="8.7406441330838867"/>
    <n v="2282"/>
    <n v="15.730402138562642"/>
    <n v="2282"/>
    <n v="225"/>
    <n v="27"/>
    <n v="0"/>
    <n v="0"/>
  </r>
  <r>
    <x v="6"/>
    <s v="Republic of Equatorial Guinea"/>
    <x v="19"/>
    <n v="47969.599999999999"/>
    <n v="1502091.5000000002"/>
    <n v="31.313404739668464"/>
    <m/>
    <n v="10"/>
    <m/>
    <m/>
    <m/>
    <m/>
    <m/>
    <m/>
    <m/>
    <m/>
    <m/>
    <m/>
    <m/>
    <m/>
    <m/>
    <m/>
    <m/>
    <m/>
    <m/>
    <n v="2"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6.6573840541671384E-2"/>
    <n v="0"/>
    <n v="0"/>
    <n v="0"/>
    <n v="0"/>
    <n v="0"/>
    <n v="0"/>
    <n v="0"/>
    <n v="0"/>
    <n v="0"/>
    <n v="0"/>
    <n v="0"/>
    <n v="0"/>
    <n v="0"/>
    <n v="0"/>
    <n v="0"/>
    <n v="0"/>
    <n v="0"/>
    <n v="1.331476810833427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12"/>
    <n v="621"/>
    <n v="0"/>
    <n v="0"/>
  </r>
  <r>
    <x v="7"/>
    <s v="Republic of Equatorial Guinea"/>
    <x v="19"/>
    <n v="48504"/>
    <n v="1553030.5000000002"/>
    <n v="32.01860671284843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182"/>
    <n v="6"/>
    <n v="0"/>
  </r>
  <r>
    <x v="8"/>
    <s v="Republic of Equatorial Guinea"/>
    <x v="19"/>
    <n v="48954.6"/>
    <n v="1596048.5000000009"/>
    <n v="32.60262569809580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6"/>
    <n v="748"/>
    <n v="0"/>
    <n v="0"/>
  </r>
  <r>
    <x v="9"/>
    <s v="Republic of Equatorial Guinea"/>
    <x v="19"/>
    <n v="49221.8"/>
    <n v="1634465.5000000002"/>
    <n v="33.20613021059774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192"/>
    <n v="620"/>
    <n v="0"/>
  </r>
  <r>
    <x v="10"/>
    <s v="Republic of Equatorial Guinea"/>
    <x v="19"/>
    <n v="49447.1"/>
    <n v="1674908"/>
    <n v="33.872724588499629"/>
    <m/>
    <n v="14"/>
    <m/>
    <m/>
    <m/>
    <m/>
    <n v="146"/>
    <m/>
    <m/>
    <m/>
    <m/>
    <m/>
    <m/>
    <m/>
    <m/>
    <m/>
    <m/>
    <n v="282"/>
    <n v="228"/>
    <m/>
    <m/>
    <n v="0"/>
    <m/>
    <m/>
    <m/>
    <m/>
    <m/>
    <m/>
    <n v="101"/>
    <n v="91"/>
    <m/>
    <m/>
    <n v="0"/>
    <m/>
    <m/>
    <m/>
    <n v="0"/>
    <m/>
    <m/>
    <n v="0"/>
    <n v="478"/>
    <n v="2750"/>
    <n v="46"/>
    <n v="0"/>
    <n v="2.8538880941520368"/>
    <n v="16.41881225715084"/>
    <n v="0.27464195048325041"/>
    <n v="0"/>
    <n v="0"/>
    <n v="8.3586680581858822E-2"/>
    <n v="0"/>
    <n v="0"/>
    <n v="0"/>
    <n v="0"/>
    <n v="0.87168966892509914"/>
    <n v="0"/>
    <n v="0"/>
    <n v="0"/>
    <n v="0"/>
    <n v="0"/>
    <n v="0"/>
    <n v="0"/>
    <n v="0"/>
    <n v="0"/>
    <n v="0"/>
    <n v="1.6836745660060135"/>
    <n v="1.3612687980474152"/>
    <n v="0"/>
    <n v="0"/>
    <n v="0"/>
    <n v="0"/>
    <n v="0"/>
    <n v="0"/>
    <n v="0"/>
    <n v="0"/>
    <n v="0.60301819562626724"/>
    <n v="0.54331342378208236"/>
    <n v="0"/>
    <n v="0"/>
    <n v="0"/>
    <n v="0"/>
    <n v="0"/>
    <n v="0"/>
    <n v="0"/>
    <n v="2796"/>
    <n v="16.69345420763409"/>
    <n v="3274"/>
    <n v="19.547342301786127"/>
    <n v="4136"/>
    <n v="128"/>
    <n v="690"/>
    <n v="25"/>
    <n v="134"/>
  </r>
  <r>
    <x v="0"/>
    <s v="Republic of Gambia"/>
    <x v="20"/>
    <n v="81185.8"/>
    <n v="2061013.9999999993"/>
    <n v="25.3863853038339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n v="127"/>
    <n v="127"/>
    <n v="656"/>
    <m/>
    <n v="656"/>
    <n v="0"/>
    <n v="4772"/>
    <n v="0"/>
    <n v="0"/>
    <n v="0"/>
    <n v="23.1536515521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1620153963049273"/>
    <n v="3.1828992913197105"/>
    <n v="0"/>
    <n v="4772"/>
    <n v="23.15365155210009"/>
    <n v="4772"/>
    <n v="23.15365155210009"/>
    <n v="6338"/>
    <n v="228"/>
    <n v="886"/>
    <n v="0"/>
    <n v="0"/>
  </r>
  <r>
    <x v="1"/>
    <s v="Republic of Gambia"/>
    <x v="20"/>
    <n v="82489.399999999994"/>
    <n v="2124869.5"/>
    <n v="25.7593036196165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18"/>
    <n v="0"/>
    <n v="0"/>
    <n v="0"/>
    <n v="2.4377967682250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8"/>
    <m/>
    <n v="518"/>
    <m/>
    <n v="518"/>
    <n v="0"/>
    <n v="0"/>
    <n v="0"/>
    <n v="0"/>
  </r>
  <r>
    <x v="2"/>
    <s v="Republic of Gambia"/>
    <x v="20"/>
    <n v="83366.8"/>
    <n v="2189019"/>
    <n v="26.2576829145415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0"/>
    <n v="0"/>
    <n v="124"/>
    <n v="0"/>
    <n v="0"/>
  </r>
  <r>
    <x v="3"/>
    <s v="Republic of Gambia"/>
    <x v="20"/>
    <n v="83965.3"/>
    <n v="2253133.5000000009"/>
    <n v="26.834102897268288"/>
    <n v="17"/>
    <n v="5"/>
    <m/>
    <m/>
    <m/>
    <m/>
    <m/>
    <m/>
    <n v="3"/>
    <m/>
    <m/>
    <m/>
    <m/>
    <n v="172"/>
    <m/>
    <n v="32"/>
    <m/>
    <m/>
    <n v="141"/>
    <n v="11"/>
    <m/>
    <n v="3"/>
    <m/>
    <m/>
    <m/>
    <n v="17"/>
    <m/>
    <m/>
    <m/>
    <n v="99"/>
    <n v="5"/>
    <n v="15"/>
    <n v="20"/>
    <m/>
    <m/>
    <m/>
    <n v="0"/>
    <m/>
    <m/>
    <n v="0"/>
    <n v="426"/>
    <n v="4744"/>
    <n v="1700"/>
    <n v="0"/>
    <n v="1.8907002181628378"/>
    <n v="21.055121678320429"/>
    <n v="7.5450478189596817"/>
    <n v="0"/>
    <n v="7.5450478189596812E-2"/>
    <n v="2.2191317114587297E-2"/>
    <n v="0"/>
    <n v="0"/>
    <n v="0"/>
    <n v="0"/>
    <n v="0"/>
    <n v="0"/>
    <n v="1.3314790268752378E-2"/>
    <n v="0"/>
    <n v="0"/>
    <n v="0"/>
    <n v="0"/>
    <n v="0.7633813087418031"/>
    <n v="0"/>
    <n v="0.1420244295333587"/>
    <n v="0"/>
    <n v="0"/>
    <n v="0.62579514263136182"/>
    <n v="4.8820897652092056E-2"/>
    <n v="0"/>
    <n v="0"/>
    <n v="0"/>
    <n v="0"/>
    <n v="7.5450478189596812E-2"/>
    <n v="0"/>
    <n v="0"/>
    <n v="0"/>
    <n v="0.43938807886882847"/>
    <n v="2.2191317114587297E-2"/>
    <n v="6.65739513437619E-2"/>
    <n v="0"/>
    <n v="0"/>
    <n v="0"/>
    <n v="0"/>
    <n v="0"/>
    <n v="6444"/>
    <n v="28.60016949728011"/>
    <n v="6870"/>
    <n v="30.490869715442948"/>
    <n v="7410"/>
    <n v="15"/>
    <n v="156"/>
    <n v="0"/>
    <n v="0"/>
  </r>
  <r>
    <x v="4"/>
    <s v="Republic of Gambia"/>
    <x v="20"/>
    <n v="84366.1"/>
    <n v="2317205.5"/>
    <n v="27.4660734584151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6433"/>
    <n v="0"/>
    <n v="3652"/>
    <n v="3831"/>
  </r>
  <r>
    <x v="5"/>
    <s v="Republic of Gambia"/>
    <x v="20"/>
    <n v="84719.8"/>
    <n v="2381181.5"/>
    <n v="28.106552423400434"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74"/>
    <m/>
    <m/>
    <n v="0"/>
    <m/>
    <m/>
    <m/>
    <n v="0"/>
    <m/>
    <m/>
    <n v="0"/>
    <n v="464"/>
    <n v="2648"/>
    <n v="844"/>
    <n v="0"/>
    <n v="1.9486124850205664"/>
    <n v="11.120529871410474"/>
    <n v="3.5444589167184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1077009459379723"/>
    <n v="0"/>
    <n v="0"/>
    <n v="0"/>
    <n v="0"/>
    <n v="0"/>
    <n v="0"/>
    <n v="0"/>
    <n v="3492"/>
    <n v="14.664988788128918"/>
    <n v="3956"/>
    <n v="16.613601273149484"/>
    <n v="4030"/>
    <n v="54"/>
    <n v="360"/>
    <n v="0"/>
    <n v="0"/>
  </r>
  <r>
    <x v="6"/>
    <s v="Republic of Gambia"/>
    <x v="20"/>
    <n v="85148.1"/>
    <n v="2444915.5000000014"/>
    <n v="28.713682395731688"/>
    <n v="4"/>
    <n v="2"/>
    <m/>
    <m/>
    <m/>
    <m/>
    <n v="1553"/>
    <n v="10"/>
    <n v="7"/>
    <m/>
    <m/>
    <m/>
    <m/>
    <m/>
    <m/>
    <m/>
    <m/>
    <m/>
    <m/>
    <n v="138"/>
    <m/>
    <n v="7"/>
    <m/>
    <m/>
    <m/>
    <m/>
    <m/>
    <m/>
    <m/>
    <n v="76"/>
    <m/>
    <m/>
    <n v="0"/>
    <m/>
    <m/>
    <m/>
    <n v="0"/>
    <m/>
    <m/>
    <n v="0"/>
    <n v="596"/>
    <n v="2996"/>
    <n v="0"/>
    <n v="0"/>
    <n v="2.4377120599873479"/>
    <n v="12.254002234433043"/>
    <n v="0"/>
    <n v="0"/>
    <n v="1.6360483624076161E-2"/>
    <n v="8.1802418120380804E-3"/>
    <n v="0"/>
    <n v="0"/>
    <n v="0"/>
    <n v="0"/>
    <n v="6.3519577670475691"/>
    <n v="4.0901209060190402E-2"/>
    <n v="2.8630846342133282E-2"/>
    <n v="0"/>
    <n v="0"/>
    <n v="0"/>
    <n v="0"/>
    <n v="0"/>
    <n v="0"/>
    <n v="0"/>
    <n v="0"/>
    <n v="0"/>
    <n v="0"/>
    <n v="0.56443668503062749"/>
    <n v="0"/>
    <n v="0"/>
    <n v="0"/>
    <n v="0"/>
    <n v="0"/>
    <n v="0"/>
    <n v="0"/>
    <n v="0"/>
    <n v="0.31084918885744706"/>
    <n v="0"/>
    <n v="0"/>
    <n v="0"/>
    <n v="0"/>
    <n v="0"/>
    <n v="0"/>
    <n v="0"/>
    <n v="2996"/>
    <n v="12.254002234433043"/>
    <n v="3592"/>
    <n v="14.691714294420391"/>
    <n v="5389"/>
    <n v="27"/>
    <n v="157"/>
    <n v="0"/>
    <n v="0"/>
  </r>
  <r>
    <x v="7"/>
    <s v="Republic of Gambia"/>
    <x v="20"/>
    <n v="85715.6"/>
    <n v="2508883.5000000009"/>
    <n v="29.269858695500012"/>
    <n v="12"/>
    <n v="2"/>
    <n v="0"/>
    <n v="0"/>
    <n v="0"/>
    <n v="10"/>
    <n v="0"/>
    <n v="6"/>
    <n v="95"/>
    <n v="0"/>
    <n v="4"/>
    <n v="0"/>
    <n v="106"/>
    <n v="43"/>
    <n v="0"/>
    <n v="149"/>
    <n v="246"/>
    <n v="0"/>
    <n v="0"/>
    <n v="22"/>
    <n v="0"/>
    <n v="95"/>
    <n v="0"/>
    <n v="0"/>
    <n v="0"/>
    <n v="16"/>
    <n v="0"/>
    <n v="0"/>
    <n v="0"/>
    <n v="81"/>
    <n v="3"/>
    <n v="20"/>
    <n v="23"/>
    <n v="0"/>
    <n v="0"/>
    <n v="0"/>
    <n v="0"/>
    <n v="0"/>
    <n v="0"/>
    <n v="0"/>
    <n v="457"/>
    <n v="1498"/>
    <n v="682"/>
    <n v="0"/>
    <n v="1.8215273845915916"/>
    <n v="5.9707834182017594"/>
    <n v="2.7183406483401868"/>
    <n v="0"/>
    <n v="4.7830040733258423E-2"/>
    <n v="7.9716734555430706E-3"/>
    <n v="0"/>
    <n v="0"/>
    <n v="0"/>
    <n v="3.9858367277715349E-2"/>
    <n v="0"/>
    <n v="2.3915020366629212E-2"/>
    <n v="0.37865448913829586"/>
    <n v="0"/>
    <n v="1.5943346911086141E-2"/>
    <n v="0"/>
    <n v="0.42249869314378274"/>
    <n v="0.17139097929417602"/>
    <n v="0"/>
    <n v="0.59388967243795876"/>
    <n v="0.98051583503179762"/>
    <n v="0"/>
    <n v="0"/>
    <n v="8.7688408010973773E-2"/>
    <n v="0"/>
    <n v="0"/>
    <n v="0"/>
    <n v="0"/>
    <n v="6.3773387644344565E-2"/>
    <n v="0"/>
    <n v="0"/>
    <n v="0"/>
    <n v="0.32285277494949433"/>
    <n v="1.1957510183314606E-2"/>
    <n v="7.9716734555430699E-2"/>
    <n v="0"/>
    <n v="0"/>
    <n v="0"/>
    <n v="0"/>
    <n v="0"/>
    <n v="2180"/>
    <n v="8.6891240665419467"/>
    <n v="2637"/>
    <n v="10.510651451133539"/>
    <n v="3570"/>
    <n v="30"/>
    <n v="60"/>
    <n v="0"/>
    <n v="0"/>
  </r>
  <r>
    <x v="8"/>
    <s v="Republic of Gambia"/>
    <x v="20"/>
    <n v="86528"/>
    <n v="2573994.9999999995"/>
    <n v="29.747538369082836"/>
    <n v="8"/>
    <n v="0"/>
    <n v="0"/>
    <n v="0"/>
    <n v="0"/>
    <n v="10"/>
    <n v="0"/>
    <n v="17"/>
    <n v="4"/>
    <n v="0"/>
    <n v="9"/>
    <n v="0"/>
    <n v="237"/>
    <n v="67"/>
    <n v="0"/>
    <n v="173"/>
    <n v="479"/>
    <n v="0"/>
    <n v="0"/>
    <n v="13"/>
    <n v="0"/>
    <n v="4"/>
    <n v="0"/>
    <n v="0"/>
    <n v="0"/>
    <n v="20"/>
    <n v="0"/>
    <n v="2253"/>
    <n v="0"/>
    <n v="81"/>
    <n v="7"/>
    <n v="25"/>
    <n v="32"/>
    <n v="0"/>
    <n v="0"/>
    <n v="0"/>
    <n v="0"/>
    <n v="0"/>
    <n v="0"/>
    <n v="0"/>
    <n v="466"/>
    <n v="2458"/>
    <n v="1080"/>
    <n v="0"/>
    <n v="1.8104153271471004"/>
    <n v="9.5493580989862075"/>
    <n v="4.1958123461778296"/>
    <n v="0"/>
    <n v="3.1080091453169107E-2"/>
    <n v="0"/>
    <n v="0"/>
    <n v="0"/>
    <n v="0"/>
    <n v="3.8850114316461383E-2"/>
    <n v="0"/>
    <n v="6.604519433798435E-2"/>
    <n v="1.5540045726584554E-2"/>
    <n v="0"/>
    <n v="3.4965102884815247E-2"/>
    <n v="0"/>
    <n v="0.92074770930013483"/>
    <n v="0.26029576592029124"/>
    <n v="0"/>
    <n v="0.67210697767478189"/>
    <n v="1.8609204757585003"/>
    <n v="0"/>
    <n v="0"/>
    <n v="5.0505148611399799E-2"/>
    <n v="0"/>
    <n v="0"/>
    <n v="0"/>
    <n v="0"/>
    <n v="7.7700228632922766E-2"/>
    <n v="0"/>
    <n v="8.752930755498749"/>
    <n v="0"/>
    <n v="0.31468592596333722"/>
    <n v="2.7195080021522967E-2"/>
    <n v="9.7125285791153454E-2"/>
    <n v="0"/>
    <n v="0"/>
    <n v="0"/>
    <n v="0"/>
    <n v="0"/>
    <n v="3538"/>
    <n v="13.745170445164037"/>
    <n v="4004"/>
    <n v="15.555585772311138"/>
    <n v="7443"/>
    <n v="26"/>
    <n v="324"/>
    <n v="0"/>
    <n v="0"/>
  </r>
  <r>
    <x v="9"/>
    <s v="Republic of Gambia"/>
    <x v="20"/>
    <n v="87525.9"/>
    <n v="2639915.5000000005"/>
    <n v="30.161535042770204"/>
    <n v="9"/>
    <n v="4"/>
    <n v="0"/>
    <n v="0"/>
    <n v="0"/>
    <n v="3"/>
    <n v="0"/>
    <n v="16"/>
    <n v="6"/>
    <n v="0"/>
    <n v="2"/>
    <n v="0"/>
    <n v="252"/>
    <n v="44"/>
    <n v="0"/>
    <n v="172"/>
    <n v="522"/>
    <n v="0"/>
    <n v="0"/>
    <n v="18"/>
    <n v="0"/>
    <n v="6"/>
    <n v="0"/>
    <n v="0"/>
    <n v="0"/>
    <n v="18"/>
    <n v="0"/>
    <n v="2193"/>
    <n v="0"/>
    <n v="94"/>
    <n v="1"/>
    <n v="23"/>
    <n v="24"/>
    <n v="0"/>
    <n v="0"/>
    <n v="0"/>
    <n v="0"/>
    <n v="0"/>
    <n v="0"/>
    <n v="0"/>
    <n v="651"/>
    <n v="2808"/>
    <n v="758"/>
    <n v="0"/>
    <n v="2.4659880212074965"/>
    <n v="10.636704091475654"/>
    <n v="2.871304024693214"/>
    <n v="0"/>
    <n v="3.4092000293191198E-2"/>
    <n v="1.5152000130307198E-2"/>
    <n v="0"/>
    <n v="0"/>
    <n v="0"/>
    <n v="1.1364000097730399E-2"/>
    <n v="0"/>
    <n v="6.0608000521228791E-2"/>
    <n v="2.2728000195460799E-2"/>
    <n v="0"/>
    <n v="7.5760000651535989E-3"/>
    <n v="0"/>
    <n v="0.95457600820935351"/>
    <n v="0.16667200143337918"/>
    <n v="0"/>
    <n v="0.65153600560320957"/>
    <n v="1.9773360170050893"/>
    <n v="0"/>
    <n v="0"/>
    <n v="6.8184000586382396E-2"/>
    <n v="0"/>
    <n v="0"/>
    <n v="0"/>
    <n v="0"/>
    <n v="6.8184000586382396E-2"/>
    <n v="0"/>
    <n v="8.3070840714409222"/>
    <n v="0"/>
    <n v="0.35607200306221914"/>
    <n v="3.7880000325767995E-3"/>
    <n v="8.7124000749266392E-2"/>
    <n v="0"/>
    <n v="0"/>
    <n v="0"/>
    <n v="0"/>
    <n v="0"/>
    <n v="3566"/>
    <n v="13.508008116168867"/>
    <n v="4217"/>
    <n v="15.973996137376364"/>
    <n v="7624"/>
    <n v="513"/>
    <n v="1859"/>
    <n v="1"/>
    <n v="2742"/>
  </r>
  <r>
    <x v="10"/>
    <s v="Republic of Gambia"/>
    <x v="20"/>
    <n v="88529.1"/>
    <n v="2705991.9999999995"/>
    <n v="30.56613023288386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2"/>
    <n v="3224"/>
    <n v="59"/>
    <n v="2305"/>
  </r>
  <r>
    <x v="0"/>
    <s v="Republic of Ghana"/>
    <x v="21"/>
    <n v="867829"/>
    <n v="26858761.999999993"/>
    <n v="30.94937136233058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72"/>
    <n v="0"/>
    <n v="0"/>
    <n v="0"/>
    <n v="1.8511649941274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972"/>
    <m/>
    <n v="4972"/>
    <n v="186"/>
    <n v="451"/>
    <n v="0"/>
    <n v="0"/>
  </r>
  <r>
    <x v="1"/>
    <s v="Republic of Ghana"/>
    <x v="21"/>
    <n v="884877.4"/>
    <n v="27525596.999999989"/>
    <n v="31.106678733121658"/>
    <m/>
    <m/>
    <m/>
    <m/>
    <m/>
    <m/>
    <n v="5293"/>
    <m/>
    <m/>
    <m/>
    <m/>
    <m/>
    <n v="1473"/>
    <n v="3639"/>
    <m/>
    <m/>
    <m/>
    <m/>
    <n v="3987"/>
    <m/>
    <m/>
    <n v="0"/>
    <m/>
    <m/>
    <m/>
    <m/>
    <m/>
    <m/>
    <m/>
    <m/>
    <m/>
    <m/>
    <n v="0"/>
    <m/>
    <n v="3482"/>
    <n v="2636"/>
    <n v="6118"/>
    <n v="4472"/>
    <n v="4166"/>
    <n v="8638"/>
    <n v="5460"/>
    <n v="0"/>
    <n v="22574"/>
    <n v="0"/>
    <n v="1.9836082029392503"/>
    <n v="0"/>
    <n v="8.2010936947162349"/>
    <n v="0"/>
    <n v="0"/>
    <n v="0"/>
    <n v="0"/>
    <n v="0"/>
    <n v="0"/>
    <n v="0"/>
    <n v="1.92293740259294"/>
    <n v="0"/>
    <n v="0"/>
    <n v="0"/>
    <n v="0"/>
    <n v="0"/>
    <n v="0.53513825694679773"/>
    <n v="1.3220421704205003"/>
    <n v="0"/>
    <n v="0"/>
    <n v="0"/>
    <n v="0"/>
    <n v="1.4484699459924526"/>
    <n v="0"/>
    <n v="0"/>
    <n v="0"/>
    <n v="0"/>
    <n v="0"/>
    <n v="0"/>
    <n v="0"/>
    <n v="0"/>
    <n v="0"/>
    <n v="0"/>
    <n v="0"/>
    <n v="0"/>
    <n v="0"/>
    <n v="1.2650043521308554"/>
    <n v="0.95765407013697146"/>
    <n v="1.6246695757407195"/>
    <n v="1.5135003248067613"/>
    <n v="22574"/>
    <n v="8.2010936947162349"/>
    <n v="28034"/>
    <n v="10.184701897655485"/>
    <n v="71938"/>
    <n v="21"/>
    <n v="216"/>
    <n v="4"/>
    <n v="351"/>
  </r>
  <r>
    <x v="2"/>
    <s v="Republic of Ghana"/>
    <x v="21"/>
    <n v="893372.3"/>
    <n v="28196358.499999996"/>
    <n v="31.5617111701358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032"/>
    <n v="74808"/>
    <n v="0"/>
    <n v="0"/>
    <n v="2.1392833404356102"/>
    <n v="26.531085565535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808"/>
    <n v="26.531085565535001"/>
    <n v="80840"/>
    <n v="28.670368905970609"/>
    <n v="80840"/>
    <n v="32"/>
    <n v="55"/>
    <n v="0"/>
    <n v="0"/>
  </r>
  <r>
    <x v="3"/>
    <s v="Republic of Ghana"/>
    <x v="21"/>
    <n v="904717.2"/>
    <n v="28870939.000000007"/>
    <n v="31.91156197759919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526"/>
    <n v="97878"/>
    <n v="13616"/>
    <n v="0"/>
    <n v="2.2604044849389893"/>
    <n v="33.901910845365983"/>
    <n v="4.7161611196643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494"/>
    <n v="38.618071965030296"/>
    <n v="118020"/>
    <n v="40.878476449969284"/>
    <n v="118020"/>
    <n v="1450"/>
    <n v="1845"/>
    <n v="0"/>
    <n v="0"/>
  </r>
  <r>
    <x v="4"/>
    <s v="Republic of Ghana"/>
    <x v="21"/>
    <n v="908452.5"/>
    <n v="29554302.499999993"/>
    <n v="32.53257875342959"/>
    <n v="400"/>
    <n v="570"/>
    <m/>
    <m/>
    <m/>
    <m/>
    <m/>
    <n v="516"/>
    <n v="30"/>
    <m/>
    <m/>
    <m/>
    <m/>
    <m/>
    <m/>
    <m/>
    <m/>
    <m/>
    <m/>
    <m/>
    <m/>
    <n v="30"/>
    <m/>
    <m/>
    <m/>
    <m/>
    <m/>
    <m/>
    <m/>
    <m/>
    <m/>
    <m/>
    <n v="0"/>
    <m/>
    <m/>
    <m/>
    <n v="0"/>
    <m/>
    <m/>
    <n v="0"/>
    <n v="7236"/>
    <n v="105210"/>
    <n v="15324"/>
    <n v="0"/>
    <n v="2.4483744794856865"/>
    <n v="35.598877693019496"/>
    <n v="5.1850318578826222"/>
    <n v="0"/>
    <n v="0.13534408399589201"/>
    <n v="0.19286531969414611"/>
    <n v="0"/>
    <n v="0"/>
    <n v="0"/>
    <n v="0"/>
    <n v="0"/>
    <n v="0.17459386835470067"/>
    <n v="1.0150806299691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534"/>
    <n v="40.783909550902116"/>
    <n v="127770"/>
    <n v="43.232284030387802"/>
    <n v="129316"/>
    <n v="80"/>
    <n v="440"/>
    <n v="19"/>
    <n v="160"/>
  </r>
  <r>
    <x v="5"/>
    <s v="Republic of Ghana"/>
    <x v="21"/>
    <n v="890481.1"/>
    <n v="30222261.500000004"/>
    <n v="33.939250928514937"/>
    <m/>
    <n v="718"/>
    <m/>
    <m/>
    <m/>
    <m/>
    <n v="15456"/>
    <n v="46"/>
    <n v="167"/>
    <n v="34"/>
    <m/>
    <m/>
    <m/>
    <m/>
    <m/>
    <m/>
    <m/>
    <n v="240"/>
    <m/>
    <m/>
    <m/>
    <n v="167"/>
    <m/>
    <m/>
    <n v="462"/>
    <n v="133"/>
    <m/>
    <m/>
    <m/>
    <n v="821"/>
    <n v="324"/>
    <m/>
    <n v="324"/>
    <m/>
    <m/>
    <m/>
    <n v="0"/>
    <m/>
    <m/>
    <n v="0"/>
    <n v="5358"/>
    <n v="117216"/>
    <n v="19108"/>
    <n v="0"/>
    <n v="1.7728653429856662"/>
    <n v="38.784655476559884"/>
    <n v="6.3224917830851268"/>
    <n v="0"/>
    <n v="0"/>
    <n v="0.23757322065392092"/>
    <n v="0"/>
    <n v="0"/>
    <n v="0"/>
    <n v="0"/>
    <n v="5.1141110005947104"/>
    <n v="1.5220568454150922E-2"/>
    <n v="5.5257281127026173E-2"/>
    <n v="1.1249985379155029E-2"/>
    <n v="0"/>
    <n v="0"/>
    <n v="0"/>
    <n v="0"/>
    <n v="0"/>
    <n v="0"/>
    <n v="0"/>
    <n v="7.9411661499917852E-2"/>
    <n v="0"/>
    <n v="0"/>
    <n v="0"/>
    <n v="0"/>
    <n v="0"/>
    <n v="0.15286744838734187"/>
    <n v="4.4007295747871149E-2"/>
    <n v="0"/>
    <n v="0"/>
    <n v="0"/>
    <n v="0.27165405871430232"/>
    <n v="0.10720574302488911"/>
    <n v="0"/>
    <n v="0"/>
    <n v="0"/>
    <n v="0"/>
    <n v="0"/>
    <n v="0"/>
    <n v="136324"/>
    <n v="45.107147259645011"/>
    <n v="141682"/>
    <n v="46.880012602630671"/>
    <n v="160574"/>
    <n v="0"/>
    <n v="0"/>
    <n v="0"/>
    <n v="0"/>
  </r>
  <r>
    <x v="6"/>
    <s v="Republic of Ghana"/>
    <x v="21"/>
    <n v="889062.6"/>
    <n v="30870640.5"/>
    <n v="34.722684881806977"/>
    <n v="713"/>
    <n v="918"/>
    <m/>
    <m/>
    <m/>
    <m/>
    <n v="15820"/>
    <m/>
    <m/>
    <m/>
    <m/>
    <m/>
    <m/>
    <m/>
    <m/>
    <m/>
    <m/>
    <m/>
    <m/>
    <n v="1563"/>
    <m/>
    <n v="0"/>
    <m/>
    <m/>
    <m/>
    <m/>
    <m/>
    <m/>
    <m/>
    <m/>
    <m/>
    <m/>
    <n v="0"/>
    <m/>
    <m/>
    <m/>
    <n v="0"/>
    <m/>
    <m/>
    <n v="0"/>
    <n v="8812"/>
    <n v="250048"/>
    <n v="20978"/>
    <n v="0"/>
    <n v="2.8544921184903824"/>
    <n v="80.998643355002628"/>
    <n v="6.7954534341456245"/>
    <n v="0"/>
    <n v="0.2309637858015936"/>
    <n v="0.29736992337428181"/>
    <n v="0"/>
    <n v="0"/>
    <n v="0"/>
    <n v="0"/>
    <n v="5.1246102263411091"/>
    <n v="0"/>
    <n v="0"/>
    <n v="0"/>
    <n v="0"/>
    <n v="0"/>
    <n v="0"/>
    <n v="0"/>
    <n v="0"/>
    <n v="0"/>
    <n v="0"/>
    <n v="0"/>
    <n v="0"/>
    <n v="0.50630630744444705"/>
    <n v="0"/>
    <n v="0"/>
    <n v="0"/>
    <n v="0"/>
    <n v="0"/>
    <n v="0"/>
    <n v="0"/>
    <n v="0"/>
    <n v="0"/>
    <n v="0"/>
    <n v="0"/>
    <n v="0"/>
    <n v="0"/>
    <n v="0"/>
    <n v="0"/>
    <n v="0"/>
    <n v="271026"/>
    <n v="87.794096789148256"/>
    <n v="279838"/>
    <n v="90.64858890763864"/>
    <n v="298852"/>
    <n v="0"/>
    <n v="0"/>
    <n v="0"/>
    <n v="0"/>
  </r>
  <r>
    <x v="7"/>
    <s v="Republic of Ghana"/>
    <x v="21"/>
    <n v="902628.3"/>
    <n v="31522289.999999996"/>
    <n v="34.922780506660374"/>
    <m/>
    <n v="113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634"/>
    <n v="139578"/>
    <n v="25346"/>
    <n v="0"/>
    <n v="2.1045425316498263"/>
    <n v="44.279143425176287"/>
    <n v="8.0406594825439406"/>
    <n v="0"/>
    <n v="0"/>
    <n v="0.36101438061765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924"/>
    <n v="52.319802907720224"/>
    <n v="171558"/>
    <n v="54.42434543937005"/>
    <n v="172696"/>
    <n v="0"/>
    <n v="0"/>
    <n v="0"/>
    <n v="0"/>
  </r>
  <r>
    <x v="8"/>
    <s v="Republic of Ghana"/>
    <x v="21"/>
    <n v="906937.8"/>
    <n v="32180401.499999981"/>
    <n v="35.482479063062513"/>
    <m/>
    <n v="138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570"/>
    <n v="191578"/>
    <n v="33400"/>
    <n v="0"/>
    <n v="3.2846078691715532"/>
    <n v="59.532507697270376"/>
    <n v="10.378987968810774"/>
    <n v="0"/>
    <n v="0"/>
    <n v="0.43131842217692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978"/>
    <n v="69.911495666081152"/>
    <n v="235548"/>
    <n v="73.196103535252703"/>
    <n v="236936"/>
    <n v="0"/>
    <n v="0"/>
    <n v="0"/>
    <n v="0"/>
  </r>
  <r>
    <x v="9"/>
    <s v="Republic of Ghana"/>
    <x v="21"/>
    <n v="910102.9"/>
    <n v="32833031.499999996"/>
    <n v="36.076175012737565"/>
    <n v="0"/>
    <n v="1035"/>
    <n v="4274"/>
    <n v="2091"/>
    <n v="9"/>
    <n v="0"/>
    <n v="0"/>
    <n v="396"/>
    <n v="0"/>
    <n v="112"/>
    <n v="0"/>
    <n v="380"/>
    <n v="0"/>
    <n v="6"/>
    <n v="0"/>
    <n v="1673"/>
    <n v="0"/>
    <n v="2352"/>
    <n v="6276"/>
    <n v="1759"/>
    <n v="0"/>
    <n v="0"/>
    <n v="3238"/>
    <n v="0"/>
    <n v="887"/>
    <n v="235"/>
    <n v="0"/>
    <n v="0"/>
    <n v="0"/>
    <n v="1096"/>
    <n v="159"/>
    <n v="149"/>
    <n v="308"/>
    <n v="48"/>
    <n v="0"/>
    <n v="0"/>
    <n v="0"/>
    <n v="0"/>
    <n v="7"/>
    <n v="7"/>
    <n v="8338"/>
    <n v="186288"/>
    <n v="38282"/>
    <n v="3453"/>
    <n v="2.5395157312842103"/>
    <n v="56.73798351516826"/>
    <n v="11.65959957124276"/>
    <n v="1.0516847949297647"/>
    <n v="0"/>
    <n v="0.31523132428389994"/>
    <n v="1.301737855062211"/>
    <n v="0.636858646451821"/>
    <n v="2.741141950294782E-3"/>
    <n v="0"/>
    <n v="0"/>
    <n v="0.1206102458129704"/>
    <n v="0"/>
    <n v="3.4111988714779509E-2"/>
    <n v="0"/>
    <n v="0.1157371045680019"/>
    <n v="0"/>
    <n v="1.827427966863188E-3"/>
    <n v="0"/>
    <n v="0.50954783142701887"/>
    <n v="0"/>
    <n v="0.71635176301036974"/>
    <n v="1.9114896533388945"/>
    <n v="0.53574096561872464"/>
    <n v="0"/>
    <n v="0.98620195945050049"/>
    <n v="0"/>
    <n v="0.27015476776794128"/>
    <n v="7.1574262035474859E-2"/>
    <n v="0"/>
    <n v="0"/>
    <n v="0"/>
    <n v="0.33381017528034235"/>
    <n v="4.8426841121874481E-2"/>
    <n v="4.5381127843769166E-2"/>
    <n v="1.4619423734905504E-2"/>
    <n v="0"/>
    <n v="0"/>
    <n v="0"/>
    <n v="2.1319992946737193E-3"/>
    <n v="224570"/>
    <n v="68.397583086411018"/>
    <n v="232908"/>
    <n v="70.93709881769523"/>
    <n v="262858"/>
    <n v="0"/>
    <n v="0"/>
    <n v="0"/>
    <n v="0"/>
  </r>
  <r>
    <x v="10"/>
    <s v="Republic of Ghana"/>
    <x v="21"/>
    <n v="913289.2"/>
    <n v="33475870.500000011"/>
    <n v="36.654184129189325"/>
    <n v="0"/>
    <n v="1188"/>
    <n v="4065"/>
    <n v="3583"/>
    <n v="30"/>
    <n v="0"/>
    <n v="0"/>
    <n v="488"/>
    <n v="0"/>
    <n v="153"/>
    <n v="0"/>
    <n v="436"/>
    <n v="0"/>
    <n v="47"/>
    <n v="0"/>
    <n v="2703"/>
    <n v="0"/>
    <n v="2471"/>
    <n v="477"/>
    <n v="2139"/>
    <n v="0"/>
    <n v="0"/>
    <n v="3555"/>
    <n v="0"/>
    <n v="1481"/>
    <n v="309"/>
    <n v="0"/>
    <n v="0"/>
    <n v="0"/>
    <n v="1507"/>
    <n v="196"/>
    <n v="185"/>
    <n v="381"/>
    <n v="65"/>
    <n v="0"/>
    <n v="0"/>
    <n v="0"/>
    <n v="0"/>
    <n v="0"/>
    <n v="0"/>
    <n v="9452"/>
    <n v="205886"/>
    <n v="47764"/>
    <n v="3602"/>
    <n v="2.8235262769343059"/>
    <n v="61.50280692476688"/>
    <n v="14.26818758902774"/>
    <n v="1.0759989049425911"/>
    <n v="0"/>
    <n v="0.35488248169677905"/>
    <n v="1.2143074815634738"/>
    <n v="1.0703231750164641"/>
    <n v="8.9616788307267433E-3"/>
    <n v="0"/>
    <n v="0"/>
    <n v="0.14577664231315504"/>
    <n v="0"/>
    <n v="4.5704562036706392E-2"/>
    <n v="0"/>
    <n v="0.13024306567322869"/>
    <n v="0"/>
    <n v="1.40399635014719E-2"/>
    <n v="0"/>
    <n v="0.80744726264847966"/>
    <n v="0"/>
    <n v="0.73814361302419285"/>
    <n v="0.14249069340855522"/>
    <n v="0.63896770063081687"/>
    <n v="0"/>
    <n v="1.0619589414411192"/>
    <n v="0"/>
    <n v="0.44240821161021027"/>
    <n v="9.2305291956485458E-2"/>
    <n v="0"/>
    <n v="0"/>
    <n v="0"/>
    <n v="0.45017499993017346"/>
    <n v="5.8549635027414726E-2"/>
    <n v="5.5263686122814917E-2"/>
    <n v="1.9416970799907944E-2"/>
    <n v="0"/>
    <n v="0"/>
    <n v="0"/>
    <n v="0"/>
    <n v="253650"/>
    <n v="75.770994513794619"/>
    <n v="263102"/>
    <n v="78.594520790728922"/>
    <n v="292163"/>
    <n v="40"/>
    <n v="227"/>
    <n v="6"/>
    <n v="0"/>
  </r>
  <r>
    <x v="0"/>
    <s v="Republic of Guinea"/>
    <x v="22"/>
    <n v="399755.3"/>
    <n v="10788692"/>
    <n v="26.9882400558541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Guinea"/>
    <x v="22"/>
    <n v="405974.1"/>
    <n v="11055430.000000004"/>
    <n v="27.231860357594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000"/>
    <n v="0"/>
    <n v="0"/>
    <n v="0"/>
    <n v="0.90453288564985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.90453288564985679"/>
    <n v="1000"/>
    <m/>
    <n v="1000"/>
    <n v="0"/>
    <n v="0"/>
    <n v="0"/>
    <n v="0"/>
  </r>
  <r>
    <x v="2"/>
    <s v="Republic of Guinea"/>
    <x v="22"/>
    <n v="413410.9"/>
    <n v="11333365.500000002"/>
    <n v="27.4142880606195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688"/>
    <n v="11578"/>
    <n v="1000"/>
    <n v="0"/>
    <n v="3.2541084111334797"/>
    <n v="10.215853357945615"/>
    <n v="0.88235043685831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78"/>
    <n v="11.098203794803933"/>
    <n v="16266"/>
    <n v="14.352312205937412"/>
    <n v="16266"/>
    <n v="0"/>
    <n v="0"/>
    <n v="0"/>
    <n v="0"/>
  </r>
  <r>
    <x v="3"/>
    <s v="Republic of Guinea"/>
    <x v="22"/>
    <n v="422845.4"/>
    <n v="11625998.500000007"/>
    <n v="27.494678906285859"/>
    <m/>
    <n v="142"/>
    <m/>
    <m/>
    <m/>
    <m/>
    <n v="670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954"/>
    <n v="8778"/>
    <n v="752"/>
    <n v="0"/>
    <n v="1.680715854212435"/>
    <n v="7.5503192263442962"/>
    <n v="0.64682616293129536"/>
    <n v="0"/>
    <n v="0"/>
    <n v="0.12214004672372863"/>
    <n v="0"/>
    <n v="0"/>
    <n v="0"/>
    <n v="0"/>
    <n v="5.7629458665421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30"/>
    <n v="8.1971453892755903"/>
    <n v="11484"/>
    <n v="9.8778612434880255"/>
    <n v="18326"/>
    <n v="14263"/>
    <n v="0"/>
    <n v="0"/>
    <n v="0"/>
  </r>
  <r>
    <x v="4"/>
    <s v="Republic of Guinea"/>
    <x v="22"/>
    <n v="431325.2"/>
    <n v="11930984.999999998"/>
    <n v="27.66122869704807"/>
    <n v="50"/>
    <n v="107"/>
    <m/>
    <m/>
    <m/>
    <m/>
    <n v="6700"/>
    <m/>
    <m/>
    <m/>
    <m/>
    <m/>
    <m/>
    <m/>
    <m/>
    <n v="8"/>
    <m/>
    <m/>
    <n v="209"/>
    <m/>
    <m/>
    <n v="0"/>
    <m/>
    <m/>
    <m/>
    <m/>
    <m/>
    <m/>
    <m/>
    <m/>
    <m/>
    <m/>
    <n v="0"/>
    <m/>
    <m/>
    <m/>
    <n v="0"/>
    <m/>
    <m/>
    <n v="0"/>
    <n v="1954"/>
    <n v="2020"/>
    <n v="886"/>
    <n v="0"/>
    <n v="1.6377524571525321"/>
    <n v="1.6930706056541018"/>
    <n v="0.74260423594531388"/>
    <n v="0"/>
    <n v="4.1907688258764897E-2"/>
    <n v="8.9682452873756868E-2"/>
    <n v="0"/>
    <n v="0"/>
    <n v="0"/>
    <n v="0"/>
    <n v="5.6156302266744955"/>
    <n v="0"/>
    <n v="0"/>
    <n v="0"/>
    <n v="0"/>
    <n v="0"/>
    <n v="0"/>
    <n v="0"/>
    <n v="0"/>
    <n v="6.7052301214023833E-3"/>
    <n v="0"/>
    <n v="0"/>
    <n v="0.17517413692163725"/>
    <n v="0"/>
    <n v="0"/>
    <n v="0"/>
    <n v="0"/>
    <n v="0"/>
    <n v="0"/>
    <n v="0"/>
    <n v="0"/>
    <n v="0"/>
    <n v="0"/>
    <n v="0"/>
    <n v="0"/>
    <n v="0"/>
    <n v="0"/>
    <n v="0"/>
    <n v="0"/>
    <n v="0"/>
    <n v="2906"/>
    <m/>
    <n v="4860"/>
    <m/>
    <n v="11934"/>
    <n v="0"/>
    <n v="0"/>
    <n v="0"/>
    <n v="0"/>
  </r>
  <r>
    <x v="5"/>
    <s v="Republic of Guinea"/>
    <x v="22"/>
    <n v="435595"/>
    <n v="12240788.500000004"/>
    <n v="28.1013062592545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0"/>
  </r>
  <r>
    <x v="6"/>
    <s v="Republic of Guinea"/>
    <x v="22"/>
    <n v="438506.5"/>
    <n v="12554864.499999998"/>
    <n v="28.630965561513907"/>
    <n v="73"/>
    <n v="255"/>
    <m/>
    <m/>
    <m/>
    <m/>
    <n v="16567"/>
    <m/>
    <m/>
    <m/>
    <m/>
    <m/>
    <m/>
    <m/>
    <m/>
    <m/>
    <m/>
    <m/>
    <m/>
    <n v="181"/>
    <m/>
    <n v="0"/>
    <m/>
    <m/>
    <m/>
    <m/>
    <m/>
    <m/>
    <m/>
    <m/>
    <m/>
    <m/>
    <n v="0"/>
    <m/>
    <m/>
    <m/>
    <n v="0"/>
    <m/>
    <m/>
    <n v="0"/>
    <n v="5574"/>
    <n v="14390"/>
    <n v="0"/>
    <n v="0"/>
    <n v="4.4397133875877364"/>
    <n v="11.461692796445554"/>
    <n v="0"/>
    <n v="0"/>
    <n v="5.8144793199480578E-2"/>
    <n v="0.20310852418996639"/>
    <n v="0"/>
    <n v="0"/>
    <n v="0"/>
    <n v="0"/>
    <n v="13.195682040216365"/>
    <n v="0"/>
    <n v="0"/>
    <n v="0"/>
    <n v="0"/>
    <n v="0"/>
    <n v="0"/>
    <n v="0"/>
    <n v="0"/>
    <n v="0"/>
    <n v="0"/>
    <n v="0"/>
    <n v="0"/>
    <n v="0.14416722697405457"/>
    <n v="0"/>
    <n v="0"/>
    <n v="0"/>
    <n v="0"/>
    <n v="0"/>
    <n v="0"/>
    <n v="0"/>
    <n v="0"/>
    <n v="0"/>
    <n v="0"/>
    <n v="0"/>
    <n v="0"/>
    <n v="0"/>
    <n v="0"/>
    <n v="0"/>
    <n v="0"/>
    <n v="14390"/>
    <n v="11.461692796445554"/>
    <n v="19964"/>
    <n v="15.901406184033291"/>
    <n v="37040"/>
    <n v="0"/>
    <n v="0"/>
    <n v="0"/>
    <n v="0"/>
  </r>
  <r>
    <x v="7"/>
    <s v="Republic of Guinea"/>
    <x v="22"/>
    <n v="442929.1"/>
    <n v="12877538.499999994"/>
    <n v="29.07358875269201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3"/>
  </r>
  <r>
    <x v="8"/>
    <s v="Republic of Guinea"/>
    <x v="22"/>
    <n v="448514.4"/>
    <n v="13205152.499999998"/>
    <n v="29.4419811270273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Guinea"/>
    <x v="22"/>
    <n v="453737.3"/>
    <n v="13531906.000000004"/>
    <n v="29.823217090594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Guinea"/>
    <x v="22"/>
    <n v="458014.7"/>
    <n v="13859340.500000006"/>
    <n v="30.259597563134992"/>
    <n v="34"/>
    <m/>
    <m/>
    <m/>
    <m/>
    <m/>
    <m/>
    <n v="50"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56"/>
    <n v="8734"/>
    <n v="1554"/>
    <n v="0"/>
    <n v="0.61763400646661337"/>
    <n v="6.3018871641114496"/>
    <n v="1.1212654743564452"/>
    <n v="0"/>
    <n v="2.4532191845636514E-2"/>
    <n v="0"/>
    <n v="0"/>
    <n v="0"/>
    <n v="0"/>
    <n v="0"/>
    <n v="0"/>
    <n v="3.607675271417134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88"/>
    <n v="7.4231526384678954"/>
    <n v="11144"/>
    <n v="8.0407866449345082"/>
    <n v="11228"/>
    <n v="0"/>
    <n v="71"/>
    <n v="0"/>
    <n v="0"/>
  </r>
  <r>
    <x v="0"/>
    <s v="Republic of Guinea-Bissau"/>
    <x v="23"/>
    <n v="60700.6"/>
    <n v="1652717.4999999998"/>
    <n v="27.22736678055900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Guinea-Bissau"/>
    <x v="23"/>
    <n v="61757.599999999999"/>
    <n v="1697752.4999999995"/>
    <n v="27.49058415482466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468"/>
    <n v="306"/>
    <n v="0"/>
    <n v="0"/>
    <n v="8.6467255975178965"/>
    <n v="1.8023828561583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4"/>
    <n v="10.44910845367626"/>
    <n v="1774"/>
    <n v="10.44910845367626"/>
    <n v="1774"/>
    <n v="0"/>
    <n v="0"/>
    <n v="0"/>
    <n v="0"/>
  </r>
  <r>
    <x v="2"/>
    <s v="Republic of Guinea-Bissau"/>
    <x v="23"/>
    <n v="62283.7"/>
    <n v="1743309.0000000002"/>
    <n v="27.9898111383877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899"/>
    <n v="0"/>
    <n v="0"/>
    <n v="0"/>
    <n v="10.893077475077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"/>
    <n v="10.893077475077567"/>
    <n v="1899"/>
    <n v="10.893077475077567"/>
    <n v="1899"/>
    <n v="0"/>
    <n v="74"/>
    <n v="0"/>
    <n v="0"/>
  </r>
  <r>
    <x v="3"/>
    <s v="Republic of Guinea-Bissau"/>
    <x v="23"/>
    <n v="62364.3"/>
    <n v="1788919.0000000005"/>
    <n v="28.6849848390826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08"/>
    <n v="2098"/>
    <n v="0"/>
    <n v="0"/>
    <n v="3.9576973580134136"/>
    <n v="11.727752905525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8"/>
    <n v="11.727752905525625"/>
    <n v="2806"/>
    <n v="15.685450263539039"/>
    <n v="2806"/>
    <n v="46"/>
    <n v="1539"/>
    <n v="496"/>
    <n v="0"/>
  </r>
  <r>
    <x v="4"/>
    <s v="Republic of Guinea-Bissau"/>
    <x v="23"/>
    <n v="62337"/>
    <n v="1834551.4999999995"/>
    <n v="29.429576335081887"/>
    <n v="7"/>
    <n v="5"/>
    <m/>
    <m/>
    <m/>
    <m/>
    <m/>
    <n v="8"/>
    <n v="4"/>
    <n v="4"/>
    <m/>
    <m/>
    <m/>
    <m/>
    <m/>
    <m/>
    <m/>
    <m/>
    <n v="16"/>
    <n v="158"/>
    <m/>
    <n v="4"/>
    <m/>
    <m/>
    <n v="5"/>
    <m/>
    <m/>
    <m/>
    <n v="11"/>
    <n v="35"/>
    <m/>
    <m/>
    <n v="0"/>
    <m/>
    <m/>
    <m/>
    <n v="0"/>
    <m/>
    <m/>
    <n v="0"/>
    <n v="388"/>
    <n v="2006"/>
    <n v="250"/>
    <n v="0"/>
    <n v="2.1149583426793965"/>
    <n v="10.934552668595025"/>
    <n v="1.3627308909016731"/>
    <n v="0"/>
    <n v="3.8156464945246847E-2"/>
    <n v="2.7254617818033462E-2"/>
    <n v="0"/>
    <n v="0"/>
    <n v="0"/>
    <n v="0"/>
    <n v="0"/>
    <n v="4.360738850885354E-2"/>
    <n v="2.180369425442677E-2"/>
    <n v="2.180369425442677E-2"/>
    <n v="0"/>
    <n v="0"/>
    <n v="0"/>
    <n v="0"/>
    <n v="0"/>
    <n v="0"/>
    <n v="0"/>
    <n v="0"/>
    <n v="8.7214777017707079E-2"/>
    <n v="0.86124592304985736"/>
    <n v="0"/>
    <n v="0"/>
    <n v="0"/>
    <n v="2.7254617818033462E-2"/>
    <n v="0"/>
    <n v="0"/>
    <n v="0"/>
    <n v="5.9960159199673617E-2"/>
    <n v="0.19078232472623421"/>
    <n v="0"/>
    <n v="0"/>
    <n v="0"/>
    <n v="0"/>
    <n v="0"/>
    <n v="0"/>
    <n v="0"/>
    <n v="2256"/>
    <n v="12.297283559496698"/>
    <n v="2644"/>
    <n v="14.412241902176094"/>
    <n v="2901"/>
    <n v="0"/>
    <n v="0"/>
    <n v="0"/>
    <n v="0"/>
  </r>
  <r>
    <x v="5"/>
    <s v="Republic of Guinea-Bissau"/>
    <x v="23"/>
    <n v="61977.7"/>
    <n v="1879826.5000000005"/>
    <n v="30.3306915229187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Republic of Guinea-Bissau"/>
    <x v="23"/>
    <n v="61876.9"/>
    <n v="1924954.4999999988"/>
    <n v="31.10942047840145"/>
    <n v="0"/>
    <n v="11"/>
    <n v="3"/>
    <n v="15"/>
    <n v="0"/>
    <n v="2"/>
    <n v="3481"/>
    <n v="8"/>
    <n v="0"/>
    <n v="5"/>
    <n v="0"/>
    <n v="0"/>
    <n v="0"/>
    <n v="1"/>
    <n v="1"/>
    <n v="17"/>
    <n v="0"/>
    <n v="0"/>
    <n v="0"/>
    <n v="53"/>
    <n v="0"/>
    <n v="0"/>
    <n v="1"/>
    <n v="221"/>
    <n v="0"/>
    <n v="1"/>
    <n v="0"/>
    <n v="0"/>
    <n v="0"/>
    <n v="18"/>
    <n v="15"/>
    <n v="0"/>
    <n v="15"/>
    <n v="2"/>
    <n v="0"/>
    <n v="53"/>
    <n v="53"/>
    <m/>
    <n v="0"/>
    <n v="0"/>
    <n v="1181"/>
    <n v="1488"/>
    <n v="0"/>
    <n v="0"/>
    <n v="6.1352099491182814"/>
    <n v="7.7300528402099937"/>
    <n v="0"/>
    <n v="0"/>
    <n v="0"/>
    <n v="5.7144207824133021E-2"/>
    <n v="1.5584783952036278E-2"/>
    <n v="7.7923919760181398E-2"/>
    <n v="0"/>
    <n v="1.0389855968024185E-2"/>
    <n v="18.083544312346095"/>
    <n v="4.155942387209674E-2"/>
    <n v="0"/>
    <n v="2.5974639920060463E-2"/>
    <n v="0"/>
    <n v="0"/>
    <n v="0"/>
    <n v="5.1949279840120925E-3"/>
    <n v="5.1949279840120925E-3"/>
    <n v="8.8313775728205576E-2"/>
    <n v="0"/>
    <n v="0"/>
    <n v="0"/>
    <n v="0.27533118315264093"/>
    <n v="0"/>
    <n v="5.1949279840120925E-3"/>
    <n v="1.1480790844666724"/>
    <n v="0"/>
    <n v="5.1949279840120925E-3"/>
    <n v="0"/>
    <n v="0"/>
    <n v="0"/>
    <n v="9.3508703712217672E-2"/>
    <n v="7.7923919760181398E-2"/>
    <n v="0"/>
    <n v="1.0389855968024185E-2"/>
    <n v="0"/>
    <n v="0.27533118315264093"/>
    <n v="0"/>
    <n v="0"/>
    <n v="1488"/>
    <n v="7.7300528402099937"/>
    <n v="2669"/>
    <n v="13.865262789328275"/>
    <n v="6645"/>
    <n v="0"/>
    <n v="0"/>
    <n v="0"/>
    <n v="0"/>
  </r>
  <r>
    <x v="7"/>
    <s v="Republic of Guinea-Bissau"/>
    <x v="23"/>
    <n v="62304.1"/>
    <n v="1970456.5"/>
    <n v="31.62643389439860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Republic of Guinea-Bissau"/>
    <x v="23"/>
    <n v="62815"/>
    <n v="2015827.9999999998"/>
    <n v="32.091506805699275"/>
    <n v="5"/>
    <n v="13"/>
    <n v="119"/>
    <m/>
    <m/>
    <n v="4"/>
    <n v="3711"/>
    <n v="0"/>
    <n v="8"/>
    <n v="3"/>
    <n v="1"/>
    <n v="9"/>
    <n v="18"/>
    <n v="2"/>
    <n v="10"/>
    <n v="3"/>
    <m/>
    <m/>
    <n v="1"/>
    <n v="285"/>
    <m/>
    <n v="8"/>
    <m/>
    <m/>
    <n v="4"/>
    <n v="9"/>
    <n v="149"/>
    <n v="115"/>
    <n v="2"/>
    <n v="73"/>
    <n v="4"/>
    <m/>
    <n v="4"/>
    <n v="11"/>
    <n v="61"/>
    <m/>
    <n v="61"/>
    <m/>
    <m/>
    <n v="0"/>
    <n v="781"/>
    <n v="2782"/>
    <n v="370"/>
    <n v="0"/>
    <n v="3.8743384852279066"/>
    <n v="13.800780622156257"/>
    <n v="1.8354740583025935"/>
    <n v="0"/>
    <n v="2.4803703490575587E-2"/>
    <n v="6.4489629075496532E-2"/>
    <n v="0.59032814307569903"/>
    <n v="0"/>
    <n v="0"/>
    <n v="1.9842962792460471E-2"/>
    <n v="18.409308730705202"/>
    <n v="0"/>
    <n v="3.9685925584920942E-2"/>
    <n v="1.4882222094345353E-2"/>
    <n v="4.9607406981151177E-3"/>
    <n v="4.4646666283036054E-2"/>
    <n v="8.9293332566072109E-2"/>
    <n v="9.9214813962302355E-3"/>
    <n v="4.9607406981151174E-2"/>
    <n v="1.4882222094345353E-2"/>
    <n v="0"/>
    <n v="0"/>
    <n v="4.9607406981151177E-3"/>
    <n v="1.4138110989628085"/>
    <n v="0"/>
    <n v="0"/>
    <n v="0"/>
    <n v="1.9842962792460471E-2"/>
    <n v="4.4646666283036054E-2"/>
    <n v="0.73915036401915246"/>
    <n v="0.57048518028323847"/>
    <n v="9.9214813962302355E-3"/>
    <n v="0.36213407096240358"/>
    <n v="1.9842962792460471E-2"/>
    <n v="0"/>
    <n v="5.4568147679266293E-2"/>
    <n v="0.30260518258502217"/>
    <n v="0"/>
    <n v="0"/>
    <n v="0"/>
    <n v="3152"/>
    <n v="15.636254680458851"/>
    <n v="3933"/>
    <n v="19.510593165686757"/>
    <n v="8626"/>
    <n v="0"/>
    <n v="0"/>
    <n v="0"/>
    <n v="0"/>
  </r>
  <r>
    <x v="9"/>
    <s v="Republic of Guinea-Bissau"/>
    <x v="23"/>
    <n v="63310.400000000001"/>
    <n v="2060720.9999999991"/>
    <n v="32.549486340316896"/>
    <n v="2"/>
    <n v="2"/>
    <n v="196"/>
    <n v="0"/>
    <n v="0"/>
    <n v="0"/>
    <n v="0"/>
    <n v="21"/>
    <n v="3"/>
    <n v="2"/>
    <n v="0"/>
    <n v="0"/>
    <n v="28"/>
    <n v="1"/>
    <n v="0"/>
    <n v="2"/>
    <n v="0"/>
    <n v="0"/>
    <n v="1"/>
    <n v="200"/>
    <n v="0"/>
    <n v="3"/>
    <n v="0"/>
    <n v="0"/>
    <n v="2"/>
    <n v="10"/>
    <n v="0"/>
    <n v="86"/>
    <n v="0"/>
    <n v="76"/>
    <n v="6"/>
    <n v="0"/>
    <n v="6"/>
    <n v="12"/>
    <n v="0"/>
    <n v="16"/>
    <n v="16"/>
    <n v="0"/>
    <n v="0"/>
    <n v="0"/>
    <n v="916"/>
    <n v="3912"/>
    <n v="426"/>
    <n v="0"/>
    <n v="4.4450461755861195"/>
    <n v="18.983646985690939"/>
    <n v="2.0672376318773877"/>
    <n v="0"/>
    <n v="9.705340994729519E-3"/>
    <n v="9.705340994729519E-3"/>
    <n v="0.95112341748349283"/>
    <n v="0"/>
    <n v="0"/>
    <n v="0"/>
    <n v="0"/>
    <n v="0.10190608044465994"/>
    <n v="1.4558011492094278E-2"/>
    <n v="9.705340994729519E-3"/>
    <n v="0"/>
    <n v="0"/>
    <n v="0.13587477392621328"/>
    <n v="4.8526704973647595E-3"/>
    <n v="0"/>
    <n v="9.705340994729519E-3"/>
    <n v="0"/>
    <n v="0"/>
    <n v="4.8526704973647595E-3"/>
    <n v="0.97053409947295188"/>
    <n v="0"/>
    <n v="0"/>
    <n v="0"/>
    <n v="9.705340994729519E-3"/>
    <n v="4.8526704973647597E-2"/>
    <n v="0"/>
    <n v="0.4173296627733693"/>
    <n v="0"/>
    <n v="0.36880295779972172"/>
    <n v="2.9116022984188555E-2"/>
    <n v="0"/>
    <n v="5.8232045968377111E-2"/>
    <n v="0"/>
    <n v="7.7642727957836152E-2"/>
    <n v="0"/>
    <n v="0"/>
    <n v="4338"/>
    <n v="21.050884617568325"/>
    <n v="5254"/>
    <n v="25.495930793154447"/>
    <n v="5945"/>
    <n v="0"/>
    <n v="0"/>
    <n v="0"/>
    <n v="0"/>
  </r>
  <r>
    <x v="10"/>
    <s v="Republic of Guinea-Bissau"/>
    <x v="23"/>
    <n v="63757.9"/>
    <n v="2105565.4999999991"/>
    <n v="33.024385997656744"/>
    <n v="20"/>
    <n v="2"/>
    <n v="181"/>
    <n v="0"/>
    <n v="0"/>
    <n v="11"/>
    <n v="3975"/>
    <n v="2"/>
    <n v="2"/>
    <n v="3"/>
    <n v="1"/>
    <n v="1"/>
    <n v="24"/>
    <n v="0"/>
    <n v="0"/>
    <n v="51"/>
    <n v="0"/>
    <n v="0"/>
    <n v="197"/>
    <n v="1"/>
    <n v="0"/>
    <n v="2"/>
    <n v="0"/>
    <n v="0"/>
    <n v="1"/>
    <n v="0"/>
    <n v="10"/>
    <n v="64"/>
    <n v="0"/>
    <n v="80"/>
    <n v="5"/>
    <n v="0"/>
    <n v="5"/>
    <n v="11"/>
    <n v="68"/>
    <n v="0"/>
    <n v="68"/>
    <n v="0"/>
    <n v="0"/>
    <n v="0"/>
    <n v="885"/>
    <n v="3758"/>
    <n v="394"/>
    <n v="0"/>
    <n v="4.20314637564113"/>
    <n v="17.847936813174424"/>
    <n v="1.871231267799554"/>
    <n v="0"/>
    <n v="9.4986358771550969E-2"/>
    <n v="9.4986358771550969E-3"/>
    <n v="0.85962654688253626"/>
    <n v="0"/>
    <n v="0"/>
    <n v="5.2242497324353029E-2"/>
    <n v="18.878538805845754"/>
    <n v="9.4986358771550969E-3"/>
    <n v="9.4986358771550969E-3"/>
    <n v="1.4247953815732644E-2"/>
    <n v="4.7493179385775484E-3"/>
    <n v="4.7493179385775484E-3"/>
    <n v="0.11398363052586115"/>
    <n v="0"/>
    <n v="0"/>
    <n v="0.24221521486745495"/>
    <n v="0"/>
    <n v="0"/>
    <n v="0.93561563389977698"/>
    <n v="4.7493179385775484E-3"/>
    <n v="0"/>
    <n v="0"/>
    <n v="0"/>
    <n v="4.7493179385775484E-3"/>
    <n v="0"/>
    <n v="4.7493179385775484E-2"/>
    <n v="0.3039563480689631"/>
    <n v="0"/>
    <n v="0.37994543508620388"/>
    <n v="2.3746589692887742E-2"/>
    <n v="0"/>
    <n v="5.2242497324353029E-2"/>
    <n v="0.32295361982327325"/>
    <n v="0"/>
    <n v="0"/>
    <n v="0"/>
    <n v="4152"/>
    <n v="19.719168080973979"/>
    <n v="5037"/>
    <n v="23.922314456615108"/>
    <n v="9822"/>
    <n v="53"/>
    <n v="0"/>
    <n v="0"/>
    <n v="0"/>
  </r>
  <r>
    <x v="0"/>
    <s v="Republic of Kenya"/>
    <x v="24"/>
    <n v="1436441.7"/>
    <n v="43725806.500000007"/>
    <n v="30.440362807623874"/>
    <n v="985"/>
    <n v="2076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184"/>
    <n v="123538"/>
    <n v="0"/>
    <n v="0"/>
    <n v="3.7012467683128949"/>
    <n v="28.252880824508058"/>
    <n v="0"/>
    <n v="0"/>
    <n v="0.22526742874370992"/>
    <n v="0.47477683459080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538"/>
    <n v="28.252880824508058"/>
    <n v="139722"/>
    <n v="31.954127592820953"/>
    <n v="142783"/>
    <n v="401"/>
    <n v="531"/>
    <n v="0"/>
    <n v="0"/>
  </r>
  <r>
    <x v="1"/>
    <s v="Republic of Kenya"/>
    <x v="24"/>
    <n v="1427073.7"/>
    <n v="44792368.000000007"/>
    <n v="31.387564636640708"/>
    <n v="1045"/>
    <n v="2202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493"/>
    <n v="80584"/>
    <n v="0"/>
    <n v="0"/>
    <n v="3.9053528047456649"/>
    <n v="17.990564821221326"/>
    <n v="0"/>
    <n v="0"/>
    <n v="0.2332986726667364"/>
    <n v="0.491601604987706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584"/>
    <n v="17.990564821221326"/>
    <n v="98077"/>
    <n v="21.895917625966991"/>
    <n v="101324"/>
    <n v="536"/>
    <n v="2310"/>
    <n v="211"/>
    <n v="0"/>
  </r>
  <r>
    <x v="2"/>
    <s v="Republic of Kenya"/>
    <x v="24"/>
    <n v="1418695.6"/>
    <n v="45831863.500000007"/>
    <n v="32.305635895395746"/>
    <n v="1090"/>
    <n v="235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971"/>
    <n v="86622"/>
    <n v="0"/>
    <n v="0"/>
    <n v="4.1392600150329901"/>
    <n v="18.899951558810169"/>
    <n v="0"/>
    <n v="0"/>
    <n v="0.23782580867566072"/>
    <n v="0.51383466002860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622"/>
    <n v="18.899951558810169"/>
    <n v="105593"/>
    <n v="23.039211573843158"/>
    <n v="109038"/>
    <n v="0"/>
    <n v="0"/>
    <n v="0"/>
    <n v="0"/>
  </r>
  <r>
    <x v="3"/>
    <s v="Republic of Kenya"/>
    <x v="24"/>
    <n v="1423217.7"/>
    <n v="46851488.499999993"/>
    <n v="32.91941106409792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2826"/>
    <n v="0"/>
    <n v="0"/>
    <n v="0"/>
    <n v="17.678413781880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826"/>
    <n v="17.678413781880167"/>
    <n v="82826"/>
    <n v="17.678413781880167"/>
    <n v="82826"/>
    <n v="236"/>
    <n v="1080"/>
    <n v="0"/>
    <n v="201"/>
  </r>
  <r>
    <x v="4"/>
    <s v="Republic of Kenya"/>
    <x v="24"/>
    <n v="1439435.7"/>
    <n v="47894670"/>
    <n v="33.27322644561337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80"/>
    <n v="97474"/>
    <n v="4184"/>
    <n v="0"/>
    <n v="7.9340770068986793E-2"/>
    <n v="20.35174268869584"/>
    <n v="0.87358363675958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658"/>
    <n v="21.22532632545542"/>
    <n v="102038"/>
    <n v="21.304667095524408"/>
    <n v="102038"/>
    <n v="178"/>
    <n v="170"/>
    <n v="0"/>
    <n v="146"/>
  </r>
  <r>
    <x v="5"/>
    <s v="Republic of Kenya"/>
    <x v="24"/>
    <n v="1446540.2"/>
    <n v="48948137.000000037"/>
    <n v="33.8380758446948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06336"/>
    <n v="0"/>
    <n v="0"/>
    <n v="0"/>
    <n v="21.724218022843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336"/>
    <n v="21.724218022843221"/>
    <n v="106336"/>
    <n v="21.724218022843221"/>
    <n v="106336"/>
    <n v="0"/>
    <n v="0"/>
    <n v="0"/>
    <n v="0"/>
  </r>
  <r>
    <x v="6"/>
    <s v="Republic of Kenya"/>
    <x v="24"/>
    <n v="1442173.7"/>
    <n v="49953303.999999993"/>
    <n v="34.637508644069712"/>
    <n v="841"/>
    <n v="964"/>
    <n v="2759"/>
    <m/>
    <m/>
    <m/>
    <n v="58079"/>
    <m/>
    <m/>
    <m/>
    <m/>
    <m/>
    <n v="3682"/>
    <n v="1628"/>
    <n v="1705"/>
    <n v="430"/>
    <m/>
    <m/>
    <m/>
    <m/>
    <m/>
    <n v="0"/>
    <n v="714"/>
    <m/>
    <n v="1147"/>
    <m/>
    <m/>
    <m/>
    <n v="21942"/>
    <n v="1331"/>
    <m/>
    <m/>
    <n v="0"/>
    <m/>
    <m/>
    <m/>
    <n v="0"/>
    <m/>
    <m/>
    <n v="0"/>
    <n v="20964"/>
    <n v="119802"/>
    <n v="0"/>
    <n v="0"/>
    <n v="4.1967194001822188"/>
    <n v="23.982798014721912"/>
    <n v="0"/>
    <n v="0"/>
    <n v="0.16835723218628343"/>
    <n v="0.19298022809462215"/>
    <n v="0.55231581878948399"/>
    <n v="0"/>
    <n v="0"/>
    <n v="0"/>
    <n v="11.626658368783776"/>
    <n v="0"/>
    <n v="0"/>
    <n v="0"/>
    <n v="0"/>
    <n v="0"/>
    <n v="0.7370883815813265"/>
    <n v="0.32590436860793037"/>
    <n v="0.3413187644204676"/>
    <n v="8.6080392199883324E-2"/>
    <n v="0"/>
    <n v="0"/>
    <n v="0"/>
    <n v="0"/>
    <n v="0"/>
    <n v="0.14293348844352721"/>
    <n v="0"/>
    <n v="0.22961444151922367"/>
    <n v="0"/>
    <n v="0"/>
    <n v="0"/>
    <n v="4.392502245697302"/>
    <n v="0.26644884190242957"/>
    <n v="0"/>
    <n v="0"/>
    <n v="0"/>
    <n v="0"/>
    <n v="0"/>
    <n v="0"/>
    <n v="0"/>
    <n v="119802"/>
    <n v="23.982798014721912"/>
    <n v="140766"/>
    <n v="28.179517414904133"/>
    <n v="235988"/>
    <n v="0"/>
    <n v="0"/>
    <n v="0"/>
    <n v="0"/>
  </r>
  <r>
    <x v="7"/>
    <s v="Republic of Kenya"/>
    <x v="24"/>
    <n v="1444188.8"/>
    <n v="50951450"/>
    <n v="35.28032484395392"/>
    <n v="1300"/>
    <m/>
    <m/>
    <m/>
    <m/>
    <m/>
    <m/>
    <n v="464"/>
    <n v="468"/>
    <m/>
    <m/>
    <m/>
    <m/>
    <m/>
    <m/>
    <m/>
    <m/>
    <m/>
    <m/>
    <m/>
    <m/>
    <n v="468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2551448486745716"/>
    <n v="0"/>
    <n v="0"/>
    <n v="0"/>
    <n v="0"/>
    <n v="0"/>
    <n v="0"/>
    <n v="9.1067084450000932E-2"/>
    <n v="9.185214552284576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0"/>
    <n v="13262"/>
    <n v="11741"/>
    <n v="3877"/>
    <n v="3730"/>
  </r>
  <r>
    <x v="8"/>
    <s v="Republic of Kenya"/>
    <x v="24"/>
    <n v="1455623.7"/>
    <n v="51985779.999999993"/>
    <n v="35.713749370802354"/>
    <m/>
    <m/>
    <m/>
    <m/>
    <m/>
    <m/>
    <n v="91653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7.630398158881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653"/>
    <n v="0"/>
    <n v="0"/>
    <n v="0"/>
    <n v="0"/>
  </r>
  <r>
    <x v="9"/>
    <s v="Republic of Kenya"/>
    <x v="24"/>
    <n v="1466518.7"/>
    <n v="53005614.000000022"/>
    <n v="36.143837783998272"/>
    <m/>
    <n v="1137"/>
    <m/>
    <m/>
    <m/>
    <n v="725"/>
    <n v="86490"/>
    <n v="246"/>
    <n v="261"/>
    <m/>
    <m/>
    <m/>
    <m/>
    <n v="5029"/>
    <n v="2137"/>
    <n v="717"/>
    <m/>
    <m/>
    <m/>
    <n v="5019"/>
    <m/>
    <n v="261"/>
    <m/>
    <m/>
    <n v="1985"/>
    <m/>
    <n v="3295"/>
    <n v="11129"/>
    <n v="8087"/>
    <n v="1780"/>
    <n v="718"/>
    <m/>
    <n v="718"/>
    <m/>
    <m/>
    <n v="749"/>
    <n v="749"/>
    <m/>
    <m/>
    <n v="0"/>
    <n v="12377"/>
    <n v="69176"/>
    <n v="0"/>
    <n v="0"/>
    <n v="2.3350356813148121"/>
    <n v="13.050693083189259"/>
    <n v="0"/>
    <n v="0"/>
    <n v="0"/>
    <n v="0.21450558048436144"/>
    <n v="0"/>
    <n v="0"/>
    <n v="0"/>
    <n v="0.13677796468879685"/>
    <n v="16.317139539219369"/>
    <n v="4.6410178363371073E-2"/>
    <n v="4.9240067287966871E-2"/>
    <n v="0"/>
    <n v="0"/>
    <n v="0"/>
    <n v="0"/>
    <n v="0.948767426786151"/>
    <n v="0.40316484212408127"/>
    <n v="0.13526869059567911"/>
    <n v="0"/>
    <n v="0"/>
    <n v="0"/>
    <n v="0.94688083416975377"/>
    <n v="0"/>
    <n v="0"/>
    <n v="0"/>
    <n v="0.37448863435484386"/>
    <n v="0"/>
    <n v="0.62163226710287678"/>
    <n v="2.0995889227884419"/>
    <n v="1.5256874488804142"/>
    <n v="0.33581348571870129"/>
    <n v="0.13545734985731883"/>
    <n v="0"/>
    <n v="0"/>
    <n v="0"/>
    <n v="0.14130578696815013"/>
    <n v="0"/>
    <n v="0"/>
    <n v="69176"/>
    <n v="13.050693083189259"/>
    <n v="81553"/>
    <n v="15.385728764504071"/>
    <n v="212785"/>
    <n v="0"/>
    <n v="0"/>
    <n v="0"/>
    <n v="0"/>
  </r>
  <r>
    <x v="10"/>
    <s v="Republic of Kenya"/>
    <x v="24"/>
    <n v="1487676.4"/>
    <n v="54027486.999999985"/>
    <n v="36.316692931339091"/>
    <n v="273"/>
    <n v="886"/>
    <n v="0"/>
    <n v="141"/>
    <n v="0"/>
    <n v="603"/>
    <n v="86423"/>
    <n v="255"/>
    <n v="181"/>
    <n v="0"/>
    <n v="0"/>
    <n v="0"/>
    <n v="0"/>
    <n v="4286"/>
    <n v="2153"/>
    <n v="0"/>
    <n v="0"/>
    <n v="0"/>
    <n v="636"/>
    <n v="4663"/>
    <n v="0"/>
    <n v="181"/>
    <n v="0"/>
    <n v="0"/>
    <n v="2217"/>
    <n v="0"/>
    <n v="0"/>
    <n v="0"/>
    <n v="8639"/>
    <n v="1797"/>
    <n v="631"/>
    <n v="0"/>
    <n v="631"/>
    <n v="0"/>
    <n v="0"/>
    <n v="642"/>
    <n v="642"/>
    <n v="0"/>
    <n v="0"/>
    <n v="0"/>
    <n v="13340"/>
    <n v="69268"/>
    <n v="274"/>
    <n v="0"/>
    <n v="2.4691135458512079"/>
    <n v="12.82088134138092"/>
    <n v="5.0714925904290178E-2"/>
    <n v="0"/>
    <n v="5.0529834933836559E-2"/>
    <n v="0.16399059982190181"/>
    <n v="0"/>
    <n v="2.6097826833959545E-2"/>
    <n v="0"/>
    <n v="0.11160985518352912"/>
    <n v="15.996116939512664"/>
    <n v="4.7198197465671513E-2"/>
    <n v="3.3501465652104094E-2"/>
    <n v="0"/>
    <n v="0"/>
    <n v="0"/>
    <n v="0"/>
    <n v="0.79329989936418865"/>
    <n v="0.39850085938663049"/>
    <n v="0"/>
    <n v="0"/>
    <n v="0"/>
    <n v="0.11771785720849837"/>
    <n v="0.86307919522520105"/>
    <n v="0"/>
    <n v="0"/>
    <n v="0"/>
    <n v="0.41034668149566178"/>
    <n v="0"/>
    <n v="0"/>
    <n v="0"/>
    <n v="1.5990008937487694"/>
    <n v="0.33260847390514398"/>
    <n v="0.1167924023562303"/>
    <n v="0"/>
    <n v="0"/>
    <n v="0"/>
    <n v="0.11882840303122005"/>
    <n v="0"/>
    <n v="0"/>
    <n v="69542"/>
    <n v="12.871596267285209"/>
    <n v="82882"/>
    <n v="15.340709813136417"/>
    <n v="198762"/>
    <n v="0"/>
    <n v="0"/>
    <n v="0"/>
    <n v="0"/>
  </r>
  <r>
    <x v="0"/>
    <s v="Republic of Liberia"/>
    <x v="25"/>
    <n v="155206.70000000001"/>
    <n v="4331740.4999999991"/>
    <n v="27.90949424219443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Liberia"/>
    <x v="25"/>
    <n v="157241.29999999999"/>
    <n v="4427312.4999999991"/>
    <n v="28.1561682585936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612"/>
    <n v="0"/>
    <n v="0"/>
    <n v="0"/>
    <n v="3.6410350523031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2"/>
    <n v="3.6410350523031756"/>
    <n v="1612"/>
    <n v="3.6410350523031756"/>
    <n v="1612"/>
    <n v="0"/>
    <n v="0"/>
    <n v="0"/>
    <n v="0"/>
  </r>
  <r>
    <x v="2"/>
    <s v="Republic of Liberia"/>
    <x v="25"/>
    <n v="155883.9"/>
    <n v="4519397.9999999981"/>
    <n v="28.9920767956151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5"/>
    <n v="998"/>
    <n v="0"/>
    <n v="2036"/>
  </r>
  <r>
    <x v="3"/>
    <s v="Republic of Liberia"/>
    <x v="25"/>
    <n v="154970.79999999999"/>
    <n v="4612328.9999999972"/>
    <n v="29.7625681741334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36"/>
    <n v="0"/>
    <n v="0"/>
    <n v="0"/>
    <n v="0.72848229170122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"/>
    <n v="0.72848229170122125"/>
    <n v="336"/>
    <n v="0"/>
    <n v="0"/>
    <n v="0"/>
    <n v="0"/>
  </r>
  <r>
    <x v="4"/>
    <s v="Republic of Liberia"/>
    <x v="25"/>
    <n v="155266.4"/>
    <n v="4706097.5000000009"/>
    <n v="30.30982556432042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68"/>
    <n v="0"/>
    <n v="0"/>
    <n v="0"/>
    <n v="0.994454534781737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"/>
    <n v="0.99445453478173773"/>
    <n v="468"/>
    <n v="57"/>
    <n v="221"/>
    <n v="8"/>
    <n v="344"/>
  </r>
  <r>
    <x v="5"/>
    <s v="Republic of Liberia"/>
    <x v="25"/>
    <n v="156073.20000000001"/>
    <n v="4796630.9999999963"/>
    <n v="30.73321364590458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6"/>
    <n v="0"/>
    <n v="0"/>
    <n v="0"/>
    <n v="1.034059113573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6"/>
    <n v="1.0340591135736736"/>
    <n v="496"/>
    <n v="0"/>
    <n v="0"/>
    <n v="0"/>
    <n v="0"/>
  </r>
  <r>
    <x v="6"/>
    <s v="Republic of Liberia"/>
    <x v="25"/>
    <n v="156857.29999999999"/>
    <n v="4889391"/>
    <n v="31.170949646589609"/>
    <n v="3"/>
    <n v="93"/>
    <m/>
    <m/>
    <m/>
    <m/>
    <n v="3391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07"/>
    <n v="4526"/>
    <n v="1784"/>
    <n v="0"/>
    <n v="2.8776589967953066"/>
    <n v="9.2567765596983342"/>
    <n v="3.648716169355243"/>
    <n v="0"/>
    <n v="6.1357334686467091E-3"/>
    <n v="0.19020773752804798"/>
    <n v="0"/>
    <n v="0"/>
    <n v="0"/>
    <n v="0"/>
    <n v="6.9354240640603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10"/>
    <n v="12.905492729053577"/>
    <n v="7717"/>
    <n v="15.783151725848883"/>
    <n v="11204"/>
    <n v="0"/>
    <n v="0"/>
    <n v="0"/>
    <n v="0"/>
  </r>
  <r>
    <x v="7"/>
    <s v="Republic of Liberia"/>
    <x v="25"/>
    <n v="157728.4"/>
    <n v="4985289.0000000075"/>
    <n v="31.606793703607007"/>
    <n v="4"/>
    <n v="54"/>
    <m/>
    <m/>
    <m/>
    <m/>
    <m/>
    <m/>
    <m/>
    <m/>
    <m/>
    <m/>
    <m/>
    <m/>
    <m/>
    <m/>
    <m/>
    <m/>
    <m/>
    <m/>
    <m/>
    <n v="0"/>
    <m/>
    <m/>
    <m/>
    <m/>
    <m/>
    <m/>
    <m/>
    <n v="201"/>
    <m/>
    <m/>
    <n v="0"/>
    <m/>
    <m/>
    <m/>
    <n v="0"/>
    <m/>
    <m/>
    <n v="0"/>
    <n v="1508"/>
    <n v="3956"/>
    <n v="1534"/>
    <n v="0"/>
    <n v="3.0248998603691737"/>
    <n v="7.9353473790586548"/>
    <n v="3.0770533062376075"/>
    <n v="0"/>
    <n v="8.0236070566821575E-3"/>
    <n v="0.108318695265209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0318625459827845"/>
    <n v="0"/>
    <n v="0"/>
    <n v="0"/>
    <n v="0"/>
    <n v="0"/>
    <n v="0"/>
    <n v="0"/>
    <n v="5490"/>
    <n v="11.012400685296262"/>
    <n v="6998"/>
    <n v="14.037300545665437"/>
    <n v="7257"/>
    <n v="0"/>
    <n v="235"/>
    <n v="0"/>
    <n v="0"/>
  </r>
  <r>
    <x v="8"/>
    <s v="Republic of Liberia"/>
    <x v="25"/>
    <n v="158615.9"/>
    <n v="5087584.5000000019"/>
    <n v="32.074870804251034"/>
    <n v="6"/>
    <n v="127"/>
    <m/>
    <m/>
    <m/>
    <m/>
    <n v="12625"/>
    <m/>
    <m/>
    <m/>
    <m/>
    <m/>
    <m/>
    <m/>
    <m/>
    <m/>
    <m/>
    <m/>
    <m/>
    <m/>
    <m/>
    <n v="0"/>
    <m/>
    <m/>
    <m/>
    <m/>
    <m/>
    <m/>
    <m/>
    <n v="486"/>
    <m/>
    <m/>
    <n v="0"/>
    <m/>
    <m/>
    <m/>
    <n v="0"/>
    <m/>
    <m/>
    <n v="0"/>
    <n v="1611"/>
    <n v="4832"/>
    <n v="1744"/>
    <n v="0"/>
    <n v="3.1665321725860265"/>
    <n v="9.49763094843928"/>
    <n v="3.4279528919863629"/>
    <n v="0"/>
    <n v="1.1793415912797119E-2"/>
    <n v="0.24962730348753903"/>
    <n v="0"/>
    <n v="0"/>
    <n v="0"/>
    <n v="0"/>
    <n v="24.815312649843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5526668893656674"/>
    <n v="0"/>
    <n v="0"/>
    <n v="0"/>
    <n v="0"/>
    <n v="0"/>
    <n v="0"/>
    <n v="0"/>
    <n v="6576"/>
    <n v="12.925583840425643"/>
    <n v="8187"/>
    <n v="16.092116013011669"/>
    <n v="21431"/>
    <n v="0"/>
    <n v="0"/>
    <n v="0"/>
    <n v="0"/>
  </r>
  <r>
    <x v="9"/>
    <s v="Republic of Liberia"/>
    <x v="25"/>
    <n v="159834.6"/>
    <n v="5193415.5000000019"/>
    <n v="32.49243593064331"/>
    <n v="6"/>
    <n v="124"/>
    <m/>
    <m/>
    <m/>
    <m/>
    <m/>
    <m/>
    <m/>
    <m/>
    <m/>
    <m/>
    <m/>
    <m/>
    <m/>
    <m/>
    <m/>
    <m/>
    <m/>
    <m/>
    <m/>
    <n v="0"/>
    <m/>
    <m/>
    <m/>
    <m/>
    <m/>
    <m/>
    <m/>
    <n v="472"/>
    <m/>
    <m/>
    <n v="0"/>
    <m/>
    <m/>
    <m/>
    <n v="0"/>
    <m/>
    <m/>
    <n v="0"/>
    <n v="1861"/>
    <n v="3522"/>
    <n v="1590"/>
    <n v="0"/>
    <n v="3.5833836133465526"/>
    <n v="6.7816642053769796"/>
    <n v="3.0615690194632017"/>
    <n v="0"/>
    <n v="1.155309063948378E-2"/>
    <n v="0.23876387321599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0884313030605746"/>
    <n v="0"/>
    <n v="0"/>
    <n v="0"/>
    <n v="0"/>
    <n v="0"/>
    <n v="0"/>
    <n v="0"/>
    <n v="5112"/>
    <n v="9.8432332248401817"/>
    <n v="6973"/>
    <n v="13.426616838186733"/>
    <n v="7575"/>
    <n v="0"/>
    <n v="0"/>
    <n v="0"/>
    <n v="0"/>
  </r>
  <r>
    <x v="10"/>
    <s v="Republic of Liberia"/>
    <x v="25"/>
    <n v="161499.29999999999"/>
    <n v="5302681.0000000028"/>
    <n v="32.834080395394921"/>
    <n v="6"/>
    <n v="170"/>
    <m/>
    <m/>
    <m/>
    <m/>
    <m/>
    <m/>
    <m/>
    <m/>
    <m/>
    <m/>
    <m/>
    <m/>
    <m/>
    <m/>
    <m/>
    <m/>
    <m/>
    <m/>
    <m/>
    <n v="0"/>
    <m/>
    <m/>
    <m/>
    <m/>
    <m/>
    <m/>
    <m/>
    <n v="447"/>
    <m/>
    <m/>
    <n v="0"/>
    <m/>
    <m/>
    <m/>
    <n v="0"/>
    <m/>
    <m/>
    <n v="0"/>
    <n v="2025"/>
    <n v="6880"/>
    <n v="1538"/>
    <n v="0"/>
    <n v="3.8188229689849322"/>
    <n v="12.974568902032757"/>
    <n v="2.9004196179253459"/>
    <n v="0"/>
    <n v="1.1315031019214614E-2"/>
    <n v="0.32059254554441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296981093148871"/>
    <n v="0"/>
    <n v="0"/>
    <n v="0"/>
    <n v="0"/>
    <n v="0"/>
    <n v="0"/>
    <n v="0"/>
    <n v="8418"/>
    <n v="15.874988519958103"/>
    <n v="10443"/>
    <n v="19.693811488943037"/>
    <n v="11066"/>
    <n v="147"/>
    <n v="404"/>
    <n v="0"/>
    <n v="0"/>
  </r>
  <r>
    <x v="0"/>
    <s v="Republic of Madagascar"/>
    <x v="26"/>
    <n v="778427"/>
    <n v="22966240"/>
    <n v="29.503395951065418"/>
    <n v="181"/>
    <n v="6"/>
    <m/>
    <m/>
    <m/>
    <m/>
    <m/>
    <m/>
    <m/>
    <m/>
    <m/>
    <m/>
    <n v="755"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376"/>
    <n v="6766"/>
    <n v="2950"/>
    <n v="0"/>
    <n v="2.7762489636962777"/>
    <n v="2.9460634392046763"/>
    <n v="1.2844941096148086"/>
    <n v="0"/>
    <n v="7.881133350517977E-2"/>
    <n v="2.6125303924368986E-3"/>
    <n v="0"/>
    <n v="0"/>
    <n v="0"/>
    <n v="0"/>
    <n v="0"/>
    <n v="0"/>
    <n v="0"/>
    <n v="0"/>
    <n v="0"/>
    <n v="0"/>
    <n v="0.3287434077149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16"/>
    <n v="4.2305575488194842"/>
    <n v="16092"/>
    <n v="7.0068065125157624"/>
    <n v="17034"/>
    <n v="0"/>
    <n v="0"/>
    <n v="0"/>
    <n v="0"/>
  </r>
  <r>
    <x v="1"/>
    <s v="Republic of Madagascar"/>
    <x v="26"/>
    <n v="785163.7"/>
    <n v="23588073.5"/>
    <n v="30.04223641515776"/>
    <n v="111"/>
    <n v="1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046"/>
    <n v="6876"/>
    <n v="6800"/>
    <n v="0"/>
    <n v="2.9871027831077428"/>
    <n v="2.9150324633336417"/>
    <n v="2.882812790964044"/>
    <n v="0"/>
    <n v="4.7057679381913069E-2"/>
    <n v="7.2070319774101095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76"/>
    <n v="5.7978452542976857"/>
    <n v="20722"/>
    <n v="8.7849480374054281"/>
    <n v="20850"/>
    <n v="4081"/>
    <n v="0"/>
    <n v="0"/>
    <n v="0"/>
  </r>
  <r>
    <x v="2"/>
    <s v="Republic of Madagascar"/>
    <x v="26"/>
    <n v="793162.3"/>
    <n v="24215975.500000019"/>
    <n v="30.530920972920697"/>
    <m/>
    <m/>
    <n v="2510"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550"/>
    <n v="0"/>
    <n v="0"/>
    <n v="0"/>
    <n v="3.5307270607372367"/>
    <n v="0"/>
    <n v="0"/>
    <n v="0"/>
    <n v="0"/>
    <n v="0"/>
    <n v="1.03650583888309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0"/>
    <n v="3.5307270607372367"/>
    <n v="11060"/>
    <n v="0"/>
    <n v="118"/>
    <n v="0"/>
    <n v="174"/>
  </r>
  <r>
    <x v="3"/>
    <s v="Republic of Madagascar"/>
    <x v="26"/>
    <n v="803737.2"/>
    <n v="24850912.500000015"/>
    <n v="30.9192015748431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Madagascar"/>
    <x v="26"/>
    <n v="821643"/>
    <n v="25501940.499999996"/>
    <n v="31.037738409503881"/>
    <m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"/>
    <n v="0"/>
    <n v="3166"/>
    <n v="0"/>
    <n v="1.372444579266429E-2"/>
    <n v="0"/>
    <n v="1.241474153702147"/>
    <n v="0"/>
    <n v="0"/>
    <n v="1.5685080905902045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6"/>
    <n v="1.241474153702147"/>
    <n v="3201"/>
    <n v="1.2551985994948112"/>
    <n v="3205"/>
    <n v="0"/>
    <n v="0"/>
    <n v="0"/>
    <n v="0"/>
  </r>
  <r>
    <x v="5"/>
    <s v="Republic of Madagascar"/>
    <x v="26"/>
    <n v="840158.7"/>
    <n v="26169542.000000015"/>
    <n v="31.1483318568265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862"/>
    <n v="0"/>
    <n v="0"/>
    <n v="0"/>
    <n v="2.2400086329367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62"/>
    <n v="2.2400086329367159"/>
    <n v="5862"/>
    <n v="2.2400086329367159"/>
    <n v="5862"/>
    <n v="0"/>
    <n v="0"/>
    <n v="0"/>
    <n v="0"/>
  </r>
  <r>
    <x v="6"/>
    <s v="Republic of Madagascar"/>
    <x v="26"/>
    <n v="853987.6"/>
    <n v="26846541"/>
    <n v="31.436687136909249"/>
    <n v="225"/>
    <n v="27"/>
    <m/>
    <m/>
    <m/>
    <m/>
    <n v="35000"/>
    <m/>
    <m/>
    <m/>
    <m/>
    <m/>
    <m/>
    <m/>
    <m/>
    <m/>
    <m/>
    <m/>
    <m/>
    <n v="306"/>
    <m/>
    <n v="0"/>
    <m/>
    <m/>
    <m/>
    <m/>
    <m/>
    <m/>
    <m/>
    <m/>
    <m/>
    <m/>
    <n v="0"/>
    <m/>
    <m/>
    <m/>
    <n v="0"/>
    <m/>
    <m/>
    <n v="0"/>
    <n v="0"/>
    <n v="7666"/>
    <n v="7988"/>
    <n v="0"/>
    <n v="0"/>
    <n v="2.8554889063734503"/>
    <n v="2.9754298700901542"/>
    <n v="0"/>
    <n v="8.3809679615709148E-2"/>
    <n v="1.0057161553885098E-2"/>
    <n v="0"/>
    <n v="0"/>
    <n v="0"/>
    <n v="0"/>
    <n v="13.037061273554757"/>
    <n v="0"/>
    <n v="0"/>
    <n v="0"/>
    <n v="0"/>
    <n v="0"/>
    <n v="0"/>
    <n v="0"/>
    <n v="0"/>
    <n v="0"/>
    <n v="0"/>
    <n v="0"/>
    <n v="0"/>
    <n v="0.11398116427736445"/>
    <n v="0"/>
    <n v="0"/>
    <n v="0"/>
    <n v="0"/>
    <n v="0"/>
    <n v="0"/>
    <n v="0"/>
    <n v="0"/>
    <n v="0"/>
    <n v="0"/>
    <n v="0"/>
    <n v="0"/>
    <n v="0"/>
    <n v="0"/>
    <n v="0"/>
    <n v="0"/>
    <n v="15654"/>
    <n v="5.830918776463605"/>
    <n v="15654"/>
    <n v="5.830918776463605"/>
    <n v="51212"/>
    <n v="0"/>
    <n v="0"/>
    <n v="0"/>
    <n v="0"/>
  </r>
  <r>
    <x v="7"/>
    <s v="Republic of Madagascar"/>
    <x v="26"/>
    <n v="866367.5"/>
    <n v="27533134.000000015"/>
    <n v="31.779970970748575"/>
    <m/>
    <m/>
    <m/>
    <m/>
    <m/>
    <m/>
    <n v="38338"/>
    <n v="21"/>
    <n v="12"/>
    <m/>
    <m/>
    <m/>
    <m/>
    <m/>
    <m/>
    <m/>
    <m/>
    <m/>
    <m/>
    <m/>
    <m/>
    <n v="12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3.924313883047233"/>
    <n v="7.6271738625904298E-3"/>
    <n v="4.358385064337388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383"/>
    <n v="0"/>
    <n v="0"/>
    <n v="0"/>
    <n v="0"/>
  </r>
  <r>
    <x v="8"/>
    <s v="Republic of Madagascar"/>
    <x v="26"/>
    <n v="878903.6"/>
    <n v="28225176.500000007"/>
    <n v="32.114075423061195"/>
    <m/>
    <m/>
    <m/>
    <m/>
    <m/>
    <m/>
    <n v="4161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4.744283352842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16"/>
    <n v="9"/>
    <n v="13"/>
    <n v="0"/>
    <n v="254"/>
  </r>
  <r>
    <x v="9"/>
    <s v="Republic of Madagascar"/>
    <x v="26"/>
    <n v="890888.8"/>
    <n v="28915652.500000004"/>
    <n v="32.457083869502007"/>
    <m/>
    <m/>
    <m/>
    <m/>
    <m/>
    <m/>
    <n v="4161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4.392205052263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16"/>
    <n v="91"/>
    <n v="0"/>
    <n v="0"/>
    <n v="0"/>
  </r>
  <r>
    <x v="10"/>
    <s v="Republic of Madagascar"/>
    <x v="26"/>
    <n v="903175.3"/>
    <n v="29611714.000000004"/>
    <n v="32.786230978637263"/>
    <n v="225"/>
    <n v="2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7.5983443579118709E-2"/>
    <n v="9.11801322949424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0"/>
    <n v="0"/>
    <n v="0"/>
    <n v="0"/>
  </r>
  <r>
    <x v="0"/>
    <s v="Republic of Malawi"/>
    <x v="27"/>
    <n v="595474.80000000005"/>
    <n v="15581250.5"/>
    <n v="26.1660955257888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</r>
  <r>
    <x v="1"/>
    <s v="Republic of Malawi"/>
    <x v="27"/>
    <n v="598581.6"/>
    <n v="16024775.499999996"/>
    <n v="26.771246393140043"/>
    <m/>
    <n v="17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0"/>
    <n v="7090"/>
    <n v="96"/>
    <n v="0"/>
    <n v="0.24961348132459021"/>
    <n v="4.4243989564783615"/>
    <n v="5.9907235517901655E-2"/>
    <n v="0"/>
    <n v="0"/>
    <n v="0.10608572956295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86"/>
    <n v="4.4843061919962635"/>
    <n v="7586"/>
    <n v="4.7339196733208535"/>
    <n v="7756"/>
    <n v="88"/>
    <n v="199"/>
    <n v="0"/>
    <n v="0"/>
  </r>
  <r>
    <x v="2"/>
    <s v="Republic of Malawi"/>
    <x v="27"/>
    <n v="601396.5"/>
    <n v="16477966.500000002"/>
    <n v="27.3995051517592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8"/>
    <n v="0"/>
    <n v="0"/>
    <n v="0"/>
    <n v="4.126722796772283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4.1267227967722836E-2"/>
    <n v="68"/>
    <n v="0"/>
    <n v="0"/>
    <n v="0"/>
    <n v="0"/>
  </r>
  <r>
    <x v="3"/>
    <s v="Republic of Malawi"/>
    <x v="27"/>
    <n v="602721.6"/>
    <n v="16938941.500000004"/>
    <n v="28.1040890188770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Malawi"/>
    <x v="27"/>
    <n v="604185.30000000005"/>
    <n v="17405623.5"/>
    <n v="28.808419370679822"/>
    <m/>
    <m/>
    <m/>
    <m/>
    <m/>
    <m/>
    <m/>
    <m/>
    <m/>
    <m/>
    <m/>
    <m/>
    <m/>
    <m/>
    <m/>
    <m/>
    <m/>
    <m/>
    <n v="397"/>
    <m/>
    <m/>
    <n v="0"/>
    <m/>
    <m/>
    <m/>
    <m/>
    <m/>
    <m/>
    <n v="1159"/>
    <n v="218"/>
    <m/>
    <m/>
    <n v="0"/>
    <m/>
    <m/>
    <m/>
    <n v="0"/>
    <m/>
    <m/>
    <n v="0"/>
    <n v="1093"/>
    <n v="9146"/>
    <n v="1136"/>
    <n v="0"/>
    <n v="0.62795797002043618"/>
    <n v="5.254623599091409"/>
    <n v="0.65266262940824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2808720411538261"/>
    <n v="0"/>
    <n v="0"/>
    <n v="0"/>
    <n v="0"/>
    <n v="0"/>
    <n v="0"/>
    <n v="0"/>
    <n v="0"/>
    <n v="0.66587674954591547"/>
    <n v="0.12524687782658289"/>
    <n v="0"/>
    <n v="0"/>
    <n v="0"/>
    <n v="0"/>
    <n v="0"/>
    <n v="0"/>
    <n v="0"/>
    <n v="10282"/>
    <n v="5.9072862284996575"/>
    <n v="11375"/>
    <n v="6.5352441985200933"/>
    <n v="13149"/>
    <n v="0"/>
    <n v="0"/>
    <n v="0"/>
    <n v="0"/>
  </r>
  <r>
    <x v="5"/>
    <s v="Republic of Malawi"/>
    <x v="27"/>
    <n v="609708.69999999995"/>
    <n v="17881167.000000004"/>
    <n v="29.3273935569559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"/>
    <n v="0"/>
    <n v="0"/>
    <n v="0"/>
    <n v="6.15172376612779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.151723766127791E-3"/>
    <n v="11"/>
    <n v="0"/>
    <n v="0"/>
    <n v="0"/>
    <n v="0"/>
  </r>
  <r>
    <x v="6"/>
    <s v="Republic of Malawi"/>
    <x v="27"/>
    <n v="619407.19999999995"/>
    <n v="18367882.999999985"/>
    <n v="29.653970764304947"/>
    <n v="112"/>
    <n v="387"/>
    <m/>
    <m/>
    <m/>
    <m/>
    <n v="10016"/>
    <m/>
    <m/>
    <m/>
    <m/>
    <m/>
    <m/>
    <m/>
    <m/>
    <m/>
    <m/>
    <m/>
    <m/>
    <n v="542"/>
    <m/>
    <n v="0"/>
    <m/>
    <m/>
    <m/>
    <m/>
    <m/>
    <m/>
    <m/>
    <n v="234"/>
    <m/>
    <m/>
    <n v="0"/>
    <m/>
    <m/>
    <m/>
    <n v="0"/>
    <m/>
    <m/>
    <n v="0"/>
    <n v="5520"/>
    <n v="15914"/>
    <n v="0"/>
    <n v="0"/>
    <n v="3.005245623570231"/>
    <n v="8.6640360241841776"/>
    <n v="0"/>
    <n v="0"/>
    <n v="6.0975998159395993E-2"/>
    <n v="0.21069385078291294"/>
    <n v="0"/>
    <n v="0"/>
    <n v="0"/>
    <n v="0"/>
    <n v="5.4529964068259842"/>
    <n v="0"/>
    <n v="0"/>
    <n v="0"/>
    <n v="0"/>
    <n v="0"/>
    <n v="0"/>
    <n v="0"/>
    <n v="0"/>
    <n v="0"/>
    <n v="0"/>
    <n v="0"/>
    <n v="0"/>
    <n v="0.29508027680707705"/>
    <n v="0"/>
    <n v="0"/>
    <n v="0"/>
    <n v="0"/>
    <n v="0"/>
    <n v="0"/>
    <n v="0"/>
    <n v="0"/>
    <n v="0.12739628186873805"/>
    <n v="0"/>
    <n v="0"/>
    <n v="0"/>
    <n v="0"/>
    <n v="0"/>
    <n v="0"/>
    <n v="0"/>
    <n v="15914"/>
    <n v="8.6640360241841776"/>
    <n v="21434"/>
    <n v="11.669281647754408"/>
    <n v="32725"/>
    <n v="916"/>
    <n v="570"/>
    <n v="0"/>
    <n v="0"/>
  </r>
  <r>
    <x v="7"/>
    <s v="Republic of Malawi"/>
    <x v="27"/>
    <n v="630365.19999999995"/>
    <n v="18867336.499999993"/>
    <n v="29.9308028108150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07"/>
    <n v="0"/>
    <n v="0"/>
  </r>
  <r>
    <x v="8"/>
    <s v="Republic of Malawi"/>
    <x v="27"/>
    <n v="641720.1"/>
    <n v="19377061.499999985"/>
    <n v="30.1955034601534"/>
    <n v="149"/>
    <n v="151"/>
    <n v="2848"/>
    <n v="0"/>
    <n v="0"/>
    <n v="13"/>
    <n v="0"/>
    <n v="204"/>
    <n v="0"/>
    <n v="31"/>
    <n v="0"/>
    <n v="249"/>
    <n v="321"/>
    <n v="196"/>
    <n v="334"/>
    <n v="0"/>
    <n v="2630"/>
    <n v="1809"/>
    <n v="282"/>
    <n v="743"/>
    <n v="0"/>
    <n v="0"/>
    <n v="0"/>
    <n v="0"/>
    <n v="54"/>
    <n v="91"/>
    <m/>
    <m/>
    <n v="0"/>
    <n v="600"/>
    <n v="152"/>
    <n v="0"/>
    <n v="152"/>
    <n v="0"/>
    <n v="0"/>
    <n v="0"/>
    <n v="0"/>
    <n v="0"/>
    <n v="0"/>
    <n v="0"/>
    <n v="2265"/>
    <n v="32965"/>
    <n v="0"/>
    <n v="0"/>
    <n v="1.1689078862654183"/>
    <n v="17.012383430790074"/>
    <n v="0"/>
    <n v="0"/>
    <n v="7.6895044173751578E-2"/>
    <n v="7.7927192417694566E-2"/>
    <n v="1.4697790993747955"/>
    <n v="0"/>
    <n v="0"/>
    <n v="6.7089635856293333E-3"/>
    <n v="0"/>
    <n v="0.10527912088218337"/>
    <n v="0"/>
    <n v="1.59982977811161E-2"/>
    <n v="0"/>
    <n v="0.1285024563709003"/>
    <n v="0.16565979315284737"/>
    <n v="0.10115052790641148"/>
    <n v="0.17236875673847671"/>
    <n v="0"/>
    <n v="1.3572749407850111"/>
    <n v="0.93357808664642028"/>
    <n v="0.14553290239595937"/>
    <n v="0.38344307262481497"/>
    <n v="0"/>
    <n v="0"/>
    <n v="0"/>
    <n v="2.7868002586460307E-2"/>
    <n v="4.6962745099405331E-2"/>
    <n v="0"/>
    <n v="0"/>
    <n v="0"/>
    <n v="0.30964447318289229"/>
    <n v="7.8443266539666046E-2"/>
    <n v="0"/>
    <n v="0"/>
    <n v="0"/>
    <n v="0"/>
    <n v="0"/>
    <n v="0"/>
    <n v="32965"/>
    <n v="17.012383430790074"/>
    <n v="35230"/>
    <n v="18.181291317055493"/>
    <n v="46239"/>
    <n v="15"/>
    <n v="40"/>
    <n v="9"/>
    <n v="0"/>
  </r>
  <r>
    <x v="9"/>
    <s v="Republic of Malawi"/>
    <x v="27"/>
    <n v="652416.6"/>
    <n v="19889742.000000011"/>
    <n v="30.4862598529835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Malawi"/>
    <x v="27"/>
    <n v="663702.4"/>
    <n v="20405316.500000019"/>
    <n v="30.74467788575123"/>
    <n v="91"/>
    <n v="111"/>
    <n v="82"/>
    <n v="272"/>
    <n v="0"/>
    <n v="56"/>
    <n v="10747"/>
    <n v="173"/>
    <n v="12"/>
    <n v="33"/>
    <n v="0"/>
    <n v="71"/>
    <n v="0"/>
    <n v="548"/>
    <n v="68"/>
    <n v="610"/>
    <n v="561"/>
    <n v="1661"/>
    <n v="189"/>
    <n v="81"/>
    <n v="0"/>
    <n v="12"/>
    <n v="0"/>
    <n v="0"/>
    <n v="28"/>
    <n v="73"/>
    <n v="0"/>
    <n v="11178"/>
    <n v="37"/>
    <n v="710"/>
    <n v="160"/>
    <n v="88"/>
    <n v="248"/>
    <n v="11"/>
    <n v="48"/>
    <n v="24"/>
    <n v="72"/>
    <n v="0"/>
    <n v="2"/>
    <n v="2"/>
    <n v="2121"/>
    <n v="19184"/>
    <n v="1232"/>
    <n v="0"/>
    <n v="1.0394349923462338"/>
    <n v="9.4014714253513212"/>
    <n v="0.60376421997669028"/>
    <n v="0"/>
    <n v="4.4596220793732808E-2"/>
    <n v="5.4397588001146614E-2"/>
    <n v="4.0185605550396596E-2"/>
    <n v="0.13329859402082772"/>
    <n v="0"/>
    <n v="2.7443828180758651E-2"/>
    <n v="5.2667646689038072"/>
    <n v="8.478182634412941E-2"/>
    <n v="5.8808203244482826E-3"/>
    <n v="1.6172255892232777E-2"/>
    <n v="0"/>
    <n v="3.4794853586319001E-2"/>
    <n v="0"/>
    <n v="0.26855746148313825"/>
    <n v="3.332464850520693E-2"/>
    <n v="0.29894169982612101"/>
    <n v="0.27492835016795719"/>
    <n v="0.81400354657571639"/>
    <n v="9.2622920110060444E-2"/>
    <n v="3.9695537190025908E-2"/>
    <n v="0"/>
    <n v="0"/>
    <n v="0"/>
    <n v="1.3721914090379326E-2"/>
    <n v="3.5774990307060384E-2"/>
    <n v="0"/>
    <n v="5.4779841322235754"/>
    <n v="1.8132529333715536E-2"/>
    <n v="0.34794853586319002"/>
    <n v="7.8410937659310426E-2"/>
    <n v="4.3126015712620737E-2"/>
    <n v="5.3907519640775921E-3"/>
    <n v="2.352328129779313E-2"/>
    <n v="1.1761640648896565E-2"/>
    <n v="0"/>
    <n v="9.8013672074138036E-4"/>
    <n v="20416"/>
    <n v="10.00523564532801"/>
    <n v="22537"/>
    <n v="11.044670637674246"/>
    <n v="50596"/>
    <n v="0"/>
    <n v="0"/>
    <n v="0"/>
    <n v="0"/>
  </r>
  <r>
    <x v="0"/>
    <s v="Republic of Mali"/>
    <x v="28"/>
    <n v="725926.6"/>
    <n v="16514686.999999991"/>
    <n v="22.74980280375452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25"/>
    <n v="8514"/>
    <n v="3540"/>
    <n v="0"/>
    <n v="2.1344637049433648"/>
    <n v="5.1554110592589524"/>
    <n v="2.1435465292197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54"/>
    <n v="7.2989575884786717"/>
    <n v="15579"/>
    <n v="9.4334212934220361"/>
    <n v="15579"/>
    <n v="0"/>
    <n v="4"/>
    <n v="0"/>
    <n v="0"/>
  </r>
  <r>
    <x v="1"/>
    <s v="Republic of Mali"/>
    <x v="28"/>
    <n v="740567.7"/>
    <n v="17004032.499999996"/>
    <n v="22.96080763446744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63"/>
    <n v="0"/>
    <n v="3922"/>
    <n v="0"/>
    <n v="2.3894332123865332"/>
    <n v="0"/>
    <n v="2.3065117053851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22"/>
    <n v="2.3065117053851791"/>
    <n v="7985"/>
    <n v="4.6959449177717119"/>
    <n v="7985"/>
    <n v="0"/>
    <n v="218"/>
    <n v="0"/>
    <n v="0"/>
  </r>
  <r>
    <x v="2"/>
    <s v="Republic of Mali"/>
    <x v="28"/>
    <n v="754923.7"/>
    <n v="17551814.000000004"/>
    <n v="23.2497853756611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76"/>
    <n v="0"/>
    <n v="0"/>
    <n v="0"/>
    <n v="2.0373962486156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6"/>
    <n v="2.0373962486156696"/>
    <n v="3576"/>
    <n v="107"/>
    <n v="194"/>
    <n v="0"/>
    <n v="0"/>
  </r>
  <r>
    <x v="3"/>
    <s v="Republic of Mali"/>
    <x v="28"/>
    <n v="772249"/>
    <n v="18112906.500000004"/>
    <n v="23.45474905114801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83"/>
    <n v="0"/>
    <n v="0"/>
    <n v="0"/>
    <n v="1.978147460762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3"/>
    <n v="1.978147460762302"/>
    <n v="3583"/>
    <n v="385"/>
    <n v="514"/>
    <n v="0"/>
    <n v="0"/>
  </r>
  <r>
    <x v="4"/>
    <s v="Republic of Mali"/>
    <x v="28"/>
    <n v="789423.6"/>
    <n v="18700106"/>
    <n v="23.688303719321286"/>
    <n v="107"/>
    <n v="19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570"/>
    <n v="9530"/>
    <n v="5314"/>
    <n v="0"/>
    <n v="2.443836414617115"/>
    <n v="5.0962277967836114"/>
    <n v="2.8416951219420894"/>
    <n v="0"/>
    <n v="5.7218926994317569E-2"/>
    <n v="0.10374272744764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44"/>
    <n v="7.9379229187257012"/>
    <n v="19414"/>
    <n v="10.381759333342817"/>
    <n v="19715"/>
    <n v="0"/>
    <n v="0"/>
    <n v="0"/>
    <n v="0"/>
  </r>
  <r>
    <x v="5"/>
    <s v="Republic of Mali"/>
    <x v="28"/>
    <n v="807286.6"/>
    <n v="19311354.499999996"/>
    <n v="23.92131183646551"/>
    <m/>
    <m/>
    <m/>
    <m/>
    <m/>
    <m/>
    <m/>
    <n v="53"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576"/>
    <n v="0"/>
    <n v="0"/>
    <n v="0"/>
    <n v="2.3695903878725861"/>
    <n v="0"/>
    <n v="0"/>
    <n v="0"/>
    <n v="0"/>
    <n v="0"/>
    <n v="0"/>
    <n v="0"/>
    <n v="0"/>
    <n v="0"/>
    <n v="0"/>
    <n v="2.744499356583196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76"/>
    <n v="2.3695903878725861"/>
    <n v="4629"/>
    <n v="0"/>
    <n v="0"/>
    <n v="0"/>
    <n v="0"/>
  </r>
  <r>
    <x v="6"/>
    <s v="Republic of Mali"/>
    <x v="28"/>
    <n v="825813.6"/>
    <n v="19934298.000000004"/>
    <n v="24.138980031329108"/>
    <n v="30"/>
    <n v="182"/>
    <m/>
    <m/>
    <m/>
    <m/>
    <n v="1152"/>
    <n v="53"/>
    <n v="15"/>
    <m/>
    <m/>
    <m/>
    <m/>
    <m/>
    <m/>
    <m/>
    <n v="13"/>
    <n v="1022"/>
    <m/>
    <m/>
    <m/>
    <n v="15"/>
    <m/>
    <m/>
    <n v="6"/>
    <m/>
    <m/>
    <m/>
    <m/>
    <m/>
    <m/>
    <m/>
    <n v="0"/>
    <m/>
    <m/>
    <m/>
    <n v="0"/>
    <m/>
    <m/>
    <n v="0"/>
    <n v="5155"/>
    <n v="11986"/>
    <n v="6470"/>
    <n v="0"/>
    <n v="2.5859952530056485"/>
    <n v="6.0127524932154612"/>
    <n v="3.2456623253048584"/>
    <n v="0"/>
    <n v="1.5049438911769049E-2"/>
    <n v="9.1299929398065569E-2"/>
    <n v="0"/>
    <n v="0"/>
    <n v="0"/>
    <n v="0"/>
    <n v="0.57789845421193153"/>
    <n v="2.6587342077458654E-2"/>
    <n v="7.5247194558845246E-3"/>
    <n v="0"/>
    <n v="0"/>
    <n v="0"/>
    <n v="0"/>
    <n v="0"/>
    <n v="0"/>
    <n v="0"/>
    <n v="6.5214235284332548E-3"/>
    <n v="0.51268421892759897"/>
    <n v="0"/>
    <n v="0"/>
    <n v="0"/>
    <n v="0"/>
    <n v="0"/>
    <n v="3.0098877823538099E-3"/>
    <n v="0"/>
    <n v="0"/>
    <n v="0"/>
    <n v="0"/>
    <n v="0"/>
    <n v="0"/>
    <n v="0"/>
    <n v="0"/>
    <n v="0"/>
    <n v="0"/>
    <n v="0"/>
    <n v="0"/>
    <n v="18456"/>
    <n v="9.2584148185203201"/>
    <n v="23611"/>
    <n v="11.844410071525967"/>
    <n v="26099"/>
    <n v="0"/>
    <n v="0"/>
    <n v="0"/>
    <n v="0"/>
  </r>
  <r>
    <x v="7"/>
    <s v="Republic of Mali"/>
    <x v="28"/>
    <n v="843431.7"/>
    <n v="20567423.999999989"/>
    <n v="24.38540548096542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"/>
    <n v="170"/>
    <n v="0"/>
    <n v="146"/>
  </r>
  <r>
    <x v="8"/>
    <s v="Republic of Mali"/>
    <x v="28"/>
    <n v="862128.3"/>
    <n v="21224040.000000004"/>
    <n v="24.618191979082468"/>
    <m/>
    <m/>
    <m/>
    <m/>
    <m/>
    <m/>
    <n v="3303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.5562541344626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3"/>
    <n v="34"/>
    <n v="109"/>
    <n v="0"/>
    <n v="0"/>
  </r>
  <r>
    <x v="9"/>
    <s v="Republic of Mali"/>
    <x v="28"/>
    <n v="883083.9"/>
    <n v="21904982.999999996"/>
    <n v="24.805098360416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82"/>
    <n v="0"/>
    <n v="0"/>
  </r>
  <r>
    <x v="10"/>
    <s v="Republic of Mali"/>
    <x v="28"/>
    <n v="903993.3"/>
    <n v="22593590.500000022"/>
    <n v="24.993095081567553"/>
    <m/>
    <n v="1721"/>
    <m/>
    <m/>
    <m/>
    <m/>
    <m/>
    <m/>
    <m/>
    <m/>
    <m/>
    <m/>
    <m/>
    <m/>
    <m/>
    <m/>
    <m/>
    <n v="1481"/>
    <m/>
    <m/>
    <m/>
    <n v="0"/>
    <m/>
    <m/>
    <m/>
    <m/>
    <m/>
    <m/>
    <m/>
    <m/>
    <m/>
    <m/>
    <n v="0"/>
    <m/>
    <m/>
    <m/>
    <n v="0"/>
    <m/>
    <m/>
    <n v="0"/>
    <n v="8998"/>
    <n v="12654"/>
    <n v="3258"/>
    <n v="0"/>
    <n v="3.9825454037506747"/>
    <n v="5.600703438437546"/>
    <n v="1.4420018810201931"/>
    <n v="0"/>
    <n v="0"/>
    <n v="0.7617204534179719"/>
    <n v="0"/>
    <n v="0"/>
    <n v="0"/>
    <n v="0"/>
    <n v="0"/>
    <n v="0"/>
    <n v="0"/>
    <n v="0"/>
    <n v="0"/>
    <n v="0"/>
    <n v="0"/>
    <n v="0"/>
    <n v="0"/>
    <n v="0"/>
    <n v="0"/>
    <n v="0.65549563713655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12"/>
    <n v="7.0427053194577391"/>
    <n v="24910"/>
    <n v="11.025250723208414"/>
    <n v="28112"/>
    <n v="11642"/>
    <n v="36980"/>
    <n v="3342"/>
    <n v="3642"/>
  </r>
  <r>
    <x v="0"/>
    <s v="Republic of Mauritius"/>
    <x v="29"/>
    <n v="16273.7"/>
    <n v="1288744.5000000005"/>
    <n v="79.191855570644691"/>
    <n v="301"/>
    <n v="432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444"/>
    <n v="7474"/>
    <n v="0"/>
    <n v="0"/>
    <n v="26.723683398842816"/>
    <n v="57.994427910264584"/>
    <n v="0"/>
    <n v="0"/>
    <n v="2.3356064759151245"/>
    <n v="3.352099659785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74"/>
    <n v="57.994427910264584"/>
    <n v="10918"/>
    <n v="84.7181113091074"/>
    <n v="11651"/>
    <n v="0"/>
    <n v="0"/>
    <n v="0"/>
    <n v="0"/>
  </r>
  <r>
    <x v="1"/>
    <s v="Republic of Mauritius"/>
    <x v="29"/>
    <n v="15623.3"/>
    <n v="1290691.4999999998"/>
    <n v="82.613244320982105"/>
    <n v="351"/>
    <n v="46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92"/>
    <n v="7926"/>
    <n v="0"/>
    <n v="0"/>
    <n v="31.70393544855607"/>
    <n v="61.408942415751568"/>
    <n v="0"/>
    <n v="0"/>
    <n v="2.7194724688277567"/>
    <n v="3.5639810132785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6"/>
    <n v="61.408942415751568"/>
    <n v="12018"/>
    <n v="93.112877864307634"/>
    <n v="12829"/>
    <n v="27"/>
    <n v="73"/>
    <n v="0"/>
    <n v="0"/>
  </r>
  <r>
    <x v="2"/>
    <s v="Republic of Mauritius"/>
    <x v="29"/>
    <n v="15026.4"/>
    <n v="1292113.5000000002"/>
    <n v="85.989558377256046"/>
    <n v="366"/>
    <n v="49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858"/>
    <n v="8250"/>
    <n v="0"/>
    <n v="0"/>
    <n v="37.597316334826616"/>
    <n v="63.848880148686618"/>
    <n v="0"/>
    <n v="0"/>
    <n v="2.8325685011417336"/>
    <n v="3.8231935507213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50"/>
    <n v="63.848880148686618"/>
    <n v="13108"/>
    <n v="101.44619648351323"/>
    <n v="13968"/>
    <n v="18"/>
    <n v="24"/>
    <n v="0"/>
    <n v="0"/>
  </r>
  <r>
    <x v="3"/>
    <s v="Republic of Mauritius"/>
    <x v="29"/>
    <n v="14693.7"/>
    <n v="1293153"/>
    <n v="88.007309254986822"/>
    <n v="380"/>
    <n v="49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100"/>
    <n v="8522"/>
    <n v="0"/>
    <n v="0"/>
    <n v="39.438488717112364"/>
    <n v="65.900941342594422"/>
    <n v="0"/>
    <n v="0"/>
    <n v="2.9385540612750387"/>
    <n v="3.8433193906676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22"/>
    <n v="65.900941342594422"/>
    <n v="13622"/>
    <n v="105.33943005970679"/>
    <n v="14499"/>
    <n v="0"/>
    <n v="0"/>
    <n v="0"/>
    <n v="0"/>
  </r>
  <r>
    <x v="4"/>
    <s v="Republic of Mauritius"/>
    <x v="29"/>
    <n v="14486.7"/>
    <n v="1293911.0000000005"/>
    <n v="89.317166780564264"/>
    <n v="385"/>
    <n v="51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538"/>
    <n v="8268"/>
    <n v="0"/>
    <n v="0"/>
    <n v="42.800470820636022"/>
    <n v="63.899294464611529"/>
    <n v="0"/>
    <n v="0"/>
    <n v="2.975475129278597"/>
    <n v="3.9724525102576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8"/>
    <n v="63.899294464611529"/>
    <n v="13806"/>
    <n v="106.69976528524755"/>
    <n v="14705"/>
    <n v="312"/>
    <n v="1159"/>
    <n v="202"/>
    <n v="1796"/>
  </r>
  <r>
    <x v="5"/>
    <s v="Republic of Mauritius"/>
    <x v="29"/>
    <n v="14729.3"/>
    <n v="1294740.5000000002"/>
    <n v="87.90237825287015"/>
    <n v="401"/>
    <n v="531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854"/>
    <n v="8890"/>
    <n v="0"/>
    <n v="0"/>
    <n v="45.213693400337746"/>
    <n v="68.662407640758886"/>
    <n v="0"/>
    <n v="0"/>
    <n v="3.0971457214785505"/>
    <n v="4.1012079254491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90"/>
    <n v="68.662407640758886"/>
    <n v="14744"/>
    <n v="113.87610104109663"/>
    <n v="15676"/>
    <n v="293"/>
    <n v="759"/>
    <n v="61"/>
    <n v="1843"/>
  </r>
  <r>
    <x v="6"/>
    <s v="Republic of Mauritius"/>
    <x v="29"/>
    <n v="14714"/>
    <n v="1295381.5000000005"/>
    <n v="88.037345385347322"/>
    <n v="466"/>
    <n v="748"/>
    <m/>
    <m/>
    <m/>
    <m/>
    <n v="180"/>
    <m/>
    <m/>
    <m/>
    <m/>
    <m/>
    <m/>
    <m/>
    <m/>
    <m/>
    <m/>
    <m/>
    <m/>
    <n v="291"/>
    <m/>
    <n v="0"/>
    <m/>
    <m/>
    <m/>
    <m/>
    <m/>
    <m/>
    <m/>
    <m/>
    <m/>
    <m/>
    <n v="0"/>
    <m/>
    <m/>
    <m/>
    <n v="0"/>
    <m/>
    <m/>
    <n v="0"/>
    <n v="4790"/>
    <n v="9972"/>
    <n v="0"/>
    <n v="0"/>
    <n v="36.97752360984002"/>
    <n v="76.98118276353334"/>
    <n v="0"/>
    <n v="0"/>
    <n v="3.5973958250909082"/>
    <n v="5.7743606806180248"/>
    <n v="0"/>
    <n v="0"/>
    <n v="0"/>
    <n v="0"/>
    <n v="1.3895520354428401"/>
    <n v="0"/>
    <n v="0"/>
    <n v="0"/>
    <n v="0"/>
    <n v="0"/>
    <n v="0"/>
    <n v="0"/>
    <n v="0"/>
    <n v="0"/>
    <n v="0"/>
    <n v="0"/>
    <n v="0"/>
    <n v="2.2464424572992581"/>
    <n v="0"/>
    <n v="0"/>
    <n v="0"/>
    <n v="0"/>
    <n v="0"/>
    <n v="0"/>
    <n v="0"/>
    <n v="0"/>
    <n v="0"/>
    <n v="0"/>
    <n v="0"/>
    <n v="0"/>
    <n v="0"/>
    <n v="0"/>
    <n v="0"/>
    <n v="0"/>
    <n v="9972"/>
    <n v="76.98118276353334"/>
    <n v="14762"/>
    <n v="113.95870637337336"/>
    <n v="16447"/>
    <n v="0"/>
    <n v="0"/>
    <n v="0"/>
    <n v="0"/>
  </r>
  <r>
    <x v="7"/>
    <s v="Republic of Mauritius"/>
    <x v="29"/>
    <n v="14477.1"/>
    <n v="1296279.0000000002"/>
    <n v="89.539963114159619"/>
    <n v="351"/>
    <m/>
    <m/>
    <m/>
    <m/>
    <m/>
    <m/>
    <m/>
    <n v="15"/>
    <m/>
    <m/>
    <m/>
    <m/>
    <m/>
    <m/>
    <m/>
    <m/>
    <m/>
    <m/>
    <m/>
    <m/>
    <n v="15"/>
    <m/>
    <m/>
    <m/>
    <m/>
    <m/>
    <m/>
    <m/>
    <m/>
    <m/>
    <m/>
    <n v="0"/>
    <m/>
    <m/>
    <m/>
    <n v="0"/>
    <m/>
    <m/>
    <n v="0"/>
    <n v="6580"/>
    <n v="0"/>
    <n v="0"/>
    <n v="0"/>
    <n v="50.76067729246558"/>
    <n v="0"/>
    <n v="0"/>
    <n v="0"/>
    <n v="2.7077504148412488"/>
    <n v="0"/>
    <n v="0"/>
    <n v="0"/>
    <n v="0"/>
    <n v="0"/>
    <n v="0"/>
    <n v="0"/>
    <n v="0.115715829694070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0"/>
    <n v="50.76067729246558"/>
    <n v="6961"/>
    <n v="0"/>
    <n v="14"/>
    <n v="1"/>
    <n v="311"/>
  </r>
  <r>
    <x v="8"/>
    <s v="Republic of Mauritius"/>
    <x v="29"/>
    <n v="14492.6"/>
    <n v="1297827.5"/>
    <n v="89.551046741095448"/>
    <m/>
    <m/>
    <m/>
    <m/>
    <m/>
    <m/>
    <n v="163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101"/>
    <n v="0"/>
    <n v="0"/>
    <n v="0"/>
    <n v="54.714513292405961"/>
    <n v="0"/>
    <n v="0"/>
    <n v="0"/>
    <n v="0"/>
    <n v="0"/>
    <n v="0"/>
    <n v="0"/>
    <n v="0"/>
    <n v="0"/>
    <n v="1.25594503121562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01"/>
    <n v="54.714513292405961"/>
    <n v="7264"/>
    <n v="0"/>
    <n v="0"/>
    <n v="0"/>
    <n v="0"/>
  </r>
  <r>
    <x v="9"/>
    <s v="Republic of Mauritius"/>
    <x v="29"/>
    <n v="14565.6"/>
    <n v="1298914.4999999995"/>
    <n v="89.17686192123905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Mauritius"/>
    <x v="29"/>
    <n v="14474.3"/>
    <n v="1299468.9999999986"/>
    <n v="89.777674913467223"/>
    <m/>
    <n v="35"/>
    <m/>
    <n v="293"/>
    <n v="27"/>
    <n v="27"/>
    <n v="916"/>
    <n v="78"/>
    <m/>
    <m/>
    <m/>
    <m/>
    <m/>
    <n v="26"/>
    <m/>
    <m/>
    <m/>
    <m/>
    <n v="224"/>
    <n v="270"/>
    <m/>
    <n v="0"/>
    <n v="378"/>
    <m/>
    <n v="14"/>
    <n v="6"/>
    <m/>
    <m/>
    <m/>
    <n v="314"/>
    <m/>
    <m/>
    <n v="0"/>
    <n v="16"/>
    <m/>
    <m/>
    <n v="0"/>
    <m/>
    <m/>
    <n v="0"/>
    <n v="3224"/>
    <n v="7800"/>
    <n v="0"/>
    <n v="0"/>
    <n v="24.810133985497181"/>
    <n v="60.024517706848016"/>
    <n v="0"/>
    <n v="0"/>
    <n v="0"/>
    <n v="0.26934078458201033"/>
    <n v="0"/>
    <n v="2.2547671395008293"/>
    <n v="0.20777717667755083"/>
    <n v="0.20777717667755083"/>
    <n v="7.0490331050606132"/>
    <n v="0.60024517706848013"/>
    <n v="0"/>
    <n v="0"/>
    <n v="0"/>
    <n v="0"/>
    <n v="0"/>
    <n v="0.20008172568949339"/>
    <n v="0"/>
    <n v="0"/>
    <n v="0"/>
    <n v="0"/>
    <n v="1.7237810213248661"/>
    <n v="2.0777717667755082"/>
    <n v="0"/>
    <n v="2.9088804734857114"/>
    <n v="0"/>
    <n v="0.10773631383280413"/>
    <n v="4.6172705928344625E-2"/>
    <n v="0"/>
    <n v="0"/>
    <n v="0"/>
    <n v="2.4163716102500357"/>
    <n v="0"/>
    <n v="0"/>
    <n v="0.123127215808919"/>
    <n v="0"/>
    <n v="0"/>
    <n v="0"/>
    <n v="0"/>
    <n v="7800"/>
    <n v="60.024517706848016"/>
    <n v="11024"/>
    <n v="84.83465169234519"/>
    <n v="13648"/>
    <n v="0"/>
    <n v="258"/>
    <n v="0"/>
    <n v="0"/>
  </r>
  <r>
    <x v="0"/>
    <s v="Republic of Mozambique"/>
    <x v="30"/>
    <n v="970830.3"/>
    <n v="24487610.999999996"/>
    <n v="25.223369109925798"/>
    <n v="69"/>
    <n v="72"/>
    <m/>
    <m/>
    <m/>
    <m/>
    <n v="1213"/>
    <n v="305"/>
    <n v="33"/>
    <m/>
    <m/>
    <m/>
    <m/>
    <m/>
    <m/>
    <n v="267"/>
    <m/>
    <m/>
    <n v="1425"/>
    <m/>
    <m/>
    <n v="33"/>
    <m/>
    <m/>
    <m/>
    <n v="76"/>
    <m/>
    <m/>
    <m/>
    <n v="1390"/>
    <n v="281"/>
    <m/>
    <n v="281"/>
    <m/>
    <m/>
    <m/>
    <n v="0"/>
    <m/>
    <m/>
    <n v="0"/>
    <n v="2716"/>
    <n v="11652"/>
    <n v="8522"/>
    <n v="0"/>
    <n v="1.1091322873431795"/>
    <n v="4.7583245258183826"/>
    <n v="3.4801271549111106"/>
    <n v="0"/>
    <n v="2.8177513927348817E-2"/>
    <n v="2.9402623228537896E-2"/>
    <n v="0"/>
    <n v="0"/>
    <n v="0"/>
    <n v="0"/>
    <n v="0.49535252744745095"/>
    <n v="0.12455277895422304"/>
    <n v="1.3476202313079869E-2"/>
    <n v="0"/>
    <n v="0"/>
    <n v="0"/>
    <n v="0"/>
    <n v="0"/>
    <n v="0"/>
    <n v="0.10903472780582803"/>
    <n v="0"/>
    <n v="0"/>
    <n v="0.58192691806481256"/>
    <n v="0"/>
    <n v="0"/>
    <n v="0"/>
    <n v="0"/>
    <n v="0"/>
    <n v="3.1036102296790002E-2"/>
    <n v="0"/>
    <n v="0"/>
    <n v="0"/>
    <n v="0.56763397621760658"/>
    <n v="0.1147519045447104"/>
    <n v="0"/>
    <n v="0"/>
    <n v="0"/>
    <n v="0"/>
    <n v="0"/>
    <n v="0"/>
    <n v="20174"/>
    <n v="8.2384516807294936"/>
    <n v="22890"/>
    <n v="9.3475839680726729"/>
    <n v="28335"/>
    <n v="0"/>
    <n v="20"/>
    <n v="0"/>
    <n v="85"/>
  </r>
  <r>
    <x v="1"/>
    <s v="Republic of Mozambique"/>
    <x v="30"/>
    <n v="989682.3"/>
    <n v="25251730.999999993"/>
    <n v="25.514986981175667"/>
    <n v="136"/>
    <n v="103"/>
    <m/>
    <m/>
    <m/>
    <m/>
    <n v="1204"/>
    <n v="238"/>
    <n v="44"/>
    <m/>
    <m/>
    <m/>
    <m/>
    <m/>
    <m/>
    <n v="238"/>
    <m/>
    <m/>
    <n v="1465"/>
    <m/>
    <m/>
    <n v="44"/>
    <m/>
    <m/>
    <m/>
    <n v="115"/>
    <m/>
    <m/>
    <m/>
    <n v="1388"/>
    <n v="287"/>
    <m/>
    <n v="287"/>
    <m/>
    <m/>
    <m/>
    <n v="0"/>
    <m/>
    <m/>
    <n v="0"/>
    <n v="2904"/>
    <n v="12864"/>
    <n v="8530"/>
    <n v="0"/>
    <n v="1.1500201708944233"/>
    <n v="5.0943042280943054"/>
    <n v="3.3779862457745975"/>
    <n v="0"/>
    <n v="5.3857693953733327E-2"/>
    <n v="4.0789282920842149E-2"/>
    <n v="0"/>
    <n v="0"/>
    <n v="0"/>
    <n v="0"/>
    <n v="0.47679899647275681"/>
    <n v="9.4250964419033315E-2"/>
    <n v="1.74245480438549E-2"/>
    <n v="0"/>
    <n v="0"/>
    <n v="0"/>
    <n v="0"/>
    <n v="0"/>
    <n v="0"/>
    <n v="9.4250964419033315E-2"/>
    <n v="0"/>
    <n v="0"/>
    <n v="0.58015824736925969"/>
    <n v="0"/>
    <n v="0"/>
    <n v="0"/>
    <n v="0"/>
    <n v="0"/>
    <n v="4.5541432387348035E-2"/>
    <n v="0"/>
    <n v="0"/>
    <n v="0"/>
    <n v="0.5496652882925136"/>
    <n v="0.11365557474059901"/>
    <n v="0"/>
    <n v="0"/>
    <n v="0"/>
    <n v="0"/>
    <n v="0"/>
    <n v="0"/>
    <n v="21394"/>
    <n v="8.4722904738689024"/>
    <n v="24298"/>
    <n v="9.622310644763326"/>
    <n v="29847"/>
    <n v="0"/>
    <n v="0"/>
    <n v="0"/>
    <n v="0"/>
  </r>
  <r>
    <x v="2"/>
    <s v="Republic of Mozambique"/>
    <x v="30"/>
    <n v="999254.5"/>
    <n v="26038704.499999993"/>
    <n v="26.05813083653863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2696"/>
    <n v="9298"/>
    <n v="0"/>
    <n v="0"/>
    <n v="4.8758186107146777"/>
    <n v="3.570838172843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94"/>
    <n v="8.4466567835584936"/>
    <n v="21994"/>
    <n v="8.4466567835584936"/>
    <n v="21994"/>
    <n v="0"/>
    <n v="0"/>
    <n v="0"/>
    <n v="0"/>
  </r>
  <r>
    <x v="3"/>
    <s v="Republic of Mozambique"/>
    <x v="30"/>
    <n v="1009693.4"/>
    <n v="26843245.5"/>
    <n v="26.585541214788567"/>
    <n v="189"/>
    <n v="194"/>
    <m/>
    <m/>
    <m/>
    <m/>
    <m/>
    <n v="45"/>
    <n v="212"/>
    <m/>
    <m/>
    <m/>
    <m/>
    <m/>
    <m/>
    <m/>
    <m/>
    <m/>
    <m/>
    <m/>
    <m/>
    <n v="212"/>
    <m/>
    <m/>
    <m/>
    <m/>
    <m/>
    <m/>
    <m/>
    <m/>
    <m/>
    <m/>
    <n v="0"/>
    <m/>
    <m/>
    <m/>
    <n v="0"/>
    <m/>
    <m/>
    <n v="0"/>
    <n v="38"/>
    <n v="13854"/>
    <n v="10316"/>
    <n v="0"/>
    <n v="1.4156261395441173E-2"/>
    <n v="5.1610748782221583"/>
    <n v="3.8430524356676616"/>
    <n v="0"/>
    <n v="7.0408773782588988E-2"/>
    <n v="7.2271439755673364E-2"/>
    <n v="0"/>
    <n v="0"/>
    <n v="0"/>
    <n v="0"/>
    <n v="0"/>
    <n v="1.6763993757759284E-2"/>
    <n v="7.897703725877706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70"/>
    <n v="9.0041273138898195"/>
    <n v="24208"/>
    <n v="9.0182835752852615"/>
    <n v="25060"/>
    <n v="0"/>
    <n v="0"/>
    <n v="0"/>
    <n v="0"/>
  </r>
  <r>
    <x v="4"/>
    <s v="Republic of Mozambique"/>
    <x v="30"/>
    <n v="1032089.1"/>
    <n v="27696492.499999989"/>
    <n v="26.8353696400824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7"/>
    <n v="15320"/>
    <n v="11410"/>
    <n v="0"/>
    <n v="2.0580223290006857E-2"/>
    <n v="5.5313863298755273"/>
    <n v="4.1196552234908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30"/>
    <n v="9.6510415533663725"/>
    <n v="26787"/>
    <n v="9.6716217766563801"/>
    <n v="26787"/>
    <n v="0"/>
    <n v="20035"/>
    <n v="0"/>
    <n v="0"/>
  </r>
  <r>
    <x v="5"/>
    <s v="Republic of Mozambique"/>
    <x v="30"/>
    <n v="1056956"/>
    <n v="28569441.000000015"/>
    <n v="27.029924613702004"/>
    <n v="217"/>
    <n v="255"/>
    <n v="7242"/>
    <m/>
    <n v="2"/>
    <m/>
    <n v="1991"/>
    <n v="319"/>
    <m/>
    <m/>
    <m/>
    <n v="103"/>
    <m/>
    <m/>
    <n v="452"/>
    <n v="290"/>
    <n v="2466"/>
    <m/>
    <n v="1958"/>
    <m/>
    <n v="29"/>
    <n v="29"/>
    <m/>
    <m/>
    <n v="211"/>
    <n v="147"/>
    <n v="34992"/>
    <n v="26735"/>
    <n v="6281"/>
    <n v="2055"/>
    <n v="52"/>
    <n v="325"/>
    <n v="377"/>
    <n v="219"/>
    <n v="8"/>
    <n v="279"/>
    <n v="287"/>
    <m/>
    <m/>
    <n v="0"/>
    <n v="4985"/>
    <n v="15922"/>
    <n v="11640"/>
    <n v="0"/>
    <n v="1.7448713819776864"/>
    <n v="5.5730876918452807"/>
    <n v="4.074283427526634"/>
    <n v="0"/>
    <n v="7.5955283829319542E-2"/>
    <n v="8.925620910818656E-2"/>
    <n v="2.5348763386724986"/>
    <n v="0"/>
    <n v="7.0004869888773771E-4"/>
    <n v="0"/>
    <n v="0.69689847974274299"/>
    <n v="0.11165776747259418"/>
    <n v="0"/>
    <n v="0"/>
    <n v="0"/>
    <n v="3.6052507992718495E-2"/>
    <n v="0"/>
    <n v="0"/>
    <n v="0.15821100594862875"/>
    <n v="0.10150706133872198"/>
    <n v="0.86316004572858063"/>
    <n v="0"/>
    <n v="0.68534767621109527"/>
    <n v="0"/>
    <n v="1.0150706133872197E-2"/>
    <n v="0"/>
    <n v="0"/>
    <n v="7.385513773265634E-2"/>
    <n v="5.1453579368248722E-2"/>
    <n v="12.24805203573986"/>
    <n v="9.3579009823818353"/>
    <n v="2.1985029388569406"/>
    <n v="0.7193000381071506"/>
    <n v="1.8201266171081181E-2"/>
    <n v="0.11375791356925738"/>
    <n v="7.665533252820729E-2"/>
    <n v="2.8001947955509508E-3"/>
    <n v="9.7656793494839411E-2"/>
    <n v="0"/>
    <n v="0"/>
    <n v="27562"/>
    <n v="9.6473711193719147"/>
    <n v="32547"/>
    <n v="11.3922425013496"/>
    <n v="119868"/>
    <n v="0"/>
    <n v="0"/>
    <n v="0"/>
    <n v="0"/>
  </r>
  <r>
    <x v="6"/>
    <s v="Republic of Mozambique"/>
    <x v="30"/>
    <n v="1081131.1000000001"/>
    <n v="29423878.499999993"/>
    <n v="27.2158284041593"/>
    <n v="255"/>
    <n v="305"/>
    <n v="7169"/>
    <m/>
    <n v="3"/>
    <m/>
    <n v="4787"/>
    <n v="39"/>
    <n v="276"/>
    <m/>
    <m/>
    <m/>
    <m/>
    <m/>
    <m/>
    <m/>
    <m/>
    <m/>
    <m/>
    <m/>
    <n v="28"/>
    <n v="304"/>
    <m/>
    <m/>
    <n v="620"/>
    <n v="150"/>
    <m/>
    <m/>
    <m/>
    <n v="1887"/>
    <n v="78"/>
    <n v="284"/>
    <n v="362"/>
    <n v="608"/>
    <m/>
    <n v="338"/>
    <n v="338"/>
    <m/>
    <m/>
    <n v="0"/>
    <n v="5147"/>
    <n v="16306"/>
    <n v="12042"/>
    <n v="0"/>
    <n v="1.7492595342248987"/>
    <n v="5.5417575218712258"/>
    <n v="4.0925943872423218"/>
    <n v="0"/>
    <n v="8.6664305659092514E-2"/>
    <n v="0.1036573067687185"/>
    <n v="2.4364564990981736"/>
    <n v="0"/>
    <n v="1.019580066577559E-3"/>
    <n v="0"/>
    <n v="1.6269099262355917"/>
    <n v="1.3254540865508268E-2"/>
    <n v="9.3801366125135427E-2"/>
    <n v="0"/>
    <n v="0"/>
    <n v="0"/>
    <n v="0"/>
    <n v="0"/>
    <n v="0"/>
    <n v="0"/>
    <n v="0"/>
    <n v="0"/>
    <n v="0"/>
    <n v="0"/>
    <n v="9.5160806213905515E-3"/>
    <n v="0"/>
    <n v="0"/>
    <n v="0.21071321375936219"/>
    <n v="5.0979003328877955E-2"/>
    <n v="0"/>
    <n v="0"/>
    <n v="0"/>
    <n v="0.64131586187728462"/>
    <n v="2.6509081731016536E-2"/>
    <n v="9.6520246302675583E-2"/>
    <n v="0.20663489349305197"/>
    <n v="0"/>
    <n v="0.11487268750107164"/>
    <n v="0"/>
    <n v="0"/>
    <n v="28348"/>
    <n v="9.6343519091135477"/>
    <n v="33495"/>
    <n v="11.383611443338447"/>
    <n v="51326"/>
    <n v="0"/>
    <n v="0"/>
    <n v="0"/>
    <n v="0"/>
  </r>
  <r>
    <x v="7"/>
    <s v="Republic of Mozambique"/>
    <x v="30"/>
    <n v="1103037.8"/>
    <n v="30285595.000000004"/>
    <n v="27.456534127842222"/>
    <n v="288"/>
    <n v="385"/>
    <n v="9444"/>
    <m/>
    <n v="2"/>
    <m/>
    <n v="6632"/>
    <n v="305"/>
    <n v="27"/>
    <m/>
    <m/>
    <n v="123"/>
    <m/>
    <m/>
    <n v="416"/>
    <n v="315"/>
    <n v="2789"/>
    <m/>
    <m/>
    <n v="2055"/>
    <n v="27"/>
    <n v="54"/>
    <m/>
    <m/>
    <n v="745"/>
    <n v="165"/>
    <n v="399"/>
    <n v="16937"/>
    <n v="6665"/>
    <n v="2261"/>
    <n v="93"/>
    <n v="302"/>
    <n v="395"/>
    <n v="393"/>
    <n v="8"/>
    <n v="414"/>
    <n v="422"/>
    <m/>
    <m/>
    <n v="0"/>
    <n v="5993"/>
    <n v="16358"/>
    <n v="12350"/>
    <n v="0"/>
    <n v="1.9788285486879156"/>
    <n v="5.4012476888765102"/>
    <n v="4.0778462500076351"/>
    <n v="0"/>
    <n v="9.5094714170218531E-2"/>
    <n v="0.12712314220671575"/>
    <n v="3.1183141688317493"/>
    <n v="0"/>
    <n v="6.6037995951540647E-4"/>
    <n v="0"/>
    <n v="2.1898199457530878"/>
    <n v="0.10070794382609949"/>
    <n v="8.9151294534579872E-3"/>
    <n v="0"/>
    <n v="0"/>
    <n v="4.06133675101975E-2"/>
    <n v="0"/>
    <n v="0"/>
    <n v="0.13735903157920457"/>
    <n v="0.10400984362367652"/>
    <n v="0.92089985354423431"/>
    <n v="0"/>
    <n v="0"/>
    <n v="0.67854040840208019"/>
    <n v="8.9151294534579872E-3"/>
    <n v="0"/>
    <n v="0"/>
    <n v="0.24599153491948891"/>
    <n v="5.4481346660021038E-2"/>
    <n v="0.13174580192332361"/>
    <n v="5.5924276871562197"/>
    <n v="2.2007162150850923"/>
    <n v="0.74655954423216708"/>
    <n v="3.0707668117466402E-2"/>
    <n v="9.9717373886826388E-2"/>
    <n v="0.12976466204477738"/>
    <n v="2.6415198380616259E-3"/>
    <n v="0.13669865161968914"/>
    <n v="0"/>
    <n v="0"/>
    <n v="28708"/>
    <n v="9.4790939388841444"/>
    <n v="34701"/>
    <n v="11.457922487572061"/>
    <n v="86762"/>
    <n v="0"/>
    <n v="0"/>
    <n v="0"/>
    <n v="0"/>
  </r>
  <r>
    <x v="8"/>
    <s v="Republic of Mozambique"/>
    <x v="30"/>
    <n v="1124965.3999999999"/>
    <n v="31178238.999999996"/>
    <n v="27.714842607603753"/>
    <n v="277"/>
    <n v="423"/>
    <n v="9913"/>
    <m/>
    <m/>
    <m/>
    <n v="6696"/>
    <n v="318"/>
    <m/>
    <m/>
    <m/>
    <n v="128"/>
    <m/>
    <m/>
    <n v="169"/>
    <n v="301"/>
    <n v="2954"/>
    <m/>
    <m/>
    <n v="2041"/>
    <m/>
    <n v="0"/>
    <m/>
    <m/>
    <n v="870"/>
    <n v="156"/>
    <n v="8308"/>
    <n v="14416"/>
    <m/>
    <n v="2358"/>
    <n v="108"/>
    <n v="336"/>
    <n v="444"/>
    <n v="530"/>
    <n v="400"/>
    <n v="154"/>
    <n v="554"/>
    <m/>
    <m/>
    <n v="0"/>
    <n v="6064"/>
    <n v="17662"/>
    <n v="12648"/>
    <n v="0"/>
    <n v="1.9449462812829168"/>
    <n v="5.6648484861508699"/>
    <n v="4.0566755550241309"/>
    <n v="0"/>
    <n v="8.8844017136439302E-2"/>
    <n v="0.13567154963434594"/>
    <n v="3.1794611619982773"/>
    <n v="0"/>
    <n v="0"/>
    <n v="0"/>
    <n v="2.1476517644245399"/>
    <n v="0.10199421461872815"/>
    <n v="0"/>
    <n v="0"/>
    <n v="0"/>
    <n v="4.1054275066657875E-2"/>
    <n v="0"/>
    <n v="0"/>
    <n v="5.4204472548946725E-2"/>
    <n v="9.6541693711437657E-2"/>
    <n v="0.94745569177271372"/>
    <n v="0"/>
    <n v="0"/>
    <n v="0.65462324539881811"/>
    <n v="0"/>
    <n v="0"/>
    <n v="0"/>
    <n v="0.27904077584369025"/>
    <n v="5.0034897737489287E-2"/>
    <n v="2.6646790410452628"/>
    <n v="4.6237377293823432"/>
    <n v="0"/>
    <n v="0.75629672349358801"/>
    <n v="3.4639544587492584E-2"/>
    <n v="0.10776747204997691"/>
    <n v="0.16999035769788026"/>
    <n v="0.12829460958330585"/>
    <n v="4.9393424689572758E-2"/>
    <n v="0"/>
    <n v="0"/>
    <n v="30310"/>
    <n v="9.7215240411750017"/>
    <n v="36374"/>
    <n v="11.666470322457918"/>
    <n v="88228"/>
    <n v="0"/>
    <n v="0"/>
    <n v="0"/>
    <n v="0"/>
  </r>
  <r>
    <x v="9"/>
    <s v="Republic of Mozambique"/>
    <x v="30"/>
    <n v="1147375.7"/>
    <n v="32077072.000000011"/>
    <n v="27.956903741294166"/>
    <n v="355"/>
    <n v="406"/>
    <n v="11559"/>
    <m/>
    <m/>
    <m/>
    <n v="7329"/>
    <n v="340"/>
    <m/>
    <m/>
    <m/>
    <n v="105"/>
    <m/>
    <m/>
    <n v="264"/>
    <n v="264"/>
    <n v="3318"/>
    <m/>
    <n v="301"/>
    <n v="1912"/>
    <m/>
    <n v="0"/>
    <m/>
    <m/>
    <n v="1172"/>
    <n v="151"/>
    <n v="3530"/>
    <n v="10717"/>
    <m/>
    <n v="3039"/>
    <n v="123"/>
    <n v="412"/>
    <n v="535"/>
    <n v="610"/>
    <n v="399"/>
    <n v="153"/>
    <n v="552"/>
    <m/>
    <m/>
    <n v="0"/>
    <n v="6016"/>
    <n v="21856"/>
    <n v="14556"/>
    <n v="0"/>
    <n v="1.8754828994367061"/>
    <n v="6.8135894697620758"/>
    <n v="4.537820658942934"/>
    <n v="0"/>
    <n v="0.11067094901928701"/>
    <n v="0.12657015577980429"/>
    <n v="3.6035084498984182"/>
    <n v="0"/>
    <n v="0"/>
    <n v="0"/>
    <n v="2.2848095362319847"/>
    <n v="0.10599471173678192"/>
    <n v="0"/>
    <n v="0"/>
    <n v="0"/>
    <n v="3.2733660977535592E-2"/>
    <n v="0"/>
    <n v="0"/>
    <n v="8.2301776172089489E-2"/>
    <n v="8.2301776172089489E-2"/>
    <n v="1.0343836868901248"/>
    <n v="0"/>
    <n v="9.3836494802268702E-2"/>
    <n v="0.59606437894331477"/>
    <n v="0"/>
    <n v="0"/>
    <n v="0"/>
    <n v="0.36537000633973066"/>
    <n v="4.7074121977217852E-2"/>
    <n v="1.1004745071495299"/>
    <n v="3.3410156637737995"/>
    <n v="0"/>
    <n v="0.94740567343553017"/>
    <n v="3.8345145716541698E-2"/>
    <n v="0.12844065069280633"/>
    <n v="0.19016698282187344"/>
    <n v="0.12438791171463526"/>
    <n v="4.7697620281551868E-2"/>
    <n v="0"/>
    <n v="0"/>
    <n v="36412"/>
    <n v="11.351410128705011"/>
    <n v="42428"/>
    <n v="13.226893028141715"/>
    <n v="89974"/>
    <n v="0"/>
    <n v="0"/>
    <n v="0"/>
    <n v="0"/>
  </r>
  <r>
    <x v="10"/>
    <s v="Republic of Mozambique"/>
    <x v="30"/>
    <n v="1166744.6000000001"/>
    <n v="32969518.500000007"/>
    <n v="28.257699671376241"/>
    <n v="348"/>
    <n v="498"/>
    <n v="10769"/>
    <n v="133"/>
    <m/>
    <m/>
    <n v="6992"/>
    <n v="341"/>
    <m/>
    <m/>
    <m/>
    <n v="120"/>
    <m/>
    <m/>
    <n v="302"/>
    <n v="276"/>
    <n v="3337"/>
    <m/>
    <n v="2040"/>
    <n v="335"/>
    <n v="72"/>
    <n v="72"/>
    <n v="172"/>
    <m/>
    <n v="1344"/>
    <n v="154"/>
    <n v="696"/>
    <n v="12261"/>
    <n v="6873"/>
    <n v="3299"/>
    <n v="114"/>
    <n v="383"/>
    <n v="497"/>
    <n v="655"/>
    <n v="232"/>
    <n v="110"/>
    <n v="342"/>
    <n v="99939"/>
    <n v="3"/>
    <n v="99942"/>
    <n v="6140"/>
    <n v="19550"/>
    <n v="14240"/>
    <n v="0"/>
    <n v="1.8623262575096444"/>
    <n v="5.9297195984224018"/>
    <n v="4.3191410271884916"/>
    <n v="0"/>
    <n v="0.10555204195657268"/>
    <n v="0.15104861176544021"/>
    <n v="3.2663504018112968"/>
    <n v="4.034029189719588E-2"/>
    <n v="0"/>
    <n v="0"/>
    <n v="2.120746774024012"/>
    <n v="0.10342886869882553"/>
    <n v="0"/>
    <n v="0"/>
    <n v="0"/>
    <n v="3.639725584709403E-2"/>
    <n v="0"/>
    <n v="0"/>
    <n v="9.1599760548519968E-2"/>
    <n v="8.3713688448316267E-2"/>
    <n v="1.0121470230146064"/>
    <n v="0"/>
    <n v="0.61875334940059845"/>
    <n v="0.10160900590647083"/>
    <n v="2.1838353508256417E-2"/>
    <n v="5.2169400047501438E-2"/>
    <n v="0"/>
    <n v="0.40764926548745312"/>
    <n v="4.6709811670437335E-2"/>
    <n v="0.21110408391314536"/>
    <n v="3.7188896161768321"/>
    <n v="2.0846528286423105"/>
    <n v="1.0006212253296933"/>
    <n v="3.4577393054739329E-2"/>
    <n v="0.11616790824530844"/>
    <n v="0.19866835483205492"/>
    <n v="7.036802797104845E-2"/>
    <n v="3.3364151193169524E-2"/>
    <n v="30.312544600856082"/>
    <n v="9.0993139617735069E-4"/>
    <n v="33790"/>
    <n v="10.248860625610893"/>
    <n v="39930"/>
    <n v="12.111186883120538"/>
    <n v="292581"/>
    <n v="0"/>
    <n v="0"/>
    <n v="0"/>
    <n v="0"/>
  </r>
  <r>
    <x v="0"/>
    <s v="Republic of Namibia"/>
    <x v="31"/>
    <n v="66722.8"/>
    <n v="2167470.0000000023"/>
    <n v="32.48469788438138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Namibia"/>
    <x v="31"/>
    <n v="67950.7"/>
    <n v="2204510.0000000005"/>
    <n v="32.4427857255333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3"/>
    <n v="8220"/>
    <n v="0"/>
    <n v="0"/>
    <n v="0.51258556323173843"/>
    <n v="37.287197608538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20"/>
    <n v="37.287197608538854"/>
    <n v="8333"/>
    <n v="37.799783171770592"/>
    <n v="8333"/>
    <n v="0"/>
    <n v="0"/>
    <n v="0"/>
    <n v="0"/>
  </r>
  <r>
    <x v="2"/>
    <s v="Republic of Namibia"/>
    <x v="31"/>
    <n v="68792.399999999994"/>
    <n v="2243000.9999999991"/>
    <n v="32.605360475866512"/>
    <n v="68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4"/>
    <n v="8424"/>
    <n v="0"/>
    <n v="0"/>
    <n v="0.10699950646477648"/>
    <n v="37.556826769136542"/>
    <n v="0"/>
    <n v="0"/>
    <n v="0.30316526831686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24"/>
    <n v="37.556826769136542"/>
    <n v="8448"/>
    <n v="37.663826275601316"/>
    <n v="8516"/>
    <n v="0"/>
    <n v="0"/>
    <n v="0"/>
    <n v="0"/>
  </r>
  <r>
    <x v="3"/>
    <s v="Republic of Namibia"/>
    <x v="31"/>
    <n v="69483.399999999994"/>
    <n v="2282703.9999999995"/>
    <n v="32.85250865674390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730"/>
    <n v="0"/>
    <n v="0"/>
    <n v="0"/>
    <n v="38.244117502751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0"/>
    <n v="38.244117502751131"/>
    <n v="8730"/>
    <n v="38.244117502751131"/>
    <n v="8730"/>
    <n v="0"/>
    <n v="0"/>
    <n v="0"/>
    <n v="0"/>
  </r>
  <r>
    <x v="4"/>
    <s v="Republic of Namibia"/>
    <x v="31"/>
    <n v="69993.600000000006"/>
    <n v="2323352"/>
    <n v="33.1937777168198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9632"/>
    <n v="0"/>
    <n v="0"/>
    <n v="0"/>
    <n v="41.45734266697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32"/>
    <n v="41.45734266697427"/>
    <n v="9632"/>
    <n v="41.45734266697427"/>
    <n v="9632"/>
    <n v="0"/>
    <n v="0"/>
    <n v="0"/>
    <n v="0"/>
  </r>
  <r>
    <x v="5"/>
    <s v="Republic of Namibia"/>
    <x v="31"/>
    <n v="70261.600000000006"/>
    <n v="2364533.5000000009"/>
    <n v="33.65328287428695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842"/>
    <n v="9706"/>
    <n v="0"/>
    <n v="0"/>
    <n v="12.019284142093985"/>
    <n v="41.0482659687418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06"/>
    <n v="41.048265968741809"/>
    <n v="12548"/>
    <n v="53.067550110835796"/>
    <n v="12548"/>
    <n v="0"/>
    <n v="79"/>
    <n v="0"/>
    <n v="0"/>
  </r>
  <r>
    <x v="6"/>
    <s v="Republic of Namibia"/>
    <x v="31"/>
    <n v="70319.7"/>
    <n v="2405680.5000000005"/>
    <n v="34.210619499229956"/>
    <n v="87"/>
    <n v="464"/>
    <m/>
    <m/>
    <m/>
    <m/>
    <n v="2292"/>
    <n v="41"/>
    <m/>
    <n v="25"/>
    <m/>
    <m/>
    <m/>
    <n v="134"/>
    <m/>
    <m/>
    <m/>
    <n v="3"/>
    <n v="140"/>
    <m/>
    <m/>
    <n v="0"/>
    <m/>
    <m/>
    <m/>
    <n v="84"/>
    <m/>
    <m/>
    <n v="52"/>
    <n v="226"/>
    <n v="118"/>
    <m/>
    <n v="118"/>
    <m/>
    <m/>
    <m/>
    <n v="0"/>
    <m/>
    <m/>
    <n v="0"/>
    <n v="1726"/>
    <n v="10614"/>
    <n v="10"/>
    <n v="0"/>
    <n v="7.1746850839086891"/>
    <n v="44.120572120861425"/>
    <n v="4.1568279744546285E-2"/>
    <n v="0"/>
    <n v="0.36164403377755266"/>
    <n v="1.9287681801469476"/>
    <n v="0"/>
    <n v="0"/>
    <n v="0"/>
    <n v="0"/>
    <n v="9.5274497174500095"/>
    <n v="0.17042994695263977"/>
    <n v="0"/>
    <n v="0.10392069936136572"/>
    <n v="0"/>
    <n v="0"/>
    <n v="0"/>
    <n v="0.55701494857692024"/>
    <n v="0"/>
    <n v="0"/>
    <n v="0"/>
    <n v="1.2470483923363886E-2"/>
    <n v="0.58195591642364797"/>
    <n v="0"/>
    <n v="0"/>
    <n v="0"/>
    <n v="0"/>
    <n v="0"/>
    <n v="0.3491735498541888"/>
    <n v="0"/>
    <n v="0"/>
    <n v="0.21615505467164067"/>
    <n v="0.93944312222674609"/>
    <n v="0.49050570098564616"/>
    <n v="0"/>
    <n v="0"/>
    <n v="0"/>
    <n v="0"/>
    <n v="0"/>
    <n v="0"/>
    <n v="10624"/>
    <n v="44.162140400605971"/>
    <n v="12350"/>
    <n v="51.336825484514662"/>
    <n v="16134"/>
    <n v="0"/>
    <n v="0"/>
    <n v="0"/>
    <n v="0"/>
  </r>
  <r>
    <x v="7"/>
    <s v="Republic of Namibia"/>
    <x v="31"/>
    <n v="70307.7"/>
    <n v="2446644.4999999977"/>
    <n v="34.799097396159993"/>
    <n v="117"/>
    <n v="514"/>
    <m/>
    <m/>
    <m/>
    <m/>
    <m/>
    <n v="43"/>
    <n v="137"/>
    <n v="29"/>
    <m/>
    <m/>
    <m/>
    <n v="148"/>
    <m/>
    <n v="291"/>
    <m/>
    <n v="3"/>
    <m/>
    <n v="503"/>
    <m/>
    <n v="137"/>
    <m/>
    <m/>
    <m/>
    <n v="99"/>
    <m/>
    <m/>
    <n v="53"/>
    <n v="300"/>
    <n v="123"/>
    <m/>
    <n v="123"/>
    <m/>
    <m/>
    <m/>
    <n v="0"/>
    <m/>
    <m/>
    <n v="0"/>
    <n v="1931"/>
    <n v="11806"/>
    <n v="10"/>
    <n v="0"/>
    <n v="7.8924420773022064"/>
    <n v="48.253843171739952"/>
    <n v="4.0872304905759743E-2"/>
    <n v="0"/>
    <n v="0.47820596739738902"/>
    <n v="2.1008364721560508"/>
    <n v="0"/>
    <n v="0"/>
    <n v="0"/>
    <n v="0"/>
    <n v="0"/>
    <n v="0.1757509110947669"/>
    <n v="0.55995057720890851"/>
    <n v="0.11852968422670326"/>
    <n v="0"/>
    <n v="0"/>
    <n v="0"/>
    <n v="0.60491011260524419"/>
    <n v="0"/>
    <n v="1.1893840727576086"/>
    <n v="0"/>
    <n v="1.2261691471727922E-2"/>
    <n v="0"/>
    <n v="2.0558769367597152"/>
    <n v="0"/>
    <n v="0"/>
    <n v="0"/>
    <n v="0"/>
    <n v="0.40463581856702147"/>
    <n v="0"/>
    <n v="0"/>
    <n v="0.21662321600052664"/>
    <n v="1.2261691471727922"/>
    <n v="0.50272935034084487"/>
    <n v="0"/>
    <n v="0"/>
    <n v="0"/>
    <n v="0"/>
    <n v="0"/>
    <n v="0"/>
    <n v="11816"/>
    <n v="48.294715476645713"/>
    <n v="13747"/>
    <n v="56.18715755394792"/>
    <n v="16367"/>
    <n v="0"/>
    <n v="0"/>
    <n v="0"/>
    <n v="0"/>
  </r>
  <r>
    <x v="8"/>
    <s v="Republic of Namibia"/>
    <x v="31"/>
    <n v="70199.3"/>
    <n v="2489097.9999999991"/>
    <n v="35.457590032949035"/>
    <n v="138"/>
    <n v="546"/>
    <m/>
    <m/>
    <m/>
    <m/>
    <m/>
    <n v="43"/>
    <m/>
    <n v="32"/>
    <m/>
    <m/>
    <m/>
    <n v="177"/>
    <m/>
    <m/>
    <m/>
    <n v="3"/>
    <n v="99"/>
    <n v="99"/>
    <m/>
    <n v="0"/>
    <m/>
    <m/>
    <m/>
    <n v="95"/>
    <m/>
    <m/>
    <n v="54"/>
    <n v="338"/>
    <n v="134"/>
    <m/>
    <n v="134"/>
    <m/>
    <m/>
    <m/>
    <n v="0"/>
    <m/>
    <m/>
    <n v="0"/>
    <n v="2230"/>
    <n v="12880"/>
    <n v="10"/>
    <n v="0"/>
    <n v="8.959068706816689"/>
    <n v="51.745652441165454"/>
    <n v="4.0175195994693678E-2"/>
    <n v="0"/>
    <n v="0.55441770472677276"/>
    <n v="2.1935657013102747"/>
    <n v="0"/>
    <n v="0"/>
    <n v="0"/>
    <n v="0"/>
    <n v="0"/>
    <n v="0.17275334277718279"/>
    <n v="0"/>
    <n v="0.12856062718301975"/>
    <n v="0"/>
    <n v="0"/>
    <n v="0"/>
    <n v="0.71110096910607801"/>
    <n v="0"/>
    <n v="0"/>
    <n v="0"/>
    <n v="1.2052558798408103E-2"/>
    <n v="0.39773444034746741"/>
    <n v="0.39773444034746741"/>
    <n v="0"/>
    <n v="0"/>
    <n v="0"/>
    <n v="0"/>
    <n v="0.38166436194958991"/>
    <n v="0"/>
    <n v="0"/>
    <n v="0.21694605837134584"/>
    <n v="1.3579216246206463"/>
    <n v="0.53834762632889521"/>
    <n v="0"/>
    <n v="0"/>
    <n v="0"/>
    <n v="0"/>
    <n v="0"/>
    <n v="0"/>
    <n v="12890"/>
    <n v="51.785827637160146"/>
    <n v="15120"/>
    <n v="60.744896343976833"/>
    <n v="17012"/>
    <n v="17"/>
    <n v="104"/>
    <n v="0"/>
    <n v="172"/>
  </r>
  <r>
    <x v="9"/>
    <s v="Republic of Namibia"/>
    <x v="31"/>
    <n v="70214.399999999994"/>
    <n v="2530150.5000000014"/>
    <n v="36.034638193874784"/>
    <n v="161"/>
    <n v="603"/>
    <m/>
    <m/>
    <m/>
    <m/>
    <m/>
    <n v="48"/>
    <m/>
    <n v="35"/>
    <m/>
    <m/>
    <m/>
    <n v="209"/>
    <m/>
    <m/>
    <m/>
    <n v="3"/>
    <n v="99"/>
    <m/>
    <m/>
    <n v="0"/>
    <m/>
    <m/>
    <m/>
    <n v="99"/>
    <m/>
    <m/>
    <n v="63"/>
    <n v="372"/>
    <n v="140"/>
    <m/>
    <n v="140"/>
    <m/>
    <m/>
    <m/>
    <n v="0"/>
    <m/>
    <m/>
    <n v="0"/>
    <n v="2549"/>
    <n v="14332"/>
    <n v="12"/>
    <n v="0"/>
    <n v="10.074499520878298"/>
    <n v="56.64485175881827"/>
    <n v="4.7428008729124983E-2"/>
    <n v="0"/>
    <n v="0.63632578378242677"/>
    <n v="2.3832574386385303"/>
    <n v="0"/>
    <n v="0"/>
    <n v="0"/>
    <n v="0"/>
    <n v="0"/>
    <n v="0.18971203491649993"/>
    <n v="0"/>
    <n v="0.13833169212661453"/>
    <n v="0"/>
    <n v="0"/>
    <n v="0"/>
    <n v="0.82603781869892678"/>
    <n v="0"/>
    <n v="0"/>
    <n v="0"/>
    <n v="1.1857002182281246E-2"/>
    <n v="0.39128107201528106"/>
    <n v="0"/>
    <n v="0"/>
    <n v="0"/>
    <n v="0"/>
    <n v="0"/>
    <n v="0.39128107201528106"/>
    <n v="0"/>
    <n v="0"/>
    <n v="0.24899704582790616"/>
    <n v="1.4702682706028745"/>
    <n v="0.55332676850645812"/>
    <n v="0"/>
    <n v="0"/>
    <n v="0"/>
    <n v="0"/>
    <n v="0"/>
    <n v="0"/>
    <n v="14344"/>
    <n v="56.69227976754739"/>
    <n v="16893"/>
    <n v="66.766779288425695"/>
    <n v="18865"/>
    <n v="0"/>
    <n v="0"/>
    <n v="0"/>
    <n v="0"/>
  </r>
  <r>
    <x v="10"/>
    <s v="Republic of Namibia"/>
    <x v="31"/>
    <n v="70063.5"/>
    <n v="2567012.4999999995"/>
    <n v="36.638370906392055"/>
    <n v="207"/>
    <n v="655"/>
    <n v="4865"/>
    <m/>
    <m/>
    <m/>
    <m/>
    <n v="49"/>
    <m/>
    <n v="44"/>
    <m/>
    <m/>
    <m/>
    <n v="245"/>
    <m/>
    <n v="289"/>
    <n v="51"/>
    <n v="5"/>
    <n v="1065"/>
    <m/>
    <m/>
    <n v="0"/>
    <m/>
    <m/>
    <m/>
    <n v="107"/>
    <m/>
    <m/>
    <n v="82"/>
    <n v="402"/>
    <n v="144"/>
    <m/>
    <n v="144"/>
    <m/>
    <m/>
    <m/>
    <n v="0"/>
    <m/>
    <m/>
    <n v="0"/>
    <n v="3012"/>
    <n v="17210"/>
    <n v="14"/>
    <n v="889"/>
    <n v="11.733483962388187"/>
    <n v="67.042914672211381"/>
    <n v="5.4538106066877361E-2"/>
    <n v="3.4631697352467126"/>
    <n v="0.80638485398882953"/>
    <n v="2.5516042481289052"/>
    <n v="18.951991858239882"/>
    <n v="0"/>
    <n v="0"/>
    <n v="0"/>
    <n v="0"/>
    <n v="0.19088337123407076"/>
    <n v="0"/>
    <n v="0.17140547621018601"/>
    <n v="0"/>
    <n v="0"/>
    <n v="0"/>
    <n v="0.95441685617035388"/>
    <n v="0"/>
    <n v="1.1258223323805399"/>
    <n v="0.19867452924362466"/>
    <n v="1.9477895023884771E-2"/>
    <n v="4.1487916400874569"/>
    <n v="0"/>
    <n v="0"/>
    <n v="0"/>
    <n v="0"/>
    <n v="0"/>
    <n v="0.41682695351113414"/>
    <n v="0"/>
    <n v="0"/>
    <n v="0.31943747839171027"/>
    <n v="1.5660227599203358"/>
    <n v="0.56096337668788143"/>
    <n v="0"/>
    <n v="0"/>
    <n v="0"/>
    <n v="0"/>
    <n v="0"/>
    <n v="0"/>
    <n v="17224"/>
    <n v="67.097452778278267"/>
    <n v="20236"/>
    <n v="78.830936740666445"/>
    <n v="29479"/>
    <n v="0"/>
    <n v="142"/>
    <n v="0"/>
    <n v="0"/>
  </r>
  <r>
    <x v="0"/>
    <s v="Republic of Rwanda"/>
    <x v="32"/>
    <n v="352562.3"/>
    <n v="10840333.999999994"/>
    <n v="30.74728636612591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Rwanda"/>
    <x v="32"/>
    <n v="357235.9"/>
    <n v="11101349.499999996"/>
    <n v="31.0756827631265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08"/>
    <n v="0"/>
    <n v="1244"/>
    <n v="0"/>
    <n v="1.9889473797757657"/>
    <n v="0"/>
    <n v="1.1205844838954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4"/>
    <n v="1.1205844838954042"/>
    <n v="3452"/>
    <n v="3.1095318636711702"/>
    <n v="3452"/>
    <n v="0"/>
    <n v="0"/>
    <n v="0"/>
    <n v="0"/>
  </r>
  <r>
    <x v="2"/>
    <s v="Republic of Rwanda"/>
    <x v="32"/>
    <n v="362267.2"/>
    <n v="11368451.500000004"/>
    <n v="31.3813988680178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098"/>
    <n v="19250"/>
    <n v="1384"/>
    <n v="0"/>
    <n v="1.8454580203821069"/>
    <n v="16.932825020188538"/>
    <n v="1.2174041469060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34"/>
    <n v="18.150229167094562"/>
    <n v="22732"/>
    <n v="19.995687187476669"/>
    <n v="22732"/>
    <n v="0"/>
    <n v="0"/>
    <n v="0"/>
    <n v="0"/>
  </r>
  <r>
    <x v="3"/>
    <s v="Republic of Rwanda"/>
    <x v="32"/>
    <n v="368170.1"/>
    <n v="11642959"/>
    <n v="31.623858102545537"/>
    <n v="127"/>
    <n v="114"/>
    <n v="4006"/>
    <m/>
    <m/>
    <m/>
    <m/>
    <m/>
    <m/>
    <m/>
    <m/>
    <m/>
    <m/>
    <n v="226"/>
    <m/>
    <n v="116"/>
    <m/>
    <m/>
    <n v="1545"/>
    <m/>
    <n v="23"/>
    <n v="23"/>
    <m/>
    <m/>
    <n v="207"/>
    <m/>
    <m/>
    <m/>
    <m/>
    <m/>
    <n v="125"/>
    <m/>
    <n v="125"/>
    <m/>
    <m/>
    <n v="886"/>
    <n v="886"/>
    <m/>
    <m/>
    <n v="0"/>
    <n v="2568"/>
    <n v="20734"/>
    <n v="1736"/>
    <n v="0"/>
    <n v="2.2056248759443369"/>
    <n v="17.808187763952446"/>
    <n v="1.4910299005605019"/>
    <n v="0"/>
    <n v="0.10907880032902288"/>
    <n v="9.791325383865046E-2"/>
    <n v="3.4407060954178399"/>
    <n v="0"/>
    <n v="0"/>
    <n v="0"/>
    <n v="0"/>
    <n v="0"/>
    <n v="0"/>
    <n v="0"/>
    <n v="0"/>
    <n v="0"/>
    <n v="0"/>
    <n v="0.19410873129416673"/>
    <n v="0"/>
    <n v="9.9631030221784683E-2"/>
    <n v="0"/>
    <n v="0"/>
    <n v="1.3269822559711839"/>
    <n v="0"/>
    <n v="1.9754428406043516E-2"/>
    <n v="0"/>
    <n v="0"/>
    <n v="0.17778985565439165"/>
    <n v="0"/>
    <n v="0"/>
    <n v="0"/>
    <n v="0"/>
    <n v="0"/>
    <n v="0.10736102394588867"/>
    <n v="0"/>
    <n v="0"/>
    <n v="0"/>
    <n v="0.76097493772845892"/>
    <n v="0"/>
    <n v="0"/>
    <n v="22470"/>
    <n v="19.299217664512948"/>
    <n v="25038"/>
    <n v="21.504842540457282"/>
    <n v="33447"/>
    <n v="0"/>
    <n v="0"/>
    <n v="0"/>
    <n v="0"/>
  </r>
  <r>
    <x v="4"/>
    <s v="Republic of Rwanda"/>
    <x v="32"/>
    <n v="375065.4"/>
    <n v="11930899.500000007"/>
    <n v="31.8101843038574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918"/>
    <n v="22562"/>
    <n v="2140"/>
    <n v="0"/>
    <n v="2.4457502135526314"/>
    <n v="18.910560767023462"/>
    <n v="1.79366191124147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02"/>
    <n v="20.704222678264941"/>
    <n v="27620"/>
    <n v="23.149972891817573"/>
    <n v="27620"/>
    <n v="0"/>
    <n v="0"/>
    <n v="0"/>
    <n v="0"/>
  </r>
  <r>
    <x v="5"/>
    <s v="Republic of Rwanda"/>
    <x v="32"/>
    <n v="382138"/>
    <n v="12230339"/>
    <n v="32.005032213493557"/>
    <n v="236"/>
    <n v="879"/>
    <m/>
    <m/>
    <m/>
    <m/>
    <m/>
    <m/>
    <m/>
    <m/>
    <m/>
    <m/>
    <m/>
    <n v="201"/>
    <m/>
    <m/>
    <m/>
    <m/>
    <n v="1990"/>
    <m/>
    <m/>
    <n v="0"/>
    <m/>
    <m/>
    <m/>
    <m/>
    <m/>
    <m/>
    <m/>
    <n v="201"/>
    <n v="182"/>
    <m/>
    <n v="182"/>
    <m/>
    <m/>
    <m/>
    <n v="0"/>
    <m/>
    <m/>
    <n v="0"/>
    <n v="3830"/>
    <n v="1290"/>
    <n v="4288"/>
    <n v="0"/>
    <n v="3.1315566968339961"/>
    <n v="1.0547540832678473"/>
    <n v="3.5060352783352937"/>
    <n v="0"/>
    <n v="0.19296276252031935"/>
    <n v="0.71870452650576566"/>
    <n v="0"/>
    <n v="0"/>
    <n v="0"/>
    <n v="0"/>
    <n v="0"/>
    <n v="0"/>
    <n v="0"/>
    <n v="0"/>
    <n v="0"/>
    <n v="0"/>
    <n v="0"/>
    <n v="0.1643454036719669"/>
    <n v="0"/>
    <n v="0"/>
    <n v="0"/>
    <n v="0"/>
    <n v="1.6271012602348962"/>
    <n v="0"/>
    <n v="0"/>
    <n v="0"/>
    <n v="0"/>
    <n v="0"/>
    <n v="0"/>
    <n v="0"/>
    <n v="0"/>
    <n v="0"/>
    <n v="0.1643454036719669"/>
    <n v="0.14881026601143271"/>
    <n v="0"/>
    <n v="0"/>
    <n v="0"/>
    <n v="0"/>
    <n v="0"/>
    <n v="0"/>
    <n v="5578"/>
    <n v="4.560789361603141"/>
    <n v="9408"/>
    <n v="7.6923460584371375"/>
    <n v="13279"/>
    <n v="0"/>
    <n v="0"/>
    <n v="0"/>
    <n v="0"/>
  </r>
  <r>
    <x v="6"/>
    <s v="Republic of Rwanda"/>
    <x v="32"/>
    <n v="388863.1"/>
    <n v="12531807.499999998"/>
    <n v="32.226784953367904"/>
    <n v="228"/>
    <n v="886"/>
    <m/>
    <m/>
    <m/>
    <m/>
    <n v="45000"/>
    <m/>
    <m/>
    <m/>
    <m/>
    <m/>
    <m/>
    <m/>
    <m/>
    <n v="152"/>
    <m/>
    <m/>
    <m/>
    <n v="1990"/>
    <m/>
    <n v="0"/>
    <m/>
    <m/>
    <m/>
    <n v="13"/>
    <m/>
    <m/>
    <m/>
    <m/>
    <n v="225"/>
    <m/>
    <n v="225"/>
    <n v="310"/>
    <m/>
    <m/>
    <n v="0"/>
    <m/>
    <m/>
    <n v="0"/>
    <n v="3296"/>
    <n v="26690"/>
    <n v="2942"/>
    <n v="0"/>
    <n v="2.6301074286370905"/>
    <n v="21.297805603860422"/>
    <n v="2.3476262302943933"/>
    <n v="0"/>
    <n v="0.18193704300038124"/>
    <n v="0.70700096534358681"/>
    <n v="0"/>
    <n v="0"/>
    <n v="0"/>
    <n v="0"/>
    <n v="35.908626907969982"/>
    <n v="0"/>
    <n v="0"/>
    <n v="0"/>
    <n v="0"/>
    <n v="0"/>
    <n v="0"/>
    <n v="0"/>
    <n v="0"/>
    <n v="0.12129136200025417"/>
    <n v="0"/>
    <n v="0"/>
    <n v="0"/>
    <n v="1.587959278819117"/>
    <n v="0"/>
    <n v="0"/>
    <n v="0"/>
    <n v="0"/>
    <n v="1.0373603328969108E-2"/>
    <n v="0"/>
    <n v="0"/>
    <n v="0"/>
    <n v="0"/>
    <n v="0.17954313453984994"/>
    <n v="0"/>
    <n v="0.24737054092157101"/>
    <n v="0"/>
    <n v="0"/>
    <n v="0"/>
    <n v="0"/>
    <n v="29632"/>
    <n v="23.645431834154813"/>
    <n v="32928"/>
    <n v="26.275539262791902"/>
    <n v="81957"/>
    <n v="380"/>
    <n v="497"/>
    <n v="0"/>
    <n v="0"/>
  </r>
  <r>
    <x v="7"/>
    <s v="Republic of Rwanda"/>
    <x v="32"/>
    <n v="394736.7"/>
    <n v="12835028"/>
    <n v="32.51541597221641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984"/>
    <n v="20818"/>
    <n v="3122"/>
    <n v="0"/>
    <n v="2.3248877992319144"/>
    <n v="16.219676341960454"/>
    <n v="2.4324060687674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40"/>
    <n v="18.652082410727893"/>
    <n v="26924"/>
    <n v="20.976970209959806"/>
    <n v="26924"/>
    <n v="234"/>
    <n v="194"/>
    <n v="0"/>
    <n v="0"/>
  </r>
  <r>
    <x v="8"/>
    <s v="Republic of Rwanda"/>
    <x v="32"/>
    <n v="399189.9"/>
    <n v="13146361.500000002"/>
    <n v="32.932600499160927"/>
    <m/>
    <m/>
    <m/>
    <m/>
    <m/>
    <m/>
    <n v="58567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44.549969206308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567"/>
    <n v="0"/>
    <n v="0"/>
    <n v="0"/>
    <n v="0"/>
  </r>
  <r>
    <x v="9"/>
    <s v="Republic of Rwanda"/>
    <x v="32"/>
    <n v="403959"/>
    <n v="13461887.499999998"/>
    <n v="33.3248856938451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"/>
    <n v="114"/>
    <n v="207"/>
    <n v="226"/>
  </r>
  <r>
    <x v="10"/>
    <s v="Republic of Rwanda"/>
    <x v="32"/>
    <n v="408235.8"/>
    <n v="13776697.499999994"/>
    <n v="33.74691171131976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"/>
    <n v="0"/>
    <n v="0"/>
  </r>
  <r>
    <x v="0"/>
    <s v="Republic of Senegal"/>
    <x v="33"/>
    <n v="485442.2"/>
    <n v="13231833.000000002"/>
    <n v="27.257278003436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Senegal"/>
    <x v="33"/>
    <n v="494983.7"/>
    <n v="13595565.499999993"/>
    <n v="27.466693347679918"/>
    <n v="54"/>
    <m/>
    <m/>
    <m/>
    <m/>
    <m/>
    <m/>
    <m/>
    <m/>
    <n v="66"/>
    <n v="22"/>
    <m/>
    <m/>
    <m/>
    <m/>
    <n v="22"/>
    <m/>
    <m/>
    <n v="546"/>
    <m/>
    <m/>
    <n v="0"/>
    <m/>
    <m/>
    <m/>
    <m/>
    <m/>
    <m/>
    <n v="11"/>
    <n v="371"/>
    <n v="11"/>
    <m/>
    <n v="11"/>
    <m/>
    <m/>
    <m/>
    <n v="0"/>
    <n v="22"/>
    <n v="32"/>
    <n v="54"/>
    <n v="42"/>
    <n v="0"/>
    <n v="7892"/>
    <n v="0"/>
    <n v="3.0892425916376941E-2"/>
    <n v="0"/>
    <n v="5.8048339364773049"/>
    <n v="0"/>
    <n v="3.9718833321056066E-2"/>
    <n v="0"/>
    <n v="0"/>
    <n v="0"/>
    <n v="0"/>
    <n v="0"/>
    <n v="0"/>
    <n v="0"/>
    <n v="0"/>
    <n v="4.8545240725735191E-2"/>
    <n v="1.6181746908578397E-2"/>
    <n v="0"/>
    <n v="0"/>
    <n v="0"/>
    <n v="0"/>
    <n v="1.6181746908578397E-2"/>
    <n v="0"/>
    <n v="0"/>
    <n v="0.40160153691290024"/>
    <n v="0"/>
    <n v="0"/>
    <n v="0"/>
    <n v="0"/>
    <n v="0"/>
    <n v="0"/>
    <n v="0"/>
    <n v="0"/>
    <n v="8.0908734542891984E-3"/>
    <n v="0.27288309559466301"/>
    <n v="8.0908734542891984E-3"/>
    <n v="0"/>
    <n v="0"/>
    <n v="0"/>
    <n v="0"/>
    <n v="1.6181746908578397E-2"/>
    <n v="2.3537086412477669E-2"/>
    <n v="7892"/>
    <n v="5.8048339364773049"/>
    <n v="7934"/>
    <n v="5.8357263623936824"/>
    <n v="9156"/>
    <n v="0"/>
    <n v="0"/>
    <n v="0"/>
    <n v="0"/>
  </r>
  <r>
    <x v="2"/>
    <s v="Republic of Senegal"/>
    <x v="33"/>
    <n v="503266.5"/>
    <n v="13970307.499999993"/>
    <n v="27.75926373005155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70"/>
    <n v="34261"/>
    <n v="0"/>
    <n v="3518"/>
  </r>
  <r>
    <x v="3"/>
    <s v="Republic of Senegal"/>
    <x v="33"/>
    <n v="507578.5"/>
    <n v="14356180.500000004"/>
    <n v="28.283665482285013"/>
    <m/>
    <n v="143"/>
    <m/>
    <m/>
    <m/>
    <m/>
    <n v="77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2"/>
    <n v="3364"/>
    <n v="2232"/>
    <n v="0"/>
    <n v="5.0152615453671667E-2"/>
    <n v="2.343241644252104"/>
    <n v="1.5547310790638216"/>
    <n v="0"/>
    <n v="0"/>
    <n v="9.9608666803820106E-2"/>
    <n v="0"/>
    <n v="0"/>
    <n v="0"/>
    <n v="0"/>
    <n v="0.53635435971287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96"/>
    <n v="3.8979727233159256"/>
    <n v="5668"/>
    <n v="3.9481253387695974"/>
    <n v="6581"/>
    <n v="0"/>
    <n v="0"/>
    <n v="0"/>
    <n v="0"/>
  </r>
  <r>
    <x v="4"/>
    <s v="Republic of Senegal"/>
    <x v="33"/>
    <n v="510487.1"/>
    <n v="14751356.499999994"/>
    <n v="28.896629317371577"/>
    <n v="121"/>
    <n v="170"/>
    <m/>
    <m/>
    <m/>
    <m/>
    <n v="5"/>
    <m/>
    <n v="57"/>
    <m/>
    <m/>
    <m/>
    <m/>
    <n v="146"/>
    <m/>
    <n v="78"/>
    <m/>
    <m/>
    <n v="37"/>
    <m/>
    <m/>
    <n v="57"/>
    <m/>
    <m/>
    <m/>
    <m/>
    <m/>
    <m/>
    <m/>
    <m/>
    <m/>
    <m/>
    <n v="0"/>
    <m/>
    <m/>
    <m/>
    <n v="0"/>
    <m/>
    <m/>
    <n v="0"/>
    <n v="3195"/>
    <n v="4980"/>
    <n v="4004"/>
    <n v="0"/>
    <n v="2.165902505305191"/>
    <n v="3.3759607124944759"/>
    <n v="2.7143266451461612"/>
    <n v="0"/>
    <n v="8.2026354661010353E-2"/>
    <n v="0.11524363877993191"/>
    <n v="0"/>
    <n v="0"/>
    <n v="0"/>
    <n v="0"/>
    <n v="3.3895187876450562E-3"/>
    <n v="0"/>
    <n v="3.8640514179153637E-2"/>
    <n v="0"/>
    <n v="0"/>
    <n v="0"/>
    <n v="0"/>
    <n v="9.8973948599235639E-2"/>
    <n v="0"/>
    <n v="5.2876493087262874E-2"/>
    <n v="0"/>
    <n v="0"/>
    <n v="2.5082439028573416E-2"/>
    <n v="0"/>
    <n v="0"/>
    <n v="0"/>
    <n v="0"/>
    <n v="0"/>
    <n v="0"/>
    <n v="0"/>
    <n v="0"/>
    <n v="0"/>
    <n v="0"/>
    <n v="0"/>
    <n v="0"/>
    <n v="0"/>
    <n v="0"/>
    <n v="0"/>
    <n v="0"/>
    <n v="0"/>
    <n v="8984"/>
    <n v="6.0902873576406371"/>
    <n v="12179"/>
    <n v="8.2561898629458277"/>
    <n v="12850"/>
    <n v="0"/>
    <n v="0"/>
    <n v="0"/>
    <n v="0"/>
  </r>
  <r>
    <x v="5"/>
    <s v="Republic of Senegal"/>
    <x v="33"/>
    <n v="516925.5"/>
    <n v="15157793.000000006"/>
    <n v="29.322974006892686"/>
    <n v="121"/>
    <n v="170"/>
    <m/>
    <m/>
    <m/>
    <m/>
    <n v="5"/>
    <n v="57"/>
    <m/>
    <m/>
    <m/>
    <m/>
    <m/>
    <n v="146"/>
    <m/>
    <m/>
    <m/>
    <m/>
    <m/>
    <n v="37"/>
    <m/>
    <n v="0"/>
    <m/>
    <m/>
    <m/>
    <m/>
    <m/>
    <m/>
    <m/>
    <m/>
    <m/>
    <m/>
    <n v="0"/>
    <m/>
    <m/>
    <m/>
    <n v="0"/>
    <m/>
    <m/>
    <n v="0"/>
    <n v="2132"/>
    <n v="5640"/>
    <n v="4004"/>
    <n v="0"/>
    <n v="1.4065372181820923"/>
    <n v="3.7208583070107886"/>
    <n v="2.6415455073175882"/>
    <n v="0"/>
    <n v="7.9826924671685354E-2"/>
    <n v="0.11215353053046703"/>
    <n v="0"/>
    <n v="0"/>
    <n v="0"/>
    <n v="0"/>
    <n v="3.2986332508960891E-3"/>
    <n v="3.7604419060215416E-2"/>
    <n v="0"/>
    <n v="0"/>
    <n v="0"/>
    <n v="0"/>
    <n v="0"/>
    <n v="9.6320090926165794E-2"/>
    <n v="0"/>
    <n v="0"/>
    <n v="0"/>
    <n v="0"/>
    <n v="0"/>
    <n v="2.440988605663106E-2"/>
    <n v="0"/>
    <n v="0"/>
    <n v="0"/>
    <n v="0"/>
    <n v="0"/>
    <n v="0"/>
    <n v="0"/>
    <n v="0"/>
    <n v="0"/>
    <n v="0"/>
    <n v="0"/>
    <n v="0"/>
    <n v="0"/>
    <n v="0"/>
    <n v="0"/>
    <n v="0"/>
    <n v="9644"/>
    <n v="6.3624038143283768"/>
    <n v="11776"/>
    <n v="7.7689410325104689"/>
    <n v="12312"/>
    <n v="30"/>
    <n v="50"/>
    <n v="0"/>
    <n v="0"/>
  </r>
  <r>
    <x v="6"/>
    <s v="Republic of Senegal"/>
    <x v="33"/>
    <n v="526366.6"/>
    <n v="15574908.999999998"/>
    <n v="29.589470532514788"/>
    <m/>
    <m/>
    <m/>
    <m/>
    <m/>
    <m/>
    <n v="17417"/>
    <m/>
    <m/>
    <m/>
    <m/>
    <m/>
    <m/>
    <m/>
    <m/>
    <m/>
    <m/>
    <m/>
    <m/>
    <n v="328"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1.182729863782834"/>
    <n v="0"/>
    <n v="0"/>
    <n v="0"/>
    <n v="0"/>
    <n v="0"/>
    <n v="0"/>
    <n v="0"/>
    <n v="0"/>
    <n v="0"/>
    <n v="0"/>
    <n v="0"/>
    <n v="0"/>
    <n v="0.21059513092500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45"/>
    <n v="276"/>
    <n v="45"/>
    <n v="0"/>
    <n v="1925"/>
  </r>
  <r>
    <x v="7"/>
    <s v="Republic of Senegal"/>
    <x v="33"/>
    <n v="535460.80000000005"/>
    <n v="16000781.500000006"/>
    <n v="29.882264957584205"/>
    <n v="219"/>
    <n v="188"/>
    <n v="2663"/>
    <n v="445"/>
    <n v="2"/>
    <n v="12"/>
    <n v="1116"/>
    <n v="0"/>
    <n v="21"/>
    <n v="4"/>
    <m/>
    <n v="155"/>
    <m/>
    <n v="835"/>
    <n v="90"/>
    <n v="124"/>
    <n v="686"/>
    <n v="2112"/>
    <m/>
    <n v="715"/>
    <n v="1"/>
    <n v="22"/>
    <n v="123"/>
    <n v="70"/>
    <n v="3"/>
    <n v="1"/>
    <n v="3647"/>
    <n v="1722"/>
    <n v="2352"/>
    <n v="45"/>
    <m/>
    <m/>
    <n v="0"/>
    <n v="16"/>
    <m/>
    <n v="402"/>
    <n v="402"/>
    <m/>
    <m/>
    <n v="0"/>
    <n v="5952"/>
    <n v="14883"/>
    <n v="5312"/>
    <n v="15422"/>
    <n v="3.7198183101244138"/>
    <n v="9.3014206837334754"/>
    <n v="3.3198378466701755"/>
    <n v="9.638279230298842"/>
    <n v="0.13686831483824707"/>
    <n v="0.11749426113968242"/>
    <n v="1.6642937096541186"/>
    <n v="0.27811141599552486"/>
    <n v="1.2499389482944938E-3"/>
    <n v="7.4996336897669626E-3"/>
    <n v="0.6974659331483275"/>
    <n v="0"/>
    <n v="1.3124358957092184E-2"/>
    <n v="2.4998778965889877E-3"/>
    <n v="0"/>
    <n v="9.6870268492823264E-2"/>
    <n v="0"/>
    <n v="0.52184951091295118"/>
    <n v="5.6247252673252222E-2"/>
    <n v="7.7496214794258611E-2"/>
    <n v="0.42872905926501137"/>
    <n v="1.3199355293989854"/>
    <n v="0"/>
    <n v="0.44685317401528152"/>
    <n v="6.2496947414724692E-4"/>
    <n v="7.6871245320111373E-2"/>
    <n v="4.3747863190307282E-2"/>
    <n v="1.8749084224417407E-3"/>
    <n v="6.2496947414724692E-4"/>
    <n v="2.2792636722150093"/>
    <n v="1.0761974344815592"/>
    <n v="1.4699282031943248"/>
    <n v="2.8123626336626111E-2"/>
    <n v="0"/>
    <n v="0"/>
    <n v="9.9995115863559508E-3"/>
    <n v="0"/>
    <n v="0.25123772860719323"/>
    <n v="0"/>
    <n v="0"/>
    <n v="20195"/>
    <n v="12.621258530403651"/>
    <n v="26147"/>
    <n v="16.341076840528064"/>
    <n v="59762"/>
    <n v="0"/>
    <n v="0"/>
    <n v="0"/>
    <n v="0"/>
  </r>
  <r>
    <x v="8"/>
    <s v="Republic of Senegal"/>
    <x v="33"/>
    <n v="543180.80000000005"/>
    <n v="16436119.999999993"/>
    <n v="30.259022410217725"/>
    <n v="134"/>
    <n v="212"/>
    <n v="5427"/>
    <n v="35"/>
    <n v="1"/>
    <n v="19"/>
    <m/>
    <m/>
    <n v="13"/>
    <n v="2"/>
    <n v="1"/>
    <n v="60"/>
    <m/>
    <n v="411"/>
    <n v="14"/>
    <n v="121"/>
    <n v="27"/>
    <n v="1482"/>
    <n v="323"/>
    <n v="101"/>
    <m/>
    <n v="13"/>
    <m/>
    <n v="72"/>
    <n v="2"/>
    <m/>
    <m/>
    <m/>
    <n v="662"/>
    <n v="48"/>
    <n v="1"/>
    <n v="97"/>
    <n v="98"/>
    <n v="2"/>
    <m/>
    <n v="491"/>
    <n v="491"/>
    <m/>
    <m/>
    <n v="0"/>
    <n v="3606"/>
    <n v="7600"/>
    <n v="4122"/>
    <n v="0"/>
    <n v="2.1939484501208324"/>
    <n v="4.6239623463445163"/>
    <n v="2.507891156793697"/>
    <n v="0"/>
    <n v="8.1527757159232259E-2"/>
    <n v="0.12898421281908387"/>
    <n v="3.3018741649489067"/>
    <n v="2.1294563437112904E-2"/>
    <n v="6.084160982032259E-4"/>
    <n v="1.1559905865861291E-2"/>
    <n v="0"/>
    <n v="0"/>
    <n v="7.909409276641936E-3"/>
    <n v="1.2168321964064518E-3"/>
    <n v="6.084160982032259E-4"/>
    <n v="3.6504965892193549E-2"/>
    <n v="0"/>
    <n v="0.25005901636152583"/>
    <n v="8.5178253748451616E-3"/>
    <n v="7.3618347882590335E-2"/>
    <n v="1.6427234651487099E-2"/>
    <n v="0.90167265753718073"/>
    <n v="0.19651839971964194"/>
    <n v="6.1450025918525809E-2"/>
    <n v="0"/>
    <n v="0"/>
    <n v="4.3805959070632262E-2"/>
    <n v="1.2168321964064518E-3"/>
    <n v="0"/>
    <n v="0"/>
    <n v="0"/>
    <n v="0.40277145701053552"/>
    <n v="2.9203972713754842E-2"/>
    <n v="6.084160982032259E-4"/>
    <n v="5.9016361525712907E-2"/>
    <n v="1.2168321964064518E-3"/>
    <n v="0"/>
    <n v="0.29873230421778391"/>
    <n v="0"/>
    <n v="0"/>
    <n v="11722"/>
    <n v="7.1318535031382133"/>
    <n v="15328"/>
    <n v="9.3258019532590453"/>
    <n v="25688"/>
    <n v="327"/>
    <n v="584"/>
    <n v="0"/>
    <n v="2494"/>
  </r>
  <r>
    <x v="9"/>
    <s v="Republic of Senegal"/>
    <x v="33"/>
    <n v="550908.19999999995"/>
    <n v="16876719.999999996"/>
    <n v="30.634359771736921"/>
    <n v="176"/>
    <n v="293"/>
    <n v="5833"/>
    <n v="36"/>
    <m/>
    <n v="15"/>
    <n v="16443"/>
    <n v="28"/>
    <n v="94"/>
    <n v="4"/>
    <m/>
    <n v="87"/>
    <m/>
    <n v="53"/>
    <n v="103"/>
    <n v="123"/>
    <n v="188"/>
    <m/>
    <n v="14"/>
    <n v="434"/>
    <n v="4"/>
    <n v="98"/>
    <n v="2"/>
    <n v="104"/>
    <n v="8"/>
    <n v="107"/>
    <n v="16"/>
    <n v="344"/>
    <n v="917"/>
    <n v="40"/>
    <m/>
    <m/>
    <n v="0"/>
    <m/>
    <m/>
    <n v="173"/>
    <n v="173"/>
    <m/>
    <m/>
    <n v="0"/>
    <n v="4634"/>
    <n v="12954"/>
    <n v="5478"/>
    <n v="949"/>
    <n v="2.7457942064571794"/>
    <n v="7.6756620954782697"/>
    <n v="3.2458913817376844"/>
    <n v="0.56231305609146809"/>
    <n v="0.10428566688313845"/>
    <n v="0.17361193407249753"/>
    <n v="3.4562403120985601"/>
    <n v="2.1331159135187412E-2"/>
    <n v="0"/>
    <n v="8.8879829729947551E-3"/>
    <n v="9.7430069349968491"/>
    <n v="1.6590901549590208E-2"/>
    <n v="5.5698026630767131E-2"/>
    <n v="2.3701287927986011E-3"/>
    <n v="0"/>
    <n v="5.1550301243369574E-2"/>
    <n v="0"/>
    <n v="3.1404206504581464E-2"/>
    <n v="6.1030816414563982E-2"/>
    <n v="7.2881460378556986E-2"/>
    <n v="0.11139605326153426"/>
    <n v="0"/>
    <n v="8.2954507747951042E-3"/>
    <n v="0.25715897401864823"/>
    <n v="2.3701287927986011E-3"/>
    <n v="1.1850643963993005E-3"/>
    <n v="6.1623348612763633E-2"/>
    <n v="4.7402575855972021E-3"/>
    <n v="6.3400945207362586E-2"/>
    <n v="9.4805151711944043E-3"/>
    <n v="0.20383107618067969"/>
    <n v="0.54335202574907937"/>
    <n v="2.3701287927986012E-2"/>
    <n v="0"/>
    <n v="0"/>
    <n v="0"/>
    <n v="0"/>
    <n v="0.1025080702885395"/>
    <n v="0"/>
    <n v="0"/>
    <n v="18432"/>
    <n v="10.921553477215955"/>
    <n v="23066"/>
    <n v="13.667347683673134"/>
    <n v="49925"/>
    <n v="0"/>
    <n v="0"/>
    <n v="0"/>
    <n v="0"/>
  </r>
  <r>
    <x v="10"/>
    <s v="Republic of Senegal"/>
    <x v="33"/>
    <n v="558327.9"/>
    <n v="17316449"/>
    <n v="31.014837338417085"/>
    <n v="223"/>
    <n v="352"/>
    <n v="3584"/>
    <n v="31"/>
    <m/>
    <n v="17"/>
    <n v="18757"/>
    <n v="64"/>
    <n v="15"/>
    <n v="12"/>
    <m/>
    <m/>
    <m/>
    <n v="634"/>
    <n v="122"/>
    <n v="237"/>
    <m/>
    <m/>
    <n v="252"/>
    <m/>
    <m/>
    <n v="15"/>
    <m/>
    <n v="109"/>
    <n v="7"/>
    <m/>
    <m/>
    <m/>
    <n v="1083"/>
    <n v="57"/>
    <n v="90"/>
    <n v="4"/>
    <n v="94"/>
    <n v="14"/>
    <m/>
    <n v="543"/>
    <n v="543"/>
    <m/>
    <m/>
    <n v="0"/>
    <n v="4876"/>
    <n v="9474"/>
    <n v="5606"/>
    <n v="3378"/>
    <n v="2.815819802316283"/>
    <n v="5.4710986068795053"/>
    <n v="3.237384292818926"/>
    <n v="1.9507463683807229"/>
    <n v="0.12877928956450599"/>
    <n v="0.20327493240675384"/>
    <n v="2.0697084026869481"/>
    <n v="1.7902053706276615E-2"/>
    <n v="0"/>
    <n v="9.8172552582807254E-3"/>
    <n v="10.831897463504209"/>
    <n v="3.6959078619409787E-2"/>
    <n v="8.6622840514241697E-3"/>
    <n v="6.9298272411393354E-3"/>
    <n v="0"/>
    <n v="0"/>
    <n v="0"/>
    <n v="0.36612587257352819"/>
    <n v="7.0453243618249908E-2"/>
    <n v="0.13686408801250188"/>
    <n v="0"/>
    <n v="0"/>
    <n v="0.14552637206392605"/>
    <n v="0"/>
    <n v="0"/>
    <n v="0"/>
    <n v="6.2945930773682296E-2"/>
    <n v="4.0423992239979455E-3"/>
    <n v="0"/>
    <n v="0"/>
    <n v="0"/>
    <n v="0.62541690851282505"/>
    <n v="3.2916679395411839E-2"/>
    <n v="5.1973704308545011E-2"/>
    <n v="2.3099424137131117E-3"/>
    <n v="8.0847984479958911E-3"/>
    <n v="0"/>
    <n v="0.31357468266155492"/>
    <n v="0"/>
    <n v="0"/>
    <n v="15080"/>
    <n v="8.7084828996984314"/>
    <n v="19956"/>
    <n v="11.524302702014715"/>
    <n v="50193"/>
    <n v="18"/>
    <n v="17"/>
    <n v="0"/>
    <n v="0"/>
  </r>
  <r>
    <x v="0"/>
    <s v="Republic of Seychelles"/>
    <x v="34"/>
    <n v="1803.6"/>
    <n v="95308.999999999985"/>
    <n v="52.843756930583275"/>
    <n v="14"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6"/>
    <n v="838"/>
    <n v="0"/>
    <n v="0"/>
    <n v="19.515470732040001"/>
    <n v="87.924540179836129"/>
    <n v="0"/>
    <n v="0"/>
    <n v="1.4689063991858065"/>
    <n v="0.41968754262451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8"/>
    <n v="87.924540179836129"/>
    <n v="1024"/>
    <n v="107.44001091187613"/>
    <n v="1042"/>
    <n v="0"/>
    <n v="0"/>
    <n v="0"/>
    <n v="0"/>
  </r>
  <r>
    <x v="1"/>
    <s v="Republic of Seychelles"/>
    <x v="34"/>
    <n v="1775"/>
    <n v="96714"/>
    <n v="54.4867605633802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Republic of Seychelles"/>
    <x v="34"/>
    <n v="1726.4"/>
    <n v="98000.999999999927"/>
    <n v="56.766102873030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n v="0"/>
    <n v="0"/>
  </r>
  <r>
    <x v="3"/>
    <s v="Republic of Seychelles"/>
    <x v="34"/>
    <n v="1743.6"/>
    <n v="99239.999999999971"/>
    <n v="56.9167240192704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"/>
    <n v="0"/>
    <n v="0"/>
    <n v="0"/>
    <n v="0.4030632809351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.4030632809351069"/>
    <n v="4"/>
    <n v="0"/>
    <n v="0"/>
    <n v="0"/>
    <n v="0"/>
  </r>
  <r>
    <x v="4"/>
    <s v="Republic of Seychelles"/>
    <x v="34"/>
    <n v="1795.8"/>
    <n v="100508.49999999997"/>
    <n v="55.968649070052329"/>
    <n v="34"/>
    <n v="45"/>
    <m/>
    <m/>
    <m/>
    <m/>
    <m/>
    <m/>
    <m/>
    <m/>
    <m/>
    <m/>
    <m/>
    <m/>
    <m/>
    <m/>
    <m/>
    <m/>
    <m/>
    <m/>
    <m/>
    <n v="0"/>
    <m/>
    <m/>
    <m/>
    <m/>
    <m/>
    <m/>
    <m/>
    <n v="64"/>
    <m/>
    <m/>
    <n v="0"/>
    <m/>
    <m/>
    <m/>
    <n v="0"/>
    <m/>
    <m/>
    <n v="0"/>
    <n v="410"/>
    <n v="1368"/>
    <n v="178"/>
    <n v="0"/>
    <n v="40.792569782655207"/>
    <n v="136.10789137237154"/>
    <n v="17.709944930030797"/>
    <n v="0"/>
    <n v="3.3827984697811639"/>
    <n v="4.4772332688280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676206489998375"/>
    <n v="0"/>
    <n v="0"/>
    <n v="0"/>
    <n v="0"/>
    <n v="0"/>
    <n v="0"/>
    <n v="0"/>
    <n v="1546"/>
    <n v="153.81783630240233"/>
    <n v="1956"/>
    <n v="194.61040608505755"/>
    <n v="2099"/>
    <n v="0"/>
    <n v="0"/>
    <n v="0"/>
    <n v="0"/>
  </r>
  <r>
    <x v="5"/>
    <s v="Republic of Seychelles"/>
    <x v="34"/>
    <n v="1837.1"/>
    <n v="101810.50000000001"/>
    <n v="55.41913886016004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9"/>
    <n v="0"/>
    <n v="0"/>
    <n v="0"/>
    <n v="3.8306461514283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3.8306461514283883"/>
    <n v="39"/>
    <n v="0"/>
    <n v="0"/>
    <n v="0"/>
    <n v="0"/>
  </r>
  <r>
    <x v="6"/>
    <s v="Republic of Seychelles"/>
    <x v="34"/>
    <n v="1833.4"/>
    <n v="103101.00000000003"/>
    <n v="56.234864186756859"/>
    <m/>
    <n v="124"/>
    <m/>
    <m/>
    <m/>
    <m/>
    <m/>
    <m/>
    <m/>
    <m/>
    <m/>
    <m/>
    <m/>
    <m/>
    <m/>
    <m/>
    <m/>
    <m/>
    <m/>
    <n v="71"/>
    <m/>
    <n v="0"/>
    <m/>
    <m/>
    <m/>
    <m/>
    <m/>
    <m/>
    <m/>
    <m/>
    <m/>
    <m/>
    <n v="0"/>
    <m/>
    <m/>
    <m/>
    <n v="0"/>
    <m/>
    <m/>
    <n v="0"/>
    <n v="537"/>
    <n v="2223"/>
    <n v="316"/>
    <n v="0"/>
    <n v="52.084848837547632"/>
    <n v="215.61381557889831"/>
    <n v="30.649557230288739"/>
    <n v="0"/>
    <n v="0"/>
    <n v="12.027041444796847"/>
    <n v="0"/>
    <n v="0"/>
    <n v="0"/>
    <n v="0"/>
    <n v="0"/>
    <n v="0"/>
    <n v="0"/>
    <n v="0"/>
    <n v="0"/>
    <n v="0"/>
    <n v="0"/>
    <n v="0"/>
    <n v="0"/>
    <n v="0"/>
    <n v="0"/>
    <n v="0"/>
    <n v="0"/>
    <n v="6.8864511498433556"/>
    <n v="0"/>
    <n v="0"/>
    <n v="0"/>
    <n v="0"/>
    <n v="0"/>
    <n v="0"/>
    <n v="0"/>
    <n v="0"/>
    <n v="0"/>
    <n v="0"/>
    <n v="0"/>
    <n v="0"/>
    <n v="0"/>
    <n v="0"/>
    <n v="0"/>
    <n v="0"/>
    <n v="2539"/>
    <n v="246.26337280918705"/>
    <n v="3076"/>
    <n v="298.34822164673466"/>
    <n v="3271"/>
    <n v="0"/>
    <n v="0"/>
    <n v="0"/>
    <n v="0"/>
  </r>
  <r>
    <x v="7"/>
    <s v="Republic of Seychelles"/>
    <x v="34"/>
    <n v="1804.7"/>
    <n v="104372.49999999997"/>
    <n v="57.833711974289336"/>
    <n v="42"/>
    <m/>
    <m/>
    <m/>
    <m/>
    <m/>
    <m/>
    <n v="37"/>
    <n v="14"/>
    <m/>
    <m/>
    <m/>
    <m/>
    <m/>
    <m/>
    <m/>
    <m/>
    <m/>
    <m/>
    <m/>
    <m/>
    <n v="14"/>
    <m/>
    <m/>
    <m/>
    <m/>
    <m/>
    <m/>
    <m/>
    <m/>
    <m/>
    <m/>
    <n v="0"/>
    <m/>
    <m/>
    <m/>
    <n v="0"/>
    <m/>
    <m/>
    <n v="0"/>
    <n v="479"/>
    <n v="0"/>
    <n v="0"/>
    <n v="0"/>
    <n v="45.893314809935582"/>
    <n v="0"/>
    <n v="0"/>
    <n v="0"/>
    <n v="4.0240484802031196"/>
    <n v="0"/>
    <n v="0"/>
    <n v="0"/>
    <n v="0"/>
    <n v="0"/>
    <n v="0"/>
    <n v="3.5449950897027485"/>
    <n v="1.3413494934010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9"/>
    <n v="45.893314809935582"/>
    <n v="586"/>
    <n v="0"/>
    <n v="0"/>
    <n v="0"/>
    <n v="0"/>
  </r>
  <r>
    <x v="8"/>
    <s v="Republic of Seychelles"/>
    <x v="34"/>
    <n v="1773.9"/>
    <n v="105529.99999999997"/>
    <n v="59.4903884097186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Seychelles"/>
    <x v="34"/>
    <n v="1744.8"/>
    <n v="106470.49999999996"/>
    <n v="61.021607060981175"/>
    <n v="0"/>
    <n v="0"/>
    <n v="0"/>
    <n v="19"/>
    <n v="5"/>
    <n v="0"/>
    <n v="0"/>
    <n v="0"/>
    <n v="0"/>
    <n v="1"/>
    <n v="4"/>
    <n v="0"/>
    <n v="0"/>
    <n v="0"/>
    <n v="0"/>
    <n v="0"/>
    <n v="0"/>
    <n v="0"/>
    <n v="0"/>
    <n v="0"/>
    <n v="4"/>
    <n v="4"/>
    <n v="0"/>
    <n v="0"/>
    <n v="3"/>
    <n v="22"/>
    <n v="0"/>
    <n v="0"/>
    <n v="0"/>
    <n v="0"/>
    <n v="20"/>
    <n v="40"/>
    <n v="60"/>
    <n v="6"/>
    <n v="0"/>
    <n v="2"/>
    <n v="2"/>
    <n v="2"/>
    <n v="0"/>
    <n v="2"/>
    <n v="0"/>
    <n v="0"/>
    <n v="0"/>
    <n v="0"/>
    <n v="0"/>
    <n v="0"/>
    <n v="0"/>
    <n v="0"/>
    <n v="0"/>
    <n v="0"/>
    <n v="0"/>
    <n v="1.7845318656341436"/>
    <n v="0.46961364885109042"/>
    <n v="0"/>
    <n v="0"/>
    <n v="0"/>
    <n v="0"/>
    <n v="9.392272977021808E-2"/>
    <n v="0.37569091908087232"/>
    <n v="0"/>
    <n v="0"/>
    <n v="0"/>
    <n v="0"/>
    <n v="0"/>
    <n v="0"/>
    <n v="0"/>
    <n v="0"/>
    <n v="0"/>
    <n v="0.37569091908087232"/>
    <n v="0"/>
    <n v="0"/>
    <n v="0.28176818931065423"/>
    <n v="2.0663000549447976"/>
    <n v="0"/>
    <n v="0"/>
    <n v="0"/>
    <n v="0"/>
    <n v="1.8784545954043617"/>
    <n v="3.7569091908087233"/>
    <n v="0.56353637862130845"/>
    <n v="0"/>
    <n v="0.18784545954043616"/>
    <n v="0.18784545954043616"/>
    <n v="0"/>
    <n v="0"/>
    <n v="0"/>
    <n v="0"/>
    <n v="0"/>
    <n v="196"/>
    <n v="0"/>
    <n v="0"/>
    <n v="0"/>
    <n v="0"/>
  </r>
  <r>
    <x v="10"/>
    <s v="Republic of Seychelles"/>
    <x v="34"/>
    <n v="1715.5"/>
    <n v="107118.5"/>
    <n v="62.441562226756048"/>
    <n v="44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3"/>
    <n v="1246"/>
    <n v="312"/>
    <n v="0"/>
    <n v="86.166255128665924"/>
    <n v="116.31977669590221"/>
    <n v="29.126621451943407"/>
    <n v="0"/>
    <n v="4.107600461171506"/>
    <n v="3.2674094577500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8"/>
    <n v="145.4463981478456"/>
    <n v="2481"/>
    <n v="231.61265327651154"/>
    <n v="2560"/>
    <n v="0"/>
    <n v="0"/>
    <n v="0"/>
    <n v="0"/>
  </r>
  <r>
    <x v="0"/>
    <s v="Republic of Sierra Leone"/>
    <x v="35"/>
    <n v="243297.8"/>
    <n v="6788587.5000000037"/>
    <n v="27.9023793063480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"/>
    <n v="0"/>
    <n v="0"/>
    <n v="0"/>
    <n v="1.178448388563894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.1784483885638943E-2"/>
    <n v="8"/>
    <n v="0"/>
    <n v="0"/>
    <n v="0"/>
    <n v="0"/>
  </r>
  <r>
    <x v="1"/>
    <s v="Republic of Sierra Leone"/>
    <x v="35"/>
    <n v="244461.1"/>
    <n v="6964858.4999999972"/>
    <n v="28.4906617044593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2212"/>
    <n v="4374"/>
    <n v="0"/>
    <n v="0"/>
    <n v="17.533737404715406"/>
    <n v="6.280098870637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86"/>
    <n v="23.813836275352912"/>
    <n v="16586"/>
    <n v="23.813836275352912"/>
    <n v="16586"/>
    <n v="0"/>
    <n v="0"/>
    <n v="0"/>
    <n v="0"/>
  </r>
  <r>
    <x v="2"/>
    <s v="Republic of Sierra Leone"/>
    <x v="35"/>
    <n v="244533.1"/>
    <n v="7140688.0000000028"/>
    <n v="29.20131466864814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n v="1511"/>
    <m/>
    <n v="1511"/>
    <n v="3046"/>
    <m/>
    <n v="3046"/>
    <n v="1"/>
    <n v="12216"/>
    <n v="1170"/>
    <n v="0"/>
    <n v="1.4004252811493788E-3"/>
    <n v="17.107595234520812"/>
    <n v="1.6384975789447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60425998167116"/>
    <n v="0"/>
    <n v="4.265695406381008"/>
    <n v="0"/>
    <n v="13386"/>
    <n v="18.746092813465587"/>
    <n v="13387"/>
    <n v="18.747493238746735"/>
    <n v="22501"/>
    <n v="0"/>
    <n v="0"/>
    <n v="0"/>
    <n v="0"/>
  </r>
  <r>
    <x v="3"/>
    <s v="Republic of Sierra Leone"/>
    <x v="35"/>
    <n v="244577.3"/>
    <n v="7314773"/>
    <n v="29.90781646538742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1746"/>
    <n v="0"/>
    <n v="0"/>
    <n v="0"/>
    <n v="16.057914579167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46"/>
    <n v="16.057914579167392"/>
    <n v="11746"/>
    <n v="16.057914579167392"/>
    <n v="11746"/>
    <n v="0"/>
    <n v="0"/>
    <n v="0"/>
    <n v="0"/>
  </r>
  <r>
    <x v="4"/>
    <s v="Republic of Sierra Leone"/>
    <x v="35"/>
    <n v="245921.2"/>
    <n v="7493912.9999999981"/>
    <n v="30.472822188570966"/>
    <n v="53"/>
    <n v="82"/>
    <m/>
    <m/>
    <m/>
    <m/>
    <n v="14622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0320"/>
    <n v="626"/>
    <n v="0"/>
    <n v="0"/>
    <n v="13.771176686999173"/>
    <n v="0.83534463237029866"/>
    <n v="0"/>
    <n v="7.0724066318891096E-2"/>
    <n v="0.10942214034243528"/>
    <n v="0"/>
    <n v="0"/>
    <n v="0"/>
    <n v="0"/>
    <n v="19.511835805940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6"/>
    <n v="14.60652131936947"/>
    <n v="10946"/>
    <n v="14.60652131936947"/>
    <n v="25703"/>
    <n v="0"/>
    <n v="0"/>
    <n v="0"/>
    <n v="0"/>
  </r>
  <r>
    <x v="5"/>
    <s v="Republic of Sierra Leone"/>
    <x v="35"/>
    <n v="248976"/>
    <n v="7677565.5000000019"/>
    <n v="30.83656858492385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1960"/>
    <n v="0"/>
    <n v="0"/>
    <n v="0"/>
    <n v="15.57785472491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60"/>
    <n v="15.57785472491247"/>
    <n v="11960"/>
    <n v="15.57785472491247"/>
    <n v="11960"/>
    <n v="0"/>
    <n v="0"/>
    <n v="0"/>
    <n v="0"/>
  </r>
  <r>
    <x v="6"/>
    <s v="Republic of Sierra Leone"/>
    <x v="35"/>
    <n v="252080.8"/>
    <n v="7861281"/>
    <n v="31.185560344143624"/>
    <n v="15"/>
    <n v="156"/>
    <m/>
    <m/>
    <m/>
    <m/>
    <m/>
    <m/>
    <m/>
    <m/>
    <m/>
    <m/>
    <m/>
    <m/>
    <m/>
    <m/>
    <m/>
    <m/>
    <m/>
    <n v="311"/>
    <m/>
    <n v="0"/>
    <m/>
    <m/>
    <m/>
    <m/>
    <m/>
    <m/>
    <m/>
    <m/>
    <m/>
    <m/>
    <n v="0"/>
    <m/>
    <m/>
    <m/>
    <n v="0"/>
    <m/>
    <m/>
    <n v="0"/>
    <n v="1132"/>
    <n v="11514"/>
    <n v="0"/>
    <n v="0"/>
    <n v="1.43996888038985"/>
    <n v="14.646467922975912"/>
    <n v="0"/>
    <n v="0"/>
    <n v="1.9080859722480345E-2"/>
    <n v="0.19844094111379557"/>
    <n v="0"/>
    <n v="0"/>
    <n v="0"/>
    <n v="0"/>
    <n v="0"/>
    <n v="0"/>
    <n v="0"/>
    <n v="0"/>
    <n v="0"/>
    <n v="0"/>
    <n v="0"/>
    <n v="0"/>
    <n v="0"/>
    <n v="0"/>
    <n v="0"/>
    <n v="0"/>
    <n v="0"/>
    <n v="0.39560982491275914"/>
    <n v="0"/>
    <n v="0"/>
    <n v="0"/>
    <n v="0"/>
    <n v="0"/>
    <n v="0"/>
    <n v="0"/>
    <n v="0"/>
    <n v="0"/>
    <n v="0"/>
    <n v="0"/>
    <n v="0"/>
    <n v="0"/>
    <n v="0"/>
    <n v="0"/>
    <n v="0"/>
    <n v="11514"/>
    <n v="14.646467922975912"/>
    <n v="12646"/>
    <n v="16.086436803365761"/>
    <n v="13128"/>
    <n v="0"/>
    <n v="0"/>
    <n v="0"/>
    <n v="0"/>
  </r>
  <r>
    <x v="7"/>
    <s v="Republic of Sierra Leone"/>
    <x v="35"/>
    <n v="254698.9"/>
    <n v="8046828.5"/>
    <n v="31.593495299744131"/>
    <n v="7"/>
    <n v="164"/>
    <m/>
    <m/>
    <m/>
    <m/>
    <n v="15000"/>
    <n v="140"/>
    <n v="25"/>
    <m/>
    <m/>
    <m/>
    <m/>
    <n v="121"/>
    <m/>
    <n v="36"/>
    <n v="93"/>
    <m/>
    <n v="342"/>
    <m/>
    <m/>
    <n v="25"/>
    <n v="64"/>
    <m/>
    <n v="130"/>
    <n v="15"/>
    <m/>
    <m/>
    <n v="319"/>
    <n v="213"/>
    <n v="8"/>
    <m/>
    <n v="8"/>
    <m/>
    <m/>
    <m/>
    <n v="0"/>
    <m/>
    <m/>
    <n v="0"/>
    <n v="538"/>
    <n v="8622"/>
    <n v="4746"/>
    <n v="0"/>
    <n v="0.66858638779240787"/>
    <n v="10.714780363468664"/>
    <n v="5.8979758298564455"/>
    <n v="0"/>
    <n v="8.6990793950685041E-3"/>
    <n v="0.2038070029701764"/>
    <n v="0"/>
    <n v="0"/>
    <n v="0"/>
    <n v="0"/>
    <n v="18.640884418003939"/>
    <n v="0.17398158790137008"/>
    <n v="3.1068140696673231E-2"/>
    <n v="0"/>
    <n v="0"/>
    <n v="0"/>
    <n v="0"/>
    <n v="0.15036980097189842"/>
    <n v="0"/>
    <n v="4.4738122603209453E-2"/>
    <n v="0.11557348339162442"/>
    <n v="0"/>
    <n v="0.42501216473048981"/>
    <n v="0"/>
    <n v="0"/>
    <n v="7.9534440183483462E-2"/>
    <n v="0"/>
    <n v="0.1615543316227008"/>
    <n v="1.8640884418003937E-2"/>
    <n v="0"/>
    <n v="0"/>
    <n v="0.39642947528955041"/>
    <n v="0.2647005587356559"/>
    <n v="9.9418050229354328E-3"/>
    <n v="0"/>
    <n v="0"/>
    <n v="0"/>
    <n v="0"/>
    <n v="0"/>
    <n v="0"/>
    <n v="13368"/>
    <n v="16.612756193325108"/>
    <n v="13906"/>
    <n v="17.281342581117517"/>
    <n v="30616"/>
    <n v="0"/>
    <n v="0"/>
    <n v="0"/>
    <n v="0"/>
  </r>
  <r>
    <x v="8"/>
    <s v="Republic of Sierra Leone"/>
    <x v="35"/>
    <n v="256574.4"/>
    <n v="8233970.4999999991"/>
    <n v="32.091940973066677"/>
    <n v="15"/>
    <n v="193"/>
    <m/>
    <m/>
    <m/>
    <n v="22"/>
    <n v="13966"/>
    <n v="66"/>
    <n v="530"/>
    <m/>
    <m/>
    <m/>
    <n v="17"/>
    <n v="219"/>
    <m/>
    <m/>
    <n v="487"/>
    <m/>
    <m/>
    <n v="114"/>
    <m/>
    <n v="530"/>
    <m/>
    <m/>
    <n v="57"/>
    <n v="1"/>
    <m/>
    <m/>
    <n v="650"/>
    <n v="332"/>
    <n v="6"/>
    <m/>
    <n v="6"/>
    <m/>
    <m/>
    <m/>
    <n v="0"/>
    <m/>
    <m/>
    <n v="0"/>
    <n v="1152"/>
    <n v="2080"/>
    <n v="1278"/>
    <n v="2251"/>
    <n v="1.3990820103132506"/>
    <n v="2.5261202963989247"/>
    <n v="1.5521066051912624"/>
    <n v="2.7337965323047979"/>
    <n v="1.8217213675953785E-2"/>
    <n v="0.23439481596393869"/>
    <n v="0"/>
    <n v="0"/>
    <n v="0"/>
    <n v="2.6718580058065551E-2"/>
    <n v="16.961440413224704"/>
    <n v="8.0155740174196646E-2"/>
    <n v="0.6436748832170337"/>
    <n v="0"/>
    <n v="0"/>
    <n v="0"/>
    <n v="2.0646175499414287E-2"/>
    <n v="0.26597131966892523"/>
    <n v="0"/>
    <n v="0"/>
    <n v="0.59145220401263288"/>
    <n v="0"/>
    <n v="0"/>
    <n v="0.13845082393724875"/>
    <n v="0"/>
    <n v="0"/>
    <n v="0"/>
    <n v="6.9225411968624376E-2"/>
    <n v="1.2144809117302523E-3"/>
    <n v="0"/>
    <n v="0"/>
    <n v="0.78941259262466401"/>
    <n v="0.40320766269444375"/>
    <n v="7.286885470381514E-3"/>
    <n v="0"/>
    <n v="0"/>
    <n v="0"/>
    <n v="0"/>
    <n v="0"/>
    <n v="0"/>
    <n v="3358"/>
    <n v="4.0782269015901873"/>
    <n v="4510"/>
    <n v="5.4773089119034379"/>
    <n v="23972"/>
    <n v="0"/>
    <n v="78"/>
    <n v="0"/>
    <n v="0"/>
  </r>
  <r>
    <x v="9"/>
    <s v="Republic of Sierra Leone"/>
    <x v="35"/>
    <n v="258166.6"/>
    <n v="8420641.0000000037"/>
    <n v="32.6170813730358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"/>
    <n v="4740"/>
    <n v="120"/>
    <n v="790"/>
  </r>
  <r>
    <x v="10"/>
    <s v="Republic of Sierra Leone"/>
    <x v="35"/>
    <n v="259656.4"/>
    <n v="8605718.0000000056"/>
    <n v="33.142714756886427"/>
    <n v="6"/>
    <n v="89"/>
    <m/>
    <m/>
    <m/>
    <m/>
    <m/>
    <n v="126"/>
    <n v="13"/>
    <n v="100"/>
    <n v="14"/>
    <m/>
    <m/>
    <n v="163"/>
    <m/>
    <n v="38"/>
    <m/>
    <m/>
    <n v="298"/>
    <m/>
    <m/>
    <n v="13"/>
    <n v="195"/>
    <m/>
    <n v="261"/>
    <n v="2"/>
    <m/>
    <m/>
    <m/>
    <n v="88"/>
    <m/>
    <m/>
    <n v="0"/>
    <m/>
    <m/>
    <m/>
    <n v="0"/>
    <m/>
    <m/>
    <n v="0"/>
    <n v="753"/>
    <n v="14712"/>
    <n v="4542"/>
    <n v="0"/>
    <n v="0.87499962234411999"/>
    <n v="17.09561015129707"/>
    <n v="5.2778861682430183"/>
    <n v="0"/>
    <n v="6.9721085445746608E-3"/>
    <n v="0.10341961007785747"/>
    <n v="0"/>
    <n v="0"/>
    <n v="0"/>
    <n v="0"/>
    <n v="0"/>
    <n v="0.14641427943606788"/>
    <n v="1.5106235179911765E-2"/>
    <n v="0.11620180907624435"/>
    <n v="1.6268253270674209E-2"/>
    <n v="0"/>
    <n v="0"/>
    <n v="0.18940894879427828"/>
    <n v="0"/>
    <n v="4.4156687448972852E-2"/>
    <n v="0"/>
    <n v="0"/>
    <n v="0.34628139104720818"/>
    <n v="0"/>
    <n v="0"/>
    <n v="0.22659352769867647"/>
    <n v="0"/>
    <n v="0.30328672168899773"/>
    <n v="2.3240361815248869E-3"/>
    <n v="0"/>
    <n v="0"/>
    <n v="0"/>
    <n v="0.10225759198709503"/>
    <n v="0"/>
    <n v="0"/>
    <n v="0"/>
    <n v="0"/>
    <n v="0"/>
    <n v="0"/>
    <n v="0"/>
    <n v="19254"/>
    <n v="22.373496319540088"/>
    <n v="20007"/>
    <n v="23.248495941884208"/>
    <n v="21413"/>
    <n v="0"/>
    <n v="0"/>
    <n v="0"/>
    <n v="0"/>
  </r>
  <r>
    <x v="0"/>
    <s v="Republic of South Africa"/>
    <x v="36"/>
    <n v="1201525.5"/>
    <n v="53145033.000000007"/>
    <n v="44.231298461830406"/>
    <n v="5554"/>
    <n v="13642"/>
    <m/>
    <n v="61920"/>
    <n v="2285"/>
    <n v="1"/>
    <m/>
    <n v="4104"/>
    <m/>
    <m/>
    <m/>
    <m/>
    <m/>
    <n v="3255"/>
    <m/>
    <n v="8095"/>
    <m/>
    <m/>
    <n v="171"/>
    <n v="133"/>
    <m/>
    <n v="0"/>
    <m/>
    <m/>
    <m/>
    <n v="3453"/>
    <m/>
    <m/>
    <n v="90"/>
    <n v="7320"/>
    <m/>
    <n v="7791"/>
    <n v="7791"/>
    <m/>
    <m/>
    <m/>
    <n v="0"/>
    <m/>
    <m/>
    <n v="0"/>
    <n v="0"/>
    <n v="117444"/>
    <n v="0"/>
    <n v="0"/>
    <n v="0"/>
    <n v="22.098772617188889"/>
    <n v="0"/>
    <n v="0"/>
    <n v="1.0450647382230431"/>
    <n v="2.5669379112061135"/>
    <n v="0"/>
    <n v="11.651135864380777"/>
    <n v="0.42995551437516272"/>
    <n v="1.8816433889503838E-4"/>
    <n v="0"/>
    <n v="0.77222644682523756"/>
    <n v="0"/>
    <n v="0"/>
    <n v="0"/>
    <n v="0"/>
    <n v="0"/>
    <n v="0.61247492310334994"/>
    <n v="0"/>
    <n v="1.5231903233553357"/>
    <n v="0"/>
    <n v="0"/>
    <n v="3.2176101951051563E-2"/>
    <n v="2.5025857073040104E-2"/>
    <n v="0"/>
    <n v="0"/>
    <n v="0"/>
    <n v="0"/>
    <n v="0.64973146220456757"/>
    <n v="0"/>
    <n v="0"/>
    <n v="1.6934790500553455E-2"/>
    <n v="1.3773629607116811"/>
    <n v="0"/>
    <n v="1.4659883643312441"/>
    <n v="0"/>
    <n v="0"/>
    <n v="0"/>
    <n v="0"/>
    <n v="0"/>
    <n v="117444"/>
    <n v="22.098772617188889"/>
    <n v="117444"/>
    <n v="22.098772617188889"/>
    <n v="243049"/>
    <n v="0"/>
    <n v="0"/>
    <n v="0"/>
    <n v="0"/>
  </r>
  <r>
    <x v="1"/>
    <s v="Republic of South Africa"/>
    <x v="36"/>
    <n v="1214423.8999999999"/>
    <n v="53873616"/>
    <n v="44.361458960087994"/>
    <n v="5770"/>
    <m/>
    <m/>
    <n v="64876"/>
    <n v="2586"/>
    <n v="2"/>
    <m/>
    <n v="4625"/>
    <m/>
    <m/>
    <m/>
    <m/>
    <m/>
    <n v="3330"/>
    <m/>
    <n v="8476"/>
    <m/>
    <m/>
    <n v="273"/>
    <n v="144"/>
    <m/>
    <n v="0"/>
    <m/>
    <m/>
    <m/>
    <n v="3588"/>
    <m/>
    <m/>
    <n v="217"/>
    <m/>
    <m/>
    <n v="8185"/>
    <n v="8185"/>
    <m/>
    <m/>
    <m/>
    <n v="0"/>
    <m/>
    <m/>
    <n v="0"/>
    <n v="0"/>
    <n v="0"/>
    <n v="0"/>
    <n v="0"/>
    <n v="0"/>
    <n v="0"/>
    <n v="0"/>
    <n v="0"/>
    <n v="1.0710251934824646"/>
    <n v="0"/>
    <n v="0"/>
    <n v="12.042258310635766"/>
    <n v="0.48001233108243563"/>
    <n v="3.7123923517589762E-4"/>
    <n v="0"/>
    <n v="0.85849073134426324"/>
    <n v="0"/>
    <n v="0"/>
    <n v="0"/>
    <n v="0"/>
    <n v="0"/>
    <n v="0.61811332656786955"/>
    <n v="0"/>
    <n v="1.5733118786754541"/>
    <n v="0"/>
    <n v="0"/>
    <n v="5.0674155601510021E-2"/>
    <n v="2.6729224932664629E-2"/>
    <n v="0"/>
    <n v="0"/>
    <n v="0"/>
    <n v="0"/>
    <n v="0.66600318790556035"/>
    <n v="0"/>
    <n v="0"/>
    <n v="4.0279457016584891E-2"/>
    <n v="0"/>
    <n v="0"/>
    <n v="1.5192965699573608"/>
    <n v="0"/>
    <n v="0"/>
    <n v="0"/>
    <n v="0"/>
    <n v="0"/>
    <n v="0"/>
    <n v="0"/>
    <n v="0"/>
    <n v="0"/>
    <n v="110257"/>
    <n v="0"/>
    <n v="0"/>
    <n v="0"/>
    <n v="0"/>
  </r>
  <r>
    <x v="2"/>
    <s v="Republic of South Africa"/>
    <x v="36"/>
    <n v="1224226.8999999999"/>
    <n v="54729550.99999997"/>
    <n v="44.705398157808794"/>
    <n v="5817"/>
    <n v="14994"/>
    <m/>
    <n v="67335"/>
    <n v="2746"/>
    <n v="2"/>
    <m/>
    <n v="4687"/>
    <m/>
    <m/>
    <m/>
    <m/>
    <m/>
    <n v="3435"/>
    <m/>
    <n v="8924"/>
    <m/>
    <m/>
    <n v="326"/>
    <n v="145"/>
    <m/>
    <n v="0"/>
    <m/>
    <m/>
    <m/>
    <n v="3705"/>
    <m/>
    <m/>
    <n v="362"/>
    <n v="17491"/>
    <m/>
    <n v="8781"/>
    <n v="8781"/>
    <m/>
    <m/>
    <m/>
    <n v="0"/>
    <m/>
    <m/>
    <n v="0"/>
    <n v="5084"/>
    <n v="0"/>
    <n v="0"/>
    <n v="0"/>
    <n v="0.92893142865359934"/>
    <n v="0"/>
    <n v="0"/>
    <n v="0"/>
    <n v="1.0628627302277709"/>
    <n v="2.739653391273027"/>
    <n v="0"/>
    <n v="12.303225363570046"/>
    <n v="0.50173991012643271"/>
    <n v="3.6543329215326487E-4"/>
    <n v="0"/>
    <n v="0.8563929201611763"/>
    <n v="0"/>
    <n v="0"/>
    <n v="0"/>
    <n v="0"/>
    <n v="0"/>
    <n v="0.62763167927323249"/>
    <n v="0"/>
    <n v="1.630563349587868"/>
    <n v="0"/>
    <n v="0"/>
    <n v="5.9565626620982179E-2"/>
    <n v="2.6493913681111706E-2"/>
    <n v="0"/>
    <n v="0"/>
    <n v="0"/>
    <n v="0"/>
    <n v="0.67696517371392317"/>
    <n v="0"/>
    <n v="0"/>
    <n v="6.6143425879740952E-2"/>
    <n v="3.1958968565263781"/>
    <n v="0"/>
    <n v="1.6044348691989094"/>
    <n v="0"/>
    <n v="0"/>
    <n v="0"/>
    <n v="0"/>
    <n v="0"/>
    <n v="0"/>
    <n v="0"/>
    <n v="5084"/>
    <n v="0.92893142865359934"/>
    <n v="152615"/>
    <n v="0"/>
    <n v="0"/>
    <n v="0"/>
    <n v="0"/>
  </r>
  <r>
    <x v="3"/>
    <s v="Republic of South Africa"/>
    <x v="36"/>
    <n v="1224304.8999999999"/>
    <n v="55876503.999999993"/>
    <n v="45.639369735431096"/>
    <n v="5985"/>
    <n v="15784"/>
    <m/>
    <n v="69276"/>
    <n v="2913"/>
    <n v="2"/>
    <m/>
    <n v="4785"/>
    <m/>
    <m/>
    <m/>
    <m/>
    <m/>
    <n v="3518"/>
    <m/>
    <n v="9175"/>
    <m/>
    <m/>
    <n v="453"/>
    <n v="149"/>
    <m/>
    <n v="0"/>
    <m/>
    <m/>
    <m/>
    <n v="3783"/>
    <m/>
    <m/>
    <n v="474"/>
    <n v="18477"/>
    <m/>
    <n v="9289"/>
    <n v="9289"/>
    <m/>
    <m/>
    <m/>
    <n v="0"/>
    <m/>
    <m/>
    <n v="0"/>
    <n v="1143"/>
    <n v="0"/>
    <n v="0"/>
    <n v="0"/>
    <n v="0.20455825224856591"/>
    <n v="0"/>
    <n v="0"/>
    <n v="0"/>
    <n v="1.0711121082306798"/>
    <n v="2.8248009216897323"/>
    <n v="0"/>
    <n v="12.398055540482634"/>
    <n v="0.52132824916891729"/>
    <n v="3.5793219991000157E-4"/>
    <n v="0"/>
    <n v="0.85635278828467876"/>
    <n v="0"/>
    <n v="0"/>
    <n v="0"/>
    <n v="0"/>
    <n v="0"/>
    <n v="0.62960273964169278"/>
    <n v="0"/>
    <n v="1.6420139670871323"/>
    <n v="0"/>
    <n v="0"/>
    <n v="8.1071643279615357E-2"/>
    <n v="2.6665948893295117E-2"/>
    <n v="0"/>
    <n v="0"/>
    <n v="0"/>
    <n v="0"/>
    <n v="0.67702875612976798"/>
    <n v="0"/>
    <n v="0"/>
    <n v="8.482993137867037E-2"/>
    <n v="3.3067566288685497"/>
    <n v="0"/>
    <n v="1.6624161024820023"/>
    <n v="0"/>
    <n v="0"/>
    <n v="0"/>
    <n v="0"/>
    <n v="0"/>
    <n v="0"/>
    <n v="0"/>
    <n v="1143"/>
    <n v="0.20455825224856591"/>
    <n v="154495"/>
    <n v="0"/>
    <n v="0"/>
    <n v="0"/>
    <n v="0"/>
  </r>
  <r>
    <x v="4"/>
    <s v="Republic of South Africa"/>
    <x v="36"/>
    <n v="1193987.6000000001"/>
    <n v="56422273.499999985"/>
    <n v="47.255326185967071"/>
    <n v="6158"/>
    <n v="15267"/>
    <m/>
    <m/>
    <n v="3140"/>
    <n v="2"/>
    <m/>
    <n v="5484"/>
    <m/>
    <n v="3145"/>
    <n v="156"/>
    <m/>
    <m/>
    <n v="3642"/>
    <m/>
    <n v="8484"/>
    <m/>
    <m/>
    <n v="5377"/>
    <n v="4802"/>
    <m/>
    <n v="0"/>
    <m/>
    <m/>
    <n v="197"/>
    <n v="3725"/>
    <m/>
    <m/>
    <m/>
    <n v="21713"/>
    <n v="7199"/>
    <n v="252"/>
    <n v="7451"/>
    <n v="8190"/>
    <m/>
    <m/>
    <n v="0"/>
    <m/>
    <m/>
    <n v="0"/>
    <n v="87529"/>
    <n v="0"/>
    <n v="2568"/>
    <n v="0"/>
    <n v="15.513199764982888"/>
    <n v="0"/>
    <n v="0.45513940518543633"/>
    <n v="0"/>
    <n v="1.0914129505965409"/>
    <n v="2.7058463002204269"/>
    <n v="0"/>
    <n v="0"/>
    <n v="0.55651780852113319"/>
    <n v="3.5446994173320585E-4"/>
    <n v="0"/>
    <n v="0.97195658023245046"/>
    <n v="0"/>
    <n v="0.55740398337546626"/>
    <n v="2.7648655455190057E-2"/>
    <n v="0"/>
    <n v="0"/>
    <n v="0.64548976389616786"/>
    <n v="0"/>
    <n v="1.5036614928322594"/>
    <n v="0"/>
    <n v="0"/>
    <n v="0.95299243834972391"/>
    <n v="0.85108233010142731"/>
    <n v="0"/>
    <n v="0"/>
    <n v="0"/>
    <n v="3.491528926072078E-2"/>
    <n v="0.66020026647809593"/>
    <n v="0"/>
    <n v="0"/>
    <n v="0"/>
    <n v="3.8483029224265493"/>
    <n v="1.2759145552686746"/>
    <n v="4.4663212658383938E-2"/>
    <n v="1.4515544113974781"/>
    <n v="0"/>
    <n v="0"/>
    <n v="0"/>
    <n v="0"/>
    <n v="2568"/>
    <n v="0.45513940518543633"/>
    <n v="90097"/>
    <n v="15.968339170168324"/>
    <n v="194481"/>
    <n v="1090"/>
    <n v="2355"/>
    <n v="0"/>
    <n v="0"/>
  </r>
  <r>
    <x v="5"/>
    <s v="Republic of South Africa"/>
    <x v="36"/>
    <n v="1185951.8"/>
    <n v="56641209.500000007"/>
    <n v="47.760127772477773"/>
    <n v="6314"/>
    <m/>
    <m/>
    <m/>
    <n v="3323"/>
    <n v="2"/>
    <m/>
    <n v="6948"/>
    <n v="3330"/>
    <n v="3658"/>
    <n v="152"/>
    <m/>
    <m/>
    <n v="3730"/>
    <m/>
    <n v="8681"/>
    <m/>
    <m/>
    <n v="5525"/>
    <n v="5267"/>
    <m/>
    <n v="3330"/>
    <m/>
    <m/>
    <n v="219"/>
    <n v="3790"/>
    <m/>
    <m/>
    <n v="8919"/>
    <n v="11741"/>
    <n v="7476"/>
    <n v="228"/>
    <n v="7704"/>
    <n v="8453"/>
    <n v="12683"/>
    <n v="15011"/>
    <n v="27694"/>
    <m/>
    <n v="49732"/>
    <n v="49732"/>
    <n v="89306"/>
    <n v="0"/>
    <n v="0"/>
    <n v="0"/>
    <n v="15.766965569476405"/>
    <n v="0"/>
    <n v="0"/>
    <n v="0"/>
    <n v="1.1147360827455493"/>
    <n v="0"/>
    <n v="0"/>
    <n v="0"/>
    <n v="0.58667532514467224"/>
    <n v="3.5309980448069349E-4"/>
    <n v="0"/>
    <n v="1.226668720765929"/>
    <n v="0.58791117446035457"/>
    <n v="0.64581954239518835"/>
    <n v="2.6835585140532702E-2"/>
    <n v="0"/>
    <n v="0"/>
    <n v="0.65853113535649332"/>
    <n v="0"/>
    <n v="1.53262970134845"/>
    <n v="0"/>
    <n v="0"/>
    <n v="0.97543820987791574"/>
    <n v="0.9298883350999062"/>
    <n v="0"/>
    <n v="0"/>
    <n v="0"/>
    <n v="3.8664428590635937E-2"/>
    <n v="0.66912412949091415"/>
    <n v="0"/>
    <n v="0"/>
    <n v="1.5746485780816526"/>
    <n v="2.0728724022039109"/>
    <n v="1.3198870691488322"/>
    <n v="4.0253377710799058E-2"/>
    <n v="1.492376323637651"/>
    <n v="2.2391824101143176"/>
    <n v="2.6501905825298446"/>
    <n v="0"/>
    <n v="8.7801797382169244"/>
    <n v="0"/>
    <n v="0"/>
    <n v="89306"/>
    <n v="15.766965569476405"/>
    <n v="342948"/>
    <n v="0"/>
    <n v="0"/>
    <n v="0"/>
    <n v="0"/>
  </r>
  <r>
    <x v="6"/>
    <s v="Republic of South Africa"/>
    <x v="36"/>
    <n v="1221592.2"/>
    <n v="57339635.000000015"/>
    <n v="46.938442305050749"/>
    <n v="6433"/>
    <m/>
    <m/>
    <m/>
    <n v="3512"/>
    <n v="2"/>
    <n v="54180"/>
    <m/>
    <m/>
    <n v="3422"/>
    <n v="150"/>
    <m/>
    <m/>
    <n v="3831"/>
    <m/>
    <n v="8878"/>
    <m/>
    <m/>
    <n v="5731"/>
    <n v="5455"/>
    <m/>
    <n v="0"/>
    <m/>
    <m/>
    <n v="230"/>
    <n v="3848"/>
    <m/>
    <m/>
    <m/>
    <m/>
    <n v="7705"/>
    <n v="217"/>
    <n v="7922"/>
    <n v="8565"/>
    <m/>
    <m/>
    <n v="0"/>
    <m/>
    <m/>
    <n v="0"/>
    <n v="87006"/>
    <n v="141104"/>
    <n v="0"/>
    <n v="0"/>
    <n v="15.173797321869937"/>
    <n v="24.608458006403417"/>
    <n v="0"/>
    <n v="0"/>
    <n v="1.1219115712892136"/>
    <n v="0"/>
    <n v="0"/>
    <n v="0"/>
    <n v="0.61249081895969504"/>
    <n v="3.4879887184492882E-4"/>
    <n v="9.448961438279122"/>
    <n v="0"/>
    <n v="0"/>
    <n v="0.59679486972667317"/>
    <n v="2.6159915388369662E-2"/>
    <n v="0"/>
    <n v="0"/>
    <n v="0.66812423901896112"/>
    <n v="0"/>
    <n v="1.5483181921196389"/>
    <n v="0"/>
    <n v="0"/>
    <n v="0.99948316727164355"/>
    <n v="0.95134892295704332"/>
    <n v="0"/>
    <n v="0"/>
    <n v="0"/>
    <n v="4.0111870262166817E-2"/>
    <n v="0.67108902942964299"/>
    <n v="0"/>
    <n v="0"/>
    <n v="0"/>
    <n v="0"/>
    <n v="1.3437476537825883"/>
    <n v="3.7844677595174778E-2"/>
    <n v="1.4937311686759076"/>
    <n v="0"/>
    <n v="0"/>
    <n v="0"/>
    <n v="0"/>
    <n v="141104"/>
    <n v="24.608458006403417"/>
    <n v="228110"/>
    <n v="39.782255328273358"/>
    <n v="348191"/>
    <n v="0"/>
    <n v="0"/>
    <n v="0"/>
    <n v="0"/>
  </r>
  <r>
    <x v="7"/>
    <s v="Republic of South Africa"/>
    <x v="36"/>
    <n v="1253306.6000000001"/>
    <n v="58087054.999999985"/>
    <n v="46.347043093844697"/>
    <n v="6365"/>
    <m/>
    <m/>
    <m/>
    <n v="3676"/>
    <n v="2"/>
    <m/>
    <m/>
    <m/>
    <n v="3555"/>
    <n v="140"/>
    <m/>
    <m/>
    <n v="3881"/>
    <m/>
    <m/>
    <m/>
    <m/>
    <m/>
    <n v="9939"/>
    <m/>
    <n v="0"/>
    <m/>
    <m/>
    <n v="226"/>
    <n v="3830"/>
    <m/>
    <m/>
    <m/>
    <m/>
    <n v="7908"/>
    <n v="202"/>
    <n v="8110"/>
    <n v="8742"/>
    <m/>
    <m/>
    <n v="0"/>
    <m/>
    <m/>
    <n v="0"/>
    <n v="92786"/>
    <n v="129276"/>
    <n v="0"/>
    <n v="0"/>
    <n v="15.973610643541839"/>
    <n v="22.255561071223191"/>
    <n v="0"/>
    <n v="0"/>
    <n v="1.095769100361518"/>
    <n v="0"/>
    <n v="0"/>
    <n v="0"/>
    <n v="0.63284323848058766"/>
    <n v="3.4431079351500958E-4"/>
    <n v="0"/>
    <n v="0"/>
    <n v="0"/>
    <n v="0.61201243547292949"/>
    <n v="2.4101755546050672E-2"/>
    <n v="0"/>
    <n v="0"/>
    <n v="0.66813509481587607"/>
    <n v="0"/>
    <n v="0"/>
    <n v="0"/>
    <n v="0"/>
    <n v="0"/>
    <n v="1.7110524883728402"/>
    <n v="0"/>
    <n v="0"/>
    <n v="0"/>
    <n v="3.890711966719608E-2"/>
    <n v="0.65935516958124341"/>
    <n v="0"/>
    <n v="0"/>
    <n v="0"/>
    <n v="0"/>
    <n v="1.3614048775583478"/>
    <n v="3.4775390145015968E-2"/>
    <n v="1.5049824784541068"/>
    <n v="0"/>
    <n v="0"/>
    <n v="0"/>
    <n v="0"/>
    <n v="129276"/>
    <n v="22.255561071223191"/>
    <n v="222062"/>
    <n v="38.22917171476503"/>
    <n v="278638"/>
    <n v="0"/>
    <n v="0"/>
    <n v="0"/>
    <n v="0"/>
  </r>
  <r>
    <x v="8"/>
    <s v="Republic of South Africa"/>
    <x v="36"/>
    <n v="1247502"/>
    <n v="58801926.500000022"/>
    <n v="47.1357372573350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22056"/>
    <n v="0"/>
    <n v="0"/>
    <n v="0"/>
    <n v="20.757143050406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056"/>
    <n v="20.757143050406683"/>
    <n v="122056"/>
    <n v="20.757143050406683"/>
    <n v="122056"/>
    <n v="0"/>
    <n v="0"/>
    <n v="0"/>
    <n v="0"/>
  </r>
  <r>
    <x v="9"/>
    <s v="Republic of South Africa"/>
    <x v="36"/>
    <n v="1219311.2"/>
    <n v="59392255"/>
    <n v="48.709677234163024"/>
    <n v="6586"/>
    <m/>
    <m/>
    <n v="41029"/>
    <n v="4037"/>
    <n v="1"/>
    <m/>
    <n v="6165"/>
    <m/>
    <n v="3822"/>
    <n v="135"/>
    <m/>
    <n v="549"/>
    <n v="4196"/>
    <m/>
    <n v="9281"/>
    <m/>
    <m/>
    <n v="6353"/>
    <n v="6166"/>
    <m/>
    <n v="0"/>
    <m/>
    <m/>
    <n v="216"/>
    <n v="4012"/>
    <m/>
    <m/>
    <n v="3870"/>
    <m/>
    <n v="8345"/>
    <n v="164"/>
    <n v="8509"/>
    <n v="9125"/>
    <m/>
    <m/>
    <n v="0"/>
    <m/>
    <m/>
    <n v="0"/>
    <n v="99093"/>
    <n v="0"/>
    <n v="0"/>
    <n v="0"/>
    <n v="16.684498677479077"/>
    <n v="0"/>
    <n v="0"/>
    <n v="0"/>
    <n v="1.108898794969142"/>
    <n v="0"/>
    <n v="0"/>
    <n v="6.9081397902807362"/>
    <n v="0.67971825619350534"/>
    <n v="1.683721219206107E-4"/>
    <n v="0"/>
    <n v="1.0380141316405649"/>
    <n v="0"/>
    <n v="0.64351824998057405"/>
    <n v="2.2730236459282443E-2"/>
    <n v="0"/>
    <n v="9.243629493441527E-2"/>
    <n v="0.70648942357888245"/>
    <n v="0"/>
    <n v="1.5626616635451878"/>
    <n v="0"/>
    <n v="0"/>
    <n v="1.0696680905616398"/>
    <n v="1.0381825037624854"/>
    <n v="0"/>
    <n v="0"/>
    <n v="0"/>
    <n v="3.636837833485191E-2"/>
    <n v="0.67550895314549009"/>
    <n v="0"/>
    <n v="0"/>
    <n v="0.65160011183276334"/>
    <n v="0"/>
    <n v="1.4050653574274963"/>
    <n v="2.7613027994980152E-2"/>
    <n v="1.5363956125255727"/>
    <n v="0"/>
    <n v="0"/>
    <n v="0"/>
    <n v="0"/>
    <n v="0"/>
    <n v="0"/>
    <n v="99093"/>
    <n v="16.684498677479077"/>
    <n v="221654"/>
    <n v="366"/>
    <n v="494"/>
    <n v="0"/>
    <n v="0"/>
  </r>
  <r>
    <x v="10"/>
    <s v="Republic of South Africa"/>
    <x v="36"/>
    <n v="1197906.7"/>
    <n v="59893885.5"/>
    <n v="49.998789972541267"/>
    <n v="1348"/>
    <n v="3609"/>
    <n v="33735"/>
    <n v="2025"/>
    <n v="586"/>
    <n v="53"/>
    <n v="63290"/>
    <n v="1550"/>
    <n v="54"/>
    <n v="1549"/>
    <n v="2"/>
    <n v="339"/>
    <m/>
    <n v="1168"/>
    <m/>
    <m/>
    <n v="26692"/>
    <m/>
    <m/>
    <n v="13"/>
    <n v="275"/>
    <n v="329"/>
    <m/>
    <m/>
    <n v="643"/>
    <n v="255"/>
    <n v="15459"/>
    <m/>
    <n v="20327"/>
    <m/>
    <n v="1446"/>
    <n v="109"/>
    <n v="1555"/>
    <n v="723"/>
    <n v="6656"/>
    <n v="9098"/>
    <n v="15754"/>
    <m/>
    <n v="9"/>
    <n v="9"/>
    <n v="0"/>
    <n v="0"/>
    <n v="0"/>
    <n v="2857"/>
    <n v="0"/>
    <n v="0"/>
    <n v="0"/>
    <n v="0.47701029514941051"/>
    <n v="0.22506471048701623"/>
    <n v="0.60256568260210808"/>
    <n v="5.6324614304744012"/>
    <n v="0.33809795158472394"/>
    <n v="9.783970352032012E-2"/>
    <n v="8.8489834241927759E-3"/>
    <n v="10.567021904097372"/>
    <n v="0.25879102466978871"/>
    <n v="9.0159453755926395E-3"/>
    <n v="0.25862406271838884"/>
    <n v="3.3392390279972736E-4"/>
    <n v="5.6600101524553789E-2"/>
    <n v="0"/>
    <n v="0.19501155923504077"/>
    <n v="0"/>
    <n v="0"/>
    <n v="4.4565484067651617"/>
    <n v="0"/>
    <n v="0"/>
    <n v="2.1705053681982276E-3"/>
    <n v="4.5914536634962512E-2"/>
    <n v="0"/>
    <n v="0"/>
    <n v="0.10735653475011235"/>
    <n v="4.257529760696524E-2"/>
    <n v="2.5810648066904927"/>
    <n v="0"/>
    <n v="3.3938355861050291"/>
    <n v="0"/>
    <n v="0.24142698172420288"/>
    <n v="1.8198852702585141E-2"/>
    <n v="0.12071349086210144"/>
    <n v="1.1112987485174926"/>
    <n v="1.5190198338359597"/>
    <n v="0"/>
    <n v="1.502657562598773E-3"/>
    <n v="0"/>
    <n v="0"/>
    <n v="0"/>
    <n v="0"/>
    <n v="211517"/>
    <n v="0"/>
    <n v="0"/>
    <n v="0"/>
    <n v="0"/>
  </r>
  <r>
    <x v="0"/>
    <s v="Republic of South Sudan"/>
    <x v="37"/>
    <n v="408449.5"/>
    <n v="10701604.500000004"/>
    <n v="26.2005572292290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0"/>
    <n v="0"/>
    <n v="0"/>
  </r>
  <r>
    <x v="1"/>
    <s v="Republic of South Sudan"/>
    <x v="37"/>
    <n v="420676"/>
    <n v="11106031.000000004"/>
    <n v="26.4004388175222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2"/>
    <n v="0"/>
    <n v="0"/>
    <n v="0"/>
    <n v="2.88131736711341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.881317367113417E-2"/>
    <n v="32"/>
    <n v="0"/>
    <n v="0"/>
    <n v="0"/>
    <n v="0"/>
  </r>
  <r>
    <x v="2"/>
    <s v="Republic of South Sudan"/>
    <x v="37"/>
    <n v="423842.2"/>
    <n v="11213284.499999998"/>
    <n v="26.4562719332808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Republic of South Sudan"/>
    <x v="37"/>
    <n v="409891.2"/>
    <n v="11194299.499999998"/>
    <n v="27.3104167642535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South Sudan"/>
    <x v="37"/>
    <n v="389229.6"/>
    <n v="11066105"/>
    <n v="28.43078995019906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Republic of South Sudan"/>
    <x v="37"/>
    <n v="360673.9"/>
    <n v="10658225.499999994"/>
    <n v="29.55086436806210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"/>
    <n v="0"/>
    <n v="0"/>
    <n v="0"/>
    <n v="9.382424869881018E-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9.382424869881018E-4"/>
    <n v="1"/>
    <n v="10504"/>
    <n v="32485"/>
    <n v="0"/>
    <n v="3435"/>
  </r>
  <r>
    <x v="6"/>
    <s v="Republic of South Sudan"/>
    <x v="37"/>
    <n v="323958.40000000002"/>
    <n v="10395329.5"/>
    <n v="32.088470309768162"/>
    <n v="32"/>
    <n v="360"/>
    <m/>
    <m/>
    <m/>
    <m/>
    <n v="1455"/>
    <n v="22"/>
    <n v="2"/>
    <m/>
    <m/>
    <m/>
    <m/>
    <m/>
    <m/>
    <m/>
    <m/>
    <m/>
    <m/>
    <n v="272"/>
    <m/>
    <n v="2"/>
    <m/>
    <m/>
    <m/>
    <m/>
    <m/>
    <m/>
    <m/>
    <m/>
    <m/>
    <m/>
    <n v="0"/>
    <m/>
    <m/>
    <m/>
    <n v="0"/>
    <m/>
    <m/>
    <n v="0"/>
    <n v="822"/>
    <n v="7452"/>
    <n v="0"/>
    <n v="0"/>
    <n v="0.79073972595096675"/>
    <n v="7.1686039389131437"/>
    <n v="0"/>
    <n v="0"/>
    <n v="3.0783055024855153E-2"/>
    <n v="0.34630936902962045"/>
    <n v="0"/>
    <n v="0"/>
    <n v="0"/>
    <n v="0"/>
    <n v="1.3996670331613827"/>
    <n v="2.1163350329587917E-2"/>
    <n v="1.923940939053447E-3"/>
    <n v="0"/>
    <n v="0"/>
    <n v="0"/>
    <n v="0"/>
    <n v="0"/>
    <n v="0"/>
    <n v="0"/>
    <n v="0"/>
    <n v="0"/>
    <n v="0"/>
    <n v="0.26165596771126881"/>
    <n v="0"/>
    <n v="0"/>
    <n v="0"/>
    <n v="0"/>
    <n v="0"/>
    <n v="0"/>
    <n v="0"/>
    <n v="0"/>
    <n v="0"/>
    <n v="0"/>
    <n v="0"/>
    <n v="0"/>
    <n v="0"/>
    <n v="0"/>
    <n v="0"/>
    <n v="0"/>
    <n v="7452"/>
    <n v="7.1686039389131437"/>
    <n v="8274"/>
    <n v="7.95934366486411"/>
    <n v="10419"/>
    <n v="0"/>
    <n v="0"/>
    <n v="0"/>
    <n v="0"/>
  </r>
  <r>
    <x v="7"/>
    <s v="Republic of South Sudan"/>
    <x v="37"/>
    <n v="303184.59999999998"/>
    <n v="10447665.999999998"/>
    <n v="34.459751583688615"/>
    <n v="20"/>
    <n v="98"/>
    <m/>
    <m/>
    <n v="0"/>
    <n v="9"/>
    <n v="850"/>
    <n v="96"/>
    <m/>
    <m/>
    <m/>
    <m/>
    <m/>
    <n v="8"/>
    <m/>
    <n v="13"/>
    <m/>
    <m/>
    <m/>
    <n v="485"/>
    <m/>
    <n v="0"/>
    <n v="850"/>
    <m/>
    <n v="168"/>
    <n v="13"/>
    <m/>
    <m/>
    <n v="580"/>
    <n v="253"/>
    <n v="11"/>
    <m/>
    <n v="11"/>
    <m/>
    <m/>
    <m/>
    <n v="0"/>
    <n v="0"/>
    <n v="0"/>
    <n v="0"/>
    <n v="747"/>
    <n v="7428"/>
    <n v="4760"/>
    <n v="5870"/>
    <n v="0.71499222888633707"/>
    <n v="7.1097219225806043"/>
    <n v="4.5560415120468063"/>
    <n v="5.6184797638056203"/>
    <n v="1.9143031563221877E-2"/>
    <n v="9.3800854659787186E-2"/>
    <n v="0"/>
    <n v="0"/>
    <n v="0"/>
    <n v="8.6143642034498431E-3"/>
    <n v="0.81357884143692971"/>
    <n v="9.1886551503465003E-2"/>
    <n v="0"/>
    <n v="0"/>
    <n v="0"/>
    <n v="0"/>
    <n v="0"/>
    <n v="7.6572126252887496E-3"/>
    <n v="0"/>
    <n v="1.2442970516094219E-2"/>
    <n v="0"/>
    <n v="0"/>
    <n v="0"/>
    <n v="0.46421851540813047"/>
    <n v="0"/>
    <n v="0.81357884143692971"/>
    <n v="0"/>
    <n v="0.16080146513106375"/>
    <n v="1.2442970516094219E-2"/>
    <n v="0"/>
    <n v="0"/>
    <n v="0.55514791533343433"/>
    <n v="0.24215934927475671"/>
    <n v="1.0528667359772032E-2"/>
    <n v="0"/>
    <n v="0"/>
    <n v="0"/>
    <n v="0"/>
    <n v="0"/>
    <n v="0"/>
    <n v="12188"/>
    <n v="11.665763434627411"/>
    <n v="12935"/>
    <n v="12.380755663513748"/>
    <n v="22270"/>
    <n v="0"/>
    <n v="0"/>
    <n v="0"/>
    <n v="0"/>
  </r>
  <r>
    <x v="8"/>
    <s v="Republic of South Sudan"/>
    <x v="37"/>
    <n v="301708.79999999999"/>
    <n v="10606227.000000002"/>
    <n v="35.153853649611818"/>
    <n v="28"/>
    <n v="139"/>
    <m/>
    <m/>
    <m/>
    <n v="7"/>
    <n v="2826"/>
    <n v="128"/>
    <m/>
    <m/>
    <n v="10"/>
    <m/>
    <m/>
    <n v="10"/>
    <m/>
    <n v="16"/>
    <m/>
    <m/>
    <m/>
    <n v="635"/>
    <m/>
    <n v="0"/>
    <n v="1006"/>
    <m/>
    <n v="197"/>
    <n v="24"/>
    <m/>
    <m/>
    <n v="623"/>
    <n v="291"/>
    <m/>
    <n v="17"/>
    <n v="17"/>
    <m/>
    <m/>
    <m/>
    <n v="0"/>
    <m/>
    <m/>
    <n v="0"/>
    <n v="995"/>
    <n v="9060"/>
    <n v="6040"/>
    <n v="0"/>
    <n v="0.93812813925253513"/>
    <n v="8.5421517001286116"/>
    <n v="5.6947678000857413"/>
    <n v="0"/>
    <n v="2.6399585828212044E-2"/>
    <n v="0.13105508679005265"/>
    <n v="0"/>
    <n v="0"/>
    <n v="0"/>
    <n v="6.599896457053011E-3"/>
    <n v="2.6644724839474012"/>
    <n v="0.12068382092896934"/>
    <n v="0"/>
    <n v="0"/>
    <n v="9.4284235100757299E-3"/>
    <n v="0"/>
    <n v="0"/>
    <n v="9.4284235100757299E-3"/>
    <n v="0"/>
    <n v="1.5085477616121168E-2"/>
    <n v="0"/>
    <n v="0"/>
    <n v="0"/>
    <n v="0.59870489288980888"/>
    <n v="0"/>
    <n v="0.94849940511361841"/>
    <n v="0"/>
    <n v="0.18573994314849188"/>
    <n v="2.2628216424181752E-2"/>
    <n v="0"/>
    <n v="0"/>
    <n v="0.58739078467771799"/>
    <n v="0.27436712414320374"/>
    <n v="0"/>
    <n v="1.6028319967128741E-2"/>
    <n v="0"/>
    <n v="0"/>
    <n v="0"/>
    <n v="0"/>
    <n v="0"/>
    <n v="15100"/>
    <n v="14.236919500214352"/>
    <n v="16095"/>
    <n v="15.175047639466888"/>
    <n v="22069"/>
    <n v="21"/>
    <n v="0"/>
    <n v="0"/>
    <n v="0"/>
  </r>
  <r>
    <x v="9"/>
    <s v="Republic of South Sudan"/>
    <x v="37"/>
    <n v="306239.5"/>
    <n v="10748272.499999998"/>
    <n v="35.0976033464004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South Sudan"/>
    <x v="37"/>
    <n v="309372.40000000002"/>
    <n v="10913163.5"/>
    <n v="35.2751683731321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Republic of the Congo"/>
    <x v="38"/>
    <n v="174681.1"/>
    <n v="4713256.5000000028"/>
    <n v="26.9820633142337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8"/>
    <n v="704"/>
    <n v="819"/>
    <n v="4104"/>
  </r>
  <r>
    <x v="1"/>
    <s v="Republic of the Congo"/>
    <x v="38"/>
    <n v="175389.3"/>
    <n v="4828066.5000000028"/>
    <n v="27.52771406237440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6578"/>
    <n v="2564"/>
    <n v="0"/>
    <n v="0"/>
    <n v="13.624501650919672"/>
    <n v="5.31061450789875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42"/>
    <n v="18.935116158818431"/>
    <n v="9142"/>
    <n v="18.935116158818431"/>
    <n v="9142"/>
    <n v="0"/>
    <n v="0"/>
    <n v="0"/>
    <n v="0"/>
  </r>
  <r>
    <x v="2"/>
    <s v="Republic of the Congo"/>
    <x v="38"/>
    <n v="175074.6"/>
    <n v="4944861.5000000019"/>
    <n v="28.2443112821620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6916"/>
    <n v="0"/>
    <n v="0"/>
    <n v="0"/>
    <n v="13.986236014901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16"/>
    <n v="13.986236014901523"/>
    <n v="6916"/>
    <n v="13.986236014901523"/>
    <n v="6916"/>
    <n v="0"/>
    <n v="0"/>
    <n v="0"/>
    <n v="0"/>
  </r>
  <r>
    <x v="3"/>
    <s v="Republic of the Congo"/>
    <x v="38"/>
    <n v="174962.3"/>
    <n v="5064386.0000000019"/>
    <n v="28.94558427729860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704"/>
    <n v="0"/>
    <n v="0"/>
    <n v="0"/>
    <n v="15.2121106092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4"/>
    <n v="15.2121106092624"/>
    <n v="7704"/>
    <n v="15.2121106092624"/>
    <n v="7704"/>
    <n v="0"/>
    <n v="0"/>
    <n v="0"/>
    <n v="0"/>
  </r>
  <r>
    <x v="4"/>
    <s v="Republic of the Congo"/>
    <x v="38"/>
    <n v="174800"/>
    <n v="5186823.4999999981"/>
    <n v="29.672903318077793"/>
    <n v="27"/>
    <n v="73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n v="67"/>
    <m/>
    <m/>
    <n v="0"/>
    <m/>
    <m/>
    <n v="0"/>
    <n v="1060"/>
    <n v="7434"/>
    <n v="1842"/>
    <n v="565"/>
    <n v="2.0436400043302041"/>
    <n v="14.332471502066733"/>
    <n v="3.5513064980907885"/>
    <n v="1.0892986815533634"/>
    <n v="5.2054981242373122E-2"/>
    <n v="0.14074124558123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2917347197181478"/>
    <n v="0"/>
    <n v="0"/>
    <n v="0"/>
    <n v="0"/>
    <n v="9276"/>
    <n v="17.88377800015752"/>
    <n v="10336"/>
    <n v="19.927418004487723"/>
    <n v="11068"/>
    <n v="1037"/>
    <n v="1839"/>
    <n v="0"/>
    <n v="2324"/>
  </r>
  <r>
    <x v="5"/>
    <s v="Republic of the Congo"/>
    <x v="38"/>
    <n v="175040.4"/>
    <n v="5312339.5000000009"/>
    <n v="30.3492193802116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n v="0"/>
    <n v="0"/>
  </r>
  <r>
    <x v="6"/>
    <s v="Republic of the Congo"/>
    <x v="38"/>
    <n v="175834.5"/>
    <n v="5441061.9999999972"/>
    <n v="30.944223118898723"/>
    <n v="27"/>
    <n v="157"/>
    <m/>
    <m/>
    <m/>
    <m/>
    <m/>
    <m/>
    <m/>
    <m/>
    <m/>
    <m/>
    <m/>
    <m/>
    <m/>
    <m/>
    <m/>
    <m/>
    <m/>
    <n v="320"/>
    <m/>
    <n v="0"/>
    <m/>
    <m/>
    <m/>
    <m/>
    <m/>
    <m/>
    <m/>
    <m/>
    <m/>
    <m/>
    <n v="0"/>
    <m/>
    <m/>
    <m/>
    <n v="0"/>
    <m/>
    <m/>
    <n v="0"/>
    <n v="1088"/>
    <n v="10162"/>
    <n v="0"/>
    <n v="0"/>
    <n v="1.9996096350308092"/>
    <n v="18.676501021307981"/>
    <n v="0"/>
    <n v="0"/>
    <n v="4.9622665575213103E-2"/>
    <n v="0.28854661093735023"/>
    <n v="0"/>
    <n v="0"/>
    <n v="0"/>
    <n v="0"/>
    <n v="0"/>
    <n v="0"/>
    <n v="0"/>
    <n v="0"/>
    <n v="0"/>
    <n v="0"/>
    <n v="0"/>
    <n v="0"/>
    <n v="0"/>
    <n v="0"/>
    <n v="0"/>
    <n v="0"/>
    <n v="0"/>
    <n v="0.58812048089141455"/>
    <n v="0"/>
    <n v="0"/>
    <n v="0"/>
    <n v="0"/>
    <n v="0"/>
    <n v="0"/>
    <n v="0"/>
    <n v="0"/>
    <n v="0"/>
    <n v="0"/>
    <n v="0"/>
    <n v="0"/>
    <n v="0"/>
    <n v="0"/>
    <n v="0"/>
    <n v="0"/>
    <n v="10162"/>
    <n v="18.676501021307981"/>
    <n v="11250"/>
    <n v="20.676110656338793"/>
    <n v="11754"/>
    <n v="0"/>
    <n v="0"/>
    <n v="0"/>
    <n v="0"/>
  </r>
  <r>
    <x v="7"/>
    <s v="Republic of the Congo"/>
    <x v="38"/>
    <n v="176455.7"/>
    <n v="5570732.4999999953"/>
    <n v="31.5701476347887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Republic of the Congo"/>
    <x v="38"/>
    <n v="177536.2"/>
    <n v="5702174"/>
    <n v="32.11837360493240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"/>
    <n v="582"/>
    <n v="0"/>
  </r>
  <r>
    <x v="9"/>
    <s v="Republic of the Congo"/>
    <x v="38"/>
    <n v="179200.3"/>
    <n v="5835806.0000000009"/>
    <n v="32.5658271777446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the Congo"/>
    <x v="38"/>
    <n v="180285.9"/>
    <n v="5970424.0000000009"/>
    <n v="33.116422304794781"/>
    <n v="9"/>
    <n v="28"/>
    <n v="2442"/>
    <m/>
    <m/>
    <m/>
    <m/>
    <m/>
    <m/>
    <m/>
    <m/>
    <m/>
    <m/>
    <m/>
    <m/>
    <m/>
    <m/>
    <m/>
    <n v="777"/>
    <m/>
    <m/>
    <n v="0"/>
    <m/>
    <m/>
    <m/>
    <m/>
    <m/>
    <m/>
    <m/>
    <n v="80"/>
    <m/>
    <m/>
    <n v="0"/>
    <m/>
    <m/>
    <m/>
    <n v="0"/>
    <m/>
    <m/>
    <n v="0"/>
    <n v="2339"/>
    <n v="11146"/>
    <n v="1814"/>
    <n v="0"/>
    <n v="3.9176447099904457"/>
    <n v="18.668690866846305"/>
    <n v="3.0383101769656555"/>
    <n v="0"/>
    <n v="1.5074306280424972E-2"/>
    <n v="4.689784176132214E-2"/>
    <n v="4.0901617707553095"/>
    <n v="0"/>
    <n v="0"/>
    <n v="0"/>
    <n v="0"/>
    <n v="0"/>
    <n v="0"/>
    <n v="0"/>
    <n v="0"/>
    <n v="0"/>
    <n v="0"/>
    <n v="0"/>
    <n v="0"/>
    <n v="0"/>
    <n v="0"/>
    <n v="0"/>
    <n v="1.3014151088766892"/>
    <n v="0"/>
    <n v="0"/>
    <n v="0"/>
    <n v="0"/>
    <n v="0"/>
    <n v="0"/>
    <n v="0"/>
    <n v="0"/>
    <n v="0"/>
    <n v="0.13399383360377753"/>
    <n v="0"/>
    <n v="0"/>
    <n v="0"/>
    <n v="0"/>
    <n v="0"/>
    <n v="0"/>
    <n v="0"/>
    <n v="12960"/>
    <n v="21.70700104381196"/>
    <n v="15299"/>
    <n v="25.624645753802405"/>
    <n v="18635"/>
    <n v="0"/>
    <n v="0"/>
    <n v="0"/>
    <n v="0"/>
  </r>
  <r>
    <x v="0"/>
    <s v="Republic of the Niger"/>
    <x v="39"/>
    <n v="819636.9"/>
    <n v="17954407.000000004"/>
    <n v="21.905318074381476"/>
    <m/>
    <n v="53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904"/>
    <n v="0"/>
    <n v="1788"/>
    <n v="0"/>
    <n v="1.060463873855594"/>
    <n v="0"/>
    <n v="0.99585578070052638"/>
    <n v="0"/>
    <n v="0"/>
    <n v="2.951921497602231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8"/>
    <n v="0.99585578070052638"/>
    <n v="3692"/>
    <n v="2.0563196545561206"/>
    <n v="3745"/>
    <n v="0"/>
    <n v="0"/>
    <n v="0"/>
    <n v="0"/>
  </r>
  <r>
    <x v="1"/>
    <s v="Republic of the Niger"/>
    <x v="39"/>
    <n v="845295.7"/>
    <n v="18653199"/>
    <n v="22.067069547378509"/>
    <n v="30"/>
    <n v="51"/>
    <m/>
    <m/>
    <m/>
    <m/>
    <n v="656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92"/>
    <n v="6578"/>
    <n v="1672"/>
    <n v="0"/>
    <n v="1.0143032302394888"/>
    <n v="3.5264728586233387"/>
    <n v="0.89636099416512949"/>
    <n v="0"/>
    <n v="1.6083032191958065E-2"/>
    <n v="2.7341154726328712E-2"/>
    <n v="0"/>
    <n v="0"/>
    <n v="0"/>
    <n v="0"/>
    <n v="3.5168230393081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50"/>
    <n v="4.4228338527884681"/>
    <n v="10142"/>
    <n v="5.4371370830279568"/>
    <n v="16783"/>
    <n v="0"/>
    <n v="0"/>
    <n v="0"/>
    <n v="0"/>
  </r>
  <r>
    <x v="2"/>
    <s v="Republic of the Niger"/>
    <x v="39"/>
    <n v="873411.1"/>
    <n v="19372013.999999993"/>
    <n v="22.179720408865876"/>
    <n v="21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19"/>
    <n v="9880"/>
    <n v="1918"/>
    <n v="0"/>
    <n v="0.57763741033843996"/>
    <n v="5.1001408526754126"/>
    <n v="0.99008807241208929"/>
    <n v="0"/>
    <n v="1.08403803548768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8"/>
    <n v="6.0902289250875024"/>
    <n v="12917"/>
    <n v="6.6678663354259422"/>
    <n v="12938"/>
    <n v="0"/>
    <n v="0"/>
    <n v="0"/>
    <n v="0"/>
  </r>
  <r>
    <x v="3"/>
    <s v="Republic of the Niger"/>
    <x v="39"/>
    <n v="903031.3"/>
    <n v="20128123.999999989"/>
    <n v="22.289508680374631"/>
    <n v="30"/>
    <n v="5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68"/>
    <n v="6506"/>
    <n v="1648"/>
    <n v="0"/>
    <n v="0.62996432255683676"/>
    <n v="3.2322932827719084"/>
    <n v="0.81875489240825472"/>
    <n v="0"/>
    <n v="1.4904518672480365E-2"/>
    <n v="2.484086445413393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54"/>
    <n v="4.0510481751801635"/>
    <n v="9422"/>
    <n v="4.681012497737"/>
    <n v="9502"/>
    <n v="0"/>
    <n v="0"/>
    <n v="0"/>
    <n v="0"/>
  </r>
  <r>
    <x v="4"/>
    <s v="Republic of the Niger"/>
    <x v="39"/>
    <n v="937299.4"/>
    <n v="20921743.000000011"/>
    <n v="22.321302030066391"/>
    <n v="18"/>
    <n v="2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62"/>
    <n v="9492"/>
    <n v="1712"/>
    <n v="0"/>
    <n v="0.65099738582966016"/>
    <n v="4.5369068915529622"/>
    <n v="0.81828746295181964"/>
    <n v="0"/>
    <n v="8.6034896805681962E-3"/>
    <n v="1.147131957409092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04"/>
    <n v="5.355194354504782"/>
    <n v="12566"/>
    <n v="6.006191740334442"/>
    <n v="12608"/>
    <n v="0"/>
    <n v="0"/>
    <n v="0"/>
    <n v="0"/>
  </r>
  <r>
    <x v="5"/>
    <s v="Republic of the Niger"/>
    <x v="39"/>
    <n v="973023.7"/>
    <n v="21737922.000000011"/>
    <n v="22.3405884152667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950"/>
    <n v="0"/>
    <n v="0"/>
    <n v="0"/>
    <n v="0.43702429330641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0"/>
    <n v="0.43702429330641607"/>
    <n v="950"/>
    <n v="0"/>
    <n v="0"/>
    <n v="0"/>
    <n v="0"/>
  </r>
  <r>
    <x v="6"/>
    <s v="Republic of the Niger"/>
    <x v="39"/>
    <n v="1007593.1"/>
    <n v="22577057.999999996"/>
    <n v="22.406920015629321"/>
    <n v="30"/>
    <n v="60"/>
    <m/>
    <m/>
    <m/>
    <m/>
    <m/>
    <m/>
    <m/>
    <m/>
    <m/>
    <m/>
    <m/>
    <m/>
    <m/>
    <m/>
    <m/>
    <n v="439"/>
    <m/>
    <n v="432"/>
    <m/>
    <n v="0"/>
    <m/>
    <m/>
    <m/>
    <m/>
    <m/>
    <n v="249"/>
    <m/>
    <m/>
    <m/>
    <m/>
    <n v="0"/>
    <m/>
    <m/>
    <m/>
    <n v="0"/>
    <m/>
    <m/>
    <n v="0"/>
    <n v="1745"/>
    <n v="8251"/>
    <n v="1812"/>
    <n v="95"/>
    <n v="0.77290849852979082"/>
    <n v="3.6545948546528964"/>
    <n v="0.80258464145328423"/>
    <n v="4.2078113100475718E-2"/>
    <n v="1.3287825189623912E-2"/>
    <n v="2.6575650379247823E-2"/>
    <n v="0"/>
    <n v="0"/>
    <n v="0"/>
    <n v="0"/>
    <n v="0"/>
    <n v="0"/>
    <n v="0"/>
    <n v="0"/>
    <n v="0"/>
    <n v="0"/>
    <n v="0"/>
    <n v="0"/>
    <n v="0"/>
    <n v="0"/>
    <n v="0"/>
    <n v="0.19444517527482991"/>
    <n v="0"/>
    <n v="0.19134468273058433"/>
    <n v="0"/>
    <n v="0"/>
    <n v="0"/>
    <n v="0"/>
    <n v="0"/>
    <n v="0"/>
    <n v="0.11028894907387847"/>
    <n v="0"/>
    <n v="0"/>
    <n v="0"/>
    <n v="0"/>
    <n v="0"/>
    <n v="0"/>
    <n v="0"/>
    <n v="0"/>
    <n v="0"/>
    <n v="10063"/>
    <n v="4.457179496106181"/>
    <n v="11808"/>
    <n v="5.230087994635972"/>
    <n v="13113"/>
    <n v="0"/>
    <n v="2100"/>
    <n v="0"/>
    <n v="0"/>
  </r>
  <r>
    <x v="7"/>
    <s v="Republic of the Niger"/>
    <x v="39"/>
    <n v="1041927.9"/>
    <n v="23443392.999999978"/>
    <n v="22.50001463632942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76"/>
    <n v="0"/>
    <n v="0"/>
    <n v="0"/>
    <n v="0.75756952076007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6"/>
    <n v="0.75756952076007156"/>
    <n v="1776"/>
    <n v="0"/>
    <n v="0"/>
    <n v="0"/>
    <n v="0"/>
  </r>
  <r>
    <x v="8"/>
    <s v="Republic of the Niger"/>
    <x v="39"/>
    <n v="1076476.3999999999"/>
    <n v="24333638.499999985"/>
    <n v="22.604897329843912"/>
    <m/>
    <m/>
    <m/>
    <m/>
    <m/>
    <m/>
    <n v="21429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70"/>
    <n v="0"/>
    <n v="0"/>
    <n v="0"/>
    <n v="0.68629276299966446"/>
    <n v="0"/>
    <n v="0"/>
    <n v="0"/>
    <n v="0"/>
    <n v="0"/>
    <n v="0"/>
    <n v="0"/>
    <n v="0"/>
    <n v="0"/>
    <n v="8.8063279151615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0"/>
    <n v="0.68629276299966446"/>
    <n v="23099"/>
    <n v="4"/>
    <n v="0"/>
    <n v="0"/>
    <n v="0"/>
  </r>
  <r>
    <x v="9"/>
    <s v="Republic of the Niger"/>
    <x v="39"/>
    <n v="1111347.5"/>
    <n v="25252721.999999989"/>
    <n v="22.72261556353884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the Niger"/>
    <x v="39"/>
    <n v="1147745.3"/>
    <n v="26207976.5"/>
    <n v="22.83431393707297"/>
    <n v="24"/>
    <n v="43"/>
    <m/>
    <m/>
    <m/>
    <m/>
    <n v="2239"/>
    <m/>
    <n v="6"/>
    <m/>
    <m/>
    <m/>
    <m/>
    <n v="136"/>
    <m/>
    <m/>
    <m/>
    <m/>
    <n v="418"/>
    <m/>
    <m/>
    <n v="6"/>
    <m/>
    <m/>
    <n v="119"/>
    <m/>
    <m/>
    <m/>
    <n v="1592"/>
    <n v="4"/>
    <m/>
    <m/>
    <n v="0"/>
    <m/>
    <m/>
    <m/>
    <n v="0"/>
    <m/>
    <m/>
    <n v="0"/>
    <n v="1415"/>
    <n v="9130"/>
    <n v="1436"/>
    <n v="0"/>
    <n v="0.53991196153583243"/>
    <n v="3.4836722323831451"/>
    <n v="0.54792478923353738"/>
    <n v="0"/>
    <n v="9.1575173688056375E-3"/>
    <n v="1.6407218619110101E-2"/>
    <n v="0"/>
    <n v="0"/>
    <n v="0"/>
    <n v="0"/>
    <n v="0.85432005786482601"/>
    <n v="0"/>
    <n v="2.2893793422014094E-3"/>
    <n v="0"/>
    <n v="0"/>
    <n v="0"/>
    <n v="0"/>
    <n v="5.1892598423231948E-2"/>
    <n v="0"/>
    <n v="0"/>
    <n v="0"/>
    <n v="0"/>
    <n v="0.1594934275066982"/>
    <n v="0"/>
    <n v="0"/>
    <n v="0"/>
    <n v="0"/>
    <n v="4.5406023620327959E-2"/>
    <n v="0"/>
    <n v="0"/>
    <n v="0"/>
    <n v="0.60744865213077404"/>
    <n v="1.5262528948009398E-3"/>
    <n v="0"/>
    <n v="0"/>
    <n v="0"/>
    <n v="0"/>
    <n v="0"/>
    <n v="0"/>
    <n v="0"/>
    <n v="10566"/>
    <n v="4.0315970216166823"/>
    <n v="11981"/>
    <n v="4.5715089831525146"/>
    <n v="16568"/>
    <n v="0"/>
    <n v="0"/>
    <n v="0"/>
    <n v="0"/>
  </r>
  <r>
    <x v="0"/>
    <s v="Republic of Uganda"/>
    <x v="40"/>
    <n v="1402343.9"/>
    <n v="34273295.000000015"/>
    <n v="24.440007190818186"/>
    <m/>
    <n v="550"/>
    <m/>
    <m/>
    <m/>
    <m/>
    <m/>
    <m/>
    <m/>
    <m/>
    <m/>
    <m/>
    <m/>
    <m/>
    <m/>
    <m/>
    <m/>
    <m/>
    <m/>
    <m/>
    <m/>
    <n v="0"/>
    <m/>
    <m/>
    <m/>
    <m/>
    <m/>
    <m/>
    <m/>
    <n v="650"/>
    <m/>
    <m/>
    <n v="0"/>
    <m/>
    <n v="6046"/>
    <m/>
    <n v="6046"/>
    <n v="19791"/>
    <m/>
    <n v="19791"/>
    <n v="6740"/>
    <n v="81632"/>
    <n v="0"/>
    <n v="0"/>
    <n v="1.9665456735338687"/>
    <n v="23.81796089345946"/>
    <n v="0"/>
    <n v="0"/>
    <n v="0"/>
    <n v="0.16047479531804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896520308304176"/>
    <n v="0"/>
    <n v="0"/>
    <n v="0"/>
    <n v="1.7640556590780074"/>
    <n v="0"/>
    <n v="5.7744666802535303"/>
    <n v="0"/>
    <n v="81632"/>
    <n v="23.81796089345946"/>
    <n v="88372"/>
    <n v="25.784506566993329"/>
    <n v="141246"/>
    <n v="0"/>
    <n v="72"/>
    <n v="0"/>
    <n v="0"/>
  </r>
  <r>
    <x v="1"/>
    <s v="Republic of Uganda"/>
    <x v="40"/>
    <n v="1420776.7"/>
    <n v="35273569.999999993"/>
    <n v="24.82696260432761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0298"/>
    <n v="14000"/>
    <n v="0"/>
    <n v="0"/>
    <n v="22.764353026926397"/>
    <n v="3.968977339123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298"/>
    <n v="26.733330366050282"/>
    <n v="94298"/>
    <n v="26.733330366050282"/>
    <n v="94298"/>
    <n v="0"/>
    <n v="0"/>
    <n v="0"/>
    <n v="0"/>
  </r>
  <r>
    <x v="2"/>
    <s v="Republic of Uganda"/>
    <x v="40"/>
    <n v="1437486"/>
    <n v="36336539.50000003"/>
    <n v="25.2778388798221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90776"/>
    <n v="0"/>
    <n v="0"/>
    <n v="0"/>
    <n v="24.98201569249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776"/>
    <n v="24.98201569249596"/>
    <n v="90776"/>
    <n v="24.98201569249596"/>
    <n v="90776"/>
    <n v="0"/>
    <n v="0"/>
    <n v="0"/>
    <n v="0"/>
  </r>
  <r>
    <x v="3"/>
    <s v="Republic of Uganda"/>
    <x v="40"/>
    <n v="1456401"/>
    <n v="37477355.999999978"/>
    <n v="25.732855168322445"/>
    <n v="276"/>
    <n v="45"/>
    <m/>
    <m/>
    <m/>
    <m/>
    <n v="179175"/>
    <m/>
    <m/>
    <m/>
    <m/>
    <m/>
    <m/>
    <n v="1925"/>
    <m/>
    <n v="121"/>
    <m/>
    <m/>
    <n v="2447"/>
    <m/>
    <n v="227"/>
    <n v="227"/>
    <m/>
    <m/>
    <m/>
    <m/>
    <m/>
    <m/>
    <m/>
    <m/>
    <n v="114"/>
    <m/>
    <n v="114"/>
    <m/>
    <m/>
    <m/>
    <n v="0"/>
    <m/>
    <m/>
    <n v="0"/>
    <n v="7290"/>
    <n v="101362"/>
    <n v="17630"/>
    <n v="0"/>
    <n v="1.9451745742148951"/>
    <n v="27.046198243013745"/>
    <n v="4.7041739017021396"/>
    <n v="0"/>
    <n v="7.3644469476448704E-2"/>
    <n v="1.2007250458116635E-2"/>
    <n v="0"/>
    <n v="0"/>
    <n v="0"/>
    <n v="0"/>
    <n v="47.80886890740107"/>
    <n v="0"/>
    <n v="0"/>
    <n v="0"/>
    <n v="0"/>
    <n v="0"/>
    <n v="0"/>
    <n v="0.51364349181943392"/>
    <n v="0"/>
    <n v="3.2286162342935847E-2"/>
    <n v="0"/>
    <n v="0"/>
    <n v="0.65292759713358683"/>
    <n v="0"/>
    <n v="6.0569907866499476E-2"/>
    <n v="0"/>
    <n v="0"/>
    <n v="0"/>
    <n v="0"/>
    <n v="0"/>
    <n v="0"/>
    <n v="0"/>
    <n v="0"/>
    <n v="3.0418367827228811E-2"/>
    <n v="0"/>
    <n v="0"/>
    <n v="0"/>
    <n v="0"/>
    <n v="0"/>
    <n v="0"/>
    <n v="118992"/>
    <n v="31.750372144715882"/>
    <n v="126282"/>
    <n v="33.695546718930778"/>
    <n v="310953"/>
    <n v="0"/>
    <n v="0"/>
    <n v="0"/>
    <n v="0"/>
  </r>
  <r>
    <x v="4"/>
    <s v="Republic of Uganda"/>
    <x v="40"/>
    <n v="1479060.5"/>
    <n v="38748298.999999978"/>
    <n v="26.1979134727754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2"/>
    <n v="110456"/>
    <n v="19604"/>
    <n v="0"/>
    <n v="1.0839185482696937E-2"/>
    <n v="28.506025516113638"/>
    <n v="5.0593188619712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60"/>
    <n v="33.565344378084845"/>
    <n v="130102"/>
    <n v="33.576183563567547"/>
    <n v="130102"/>
    <n v="0"/>
    <n v="0"/>
    <n v="0"/>
    <n v="5112"/>
  </r>
  <r>
    <x v="5"/>
    <s v="Republic of Uganda"/>
    <x v="40"/>
    <n v="1511805.9"/>
    <n v="40127084.999999978"/>
    <n v="26.54248471976460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836"/>
    <n v="120912"/>
    <n v="0"/>
    <n v="0"/>
    <n v="3.4480451296175656"/>
    <n v="30.13226602430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912"/>
    <n v="30.13226602430754"/>
    <n v="134748"/>
    <n v="33.580311153925102"/>
    <n v="134748"/>
    <n v="0"/>
    <n v="0"/>
    <n v="0"/>
    <n v="0"/>
  </r>
  <r>
    <x v="6"/>
    <s v="Republic of Uganda"/>
    <x v="40"/>
    <n v="1554009.4"/>
    <n v="41515395.000000015"/>
    <n v="26.715021801026442"/>
    <n v="26"/>
    <n v="324"/>
    <m/>
    <m/>
    <m/>
    <m/>
    <m/>
    <m/>
    <m/>
    <m/>
    <m/>
    <m/>
    <m/>
    <m/>
    <m/>
    <m/>
    <m/>
    <m/>
    <m/>
    <n v="3874"/>
    <m/>
    <n v="0"/>
    <m/>
    <m/>
    <m/>
    <m/>
    <m/>
    <m/>
    <m/>
    <m/>
    <m/>
    <m/>
    <n v="0"/>
    <m/>
    <m/>
    <m/>
    <n v="0"/>
    <m/>
    <m/>
    <n v="0"/>
    <n v="0"/>
    <n v="105814"/>
    <n v="0"/>
    <n v="0"/>
    <n v="0"/>
    <n v="25.487894310050514"/>
    <n v="0"/>
    <n v="0"/>
    <n v="6.2627369919038443E-3"/>
    <n v="7.8043337899109444E-2"/>
    <n v="0"/>
    <n v="0"/>
    <n v="0"/>
    <n v="0"/>
    <n v="0"/>
    <n v="0"/>
    <n v="0"/>
    <n v="0"/>
    <n v="0"/>
    <n v="0"/>
    <n v="0"/>
    <n v="0"/>
    <n v="0"/>
    <n v="0"/>
    <n v="0"/>
    <n v="0"/>
    <n v="0"/>
    <n v="0.93314781179367279"/>
    <n v="0"/>
    <n v="0"/>
    <n v="0"/>
    <n v="0"/>
    <n v="0"/>
    <n v="0"/>
    <n v="0"/>
    <n v="0"/>
    <n v="0"/>
    <n v="0"/>
    <n v="0"/>
    <n v="0"/>
    <n v="0"/>
    <n v="0"/>
    <n v="0"/>
    <n v="0"/>
    <n v="105814"/>
    <n v="25.487894310050514"/>
    <n v="105814"/>
    <n v="25.487894310050514"/>
    <n v="110038"/>
    <n v="0"/>
    <n v="0"/>
    <n v="0"/>
    <n v="0"/>
  </r>
  <r>
    <x v="7"/>
    <s v="Republic of Uganda"/>
    <x v="40"/>
    <n v="1595456"/>
    <n v="42949080.000000015"/>
    <n v="26.919626739941442"/>
    <n v="310"/>
    <m/>
    <m/>
    <m/>
    <m/>
    <m/>
    <n v="179000"/>
    <n v="900"/>
    <n v="30"/>
    <m/>
    <m/>
    <m/>
    <m/>
    <m/>
    <m/>
    <m/>
    <m/>
    <m/>
    <m/>
    <m/>
    <m/>
    <n v="3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7.2178496023663344E-2"/>
    <n v="0"/>
    <n v="0"/>
    <n v="0"/>
    <n v="0"/>
    <n v="0"/>
    <n v="41.677260607212062"/>
    <n v="0.20955047232676455"/>
    <n v="6.985015744225484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270"/>
    <n v="1045"/>
    <n v="2202"/>
    <n v="0"/>
    <n v="0"/>
  </r>
  <r>
    <x v="8"/>
    <s v="Republic of Uganda"/>
    <x v="40"/>
    <n v="1634390"/>
    <n v="44404611.000000007"/>
    <n v="27.168919902838372"/>
    <n v="255"/>
    <n v="171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062"/>
    <n v="102654"/>
    <n v="47092"/>
    <n v="0"/>
    <n v="3.1667882418787539"/>
    <n v="23.117869448287699"/>
    <n v="10.605204941441778"/>
    <n v="0"/>
    <n v="5.7426468616063306E-2"/>
    <n v="0.38667155534815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746"/>
    <n v="33.723074389729476"/>
    <n v="163808"/>
    <n v="36.889862631608231"/>
    <n v="165780"/>
    <n v="0"/>
    <n v="0"/>
    <n v="0"/>
    <n v="0"/>
  </r>
  <r>
    <x v="9"/>
    <s v="Republic of Uganda"/>
    <x v="40"/>
    <n v="1671156.9"/>
    <n v="45853778.000000022"/>
    <n v="27.438344059734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7"/>
    <n v="0"/>
    <n v="0"/>
  </r>
  <r>
    <x v="10"/>
    <s v="Republic of Uganda"/>
    <x v="40"/>
    <n v="1701068.1"/>
    <n v="47249584.999999978"/>
    <n v="27.776421767006255"/>
    <n v="1440"/>
    <n v="1712"/>
    <m/>
    <m/>
    <m/>
    <m/>
    <m/>
    <m/>
    <m/>
    <m/>
    <m/>
    <m/>
    <n v="3936"/>
    <n v="426"/>
    <m/>
    <n v="1249"/>
    <m/>
    <n v="14531"/>
    <n v="13380"/>
    <n v="3309"/>
    <m/>
    <n v="0"/>
    <m/>
    <m/>
    <m/>
    <m/>
    <m/>
    <m/>
    <m/>
    <n v="1820"/>
    <n v="572"/>
    <m/>
    <n v="572"/>
    <m/>
    <m/>
    <m/>
    <n v="0"/>
    <m/>
    <m/>
    <n v="0"/>
    <n v="17454"/>
    <n v="148394"/>
    <n v="65914"/>
    <n v="0"/>
    <n v="3.6940006986304765"/>
    <n v="31.406413410826797"/>
    <n v="13.950175435403303"/>
    <n v="0"/>
    <n v="0.30476458153018715"/>
    <n v="0.36233122470811135"/>
    <n v="0"/>
    <n v="0"/>
    <n v="0"/>
    <n v="0"/>
    <n v="0"/>
    <n v="0"/>
    <n v="0"/>
    <n v="0"/>
    <n v="0"/>
    <n v="0"/>
    <n v="0.83302318951584486"/>
    <n v="9.0159522036013698E-2"/>
    <n v="0"/>
    <n v="0.26434094606333591"/>
    <n v="0"/>
    <n v="3.075370926538298"/>
    <n v="2.8317709033846552"/>
    <n v="0.70032361130790921"/>
    <n v="0"/>
    <n v="0"/>
    <n v="0"/>
    <n v="0"/>
    <n v="0"/>
    <n v="0"/>
    <n v="0"/>
    <n v="0"/>
    <n v="0.3851885683228754"/>
    <n v="0.12105926433004656"/>
    <n v="0"/>
    <n v="0"/>
    <n v="0"/>
    <n v="0"/>
    <n v="0"/>
    <n v="0"/>
    <n v="214308"/>
    <n v="45.356588846230096"/>
    <n v="231762"/>
    <n v="49.050589544860578"/>
    <n v="274709"/>
    <n v="0"/>
    <n v="170"/>
    <n v="0"/>
    <n v="0"/>
  </r>
  <r>
    <x v="0"/>
    <s v="Republic of Zambia"/>
    <x v="41"/>
    <n v="581879"/>
    <n v="14744657.999999998"/>
    <n v="25.33973214362436"/>
    <m/>
    <n v="409"/>
    <m/>
    <n v="17"/>
    <m/>
    <m/>
    <m/>
    <n v="282"/>
    <n v="42"/>
    <m/>
    <m/>
    <m/>
    <m/>
    <n v="566"/>
    <m/>
    <n v="500"/>
    <m/>
    <m/>
    <n v="1126"/>
    <n v="184"/>
    <n v="11"/>
    <n v="53"/>
    <m/>
    <m/>
    <n v="49"/>
    <n v="18"/>
    <m/>
    <m/>
    <n v="3141"/>
    <n v="814"/>
    <n v="70"/>
    <n v="415"/>
    <n v="485"/>
    <m/>
    <m/>
    <m/>
    <n v="0"/>
    <m/>
    <m/>
    <n v="0"/>
    <n v="156"/>
    <n v="0"/>
    <n v="0"/>
    <n v="0"/>
    <n v="0.10580102976956129"/>
    <n v="0"/>
    <n v="0"/>
    <n v="0"/>
    <n v="0"/>
    <n v="0.2773885972804524"/>
    <n v="0"/>
    <n v="1.1529599397965013E-2"/>
    <n v="0"/>
    <n v="0"/>
    <n v="0"/>
    <n v="0.19125570766036082"/>
    <n v="2.8484892630266503E-2"/>
    <n v="0"/>
    <n v="0"/>
    <n v="0"/>
    <n v="0"/>
    <n v="0.38386783877930575"/>
    <n v="0"/>
    <n v="0.33910586464602982"/>
    <n v="0"/>
    <n v="0"/>
    <n v="0.76366640718285916"/>
    <n v="0.12479095818973897"/>
    <n v="7.4603290222126561E-3"/>
    <n v="0"/>
    <n v="0"/>
    <n v="3.3232374735310918E-2"/>
    <n v="1.2207811127257074E-2"/>
    <n v="0"/>
    <n v="0"/>
    <n v="2.1302630417063595"/>
    <n v="0.55206434764373657"/>
    <n v="4.7474821050444177E-2"/>
    <n v="0.28145786765620473"/>
    <n v="0"/>
    <n v="0"/>
    <n v="0"/>
    <n v="0"/>
    <n v="0"/>
    <n v="0"/>
    <n v="0"/>
    <n v="156"/>
    <n v="0.10580102976956129"/>
    <n v="8338"/>
    <n v="0"/>
    <n v="0"/>
    <n v="0"/>
    <n v="0"/>
  </r>
  <r>
    <x v="1"/>
    <s v="Republic of Zambia"/>
    <x v="41"/>
    <n v="589977.69999999995"/>
    <n v="15234975.999999991"/>
    <n v="25.82296924104079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546"/>
    <n v="0"/>
    <n v="0"/>
    <n v="0"/>
    <n v="3.6403076709802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46"/>
    <n v="3.6403076709802518"/>
    <n v="5546"/>
    <n v="3.6403076709802518"/>
    <n v="5546"/>
    <n v="351"/>
    <n v="460"/>
    <n v="0"/>
    <n v="0"/>
  </r>
  <r>
    <x v="2"/>
    <s v="Republic of Zambia"/>
    <x v="41"/>
    <n v="597001.9"/>
    <n v="15737792.999999998"/>
    <n v="26.36137841437355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4"/>
    <n v="1491"/>
    <n v="0"/>
    <n v="0"/>
  </r>
  <r>
    <x v="3"/>
    <s v="Republic of Zambia"/>
    <x v="41"/>
    <n v="604047.80000000005"/>
    <n v="16248229.999999996"/>
    <n v="26.8989142912199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Zambia"/>
    <x v="41"/>
    <n v="613228.69999999995"/>
    <n v="16767760.499999996"/>
    <n v="27.343404671046866"/>
    <n v="312"/>
    <n v="1159"/>
    <n v="19254"/>
    <m/>
    <m/>
    <m/>
    <m/>
    <m/>
    <m/>
    <m/>
    <m/>
    <m/>
    <m/>
    <n v="1796"/>
    <m/>
    <n v="419"/>
    <m/>
    <m/>
    <m/>
    <n v="921"/>
    <m/>
    <n v="0"/>
    <m/>
    <m/>
    <n v="202"/>
    <m/>
    <m/>
    <m/>
    <n v="1814"/>
    <m/>
    <m/>
    <n v="432"/>
    <n v="432"/>
    <m/>
    <m/>
    <m/>
    <n v="0"/>
    <m/>
    <m/>
    <n v="0"/>
    <n v="3074"/>
    <n v="0"/>
    <n v="6666"/>
    <n v="0"/>
    <n v="1.8332800018225455"/>
    <n v="0"/>
    <n v="3.9754861718116747"/>
    <n v="0"/>
    <n v="0.18607135997678406"/>
    <n v="0.69120739170863055"/>
    <n v="11.482749887798079"/>
    <n v="0"/>
    <n v="0"/>
    <n v="0"/>
    <n v="0"/>
    <n v="0"/>
    <n v="0"/>
    <n v="0"/>
    <n v="0"/>
    <n v="0"/>
    <n v="0"/>
    <n v="1.0711030849945646"/>
    <n v="0"/>
    <n v="0.24988429432779655"/>
    <n v="0"/>
    <n v="0"/>
    <n v="0"/>
    <n v="0.54926834146992987"/>
    <n v="0"/>
    <n v="0"/>
    <n v="0"/>
    <n v="0.12046927793368711"/>
    <n v="0"/>
    <n v="0"/>
    <n v="0"/>
    <n v="1.0818379711470714"/>
    <n v="0"/>
    <n v="0"/>
    <n v="0.25763726766016254"/>
    <n v="0"/>
    <n v="0"/>
    <n v="0"/>
    <n v="0"/>
    <n v="0"/>
    <n v="6666"/>
    <n v="3.9754861718116747"/>
    <n v="9740"/>
    <n v="5.8087661736342202"/>
    <n v="36481"/>
    <n v="0"/>
    <n v="0"/>
    <n v="0"/>
    <n v="0"/>
  </r>
  <r>
    <x v="5"/>
    <s v="Republic of Zambia"/>
    <x v="41"/>
    <n v="622980.80000000005"/>
    <n v="17298053.500000004"/>
    <n v="27.7665916830823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31382"/>
    <n v="0"/>
    <n v="0"/>
    <n v="0"/>
    <n v="18.141925621862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82"/>
    <n v="18.141925621862594"/>
    <n v="31382"/>
    <n v="18.141925621862594"/>
    <n v="31382"/>
    <n v="54"/>
    <n v="371"/>
    <n v="66"/>
    <n v="0"/>
  </r>
  <r>
    <x v="6"/>
    <s v="Republic of Zambia"/>
    <x v="41"/>
    <n v="632342.80000000005"/>
    <n v="17835892.999999981"/>
    <n v="28.206050578894835"/>
    <n v="160"/>
    <n v="727"/>
    <m/>
    <m/>
    <m/>
    <m/>
    <n v="1283"/>
    <n v="353"/>
    <m/>
    <n v="1"/>
    <m/>
    <m/>
    <m/>
    <n v="2742"/>
    <m/>
    <n v="761"/>
    <m/>
    <m/>
    <n v="1712"/>
    <n v="18"/>
    <m/>
    <n v="0"/>
    <n v="67"/>
    <m/>
    <m/>
    <n v="16"/>
    <m/>
    <m/>
    <n v="3616"/>
    <n v="1132"/>
    <n v="739"/>
    <m/>
    <n v="739"/>
    <m/>
    <m/>
    <m/>
    <n v="0"/>
    <m/>
    <m/>
    <n v="0"/>
    <n v="8042"/>
    <n v="41492"/>
    <n v="4274"/>
    <n v="119"/>
    <n v="4.5088855377188057"/>
    <n v="23.26320302549474"/>
    <n v="2.3962915677953465"/>
    <n v="6.6719395546945767E-2"/>
    <n v="8.9706750315221198E-2"/>
    <n v="0.40760504674478637"/>
    <n v="0"/>
    <n v="0"/>
    <n v="0"/>
    <n v="0"/>
    <n v="0.71933600409018006"/>
    <n v="0.19791551788295678"/>
    <n v="0"/>
    <n v="5.6066718947013255E-4"/>
    <n v="0"/>
    <n v="0"/>
    <n v="0"/>
    <n v="1.5373494335271034"/>
    <n v="0"/>
    <n v="0.42666773118677087"/>
    <n v="0"/>
    <n v="0"/>
    <n v="0.95986222837286683"/>
    <n v="1.0092009410462385E-2"/>
    <n v="0"/>
    <n v="3.7564701694498881E-2"/>
    <n v="0"/>
    <n v="0"/>
    <n v="8.9706750315221209E-3"/>
    <n v="0"/>
    <n v="0"/>
    <n v="2.0273725571239991"/>
    <n v="0.63467525848019002"/>
    <n v="0.41433305301842793"/>
    <n v="0"/>
    <n v="0"/>
    <n v="0"/>
    <n v="0"/>
    <n v="0"/>
    <n v="0"/>
    <n v="45766"/>
    <n v="25.659494593290084"/>
    <n v="53808"/>
    <n v="30.168380131008892"/>
    <n v="67993"/>
    <n v="0"/>
    <n v="0"/>
    <n v="0"/>
    <n v="0"/>
  </r>
  <r>
    <x v="7"/>
    <s v="Republic of Zambia"/>
    <x v="41"/>
    <n v="641968.30000000005"/>
    <n v="18380476.500000004"/>
    <n v="28.631439434003209"/>
    <n v="180"/>
    <n v="856"/>
    <m/>
    <m/>
    <m/>
    <m/>
    <n v="1846"/>
    <n v="390"/>
    <m/>
    <m/>
    <m/>
    <m/>
    <m/>
    <n v="3207"/>
    <m/>
    <n v="929"/>
    <m/>
    <m/>
    <n v="2045"/>
    <n v="18"/>
    <m/>
    <n v="0"/>
    <m/>
    <m/>
    <m/>
    <m/>
    <m/>
    <m/>
    <n v="4562"/>
    <n v="1312"/>
    <n v="864"/>
    <m/>
    <n v="864"/>
    <m/>
    <m/>
    <m/>
    <n v="0"/>
    <m/>
    <m/>
    <n v="0"/>
    <n v="8772"/>
    <n v="46070"/>
    <n v="6446"/>
    <n v="0"/>
    <n v="4.7724551645872717"/>
    <n v="25.064638558200595"/>
    <n v="3.5069819871100725"/>
    <n v="0"/>
    <n v="9.7929996537358524E-2"/>
    <n v="0.46571153908877161"/>
    <n v="0"/>
    <n v="0"/>
    <n v="0"/>
    <n v="0"/>
    <n v="1.0043265200442435"/>
    <n v="0.21218165916427678"/>
    <n v="0"/>
    <n v="0"/>
    <n v="0"/>
    <n v="0"/>
    <n v="0"/>
    <n v="1.7447861049739377"/>
    <n v="0"/>
    <n v="0.50542759324003372"/>
    <n v="0"/>
    <n v="0"/>
    <n v="1.1125935717716564"/>
    <n v="9.7929996537358521E-3"/>
    <n v="0"/>
    <n v="0"/>
    <n v="0"/>
    <n v="0"/>
    <n v="0"/>
    <n v="0"/>
    <n v="0"/>
    <n v="2.4819813566857198"/>
    <n v="0.71380086365007989"/>
    <n v="0.47006398337932087"/>
    <n v="0"/>
    <n v="0"/>
    <n v="0"/>
    <n v="0"/>
    <n v="0"/>
    <n v="0"/>
    <n v="52516"/>
    <n v="28.571620545310665"/>
    <n v="61288"/>
    <n v="33.344075709897936"/>
    <n v="78361"/>
    <n v="0"/>
    <n v="0"/>
    <n v="0"/>
    <n v="0"/>
  </r>
  <r>
    <x v="8"/>
    <s v="Republic of Zambia"/>
    <x v="41"/>
    <n v="652088.9"/>
    <n v="18927715.000000022"/>
    <n v="29.026280005686374"/>
    <n v="205"/>
    <n v="1082"/>
    <m/>
    <m/>
    <m/>
    <m/>
    <n v="41669"/>
    <n v="453"/>
    <m/>
    <m/>
    <m/>
    <m/>
    <m/>
    <n v="3830"/>
    <m/>
    <n v="1075"/>
    <m/>
    <m/>
    <n v="2506"/>
    <n v="19"/>
    <m/>
    <n v="0"/>
    <m/>
    <m/>
    <m/>
    <m/>
    <m/>
    <m/>
    <n v="5544"/>
    <n v="1544"/>
    <n v="1036"/>
    <m/>
    <n v="1036"/>
    <m/>
    <m/>
    <m/>
    <n v="0"/>
    <m/>
    <m/>
    <n v="0"/>
    <n v="9636"/>
    <n v="55348"/>
    <n v="6624"/>
    <n v="0"/>
    <n v="5.0909473224845092"/>
    <n v="29.241775882614427"/>
    <n v="3.4996300398648184"/>
    <n v="0"/>
    <n v="0.10830678716369078"/>
    <n v="0.57164850590787042"/>
    <n v="0"/>
    <n v="0"/>
    <n v="0"/>
    <n v="0"/>
    <n v="22.01480738694552"/>
    <n v="0.23933158334220453"/>
    <n v="0"/>
    <n v="0"/>
    <n v="0"/>
    <n v="0"/>
    <n v="0"/>
    <n v="2.0234877796923691"/>
    <n v="0"/>
    <n v="0.5679502253705736"/>
    <n v="0"/>
    <n v="0"/>
    <n v="1.3239844323522396"/>
    <n v="1.0038190029805487E-2"/>
    <n v="0"/>
    <n v="0"/>
    <n v="0"/>
    <n v="0"/>
    <n v="0"/>
    <n v="0"/>
    <n v="0"/>
    <n v="2.9290381855390328"/>
    <n v="0.81573502136945641"/>
    <n v="0.54734551951992028"/>
    <n v="0"/>
    <n v="0"/>
    <n v="0"/>
    <n v="0"/>
    <n v="0"/>
    <n v="0"/>
    <n v="61972"/>
    <n v="32.741405922479245"/>
    <n v="71608"/>
    <n v="37.832353244963755"/>
    <n v="131607"/>
    <n v="10395"/>
    <n v="0"/>
    <n v="0"/>
    <n v="3330"/>
  </r>
  <r>
    <x v="9"/>
    <s v="Republic of Zambia"/>
    <x v="41"/>
    <n v="663224.69999999995"/>
    <n v="19473124.999999996"/>
    <n v="29.361278311860215"/>
    <n v="269"/>
    <n v="1376"/>
    <m/>
    <m/>
    <m/>
    <m/>
    <m/>
    <n v="499"/>
    <m/>
    <m/>
    <m/>
    <m/>
    <m/>
    <n v="4646"/>
    <m/>
    <n v="1375"/>
    <m/>
    <m/>
    <n v="3182"/>
    <n v="19"/>
    <m/>
    <n v="0"/>
    <m/>
    <m/>
    <m/>
    <m/>
    <m/>
    <m/>
    <n v="8281"/>
    <n v="1944"/>
    <n v="1324"/>
    <m/>
    <n v="1324"/>
    <m/>
    <m/>
    <m/>
    <n v="0"/>
    <m/>
    <m/>
    <n v="0"/>
    <n v="11546"/>
    <n v="65084"/>
    <n v="7492"/>
    <n v="0"/>
    <n v="5.9291972911384292"/>
    <n v="33.42247328048272"/>
    <n v="3.8473537246846621"/>
    <n v="0"/>
    <n v="0.13813910196745519"/>
    <n v="0.70661488590043986"/>
    <n v="0"/>
    <n v="0"/>
    <n v="0"/>
    <n v="0"/>
    <n v="0"/>
    <n v="0.25625060179092984"/>
    <n v="0"/>
    <n v="0"/>
    <n v="0"/>
    <n v="0"/>
    <n v="0"/>
    <n v="2.3858522964341886"/>
    <n v="0"/>
    <n v="0.70610135764033777"/>
    <n v="0"/>
    <n v="0"/>
    <n v="1.6340469236447672"/>
    <n v="9.7570369419392126E-3"/>
    <n v="0"/>
    <n v="0"/>
    <n v="0"/>
    <n v="0"/>
    <n v="0"/>
    <n v="0"/>
    <n v="0"/>
    <n v="4.2525275219051908"/>
    <n v="0.99829893763841215"/>
    <n v="0.67991141637513253"/>
    <n v="0"/>
    <n v="0"/>
    <n v="0"/>
    <n v="0"/>
    <n v="0"/>
    <n v="0"/>
    <n v="72576"/>
    <n v="37.269827005167386"/>
    <n v="84122"/>
    <n v="43.199024296305815"/>
    <n v="108361"/>
    <n v="0"/>
    <n v="0"/>
    <n v="0"/>
    <n v="0"/>
  </r>
  <r>
    <x v="10"/>
    <s v="Republic of Zambia"/>
    <x v="41"/>
    <n v="675227.8"/>
    <n v="20017675.000000004"/>
    <n v="29.645809902969045"/>
    <n v="261"/>
    <n v="639"/>
    <n v="0"/>
    <n v="18"/>
    <n v="2"/>
    <n v="3"/>
    <n v="2421"/>
    <n v="743"/>
    <n v="23"/>
    <n v="3"/>
    <n v="0"/>
    <n v="0"/>
    <n v="3325"/>
    <n v="463"/>
    <n v="0"/>
    <n v="2633"/>
    <n v="0"/>
    <n v="7144"/>
    <n v="1474"/>
    <n v="388"/>
    <n v="5"/>
    <n v="28"/>
    <n v="0"/>
    <n v="0"/>
    <n v="773"/>
    <n v="137"/>
    <n v="0"/>
    <n v="0"/>
    <n v="970"/>
    <n v="1800"/>
    <n v="269"/>
    <n v="970"/>
    <n v="1239"/>
    <n v="4"/>
    <n v="0"/>
    <n v="0"/>
    <n v="0"/>
    <n v="0"/>
    <n v="0"/>
    <n v="0"/>
    <n v="11020"/>
    <n v="67558"/>
    <n v="18404"/>
    <n v="0"/>
    <n v="5.5051348370877227"/>
    <n v="33.749174167329613"/>
    <n v="9.1938749130455939"/>
    <n v="0"/>
    <n v="0.13038477245734081"/>
    <n v="0.31921789118866195"/>
    <n v="0"/>
    <n v="8.9920532729200545E-3"/>
    <n v="9.9911703032445052E-4"/>
    <n v="1.4986755454866759E-3"/>
    <n v="1.2094311652077474"/>
    <n v="0.37117197676553337"/>
    <n v="1.1489845848731181E-2"/>
    <n v="1.4986755454866759E-3"/>
    <n v="0"/>
    <n v="0"/>
    <n v="1.6610320629143991"/>
    <n v="0.23129559252011031"/>
    <n v="0"/>
    <n v="1.3153375704221393"/>
    <n v="0"/>
    <n v="3.5688460323189375"/>
    <n v="0.7363492513491201"/>
    <n v="0.1938287038829434"/>
    <n v="2.4977925758111266E-3"/>
    <n v="0"/>
    <n v="0"/>
    <n v="0.38615873222040015"/>
    <n v="6.8439516577224871E-2"/>
    <n v="0"/>
    <n v="0"/>
    <n v="0.48457175970735855"/>
    <n v="0.89920532729200553"/>
    <n v="0.13438124057863859"/>
    <n v="0.48457175970735855"/>
    <n v="1.998234060648901E-3"/>
    <n v="0"/>
    <n v="0"/>
    <n v="0"/>
    <n v="0"/>
    <n v="85962"/>
    <n v="42.943049080375211"/>
    <n v="96982"/>
    <n v="48.448183917462934"/>
    <n v="122717"/>
    <n v="0"/>
    <n v="0"/>
    <n v="0"/>
    <n v="0"/>
  </r>
  <r>
    <x v="0"/>
    <s v="Republic of Zimbabwe"/>
    <x v="42"/>
    <n v="481316.8"/>
    <n v="13265331.000000002"/>
    <n v="27.560498615464912"/>
    <n v="233"/>
    <n v="378"/>
    <n v="5226"/>
    <m/>
    <m/>
    <m/>
    <m/>
    <m/>
    <m/>
    <m/>
    <m/>
    <m/>
    <m/>
    <n v="1905"/>
    <m/>
    <n v="233"/>
    <m/>
    <m/>
    <m/>
    <n v="352"/>
    <n v="27"/>
    <n v="27"/>
    <m/>
    <m/>
    <n v="855"/>
    <m/>
    <m/>
    <m/>
    <m/>
    <m/>
    <n v="377"/>
    <m/>
    <n v="377"/>
    <m/>
    <m/>
    <m/>
    <n v="0"/>
    <m/>
    <m/>
    <n v="0"/>
    <n v="2118"/>
    <n v="31072"/>
    <n v="0"/>
    <n v="0"/>
    <n v="1.5966431595261359"/>
    <n v="23.423463764304106"/>
    <n v="0"/>
    <n v="0"/>
    <n v="0.1756458244426769"/>
    <n v="0.28495331175678912"/>
    <n v="3.9395926117486244"/>
    <n v="0"/>
    <n v="0"/>
    <n v="0"/>
    <n v="0"/>
    <n v="0"/>
    <n v="0"/>
    <n v="0"/>
    <n v="0"/>
    <n v="0"/>
    <n v="0"/>
    <n v="1.4360742298854057"/>
    <n v="0"/>
    <n v="0.1756458244426769"/>
    <n v="0"/>
    <n v="0"/>
    <n v="0"/>
    <n v="0.26535334851425868"/>
    <n v="2.0353807982627797E-2"/>
    <n v="0"/>
    <n v="0"/>
    <n v="0.6445372527832135"/>
    <n v="0"/>
    <n v="0"/>
    <n v="0"/>
    <n v="0"/>
    <n v="0"/>
    <n v="0.2841994670166918"/>
    <n v="0"/>
    <n v="0"/>
    <n v="0"/>
    <n v="0"/>
    <n v="0"/>
    <n v="0"/>
    <n v="31072"/>
    <n v="23.423463764304106"/>
    <n v="33190"/>
    <n v="25.020106923830241"/>
    <n v="43180"/>
    <n v="30"/>
    <n v="51"/>
    <n v="0"/>
    <n v="0"/>
  </r>
  <r>
    <x v="1"/>
    <s v="Republic of Zimbabwe"/>
    <x v="42"/>
    <n v="485648.9"/>
    <n v="13555421.500000011"/>
    <n v="27.911978180121505"/>
    <n v="236"/>
    <n v="394"/>
    <n v="5334"/>
    <m/>
    <m/>
    <m/>
    <m/>
    <m/>
    <m/>
    <m/>
    <m/>
    <m/>
    <m/>
    <n v="1885"/>
    <m/>
    <n v="239"/>
    <m/>
    <m/>
    <m/>
    <n v="343"/>
    <n v="26"/>
    <n v="26"/>
    <m/>
    <m/>
    <n v="845"/>
    <m/>
    <m/>
    <m/>
    <m/>
    <m/>
    <n v="419"/>
    <m/>
    <n v="419"/>
    <m/>
    <m/>
    <m/>
    <n v="0"/>
    <m/>
    <m/>
    <n v="0"/>
    <n v="2228"/>
    <n v="37444"/>
    <n v="0"/>
    <n v="0"/>
    <n v="1.6436228117288705"/>
    <n v="27.622896123148934"/>
    <n v="0"/>
    <n v="0"/>
    <n v="0.17410008239138841"/>
    <n v="0.29065861212799593"/>
    <n v="3.9349569469307877"/>
    <n v="0"/>
    <n v="0"/>
    <n v="0"/>
    <n v="0"/>
    <n v="0"/>
    <n v="0"/>
    <n v="0"/>
    <n v="0"/>
    <n v="0"/>
    <n v="0"/>
    <n v="1.3905875224905389"/>
    <n v="0"/>
    <n v="0.17631321903195693"/>
    <n v="0"/>
    <n v="0"/>
    <n v="0"/>
    <n v="0.25303528923833146"/>
    <n v="1.918051755159364E-2"/>
    <n v="0"/>
    <n v="0"/>
    <n v="0.62336682042679326"/>
    <n v="0"/>
    <n v="0"/>
    <n v="0"/>
    <n v="0"/>
    <n v="0"/>
    <n v="0.30910141746606673"/>
    <n v="0"/>
    <n v="0"/>
    <n v="0"/>
    <n v="0"/>
    <n v="0"/>
    <n v="0"/>
    <n v="37444"/>
    <n v="27.622896123148934"/>
    <n v="39672"/>
    <n v="29.266518934877801"/>
    <n v="49838"/>
    <n v="0"/>
    <n v="0"/>
    <n v="0"/>
    <n v="0"/>
  </r>
  <r>
    <x v="2"/>
    <s v="Republic of Zimbabwe"/>
    <x v="42"/>
    <n v="485908.2"/>
    <n v="13855753.000000004"/>
    <n v="28.515166033419487"/>
    <n v="107"/>
    <n v="193"/>
    <n v="5218"/>
    <m/>
    <m/>
    <m/>
    <m/>
    <n v="171"/>
    <m/>
    <m/>
    <m/>
    <n v="111"/>
    <n v="2052"/>
    <n v="2052"/>
    <n v="190"/>
    <n v="312"/>
    <n v="229"/>
    <m/>
    <n v="519"/>
    <m/>
    <n v="26"/>
    <n v="26"/>
    <m/>
    <m/>
    <n v="819"/>
    <m/>
    <m/>
    <m/>
    <n v="145"/>
    <n v="511"/>
    <n v="413"/>
    <m/>
    <n v="413"/>
    <m/>
    <m/>
    <m/>
    <n v="0"/>
    <m/>
    <m/>
    <n v="0"/>
    <n v="3561"/>
    <n v="44810"/>
    <n v="0"/>
    <n v="0"/>
    <n v="2.5700515879577233"/>
    <n v="32.340357106539059"/>
    <n v="0"/>
    <n v="0"/>
    <n v="7.7224240357055995E-2"/>
    <n v="0.13929232139169914"/>
    <n v="3.7659447306833478"/>
    <n v="0"/>
    <n v="0"/>
    <n v="0"/>
    <n v="0"/>
    <n v="0.12341444019679043"/>
    <n v="0"/>
    <n v="0"/>
    <n v="0"/>
    <n v="8.0111127847039401E-2"/>
    <n v="1.4809732823614852"/>
    <n v="1.4809732823614852"/>
    <n v="0.13712715577421158"/>
    <n v="0.22517722421870534"/>
    <n v="0.16527430880154975"/>
    <n v="0"/>
    <n v="0.37457365182534635"/>
    <n v="0"/>
    <n v="1.8764768684892113E-2"/>
    <n v="0"/>
    <n v="0"/>
    <n v="0.59109021357410152"/>
    <n v="0"/>
    <n v="0"/>
    <n v="0"/>
    <n v="0.10464967151189832"/>
    <n v="0.36879987684537957"/>
    <n v="0.29807113334078622"/>
    <n v="0"/>
    <n v="0"/>
    <n v="0"/>
    <n v="0"/>
    <n v="0"/>
    <n v="0"/>
    <n v="44810"/>
    <n v="32.340357106539059"/>
    <n v="48371"/>
    <n v="34.91040869449678"/>
    <n v="61878"/>
    <n v="0"/>
    <n v="0"/>
    <n v="0"/>
    <n v="0"/>
  </r>
  <r>
    <x v="3"/>
    <s v="Republic of Zimbabwe"/>
    <x v="42"/>
    <n v="481447.2"/>
    <n v="14154937"/>
    <n v="29.400808645267851"/>
    <n v="66"/>
    <n v="141"/>
    <n v="8424"/>
    <m/>
    <m/>
    <m/>
    <n v="11200"/>
    <n v="261"/>
    <m/>
    <m/>
    <m/>
    <m/>
    <m/>
    <n v="2494"/>
    <n v="418"/>
    <n v="511"/>
    <n v="270"/>
    <m/>
    <n v="644"/>
    <m/>
    <m/>
    <n v="0"/>
    <m/>
    <m/>
    <m/>
    <m/>
    <m/>
    <m/>
    <m/>
    <n v="443"/>
    <n v="472"/>
    <m/>
    <n v="472"/>
    <m/>
    <m/>
    <m/>
    <n v="0"/>
    <m/>
    <m/>
    <n v="0"/>
    <n v="5462"/>
    <n v="41532"/>
    <n v="0"/>
    <n v="0"/>
    <n v="3.858724344728627"/>
    <n v="29.340999539595266"/>
    <n v="0"/>
    <n v="0"/>
    <n v="4.6626841221546943E-2"/>
    <n v="9.9611888064213922E-2"/>
    <n v="5.9512804613683548"/>
    <n v="0"/>
    <n v="0"/>
    <n v="0"/>
    <n v="7.9124336618382687"/>
    <n v="0.18438796301248109"/>
    <n v="0"/>
    <n v="0"/>
    <n v="0"/>
    <n v="0"/>
    <n v="0"/>
    <n v="1.761929424341486"/>
    <n v="0.29530332773646395"/>
    <n v="0.36100478582137102"/>
    <n v="0.19074616863360114"/>
    <n v="0"/>
    <n v="0.45496493555570044"/>
    <n v="0"/>
    <n v="0"/>
    <n v="0"/>
    <n v="0"/>
    <n v="0"/>
    <n v="0"/>
    <n v="0"/>
    <n v="0"/>
    <n v="0"/>
    <n v="0.31296501001735294"/>
    <n v="0.33345256146318419"/>
    <n v="0"/>
    <n v="0"/>
    <n v="0"/>
    <n v="0"/>
    <n v="0"/>
    <n v="0"/>
    <n v="41532"/>
    <n v="29.340999539595266"/>
    <n v="46994"/>
    <n v="33.199723884323895"/>
    <n v="72810"/>
    <n v="236"/>
    <n v="394"/>
    <n v="845"/>
    <n v="1885"/>
  </r>
  <r>
    <x v="4"/>
    <s v="Republic of Zimbabwe"/>
    <x v="42"/>
    <n v="478618.1"/>
    <n v="14452704.499999994"/>
    <n v="30.196736186951547"/>
    <n v="136"/>
    <n v="219"/>
    <n v="9368"/>
    <m/>
    <m/>
    <m/>
    <m/>
    <n v="157"/>
    <m/>
    <n v="3"/>
    <m/>
    <n v="117"/>
    <m/>
    <n v="1843"/>
    <n v="52"/>
    <n v="320"/>
    <n v="257"/>
    <m/>
    <n v="600"/>
    <m/>
    <n v="17"/>
    <n v="17"/>
    <n v="678"/>
    <m/>
    <n v="58"/>
    <n v="13"/>
    <m/>
    <m/>
    <n v="130"/>
    <n v="540"/>
    <n v="432"/>
    <m/>
    <n v="432"/>
    <m/>
    <m/>
    <m/>
    <n v="0"/>
    <m/>
    <m/>
    <n v="0"/>
    <n v="5458"/>
    <n v="42747"/>
    <n v="0"/>
    <n v="551"/>
    <n v="3.7764558183556596"/>
    <n v="29.57716322228827"/>
    <n v="0"/>
    <n v="0.38124352435213782"/>
    <n v="9.4100035048803529E-2"/>
    <n v="0.15152873290947039"/>
    <n v="6.4818318260087606"/>
    <n v="0"/>
    <n v="0"/>
    <n v="0"/>
    <n v="0"/>
    <n v="0.10863018751957466"/>
    <n v="0"/>
    <n v="2.075736067253019E-3"/>
    <n v="0"/>
    <n v="8.0953706622867744E-2"/>
    <n v="0"/>
    <n v="1.2751938573157713"/>
    <n v="3.5979425165718996E-2"/>
    <n v="0.22141184717365536"/>
    <n v="0.17782138976134196"/>
    <n v="0"/>
    <n v="0.41514721345060379"/>
    <n v="0"/>
    <n v="1.1762504381100441E-2"/>
    <n v="0.46911635119918232"/>
    <n v="0"/>
    <n v="4.0130897300225038E-2"/>
    <n v="8.9948562914297491E-3"/>
    <n v="0"/>
    <n v="0"/>
    <n v="8.9948562914297495E-2"/>
    <n v="0.37363249210554345"/>
    <n v="0.29890599368443477"/>
    <n v="0"/>
    <n v="0"/>
    <n v="0"/>
    <n v="0"/>
    <n v="0"/>
    <n v="0"/>
    <n v="42747"/>
    <n v="29.57716322228827"/>
    <n v="48205"/>
    <n v="33.353619040643927"/>
    <n v="64145"/>
    <n v="0"/>
    <n v="0"/>
    <n v="0"/>
    <n v="0"/>
  </r>
  <r>
    <x v="5"/>
    <s v="Republic of Zimbabwe"/>
    <x v="42"/>
    <n v="478807.6"/>
    <n v="14751100.999999998"/>
    <n v="30.807992604962827"/>
    <n v="109"/>
    <n v="272"/>
    <n v="11460"/>
    <m/>
    <m/>
    <m/>
    <n v="15000"/>
    <n v="276"/>
    <m/>
    <m/>
    <m/>
    <m/>
    <m/>
    <n v="2036"/>
    <m/>
    <n v="417"/>
    <n v="451"/>
    <m/>
    <n v="781"/>
    <m/>
    <m/>
    <n v="0"/>
    <n v="605"/>
    <m/>
    <m/>
    <n v="20"/>
    <n v="1733"/>
    <m/>
    <n v="174"/>
    <n v="726"/>
    <n v="503"/>
    <m/>
    <n v="503"/>
    <m/>
    <m/>
    <m/>
    <n v="0"/>
    <m/>
    <n v="596"/>
    <n v="596"/>
    <n v="5734"/>
    <n v="59965"/>
    <n v="17612"/>
    <n v="607"/>
    <n v="3.8871674731262438"/>
    <n v="40.65120291698905"/>
    <n v="11.939447774101744"/>
    <n v="0.411494708089925"/>
    <n v="7.3892789426362154E-2"/>
    <n v="0.18439301581624315"/>
    <n v="7.7689116222578924"/>
    <n v="0"/>
    <n v="0"/>
    <n v="0"/>
    <n v="10.16873248986635"/>
    <n v="0.18710467781354087"/>
    <n v="0"/>
    <n v="0"/>
    <n v="0"/>
    <n v="0"/>
    <n v="0"/>
    <n v="1.3802359566245261"/>
    <n v="0"/>
    <n v="0.28269076321828457"/>
    <n v="0.30573989019531495"/>
    <n v="0"/>
    <n v="0.52945200497237466"/>
    <n v="0"/>
    <n v="0"/>
    <n v="0.41013887709127617"/>
    <n v="0"/>
    <n v="0"/>
    <n v="1.3558309986488468E-2"/>
    <n v="1.1748275603292258"/>
    <n v="0"/>
    <n v="0.11795729688244967"/>
    <n v="0.4921666525095314"/>
    <n v="0.34099149616018498"/>
    <n v="0"/>
    <n v="0"/>
    <n v="0"/>
    <n v="0"/>
    <n v="0"/>
    <n v="0.40403763759735634"/>
    <n v="77577"/>
    <n v="52.590650691090794"/>
    <n v="83311"/>
    <n v="56.477818164217041"/>
    <n v="120176"/>
    <n v="0"/>
    <n v="0"/>
    <n v="0"/>
    <n v="0"/>
  </r>
  <r>
    <x v="6"/>
    <s v="Republic of Zimbabwe"/>
    <x v="42"/>
    <n v="481109.7"/>
    <n v="15052184.000000007"/>
    <n v="31.28638645198799"/>
    <n v="104"/>
    <n v="1397"/>
    <n v="12259"/>
    <n v="419"/>
    <m/>
    <m/>
    <n v="15888"/>
    <n v="508"/>
    <n v="14"/>
    <n v="3"/>
    <m/>
    <n v="80"/>
    <m/>
    <n v="2305"/>
    <n v="10"/>
    <n v="480"/>
    <n v="414"/>
    <n v="164"/>
    <n v="1126"/>
    <n v="644"/>
    <n v="26"/>
    <n v="40"/>
    <n v="703"/>
    <m/>
    <n v="56"/>
    <n v="20"/>
    <m/>
    <m/>
    <m/>
    <n v="1827"/>
    <n v="439"/>
    <n v="249"/>
    <n v="688"/>
    <m/>
    <m/>
    <n v="12"/>
    <n v="12"/>
    <m/>
    <n v="1215"/>
    <n v="1215"/>
    <n v="6665"/>
    <n v="67752"/>
    <n v="0"/>
    <n v="2021"/>
    <n v="4.4279288640106955"/>
    <n v="45.01140831124571"/>
    <n v="0"/>
    <n v="1.3426623007000174"/>
    <n v="6.9092963519446715E-2"/>
    <n v="0.92810451958333706"/>
    <n v="8.1443330748547815"/>
    <n v="0.27836492033315552"/>
    <n v="0"/>
    <n v="0"/>
    <n v="10.555278888432397"/>
    <n v="0.33749255257575894"/>
    <n v="9.3009758583870571E-3"/>
    <n v="1.993066255368655E-3"/>
    <n v="0"/>
    <n v="5.3148433476497468E-2"/>
    <n v="0"/>
    <n v="1.5313392395415835"/>
    <n v="6.6435541845621835E-3"/>
    <n v="0.3188906008589848"/>
    <n v="0.27504314324087442"/>
    <n v="0.10895428862681981"/>
    <n v="0.74806420118170192"/>
    <n v="0.42784488948580462"/>
    <n v="1.7273240879861679E-2"/>
    <n v="0.46704185917472152"/>
    <n v="0"/>
    <n v="3.7203903433548229E-2"/>
    <n v="1.3287108369124367E-2"/>
    <n v="0"/>
    <n v="0"/>
    <n v="0"/>
    <n v="1.213777349519511"/>
    <n v="0.29165202870227985"/>
    <n v="0.16542449919559837"/>
    <n v="0"/>
    <n v="0"/>
    <n v="7.9722650214746199E-3"/>
    <n v="0"/>
    <n v="0.80719183342430534"/>
    <n v="67752"/>
    <n v="45.01140831124571"/>
    <n v="74417"/>
    <n v="49.439337175256405"/>
    <n v="118755"/>
    <n v="0"/>
    <n v="0"/>
    <n v="0"/>
    <n v="0"/>
  </r>
  <r>
    <x v="7"/>
    <s v="Republic of Zimbabwe"/>
    <x v="42"/>
    <n v="483729.8"/>
    <n v="15354607.5"/>
    <n v="31.742116156581631"/>
    <n v="248"/>
    <m/>
    <m/>
    <m/>
    <m/>
    <m/>
    <m/>
    <n v="329"/>
    <n v="25"/>
    <m/>
    <m/>
    <m/>
    <m/>
    <m/>
    <m/>
    <m/>
    <m/>
    <m/>
    <m/>
    <m/>
    <m/>
    <n v="25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6151503709879916"/>
    <n v="0"/>
    <n v="0"/>
    <n v="0"/>
    <n v="0"/>
    <n v="0"/>
    <n v="0"/>
    <n v="0.21426793228026181"/>
    <n v="1.628175777205636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"/>
    <n v="0"/>
    <n v="0"/>
    <n v="0"/>
    <n v="0"/>
  </r>
  <r>
    <x v="8"/>
    <s v="Republic of Zimbabwe"/>
    <x v="42"/>
    <n v="485539.3"/>
    <n v="15669665.999999998"/>
    <n v="32.272703774957037"/>
    <n v="234"/>
    <n v="160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914"/>
    <n v="44998"/>
    <n v="18586"/>
    <n v="0"/>
    <n v="3.774171064016298"/>
    <n v="28.716629952418899"/>
    <n v="11.861133479169245"/>
    <n v="0"/>
    <n v="0.14933311277981293"/>
    <n v="1.021081113024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84"/>
    <n v="40.577763431588146"/>
    <n v="69498"/>
    <n v="44.351934495604439"/>
    <n v="71332"/>
    <n v="38"/>
    <n v="351"/>
    <n v="0"/>
    <n v="91"/>
  </r>
  <r>
    <x v="9"/>
    <s v="Republic of Zimbabwe"/>
    <x v="42"/>
    <n v="487965.1"/>
    <n v="15993524.000000002"/>
    <n v="32.7759587724613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Zimbabwe"/>
    <x v="42"/>
    <n v="490571.8"/>
    <n v="16320536.999999996"/>
    <n v="33.26839618583864"/>
    <n v="2703"/>
    <n v="1902"/>
    <m/>
    <m/>
    <m/>
    <n v="63"/>
    <n v="19722"/>
    <n v="178"/>
    <m/>
    <n v="14"/>
    <m/>
    <m/>
    <n v="1994"/>
    <n v="690"/>
    <n v="265"/>
    <m/>
    <m/>
    <m/>
    <n v="795"/>
    <n v="757"/>
    <m/>
    <n v="0"/>
    <m/>
    <m/>
    <n v="77"/>
    <m/>
    <m/>
    <m/>
    <m/>
    <n v="588"/>
    <n v="400"/>
    <n v="557"/>
    <n v="957"/>
    <n v="39"/>
    <m/>
    <n v="84"/>
    <n v="84"/>
    <m/>
    <m/>
    <n v="0"/>
    <n v="6133"/>
    <n v="64364"/>
    <n v="5592"/>
    <n v="0"/>
    <n v="3.7578420366927885"/>
    <n v="39.437427824832"/>
    <n v="3.4263578459458786"/>
    <n v="0"/>
    <n v="1.6561955038611784"/>
    <n v="1.1654028295760124"/>
    <n v="0"/>
    <n v="0"/>
    <n v="0"/>
    <n v="3.8601671011192842E-2"/>
    <n v="12.084161201313416"/>
    <n v="0.10906503873003691"/>
    <n v="0"/>
    <n v="8.5781491135984086E-3"/>
    <n v="0"/>
    <n v="0"/>
    <n v="1.2217735237510876"/>
    <n v="0.42278020631306445"/>
    <n v="0.16237210822168416"/>
    <n v="0"/>
    <n v="0"/>
    <n v="0"/>
    <n v="0.4871163246650525"/>
    <n v="0.46383277707099968"/>
    <n v="0"/>
    <n v="0"/>
    <n v="0"/>
    <n v="4.7179820124791251E-2"/>
    <n v="0"/>
    <n v="0"/>
    <n v="0"/>
    <n v="0"/>
    <n v="0.36028226277113318"/>
    <n v="0.24508997467424024"/>
    <n v="0.34128778973387952"/>
    <n v="2.3896272530738425E-2"/>
    <n v="0"/>
    <n v="5.1468894681590452E-2"/>
    <n v="0"/>
    <n v="0"/>
    <n v="69956"/>
    <n v="42.863785670777879"/>
    <n v="76089"/>
    <n v="46.621627707470665"/>
    <n v="107958"/>
    <n v="0"/>
    <n v="0"/>
    <n v="0"/>
    <n v="0"/>
  </r>
  <r>
    <x v="0"/>
    <s v="State of Eritrea"/>
    <x v="43"/>
    <n v="105648.1"/>
    <n v="3252595.9999999991"/>
    <n v="30.78707520532786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89"/>
    <n v="0"/>
    <n v="0"/>
    <n v="0"/>
    <n v="1.1959677746636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"/>
    <m/>
    <n v="389"/>
    <n v="0"/>
    <n v="0"/>
    <n v="0"/>
    <n v="0"/>
  </r>
  <r>
    <x v="1"/>
    <s v="State of Eritrea"/>
    <x v="43"/>
    <n v="104956.6"/>
    <n v="3296367"/>
    <n v="31.4069529691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27"/>
    <n v="8524"/>
    <n v="0"/>
    <n v="0"/>
    <n v="1.2953654735652917"/>
    <n v="25.8587711865820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24"/>
    <n v="25.858771186582075"/>
    <n v="8951"/>
    <n v="27.154136660147369"/>
    <n v="8951"/>
    <n v="0"/>
    <n v="0"/>
    <n v="0"/>
    <n v="0"/>
  </r>
  <r>
    <x v="2"/>
    <s v="State of Eritrea"/>
    <x v="43"/>
    <n v="104202.4"/>
    <n v="3323425.0000000009"/>
    <n v="31.8939391031300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84"/>
    <n v="8264"/>
    <n v="0"/>
    <n v="0"/>
    <n v="1.4563289377675135"/>
    <n v="24.865913929154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4"/>
    <n v="24.865913929154406"/>
    <n v="8748"/>
    <n v="26.322242866921918"/>
    <n v="8748"/>
    <n v="0"/>
    <n v="0"/>
    <n v="0"/>
    <n v="0"/>
  </r>
  <r>
    <x v="3"/>
    <s v="State of Eritrea"/>
    <x v="43"/>
    <n v="102828.4"/>
    <n v="3340005.9999999991"/>
    <n v="32.4813572903983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7"/>
    <n v="7924"/>
    <n v="0"/>
    <n v="0"/>
    <n v="1.4880212790036909"/>
    <n v="23.72450827932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4"/>
    <n v="23.72450827932645"/>
    <n v="8421"/>
    <n v="25.212529558330143"/>
    <n v="8421"/>
    <n v="0"/>
    <n v="0"/>
    <n v="0"/>
    <n v="0"/>
  </r>
  <r>
    <x v="4"/>
    <s v="State of Eritrea"/>
    <x v="43"/>
    <n v="101415.1"/>
    <n v="3365287.5000000014"/>
    <n v="33.1832981479089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37"/>
    <n v="8968"/>
    <n v="752"/>
    <n v="0"/>
    <n v="1.595703190292062"/>
    <n v="26.64854042930952"/>
    <n v="2.2345787692730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20"/>
    <n v="28.883119198582577"/>
    <n v="10257"/>
    <n v="30.478822388874637"/>
    <n v="10257"/>
    <n v="0"/>
    <n v="0"/>
    <n v="0"/>
    <n v="0"/>
  </r>
  <r>
    <x v="5"/>
    <s v="State of Eritrea"/>
    <x v="43"/>
    <n v="100718.5"/>
    <n v="3396933.0000000019"/>
    <n v="33.7270014942637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29"/>
    <n v="9056"/>
    <n v="0"/>
    <n v="0"/>
    <n v="1.557287117526309"/>
    <n v="26.6593424126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56"/>
    <n v="26.65934241269991"/>
    <n v="9585"/>
    <n v="28.216629530226221"/>
    <n v="9585"/>
    <n v="0"/>
    <n v="0"/>
    <n v="0"/>
    <n v="0"/>
  </r>
  <r>
    <x v="6"/>
    <s v="State of Eritrea"/>
    <x v="43"/>
    <n v="100677"/>
    <n v="3445374.4999999986"/>
    <n v="34.222061642679051"/>
    <n v="186"/>
    <n v="451"/>
    <m/>
    <m/>
    <m/>
    <m/>
    <n v="243"/>
    <m/>
    <m/>
    <m/>
    <m/>
    <m/>
    <m/>
    <m/>
    <m/>
    <m/>
    <m/>
    <m/>
    <m/>
    <n v="549"/>
    <m/>
    <n v="0"/>
    <m/>
    <m/>
    <m/>
    <m/>
    <m/>
    <m/>
    <m/>
    <m/>
    <m/>
    <m/>
    <n v="0"/>
    <m/>
    <m/>
    <m/>
    <n v="0"/>
    <m/>
    <m/>
    <n v="0"/>
    <n v="639"/>
    <n v="9942"/>
    <n v="0"/>
    <n v="0"/>
    <n v="1.8546605020731426"/>
    <n v="28.856079360893872"/>
    <n v="0"/>
    <n v="0"/>
    <n v="0.53985423065039828"/>
    <n v="1.3090013872222024"/>
    <n v="0"/>
    <n v="0"/>
    <n v="0"/>
    <n v="0"/>
    <n v="0.70529343036584291"/>
    <n v="0"/>
    <n v="0"/>
    <n v="0"/>
    <n v="0"/>
    <n v="0"/>
    <n v="0"/>
    <n v="0"/>
    <n v="0"/>
    <n v="0"/>
    <n v="0"/>
    <n v="0"/>
    <n v="0"/>
    <n v="1.5934407130487562"/>
    <n v="0"/>
    <n v="0"/>
    <n v="0"/>
    <n v="0"/>
    <n v="0"/>
    <n v="0"/>
    <n v="0"/>
    <n v="0"/>
    <n v="0"/>
    <n v="0"/>
    <n v="0"/>
    <n v="0"/>
    <n v="0"/>
    <n v="0"/>
    <n v="0"/>
    <n v="0"/>
    <n v="9942"/>
    <n v="28.856079360893872"/>
    <n v="10581"/>
    <n v="30.710739862967014"/>
    <n v="12010"/>
    <n v="0"/>
    <n v="0"/>
    <n v="0"/>
    <n v="0"/>
  </r>
  <r>
    <x v="7"/>
    <s v="State of Eritrea"/>
    <x v="43"/>
    <n v="101446.8"/>
    <n v="3498818.0000000014"/>
    <n v="34.48919039338846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76"/>
    <n v="0"/>
    <n v="0"/>
    <n v="0"/>
    <n v="1.6462702546974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m/>
    <n v="576"/>
    <n v="0"/>
    <n v="0"/>
    <n v="0"/>
    <n v="0"/>
  </r>
  <r>
    <x v="8"/>
    <s v="State of Eritrea"/>
    <x v="43"/>
    <n v="102444.9"/>
    <n v="3555867.9999999991"/>
    <n v="34.710053892385069"/>
    <m/>
    <m/>
    <m/>
    <m/>
    <m/>
    <m/>
    <n v="600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62"/>
    <n v="0"/>
    <n v="0"/>
    <n v="0"/>
    <n v="1.8617114021105401"/>
    <n v="0"/>
    <n v="0"/>
    <n v="0"/>
    <n v="0"/>
    <n v="0"/>
    <n v="0"/>
    <n v="0"/>
    <n v="0"/>
    <n v="0"/>
    <n v="16.873517239672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2"/>
    <m/>
    <n v="6662"/>
    <n v="0"/>
    <n v="0"/>
    <n v="0"/>
    <n v="0"/>
  </r>
  <r>
    <x v="9"/>
    <s v="State of Eritrea"/>
    <x v="43"/>
    <n v="103744.1"/>
    <n v="3620312.0000000023"/>
    <n v="34.896557972935348"/>
    <n v="60"/>
    <n v="208"/>
    <m/>
    <m/>
    <m/>
    <n v="11"/>
    <n v="2626"/>
    <n v="154"/>
    <m/>
    <m/>
    <m/>
    <n v="8"/>
    <n v="234"/>
    <m/>
    <n v="44"/>
    <n v="137"/>
    <m/>
    <m/>
    <n v="267"/>
    <n v="298"/>
    <m/>
    <n v="0"/>
    <m/>
    <m/>
    <m/>
    <n v="99"/>
    <m/>
    <m/>
    <m/>
    <n v="280"/>
    <n v="131"/>
    <m/>
    <n v="131"/>
    <n v="7"/>
    <m/>
    <n v="6"/>
    <n v="6"/>
    <m/>
    <m/>
    <n v="0"/>
    <n v="636"/>
    <n v="9362"/>
    <n v="134"/>
    <n v="0"/>
    <n v="1.7567546664486364"/>
    <n v="25.859649665553672"/>
    <n v="0.37013384481779449"/>
    <n v="0"/>
    <n v="0.16573157230647514"/>
    <n v="0.5745361173291138"/>
    <n v="0"/>
    <n v="0"/>
    <n v="0"/>
    <n v="3.0384121589520443E-2"/>
    <n v="7.2535184812800617"/>
    <n v="0.42537770225328619"/>
    <n v="0"/>
    <n v="0"/>
    <n v="0"/>
    <n v="2.2097542974196686E-2"/>
    <n v="0.64635313199525302"/>
    <n v="0"/>
    <n v="0.12153648635808177"/>
    <n v="0.37842042343311821"/>
    <n v="0"/>
    <n v="0"/>
    <n v="0.73750549676381438"/>
    <n v="0.82313347578882656"/>
    <n v="0"/>
    <n v="0"/>
    <n v="0"/>
    <n v="0"/>
    <n v="0.27345709430568399"/>
    <n v="0"/>
    <n v="0"/>
    <n v="0"/>
    <n v="0.77341400409688399"/>
    <n v="0.36184726620247071"/>
    <n v="0"/>
    <n v="1.93353501024221E-2"/>
    <n v="0"/>
    <n v="1.6573157230647513E-2"/>
    <n v="0"/>
    <n v="0"/>
    <n v="9496"/>
    <n v="26.229783510371465"/>
    <n v="10132"/>
    <n v="27.986538176820101"/>
    <n v="14839"/>
    <n v="0"/>
    <n v="0"/>
    <n v="0"/>
    <n v="0"/>
  </r>
  <r>
    <x v="10"/>
    <s v="State of Eritrea"/>
    <x v="43"/>
    <n v="105140.5"/>
    <n v="3684031.5000000019"/>
    <n v="35.039128594594871"/>
    <n v="58"/>
    <n v="199"/>
    <n v="4713"/>
    <m/>
    <m/>
    <n v="11"/>
    <n v="2626"/>
    <n v="157"/>
    <m/>
    <m/>
    <m/>
    <n v="8"/>
    <m/>
    <n v="233"/>
    <n v="49"/>
    <n v="141"/>
    <n v="381"/>
    <m/>
    <n v="267"/>
    <n v="296"/>
    <m/>
    <n v="0"/>
    <m/>
    <m/>
    <m/>
    <n v="96"/>
    <m/>
    <m/>
    <m/>
    <n v="288"/>
    <n v="1"/>
    <n v="129"/>
    <n v="130"/>
    <n v="7"/>
    <m/>
    <n v="6"/>
    <n v="6"/>
    <m/>
    <m/>
    <n v="0"/>
    <n v="584"/>
    <n v="10014"/>
    <n v="134"/>
    <n v="0"/>
    <n v="1.5852198875063899"/>
    <n v="27.182178002549637"/>
    <n v="0.36373196048947987"/>
    <n v="0"/>
    <n v="0.15743622170440175"/>
    <n v="0.54016910550303354"/>
    <n v="12.793050222290438"/>
    <n v="0"/>
    <n v="0"/>
    <n v="2.9858593771524469E-2"/>
    <n v="7.1280606585475681"/>
    <n v="0.42616356564812197"/>
    <n v="0"/>
    <n v="0"/>
    <n v="0"/>
    <n v="2.1715340924745068E-2"/>
    <n v="0"/>
    <n v="0.63245930443320009"/>
    <n v="0.13300646316406353"/>
    <n v="0.3827328837986318"/>
    <n v="1.0341931115409839"/>
    <n v="0"/>
    <n v="0.72474950336336663"/>
    <n v="0.80346761421556756"/>
    <n v="0"/>
    <n v="0"/>
    <n v="0"/>
    <n v="0"/>
    <n v="0.26058409109694081"/>
    <n v="0"/>
    <n v="0"/>
    <n v="0"/>
    <n v="0.78175227329082242"/>
    <n v="2.7144176155931335E-3"/>
    <n v="0.35015987241151419"/>
    <n v="1.9000923309151936E-2"/>
    <n v="0"/>
    <n v="1.62865056935588E-2"/>
    <n v="0"/>
    <n v="0"/>
    <n v="10148"/>
    <n v="27.545909963039119"/>
    <n v="10732"/>
    <n v="29.131129850545509"/>
    <n v="20534"/>
    <n v="55"/>
    <n v="0"/>
    <n v="0"/>
    <n v="0"/>
  </r>
  <r>
    <x v="0"/>
    <s v="Togolese Republic"/>
    <x v="44"/>
    <n v="243236.1"/>
    <n v="6926634.5000000009"/>
    <n v="28.4770003301319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"/>
    <n v="0"/>
    <n v="0"/>
    <n v="0"/>
    <n v="7.074142572413773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.0741425724137733E-2"/>
    <n v="49"/>
    <n v="0"/>
    <n v="4"/>
    <n v="0"/>
    <n v="0"/>
  </r>
  <r>
    <x v="1"/>
    <s v="Togolese Republic"/>
    <x v="44"/>
    <n v="245420.7"/>
    <n v="7106229"/>
    <n v="28.95529594691890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3"/>
    <n v="0"/>
    <n v="1590"/>
    <n v="0"/>
    <n v="7.4582454350964486E-2"/>
    <n v="0"/>
    <n v="2.2374736305289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2.2374736305289344"/>
    <n v="1643"/>
    <n v="2.3120560848798992"/>
    <n v="1643"/>
    <n v="0"/>
    <n v="0"/>
    <n v="0"/>
    <n v="0"/>
  </r>
  <r>
    <x v="2"/>
    <s v="Togolese Republic"/>
    <x v="44"/>
    <n v="248497.9"/>
    <n v="7288383.0000000009"/>
    <n v="29.32975691142662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Togolese Republic"/>
    <x v="44"/>
    <n v="251850.6"/>
    <n v="7473228.5"/>
    <n v="29.67326065532502"/>
    <n v="18"/>
    <n v="17"/>
    <n v="1107"/>
    <m/>
    <m/>
    <m/>
    <m/>
    <m/>
    <m/>
    <m/>
    <m/>
    <m/>
    <m/>
    <m/>
    <m/>
    <m/>
    <m/>
    <m/>
    <m/>
    <n v="407"/>
    <m/>
    <n v="0"/>
    <m/>
    <m/>
    <m/>
    <m/>
    <m/>
    <m/>
    <m/>
    <m/>
    <m/>
    <n v="231"/>
    <n v="231"/>
    <m/>
    <m/>
    <m/>
    <n v="0"/>
    <m/>
    <m/>
    <n v="0"/>
    <n v="722"/>
    <n v="2682"/>
    <n v="1738"/>
    <n v="0"/>
    <n v="0.9661152472455512"/>
    <n v="3.5888103782722554"/>
    <n v="2.3256347641451081"/>
    <n v="0"/>
    <n v="2.4085975693102387E-2"/>
    <n v="2.2747865932374475E-2"/>
    <n v="1.4812875051257968"/>
    <n v="0"/>
    <n v="0"/>
    <n v="0"/>
    <n v="0"/>
    <n v="0"/>
    <n v="0"/>
    <n v="0"/>
    <n v="0"/>
    <n v="0"/>
    <n v="0"/>
    <n v="0"/>
    <n v="0"/>
    <n v="0"/>
    <n v="0"/>
    <n v="0"/>
    <n v="0"/>
    <n v="0.54461067261625951"/>
    <n v="0"/>
    <n v="0"/>
    <n v="0"/>
    <n v="0"/>
    <n v="0"/>
    <n v="0"/>
    <n v="0"/>
    <n v="0"/>
    <n v="0"/>
    <n v="0"/>
    <n v="0.30910335472814726"/>
    <n v="0"/>
    <n v="0"/>
    <n v="0"/>
    <n v="0"/>
    <n v="0"/>
    <n v="4420"/>
    <n v="5.9144451424173639"/>
    <n v="5142"/>
    <n v="6.8805603896629144"/>
    <n v="7153"/>
    <n v="0"/>
    <n v="68"/>
    <n v="0"/>
    <n v="0"/>
  </r>
  <r>
    <x v="4"/>
    <s v="Togolese Republic"/>
    <x v="44"/>
    <n v="255832.9"/>
    <n v="7661353.5000000019"/>
    <n v="29.946709355989796"/>
    <m/>
    <n v="13"/>
    <n v="688"/>
    <m/>
    <n v="9"/>
    <n v="9"/>
    <m/>
    <m/>
    <n v="2"/>
    <m/>
    <m/>
    <n v="19"/>
    <n v="18"/>
    <n v="293"/>
    <m/>
    <n v="112"/>
    <m/>
    <m/>
    <n v="129"/>
    <n v="276"/>
    <n v="48"/>
    <n v="50"/>
    <m/>
    <m/>
    <n v="1"/>
    <n v="2"/>
    <n v="1340"/>
    <n v="1264"/>
    <n v="638"/>
    <n v="1"/>
    <n v="152"/>
    <m/>
    <n v="152"/>
    <n v="33"/>
    <m/>
    <n v="14"/>
    <n v="14"/>
    <m/>
    <m/>
    <n v="0"/>
    <n v="964"/>
    <n v="2838"/>
    <n v="1922"/>
    <n v="2249"/>
    <n v="1.2582633081739405"/>
    <n v="3.7043062952257708"/>
    <n v="2.5086951019816532"/>
    <n v="2.9355126349410705"/>
    <n v="0"/>
    <n v="1.6968281126826999E-2"/>
    <n v="0.89801364732745959"/>
    <n v="0"/>
    <n v="1.1747271549341768E-2"/>
    <n v="1.1747271549341768E-2"/>
    <n v="0"/>
    <n v="0"/>
    <n v="2.6105047887426151E-3"/>
    <n v="0"/>
    <n v="0"/>
    <n v="2.4799795493054843E-2"/>
    <n v="2.3494543098683537E-2"/>
    <n v="0.3824389515507931"/>
    <n v="0"/>
    <n v="0.14618826816958644"/>
    <n v="0"/>
    <n v="0"/>
    <n v="0.16837755887389869"/>
    <n v="0.36024966084648091"/>
    <n v="6.2652114929822769E-2"/>
    <n v="0"/>
    <n v="0"/>
    <n v="1.3052523943713075E-3"/>
    <n v="2.6105047887426151E-3"/>
    <n v="1.7490382084575522"/>
    <n v="1.6498390264853329"/>
    <n v="0.83275102760889419"/>
    <n v="1.3052523943713075E-3"/>
    <n v="0.19839836394443874"/>
    <n v="0"/>
    <n v="4.3073329014253148E-2"/>
    <n v="0"/>
    <n v="1.8273533521198305E-2"/>
    <n v="0"/>
    <n v="0"/>
    <n v="4760"/>
    <n v="6.2130013972074236"/>
    <n v="5724"/>
    <n v="7.4712647053813646"/>
    <n v="13250"/>
    <n v="0"/>
    <n v="0"/>
    <n v="0"/>
    <n v="0"/>
  </r>
  <r>
    <x v="5"/>
    <s v="Togolese Republic"/>
    <x v="44"/>
    <n v="259750.6"/>
    <n v="7852795.0000000037"/>
    <n v="30.232057211802413"/>
    <n v="57"/>
    <n v="218"/>
    <n v="1431"/>
    <m/>
    <n v="21"/>
    <n v="22"/>
    <n v="7545"/>
    <m/>
    <n v="6"/>
    <n v="1"/>
    <m/>
    <n v="11"/>
    <n v="35"/>
    <n v="309"/>
    <m/>
    <n v="151"/>
    <m/>
    <m/>
    <n v="201"/>
    <n v="454"/>
    <n v="58"/>
    <n v="64"/>
    <m/>
    <m/>
    <n v="7"/>
    <n v="6"/>
    <n v="1364"/>
    <n v="1806"/>
    <n v="945"/>
    <n v="3"/>
    <n v="174"/>
    <m/>
    <n v="174"/>
    <n v="57"/>
    <n v="41"/>
    <n v="21"/>
    <n v="62"/>
    <m/>
    <m/>
    <n v="0"/>
    <n v="1490"/>
    <n v="3932"/>
    <n v="2536"/>
    <n v="3474"/>
    <n v="1.897413596050832"/>
    <n v="5.0071344024643434"/>
    <n v="3.229423409117389"/>
    <n v="4.4239025722688528"/>
    <n v="7.2585620788521765E-2"/>
    <n v="0.2776081637175043"/>
    <n v="1.8222811113749937"/>
    <n v="0"/>
    <n v="2.6742070816823806E-2"/>
    <n v="2.8015502760482081E-2"/>
    <n v="9.6080440149016955"/>
    <n v="0"/>
    <n v="7.6405916619496587E-3"/>
    <n v="1.2734319436582765E-3"/>
    <n v="0"/>
    <n v="1.4007751380241041E-2"/>
    <n v="4.4570118028039674E-2"/>
    <n v="0.39349047059040743"/>
    <n v="0"/>
    <n v="0.19228822349239974"/>
    <n v="0"/>
    <n v="0"/>
    <n v="0.25595982067531359"/>
    <n v="0.5781381024208575"/>
    <n v="7.3859052732180033E-2"/>
    <n v="0"/>
    <n v="0"/>
    <n v="8.9140236056079354E-3"/>
    <n v="7.6405916619496587E-3"/>
    <n v="1.7369611711498891"/>
    <n v="2.2998180902468475"/>
    <n v="1.2033931867570713"/>
    <n v="3.8202958309748293E-3"/>
    <n v="0.22157715819654011"/>
    <n v="0"/>
    <n v="7.2585620788521765E-2"/>
    <n v="5.2210709689989337E-2"/>
    <n v="2.6742070816823806E-2"/>
    <n v="0"/>
    <n v="0"/>
    <n v="6468"/>
    <n v="8.2365578115817328"/>
    <n v="7958"/>
    <n v="10.133971407632565"/>
    <n v="26676"/>
    <n v="0"/>
    <n v="0"/>
    <n v="0"/>
    <n v="0"/>
  </r>
  <r>
    <x v="6"/>
    <s v="Togolese Republic"/>
    <x v="44"/>
    <n v="262963.5"/>
    <n v="8046679"/>
    <n v="30.599984408482545"/>
    <n v="21"/>
    <n v="213"/>
    <n v="1050"/>
    <m/>
    <n v="25"/>
    <n v="23"/>
    <n v="7086"/>
    <m/>
    <n v="4"/>
    <n v="1"/>
    <n v="2"/>
    <m/>
    <n v="300"/>
    <n v="51"/>
    <m/>
    <n v="148"/>
    <m/>
    <m/>
    <n v="183"/>
    <n v="460"/>
    <n v="51"/>
    <n v="55"/>
    <m/>
    <m/>
    <n v="3"/>
    <n v="5"/>
    <n v="1353"/>
    <n v="1554"/>
    <n v="978"/>
    <n v="3"/>
    <n v="160"/>
    <m/>
    <n v="160"/>
    <n v="62"/>
    <n v="42"/>
    <n v="20"/>
    <n v="62"/>
    <m/>
    <m/>
    <n v="0"/>
    <n v="1633"/>
    <n v="3902"/>
    <n v="2570"/>
    <n v="3903"/>
    <n v="2.0294086541789476"/>
    <n v="4.8492054921042582"/>
    <n v="3.1938642016165923"/>
    <n v="4.8504482408208407"/>
    <n v="2.6097723048228966E-2"/>
    <n v="0.26470547663203664"/>
    <n v="1.3048861524114483"/>
    <n v="0"/>
    <n v="3.1068717914558293E-2"/>
    <n v="2.8583220481393629E-2"/>
    <n v="8.8061174057024019"/>
    <n v="0"/>
    <n v="4.9709948663293263E-3"/>
    <n v="1.2427487165823316E-3"/>
    <n v="2.4854974331646631E-3"/>
    <n v="0"/>
    <n v="0.37282461497469949"/>
    <n v="6.3380184545698909E-2"/>
    <n v="0"/>
    <n v="0.1839268100541851"/>
    <n v="0"/>
    <n v="0"/>
    <n v="0.2274230151345667"/>
    <n v="0.57166440962787257"/>
    <n v="6.3380184545698909E-2"/>
    <n v="0"/>
    <n v="0"/>
    <n v="3.7282461497469949E-3"/>
    <n v="6.213743582911658E-3"/>
    <n v="1.6814390135358948"/>
    <n v="1.9312315055689435"/>
    <n v="1.2154082448175203"/>
    <n v="3.7282461497469949E-3"/>
    <n v="0.19883979465317306"/>
    <n v="0"/>
    <n v="7.705042042810456E-2"/>
    <n v="5.2195446096457931E-2"/>
    <n v="2.4854974331646632E-2"/>
    <n v="0"/>
    <n v="0"/>
    <n v="6472"/>
    <n v="8.0430696937208506"/>
    <n v="8105"/>
    <n v="10.072478347899798"/>
    <n v="26083"/>
    <n v="0"/>
    <n v="0"/>
    <n v="0"/>
    <n v="0"/>
  </r>
  <r>
    <x v="7"/>
    <s v="Togolese Republic"/>
    <x v="44"/>
    <n v="266152.90000000002"/>
    <n v="8243094.5000000047"/>
    <n v="30.97127440655354"/>
    <m/>
    <n v="222"/>
    <n v="884"/>
    <m/>
    <n v="35"/>
    <n v="16"/>
    <m/>
    <n v="25"/>
    <n v="2"/>
    <n v="1"/>
    <n v="2"/>
    <n v="17"/>
    <n v="332"/>
    <n v="21"/>
    <m/>
    <n v="139"/>
    <m/>
    <m/>
    <n v="195"/>
    <n v="518"/>
    <n v="14"/>
    <n v="16"/>
    <m/>
    <m/>
    <n v="5"/>
    <n v="4"/>
    <n v="1353"/>
    <n v="1948"/>
    <n v="817"/>
    <n v="32"/>
    <n v="117"/>
    <n v="58"/>
    <n v="175"/>
    <n v="61"/>
    <n v="41"/>
    <n v="21"/>
    <n v="62"/>
    <m/>
    <m/>
    <n v="0"/>
    <n v="1651"/>
    <n v="4268"/>
    <n v="3238"/>
    <n v="3845"/>
    <n v="2.0028885996636325"/>
    <n v="5.1776671976767918"/>
    <n v="3.9281364540949983"/>
    <n v="4.6645103971572786"/>
    <n v="0"/>
    <n v="0.26931633502442542"/>
    <n v="1.0724127935206851"/>
    <n v="0"/>
    <n v="4.2459782548895902E-2"/>
    <n v="1.94101863080667E-2"/>
    <n v="0"/>
    <n v="3.0328416106354218E-2"/>
    <n v="2.4262732885083375E-3"/>
    <n v="1.2131366442541688E-3"/>
    <n v="2.4262732885083375E-3"/>
    <n v="2.0623322952320867E-2"/>
    <n v="0.40276136589238398"/>
    <n v="2.5475869529337541E-2"/>
    <n v="0"/>
    <n v="0.16862599355132946"/>
    <n v="0"/>
    <n v="0"/>
    <n v="0.23656164562956289"/>
    <n v="0.62840478172365932"/>
    <n v="1.6983913019558362E-2"/>
    <n v="0"/>
    <n v="0"/>
    <n v="6.0656832212708433E-3"/>
    <n v="4.852546577016675E-3"/>
    <n v="1.6413738796758901"/>
    <n v="2.3631901830071205"/>
    <n v="0.99113263835565579"/>
    <n v="3.88203726161334E-2"/>
    <n v="0.14193698737773774"/>
    <n v="7.0361925366741782E-2"/>
    <n v="7.4001335299504284E-2"/>
    <n v="4.9738602414420914E-2"/>
    <n v="2.5475869529337541E-2"/>
    <n v="0"/>
    <n v="0"/>
    <n v="7506"/>
    <n v="9.1058036517717902"/>
    <n v="9157"/>
    <n v="11.108692251435423"/>
    <n v="20135"/>
    <n v="0"/>
    <n v="0"/>
    <n v="0"/>
    <n v="0"/>
  </r>
  <r>
    <x v="8"/>
    <s v="Togolese Republic"/>
    <x v="44"/>
    <n v="269323.40000000002"/>
    <n v="8442580"/>
    <n v="31.347368999500226"/>
    <m/>
    <n v="232"/>
    <n v="1411"/>
    <m/>
    <n v="83"/>
    <n v="20"/>
    <n v="7386"/>
    <m/>
    <n v="2"/>
    <n v="1"/>
    <n v="2"/>
    <n v="20"/>
    <n v="50"/>
    <n v="379"/>
    <m/>
    <n v="280"/>
    <m/>
    <n v="997"/>
    <n v="338"/>
    <n v="589"/>
    <n v="6"/>
    <n v="8"/>
    <m/>
    <n v="14"/>
    <n v="7"/>
    <n v="3"/>
    <n v="2137"/>
    <n v="1371"/>
    <m/>
    <n v="49"/>
    <n v="230"/>
    <m/>
    <n v="230"/>
    <n v="65"/>
    <n v="45"/>
    <n v="21"/>
    <n v="66"/>
    <m/>
    <m/>
    <n v="0"/>
    <n v="1619"/>
    <n v="4910"/>
    <n v="3486"/>
    <n v="4622"/>
    <n v="1.9176602413006452"/>
    <n v="5.8157577423015239"/>
    <n v="4.1290695498295547"/>
    <n v="5.474629793262249"/>
    <n v="0"/>
    <n v="0.2747975145038602"/>
    <n v="1.6712900558833912"/>
    <n v="0"/>
    <n v="9.8311179757846534E-2"/>
    <n v="2.3689440905505191E-2"/>
    <n v="8.7485105264030665"/>
    <n v="0"/>
    <n v="2.3689440905505189E-3"/>
    <n v="1.1844720452752595E-3"/>
    <n v="2.3689440905505189E-3"/>
    <n v="2.3689440905505191E-2"/>
    <n v="5.922360226376297E-2"/>
    <n v="0.44891490515932331"/>
    <n v="0"/>
    <n v="0.33165217267707264"/>
    <n v="0"/>
    <n v="1.1809186291394336"/>
    <n v="0.40035155130303768"/>
    <n v="0.69765403466712783"/>
    <n v="7.1068322716515567E-3"/>
    <n v="0"/>
    <n v="1.6582608633853631E-2"/>
    <n v="8.2913043169268157E-3"/>
    <n v="3.5534161358257784E-3"/>
    <n v="2.5312167607532294"/>
    <n v="1.6239111740723806"/>
    <n v="0"/>
    <n v="5.8039130218487715E-2"/>
    <n v="0.2724285704133097"/>
    <n v="0"/>
    <n v="7.6990682942891867E-2"/>
    <n v="5.3301242037386676E-2"/>
    <n v="2.4873912950780449E-2"/>
    <n v="0"/>
    <n v="0"/>
    <n v="8396"/>
    <n v="9.9448272921310785"/>
    <n v="10015"/>
    <n v="11.862487533431723"/>
    <n v="30679"/>
    <n v="0"/>
    <n v="0"/>
    <n v="0"/>
    <n v="0"/>
  </r>
  <r>
    <x v="9"/>
    <s v="Togolese Republic"/>
    <x v="44"/>
    <n v="272351.90000000002"/>
    <n v="8644828.9999999981"/>
    <n v="31.741394130167617"/>
    <n v="13"/>
    <n v="21"/>
    <n v="991"/>
    <m/>
    <n v="33"/>
    <n v="5"/>
    <n v="7500"/>
    <m/>
    <n v="2"/>
    <n v="1"/>
    <m/>
    <n v="104"/>
    <n v="86"/>
    <n v="342"/>
    <m/>
    <n v="95"/>
    <m/>
    <m/>
    <n v="149"/>
    <n v="446"/>
    <n v="17"/>
    <n v="19"/>
    <m/>
    <m/>
    <n v="14"/>
    <n v="1"/>
    <n v="2139"/>
    <m/>
    <n v="813"/>
    <n v="44"/>
    <n v="161"/>
    <m/>
    <n v="161"/>
    <n v="69"/>
    <n v="33"/>
    <n v="23"/>
    <n v="56"/>
    <m/>
    <m/>
    <n v="0"/>
    <n v="1369"/>
    <n v="3892"/>
    <n v="2964"/>
    <n v="2974"/>
    <n v="1.5836056444841191"/>
    <n v="4.5021133442894019"/>
    <n v="3.428639247809298"/>
    <n v="3.440206856607575"/>
    <n v="1.5037891437760079E-2"/>
    <n v="2.4291978476381666E-2"/>
    <n v="1.1463500319092492"/>
    <n v="0"/>
    <n v="3.8173109034314048E-2"/>
    <n v="5.7838043991384923E-3"/>
    <n v="8.6757065987077375"/>
    <n v="0"/>
    <n v="2.313521759655397E-3"/>
    <n v="1.1567608798276985E-3"/>
    <n v="0"/>
    <n v="0.12030313150208063"/>
    <n v="9.9481435665182069E-2"/>
    <n v="0.39561222090107284"/>
    <n v="0"/>
    <n v="0.10989228358363134"/>
    <n v="0"/>
    <n v="0"/>
    <n v="0.17235737109432706"/>
    <n v="0.51591535240315345"/>
    <n v="1.9664934957070872E-2"/>
    <n v="0"/>
    <n v="0"/>
    <n v="1.6194652317587779E-2"/>
    <n v="1.1567608798276985E-3"/>
    <n v="2.4743115219514471"/>
    <n v="0"/>
    <n v="0.94044659529991881"/>
    <n v="5.0897478712418731E-2"/>
    <n v="0.18623850165225944"/>
    <n v="0"/>
    <n v="7.9816500708111193E-2"/>
    <n v="3.8173109034314048E-2"/>
    <n v="2.6605500236037062E-2"/>
    <n v="0"/>
    <n v="0"/>
    <n v="6856"/>
    <n v="7.9307525920986999"/>
    <n v="8225"/>
    <n v="9.5143582365828188"/>
    <n v="24537"/>
    <n v="0"/>
    <n v="0"/>
    <n v="0"/>
    <n v="0"/>
  </r>
  <r>
    <x v="10"/>
    <s v="Togolese Republic"/>
    <x v="44"/>
    <n v="275519.8"/>
    <n v="8848698.5000000019"/>
    <n v="32.116379657650747"/>
    <n v="18"/>
    <n v="255"/>
    <m/>
    <m/>
    <m/>
    <n v="19"/>
    <m/>
    <n v="1"/>
    <n v="19"/>
    <m/>
    <m/>
    <m/>
    <m/>
    <n v="461"/>
    <m/>
    <m/>
    <n v="1377"/>
    <n v="595"/>
    <n v="887"/>
    <m/>
    <m/>
    <n v="19"/>
    <m/>
    <m/>
    <n v="50"/>
    <n v="2"/>
    <m/>
    <m/>
    <n v="390"/>
    <n v="73"/>
    <n v="183"/>
    <m/>
    <n v="183"/>
    <m/>
    <m/>
    <m/>
    <n v="0"/>
    <m/>
    <m/>
    <n v="0"/>
    <n v="1641"/>
    <n v="5260"/>
    <n v="3728"/>
    <n v="0"/>
    <n v="1.8545100163600328"/>
    <n v="5.9443770177049187"/>
    <n v="4.2130489585558815"/>
    <n v="0"/>
    <n v="2.0341974585302004E-2"/>
    <n v="0.28817797329177841"/>
    <n v="0"/>
    <n v="0"/>
    <n v="0"/>
    <n v="2.1472084284485448E-2"/>
    <n v="0"/>
    <n v="1.1301096991834447E-3"/>
    <n v="2.1472084284485448E-2"/>
    <n v="0"/>
    <n v="0"/>
    <n v="0"/>
    <n v="0"/>
    <n v="0.52098057132356801"/>
    <n v="0"/>
    <n v="0"/>
    <n v="1.5561610557756034"/>
    <n v="0.67241527101414955"/>
    <n v="1.0024073031757155"/>
    <n v="0"/>
    <n v="0"/>
    <n v="0"/>
    <n v="0"/>
    <n v="5.6505484959172229E-2"/>
    <n v="2.2602193983668893E-3"/>
    <n v="0"/>
    <n v="0"/>
    <n v="0.44074278268154343"/>
    <n v="8.2498008040391466E-2"/>
    <n v="0.20681007495057038"/>
    <n v="0"/>
    <n v="0"/>
    <n v="0"/>
    <n v="0"/>
    <n v="0"/>
    <n v="0"/>
    <n v="8988"/>
    <n v="10.1574259762608"/>
    <n v="10629"/>
    <n v="12.011935992620833"/>
    <n v="15161"/>
    <n v="985"/>
    <n v="2076"/>
    <n v="0"/>
    <n v="0"/>
  </r>
  <r>
    <x v="0"/>
    <s v="Union of the Comoros"/>
    <x v="45"/>
    <n v="22453.8"/>
    <n v="684552.49999999988"/>
    <n v="30.487155848898624"/>
    <n v="18"/>
    <n v="16"/>
    <m/>
    <m/>
    <m/>
    <m/>
    <m/>
    <m/>
    <m/>
    <m/>
    <m/>
    <m/>
    <m/>
    <m/>
    <m/>
    <m/>
    <m/>
    <m/>
    <n v="86"/>
    <m/>
    <m/>
    <n v="0"/>
    <m/>
    <m/>
    <m/>
    <m/>
    <m/>
    <m/>
    <m/>
    <m/>
    <m/>
    <m/>
    <n v="0"/>
    <m/>
    <m/>
    <m/>
    <n v="0"/>
    <m/>
    <m/>
    <n v="0"/>
    <n v="246"/>
    <n v="0"/>
    <n v="1334"/>
    <n v="0"/>
    <n v="3.5935885122032283"/>
    <n v="0"/>
    <n v="19.487183232841897"/>
    <n v="0"/>
    <n v="0.26294550089291913"/>
    <n v="0.23372933412703922"/>
    <n v="0"/>
    <n v="0"/>
    <n v="0"/>
    <n v="0"/>
    <n v="0"/>
    <n v="0"/>
    <n v="0"/>
    <n v="0"/>
    <n v="0"/>
    <n v="0"/>
    <n v="0"/>
    <n v="0"/>
    <n v="0"/>
    <n v="0"/>
    <n v="0"/>
    <n v="0"/>
    <n v="1.2562951709328358"/>
    <n v="0"/>
    <n v="0"/>
    <n v="0"/>
    <n v="0"/>
    <n v="0"/>
    <n v="0"/>
    <n v="0"/>
    <n v="0"/>
    <n v="0"/>
    <n v="0"/>
    <n v="0"/>
    <n v="0"/>
    <n v="0"/>
    <n v="0"/>
    <n v="0"/>
    <n v="0"/>
    <n v="0"/>
    <n v="1334"/>
    <n v="19.487183232841897"/>
    <n v="1580"/>
    <n v="23.080771745045126"/>
    <n v="1700"/>
    <n v="0"/>
    <n v="0"/>
    <n v="0"/>
    <n v="0"/>
  </r>
  <r>
    <x v="1"/>
    <s v="Union of the Comoros"/>
    <x v="45"/>
    <n v="22675.4"/>
    <n v="699392.50000000035"/>
    <n v="30.8436675869003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9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0"/>
    <m/>
    <n v="590"/>
    <m/>
    <n v="590"/>
    <n v="181"/>
    <n v="6"/>
    <n v="0"/>
    <n v="755"/>
  </r>
  <r>
    <x v="2"/>
    <s v="Union of the Comoros"/>
    <x v="45"/>
    <n v="22908.400000000001"/>
    <n v="714612.00000000012"/>
    <n v="31.19432173351260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Union of the Comoros"/>
    <x v="45"/>
    <n v="23131.8"/>
    <n v="730215.49999999953"/>
    <n v="31.56760390458155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Union of the Comoros"/>
    <x v="45"/>
    <n v="23359.599999999999"/>
    <n v="746232.00000000012"/>
    <n v="31.94541002414425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40"/>
    <n v="0"/>
    <n v="1000"/>
    <n v="0"/>
    <n v="5.8962896257464159"/>
    <n v="0"/>
    <n v="13.400658240332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3.400658240332763"/>
    <n v="1440"/>
    <n v="19.296947866079179"/>
    <n v="1440"/>
    <n v="301"/>
    <n v="432"/>
    <n v="0"/>
    <n v="0"/>
  </r>
  <r>
    <x v="5"/>
    <s v="Union of the Comoros"/>
    <x v="45"/>
    <n v="23590.799999999999"/>
    <n v="761663.99999999977"/>
    <n v="32.28648456177830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4"/>
    <n v="1462"/>
    <n v="0"/>
    <n v="0"/>
  </r>
  <r>
    <x v="6"/>
    <s v="Union of the Comoros"/>
    <x v="45"/>
    <n v="23759.3"/>
    <n v="776313.5000000007"/>
    <n v="32.674089724865659"/>
    <n v="32"/>
    <n v="36"/>
    <m/>
    <m/>
    <m/>
    <m/>
    <m/>
    <m/>
    <m/>
    <m/>
    <m/>
    <m/>
    <m/>
    <m/>
    <m/>
    <m/>
    <m/>
    <m/>
    <n v="8"/>
    <m/>
    <m/>
    <n v="0"/>
    <m/>
    <m/>
    <m/>
    <m/>
    <m/>
    <m/>
    <m/>
    <n v="19"/>
    <m/>
    <m/>
    <n v="0"/>
    <m/>
    <m/>
    <m/>
    <n v="0"/>
    <m/>
    <m/>
    <n v="0"/>
    <n v="440"/>
    <n v="1358"/>
    <n v="968"/>
    <n v="0"/>
    <n v="5.6678133254155645"/>
    <n v="17.492932945259856"/>
    <n v="12.469189315914242"/>
    <n v="0"/>
    <n v="0.41220460548476834"/>
    <n v="0.46373018117036441"/>
    <n v="0"/>
    <n v="0"/>
    <n v="0"/>
    <n v="0"/>
    <n v="0"/>
    <n v="0"/>
    <n v="0"/>
    <n v="0"/>
    <n v="0"/>
    <n v="0"/>
    <n v="0"/>
    <n v="0"/>
    <n v="0"/>
    <n v="0"/>
    <n v="0"/>
    <n v="0"/>
    <n v="0.10305115137119208"/>
    <n v="0"/>
    <n v="0"/>
    <n v="0"/>
    <n v="0"/>
    <n v="0"/>
    <n v="0"/>
    <n v="0"/>
    <n v="0"/>
    <n v="0"/>
    <n v="0.24474648450658121"/>
    <n v="0"/>
    <n v="0"/>
    <n v="0"/>
    <n v="0"/>
    <n v="0"/>
    <n v="0"/>
    <n v="0"/>
    <n v="2326"/>
    <n v="29.962122261174098"/>
    <n v="2766"/>
    <n v="35.629935586589667"/>
    <n v="2861"/>
    <n v="0"/>
    <n v="0"/>
    <n v="0"/>
    <n v="0"/>
  </r>
  <r>
    <x v="7"/>
    <s v="Union of the Comoros"/>
    <x v="45"/>
    <n v="23881.9"/>
    <n v="790986.00000000023"/>
    <n v="33.1207316000820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Union of the Comoros"/>
    <x v="45"/>
    <n v="23981"/>
    <n v="806166.00000000023"/>
    <n v="33.616863350152215"/>
    <n v="32"/>
    <n v="35"/>
    <m/>
    <m/>
    <m/>
    <m/>
    <m/>
    <m/>
    <m/>
    <m/>
    <m/>
    <m/>
    <m/>
    <m/>
    <m/>
    <n v="25"/>
    <m/>
    <m/>
    <n v="16"/>
    <m/>
    <m/>
    <n v="0"/>
    <m/>
    <m/>
    <m/>
    <m/>
    <m/>
    <m/>
    <m/>
    <n v="71"/>
    <m/>
    <m/>
    <n v="0"/>
    <m/>
    <m/>
    <m/>
    <n v="0"/>
    <m/>
    <m/>
    <n v="0"/>
    <n v="708"/>
    <n v="1366"/>
    <n v="1172"/>
    <n v="0"/>
    <n v="8.7823103430310852"/>
    <n v="16.944401029068452"/>
    <n v="14.537948759932814"/>
    <n v="0"/>
    <n v="0.39694058047598124"/>
    <n v="0.43415375989560451"/>
    <n v="0"/>
    <n v="0"/>
    <n v="0"/>
    <n v="0"/>
    <n v="0"/>
    <n v="0"/>
    <n v="0"/>
    <n v="0"/>
    <n v="0"/>
    <n v="0"/>
    <n v="0"/>
    <n v="0"/>
    <n v="0"/>
    <n v="0.31010982849686036"/>
    <n v="0"/>
    <n v="0"/>
    <n v="0.19847029023799062"/>
    <n v="0"/>
    <n v="0"/>
    <n v="0"/>
    <n v="0"/>
    <n v="0"/>
    <n v="0"/>
    <n v="0"/>
    <n v="0"/>
    <n v="0"/>
    <n v="0.88071191293108342"/>
    <n v="0"/>
    <n v="0"/>
    <n v="0"/>
    <n v="0"/>
    <n v="0"/>
    <n v="0"/>
    <n v="0"/>
    <n v="2538"/>
    <n v="31.482349789001265"/>
    <n v="3246"/>
    <n v="40.264660132032347"/>
    <n v="3425"/>
    <n v="0"/>
    <n v="0"/>
    <n v="0"/>
    <n v="0"/>
  </r>
  <r>
    <x v="9"/>
    <s v="Union of the Comoros"/>
    <x v="45"/>
    <n v="24060.400000000001"/>
    <n v="821625.49999999988"/>
    <n v="34.1484555535236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4"/>
    <n v="0"/>
    <n v="0"/>
  </r>
  <r>
    <x v="10"/>
    <s v="Union of the Comoros"/>
    <x v="45"/>
    <n v="24120.5"/>
    <n v="836773.49999999977"/>
    <n v="34.6913828486142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nited Republic of Tanzania"/>
    <x v="46"/>
    <n v="1802575.6"/>
    <n v="47786137.499999993"/>
    <n v="26.509921414669094"/>
    <n v="99"/>
    <n v="339"/>
    <n v="317"/>
    <m/>
    <m/>
    <n v="28"/>
    <m/>
    <n v="366"/>
    <n v="44"/>
    <m/>
    <m/>
    <m/>
    <m/>
    <n v="929"/>
    <m/>
    <n v="223"/>
    <m/>
    <m/>
    <n v="1997"/>
    <n v="89"/>
    <n v="16"/>
    <n v="60"/>
    <n v="470"/>
    <m/>
    <n v="65"/>
    <n v="82"/>
    <m/>
    <m/>
    <n v="8787"/>
    <n v="317"/>
    <n v="118"/>
    <n v="12"/>
    <n v="130"/>
    <m/>
    <m/>
    <m/>
    <n v="0"/>
    <m/>
    <m/>
    <n v="0"/>
    <n v="2962"/>
    <n v="41600"/>
    <n v="0"/>
    <n v="0"/>
    <n v="0.61984503350997988"/>
    <n v="8.7054535428815534"/>
    <n v="0"/>
    <n v="0"/>
    <n v="2.0717305306376773E-2"/>
    <n v="7.0941075746078039E-2"/>
    <n v="6.6337230122438764E-2"/>
    <n v="0"/>
    <n v="0"/>
    <n v="5.859439884631815E-3"/>
    <n v="0"/>
    <n v="7.6591249920544432E-2"/>
    <n v="9.2076912472785662E-3"/>
    <n v="0"/>
    <n v="0"/>
    <n v="0"/>
    <n v="0"/>
    <n v="0.19440784474367701"/>
    <n v="0"/>
    <n v="4.66662533668891E-2"/>
    <n v="0"/>
    <n v="0"/>
    <n v="0.41790362320034763"/>
    <n v="1.8624648204722555E-2"/>
    <n v="3.3482513626467512E-3"/>
    <n v="9.8354883777748328E-2"/>
    <n v="0"/>
    <n v="1.3602271160752428E-2"/>
    <n v="1.71597882335646E-2"/>
    <n v="0"/>
    <n v="0"/>
    <n v="1.8388177952235627"/>
    <n v="6.6337230122438764E-2"/>
    <n v="2.4693353799519792E-2"/>
    <n v="2.5111885219850634E-3"/>
    <n v="0"/>
    <n v="0"/>
    <n v="0"/>
    <n v="0"/>
    <n v="0"/>
    <n v="41600"/>
    <n v="8.7054535428815534"/>
    <n v="44562"/>
    <n v="9.3252985763915337"/>
    <n v="59050"/>
    <n v="9658"/>
    <n v="20962"/>
    <n v="0"/>
    <n v="3255"/>
  </r>
  <r>
    <x v="1"/>
    <s v="United Republic of Tanzania"/>
    <x v="46"/>
    <n v="1850826.3"/>
    <n v="49253643.5"/>
    <n v="26.6117049990050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United Republic of Tanzania"/>
    <x v="46"/>
    <n v="1924245.2"/>
    <n v="50814551.500000022"/>
    <n v="26.407524103477055"/>
    <n v="104"/>
    <n v="707"/>
    <m/>
    <m/>
    <m/>
    <m/>
    <m/>
    <n v="933"/>
    <m/>
    <m/>
    <m/>
    <m/>
    <n v="1119"/>
    <n v="1205"/>
    <m/>
    <m/>
    <m/>
    <m/>
    <n v="2508"/>
    <n v="93"/>
    <m/>
    <n v="0"/>
    <m/>
    <m/>
    <m/>
    <m/>
    <m/>
    <m/>
    <n v="10536"/>
    <n v="1132"/>
    <m/>
    <m/>
    <n v="0"/>
    <m/>
    <m/>
    <m/>
    <n v="0"/>
    <m/>
    <m/>
    <n v="0"/>
    <n v="6036"/>
    <n v="43104"/>
    <n v="0"/>
    <n v="0"/>
    <n v="1.1878487208531197"/>
    <n v="8.4826095532890768"/>
    <n v="0"/>
    <n v="0"/>
    <n v="2.0466578357972904E-2"/>
    <n v="0.13913337402968118"/>
    <n v="0"/>
    <n v="0"/>
    <n v="0"/>
    <n v="0"/>
    <n v="0"/>
    <n v="0.18360882315373769"/>
    <n v="0"/>
    <n v="0"/>
    <n v="0"/>
    <n v="0"/>
    <n v="0.22021251137088152"/>
    <n v="0.23713679732074375"/>
    <n v="0"/>
    <n v="0"/>
    <n v="0"/>
    <n v="0"/>
    <n v="0.49355940886342348"/>
    <n v="1.8301844108571923E-2"/>
    <n v="0"/>
    <n v="0"/>
    <n v="0"/>
    <n v="0"/>
    <n v="0"/>
    <n v="0"/>
    <n v="0"/>
    <n v="2.0734218228807935"/>
    <n v="0.22277083366562814"/>
    <n v="0"/>
    <n v="0"/>
    <n v="0"/>
    <n v="0"/>
    <n v="0"/>
    <n v="0"/>
    <n v="0"/>
    <n v="43104"/>
    <n v="8.4826095532890768"/>
    <n v="49140"/>
    <n v="9.6704582741421969"/>
    <n v="67477"/>
    <n v="0"/>
    <n v="0"/>
    <n v="0"/>
    <n v="0"/>
  </r>
  <r>
    <x v="3"/>
    <s v="United Republic of Tanzania"/>
    <x v="46"/>
    <n v="1988487.9"/>
    <n v="52542823.5"/>
    <n v="26.4235067761790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0"/>
    <n v="0"/>
  </r>
  <r>
    <x v="4"/>
    <s v="United Republic of Tanzania"/>
    <x v="46"/>
    <n v="2044971.2"/>
    <n v="54401801.500000007"/>
    <n v="26.60272257134966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7"/>
    <n v="0"/>
    <n v="0"/>
    <n v="0"/>
    <n v="1.231576862394896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"/>
    <n v="1.2315768623948968E-2"/>
    <n v="67"/>
    <n v="0"/>
    <n v="1200"/>
    <n v="0"/>
    <n v="0"/>
  </r>
  <r>
    <x v="5"/>
    <s v="United Republic of Tanzania"/>
    <x v="46"/>
    <n v="2100281"/>
    <n v="56267032.000000007"/>
    <n v="26.7902399726512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63880"/>
    <n v="0"/>
    <n v="0"/>
    <n v="0"/>
    <n v="11.3530068548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880"/>
    <n v="11.3530068548844"/>
    <n v="63880"/>
    <n v="11.3530068548844"/>
    <n v="63880"/>
    <n v="282"/>
    <n v="1223"/>
    <n v="49"/>
    <n v="566"/>
  </r>
  <r>
    <x v="6"/>
    <s v="United Republic of Tanzania"/>
    <x v="46"/>
    <n v="2149250.2000000002"/>
    <n v="58090443.000000007"/>
    <n v="27.028236638061031"/>
    <n v="682"/>
    <n v="1845"/>
    <m/>
    <m/>
    <m/>
    <m/>
    <m/>
    <n v="768"/>
    <n v="89"/>
    <m/>
    <m/>
    <m/>
    <m/>
    <m/>
    <m/>
    <m/>
    <m/>
    <m/>
    <m/>
    <n v="4361"/>
    <m/>
    <n v="89"/>
    <m/>
    <m/>
    <m/>
    <m/>
    <m/>
    <m/>
    <m/>
    <m/>
    <m/>
    <m/>
    <n v="0"/>
    <m/>
    <m/>
    <m/>
    <n v="0"/>
    <m/>
    <m/>
    <n v="0"/>
    <n v="5770"/>
    <n v="63880"/>
    <n v="0"/>
    <n v="0"/>
    <n v="0.99327870507029858"/>
    <n v="10.99664535180081"/>
    <n v="0"/>
    <n v="0"/>
    <n v="0.11740313290432298"/>
    <n v="0.31760818212386499"/>
    <n v="0"/>
    <n v="0"/>
    <n v="0"/>
    <n v="0"/>
    <n v="0"/>
    <n v="0.13220763353448689"/>
    <n v="1.5320936698657986E-2"/>
    <n v="0"/>
    <n v="0"/>
    <n v="0"/>
    <n v="0"/>
    <n v="0"/>
    <n v="0"/>
    <n v="0"/>
    <n v="0"/>
    <n v="0"/>
    <n v="0"/>
    <n v="0.7507258982342413"/>
    <n v="0"/>
    <n v="0"/>
    <n v="0"/>
    <n v="0"/>
    <n v="0"/>
    <n v="0"/>
    <n v="0"/>
    <n v="0"/>
    <n v="0"/>
    <n v="0"/>
    <n v="0"/>
    <n v="0"/>
    <n v="0"/>
    <n v="0"/>
    <n v="0"/>
    <n v="0"/>
    <n v="63880"/>
    <n v="10.99664535180081"/>
    <n v="69650"/>
    <n v="11.989924056871109"/>
    <n v="77484"/>
    <n v="233"/>
    <n v="378"/>
    <n v="855"/>
    <n v="1905"/>
  </r>
  <r>
    <x v="7"/>
    <s v="United Republic of Tanzania"/>
    <x v="46"/>
    <n v="2192621.7000000002"/>
    <n v="59872579"/>
    <n v="27.3063880559058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United Republic of Tanzania"/>
    <x v="46"/>
    <n v="2235369.7000000002"/>
    <n v="61704517.99999997"/>
    <n v="27.6037194205504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United Republic of Tanzania"/>
    <x v="46"/>
    <n v="2277499.2000000002"/>
    <n v="63588333.999999993"/>
    <n v="27.9202442749485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6"/>
    <n v="0"/>
    <n v="0"/>
  </r>
  <r>
    <x v="10"/>
    <s v="United Republic of Tanzania"/>
    <x v="46"/>
    <n v="2323148.7999999998"/>
    <n v="65497748.000000045"/>
    <n v="28.19352251564775"/>
    <n v="583"/>
    <n v="1746"/>
    <m/>
    <m/>
    <n v="2"/>
    <n v="96"/>
    <n v="20737"/>
    <n v="449"/>
    <m/>
    <m/>
    <m/>
    <m/>
    <n v="2313"/>
    <n v="657"/>
    <n v="787"/>
    <n v="543"/>
    <m/>
    <n v="2337"/>
    <n v="4743"/>
    <n v="1198"/>
    <n v="12"/>
    <n v="12"/>
    <n v="724"/>
    <m/>
    <m/>
    <n v="201"/>
    <m/>
    <n v="2"/>
    <n v="71119"/>
    <n v="5583"/>
    <n v="526"/>
    <n v="832"/>
    <n v="1358"/>
    <m/>
    <m/>
    <m/>
    <n v="0"/>
    <n v="4710"/>
    <m/>
    <n v="4710"/>
    <n v="17386"/>
    <n v="0"/>
    <n v="0"/>
    <n v="0"/>
    <n v="2.6544424092260375"/>
    <n v="0"/>
    <n v="0"/>
    <n v="0"/>
    <n v="8.9010693924926942E-2"/>
    <n v="0.26657405075972973"/>
    <n v="0"/>
    <n v="0"/>
    <n v="3.0535401003405473E-4"/>
    <n v="1.4656992481634625E-2"/>
    <n v="3.166063053038096"/>
    <n v="6.8551975252645281E-2"/>
    <n v="0"/>
    <n v="0"/>
    <n v="0"/>
    <n v="0"/>
    <n v="0.35314191260438427"/>
    <n v="0.10030879229618697"/>
    <n v="0.12015680294840053"/>
    <n v="8.2903613724245859E-2"/>
    <n v="0"/>
    <n v="0.35680616072479293"/>
    <n v="0.7241470347957607"/>
    <n v="0.18290705201039878"/>
    <n v="1.8321240602043281E-3"/>
    <n v="0.1105381516323278"/>
    <n v="0"/>
    <n v="0"/>
    <n v="3.0688078008422496E-2"/>
    <n v="0"/>
    <n v="3.0535401003405473E-4"/>
    <n v="10.858235919805969"/>
    <n v="0.85239571901006372"/>
    <n v="8.0308104638956393E-2"/>
    <n v="0.12702726817416676"/>
    <n v="0"/>
    <n v="0"/>
    <n v="0"/>
    <n v="0.7191086936301988"/>
    <n v="0"/>
    <n v="0"/>
    <n v="0"/>
    <n v="17386"/>
    <n v="2.6544424092260375"/>
    <n v="143366"/>
    <n v="465"/>
    <n v="656"/>
    <n v="65"/>
    <n v="9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33795-A0CD-4060-A5FB-B13B42A682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51" firstHeaderRow="0" firstDataRow="1" firstDataCol="1" rowPageCount="1" colPageCount="1"/>
  <pivotFields count="99"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48">
        <item x="11"/>
        <item x="14"/>
        <item x="12"/>
        <item x="0"/>
        <item x="13"/>
        <item x="1"/>
        <item x="15"/>
        <item x="17"/>
        <item x="3"/>
        <item x="38"/>
        <item x="45"/>
        <item x="16"/>
        <item x="10"/>
        <item x="43"/>
        <item x="4"/>
        <item x="6"/>
        <item x="21"/>
        <item x="22"/>
        <item x="20"/>
        <item x="23"/>
        <item x="19"/>
        <item x="24"/>
        <item x="25"/>
        <item x="9"/>
        <item x="26"/>
        <item x="28"/>
        <item x="30"/>
        <item x="7"/>
        <item x="29"/>
        <item x="27"/>
        <item x="31"/>
        <item x="39"/>
        <item x="5"/>
        <item x="32"/>
        <item x="33"/>
        <item x="35"/>
        <item x="37"/>
        <item x="2"/>
        <item x="8"/>
        <item x="34"/>
        <item x="18"/>
        <item x="44"/>
        <item x="46"/>
        <item x="40"/>
        <item x="36"/>
        <item x="41"/>
        <item x="42"/>
        <item t="default"/>
      </items>
    </pivotField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0" item="9" hier="-1"/>
  </pageFields>
  <dataFields count="25">
    <dataField name="Sum of Population UN 1" fld="4" baseField="0" baseItem="0"/>
    <dataField name="Sum of Medical Doctors" fld="46" baseField="0" baseItem="0"/>
    <dataField name="Sum of Nursing Personnel" fld="47" baseField="0" baseItem="0"/>
    <dataField name="Sum of Midwifery personnel" fld="48" baseField="0" baseItem="0"/>
    <dataField name="Sum of Pharmacists" fld="96" baseField="0" baseItem="0"/>
    <dataField name="Sum of Dentists" fld="95" baseField="0" baseItem="0"/>
    <dataField name="Sum of Community Health Workers " fld="12" baseField="0" baseItem="0"/>
    <dataField name="Sum of Dieticians and nutritionists" fld="97" baseField="0" baseItem="0"/>
    <dataField name="Sum of Environmental and occupational health &amp; hygiene workers" fld="98" baseField="0" baseItem="0"/>
    <dataField name="Sum of Personal care workers in health service" fld="49" baseField="0" baseItem="0"/>
    <dataField name="Sum of Managerial staff " fld="22" baseField="0" baseItem="0"/>
    <dataField name="Sum of Medical and dental Prosthetic Technicians " fld="27" baseField="0" baseItem="0"/>
    <dataField name="Sum of Medical and Pathology Laboratory scientists " fld="25" baseField="0" baseItem="0"/>
    <dataField name="Sum of Medical Assistants " fld="23" baseField="0" baseItem="0"/>
    <dataField name="Sum of Medical Imaging and Therapeutic Equipment Technicians " fld="21" baseField="0" baseItem="0"/>
    <dataField name="Sum of Medical Records and Health Information Technicians " fld="28" baseField="0" baseItem="0"/>
    <dataField name="Sum of Optometrists and Ophthalmic Opticians " fld="31" baseField="0" baseItem="0"/>
    <dataField name="Sum of Other non-medical professional staff " fld="32" baseField="0" baseItem="0"/>
    <dataField name="Sum of Other non-medical support staff " fld="33" baseField="0" baseItem="0"/>
    <dataField name="Sum of Medical and Pathology Laboratory Technicians " fld="24" baseField="0" baseItem="0"/>
    <dataField name="Sum of Paramedical Practitioners " fld="34" baseField="0" baseItem="0"/>
    <dataField name="Sum of Physiotherapists and physiotherapy assistants" fld="38" baseField="0" baseItem="0"/>
    <dataField name="Sum of Social workers" fld="42" baseField="0" baseItem="0"/>
    <dataField name="Sum of Audiologists and Speech Therapists " fld="10" baseField="0" baseItem="0"/>
    <dataField name="Sum of Traditional and complementary medicine practitioners" fld="4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AD6-5AAD-4E2C-86C7-B8B141C53FB3}">
  <dimension ref="A1:BL518"/>
  <sheetViews>
    <sheetView workbookViewId="0">
      <selection activeCell="D8" sqref="D8"/>
    </sheetView>
  </sheetViews>
  <sheetFormatPr defaultRowHeight="14.5" x14ac:dyDescent="0.35"/>
  <cols>
    <col min="4" max="4" width="12.08984375" bestFit="1" customWidth="1"/>
    <col min="6" max="6" width="14.08984375" customWidth="1"/>
    <col min="7" max="7" width="11.1796875" customWidth="1"/>
    <col min="8" max="8" width="10" customWidth="1"/>
    <col min="9" max="9" width="10.6328125" customWidth="1"/>
    <col min="13" max="13" width="10" customWidth="1"/>
    <col min="18" max="18" width="11.26953125" customWidth="1"/>
    <col min="20" max="20" width="10.08984375" customWidth="1"/>
    <col min="22" max="22" width="16.36328125" customWidth="1"/>
    <col min="23" max="23" width="16.90625" customWidth="1"/>
    <col min="26" max="26" width="10.81640625" customWidth="1"/>
    <col min="28" max="28" width="12.1796875" customWidth="1"/>
    <col min="29" max="29" width="11.81640625" customWidth="1"/>
    <col min="30" max="30" width="9.6328125" customWidth="1"/>
    <col min="31" max="31" width="11.1796875" customWidth="1"/>
    <col min="32" max="32" width="12.7265625" customWidth="1"/>
    <col min="33" max="33" width="10.08984375" customWidth="1"/>
    <col min="34" max="34" width="13.26953125" customWidth="1"/>
    <col min="61" max="61" width="11.90625" customWidth="1"/>
    <col min="62" max="62" width="10.90625" customWidth="1"/>
    <col min="63" max="63" width="10.26953125" customWidth="1"/>
    <col min="64" max="64" width="10.54296875" customWidth="1"/>
  </cols>
  <sheetData>
    <row r="1" spans="1:64" s="1" customFormat="1" ht="159.5" x14ac:dyDescent="0.35">
      <c r="A1" s="1" t="s">
        <v>97</v>
      </c>
      <c r="B1" s="1" t="s">
        <v>95</v>
      </c>
      <c r="C1" s="1" t="s">
        <v>96</v>
      </c>
      <c r="D1" s="1" t="s">
        <v>0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98</v>
      </c>
      <c r="AR1" s="1" t="s">
        <v>99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148</v>
      </c>
      <c r="BD1" s="1" t="s">
        <v>149</v>
      </c>
      <c r="BE1" s="1" t="s">
        <v>150</v>
      </c>
      <c r="BF1" s="1" t="s">
        <v>151</v>
      </c>
      <c r="BG1" s="1" t="s">
        <v>152</v>
      </c>
      <c r="BH1" s="1" t="s">
        <v>153</v>
      </c>
      <c r="BI1" s="1" t="s">
        <v>154</v>
      </c>
      <c r="BJ1" s="1" t="s">
        <v>155</v>
      </c>
      <c r="BK1" s="1" t="s">
        <v>156</v>
      </c>
      <c r="BL1" s="1" t="s">
        <v>157</v>
      </c>
    </row>
    <row r="2" spans="1:64" x14ac:dyDescent="0.35">
      <c r="A2">
        <v>2022</v>
      </c>
      <c r="B2" t="s">
        <v>1</v>
      </c>
      <c r="C2" t="s">
        <v>2</v>
      </c>
      <c r="D2" s="2">
        <v>780085.6</v>
      </c>
      <c r="E2">
        <v>3323</v>
      </c>
      <c r="F2">
        <v>2372</v>
      </c>
      <c r="G2">
        <v>32</v>
      </c>
      <c r="H2">
        <v>13961</v>
      </c>
      <c r="I2">
        <v>9294</v>
      </c>
      <c r="J2">
        <v>39</v>
      </c>
      <c r="K2">
        <v>575</v>
      </c>
      <c r="M2">
        <v>275</v>
      </c>
      <c r="O2">
        <v>18</v>
      </c>
      <c r="P2">
        <v>3145</v>
      </c>
      <c r="R2">
        <v>7</v>
      </c>
      <c r="S2">
        <v>57</v>
      </c>
      <c r="W2">
        <v>1791</v>
      </c>
      <c r="X2">
        <v>102</v>
      </c>
      <c r="AG2">
        <v>7</v>
      </c>
      <c r="AH2">
        <v>44</v>
      </c>
      <c r="AJ2">
        <v>2</v>
      </c>
      <c r="AK2">
        <v>3608</v>
      </c>
      <c r="AL2">
        <v>5686</v>
      </c>
      <c r="AO2">
        <v>67</v>
      </c>
      <c r="AP2">
        <v>13894</v>
      </c>
      <c r="AS2">
        <v>71</v>
      </c>
      <c r="AT2">
        <v>127</v>
      </c>
      <c r="AU2">
        <v>2</v>
      </c>
      <c r="AV2">
        <v>555</v>
      </c>
      <c r="AY2">
        <v>1698</v>
      </c>
      <c r="AZ2">
        <v>886</v>
      </c>
      <c r="BB2">
        <v>210</v>
      </c>
      <c r="BE2">
        <v>13</v>
      </c>
      <c r="BF2">
        <v>9</v>
      </c>
      <c r="BH2">
        <v>39</v>
      </c>
      <c r="BI2">
        <v>951</v>
      </c>
      <c r="BJ2">
        <v>112</v>
      </c>
    </row>
    <row r="3" spans="1:64" x14ac:dyDescent="0.35">
      <c r="A3">
        <v>2022</v>
      </c>
      <c r="B3" t="s">
        <v>3</v>
      </c>
      <c r="C3" t="s">
        <v>4</v>
      </c>
      <c r="D3" s="2">
        <v>228677.8</v>
      </c>
    </row>
    <row r="4" spans="1:64" x14ac:dyDescent="0.35">
      <c r="A4">
        <v>2022</v>
      </c>
      <c r="B4" t="s">
        <v>5</v>
      </c>
      <c r="C4" t="s">
        <v>6</v>
      </c>
      <c r="D4" s="2">
        <v>6481.1</v>
      </c>
    </row>
    <row r="5" spans="1:64" x14ac:dyDescent="0.35">
      <c r="A5">
        <v>2022</v>
      </c>
      <c r="B5" t="s">
        <v>7</v>
      </c>
      <c r="C5" t="s">
        <v>8</v>
      </c>
      <c r="D5" s="2">
        <v>4011145.2</v>
      </c>
      <c r="E5">
        <v>18493</v>
      </c>
      <c r="F5">
        <v>18493</v>
      </c>
      <c r="H5">
        <v>115316</v>
      </c>
      <c r="I5">
        <v>2640</v>
      </c>
      <c r="J5">
        <v>392</v>
      </c>
      <c r="K5">
        <v>806</v>
      </c>
      <c r="L5">
        <v>101117</v>
      </c>
      <c r="W5">
        <v>718</v>
      </c>
      <c r="AB5">
        <v>528</v>
      </c>
      <c r="AC5">
        <v>4695</v>
      </c>
      <c r="AL5">
        <v>2640</v>
      </c>
      <c r="AP5">
        <v>115316</v>
      </c>
      <c r="AS5">
        <v>1688</v>
      </c>
      <c r="AW5">
        <v>1803</v>
      </c>
      <c r="BB5">
        <v>378</v>
      </c>
      <c r="BC5">
        <v>793</v>
      </c>
    </row>
    <row r="6" spans="1:64" x14ac:dyDescent="0.35">
      <c r="A6">
        <v>2022</v>
      </c>
      <c r="B6" t="s">
        <v>9</v>
      </c>
      <c r="C6" t="s">
        <v>10</v>
      </c>
      <c r="D6" s="2">
        <v>3920543</v>
      </c>
      <c r="E6">
        <v>13327</v>
      </c>
      <c r="F6">
        <v>8860</v>
      </c>
      <c r="G6">
        <v>540</v>
      </c>
      <c r="H6">
        <v>70246</v>
      </c>
      <c r="I6">
        <v>21993</v>
      </c>
      <c r="J6">
        <v>271</v>
      </c>
      <c r="K6">
        <v>5871</v>
      </c>
      <c r="L6">
        <v>121853</v>
      </c>
      <c r="O6">
        <v>1086</v>
      </c>
      <c r="P6">
        <v>41101</v>
      </c>
      <c r="Q6">
        <v>195</v>
      </c>
      <c r="R6">
        <v>65</v>
      </c>
      <c r="S6">
        <v>310</v>
      </c>
      <c r="V6">
        <v>0</v>
      </c>
      <c r="W6">
        <v>2367</v>
      </c>
      <c r="X6">
        <v>352</v>
      </c>
      <c r="Z6">
        <v>5283</v>
      </c>
      <c r="AB6">
        <v>1469</v>
      </c>
      <c r="AE6">
        <v>13915</v>
      </c>
      <c r="AF6">
        <v>0</v>
      </c>
      <c r="AG6">
        <v>65</v>
      </c>
      <c r="AK6">
        <v>0</v>
      </c>
      <c r="AL6">
        <v>21993</v>
      </c>
      <c r="AM6">
        <v>0</v>
      </c>
      <c r="AN6">
        <v>0</v>
      </c>
      <c r="AO6">
        <v>0</v>
      </c>
      <c r="AP6">
        <v>70246</v>
      </c>
      <c r="AS6">
        <v>630</v>
      </c>
      <c r="AT6">
        <v>454</v>
      </c>
      <c r="AU6">
        <v>383</v>
      </c>
      <c r="AV6">
        <v>2440</v>
      </c>
      <c r="AY6">
        <v>1205</v>
      </c>
      <c r="BB6">
        <v>11220</v>
      </c>
      <c r="BC6">
        <v>231</v>
      </c>
      <c r="BE6">
        <v>4658</v>
      </c>
      <c r="BI6">
        <v>4467</v>
      </c>
      <c r="BJ6">
        <v>656</v>
      </c>
      <c r="BK6">
        <v>0</v>
      </c>
      <c r="BL6">
        <v>0</v>
      </c>
    </row>
    <row r="7" spans="1:64" x14ac:dyDescent="0.35">
      <c r="A7">
        <v>2022</v>
      </c>
      <c r="B7" t="s">
        <v>11</v>
      </c>
      <c r="C7" t="s">
        <v>12</v>
      </c>
      <c r="D7" s="2">
        <v>7745147.0999999996</v>
      </c>
      <c r="E7">
        <v>86181</v>
      </c>
      <c r="F7">
        <v>85719</v>
      </c>
      <c r="H7">
        <v>220681</v>
      </c>
      <c r="I7">
        <v>146787</v>
      </c>
      <c r="J7">
        <v>5048</v>
      </c>
      <c r="K7">
        <v>18277</v>
      </c>
      <c r="N7">
        <v>168</v>
      </c>
      <c r="P7">
        <v>154477</v>
      </c>
      <c r="T7">
        <v>2660</v>
      </c>
      <c r="W7">
        <v>20392</v>
      </c>
      <c r="X7">
        <v>45</v>
      </c>
      <c r="Z7">
        <v>354339</v>
      </c>
      <c r="AB7">
        <v>4262</v>
      </c>
      <c r="AE7">
        <v>38712</v>
      </c>
      <c r="AF7">
        <v>36833</v>
      </c>
      <c r="AG7">
        <v>280</v>
      </c>
      <c r="AL7">
        <v>146787</v>
      </c>
      <c r="AP7">
        <v>220681</v>
      </c>
      <c r="AT7">
        <v>81</v>
      </c>
      <c r="AU7">
        <v>5632</v>
      </c>
      <c r="BB7">
        <v>2326</v>
      </c>
      <c r="BC7">
        <v>6282</v>
      </c>
      <c r="BD7">
        <v>197</v>
      </c>
      <c r="BE7">
        <v>27</v>
      </c>
      <c r="BI7">
        <v>462</v>
      </c>
      <c r="BJ7">
        <v>61</v>
      </c>
    </row>
    <row r="8" spans="1:64" x14ac:dyDescent="0.35">
      <c r="A8">
        <v>2022</v>
      </c>
      <c r="B8" t="s">
        <v>13</v>
      </c>
      <c r="C8" t="s">
        <v>14</v>
      </c>
      <c r="D8" s="2">
        <v>64514.8</v>
      </c>
      <c r="E8">
        <v>1139</v>
      </c>
      <c r="F8">
        <v>612</v>
      </c>
      <c r="G8">
        <v>137</v>
      </c>
      <c r="H8">
        <v>4277</v>
      </c>
      <c r="I8">
        <v>920</v>
      </c>
      <c r="J8">
        <v>44</v>
      </c>
      <c r="K8">
        <v>168</v>
      </c>
      <c r="P8">
        <v>98</v>
      </c>
      <c r="Q8">
        <v>67</v>
      </c>
      <c r="R8">
        <v>17</v>
      </c>
      <c r="V8">
        <v>2</v>
      </c>
      <c r="W8">
        <v>155</v>
      </c>
      <c r="X8">
        <v>154</v>
      </c>
      <c r="AB8">
        <v>478</v>
      </c>
      <c r="AE8">
        <v>228</v>
      </c>
      <c r="AF8">
        <v>231</v>
      </c>
      <c r="AI8">
        <v>0</v>
      </c>
      <c r="AK8">
        <v>43</v>
      </c>
      <c r="AL8">
        <v>867</v>
      </c>
      <c r="AM8">
        <v>10</v>
      </c>
      <c r="AN8">
        <v>84</v>
      </c>
      <c r="AO8">
        <v>3201</v>
      </c>
      <c r="AP8">
        <v>992</v>
      </c>
      <c r="AT8">
        <v>134</v>
      </c>
      <c r="AV8">
        <v>22</v>
      </c>
      <c r="AY8">
        <v>84</v>
      </c>
      <c r="AZ8">
        <v>70</v>
      </c>
      <c r="BB8">
        <v>233</v>
      </c>
      <c r="BC8">
        <v>2</v>
      </c>
      <c r="BE8">
        <v>4</v>
      </c>
      <c r="BF8">
        <v>175</v>
      </c>
      <c r="BI8">
        <v>527</v>
      </c>
      <c r="BJ8">
        <v>103</v>
      </c>
    </row>
    <row r="9" spans="1:64" x14ac:dyDescent="0.35">
      <c r="A9">
        <v>2022</v>
      </c>
      <c r="B9" t="s">
        <v>15</v>
      </c>
      <c r="C9" t="s">
        <v>16</v>
      </c>
      <c r="D9" s="2">
        <v>153744</v>
      </c>
      <c r="E9">
        <v>1118</v>
      </c>
      <c r="F9">
        <v>616</v>
      </c>
      <c r="H9">
        <v>6503</v>
      </c>
      <c r="I9">
        <v>1340</v>
      </c>
      <c r="J9">
        <v>131</v>
      </c>
      <c r="K9">
        <v>85</v>
      </c>
      <c r="AL9">
        <v>1340</v>
      </c>
      <c r="AN9">
        <v>5840</v>
      </c>
      <c r="AP9">
        <v>663</v>
      </c>
      <c r="BI9">
        <v>502</v>
      </c>
    </row>
    <row r="10" spans="1:64" x14ac:dyDescent="0.35">
      <c r="A10">
        <v>2022</v>
      </c>
      <c r="B10" t="s">
        <v>17</v>
      </c>
      <c r="C10" t="s">
        <v>18</v>
      </c>
      <c r="D10" s="2">
        <v>28860</v>
      </c>
      <c r="E10">
        <v>1912</v>
      </c>
      <c r="F10">
        <v>623</v>
      </c>
      <c r="H10">
        <v>3824</v>
      </c>
      <c r="X10">
        <v>87</v>
      </c>
      <c r="AO10">
        <v>680</v>
      </c>
      <c r="AP10">
        <v>3144</v>
      </c>
      <c r="AT10">
        <v>152</v>
      </c>
      <c r="BI10">
        <v>1289</v>
      </c>
    </row>
    <row r="11" spans="1:64" x14ac:dyDescent="0.35">
      <c r="A11">
        <v>2022</v>
      </c>
      <c r="B11" t="s">
        <v>19</v>
      </c>
      <c r="C11" t="s">
        <v>20</v>
      </c>
      <c r="D11" s="2">
        <v>58859.199999999997</v>
      </c>
      <c r="E11">
        <v>347</v>
      </c>
      <c r="F11">
        <v>281</v>
      </c>
      <c r="G11">
        <v>0</v>
      </c>
      <c r="H11">
        <v>0</v>
      </c>
      <c r="I11">
        <v>0</v>
      </c>
      <c r="J11">
        <v>31</v>
      </c>
      <c r="K11">
        <v>201</v>
      </c>
      <c r="L11">
        <v>343</v>
      </c>
      <c r="M11">
        <v>0</v>
      </c>
      <c r="N11">
        <v>0</v>
      </c>
      <c r="O11">
        <v>1</v>
      </c>
      <c r="P11">
        <v>9196</v>
      </c>
      <c r="Q11">
        <v>49</v>
      </c>
      <c r="R11">
        <v>5</v>
      </c>
      <c r="S11">
        <v>15</v>
      </c>
      <c r="T11">
        <v>0</v>
      </c>
      <c r="U11">
        <v>4</v>
      </c>
      <c r="V11">
        <v>0</v>
      </c>
      <c r="W11">
        <v>31</v>
      </c>
      <c r="X11">
        <v>9</v>
      </c>
      <c r="Y11">
        <v>0</v>
      </c>
      <c r="Z11">
        <v>3</v>
      </c>
      <c r="AA11">
        <v>0</v>
      </c>
      <c r="AB11">
        <v>76</v>
      </c>
      <c r="AC11">
        <v>33</v>
      </c>
      <c r="AD11">
        <v>5</v>
      </c>
      <c r="AE11">
        <v>28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>
        <v>0</v>
      </c>
      <c r="AT11">
        <v>9</v>
      </c>
      <c r="AU11">
        <v>3</v>
      </c>
      <c r="AV11">
        <v>30</v>
      </c>
      <c r="AW11">
        <v>620</v>
      </c>
      <c r="AX11">
        <v>0</v>
      </c>
      <c r="AY11">
        <v>2</v>
      </c>
      <c r="AZ11">
        <v>0</v>
      </c>
      <c r="BA11">
        <v>0</v>
      </c>
      <c r="BB11">
        <v>31</v>
      </c>
      <c r="BC11">
        <v>5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66</v>
      </c>
      <c r="BJ11">
        <v>6</v>
      </c>
      <c r="BK11">
        <v>0</v>
      </c>
      <c r="BL11">
        <v>0</v>
      </c>
    </row>
    <row r="12" spans="1:64" x14ac:dyDescent="0.35">
      <c r="A12">
        <v>2022</v>
      </c>
      <c r="B12" t="s">
        <v>21</v>
      </c>
      <c r="C12" t="s">
        <v>22</v>
      </c>
      <c r="D12" s="2">
        <v>966316.9</v>
      </c>
    </row>
    <row r="13" spans="1:64" x14ac:dyDescent="0.35">
      <c r="A13">
        <v>2022</v>
      </c>
      <c r="B13" t="s">
        <v>23</v>
      </c>
      <c r="C13" t="s">
        <v>24</v>
      </c>
      <c r="D13" s="2">
        <v>1332678.6000000001</v>
      </c>
      <c r="E13">
        <v>8693</v>
      </c>
      <c r="F13">
        <v>4778</v>
      </c>
      <c r="G13">
        <v>2510</v>
      </c>
      <c r="H13">
        <v>44989</v>
      </c>
      <c r="I13">
        <v>22</v>
      </c>
      <c r="J13">
        <v>171</v>
      </c>
      <c r="K13">
        <v>967</v>
      </c>
      <c r="L13">
        <v>13442</v>
      </c>
      <c r="M13">
        <v>1045</v>
      </c>
      <c r="N13">
        <v>1</v>
      </c>
      <c r="O13">
        <v>16</v>
      </c>
      <c r="P13">
        <v>5</v>
      </c>
      <c r="Q13">
        <v>0</v>
      </c>
      <c r="R13">
        <v>0</v>
      </c>
      <c r="S13">
        <v>0</v>
      </c>
      <c r="V13">
        <v>0</v>
      </c>
      <c r="W13">
        <v>11</v>
      </c>
      <c r="X13">
        <v>273</v>
      </c>
      <c r="Z13">
        <v>110</v>
      </c>
      <c r="AB13">
        <v>107</v>
      </c>
      <c r="AC13">
        <v>2072</v>
      </c>
      <c r="AE13">
        <v>12</v>
      </c>
      <c r="AF13">
        <v>9</v>
      </c>
      <c r="AH13">
        <v>117</v>
      </c>
      <c r="AK13">
        <v>20</v>
      </c>
      <c r="AL13">
        <v>2</v>
      </c>
      <c r="AM13">
        <v>0</v>
      </c>
      <c r="AN13">
        <v>1597</v>
      </c>
      <c r="AO13">
        <v>37151</v>
      </c>
      <c r="AP13">
        <v>6241</v>
      </c>
      <c r="AS13">
        <v>15</v>
      </c>
      <c r="AT13">
        <v>279</v>
      </c>
      <c r="AU13">
        <v>6</v>
      </c>
      <c r="AV13">
        <v>599</v>
      </c>
      <c r="AX13">
        <v>8431</v>
      </c>
      <c r="AY13">
        <v>0</v>
      </c>
      <c r="BB13">
        <v>636</v>
      </c>
      <c r="BC13">
        <v>705</v>
      </c>
      <c r="BD13">
        <v>490</v>
      </c>
      <c r="BE13">
        <v>44</v>
      </c>
      <c r="BF13">
        <v>767</v>
      </c>
      <c r="BH13">
        <v>41</v>
      </c>
      <c r="BI13">
        <v>3915</v>
      </c>
      <c r="BJ13">
        <v>210</v>
      </c>
      <c r="BK13">
        <v>0</v>
      </c>
      <c r="BL13">
        <v>0</v>
      </c>
    </row>
    <row r="14" spans="1:64" x14ac:dyDescent="0.35">
      <c r="A14">
        <v>2022</v>
      </c>
      <c r="B14" t="s">
        <v>25</v>
      </c>
      <c r="C14" t="s">
        <v>26</v>
      </c>
      <c r="D14" s="2">
        <v>470912.8</v>
      </c>
      <c r="E14">
        <v>2608</v>
      </c>
      <c r="F14">
        <v>1753</v>
      </c>
      <c r="H14">
        <v>5893</v>
      </c>
      <c r="I14">
        <v>2055</v>
      </c>
      <c r="J14">
        <v>50</v>
      </c>
      <c r="K14">
        <v>382</v>
      </c>
      <c r="L14">
        <v>5106</v>
      </c>
      <c r="P14">
        <v>21</v>
      </c>
      <c r="W14">
        <v>257</v>
      </c>
      <c r="X14">
        <v>97</v>
      </c>
      <c r="AE14">
        <v>1602</v>
      </c>
      <c r="AJ14">
        <v>4</v>
      </c>
      <c r="AL14">
        <v>2055</v>
      </c>
      <c r="AP14">
        <v>5893</v>
      </c>
      <c r="AS14">
        <v>44</v>
      </c>
      <c r="AT14">
        <v>157</v>
      </c>
      <c r="AY14">
        <v>382</v>
      </c>
      <c r="BC14">
        <v>187</v>
      </c>
      <c r="BI14">
        <v>855</v>
      </c>
      <c r="BJ14">
        <v>97</v>
      </c>
    </row>
    <row r="15" spans="1:64" x14ac:dyDescent="0.35">
      <c r="A15">
        <v>2022</v>
      </c>
      <c r="B15" t="s">
        <v>27</v>
      </c>
      <c r="C15" t="s">
        <v>28</v>
      </c>
      <c r="D15" s="2">
        <v>61665.2</v>
      </c>
      <c r="E15">
        <v>992</v>
      </c>
      <c r="F15">
        <v>898</v>
      </c>
      <c r="H15">
        <v>8028</v>
      </c>
      <c r="J15">
        <v>86</v>
      </c>
      <c r="K15">
        <v>125</v>
      </c>
      <c r="L15">
        <v>449</v>
      </c>
      <c r="M15">
        <v>848</v>
      </c>
      <c r="N15">
        <v>11</v>
      </c>
      <c r="O15">
        <v>13</v>
      </c>
      <c r="Q15">
        <v>24</v>
      </c>
      <c r="R15">
        <v>33</v>
      </c>
      <c r="S15">
        <v>40</v>
      </c>
      <c r="U15">
        <v>106</v>
      </c>
      <c r="Y15">
        <v>1563</v>
      </c>
      <c r="Z15">
        <v>113</v>
      </c>
      <c r="AB15">
        <v>82</v>
      </c>
      <c r="AC15">
        <v>159</v>
      </c>
      <c r="AD15">
        <v>63</v>
      </c>
      <c r="AE15">
        <v>318</v>
      </c>
      <c r="AF15">
        <v>191</v>
      </c>
      <c r="AH15">
        <v>74</v>
      </c>
      <c r="AP15">
        <v>8028</v>
      </c>
      <c r="AS15">
        <v>4</v>
      </c>
      <c r="AU15">
        <v>4</v>
      </c>
      <c r="AW15">
        <v>1579</v>
      </c>
      <c r="AX15">
        <v>3204</v>
      </c>
      <c r="AY15">
        <v>6</v>
      </c>
      <c r="BB15">
        <v>449</v>
      </c>
      <c r="BC15">
        <v>30</v>
      </c>
      <c r="BF15">
        <v>17</v>
      </c>
      <c r="BI15">
        <v>94</v>
      </c>
    </row>
    <row r="16" spans="1:64" x14ac:dyDescent="0.35">
      <c r="A16">
        <v>2022</v>
      </c>
      <c r="B16" t="s">
        <v>29</v>
      </c>
      <c r="C16" t="s">
        <v>30</v>
      </c>
      <c r="D16" s="2">
        <v>437298.7</v>
      </c>
    </row>
    <row r="17" spans="1:64" x14ac:dyDescent="0.35">
      <c r="A17">
        <v>2022</v>
      </c>
      <c r="B17" t="s">
        <v>31</v>
      </c>
      <c r="C17" t="s">
        <v>32</v>
      </c>
      <c r="D17" s="2">
        <v>10405.299999999999</v>
      </c>
      <c r="E17">
        <v>2644</v>
      </c>
      <c r="F17">
        <v>187</v>
      </c>
      <c r="G17">
        <v>100</v>
      </c>
      <c r="H17">
        <v>941</v>
      </c>
      <c r="I17">
        <v>0</v>
      </c>
      <c r="J17">
        <v>10</v>
      </c>
      <c r="K17">
        <v>23</v>
      </c>
      <c r="L17">
        <v>0</v>
      </c>
      <c r="M17">
        <v>0</v>
      </c>
      <c r="N17">
        <v>0</v>
      </c>
      <c r="O17">
        <v>0</v>
      </c>
      <c r="P17">
        <v>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2349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95</v>
      </c>
      <c r="AP17">
        <v>846</v>
      </c>
      <c r="AS17">
        <v>11</v>
      </c>
      <c r="AT17">
        <v>33</v>
      </c>
      <c r="AU17">
        <v>4</v>
      </c>
      <c r="AV17">
        <v>24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</v>
      </c>
      <c r="BC17">
        <v>10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108</v>
      </c>
      <c r="BJ17">
        <v>56</v>
      </c>
      <c r="BK17">
        <v>0</v>
      </c>
      <c r="BL17">
        <v>0</v>
      </c>
    </row>
    <row r="18" spans="1:64" x14ac:dyDescent="0.35">
      <c r="A18">
        <v>2022</v>
      </c>
      <c r="B18" t="s">
        <v>33</v>
      </c>
      <c r="C18" t="s">
        <v>34</v>
      </c>
      <c r="D18" s="2">
        <v>946149.4</v>
      </c>
      <c r="E18">
        <v>3759</v>
      </c>
      <c r="F18">
        <v>2467</v>
      </c>
      <c r="G18">
        <v>639</v>
      </c>
      <c r="H18">
        <v>16473</v>
      </c>
      <c r="I18">
        <v>1674</v>
      </c>
      <c r="J18">
        <v>317</v>
      </c>
      <c r="K18">
        <v>602</v>
      </c>
      <c r="L18">
        <v>3699</v>
      </c>
      <c r="M18">
        <v>61</v>
      </c>
      <c r="N18">
        <v>0</v>
      </c>
      <c r="O18">
        <v>85</v>
      </c>
      <c r="P18">
        <v>310</v>
      </c>
      <c r="Q18">
        <v>88</v>
      </c>
      <c r="R18">
        <v>11</v>
      </c>
      <c r="S18">
        <v>6</v>
      </c>
      <c r="T18">
        <v>1</v>
      </c>
      <c r="U18">
        <v>89</v>
      </c>
      <c r="V18">
        <v>1</v>
      </c>
      <c r="W18">
        <v>668</v>
      </c>
      <c r="X18">
        <v>87</v>
      </c>
      <c r="Y18">
        <v>132</v>
      </c>
      <c r="Z18">
        <v>20</v>
      </c>
      <c r="AA18">
        <v>0</v>
      </c>
      <c r="AB18">
        <v>4864</v>
      </c>
      <c r="AC18">
        <v>1195</v>
      </c>
      <c r="AD18">
        <v>118</v>
      </c>
      <c r="AE18">
        <v>161</v>
      </c>
      <c r="AF18">
        <v>293</v>
      </c>
      <c r="AG18">
        <v>8</v>
      </c>
      <c r="AH18">
        <v>85</v>
      </c>
      <c r="AI18">
        <v>3</v>
      </c>
      <c r="AJ18">
        <v>83</v>
      </c>
      <c r="AK18">
        <v>77</v>
      </c>
      <c r="AL18">
        <v>1578</v>
      </c>
      <c r="AM18">
        <v>19</v>
      </c>
      <c r="AN18">
        <v>63</v>
      </c>
      <c r="AO18">
        <v>4925</v>
      </c>
      <c r="AP18">
        <v>11485</v>
      </c>
      <c r="AS18">
        <v>49</v>
      </c>
      <c r="AT18">
        <v>152</v>
      </c>
      <c r="AU18">
        <v>10</v>
      </c>
      <c r="AV18">
        <v>158</v>
      </c>
      <c r="AW18">
        <v>5</v>
      </c>
      <c r="AX18">
        <v>74</v>
      </c>
      <c r="AY18">
        <v>34</v>
      </c>
      <c r="AZ18">
        <v>14</v>
      </c>
      <c r="BA18">
        <v>0</v>
      </c>
      <c r="BB18">
        <v>369</v>
      </c>
      <c r="BC18">
        <v>24</v>
      </c>
      <c r="BD18">
        <v>167</v>
      </c>
      <c r="BE18">
        <v>10</v>
      </c>
      <c r="BF18">
        <v>32</v>
      </c>
      <c r="BG18">
        <v>11</v>
      </c>
      <c r="BH18">
        <v>595</v>
      </c>
      <c r="BI18">
        <v>1289</v>
      </c>
      <c r="BJ18">
        <v>301</v>
      </c>
      <c r="BK18">
        <v>11</v>
      </c>
      <c r="BL18">
        <v>5</v>
      </c>
    </row>
    <row r="19" spans="1:64" x14ac:dyDescent="0.35">
      <c r="A19">
        <v>2022</v>
      </c>
      <c r="B19" t="s">
        <v>35</v>
      </c>
      <c r="C19" t="s">
        <v>36</v>
      </c>
      <c r="D19" s="2">
        <v>734070.3</v>
      </c>
      <c r="E19">
        <v>1507</v>
      </c>
      <c r="F19">
        <v>1197</v>
      </c>
      <c r="H19">
        <v>2933</v>
      </c>
      <c r="I19">
        <v>783</v>
      </c>
      <c r="J19">
        <v>21</v>
      </c>
      <c r="K19">
        <v>163</v>
      </c>
      <c r="L19">
        <v>431</v>
      </c>
      <c r="R19">
        <v>11</v>
      </c>
      <c r="U19">
        <v>30</v>
      </c>
      <c r="X19">
        <v>28</v>
      </c>
      <c r="Z19">
        <v>18</v>
      </c>
      <c r="AD19">
        <v>104</v>
      </c>
      <c r="AE19">
        <v>1028</v>
      </c>
      <c r="AF19">
        <v>1028</v>
      </c>
      <c r="AK19">
        <v>126</v>
      </c>
      <c r="AL19">
        <v>657</v>
      </c>
      <c r="AO19">
        <v>1265</v>
      </c>
      <c r="AP19">
        <v>1668</v>
      </c>
      <c r="AS19">
        <v>77</v>
      </c>
      <c r="AT19">
        <v>57</v>
      </c>
      <c r="AV19">
        <v>183</v>
      </c>
      <c r="BB19">
        <v>320</v>
      </c>
      <c r="BE19">
        <v>1</v>
      </c>
      <c r="BI19">
        <v>310</v>
      </c>
      <c r="BJ19">
        <v>28</v>
      </c>
      <c r="BL19">
        <v>21983</v>
      </c>
    </row>
    <row r="20" spans="1:64" x14ac:dyDescent="0.35">
      <c r="A20">
        <v>2022</v>
      </c>
      <c r="B20" t="s">
        <v>37</v>
      </c>
      <c r="C20" t="s">
        <v>38</v>
      </c>
      <c r="D20" s="2">
        <v>924980.8</v>
      </c>
      <c r="E20">
        <v>4930</v>
      </c>
      <c r="F20">
        <v>4412</v>
      </c>
      <c r="H20">
        <v>14979</v>
      </c>
      <c r="I20">
        <v>7425</v>
      </c>
      <c r="J20">
        <v>418</v>
      </c>
      <c r="K20">
        <v>1162</v>
      </c>
      <c r="Q20">
        <v>28</v>
      </c>
      <c r="Y20">
        <v>4140</v>
      </c>
      <c r="AJ20">
        <v>148</v>
      </c>
      <c r="AK20">
        <v>4</v>
      </c>
      <c r="AL20">
        <v>7421</v>
      </c>
      <c r="AN20">
        <v>45</v>
      </c>
      <c r="AP20">
        <v>14934</v>
      </c>
      <c r="AY20">
        <v>3896</v>
      </c>
      <c r="BB20">
        <v>200</v>
      </c>
      <c r="BC20">
        <v>95</v>
      </c>
      <c r="BI20">
        <v>518</v>
      </c>
    </row>
    <row r="21" spans="1:64" x14ac:dyDescent="0.35">
      <c r="A21">
        <v>2022</v>
      </c>
      <c r="B21" t="s">
        <v>39</v>
      </c>
      <c r="C21" t="s">
        <v>40</v>
      </c>
      <c r="D21" s="2">
        <v>49447.1</v>
      </c>
      <c r="E21">
        <v>239</v>
      </c>
      <c r="F21">
        <v>182</v>
      </c>
      <c r="H21">
        <v>1375</v>
      </c>
      <c r="I21">
        <v>23</v>
      </c>
      <c r="K21">
        <v>14</v>
      </c>
      <c r="P21">
        <v>146</v>
      </c>
      <c r="AD21">
        <v>282</v>
      </c>
      <c r="AE21">
        <v>228</v>
      </c>
      <c r="AL21">
        <v>23</v>
      </c>
      <c r="AN21">
        <v>1078</v>
      </c>
      <c r="AP21">
        <v>297</v>
      </c>
      <c r="AY21">
        <v>101</v>
      </c>
      <c r="BB21">
        <v>91</v>
      </c>
      <c r="BI21">
        <v>57</v>
      </c>
    </row>
    <row r="22" spans="1:64" x14ac:dyDescent="0.35">
      <c r="A22">
        <v>2022</v>
      </c>
      <c r="B22" t="s">
        <v>41</v>
      </c>
      <c r="C22" t="s">
        <v>42</v>
      </c>
      <c r="D22" s="2">
        <v>88529.1</v>
      </c>
    </row>
    <row r="23" spans="1:64" x14ac:dyDescent="0.35">
      <c r="A23">
        <v>2022</v>
      </c>
      <c r="B23" t="s">
        <v>43</v>
      </c>
      <c r="C23" t="s">
        <v>44</v>
      </c>
      <c r="D23" s="2">
        <v>913289.2</v>
      </c>
      <c r="E23">
        <v>4726</v>
      </c>
      <c r="F23">
        <v>3344</v>
      </c>
      <c r="G23">
        <v>0</v>
      </c>
      <c r="H23">
        <v>102943</v>
      </c>
      <c r="I23">
        <v>23882</v>
      </c>
      <c r="J23">
        <v>0</v>
      </c>
      <c r="K23">
        <v>1188</v>
      </c>
      <c r="L23">
        <v>4065</v>
      </c>
      <c r="M23">
        <v>3583</v>
      </c>
      <c r="N23">
        <v>30</v>
      </c>
      <c r="O23">
        <v>0</v>
      </c>
      <c r="P23">
        <v>0</v>
      </c>
      <c r="Q23">
        <v>488</v>
      </c>
      <c r="R23">
        <v>0</v>
      </c>
      <c r="S23">
        <v>153</v>
      </c>
      <c r="T23">
        <v>0</v>
      </c>
      <c r="U23">
        <v>436</v>
      </c>
      <c r="V23">
        <v>0</v>
      </c>
      <c r="W23">
        <v>47</v>
      </c>
      <c r="X23">
        <v>0</v>
      </c>
      <c r="Y23">
        <v>0</v>
      </c>
      <c r="Z23">
        <v>0</v>
      </c>
      <c r="AA23">
        <v>0</v>
      </c>
      <c r="AB23">
        <v>2703</v>
      </c>
      <c r="AC23">
        <v>0</v>
      </c>
      <c r="AD23">
        <v>2471</v>
      </c>
      <c r="AE23">
        <v>477</v>
      </c>
      <c r="AF23">
        <v>2139</v>
      </c>
      <c r="AG23">
        <v>0</v>
      </c>
      <c r="AH23">
        <v>3555</v>
      </c>
      <c r="AI23">
        <v>0</v>
      </c>
      <c r="AJ23">
        <v>0</v>
      </c>
      <c r="AK23">
        <v>0</v>
      </c>
      <c r="AL23">
        <v>23882</v>
      </c>
      <c r="AM23">
        <v>0</v>
      </c>
      <c r="AN23">
        <v>0</v>
      </c>
      <c r="AO23">
        <v>56484</v>
      </c>
      <c r="AP23">
        <v>46459</v>
      </c>
      <c r="AS23">
        <v>1481</v>
      </c>
      <c r="AT23">
        <v>0</v>
      </c>
      <c r="AU23">
        <v>309</v>
      </c>
      <c r="AV23">
        <v>0</v>
      </c>
      <c r="AW23">
        <v>0</v>
      </c>
      <c r="AX23">
        <v>0</v>
      </c>
      <c r="AY23">
        <v>0</v>
      </c>
      <c r="AZ23">
        <v>3602</v>
      </c>
      <c r="BA23">
        <v>0</v>
      </c>
      <c r="BB23">
        <v>1507</v>
      </c>
      <c r="BC23">
        <v>196</v>
      </c>
      <c r="BD23">
        <v>185</v>
      </c>
      <c r="BE23">
        <v>0</v>
      </c>
      <c r="BF23">
        <v>65</v>
      </c>
      <c r="BG23">
        <v>0</v>
      </c>
      <c r="BH23">
        <v>0</v>
      </c>
      <c r="BI23">
        <v>1382</v>
      </c>
      <c r="BJ23">
        <v>0</v>
      </c>
      <c r="BK23">
        <v>0</v>
      </c>
      <c r="BL23">
        <v>0</v>
      </c>
    </row>
    <row r="24" spans="1:64" x14ac:dyDescent="0.35">
      <c r="A24">
        <v>2022</v>
      </c>
      <c r="B24" t="s">
        <v>45</v>
      </c>
      <c r="C24" t="s">
        <v>46</v>
      </c>
      <c r="D24" s="2">
        <v>458014.7</v>
      </c>
      <c r="E24">
        <v>297</v>
      </c>
      <c r="G24">
        <v>5</v>
      </c>
      <c r="H24">
        <v>4367</v>
      </c>
      <c r="I24">
        <v>777</v>
      </c>
      <c r="J24">
        <v>34</v>
      </c>
      <c r="Q24">
        <v>50</v>
      </c>
      <c r="X24">
        <v>30</v>
      </c>
      <c r="AI24">
        <v>1</v>
      </c>
      <c r="AK24">
        <v>0</v>
      </c>
      <c r="AL24">
        <v>777</v>
      </c>
      <c r="AM24">
        <v>0</v>
      </c>
      <c r="AN24">
        <v>0</v>
      </c>
      <c r="AO24">
        <v>2680</v>
      </c>
      <c r="AP24">
        <v>1687</v>
      </c>
      <c r="AT24">
        <v>31</v>
      </c>
      <c r="AV24">
        <v>111</v>
      </c>
      <c r="BE24">
        <v>5</v>
      </c>
      <c r="BI24">
        <v>296</v>
      </c>
      <c r="BJ24">
        <v>80</v>
      </c>
    </row>
    <row r="25" spans="1:64" x14ac:dyDescent="0.35">
      <c r="A25">
        <v>2022</v>
      </c>
      <c r="B25" t="s">
        <v>47</v>
      </c>
      <c r="C25" t="s">
        <v>48</v>
      </c>
      <c r="D25" s="2">
        <v>63757.9</v>
      </c>
      <c r="E25">
        <v>438</v>
      </c>
      <c r="F25">
        <v>428</v>
      </c>
      <c r="G25">
        <v>0</v>
      </c>
      <c r="H25">
        <v>1879</v>
      </c>
      <c r="I25">
        <v>197</v>
      </c>
      <c r="J25">
        <v>20</v>
      </c>
      <c r="K25">
        <v>2</v>
      </c>
      <c r="L25">
        <v>181</v>
      </c>
      <c r="M25">
        <v>0</v>
      </c>
      <c r="N25">
        <v>0</v>
      </c>
      <c r="O25">
        <v>11</v>
      </c>
      <c r="P25">
        <v>3975</v>
      </c>
      <c r="Q25">
        <v>2</v>
      </c>
      <c r="R25">
        <v>2</v>
      </c>
      <c r="S25">
        <v>3</v>
      </c>
      <c r="T25">
        <v>1</v>
      </c>
      <c r="U25">
        <v>1</v>
      </c>
      <c r="V25">
        <v>24</v>
      </c>
      <c r="W25">
        <v>0</v>
      </c>
      <c r="X25">
        <v>5</v>
      </c>
      <c r="Y25">
        <v>0</v>
      </c>
      <c r="Z25">
        <v>0</v>
      </c>
      <c r="AA25">
        <v>0</v>
      </c>
      <c r="AB25">
        <v>51</v>
      </c>
      <c r="AC25">
        <v>0</v>
      </c>
      <c r="AD25">
        <v>0</v>
      </c>
      <c r="AE25">
        <v>197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171</v>
      </c>
      <c r="AL25">
        <v>26</v>
      </c>
      <c r="AM25">
        <v>0</v>
      </c>
      <c r="AN25">
        <v>3</v>
      </c>
      <c r="AO25">
        <v>889</v>
      </c>
      <c r="AP25">
        <v>987</v>
      </c>
      <c r="AS25">
        <v>1</v>
      </c>
      <c r="AT25">
        <v>4</v>
      </c>
      <c r="AU25">
        <v>0</v>
      </c>
      <c r="AV25">
        <v>0</v>
      </c>
      <c r="AW25">
        <v>10</v>
      </c>
      <c r="AX25">
        <v>64</v>
      </c>
      <c r="AY25">
        <v>0</v>
      </c>
      <c r="AZ25">
        <v>0</v>
      </c>
      <c r="BA25">
        <v>0</v>
      </c>
      <c r="BB25">
        <v>80</v>
      </c>
      <c r="BC25">
        <v>5</v>
      </c>
      <c r="BD25">
        <v>0</v>
      </c>
      <c r="BE25">
        <v>0</v>
      </c>
      <c r="BF25">
        <v>11</v>
      </c>
      <c r="BG25">
        <v>68</v>
      </c>
      <c r="BH25">
        <v>0</v>
      </c>
      <c r="BI25">
        <v>10</v>
      </c>
      <c r="BJ25">
        <v>0</v>
      </c>
      <c r="BK25">
        <v>0</v>
      </c>
      <c r="BL25">
        <v>0</v>
      </c>
    </row>
    <row r="26" spans="1:64" x14ac:dyDescent="0.35">
      <c r="A26">
        <v>2022</v>
      </c>
      <c r="B26" t="s">
        <v>49</v>
      </c>
      <c r="C26" t="s">
        <v>50</v>
      </c>
      <c r="D26" s="2">
        <v>1487676.4</v>
      </c>
      <c r="E26">
        <v>5517</v>
      </c>
      <c r="F26">
        <v>3544</v>
      </c>
      <c r="G26">
        <v>333</v>
      </c>
      <c r="H26">
        <v>34634</v>
      </c>
      <c r="I26">
        <v>137</v>
      </c>
      <c r="J26">
        <v>273</v>
      </c>
      <c r="K26">
        <v>886</v>
      </c>
      <c r="L26">
        <v>0</v>
      </c>
      <c r="M26">
        <v>141</v>
      </c>
      <c r="N26">
        <v>0</v>
      </c>
      <c r="O26">
        <v>603</v>
      </c>
      <c r="P26">
        <v>86423</v>
      </c>
      <c r="Q26">
        <v>255</v>
      </c>
      <c r="R26">
        <v>181</v>
      </c>
      <c r="S26">
        <v>0</v>
      </c>
      <c r="T26">
        <v>0</v>
      </c>
      <c r="U26">
        <v>0</v>
      </c>
      <c r="V26">
        <v>0</v>
      </c>
      <c r="W26">
        <v>4286</v>
      </c>
      <c r="X26">
        <v>206</v>
      </c>
      <c r="Y26">
        <v>0</v>
      </c>
      <c r="Z26">
        <v>2153</v>
      </c>
      <c r="AA26">
        <v>0</v>
      </c>
      <c r="AB26">
        <v>0</v>
      </c>
      <c r="AC26">
        <v>0</v>
      </c>
      <c r="AD26">
        <v>0</v>
      </c>
      <c r="AE26">
        <v>636</v>
      </c>
      <c r="AF26">
        <v>4663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137</v>
      </c>
      <c r="AM26">
        <v>0</v>
      </c>
      <c r="AN26">
        <v>0</v>
      </c>
      <c r="AO26">
        <v>0</v>
      </c>
      <c r="AP26">
        <v>34634</v>
      </c>
      <c r="AS26">
        <v>2217</v>
      </c>
      <c r="AT26">
        <v>285</v>
      </c>
      <c r="AU26">
        <v>0</v>
      </c>
      <c r="AV26">
        <v>812</v>
      </c>
      <c r="AW26">
        <v>0</v>
      </c>
      <c r="AX26">
        <v>0</v>
      </c>
      <c r="AY26">
        <v>8639</v>
      </c>
      <c r="AZ26">
        <v>0</v>
      </c>
      <c r="BA26">
        <v>0</v>
      </c>
      <c r="BB26">
        <v>1797</v>
      </c>
      <c r="BC26">
        <v>631</v>
      </c>
      <c r="BD26">
        <v>0</v>
      </c>
      <c r="BE26">
        <v>77</v>
      </c>
      <c r="BF26">
        <v>0</v>
      </c>
      <c r="BG26">
        <v>0</v>
      </c>
      <c r="BH26">
        <v>642</v>
      </c>
      <c r="BI26">
        <v>1973</v>
      </c>
      <c r="BJ26">
        <v>593</v>
      </c>
      <c r="BK26">
        <v>0</v>
      </c>
      <c r="BL26">
        <v>0</v>
      </c>
    </row>
    <row r="27" spans="1:64" x14ac:dyDescent="0.35">
      <c r="A27">
        <v>2022</v>
      </c>
      <c r="B27" t="s">
        <v>51</v>
      </c>
      <c r="C27" t="s">
        <v>52</v>
      </c>
      <c r="D27" s="2">
        <v>161499.29999999999</v>
      </c>
      <c r="E27">
        <v>954</v>
      </c>
      <c r="F27">
        <v>840</v>
      </c>
      <c r="G27">
        <v>37</v>
      </c>
      <c r="H27">
        <v>3440</v>
      </c>
      <c r="I27">
        <v>769</v>
      </c>
      <c r="J27">
        <v>6</v>
      </c>
      <c r="K27">
        <v>170</v>
      </c>
      <c r="X27">
        <v>20</v>
      </c>
      <c r="AL27">
        <v>769</v>
      </c>
      <c r="AO27">
        <v>1423</v>
      </c>
      <c r="AP27">
        <v>2017</v>
      </c>
      <c r="AT27">
        <v>30</v>
      </c>
      <c r="BB27">
        <v>447</v>
      </c>
      <c r="BE27">
        <v>0</v>
      </c>
      <c r="BI27">
        <v>114</v>
      </c>
      <c r="BJ27">
        <v>30</v>
      </c>
    </row>
    <row r="28" spans="1:64" x14ac:dyDescent="0.35">
      <c r="A28">
        <v>2022</v>
      </c>
      <c r="B28" t="s">
        <v>53</v>
      </c>
      <c r="C28" t="s">
        <v>54</v>
      </c>
      <c r="D28" s="2">
        <v>903175.3</v>
      </c>
      <c r="J28">
        <v>225</v>
      </c>
      <c r="K28">
        <v>27</v>
      </c>
    </row>
    <row r="29" spans="1:64" x14ac:dyDescent="0.35">
      <c r="A29">
        <v>2022</v>
      </c>
      <c r="B29" t="s">
        <v>55</v>
      </c>
      <c r="C29" t="s">
        <v>56</v>
      </c>
      <c r="D29" s="2">
        <v>663702.4</v>
      </c>
      <c r="E29">
        <v>996</v>
      </c>
      <c r="F29">
        <v>843</v>
      </c>
      <c r="G29">
        <v>32</v>
      </c>
      <c r="H29">
        <v>9592</v>
      </c>
      <c r="I29">
        <v>616</v>
      </c>
      <c r="J29">
        <v>91</v>
      </c>
      <c r="K29">
        <v>111</v>
      </c>
      <c r="L29">
        <v>82</v>
      </c>
      <c r="M29">
        <v>272</v>
      </c>
      <c r="N29">
        <v>0</v>
      </c>
      <c r="O29">
        <v>56</v>
      </c>
      <c r="P29">
        <v>10747</v>
      </c>
      <c r="Q29">
        <v>173</v>
      </c>
      <c r="R29">
        <v>12</v>
      </c>
      <c r="S29">
        <v>33</v>
      </c>
      <c r="T29">
        <v>0</v>
      </c>
      <c r="U29">
        <v>71</v>
      </c>
      <c r="V29">
        <v>0</v>
      </c>
      <c r="W29">
        <v>548</v>
      </c>
      <c r="X29">
        <v>33</v>
      </c>
      <c r="Y29">
        <v>0</v>
      </c>
      <c r="Z29">
        <v>68</v>
      </c>
      <c r="AA29">
        <v>0</v>
      </c>
      <c r="AB29">
        <v>610</v>
      </c>
      <c r="AC29">
        <v>561</v>
      </c>
      <c r="AD29">
        <v>1661</v>
      </c>
      <c r="AE29">
        <v>189</v>
      </c>
      <c r="AF29">
        <v>81</v>
      </c>
      <c r="AG29">
        <v>0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616</v>
      </c>
      <c r="AN29">
        <v>227</v>
      </c>
      <c r="AO29">
        <v>6474</v>
      </c>
      <c r="AP29">
        <v>2891</v>
      </c>
      <c r="AS29">
        <v>28</v>
      </c>
      <c r="AT29">
        <v>21</v>
      </c>
      <c r="AU29">
        <v>73</v>
      </c>
      <c r="AV29">
        <v>13</v>
      </c>
      <c r="AW29">
        <v>0</v>
      </c>
      <c r="AX29">
        <v>11178</v>
      </c>
      <c r="AY29">
        <v>37</v>
      </c>
      <c r="AZ29">
        <v>0</v>
      </c>
      <c r="BA29">
        <v>0</v>
      </c>
      <c r="BB29">
        <v>710</v>
      </c>
      <c r="BC29">
        <v>160</v>
      </c>
      <c r="BD29">
        <v>88</v>
      </c>
      <c r="BE29">
        <v>4</v>
      </c>
      <c r="BF29">
        <v>11</v>
      </c>
      <c r="BG29">
        <v>48</v>
      </c>
      <c r="BH29">
        <v>24</v>
      </c>
      <c r="BI29">
        <v>141</v>
      </c>
      <c r="BJ29">
        <v>26</v>
      </c>
      <c r="BK29">
        <v>0</v>
      </c>
      <c r="BL29">
        <v>2</v>
      </c>
    </row>
    <row r="30" spans="1:64" x14ac:dyDescent="0.35">
      <c r="A30">
        <v>2022</v>
      </c>
      <c r="B30" t="s">
        <v>57</v>
      </c>
      <c r="C30" t="s">
        <v>58</v>
      </c>
      <c r="D30" s="2">
        <v>903993.3</v>
      </c>
      <c r="E30">
        <v>4402</v>
      </c>
      <c r="F30">
        <v>3557</v>
      </c>
      <c r="H30">
        <v>6327</v>
      </c>
      <c r="I30">
        <v>1629</v>
      </c>
      <c r="K30">
        <v>1721</v>
      </c>
      <c r="X30">
        <v>69</v>
      </c>
      <c r="AD30">
        <v>1481</v>
      </c>
      <c r="AL30">
        <v>1629</v>
      </c>
      <c r="AO30">
        <v>6327</v>
      </c>
      <c r="AT30">
        <v>50</v>
      </c>
      <c r="BI30">
        <v>845</v>
      </c>
      <c r="BJ30">
        <v>75</v>
      </c>
    </row>
    <row r="31" spans="1:64" x14ac:dyDescent="0.35">
      <c r="A31">
        <v>2022</v>
      </c>
      <c r="B31" t="s">
        <v>59</v>
      </c>
      <c r="C31" t="s">
        <v>60</v>
      </c>
      <c r="D31" s="2">
        <v>14474.3</v>
      </c>
      <c r="E31">
        <v>1555</v>
      </c>
      <c r="F31">
        <v>1207</v>
      </c>
      <c r="G31">
        <v>34</v>
      </c>
      <c r="H31">
        <v>3900</v>
      </c>
      <c r="K31">
        <v>35</v>
      </c>
      <c r="M31">
        <v>293</v>
      </c>
      <c r="N31">
        <v>27</v>
      </c>
      <c r="O31">
        <v>27</v>
      </c>
      <c r="P31">
        <v>916</v>
      </c>
      <c r="Q31">
        <v>78</v>
      </c>
      <c r="W31">
        <v>26</v>
      </c>
      <c r="X31">
        <v>25</v>
      </c>
      <c r="AE31">
        <v>224</v>
      </c>
      <c r="AF31">
        <v>270</v>
      </c>
      <c r="AH31">
        <v>378</v>
      </c>
      <c r="AO31">
        <v>185</v>
      </c>
      <c r="AP31">
        <v>3715</v>
      </c>
      <c r="AS31">
        <v>14</v>
      </c>
      <c r="AT31">
        <v>30</v>
      </c>
      <c r="AU31">
        <v>6</v>
      </c>
      <c r="BB31">
        <v>314</v>
      </c>
      <c r="BF31">
        <v>16</v>
      </c>
      <c r="BI31">
        <v>348</v>
      </c>
      <c r="BJ31">
        <v>25</v>
      </c>
    </row>
    <row r="32" spans="1:64" x14ac:dyDescent="0.35">
      <c r="A32">
        <v>2022</v>
      </c>
      <c r="B32" t="s">
        <v>61</v>
      </c>
      <c r="C32" t="s">
        <v>62</v>
      </c>
      <c r="D32" s="2">
        <v>1166744.6000000001</v>
      </c>
      <c r="E32">
        <v>2689</v>
      </c>
      <c r="F32">
        <v>1933</v>
      </c>
      <c r="H32">
        <v>9775</v>
      </c>
      <c r="I32">
        <v>7120</v>
      </c>
      <c r="J32">
        <v>348</v>
      </c>
      <c r="K32">
        <v>498</v>
      </c>
      <c r="L32">
        <v>10769</v>
      </c>
      <c r="M32">
        <v>133</v>
      </c>
      <c r="P32">
        <v>6992</v>
      </c>
      <c r="Q32">
        <v>341</v>
      </c>
      <c r="U32">
        <v>120</v>
      </c>
      <c r="X32">
        <v>55</v>
      </c>
      <c r="Z32">
        <v>302</v>
      </c>
      <c r="AB32">
        <v>276</v>
      </c>
      <c r="AC32">
        <v>3337</v>
      </c>
      <c r="AE32">
        <v>2040</v>
      </c>
      <c r="AF32">
        <v>335</v>
      </c>
      <c r="AG32">
        <v>72</v>
      </c>
      <c r="AH32">
        <v>172</v>
      </c>
      <c r="AK32">
        <v>7082</v>
      </c>
      <c r="AL32">
        <v>38</v>
      </c>
      <c r="AO32">
        <v>7983</v>
      </c>
      <c r="AP32">
        <v>1792</v>
      </c>
      <c r="AS32">
        <v>1344</v>
      </c>
      <c r="AT32">
        <v>58</v>
      </c>
      <c r="AU32">
        <v>154</v>
      </c>
      <c r="AV32">
        <v>525</v>
      </c>
      <c r="AW32">
        <v>696</v>
      </c>
      <c r="AX32">
        <v>12261</v>
      </c>
      <c r="AY32">
        <v>6873</v>
      </c>
      <c r="BB32">
        <v>3299</v>
      </c>
      <c r="BC32">
        <v>114</v>
      </c>
      <c r="BD32">
        <v>383</v>
      </c>
      <c r="BE32">
        <v>11</v>
      </c>
      <c r="BF32">
        <v>655</v>
      </c>
      <c r="BG32">
        <v>232</v>
      </c>
      <c r="BH32">
        <v>110</v>
      </c>
      <c r="BI32">
        <v>756</v>
      </c>
      <c r="BJ32">
        <v>113</v>
      </c>
      <c r="BK32">
        <v>99939</v>
      </c>
      <c r="BL32">
        <v>3</v>
      </c>
    </row>
    <row r="33" spans="1:64" x14ac:dyDescent="0.35">
      <c r="A33">
        <v>2022</v>
      </c>
      <c r="B33" t="s">
        <v>63</v>
      </c>
      <c r="C33" t="s">
        <v>64</v>
      </c>
      <c r="D33" s="2">
        <v>70063.5</v>
      </c>
      <c r="E33">
        <v>1394</v>
      </c>
      <c r="F33">
        <v>1336</v>
      </c>
      <c r="H33">
        <v>8605</v>
      </c>
      <c r="I33">
        <v>7</v>
      </c>
      <c r="J33">
        <v>207</v>
      </c>
      <c r="K33">
        <v>655</v>
      </c>
      <c r="L33">
        <v>4865</v>
      </c>
      <c r="Q33">
        <v>49</v>
      </c>
      <c r="S33">
        <v>44</v>
      </c>
      <c r="W33">
        <v>245</v>
      </c>
      <c r="X33">
        <v>44</v>
      </c>
      <c r="Y33">
        <v>889</v>
      </c>
      <c r="AB33">
        <v>289</v>
      </c>
      <c r="AC33">
        <v>51</v>
      </c>
      <c r="AD33">
        <v>5</v>
      </c>
      <c r="AE33">
        <v>1065</v>
      </c>
      <c r="AL33">
        <v>7</v>
      </c>
      <c r="AO33">
        <v>45</v>
      </c>
      <c r="AP33">
        <v>8560</v>
      </c>
      <c r="AT33">
        <v>65</v>
      </c>
      <c r="AU33">
        <v>107</v>
      </c>
      <c r="AV33">
        <v>57</v>
      </c>
      <c r="AY33">
        <v>82</v>
      </c>
      <c r="BB33">
        <v>402</v>
      </c>
      <c r="BC33">
        <v>144</v>
      </c>
      <c r="BI33">
        <v>58</v>
      </c>
      <c r="BJ33">
        <v>58</v>
      </c>
    </row>
    <row r="34" spans="1:64" x14ac:dyDescent="0.35">
      <c r="A34">
        <v>2022</v>
      </c>
      <c r="B34" t="s">
        <v>65</v>
      </c>
      <c r="C34" t="s">
        <v>66</v>
      </c>
      <c r="D34" s="2">
        <v>408235.8</v>
      </c>
    </row>
    <row r="35" spans="1:64" x14ac:dyDescent="0.35">
      <c r="A35">
        <v>2022</v>
      </c>
      <c r="B35" t="s">
        <v>67</v>
      </c>
      <c r="C35" t="s">
        <v>68</v>
      </c>
      <c r="D35" s="2">
        <v>558327.9</v>
      </c>
      <c r="E35">
        <v>2188</v>
      </c>
      <c r="F35">
        <v>703</v>
      </c>
      <c r="H35">
        <v>4737</v>
      </c>
      <c r="I35">
        <v>2803</v>
      </c>
      <c r="J35">
        <v>223</v>
      </c>
      <c r="K35">
        <v>352</v>
      </c>
      <c r="L35">
        <v>3584</v>
      </c>
      <c r="M35">
        <v>31</v>
      </c>
      <c r="O35">
        <v>17</v>
      </c>
      <c r="P35">
        <v>18757</v>
      </c>
      <c r="Q35">
        <v>64</v>
      </c>
      <c r="R35">
        <v>15</v>
      </c>
      <c r="S35">
        <v>12</v>
      </c>
      <c r="W35">
        <v>634</v>
      </c>
      <c r="X35">
        <v>144</v>
      </c>
      <c r="Y35">
        <v>3378</v>
      </c>
      <c r="Z35">
        <v>122</v>
      </c>
      <c r="AB35">
        <v>237</v>
      </c>
      <c r="AE35">
        <v>252</v>
      </c>
      <c r="AJ35">
        <v>109</v>
      </c>
      <c r="AL35">
        <v>2803</v>
      </c>
      <c r="AO35">
        <v>1968</v>
      </c>
      <c r="AP35">
        <v>2769</v>
      </c>
      <c r="AS35">
        <v>7</v>
      </c>
      <c r="AT35">
        <v>164</v>
      </c>
      <c r="AY35">
        <v>1083</v>
      </c>
      <c r="BB35">
        <v>57</v>
      </c>
      <c r="BC35">
        <v>90</v>
      </c>
      <c r="BD35">
        <v>4</v>
      </c>
      <c r="BE35">
        <v>37</v>
      </c>
      <c r="BF35">
        <v>14</v>
      </c>
      <c r="BH35">
        <v>543</v>
      </c>
      <c r="BI35">
        <v>1485</v>
      </c>
      <c r="BJ35">
        <v>155</v>
      </c>
    </row>
    <row r="36" spans="1:64" x14ac:dyDescent="0.35">
      <c r="A36">
        <v>2022</v>
      </c>
      <c r="B36" t="s">
        <v>69</v>
      </c>
      <c r="C36" t="s">
        <v>70</v>
      </c>
      <c r="D36" s="2">
        <v>1715.5</v>
      </c>
      <c r="E36">
        <v>409</v>
      </c>
      <c r="F36">
        <v>57</v>
      </c>
      <c r="G36">
        <v>0</v>
      </c>
      <c r="H36">
        <v>623</v>
      </c>
      <c r="I36">
        <v>156</v>
      </c>
      <c r="J36">
        <v>44</v>
      </c>
      <c r="K36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</v>
      </c>
      <c r="AJ36">
        <v>0</v>
      </c>
      <c r="AK36">
        <v>0</v>
      </c>
      <c r="AL36">
        <v>156</v>
      </c>
      <c r="AM36">
        <v>0</v>
      </c>
      <c r="AN36">
        <v>0</v>
      </c>
      <c r="AO36">
        <v>0</v>
      </c>
      <c r="AP36">
        <v>623</v>
      </c>
      <c r="AS36">
        <v>0</v>
      </c>
      <c r="AT36">
        <v>16</v>
      </c>
      <c r="AU36">
        <v>0</v>
      </c>
      <c r="AV36">
        <v>62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  <c r="BI36">
        <v>346</v>
      </c>
      <c r="BJ36">
        <v>10</v>
      </c>
      <c r="BK36">
        <v>0</v>
      </c>
      <c r="BL36">
        <v>0</v>
      </c>
    </row>
    <row r="37" spans="1:64" x14ac:dyDescent="0.35">
      <c r="A37">
        <v>2022</v>
      </c>
      <c r="B37" t="s">
        <v>71</v>
      </c>
      <c r="C37" t="s">
        <v>72</v>
      </c>
      <c r="D37" s="2">
        <v>259656.4</v>
      </c>
      <c r="E37">
        <v>366</v>
      </c>
      <c r="F37">
        <v>338</v>
      </c>
      <c r="G37">
        <v>11</v>
      </c>
      <c r="H37">
        <v>7356</v>
      </c>
      <c r="I37">
        <v>2271</v>
      </c>
      <c r="J37">
        <v>6</v>
      </c>
      <c r="K37">
        <v>89</v>
      </c>
      <c r="Q37">
        <v>126</v>
      </c>
      <c r="R37">
        <v>13</v>
      </c>
      <c r="S37">
        <v>100</v>
      </c>
      <c r="T37">
        <v>14</v>
      </c>
      <c r="W37">
        <v>163</v>
      </c>
      <c r="X37">
        <v>2</v>
      </c>
      <c r="AB37">
        <v>38</v>
      </c>
      <c r="AE37">
        <v>298</v>
      </c>
      <c r="AH37">
        <v>195</v>
      </c>
      <c r="AK37">
        <v>2087</v>
      </c>
      <c r="AL37">
        <v>184</v>
      </c>
      <c r="AO37">
        <v>5907</v>
      </c>
      <c r="AP37">
        <v>1449</v>
      </c>
      <c r="AS37">
        <v>261</v>
      </c>
      <c r="AU37">
        <v>2</v>
      </c>
      <c r="BB37">
        <v>88</v>
      </c>
      <c r="BE37">
        <v>1</v>
      </c>
      <c r="BI37">
        <v>28</v>
      </c>
      <c r="BJ37">
        <v>7</v>
      </c>
    </row>
    <row r="38" spans="1:64" x14ac:dyDescent="0.35">
      <c r="A38">
        <v>2022</v>
      </c>
      <c r="B38" t="s">
        <v>73</v>
      </c>
      <c r="C38" t="s">
        <v>74</v>
      </c>
      <c r="D38" s="2">
        <v>1197906.7</v>
      </c>
      <c r="J38">
        <v>1348</v>
      </c>
      <c r="K38">
        <v>3609</v>
      </c>
      <c r="L38">
        <v>33735</v>
      </c>
      <c r="M38">
        <v>2025</v>
      </c>
      <c r="N38">
        <v>586</v>
      </c>
      <c r="O38">
        <v>53</v>
      </c>
      <c r="P38">
        <v>63290</v>
      </c>
      <c r="Q38">
        <v>1550</v>
      </c>
      <c r="R38">
        <v>54</v>
      </c>
      <c r="S38">
        <v>1549</v>
      </c>
      <c r="T38">
        <v>2</v>
      </c>
      <c r="U38">
        <v>339</v>
      </c>
      <c r="W38">
        <v>1168</v>
      </c>
      <c r="AC38">
        <v>26692</v>
      </c>
      <c r="AF38">
        <v>13</v>
      </c>
      <c r="AG38">
        <v>275</v>
      </c>
      <c r="AS38">
        <v>643</v>
      </c>
      <c r="AU38">
        <v>255</v>
      </c>
      <c r="AW38">
        <v>15459</v>
      </c>
      <c r="AY38">
        <v>20327</v>
      </c>
      <c r="AZ38">
        <v>2857</v>
      </c>
      <c r="BC38">
        <v>1446</v>
      </c>
      <c r="BD38">
        <v>109</v>
      </c>
      <c r="BF38">
        <v>723</v>
      </c>
      <c r="BG38">
        <v>6656</v>
      </c>
      <c r="BH38">
        <v>9098</v>
      </c>
      <c r="BL38">
        <v>9</v>
      </c>
    </row>
    <row r="39" spans="1:64" x14ac:dyDescent="0.35">
      <c r="A39">
        <v>2022</v>
      </c>
      <c r="B39" t="s">
        <v>75</v>
      </c>
      <c r="C39" t="s">
        <v>76</v>
      </c>
      <c r="D39" s="2">
        <v>309372.40000000002</v>
      </c>
    </row>
    <row r="40" spans="1:64" x14ac:dyDescent="0.35">
      <c r="A40">
        <v>2022</v>
      </c>
      <c r="B40" t="s">
        <v>77</v>
      </c>
      <c r="C40" t="s">
        <v>78</v>
      </c>
      <c r="D40" s="2">
        <v>180285.9</v>
      </c>
      <c r="E40">
        <v>1042</v>
      </c>
      <c r="F40">
        <v>787</v>
      </c>
      <c r="G40">
        <v>169</v>
      </c>
      <c r="H40">
        <v>5573</v>
      </c>
      <c r="I40">
        <v>907</v>
      </c>
      <c r="J40">
        <v>9</v>
      </c>
      <c r="K40">
        <v>28</v>
      </c>
      <c r="L40">
        <v>2442</v>
      </c>
      <c r="X40">
        <v>24</v>
      </c>
      <c r="AE40">
        <v>777</v>
      </c>
      <c r="AL40">
        <v>907</v>
      </c>
      <c r="AP40">
        <v>5573</v>
      </c>
      <c r="AT40">
        <v>31</v>
      </c>
      <c r="BB40">
        <v>80</v>
      </c>
      <c r="BI40">
        <v>255</v>
      </c>
      <c r="BJ40">
        <v>31</v>
      </c>
    </row>
    <row r="41" spans="1:64" x14ac:dyDescent="0.35">
      <c r="A41">
        <v>2022</v>
      </c>
      <c r="B41" t="s">
        <v>79</v>
      </c>
      <c r="C41" t="s">
        <v>80</v>
      </c>
      <c r="D41" s="2">
        <v>1147745.3</v>
      </c>
      <c r="E41">
        <v>614</v>
      </c>
      <c r="F41">
        <v>316</v>
      </c>
      <c r="H41">
        <v>4565</v>
      </c>
      <c r="I41">
        <v>718</v>
      </c>
      <c r="J41">
        <v>24</v>
      </c>
      <c r="K41">
        <v>43</v>
      </c>
      <c r="P41">
        <v>2239</v>
      </c>
      <c r="R41">
        <v>6</v>
      </c>
      <c r="W41">
        <v>136</v>
      </c>
      <c r="X41">
        <v>69</v>
      </c>
      <c r="AE41">
        <v>418</v>
      </c>
      <c r="AL41">
        <v>718</v>
      </c>
      <c r="AP41">
        <v>4565</v>
      </c>
      <c r="AS41">
        <v>119</v>
      </c>
      <c r="AT41">
        <v>118</v>
      </c>
      <c r="AY41">
        <v>1592</v>
      </c>
      <c r="BB41">
        <v>4</v>
      </c>
      <c r="BI41">
        <v>298</v>
      </c>
    </row>
    <row r="42" spans="1:64" x14ac:dyDescent="0.35">
      <c r="A42">
        <v>2022</v>
      </c>
      <c r="B42" t="s">
        <v>81</v>
      </c>
      <c r="C42" t="s">
        <v>82</v>
      </c>
      <c r="D42" s="2">
        <v>1701068.1</v>
      </c>
      <c r="E42">
        <v>7941</v>
      </c>
      <c r="F42">
        <v>6369</v>
      </c>
      <c r="G42">
        <v>338</v>
      </c>
      <c r="H42">
        <v>74197</v>
      </c>
      <c r="I42">
        <v>32957</v>
      </c>
      <c r="J42">
        <v>1440</v>
      </c>
      <c r="K42">
        <v>1712</v>
      </c>
      <c r="V42">
        <v>3936</v>
      </c>
      <c r="W42">
        <v>426</v>
      </c>
      <c r="X42">
        <v>273</v>
      </c>
      <c r="AB42">
        <v>1249</v>
      </c>
      <c r="AD42">
        <v>14531</v>
      </c>
      <c r="AE42">
        <v>13380</v>
      </c>
      <c r="AF42">
        <v>3309</v>
      </c>
      <c r="AK42">
        <v>8698</v>
      </c>
      <c r="AM42">
        <v>24259</v>
      </c>
      <c r="AN42">
        <v>52772</v>
      </c>
      <c r="AO42">
        <v>21425</v>
      </c>
      <c r="AT42">
        <v>315</v>
      </c>
      <c r="AV42">
        <v>158</v>
      </c>
      <c r="BB42">
        <v>1820</v>
      </c>
      <c r="BC42">
        <v>572</v>
      </c>
      <c r="BE42">
        <v>59</v>
      </c>
      <c r="BI42">
        <v>1572</v>
      </c>
      <c r="BJ42">
        <v>429</v>
      </c>
    </row>
    <row r="43" spans="1:64" x14ac:dyDescent="0.35">
      <c r="A43">
        <v>2022</v>
      </c>
      <c r="B43" t="s">
        <v>83</v>
      </c>
      <c r="C43" t="s">
        <v>84</v>
      </c>
      <c r="D43" s="2">
        <v>675227.8</v>
      </c>
      <c r="E43">
        <v>5243</v>
      </c>
      <c r="F43">
        <v>4709</v>
      </c>
      <c r="G43">
        <v>101</v>
      </c>
      <c r="H43">
        <v>33779</v>
      </c>
      <c r="I43">
        <v>9202</v>
      </c>
      <c r="J43">
        <v>261</v>
      </c>
      <c r="K43">
        <v>639</v>
      </c>
      <c r="L43">
        <v>0</v>
      </c>
      <c r="M43">
        <v>18</v>
      </c>
      <c r="N43">
        <v>2</v>
      </c>
      <c r="O43">
        <v>3</v>
      </c>
      <c r="P43">
        <v>2421</v>
      </c>
      <c r="Q43">
        <v>743</v>
      </c>
      <c r="R43">
        <v>23</v>
      </c>
      <c r="S43">
        <v>3</v>
      </c>
      <c r="T43">
        <v>0</v>
      </c>
      <c r="U43">
        <v>0</v>
      </c>
      <c r="V43">
        <v>3325</v>
      </c>
      <c r="W43">
        <v>463</v>
      </c>
      <c r="X43">
        <v>61</v>
      </c>
      <c r="Y43">
        <v>0</v>
      </c>
      <c r="Z43">
        <v>0</v>
      </c>
      <c r="AA43">
        <v>0</v>
      </c>
      <c r="AB43">
        <v>2633</v>
      </c>
      <c r="AC43">
        <v>0</v>
      </c>
      <c r="AD43">
        <v>7144</v>
      </c>
      <c r="AE43">
        <v>1474</v>
      </c>
      <c r="AF43">
        <v>388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9202</v>
      </c>
      <c r="AM43">
        <v>0</v>
      </c>
      <c r="AN43">
        <v>0</v>
      </c>
      <c r="AO43">
        <v>0</v>
      </c>
      <c r="AP43">
        <v>33779</v>
      </c>
      <c r="AS43">
        <v>773</v>
      </c>
      <c r="AT43">
        <v>85</v>
      </c>
      <c r="AU43">
        <v>137</v>
      </c>
      <c r="AV43">
        <v>79</v>
      </c>
      <c r="AW43">
        <v>0</v>
      </c>
      <c r="AX43">
        <v>0</v>
      </c>
      <c r="AY43">
        <v>970</v>
      </c>
      <c r="AZ43">
        <v>0</v>
      </c>
      <c r="BA43">
        <v>0</v>
      </c>
      <c r="BB43">
        <v>1800</v>
      </c>
      <c r="BC43">
        <v>269</v>
      </c>
      <c r="BD43">
        <v>970</v>
      </c>
      <c r="BE43">
        <v>12</v>
      </c>
      <c r="BF43">
        <v>4</v>
      </c>
      <c r="BG43">
        <v>0</v>
      </c>
      <c r="BH43">
        <v>0</v>
      </c>
      <c r="BI43">
        <v>534</v>
      </c>
      <c r="BJ43">
        <v>196</v>
      </c>
      <c r="BK43">
        <v>0</v>
      </c>
      <c r="BL43">
        <v>0</v>
      </c>
    </row>
    <row r="44" spans="1:64" x14ac:dyDescent="0.35">
      <c r="A44">
        <v>2022</v>
      </c>
      <c r="B44" t="s">
        <v>85</v>
      </c>
      <c r="C44" t="s">
        <v>86</v>
      </c>
      <c r="D44" s="2">
        <v>490571.8</v>
      </c>
      <c r="E44">
        <v>2708</v>
      </c>
      <c r="F44">
        <v>2032</v>
      </c>
      <c r="G44">
        <v>92</v>
      </c>
      <c r="H44">
        <v>32182</v>
      </c>
      <c r="I44">
        <v>2796</v>
      </c>
      <c r="J44">
        <v>2703</v>
      </c>
      <c r="K44">
        <v>1902</v>
      </c>
      <c r="O44">
        <v>63</v>
      </c>
      <c r="P44">
        <v>19722</v>
      </c>
      <c r="Q44">
        <v>178</v>
      </c>
      <c r="S44">
        <v>14</v>
      </c>
      <c r="V44">
        <v>1994</v>
      </c>
      <c r="W44">
        <v>690</v>
      </c>
      <c r="X44">
        <v>55</v>
      </c>
      <c r="Z44">
        <v>265</v>
      </c>
      <c r="AE44">
        <v>795</v>
      </c>
      <c r="AF44">
        <v>757</v>
      </c>
      <c r="AL44">
        <v>2796</v>
      </c>
      <c r="AP44">
        <v>32182</v>
      </c>
      <c r="AS44">
        <v>77</v>
      </c>
      <c r="AT44">
        <v>141</v>
      </c>
      <c r="AV44">
        <v>351</v>
      </c>
      <c r="BB44">
        <v>588</v>
      </c>
      <c r="BC44">
        <v>400</v>
      </c>
      <c r="BD44">
        <v>557</v>
      </c>
      <c r="BE44">
        <v>23</v>
      </c>
      <c r="BF44">
        <v>39</v>
      </c>
      <c r="BH44">
        <v>84</v>
      </c>
      <c r="BI44">
        <v>676</v>
      </c>
      <c r="BJ44">
        <v>55</v>
      </c>
    </row>
    <row r="45" spans="1:64" x14ac:dyDescent="0.35">
      <c r="A45">
        <v>2022</v>
      </c>
      <c r="B45" t="s">
        <v>87</v>
      </c>
      <c r="C45" t="s">
        <v>88</v>
      </c>
      <c r="D45" s="2">
        <v>105140.5</v>
      </c>
      <c r="E45">
        <v>260</v>
      </c>
      <c r="F45">
        <v>260</v>
      </c>
      <c r="G45">
        <v>19</v>
      </c>
      <c r="H45">
        <v>5007</v>
      </c>
      <c r="I45">
        <v>67</v>
      </c>
      <c r="J45">
        <v>58</v>
      </c>
      <c r="K45">
        <v>199</v>
      </c>
      <c r="L45">
        <v>4713</v>
      </c>
      <c r="O45">
        <v>11</v>
      </c>
      <c r="P45">
        <v>2626</v>
      </c>
      <c r="Q45">
        <v>157</v>
      </c>
      <c r="U45">
        <v>8</v>
      </c>
      <c r="W45">
        <v>233</v>
      </c>
      <c r="X45">
        <v>10</v>
      </c>
      <c r="Z45">
        <v>49</v>
      </c>
      <c r="AB45">
        <v>141</v>
      </c>
      <c r="AC45">
        <v>381</v>
      </c>
      <c r="AE45">
        <v>267</v>
      </c>
      <c r="AF45">
        <v>296</v>
      </c>
      <c r="AL45">
        <v>67</v>
      </c>
      <c r="AN45">
        <v>188</v>
      </c>
      <c r="AO45">
        <v>3372</v>
      </c>
      <c r="AP45">
        <v>1447</v>
      </c>
      <c r="AT45">
        <v>10</v>
      </c>
      <c r="AU45">
        <v>96</v>
      </c>
      <c r="BB45">
        <v>288</v>
      </c>
      <c r="BC45">
        <v>1</v>
      </c>
      <c r="BD45">
        <v>129</v>
      </c>
      <c r="BF45">
        <v>7</v>
      </c>
      <c r="BH45">
        <v>6</v>
      </c>
      <c r="BJ45">
        <v>25</v>
      </c>
    </row>
    <row r="46" spans="1:64" x14ac:dyDescent="0.35">
      <c r="A46">
        <v>2022</v>
      </c>
      <c r="B46" t="s">
        <v>89</v>
      </c>
      <c r="C46" t="s">
        <v>90</v>
      </c>
      <c r="D46" s="2">
        <v>275519.8</v>
      </c>
      <c r="E46">
        <v>730</v>
      </c>
      <c r="F46">
        <v>331</v>
      </c>
      <c r="H46">
        <v>2630</v>
      </c>
      <c r="I46">
        <v>1864</v>
      </c>
      <c r="J46">
        <v>18</v>
      </c>
      <c r="K46">
        <v>255</v>
      </c>
      <c r="O46">
        <v>19</v>
      </c>
      <c r="Q46">
        <v>1</v>
      </c>
      <c r="R46">
        <v>19</v>
      </c>
      <c r="W46">
        <v>461</v>
      </c>
      <c r="X46">
        <v>37</v>
      </c>
      <c r="AC46">
        <v>1377</v>
      </c>
      <c r="AD46">
        <v>595</v>
      </c>
      <c r="AE46">
        <v>887</v>
      </c>
      <c r="AK46">
        <v>821</v>
      </c>
      <c r="AL46">
        <v>1043</v>
      </c>
      <c r="AO46">
        <v>931</v>
      </c>
      <c r="AP46">
        <v>1699</v>
      </c>
      <c r="AS46">
        <v>50</v>
      </c>
      <c r="AT46">
        <v>43</v>
      </c>
      <c r="AU46">
        <v>2</v>
      </c>
      <c r="AY46">
        <v>390</v>
      </c>
      <c r="BB46">
        <v>73</v>
      </c>
      <c r="BC46">
        <v>183</v>
      </c>
      <c r="BI46">
        <v>399</v>
      </c>
      <c r="BJ46">
        <v>101</v>
      </c>
    </row>
    <row r="47" spans="1:64" x14ac:dyDescent="0.35">
      <c r="A47">
        <v>2022</v>
      </c>
      <c r="B47" t="s">
        <v>91</v>
      </c>
      <c r="C47" t="s">
        <v>92</v>
      </c>
      <c r="D47" s="2">
        <v>24120.5</v>
      </c>
    </row>
    <row r="48" spans="1:64" x14ac:dyDescent="0.35">
      <c r="A48">
        <v>2022</v>
      </c>
      <c r="B48" t="s">
        <v>93</v>
      </c>
      <c r="C48" t="s">
        <v>94</v>
      </c>
      <c r="D48" s="2">
        <v>2323148.7999999998</v>
      </c>
      <c r="E48">
        <v>8693</v>
      </c>
      <c r="F48">
        <v>6701</v>
      </c>
      <c r="J48">
        <v>583</v>
      </c>
      <c r="K48">
        <v>1746</v>
      </c>
      <c r="N48">
        <v>2</v>
      </c>
      <c r="O48">
        <v>96</v>
      </c>
      <c r="P48">
        <v>20737</v>
      </c>
      <c r="Q48">
        <v>449</v>
      </c>
      <c r="V48">
        <v>2313</v>
      </c>
      <c r="W48">
        <v>657</v>
      </c>
      <c r="Z48">
        <v>787</v>
      </c>
      <c r="AB48">
        <v>543</v>
      </c>
      <c r="AD48">
        <v>2337</v>
      </c>
      <c r="AE48">
        <v>4743</v>
      </c>
      <c r="AF48">
        <v>1198</v>
      </c>
      <c r="AG48">
        <v>12</v>
      </c>
      <c r="AH48">
        <v>724</v>
      </c>
      <c r="AU48">
        <v>201</v>
      </c>
      <c r="AX48">
        <v>2</v>
      </c>
      <c r="AY48">
        <v>71119</v>
      </c>
      <c r="BB48">
        <v>5583</v>
      </c>
      <c r="BC48">
        <v>526</v>
      </c>
      <c r="BD48">
        <v>832</v>
      </c>
      <c r="BI48">
        <v>1992</v>
      </c>
      <c r="BK48">
        <v>4710</v>
      </c>
    </row>
    <row r="49" spans="1:64" x14ac:dyDescent="0.35">
      <c r="A49">
        <v>2021</v>
      </c>
      <c r="B49" t="s">
        <v>1</v>
      </c>
      <c r="C49" t="s">
        <v>2</v>
      </c>
      <c r="D49" s="2">
        <v>770961.1</v>
      </c>
      <c r="E49">
        <v>2221</v>
      </c>
      <c r="F49">
        <v>1220</v>
      </c>
      <c r="H49">
        <v>12189</v>
      </c>
      <c r="I49">
        <v>8052</v>
      </c>
      <c r="J49">
        <v>107</v>
      </c>
      <c r="K49">
        <v>691</v>
      </c>
      <c r="P49">
        <v>2947</v>
      </c>
      <c r="Q49">
        <v>168</v>
      </c>
      <c r="U49">
        <v>19</v>
      </c>
      <c r="X49">
        <v>105</v>
      </c>
      <c r="AB49">
        <v>209</v>
      </c>
      <c r="AD49">
        <v>8</v>
      </c>
      <c r="AF49">
        <v>899</v>
      </c>
      <c r="AJ49">
        <v>16</v>
      </c>
      <c r="AK49">
        <v>3066</v>
      </c>
      <c r="AL49">
        <v>4986</v>
      </c>
      <c r="AO49">
        <v>1486</v>
      </c>
      <c r="AP49">
        <v>10703</v>
      </c>
      <c r="AS49">
        <v>35</v>
      </c>
      <c r="AT49">
        <v>126</v>
      </c>
      <c r="AU49">
        <v>3</v>
      </c>
      <c r="BB49">
        <v>203</v>
      </c>
      <c r="BD49">
        <v>47</v>
      </c>
      <c r="BE49">
        <v>11</v>
      </c>
      <c r="BF49">
        <v>8</v>
      </c>
      <c r="BI49">
        <v>1001</v>
      </c>
      <c r="BL49">
        <v>50</v>
      </c>
    </row>
    <row r="50" spans="1:64" x14ac:dyDescent="0.35">
      <c r="A50">
        <v>2021</v>
      </c>
      <c r="B50" t="s">
        <v>3</v>
      </c>
      <c r="C50" t="s">
        <v>4</v>
      </c>
      <c r="D50" s="2">
        <v>223125.3</v>
      </c>
      <c r="E50">
        <v>114</v>
      </c>
      <c r="F50">
        <v>108</v>
      </c>
      <c r="G50">
        <v>1</v>
      </c>
      <c r="H50">
        <v>505</v>
      </c>
      <c r="I50">
        <v>537</v>
      </c>
      <c r="J50">
        <v>2</v>
      </c>
      <c r="K50">
        <v>2</v>
      </c>
      <c r="L50">
        <v>12</v>
      </c>
      <c r="P50">
        <v>1595</v>
      </c>
      <c r="V50">
        <v>39</v>
      </c>
      <c r="W50">
        <v>25</v>
      </c>
      <c r="Y50">
        <v>121</v>
      </c>
      <c r="AE50">
        <v>47</v>
      </c>
      <c r="AI50">
        <v>2</v>
      </c>
      <c r="AK50">
        <v>197</v>
      </c>
      <c r="AL50">
        <v>130</v>
      </c>
      <c r="AM50">
        <v>210</v>
      </c>
      <c r="AN50">
        <v>255</v>
      </c>
      <c r="AO50">
        <v>1</v>
      </c>
      <c r="AP50">
        <v>249</v>
      </c>
      <c r="AT50">
        <v>5</v>
      </c>
      <c r="AV50">
        <v>322</v>
      </c>
      <c r="AZ50">
        <v>187</v>
      </c>
      <c r="BD50">
        <v>155</v>
      </c>
      <c r="BI50">
        <v>4</v>
      </c>
      <c r="BJ50">
        <v>5</v>
      </c>
    </row>
    <row r="51" spans="1:64" x14ac:dyDescent="0.35">
      <c r="A51">
        <v>2021</v>
      </c>
      <c r="B51" t="s">
        <v>5</v>
      </c>
      <c r="C51" t="s">
        <v>6</v>
      </c>
      <c r="D51" s="2">
        <v>6406.9</v>
      </c>
    </row>
    <row r="52" spans="1:64" x14ac:dyDescent="0.35">
      <c r="A52">
        <v>2021</v>
      </c>
      <c r="B52" t="s">
        <v>7</v>
      </c>
      <c r="C52" t="s">
        <v>8</v>
      </c>
      <c r="D52" s="2">
        <v>3905396.8</v>
      </c>
      <c r="E52">
        <v>16989</v>
      </c>
      <c r="F52">
        <v>16989</v>
      </c>
      <c r="H52">
        <v>101752</v>
      </c>
      <c r="I52">
        <v>2093</v>
      </c>
      <c r="J52">
        <v>268</v>
      </c>
      <c r="K52">
        <v>682</v>
      </c>
      <c r="L52">
        <v>87086</v>
      </c>
      <c r="W52">
        <v>665</v>
      </c>
      <c r="AB52">
        <v>439</v>
      </c>
      <c r="AC52">
        <v>3724</v>
      </c>
      <c r="AL52">
        <v>2093</v>
      </c>
      <c r="AP52">
        <v>101752</v>
      </c>
      <c r="AS52">
        <v>1385</v>
      </c>
      <c r="AW52">
        <v>1785</v>
      </c>
      <c r="BB52">
        <v>313</v>
      </c>
      <c r="BC52">
        <v>680</v>
      </c>
    </row>
    <row r="53" spans="1:64" x14ac:dyDescent="0.35">
      <c r="A53">
        <v>2021</v>
      </c>
      <c r="B53" t="s">
        <v>9</v>
      </c>
      <c r="C53" t="s">
        <v>10</v>
      </c>
      <c r="D53" s="2">
        <v>3870531</v>
      </c>
      <c r="E53">
        <v>12174</v>
      </c>
      <c r="F53">
        <v>9361</v>
      </c>
      <c r="H53">
        <v>69824</v>
      </c>
      <c r="I53">
        <v>20355</v>
      </c>
      <c r="K53">
        <v>15498</v>
      </c>
      <c r="L53">
        <v>113189</v>
      </c>
      <c r="O53">
        <v>987</v>
      </c>
      <c r="P53">
        <v>42630</v>
      </c>
      <c r="Z53">
        <v>4921</v>
      </c>
      <c r="AG53">
        <v>17</v>
      </c>
      <c r="AL53">
        <v>20355</v>
      </c>
      <c r="AP53">
        <v>69824</v>
      </c>
      <c r="AU53">
        <v>567</v>
      </c>
      <c r="BE53">
        <v>1076</v>
      </c>
      <c r="BI53">
        <v>2813</v>
      </c>
    </row>
    <row r="54" spans="1:64" x14ac:dyDescent="0.35">
      <c r="A54">
        <v>2021</v>
      </c>
      <c r="B54" t="s">
        <v>11</v>
      </c>
      <c r="C54" t="s">
        <v>12</v>
      </c>
      <c r="D54" s="2">
        <v>7641925.4000000004</v>
      </c>
      <c r="E54">
        <v>84277</v>
      </c>
      <c r="F54">
        <v>84277</v>
      </c>
      <c r="H54">
        <v>201735</v>
      </c>
      <c r="I54">
        <v>131922</v>
      </c>
      <c r="J54">
        <v>4358</v>
      </c>
      <c r="K54">
        <v>17331</v>
      </c>
      <c r="P54">
        <v>7912</v>
      </c>
      <c r="Q54">
        <v>11781</v>
      </c>
      <c r="R54">
        <v>11408</v>
      </c>
      <c r="T54">
        <v>2071</v>
      </c>
      <c r="W54">
        <v>1234</v>
      </c>
      <c r="X54">
        <v>36</v>
      </c>
      <c r="Z54">
        <v>9205</v>
      </c>
      <c r="AE54">
        <v>34554</v>
      </c>
      <c r="AF54">
        <v>37181</v>
      </c>
      <c r="AG54">
        <v>37181</v>
      </c>
      <c r="AL54">
        <v>131922</v>
      </c>
      <c r="AP54">
        <v>201735</v>
      </c>
      <c r="AQ54">
        <v>131922</v>
      </c>
      <c r="AT54">
        <v>49</v>
      </c>
      <c r="AU54">
        <v>5485</v>
      </c>
      <c r="BE54">
        <v>14</v>
      </c>
      <c r="BJ54">
        <v>42</v>
      </c>
    </row>
    <row r="55" spans="1:64" x14ac:dyDescent="0.35">
      <c r="A55">
        <v>2021</v>
      </c>
      <c r="B55" t="s">
        <v>13</v>
      </c>
      <c r="C55" t="s">
        <v>14</v>
      </c>
      <c r="D55" s="2">
        <v>64185.3</v>
      </c>
    </row>
    <row r="56" spans="1:64" x14ac:dyDescent="0.35">
      <c r="A56">
        <v>2021</v>
      </c>
      <c r="B56" t="s">
        <v>15</v>
      </c>
      <c r="C56" t="s">
        <v>16</v>
      </c>
      <c r="D56" s="2">
        <v>150737.70000000001</v>
      </c>
      <c r="E56">
        <v>1035</v>
      </c>
      <c r="F56">
        <v>597</v>
      </c>
      <c r="H56">
        <v>6156</v>
      </c>
      <c r="I56">
        <v>1252</v>
      </c>
      <c r="J56">
        <v>121</v>
      </c>
      <c r="K56">
        <v>75</v>
      </c>
      <c r="AL56">
        <v>1252</v>
      </c>
      <c r="AN56">
        <v>5510</v>
      </c>
      <c r="AP56">
        <v>646</v>
      </c>
      <c r="BI56">
        <v>438</v>
      </c>
    </row>
    <row r="57" spans="1:64" x14ac:dyDescent="0.35">
      <c r="A57">
        <v>2021</v>
      </c>
      <c r="B57" t="s">
        <v>17</v>
      </c>
      <c r="C57" t="s">
        <v>18</v>
      </c>
      <c r="D57" s="2">
        <v>29226.2</v>
      </c>
    </row>
    <row r="58" spans="1:64" x14ac:dyDescent="0.35">
      <c r="A58">
        <v>2021</v>
      </c>
      <c r="B58" t="s">
        <v>19</v>
      </c>
      <c r="C58" t="s">
        <v>20</v>
      </c>
      <c r="D58" s="2">
        <v>58852.800000000003</v>
      </c>
    </row>
    <row r="59" spans="1:64" x14ac:dyDescent="0.35">
      <c r="A59">
        <v>2021</v>
      </c>
      <c r="B59" t="s">
        <v>21</v>
      </c>
      <c r="C59" t="s">
        <v>22</v>
      </c>
      <c r="D59" s="2">
        <v>989535.7</v>
      </c>
    </row>
    <row r="60" spans="1:64" x14ac:dyDescent="0.35">
      <c r="A60">
        <v>2021</v>
      </c>
      <c r="B60" t="s">
        <v>23</v>
      </c>
      <c r="C60" t="s">
        <v>24</v>
      </c>
      <c r="D60" s="2">
        <v>1308712.3</v>
      </c>
    </row>
    <row r="61" spans="1:64" x14ac:dyDescent="0.35">
      <c r="A61">
        <v>2021</v>
      </c>
      <c r="B61" t="s">
        <v>25</v>
      </c>
      <c r="C61" t="s">
        <v>26</v>
      </c>
      <c r="D61" s="2">
        <v>464321.1</v>
      </c>
      <c r="E61">
        <v>2755</v>
      </c>
      <c r="F61">
        <v>1797</v>
      </c>
      <c r="H61">
        <v>5484</v>
      </c>
      <c r="I61">
        <v>2086</v>
      </c>
      <c r="J61">
        <v>50</v>
      </c>
      <c r="K61">
        <v>403</v>
      </c>
      <c r="L61">
        <v>5903</v>
      </c>
      <c r="P61">
        <v>21</v>
      </c>
      <c r="Q61">
        <v>6</v>
      </c>
      <c r="W61">
        <v>311</v>
      </c>
      <c r="X61">
        <v>97</v>
      </c>
      <c r="Y61">
        <v>6809</v>
      </c>
      <c r="AB61">
        <v>352</v>
      </c>
      <c r="AE61">
        <v>1744</v>
      </c>
      <c r="AJ61">
        <v>4</v>
      </c>
      <c r="AL61">
        <v>2086</v>
      </c>
      <c r="AP61">
        <v>5484</v>
      </c>
      <c r="AS61">
        <v>44</v>
      </c>
      <c r="AT61">
        <v>157</v>
      </c>
      <c r="AY61">
        <v>382</v>
      </c>
      <c r="BB61">
        <v>56</v>
      </c>
      <c r="BC61">
        <v>187</v>
      </c>
      <c r="BI61">
        <v>958</v>
      </c>
      <c r="BJ61">
        <v>97</v>
      </c>
    </row>
    <row r="62" spans="1:64" x14ac:dyDescent="0.35">
      <c r="A62">
        <v>2021</v>
      </c>
      <c r="B62" t="s">
        <v>27</v>
      </c>
      <c r="C62" t="s">
        <v>28</v>
      </c>
      <c r="D62" s="2">
        <v>62086.9</v>
      </c>
      <c r="E62">
        <v>1014</v>
      </c>
      <c r="F62">
        <v>900</v>
      </c>
      <c r="H62">
        <v>7886</v>
      </c>
      <c r="J62">
        <v>89</v>
      </c>
      <c r="K62">
        <v>158</v>
      </c>
      <c r="L62">
        <v>465</v>
      </c>
      <c r="M62">
        <v>845</v>
      </c>
      <c r="N62">
        <v>8</v>
      </c>
      <c r="O62">
        <v>12</v>
      </c>
      <c r="Q62">
        <v>26</v>
      </c>
      <c r="R62">
        <v>35</v>
      </c>
      <c r="S62">
        <v>45</v>
      </c>
      <c r="U62">
        <v>35</v>
      </c>
      <c r="Y62">
        <v>1519</v>
      </c>
      <c r="Z62">
        <v>203</v>
      </c>
      <c r="AB62">
        <v>123</v>
      </c>
      <c r="AC62">
        <v>147</v>
      </c>
      <c r="AD62">
        <v>66</v>
      </c>
      <c r="AE62">
        <v>337</v>
      </c>
      <c r="AF62">
        <v>161</v>
      </c>
      <c r="AH62">
        <v>62</v>
      </c>
      <c r="AP62">
        <v>7886</v>
      </c>
      <c r="AS62">
        <v>3</v>
      </c>
      <c r="AU62">
        <v>6</v>
      </c>
      <c r="AW62">
        <v>1355</v>
      </c>
      <c r="AX62">
        <v>3629</v>
      </c>
      <c r="AY62">
        <v>11</v>
      </c>
      <c r="BB62">
        <v>413</v>
      </c>
      <c r="BC62">
        <v>42</v>
      </c>
      <c r="BF62">
        <v>15</v>
      </c>
      <c r="BI62">
        <v>114</v>
      </c>
    </row>
    <row r="63" spans="1:64" x14ac:dyDescent="0.35">
      <c r="A63">
        <v>2021</v>
      </c>
      <c r="B63" t="s">
        <v>29</v>
      </c>
      <c r="C63" t="s">
        <v>30</v>
      </c>
      <c r="D63" s="2">
        <v>434393</v>
      </c>
      <c r="E63">
        <v>812</v>
      </c>
      <c r="F63">
        <v>725</v>
      </c>
      <c r="G63">
        <v>96</v>
      </c>
      <c r="H63">
        <v>9372</v>
      </c>
      <c r="I63">
        <v>143</v>
      </c>
      <c r="K63">
        <v>99</v>
      </c>
      <c r="L63">
        <v>1750</v>
      </c>
      <c r="N63">
        <v>5</v>
      </c>
      <c r="X63">
        <v>14</v>
      </c>
      <c r="Z63">
        <v>1352</v>
      </c>
      <c r="AB63">
        <v>81</v>
      </c>
      <c r="AE63">
        <v>729</v>
      </c>
      <c r="AL63">
        <v>143</v>
      </c>
      <c r="AP63">
        <v>9372</v>
      </c>
      <c r="AS63">
        <v>7</v>
      </c>
      <c r="AT63">
        <v>7</v>
      </c>
      <c r="AV63">
        <v>61</v>
      </c>
      <c r="AW63">
        <v>7805</v>
      </c>
      <c r="BB63">
        <v>6</v>
      </c>
      <c r="BF63">
        <v>15</v>
      </c>
      <c r="BI63">
        <v>87</v>
      </c>
      <c r="BJ63">
        <v>14</v>
      </c>
    </row>
    <row r="64" spans="1:64" x14ac:dyDescent="0.35">
      <c r="A64">
        <v>2021</v>
      </c>
      <c r="B64" t="s">
        <v>31</v>
      </c>
      <c r="C64" t="s">
        <v>32</v>
      </c>
      <c r="D64" s="2">
        <v>10447</v>
      </c>
    </row>
    <row r="65" spans="1:64" x14ac:dyDescent="0.35">
      <c r="A65">
        <v>2021</v>
      </c>
      <c r="B65" t="s">
        <v>33</v>
      </c>
      <c r="C65" t="s">
        <v>34</v>
      </c>
      <c r="D65" s="2">
        <v>935437.5</v>
      </c>
      <c r="E65">
        <v>3378</v>
      </c>
      <c r="F65">
        <v>2477</v>
      </c>
      <c r="G65">
        <v>486</v>
      </c>
      <c r="H65">
        <v>4543</v>
      </c>
      <c r="I65">
        <v>704</v>
      </c>
      <c r="J65">
        <v>133</v>
      </c>
      <c r="K65">
        <v>264</v>
      </c>
      <c r="L65">
        <v>3229</v>
      </c>
      <c r="M65">
        <v>37</v>
      </c>
      <c r="O65">
        <v>22</v>
      </c>
      <c r="Q65">
        <v>97</v>
      </c>
      <c r="R65">
        <v>3</v>
      </c>
      <c r="S65">
        <v>6</v>
      </c>
      <c r="U65">
        <v>364</v>
      </c>
      <c r="X65">
        <v>59</v>
      </c>
      <c r="Z65">
        <v>339</v>
      </c>
      <c r="AB65">
        <v>267</v>
      </c>
      <c r="AC65">
        <v>4216</v>
      </c>
      <c r="AE65">
        <v>249</v>
      </c>
      <c r="AF65">
        <v>2247</v>
      </c>
      <c r="AI65">
        <v>4</v>
      </c>
      <c r="AJ65">
        <v>639</v>
      </c>
      <c r="AL65">
        <v>704</v>
      </c>
      <c r="AN65">
        <v>981</v>
      </c>
      <c r="AO65">
        <v>43</v>
      </c>
      <c r="AP65">
        <v>3519</v>
      </c>
      <c r="AQ65">
        <v>131</v>
      </c>
      <c r="AR65">
        <v>37</v>
      </c>
      <c r="AS65">
        <v>65</v>
      </c>
      <c r="AT65">
        <v>125</v>
      </c>
      <c r="AV65">
        <v>40</v>
      </c>
      <c r="BB65">
        <v>324</v>
      </c>
      <c r="BC65">
        <v>21</v>
      </c>
      <c r="BE65">
        <v>7</v>
      </c>
      <c r="BF65">
        <v>44</v>
      </c>
      <c r="BH65">
        <v>584</v>
      </c>
      <c r="BI65">
        <v>897</v>
      </c>
      <c r="BJ65">
        <v>180</v>
      </c>
    </row>
    <row r="66" spans="1:64" x14ac:dyDescent="0.35">
      <c r="A66">
        <v>2021</v>
      </c>
      <c r="B66" t="s">
        <v>35</v>
      </c>
      <c r="C66" t="s">
        <v>36</v>
      </c>
      <c r="D66" s="2">
        <v>715665.6</v>
      </c>
      <c r="E66">
        <v>1000</v>
      </c>
      <c r="F66">
        <v>740</v>
      </c>
      <c r="G66">
        <v>174</v>
      </c>
      <c r="H66">
        <v>2677</v>
      </c>
      <c r="I66">
        <v>721</v>
      </c>
      <c r="J66">
        <v>19</v>
      </c>
      <c r="K66">
        <v>142</v>
      </c>
      <c r="P66">
        <v>8077</v>
      </c>
      <c r="Q66">
        <v>11</v>
      </c>
      <c r="R66">
        <v>4</v>
      </c>
      <c r="U66">
        <v>30</v>
      </c>
      <c r="X66">
        <v>17</v>
      </c>
      <c r="Z66">
        <v>18</v>
      </c>
      <c r="AC66">
        <v>371</v>
      </c>
      <c r="AD66">
        <v>104</v>
      </c>
      <c r="AE66">
        <v>848</v>
      </c>
      <c r="AF66">
        <v>848</v>
      </c>
      <c r="AK66">
        <v>104</v>
      </c>
      <c r="AL66">
        <v>617</v>
      </c>
      <c r="AO66">
        <v>1140</v>
      </c>
      <c r="AP66">
        <v>1537</v>
      </c>
      <c r="AS66">
        <v>77</v>
      </c>
      <c r="AT66">
        <v>56</v>
      </c>
      <c r="BB66">
        <v>277</v>
      </c>
      <c r="BE66">
        <v>1</v>
      </c>
      <c r="BI66">
        <v>260</v>
      </c>
      <c r="BJ66">
        <v>12</v>
      </c>
    </row>
    <row r="67" spans="1:64" x14ac:dyDescent="0.35">
      <c r="A67">
        <v>2021</v>
      </c>
      <c r="B67" t="s">
        <v>37</v>
      </c>
      <c r="C67" t="s">
        <v>38</v>
      </c>
      <c r="D67" s="2">
        <v>911396.5</v>
      </c>
      <c r="E67">
        <v>4951</v>
      </c>
      <c r="F67">
        <v>4623</v>
      </c>
      <c r="H67">
        <v>12887</v>
      </c>
      <c r="I67">
        <v>7074</v>
      </c>
      <c r="J67">
        <v>416</v>
      </c>
      <c r="K67">
        <v>1117</v>
      </c>
      <c r="Y67">
        <v>4221</v>
      </c>
      <c r="AJ67">
        <v>139</v>
      </c>
      <c r="AL67">
        <v>7074</v>
      </c>
      <c r="AN67">
        <v>0</v>
      </c>
      <c r="AP67">
        <v>12887</v>
      </c>
      <c r="AY67">
        <v>3480</v>
      </c>
      <c r="BB67">
        <v>215</v>
      </c>
      <c r="BC67">
        <v>97</v>
      </c>
      <c r="BI67">
        <v>328</v>
      </c>
    </row>
    <row r="68" spans="1:64" x14ac:dyDescent="0.35">
      <c r="A68">
        <v>2021</v>
      </c>
      <c r="B68" t="s">
        <v>39</v>
      </c>
      <c r="C68" t="s">
        <v>40</v>
      </c>
      <c r="D68" s="2">
        <v>49221.8</v>
      </c>
    </row>
    <row r="69" spans="1:64" x14ac:dyDescent="0.35">
      <c r="A69">
        <v>2021</v>
      </c>
      <c r="B69" t="s">
        <v>41</v>
      </c>
      <c r="C69" t="s">
        <v>42</v>
      </c>
      <c r="D69" s="2">
        <v>87525.9</v>
      </c>
      <c r="E69">
        <v>269</v>
      </c>
      <c r="F69">
        <v>156</v>
      </c>
      <c r="G69">
        <v>69</v>
      </c>
      <c r="H69">
        <v>1404</v>
      </c>
      <c r="I69">
        <v>379</v>
      </c>
      <c r="J69">
        <v>9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16</v>
      </c>
      <c r="R69">
        <v>6</v>
      </c>
      <c r="S69">
        <v>0</v>
      </c>
      <c r="T69">
        <v>2</v>
      </c>
      <c r="U69">
        <v>0</v>
      </c>
      <c r="V69">
        <v>252</v>
      </c>
      <c r="W69">
        <v>44</v>
      </c>
      <c r="X69">
        <v>10</v>
      </c>
      <c r="Y69">
        <v>0</v>
      </c>
      <c r="Z69">
        <v>0</v>
      </c>
      <c r="AA69">
        <v>0</v>
      </c>
      <c r="AB69">
        <v>172</v>
      </c>
      <c r="AC69">
        <v>522</v>
      </c>
      <c r="AD69">
        <v>0</v>
      </c>
      <c r="AE69">
        <v>0</v>
      </c>
      <c r="AF69">
        <v>18</v>
      </c>
      <c r="AG69">
        <v>0</v>
      </c>
      <c r="AH69">
        <v>0</v>
      </c>
      <c r="AI69">
        <v>0</v>
      </c>
      <c r="AJ69">
        <v>0</v>
      </c>
      <c r="AK69">
        <v>278</v>
      </c>
      <c r="AL69">
        <v>101</v>
      </c>
      <c r="AM69">
        <v>0</v>
      </c>
      <c r="AN69">
        <v>47</v>
      </c>
      <c r="AO69">
        <v>449</v>
      </c>
      <c r="AP69">
        <v>908</v>
      </c>
      <c r="AS69">
        <v>0</v>
      </c>
      <c r="AT69">
        <v>20</v>
      </c>
      <c r="AU69">
        <v>18</v>
      </c>
      <c r="AV69">
        <v>0</v>
      </c>
      <c r="AW69">
        <v>0</v>
      </c>
      <c r="AX69">
        <v>2193</v>
      </c>
      <c r="AY69">
        <v>0</v>
      </c>
      <c r="AZ69">
        <v>0</v>
      </c>
      <c r="BA69">
        <v>0</v>
      </c>
      <c r="BB69">
        <v>94</v>
      </c>
      <c r="BC69">
        <v>1</v>
      </c>
      <c r="BD69">
        <v>23</v>
      </c>
      <c r="BE69">
        <v>1</v>
      </c>
      <c r="BF69">
        <v>0</v>
      </c>
      <c r="BG69">
        <v>0</v>
      </c>
      <c r="BH69">
        <v>0</v>
      </c>
      <c r="BI69">
        <v>113</v>
      </c>
      <c r="BJ69">
        <v>13</v>
      </c>
      <c r="BK69">
        <v>0</v>
      </c>
      <c r="BL69">
        <v>0</v>
      </c>
    </row>
    <row r="70" spans="1:64" x14ac:dyDescent="0.35">
      <c r="A70">
        <v>2021</v>
      </c>
      <c r="B70" t="s">
        <v>43</v>
      </c>
      <c r="C70" t="s">
        <v>44</v>
      </c>
      <c r="D70" s="2">
        <v>910102.9</v>
      </c>
      <c r="E70">
        <v>4169</v>
      </c>
      <c r="F70">
        <v>3034</v>
      </c>
      <c r="G70">
        <v>0</v>
      </c>
      <c r="H70">
        <v>93144</v>
      </c>
      <c r="I70">
        <v>19141</v>
      </c>
      <c r="J70">
        <v>0</v>
      </c>
      <c r="K70">
        <v>1035</v>
      </c>
      <c r="L70">
        <v>4274</v>
      </c>
      <c r="M70">
        <v>2091</v>
      </c>
      <c r="N70">
        <v>9</v>
      </c>
      <c r="O70">
        <v>0</v>
      </c>
      <c r="P70">
        <v>0</v>
      </c>
      <c r="Q70">
        <v>396</v>
      </c>
      <c r="R70">
        <v>0</v>
      </c>
      <c r="S70">
        <v>112</v>
      </c>
      <c r="T70">
        <v>0</v>
      </c>
      <c r="U70">
        <v>380</v>
      </c>
      <c r="V70">
        <v>0</v>
      </c>
      <c r="W70">
        <v>6</v>
      </c>
      <c r="X70">
        <v>0</v>
      </c>
      <c r="Y70">
        <v>0</v>
      </c>
      <c r="Z70">
        <v>0</v>
      </c>
      <c r="AA70">
        <v>0</v>
      </c>
      <c r="AB70">
        <v>1673</v>
      </c>
      <c r="AC70">
        <v>0</v>
      </c>
      <c r="AD70">
        <v>2352</v>
      </c>
      <c r="AE70">
        <v>6276</v>
      </c>
      <c r="AF70">
        <v>1759</v>
      </c>
      <c r="AG70">
        <v>0</v>
      </c>
      <c r="AH70">
        <v>3238</v>
      </c>
      <c r="AI70">
        <v>0</v>
      </c>
      <c r="AJ70">
        <v>0</v>
      </c>
      <c r="AK70">
        <v>0</v>
      </c>
      <c r="AL70">
        <v>19141</v>
      </c>
      <c r="AM70">
        <v>0</v>
      </c>
      <c r="AN70">
        <v>0</v>
      </c>
      <c r="AO70">
        <v>51836</v>
      </c>
      <c r="AP70">
        <v>41308</v>
      </c>
      <c r="AS70">
        <v>887</v>
      </c>
      <c r="AT70">
        <v>0</v>
      </c>
      <c r="AU70">
        <v>235</v>
      </c>
      <c r="AV70">
        <v>0</v>
      </c>
      <c r="AW70">
        <v>0</v>
      </c>
      <c r="AX70">
        <v>0</v>
      </c>
      <c r="AY70">
        <v>0</v>
      </c>
      <c r="AZ70">
        <v>3453</v>
      </c>
      <c r="BA70">
        <v>0</v>
      </c>
      <c r="BB70">
        <v>1096</v>
      </c>
      <c r="BC70">
        <v>159</v>
      </c>
      <c r="BD70">
        <v>149</v>
      </c>
      <c r="BE70">
        <v>0</v>
      </c>
      <c r="BF70">
        <v>48</v>
      </c>
      <c r="BG70">
        <v>0</v>
      </c>
      <c r="BH70">
        <v>0</v>
      </c>
      <c r="BI70">
        <v>1135</v>
      </c>
      <c r="BJ70">
        <v>0</v>
      </c>
      <c r="BK70">
        <v>0</v>
      </c>
      <c r="BL70">
        <v>7</v>
      </c>
    </row>
    <row r="71" spans="1:64" x14ac:dyDescent="0.35">
      <c r="A71">
        <v>2021</v>
      </c>
      <c r="B71" t="s">
        <v>45</v>
      </c>
      <c r="C71" t="s">
        <v>46</v>
      </c>
      <c r="D71" s="2">
        <v>453737.3</v>
      </c>
    </row>
    <row r="72" spans="1:64" x14ac:dyDescent="0.35">
      <c r="A72">
        <v>2021</v>
      </c>
      <c r="B72" t="s">
        <v>47</v>
      </c>
      <c r="C72" t="s">
        <v>48</v>
      </c>
      <c r="D72" s="2">
        <v>63310.400000000001</v>
      </c>
      <c r="E72">
        <v>453</v>
      </c>
      <c r="F72">
        <v>444</v>
      </c>
      <c r="G72">
        <v>0</v>
      </c>
      <c r="H72">
        <v>1956</v>
      </c>
      <c r="I72">
        <v>213</v>
      </c>
      <c r="J72">
        <v>2</v>
      </c>
      <c r="K72">
        <v>2</v>
      </c>
      <c r="L72">
        <v>196</v>
      </c>
      <c r="M72">
        <v>0</v>
      </c>
      <c r="N72">
        <v>0</v>
      </c>
      <c r="O72">
        <v>0</v>
      </c>
      <c r="P72">
        <v>0</v>
      </c>
      <c r="Q72">
        <v>21</v>
      </c>
      <c r="R72">
        <v>3</v>
      </c>
      <c r="S72">
        <v>2</v>
      </c>
      <c r="T72">
        <v>0</v>
      </c>
      <c r="U72">
        <v>0</v>
      </c>
      <c r="V72">
        <v>28</v>
      </c>
      <c r="W72">
        <v>1</v>
      </c>
      <c r="X72">
        <v>5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200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213</v>
      </c>
      <c r="AM72">
        <v>0</v>
      </c>
      <c r="AN72">
        <v>2</v>
      </c>
      <c r="AO72">
        <v>951</v>
      </c>
      <c r="AP72">
        <v>1003</v>
      </c>
      <c r="AQ72">
        <v>0</v>
      </c>
      <c r="AR72">
        <v>0</v>
      </c>
      <c r="AS72">
        <v>2</v>
      </c>
      <c r="AT72">
        <v>4</v>
      </c>
      <c r="AU72">
        <v>10</v>
      </c>
      <c r="AV72">
        <v>0</v>
      </c>
      <c r="AW72">
        <v>0</v>
      </c>
      <c r="AX72">
        <v>86</v>
      </c>
      <c r="AY72">
        <v>0</v>
      </c>
      <c r="AZ72">
        <v>0</v>
      </c>
      <c r="BA72">
        <v>0</v>
      </c>
      <c r="BB72">
        <v>76</v>
      </c>
      <c r="BC72">
        <v>6</v>
      </c>
      <c r="BD72">
        <v>0</v>
      </c>
      <c r="BE72">
        <v>0</v>
      </c>
      <c r="BF72">
        <v>12</v>
      </c>
      <c r="BG72">
        <v>0</v>
      </c>
      <c r="BH72">
        <v>16</v>
      </c>
      <c r="BI72">
        <v>9</v>
      </c>
      <c r="BJ72">
        <v>1</v>
      </c>
      <c r="BK72">
        <v>0</v>
      </c>
      <c r="BL72">
        <v>0</v>
      </c>
    </row>
    <row r="73" spans="1:64" x14ac:dyDescent="0.35">
      <c r="A73">
        <v>2021</v>
      </c>
      <c r="B73" t="s">
        <v>49</v>
      </c>
      <c r="C73" t="s">
        <v>50</v>
      </c>
      <c r="D73" s="2">
        <v>1466518.7</v>
      </c>
      <c r="E73">
        <v>5203</v>
      </c>
      <c r="F73">
        <v>3252</v>
      </c>
      <c r="G73">
        <v>447</v>
      </c>
      <c r="H73">
        <v>34588</v>
      </c>
      <c r="K73">
        <v>1137</v>
      </c>
      <c r="O73">
        <v>725</v>
      </c>
      <c r="P73">
        <v>86490</v>
      </c>
      <c r="Q73">
        <v>246</v>
      </c>
      <c r="R73">
        <v>261</v>
      </c>
      <c r="W73">
        <v>5029</v>
      </c>
      <c r="X73">
        <v>199</v>
      </c>
      <c r="Z73">
        <v>2137</v>
      </c>
      <c r="AB73">
        <v>717</v>
      </c>
      <c r="AF73">
        <v>5019</v>
      </c>
      <c r="AP73">
        <v>34588</v>
      </c>
      <c r="AS73">
        <v>1985</v>
      </c>
      <c r="AT73">
        <v>242</v>
      </c>
      <c r="AV73">
        <v>426</v>
      </c>
      <c r="AW73">
        <v>3295</v>
      </c>
      <c r="AX73">
        <v>11129</v>
      </c>
      <c r="AY73">
        <v>8087</v>
      </c>
      <c r="BB73">
        <v>1780</v>
      </c>
      <c r="BC73">
        <v>718</v>
      </c>
      <c r="BE73">
        <v>92</v>
      </c>
      <c r="BH73">
        <v>749</v>
      </c>
      <c r="BI73">
        <v>1951</v>
      </c>
      <c r="BJ73">
        <v>565</v>
      </c>
    </row>
    <row r="74" spans="1:64" x14ac:dyDescent="0.35">
      <c r="A74">
        <v>2021</v>
      </c>
      <c r="B74" t="s">
        <v>51</v>
      </c>
      <c r="C74" t="s">
        <v>52</v>
      </c>
      <c r="D74" s="2">
        <v>159834.6</v>
      </c>
      <c r="E74">
        <v>887</v>
      </c>
      <c r="F74">
        <v>800</v>
      </c>
      <c r="G74">
        <v>26</v>
      </c>
      <c r="H74">
        <v>1761</v>
      </c>
      <c r="I74">
        <v>795</v>
      </c>
      <c r="J74">
        <v>6</v>
      </c>
      <c r="K74">
        <v>124</v>
      </c>
      <c r="X74">
        <v>15</v>
      </c>
      <c r="AL74">
        <v>795</v>
      </c>
      <c r="AP74">
        <v>1761</v>
      </c>
      <c r="AT74">
        <v>23</v>
      </c>
      <c r="BB74">
        <v>472</v>
      </c>
      <c r="BI74">
        <v>87</v>
      </c>
      <c r="BJ74">
        <v>23</v>
      </c>
    </row>
    <row r="75" spans="1:64" x14ac:dyDescent="0.35">
      <c r="A75">
        <v>2021</v>
      </c>
      <c r="B75" t="s">
        <v>53</v>
      </c>
      <c r="C75" t="s">
        <v>54</v>
      </c>
      <c r="D75" s="2">
        <v>890888.8</v>
      </c>
      <c r="P75">
        <v>41616</v>
      </c>
    </row>
    <row r="76" spans="1:64" x14ac:dyDescent="0.35">
      <c r="A76">
        <v>2021</v>
      </c>
      <c r="B76" t="s">
        <v>55</v>
      </c>
      <c r="C76" t="s">
        <v>56</v>
      </c>
      <c r="D76" s="2">
        <v>652416.6</v>
      </c>
    </row>
    <row r="77" spans="1:64" x14ac:dyDescent="0.35">
      <c r="A77">
        <v>2021</v>
      </c>
      <c r="B77" t="s">
        <v>57</v>
      </c>
      <c r="C77" t="s">
        <v>58</v>
      </c>
      <c r="D77" s="2">
        <v>883083.9</v>
      </c>
    </row>
    <row r="78" spans="1:64" x14ac:dyDescent="0.35">
      <c r="A78">
        <v>2021</v>
      </c>
      <c r="B78" t="s">
        <v>59</v>
      </c>
      <c r="C78" t="s">
        <v>60</v>
      </c>
      <c r="D78" s="2">
        <v>14565.6</v>
      </c>
    </row>
    <row r="79" spans="1:64" x14ac:dyDescent="0.35">
      <c r="A79">
        <v>2021</v>
      </c>
      <c r="B79" t="s">
        <v>61</v>
      </c>
      <c r="C79" t="s">
        <v>62</v>
      </c>
      <c r="D79" s="2">
        <v>1147375.7</v>
      </c>
      <c r="E79">
        <v>2611</v>
      </c>
      <c r="F79">
        <v>1807</v>
      </c>
      <c r="G79">
        <v>445</v>
      </c>
      <c r="H79">
        <v>10928</v>
      </c>
      <c r="I79">
        <v>7278</v>
      </c>
      <c r="J79">
        <v>355</v>
      </c>
      <c r="K79">
        <v>406</v>
      </c>
      <c r="L79">
        <v>11559</v>
      </c>
      <c r="P79">
        <v>7329</v>
      </c>
      <c r="Q79">
        <v>340</v>
      </c>
      <c r="U79">
        <v>105</v>
      </c>
      <c r="X79">
        <v>57</v>
      </c>
      <c r="Z79">
        <v>264</v>
      </c>
      <c r="AB79">
        <v>264</v>
      </c>
      <c r="AC79">
        <v>3318</v>
      </c>
      <c r="AE79">
        <v>301</v>
      </c>
      <c r="AF79">
        <v>1912</v>
      </c>
      <c r="AK79">
        <v>7236</v>
      </c>
      <c r="AL79">
        <v>42</v>
      </c>
      <c r="AO79">
        <v>8781</v>
      </c>
      <c r="AP79">
        <v>2147</v>
      </c>
      <c r="AS79">
        <v>1172</v>
      </c>
      <c r="AT79">
        <v>63</v>
      </c>
      <c r="AU79">
        <v>151</v>
      </c>
      <c r="AW79">
        <v>3530</v>
      </c>
      <c r="AX79">
        <v>10717</v>
      </c>
      <c r="BB79">
        <v>3039</v>
      </c>
      <c r="BC79">
        <v>123</v>
      </c>
      <c r="BD79">
        <v>412</v>
      </c>
      <c r="BE79">
        <v>11</v>
      </c>
      <c r="BF79">
        <v>610</v>
      </c>
      <c r="BG79">
        <v>399</v>
      </c>
      <c r="BH79">
        <v>153</v>
      </c>
      <c r="BI79">
        <v>804</v>
      </c>
      <c r="BJ79">
        <v>218</v>
      </c>
    </row>
    <row r="80" spans="1:64" x14ac:dyDescent="0.35">
      <c r="A80">
        <v>2021</v>
      </c>
      <c r="B80" t="s">
        <v>63</v>
      </c>
      <c r="C80" t="s">
        <v>64</v>
      </c>
      <c r="D80" s="2">
        <v>70214.399999999994</v>
      </c>
      <c r="E80">
        <v>1181</v>
      </c>
      <c r="F80">
        <v>1181</v>
      </c>
      <c r="H80">
        <v>7166</v>
      </c>
      <c r="I80">
        <v>6</v>
      </c>
      <c r="J80">
        <v>161</v>
      </c>
      <c r="K80">
        <v>603</v>
      </c>
      <c r="Q80">
        <v>48</v>
      </c>
      <c r="S80">
        <v>35</v>
      </c>
      <c r="W80">
        <v>209</v>
      </c>
      <c r="X80">
        <v>34</v>
      </c>
      <c r="AD80">
        <v>3</v>
      </c>
      <c r="AE80">
        <v>99</v>
      </c>
      <c r="AL80">
        <v>6</v>
      </c>
      <c r="AO80">
        <v>45</v>
      </c>
      <c r="AP80">
        <v>7121</v>
      </c>
      <c r="AT80">
        <v>56</v>
      </c>
      <c r="AU80">
        <v>99</v>
      </c>
      <c r="AV80">
        <v>47</v>
      </c>
      <c r="AY80">
        <v>63</v>
      </c>
      <c r="BB80">
        <v>372</v>
      </c>
      <c r="BC80">
        <v>140</v>
      </c>
      <c r="BJ80">
        <v>50</v>
      </c>
    </row>
    <row r="81" spans="1:64" x14ac:dyDescent="0.35">
      <c r="A81">
        <v>2021</v>
      </c>
      <c r="B81" t="s">
        <v>65</v>
      </c>
      <c r="C81" t="s">
        <v>66</v>
      </c>
      <c r="D81" s="2">
        <v>403959</v>
      </c>
    </row>
    <row r="82" spans="1:64" x14ac:dyDescent="0.35">
      <c r="A82">
        <v>2021</v>
      </c>
      <c r="B82" t="s">
        <v>67</v>
      </c>
      <c r="C82" t="s">
        <v>68</v>
      </c>
      <c r="D82" s="2">
        <v>550908.19999999995</v>
      </c>
      <c r="E82">
        <v>1707</v>
      </c>
      <c r="F82">
        <v>487</v>
      </c>
      <c r="G82">
        <v>810</v>
      </c>
      <c r="H82">
        <v>6477</v>
      </c>
      <c r="I82">
        <v>2739</v>
      </c>
      <c r="J82">
        <v>176</v>
      </c>
      <c r="K82">
        <v>293</v>
      </c>
      <c r="L82">
        <v>5833</v>
      </c>
      <c r="M82">
        <v>36</v>
      </c>
      <c r="O82">
        <v>15</v>
      </c>
      <c r="P82">
        <v>16443</v>
      </c>
      <c r="Q82">
        <v>28</v>
      </c>
      <c r="R82">
        <v>94</v>
      </c>
      <c r="S82">
        <v>4</v>
      </c>
      <c r="U82">
        <v>87</v>
      </c>
      <c r="W82">
        <v>53</v>
      </c>
      <c r="X82">
        <v>107</v>
      </c>
      <c r="Y82">
        <v>949</v>
      </c>
      <c r="Z82">
        <v>103</v>
      </c>
      <c r="AB82">
        <v>123</v>
      </c>
      <c r="AC82">
        <v>188</v>
      </c>
      <c r="AE82">
        <v>14</v>
      </c>
      <c r="AF82">
        <v>434</v>
      </c>
      <c r="AG82">
        <v>4</v>
      </c>
      <c r="AH82">
        <v>2</v>
      </c>
      <c r="AJ82">
        <v>104</v>
      </c>
      <c r="AK82">
        <v>29</v>
      </c>
      <c r="AL82">
        <v>2710</v>
      </c>
      <c r="AN82">
        <v>1781</v>
      </c>
      <c r="AO82">
        <v>2173</v>
      </c>
      <c r="AP82">
        <v>2523</v>
      </c>
      <c r="AS82">
        <v>8</v>
      </c>
      <c r="AT82">
        <v>133</v>
      </c>
      <c r="AU82">
        <v>107</v>
      </c>
      <c r="AW82">
        <v>16</v>
      </c>
      <c r="AX82">
        <v>344</v>
      </c>
      <c r="AY82">
        <v>917</v>
      </c>
      <c r="BB82">
        <v>40</v>
      </c>
      <c r="BE82">
        <v>35</v>
      </c>
      <c r="BH82">
        <v>173</v>
      </c>
      <c r="BI82">
        <v>1220</v>
      </c>
      <c r="BJ82">
        <v>135</v>
      </c>
    </row>
    <row r="83" spans="1:64" x14ac:dyDescent="0.35">
      <c r="A83">
        <v>2021</v>
      </c>
      <c r="B83" t="s">
        <v>69</v>
      </c>
      <c r="C83" t="s">
        <v>70</v>
      </c>
      <c r="D83" s="2">
        <v>1744.8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S83">
        <v>3</v>
      </c>
      <c r="AT83">
        <v>0</v>
      </c>
      <c r="AU83">
        <v>22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20</v>
      </c>
      <c r="BD83">
        <v>40</v>
      </c>
      <c r="BE83">
        <v>0</v>
      </c>
      <c r="BF83">
        <v>6</v>
      </c>
      <c r="BG83">
        <v>0</v>
      </c>
      <c r="BH83">
        <v>2</v>
      </c>
      <c r="BI83">
        <v>0</v>
      </c>
      <c r="BJ83">
        <v>0</v>
      </c>
      <c r="BK83">
        <v>2</v>
      </c>
      <c r="BL83">
        <v>0</v>
      </c>
    </row>
    <row r="84" spans="1:64" x14ac:dyDescent="0.35">
      <c r="A84">
        <v>2021</v>
      </c>
      <c r="B84" t="s">
        <v>71</v>
      </c>
      <c r="C84" t="s">
        <v>72</v>
      </c>
      <c r="D84" s="2">
        <v>258166.6</v>
      </c>
    </row>
    <row r="85" spans="1:64" x14ac:dyDescent="0.35">
      <c r="A85">
        <v>2021</v>
      </c>
      <c r="B85" t="s">
        <v>73</v>
      </c>
      <c r="C85" t="s">
        <v>74</v>
      </c>
      <c r="D85" s="2">
        <v>1219311.2</v>
      </c>
      <c r="E85">
        <v>48021</v>
      </c>
      <c r="J85">
        <v>6586</v>
      </c>
      <c r="M85">
        <v>41029</v>
      </c>
      <c r="N85">
        <v>4037</v>
      </c>
      <c r="O85">
        <v>1</v>
      </c>
      <c r="Q85">
        <v>6165</v>
      </c>
      <c r="S85">
        <v>3822</v>
      </c>
      <c r="T85">
        <v>135</v>
      </c>
      <c r="V85">
        <v>549</v>
      </c>
      <c r="W85">
        <v>4196</v>
      </c>
      <c r="X85">
        <v>1015</v>
      </c>
      <c r="AB85">
        <v>9281</v>
      </c>
      <c r="AE85">
        <v>6353</v>
      </c>
      <c r="AF85">
        <v>6166</v>
      </c>
      <c r="AI85">
        <v>48021</v>
      </c>
      <c r="AS85">
        <v>216</v>
      </c>
      <c r="AT85">
        <v>1183</v>
      </c>
      <c r="AU85">
        <v>4012</v>
      </c>
      <c r="AY85">
        <v>3870</v>
      </c>
      <c r="BC85">
        <v>8345</v>
      </c>
      <c r="BD85">
        <v>164</v>
      </c>
      <c r="BE85">
        <v>853</v>
      </c>
      <c r="BF85">
        <v>9125</v>
      </c>
    </row>
    <row r="86" spans="1:64" x14ac:dyDescent="0.35">
      <c r="A86">
        <v>2021</v>
      </c>
      <c r="B86" t="s">
        <v>75</v>
      </c>
      <c r="C86" t="s">
        <v>76</v>
      </c>
      <c r="D86" s="2">
        <v>306239.5</v>
      </c>
    </row>
    <row r="87" spans="1:64" x14ac:dyDescent="0.35">
      <c r="A87">
        <v>2021</v>
      </c>
      <c r="B87" t="s">
        <v>77</v>
      </c>
      <c r="C87" t="s">
        <v>78</v>
      </c>
      <c r="D87" s="2">
        <v>179200.3</v>
      </c>
    </row>
    <row r="88" spans="1:64" x14ac:dyDescent="0.35">
      <c r="A88">
        <v>2021</v>
      </c>
      <c r="B88" t="s">
        <v>79</v>
      </c>
      <c r="C88" t="s">
        <v>80</v>
      </c>
      <c r="D88" s="2">
        <v>1111347.5</v>
      </c>
    </row>
    <row r="89" spans="1:64" x14ac:dyDescent="0.35">
      <c r="A89">
        <v>2021</v>
      </c>
      <c r="B89" t="s">
        <v>81</v>
      </c>
      <c r="C89" t="s">
        <v>82</v>
      </c>
      <c r="D89" s="2">
        <v>1671156.9</v>
      </c>
    </row>
    <row r="90" spans="1:64" x14ac:dyDescent="0.35">
      <c r="A90">
        <v>2021</v>
      </c>
      <c r="B90" t="s">
        <v>83</v>
      </c>
      <c r="C90" t="s">
        <v>84</v>
      </c>
      <c r="D90" s="2">
        <v>663224.69999999995</v>
      </c>
      <c r="E90">
        <v>5773</v>
      </c>
      <c r="H90">
        <v>32542</v>
      </c>
      <c r="I90">
        <v>3746</v>
      </c>
      <c r="J90">
        <v>269</v>
      </c>
      <c r="K90">
        <v>1376</v>
      </c>
      <c r="Q90">
        <v>499</v>
      </c>
      <c r="W90">
        <v>4646</v>
      </c>
      <c r="AB90">
        <v>1375</v>
      </c>
      <c r="AE90">
        <v>3182</v>
      </c>
      <c r="AF90">
        <v>19</v>
      </c>
      <c r="AI90">
        <v>5773</v>
      </c>
      <c r="AL90">
        <v>3746</v>
      </c>
      <c r="AP90">
        <v>32542</v>
      </c>
      <c r="AY90">
        <v>8281</v>
      </c>
      <c r="BB90">
        <v>1944</v>
      </c>
      <c r="BC90">
        <v>1324</v>
      </c>
    </row>
    <row r="91" spans="1:64" x14ac:dyDescent="0.35">
      <c r="A91">
        <v>2021</v>
      </c>
      <c r="B91" t="s">
        <v>85</v>
      </c>
      <c r="C91" t="s">
        <v>86</v>
      </c>
      <c r="D91" s="2">
        <v>487965.1</v>
      </c>
    </row>
    <row r="92" spans="1:64" x14ac:dyDescent="0.35">
      <c r="A92">
        <v>2021</v>
      </c>
      <c r="B92" t="s">
        <v>87</v>
      </c>
      <c r="C92" t="s">
        <v>88</v>
      </c>
      <c r="D92" s="2">
        <v>103744.1</v>
      </c>
      <c r="E92">
        <v>286</v>
      </c>
      <c r="F92">
        <v>276</v>
      </c>
      <c r="G92">
        <v>19</v>
      </c>
      <c r="H92">
        <v>4681</v>
      </c>
      <c r="I92">
        <v>67</v>
      </c>
      <c r="J92">
        <v>60</v>
      </c>
      <c r="K92">
        <v>208</v>
      </c>
      <c r="O92">
        <v>11</v>
      </c>
      <c r="P92">
        <v>2626</v>
      </c>
      <c r="Q92">
        <v>154</v>
      </c>
      <c r="U92">
        <v>8</v>
      </c>
      <c r="V92">
        <v>234</v>
      </c>
      <c r="X92">
        <v>10</v>
      </c>
      <c r="Z92">
        <v>44</v>
      </c>
      <c r="AB92">
        <v>137</v>
      </c>
      <c r="AE92">
        <v>267</v>
      </c>
      <c r="AF92">
        <v>298</v>
      </c>
      <c r="AL92">
        <v>67</v>
      </c>
      <c r="AN92">
        <v>182</v>
      </c>
      <c r="AO92">
        <v>3050</v>
      </c>
      <c r="AP92">
        <v>1449</v>
      </c>
      <c r="AT92">
        <v>10</v>
      </c>
      <c r="AU92">
        <v>99</v>
      </c>
      <c r="BB92">
        <v>280</v>
      </c>
      <c r="BC92">
        <v>131</v>
      </c>
      <c r="BF92">
        <v>7</v>
      </c>
      <c r="BH92">
        <v>6</v>
      </c>
      <c r="BI92">
        <v>10</v>
      </c>
      <c r="BJ92">
        <v>25</v>
      </c>
    </row>
    <row r="93" spans="1:64" x14ac:dyDescent="0.35">
      <c r="A93">
        <v>2021</v>
      </c>
      <c r="B93" t="s">
        <v>89</v>
      </c>
      <c r="C93" t="s">
        <v>90</v>
      </c>
      <c r="D93" s="2">
        <v>272351.90000000002</v>
      </c>
      <c r="E93">
        <v>506</v>
      </c>
      <c r="F93">
        <v>149</v>
      </c>
      <c r="H93">
        <v>1946</v>
      </c>
      <c r="I93">
        <v>1482</v>
      </c>
      <c r="J93">
        <v>13</v>
      </c>
      <c r="K93">
        <v>21</v>
      </c>
      <c r="L93">
        <v>991</v>
      </c>
      <c r="N93">
        <v>33</v>
      </c>
      <c r="O93">
        <v>5</v>
      </c>
      <c r="P93">
        <v>7500</v>
      </c>
      <c r="R93">
        <v>2</v>
      </c>
      <c r="S93">
        <v>1</v>
      </c>
      <c r="U93">
        <v>104</v>
      </c>
      <c r="V93">
        <v>86</v>
      </c>
      <c r="W93">
        <v>342</v>
      </c>
      <c r="X93">
        <v>38</v>
      </c>
      <c r="Y93">
        <v>2974</v>
      </c>
      <c r="AB93">
        <v>95</v>
      </c>
      <c r="AE93">
        <v>149</v>
      </c>
      <c r="AF93">
        <v>446</v>
      </c>
      <c r="AG93">
        <v>17</v>
      </c>
      <c r="AK93">
        <v>709</v>
      </c>
      <c r="AL93">
        <v>773</v>
      </c>
      <c r="AO93">
        <v>759</v>
      </c>
      <c r="AP93">
        <v>1187</v>
      </c>
      <c r="AS93">
        <v>14</v>
      </c>
      <c r="AT93">
        <v>34</v>
      </c>
      <c r="AU93">
        <v>1</v>
      </c>
      <c r="AV93">
        <v>190</v>
      </c>
      <c r="AW93">
        <v>2139</v>
      </c>
      <c r="AY93">
        <v>813</v>
      </c>
      <c r="BB93">
        <v>44</v>
      </c>
      <c r="BC93">
        <v>161</v>
      </c>
      <c r="BE93">
        <v>5</v>
      </c>
      <c r="BF93">
        <v>69</v>
      </c>
      <c r="BG93">
        <v>33</v>
      </c>
      <c r="BH93">
        <v>23</v>
      </c>
      <c r="BI93">
        <v>357</v>
      </c>
      <c r="BJ93">
        <v>90</v>
      </c>
    </row>
    <row r="94" spans="1:64" x14ac:dyDescent="0.35">
      <c r="A94">
        <v>2021</v>
      </c>
      <c r="B94" t="s">
        <v>91</v>
      </c>
      <c r="C94" t="s">
        <v>92</v>
      </c>
      <c r="D94" s="2">
        <v>24060.400000000001</v>
      </c>
    </row>
    <row r="95" spans="1:64" x14ac:dyDescent="0.35">
      <c r="A95">
        <v>2021</v>
      </c>
      <c r="B95" t="s">
        <v>93</v>
      </c>
      <c r="C95" t="s">
        <v>94</v>
      </c>
      <c r="D95" s="2">
        <v>2277499.2000000002</v>
      </c>
    </row>
    <row r="96" spans="1:64" x14ac:dyDescent="0.35">
      <c r="A96">
        <v>2020</v>
      </c>
      <c r="B96" t="s">
        <v>1</v>
      </c>
      <c r="C96" t="s">
        <v>2</v>
      </c>
      <c r="D96" s="2">
        <v>761670.7</v>
      </c>
      <c r="E96">
        <v>2061</v>
      </c>
      <c r="F96">
        <v>1088</v>
      </c>
      <c r="H96">
        <v>11874</v>
      </c>
      <c r="I96">
        <v>7804</v>
      </c>
      <c r="J96">
        <v>103</v>
      </c>
      <c r="K96">
        <v>718</v>
      </c>
      <c r="O96">
        <v>8</v>
      </c>
      <c r="P96">
        <v>2923</v>
      </c>
      <c r="Q96">
        <v>172</v>
      </c>
      <c r="W96">
        <v>275</v>
      </c>
      <c r="X96">
        <v>101</v>
      </c>
      <c r="Y96">
        <v>68</v>
      </c>
      <c r="AB96">
        <v>274</v>
      </c>
      <c r="AF96">
        <v>906</v>
      </c>
      <c r="AJ96">
        <v>16</v>
      </c>
      <c r="AK96">
        <v>2977</v>
      </c>
      <c r="AL96">
        <v>4827</v>
      </c>
      <c r="AO96">
        <v>1646</v>
      </c>
      <c r="AP96">
        <v>10228</v>
      </c>
      <c r="AS96">
        <v>31</v>
      </c>
      <c r="AT96">
        <v>126</v>
      </c>
      <c r="AU96">
        <v>3</v>
      </c>
      <c r="BB96">
        <v>203</v>
      </c>
      <c r="BC96">
        <v>22</v>
      </c>
      <c r="BE96">
        <v>11</v>
      </c>
      <c r="BF96">
        <v>8</v>
      </c>
      <c r="BI96">
        <v>973</v>
      </c>
    </row>
    <row r="97" spans="1:64" x14ac:dyDescent="0.35">
      <c r="A97">
        <v>2020</v>
      </c>
      <c r="B97" t="s">
        <v>3</v>
      </c>
      <c r="C97" t="s">
        <v>4</v>
      </c>
      <c r="D97" s="2">
        <v>215791.4</v>
      </c>
    </row>
    <row r="98" spans="1:64" x14ac:dyDescent="0.35">
      <c r="A98">
        <v>2020</v>
      </c>
      <c r="B98" t="s">
        <v>5</v>
      </c>
      <c r="C98" t="s">
        <v>6</v>
      </c>
      <c r="D98" s="2">
        <v>6343.5</v>
      </c>
    </row>
    <row r="99" spans="1:64" x14ac:dyDescent="0.35">
      <c r="A99">
        <v>2020</v>
      </c>
      <c r="B99" t="s">
        <v>7</v>
      </c>
      <c r="C99" t="s">
        <v>8</v>
      </c>
      <c r="D99" s="2">
        <v>3804138.2</v>
      </c>
    </row>
    <row r="100" spans="1:64" x14ac:dyDescent="0.35">
      <c r="A100">
        <v>2020</v>
      </c>
      <c r="B100" t="s">
        <v>9</v>
      </c>
      <c r="C100" t="s">
        <v>10</v>
      </c>
      <c r="D100" s="2">
        <v>3808847.5</v>
      </c>
      <c r="E100">
        <v>12174</v>
      </c>
      <c r="F100">
        <v>9361</v>
      </c>
      <c r="G100">
        <v>847</v>
      </c>
      <c r="H100">
        <v>69824</v>
      </c>
      <c r="I100">
        <v>20355</v>
      </c>
      <c r="J100">
        <v>228</v>
      </c>
      <c r="K100">
        <v>5394</v>
      </c>
      <c r="L100">
        <v>113189</v>
      </c>
      <c r="N100">
        <v>4</v>
      </c>
      <c r="O100">
        <v>423</v>
      </c>
      <c r="P100">
        <v>42630</v>
      </c>
      <c r="Q100">
        <v>110</v>
      </c>
      <c r="V100">
        <v>508</v>
      </c>
      <c r="W100">
        <v>2378</v>
      </c>
      <c r="X100">
        <v>303</v>
      </c>
      <c r="Z100">
        <v>5002</v>
      </c>
      <c r="AE100">
        <v>4752</v>
      </c>
      <c r="AF100">
        <v>8005</v>
      </c>
      <c r="AG100">
        <v>22</v>
      </c>
      <c r="AL100">
        <v>20355</v>
      </c>
      <c r="AP100">
        <v>69824</v>
      </c>
      <c r="AS100">
        <v>688</v>
      </c>
      <c r="AT100">
        <v>436</v>
      </c>
      <c r="AU100">
        <v>654</v>
      </c>
      <c r="AV100">
        <v>482</v>
      </c>
      <c r="AY100">
        <v>1234</v>
      </c>
      <c r="BB100">
        <v>10104</v>
      </c>
      <c r="BC100">
        <v>240</v>
      </c>
      <c r="BD100">
        <v>9</v>
      </c>
      <c r="BE100">
        <v>83</v>
      </c>
      <c r="BI100">
        <v>2813</v>
      </c>
      <c r="BJ100">
        <v>656</v>
      </c>
    </row>
    <row r="101" spans="1:64" x14ac:dyDescent="0.35">
      <c r="A101">
        <v>2020</v>
      </c>
      <c r="B101" t="s">
        <v>11</v>
      </c>
      <c r="C101" t="s">
        <v>12</v>
      </c>
      <c r="D101" s="2">
        <v>7523678.7000000002</v>
      </c>
    </row>
    <row r="102" spans="1:64" x14ac:dyDescent="0.35">
      <c r="A102">
        <v>2020</v>
      </c>
      <c r="B102" t="s">
        <v>13</v>
      </c>
      <c r="C102" t="s">
        <v>14</v>
      </c>
      <c r="D102" s="2">
        <v>64112.7</v>
      </c>
      <c r="E102">
        <v>1362</v>
      </c>
      <c r="F102">
        <v>526</v>
      </c>
      <c r="G102">
        <v>114</v>
      </c>
      <c r="H102">
        <v>5481</v>
      </c>
      <c r="I102">
        <v>662</v>
      </c>
      <c r="J102">
        <v>34</v>
      </c>
      <c r="K102">
        <v>139</v>
      </c>
      <c r="L102">
        <v>693</v>
      </c>
      <c r="M102">
        <v>132</v>
      </c>
      <c r="N102">
        <v>0</v>
      </c>
      <c r="O102">
        <v>66</v>
      </c>
      <c r="P102">
        <v>110</v>
      </c>
      <c r="Q102">
        <v>32</v>
      </c>
      <c r="R102">
        <v>9</v>
      </c>
      <c r="S102">
        <v>8</v>
      </c>
      <c r="T102">
        <v>14</v>
      </c>
      <c r="U102">
        <v>31</v>
      </c>
      <c r="V102">
        <v>7</v>
      </c>
      <c r="W102">
        <v>198</v>
      </c>
      <c r="X102">
        <v>67</v>
      </c>
      <c r="Y102">
        <v>17</v>
      </c>
      <c r="Z102">
        <v>86</v>
      </c>
      <c r="AA102">
        <v>0</v>
      </c>
      <c r="AB102">
        <v>82</v>
      </c>
      <c r="AC102">
        <v>390</v>
      </c>
      <c r="AD102">
        <v>14</v>
      </c>
      <c r="AE102">
        <v>74</v>
      </c>
      <c r="AF102">
        <v>469</v>
      </c>
      <c r="AG102">
        <v>0</v>
      </c>
      <c r="AH102">
        <v>0</v>
      </c>
      <c r="AI102">
        <v>1</v>
      </c>
      <c r="AJ102">
        <v>106</v>
      </c>
      <c r="AK102">
        <v>0</v>
      </c>
      <c r="AL102">
        <v>662</v>
      </c>
      <c r="AM102">
        <v>0</v>
      </c>
      <c r="AN102">
        <v>2</v>
      </c>
      <c r="AO102">
        <v>635</v>
      </c>
      <c r="AP102">
        <v>4844</v>
      </c>
      <c r="AQ102">
        <v>0</v>
      </c>
      <c r="AR102">
        <v>1</v>
      </c>
      <c r="AS102">
        <v>3</v>
      </c>
      <c r="AT102">
        <v>82</v>
      </c>
      <c r="AU102">
        <v>9</v>
      </c>
      <c r="AV102">
        <v>416</v>
      </c>
      <c r="AW102">
        <v>947</v>
      </c>
      <c r="AX102">
        <v>2714</v>
      </c>
      <c r="AY102">
        <v>615</v>
      </c>
      <c r="AZ102">
        <v>1</v>
      </c>
      <c r="BA102">
        <v>0</v>
      </c>
      <c r="BB102">
        <v>179</v>
      </c>
      <c r="BC102">
        <v>17</v>
      </c>
      <c r="BD102">
        <v>15</v>
      </c>
      <c r="BE102">
        <v>3</v>
      </c>
      <c r="BF102">
        <v>86</v>
      </c>
      <c r="BG102">
        <v>9</v>
      </c>
      <c r="BH102">
        <v>106</v>
      </c>
      <c r="BI102">
        <v>835</v>
      </c>
      <c r="BJ102">
        <v>153</v>
      </c>
      <c r="BK102">
        <v>79</v>
      </c>
      <c r="BL102">
        <v>33</v>
      </c>
    </row>
    <row r="103" spans="1:64" x14ac:dyDescent="0.35">
      <c r="A103">
        <v>2020</v>
      </c>
      <c r="B103" t="s">
        <v>15</v>
      </c>
      <c r="C103" t="s">
        <v>16</v>
      </c>
      <c r="D103" s="2">
        <v>147926</v>
      </c>
      <c r="E103">
        <v>934</v>
      </c>
      <c r="F103">
        <v>532</v>
      </c>
      <c r="H103">
        <v>4290</v>
      </c>
      <c r="I103">
        <v>1027</v>
      </c>
      <c r="J103">
        <v>117</v>
      </c>
      <c r="K103">
        <v>76</v>
      </c>
      <c r="AL103">
        <v>1027</v>
      </c>
      <c r="AN103">
        <v>3764</v>
      </c>
      <c r="AP103">
        <v>526</v>
      </c>
      <c r="BI103">
        <v>402</v>
      </c>
    </row>
    <row r="104" spans="1:64" x14ac:dyDescent="0.35">
      <c r="A104">
        <v>2020</v>
      </c>
      <c r="B104" t="s">
        <v>17</v>
      </c>
      <c r="C104" t="s">
        <v>18</v>
      </c>
      <c r="D104" s="2">
        <v>29530.3</v>
      </c>
      <c r="E104">
        <v>165</v>
      </c>
      <c r="F104">
        <v>136</v>
      </c>
      <c r="H104">
        <v>2917</v>
      </c>
      <c r="I104">
        <v>0</v>
      </c>
      <c r="J104">
        <v>22</v>
      </c>
      <c r="K104">
        <v>48</v>
      </c>
      <c r="L104">
        <v>2087</v>
      </c>
      <c r="M104">
        <v>374</v>
      </c>
      <c r="N104">
        <v>7</v>
      </c>
      <c r="O104">
        <v>75</v>
      </c>
      <c r="P104">
        <v>5386</v>
      </c>
      <c r="Q104">
        <v>28</v>
      </c>
      <c r="S104">
        <v>7</v>
      </c>
      <c r="U104">
        <v>18</v>
      </c>
      <c r="V104">
        <v>63</v>
      </c>
      <c r="W104">
        <v>79</v>
      </c>
      <c r="Z104">
        <v>51</v>
      </c>
      <c r="AB104">
        <v>53</v>
      </c>
      <c r="AD104">
        <v>30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394</v>
      </c>
      <c r="AP104">
        <v>2523</v>
      </c>
      <c r="AQ104">
        <v>1047</v>
      </c>
      <c r="AR104">
        <v>0</v>
      </c>
      <c r="AS104">
        <v>9</v>
      </c>
      <c r="AU104">
        <v>6</v>
      </c>
      <c r="AW104">
        <v>52</v>
      </c>
      <c r="AX104">
        <v>1861</v>
      </c>
      <c r="BB104">
        <v>80</v>
      </c>
      <c r="BC104">
        <v>10</v>
      </c>
      <c r="BD104">
        <v>5</v>
      </c>
      <c r="BF104">
        <v>12</v>
      </c>
      <c r="BG104">
        <v>16</v>
      </c>
      <c r="BH104">
        <v>22</v>
      </c>
      <c r="BI104">
        <v>29</v>
      </c>
    </row>
    <row r="105" spans="1:64" x14ac:dyDescent="0.35">
      <c r="A105">
        <v>2020</v>
      </c>
      <c r="B105" t="s">
        <v>19</v>
      </c>
      <c r="C105" t="s">
        <v>20</v>
      </c>
      <c r="D105" s="2">
        <v>58877.4</v>
      </c>
    </row>
    <row r="106" spans="1:64" x14ac:dyDescent="0.35">
      <c r="A106">
        <v>2020</v>
      </c>
      <c r="B106" t="s">
        <v>21</v>
      </c>
      <c r="C106" t="s">
        <v>22</v>
      </c>
      <c r="D106" s="2">
        <v>1010048.1</v>
      </c>
    </row>
    <row r="107" spans="1:64" x14ac:dyDescent="0.35">
      <c r="A107">
        <v>2020</v>
      </c>
      <c r="B107" t="s">
        <v>23</v>
      </c>
      <c r="C107" t="s">
        <v>24</v>
      </c>
      <c r="D107" s="2">
        <v>1280498.2</v>
      </c>
      <c r="P107">
        <v>2652</v>
      </c>
    </row>
    <row r="108" spans="1:64" x14ac:dyDescent="0.35">
      <c r="A108">
        <v>2020</v>
      </c>
      <c r="B108" t="s">
        <v>25</v>
      </c>
      <c r="C108" t="s">
        <v>26</v>
      </c>
      <c r="D108" s="2">
        <v>457449.9</v>
      </c>
    </row>
    <row r="109" spans="1:64" x14ac:dyDescent="0.35">
      <c r="A109">
        <v>2020</v>
      </c>
      <c r="B109" t="s">
        <v>27</v>
      </c>
      <c r="C109" t="s">
        <v>28</v>
      </c>
      <c r="D109" s="2">
        <v>62582.3</v>
      </c>
      <c r="E109">
        <v>1024</v>
      </c>
      <c r="F109">
        <v>902</v>
      </c>
      <c r="H109">
        <v>7771</v>
      </c>
      <c r="J109">
        <v>89</v>
      </c>
      <c r="K109">
        <v>145</v>
      </c>
      <c r="L109">
        <v>463</v>
      </c>
      <c r="M109">
        <v>842</v>
      </c>
      <c r="N109">
        <v>7</v>
      </c>
      <c r="O109">
        <v>11</v>
      </c>
      <c r="Q109">
        <v>28</v>
      </c>
      <c r="R109">
        <v>33</v>
      </c>
      <c r="S109">
        <v>40</v>
      </c>
      <c r="U109">
        <v>92</v>
      </c>
      <c r="Y109">
        <v>1423</v>
      </c>
      <c r="Z109">
        <v>25</v>
      </c>
      <c r="AB109">
        <v>117</v>
      </c>
      <c r="AC109">
        <v>125</v>
      </c>
      <c r="AD109">
        <v>67</v>
      </c>
      <c r="AE109">
        <v>338</v>
      </c>
      <c r="AF109">
        <v>167</v>
      </c>
      <c r="AH109">
        <v>63</v>
      </c>
      <c r="AP109">
        <v>7771</v>
      </c>
      <c r="AS109">
        <v>3</v>
      </c>
      <c r="AU109">
        <v>3</v>
      </c>
      <c r="AW109">
        <v>1221</v>
      </c>
      <c r="AX109">
        <v>3691</v>
      </c>
      <c r="AY109">
        <v>10</v>
      </c>
      <c r="BB109">
        <v>435</v>
      </c>
      <c r="BC109">
        <v>66</v>
      </c>
      <c r="BF109">
        <v>13</v>
      </c>
      <c r="BI109">
        <v>122</v>
      </c>
    </row>
    <row r="110" spans="1:64" x14ac:dyDescent="0.35">
      <c r="A110">
        <v>2020</v>
      </c>
      <c r="B110" t="s">
        <v>29</v>
      </c>
      <c r="C110" t="s">
        <v>30</v>
      </c>
      <c r="D110" s="2">
        <v>430785.2</v>
      </c>
      <c r="E110">
        <v>852</v>
      </c>
      <c r="H110">
        <v>7713</v>
      </c>
      <c r="P110">
        <v>11845</v>
      </c>
      <c r="AI110">
        <v>852</v>
      </c>
      <c r="AN110">
        <v>7713</v>
      </c>
    </row>
    <row r="111" spans="1:64" x14ac:dyDescent="0.35">
      <c r="A111">
        <v>2020</v>
      </c>
      <c r="B111" t="s">
        <v>31</v>
      </c>
      <c r="C111" t="s">
        <v>32</v>
      </c>
      <c r="D111" s="2">
        <v>10491.7</v>
      </c>
    </row>
    <row r="112" spans="1:64" x14ac:dyDescent="0.35">
      <c r="A112">
        <v>2020</v>
      </c>
      <c r="B112" t="s">
        <v>33</v>
      </c>
      <c r="C112" t="s">
        <v>34</v>
      </c>
      <c r="D112" s="2">
        <v>925124.6</v>
      </c>
      <c r="E112">
        <v>2562</v>
      </c>
      <c r="F112">
        <v>1643</v>
      </c>
      <c r="G112">
        <v>16</v>
      </c>
      <c r="H112">
        <v>11478</v>
      </c>
      <c r="I112">
        <v>1258</v>
      </c>
      <c r="J112">
        <v>179</v>
      </c>
      <c r="K112">
        <v>337</v>
      </c>
      <c r="L112">
        <v>2735</v>
      </c>
      <c r="M112">
        <v>16</v>
      </c>
      <c r="N112">
        <v>2</v>
      </c>
      <c r="O112">
        <v>15</v>
      </c>
      <c r="P112">
        <v>154</v>
      </c>
      <c r="Q112">
        <v>45</v>
      </c>
      <c r="R112">
        <v>12</v>
      </c>
      <c r="S112">
        <v>3</v>
      </c>
      <c r="T112">
        <v>10</v>
      </c>
      <c r="U112">
        <v>137</v>
      </c>
      <c r="V112">
        <v>5</v>
      </c>
      <c r="W112">
        <v>194</v>
      </c>
      <c r="X112">
        <v>45</v>
      </c>
      <c r="Y112">
        <v>5366</v>
      </c>
      <c r="Z112">
        <v>21</v>
      </c>
      <c r="AA112">
        <v>4</v>
      </c>
      <c r="AB112">
        <v>73</v>
      </c>
      <c r="AC112">
        <v>21</v>
      </c>
      <c r="AD112">
        <v>6</v>
      </c>
      <c r="AE112">
        <v>48</v>
      </c>
      <c r="AF112">
        <v>112</v>
      </c>
      <c r="AG112">
        <v>19</v>
      </c>
      <c r="AH112">
        <v>4</v>
      </c>
      <c r="AI112">
        <v>0</v>
      </c>
      <c r="AJ112">
        <v>13</v>
      </c>
      <c r="AK112">
        <v>239</v>
      </c>
      <c r="AL112">
        <v>998</v>
      </c>
      <c r="AM112">
        <v>21</v>
      </c>
      <c r="AN112">
        <v>1435</v>
      </c>
      <c r="AO112">
        <v>1202</v>
      </c>
      <c r="AP112">
        <v>8841</v>
      </c>
      <c r="AQ112">
        <v>290</v>
      </c>
      <c r="AR112">
        <v>190</v>
      </c>
      <c r="AS112">
        <v>17</v>
      </c>
      <c r="AT112">
        <v>114</v>
      </c>
      <c r="AU112">
        <v>207</v>
      </c>
      <c r="AV112">
        <v>538</v>
      </c>
      <c r="AW112">
        <v>1406</v>
      </c>
      <c r="AX112">
        <v>152</v>
      </c>
      <c r="AY112">
        <v>2098</v>
      </c>
      <c r="AZ112">
        <v>18</v>
      </c>
      <c r="BA112">
        <v>2</v>
      </c>
      <c r="BB112">
        <v>54</v>
      </c>
      <c r="BC112">
        <v>5</v>
      </c>
      <c r="BD112">
        <v>64</v>
      </c>
      <c r="BE112">
        <v>9</v>
      </c>
      <c r="BF112">
        <v>6</v>
      </c>
      <c r="BG112">
        <v>16</v>
      </c>
      <c r="BH112">
        <v>48</v>
      </c>
      <c r="BI112">
        <v>919</v>
      </c>
      <c r="BJ112">
        <v>84</v>
      </c>
      <c r="BK112">
        <v>4</v>
      </c>
      <c r="BL112">
        <v>3</v>
      </c>
    </row>
    <row r="113" spans="1:64" x14ac:dyDescent="0.35">
      <c r="A113">
        <v>2020</v>
      </c>
      <c r="B113" t="s">
        <v>35</v>
      </c>
      <c r="C113" t="s">
        <v>36</v>
      </c>
      <c r="D113" s="2">
        <v>699467.2</v>
      </c>
      <c r="E113">
        <v>1003</v>
      </c>
      <c r="F113">
        <v>784</v>
      </c>
      <c r="H113">
        <v>2623</v>
      </c>
      <c r="I113">
        <v>710</v>
      </c>
      <c r="K113">
        <v>54</v>
      </c>
      <c r="O113">
        <v>2</v>
      </c>
      <c r="P113">
        <v>592</v>
      </c>
      <c r="X113">
        <v>2</v>
      </c>
      <c r="AL113">
        <v>710</v>
      </c>
      <c r="AN113">
        <v>268</v>
      </c>
      <c r="AO113">
        <v>827</v>
      </c>
      <c r="AP113">
        <v>1528</v>
      </c>
      <c r="AS113">
        <v>1</v>
      </c>
      <c r="AT113">
        <v>5</v>
      </c>
      <c r="AU113">
        <v>1</v>
      </c>
      <c r="AV113">
        <v>9</v>
      </c>
      <c r="BI113">
        <v>219</v>
      </c>
      <c r="BJ113">
        <v>1</v>
      </c>
    </row>
    <row r="114" spans="1:64" x14ac:dyDescent="0.35">
      <c r="A114">
        <v>2020</v>
      </c>
      <c r="B114" t="s">
        <v>37</v>
      </c>
      <c r="C114" t="s">
        <v>38</v>
      </c>
      <c r="D114" s="2">
        <v>896181.6</v>
      </c>
      <c r="E114">
        <v>4435</v>
      </c>
      <c r="F114">
        <v>4435</v>
      </c>
      <c r="H114">
        <v>13396</v>
      </c>
      <c r="I114">
        <v>6345</v>
      </c>
      <c r="J114">
        <v>397</v>
      </c>
      <c r="K114">
        <v>1029</v>
      </c>
      <c r="AL114">
        <v>6345</v>
      </c>
      <c r="AP114">
        <v>13396</v>
      </c>
      <c r="AY114">
        <v>3734</v>
      </c>
    </row>
    <row r="115" spans="1:64" x14ac:dyDescent="0.35">
      <c r="A115">
        <v>2020</v>
      </c>
      <c r="B115" t="s">
        <v>39</v>
      </c>
      <c r="C115" t="s">
        <v>40</v>
      </c>
      <c r="D115" s="2">
        <v>48954.6</v>
      </c>
    </row>
    <row r="116" spans="1:64" x14ac:dyDescent="0.35">
      <c r="A116">
        <v>2020</v>
      </c>
      <c r="B116" t="s">
        <v>41</v>
      </c>
      <c r="C116" t="s">
        <v>42</v>
      </c>
      <c r="D116" s="2">
        <v>86528</v>
      </c>
      <c r="E116">
        <v>196</v>
      </c>
      <c r="F116">
        <v>122</v>
      </c>
      <c r="G116">
        <v>47</v>
      </c>
      <c r="H116">
        <v>1229</v>
      </c>
      <c r="I116">
        <v>540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10</v>
      </c>
      <c r="P116">
        <v>0</v>
      </c>
      <c r="Q116">
        <v>17</v>
      </c>
      <c r="R116">
        <v>4</v>
      </c>
      <c r="S116">
        <v>0</v>
      </c>
      <c r="T116">
        <v>9</v>
      </c>
      <c r="U116">
        <v>0</v>
      </c>
      <c r="V116">
        <v>237</v>
      </c>
      <c r="W116">
        <v>67</v>
      </c>
      <c r="X116">
        <v>10</v>
      </c>
      <c r="Y116">
        <v>0</v>
      </c>
      <c r="Z116">
        <v>0</v>
      </c>
      <c r="AA116">
        <v>0</v>
      </c>
      <c r="AB116">
        <v>173</v>
      </c>
      <c r="AC116">
        <v>479</v>
      </c>
      <c r="AD116">
        <v>0</v>
      </c>
      <c r="AE116">
        <v>0</v>
      </c>
      <c r="AF116">
        <v>13</v>
      </c>
      <c r="AG116">
        <v>0</v>
      </c>
      <c r="AH116">
        <v>0</v>
      </c>
      <c r="AI116">
        <v>0</v>
      </c>
      <c r="AJ116">
        <v>0</v>
      </c>
      <c r="AK116">
        <v>412</v>
      </c>
      <c r="AL116">
        <v>128</v>
      </c>
      <c r="AM116">
        <v>0</v>
      </c>
      <c r="AN116">
        <v>42</v>
      </c>
      <c r="AO116">
        <v>484</v>
      </c>
      <c r="AP116">
        <v>703</v>
      </c>
      <c r="AS116">
        <v>0</v>
      </c>
      <c r="AT116">
        <v>0</v>
      </c>
      <c r="AU116">
        <v>20</v>
      </c>
      <c r="AV116">
        <v>0</v>
      </c>
      <c r="AW116">
        <v>0</v>
      </c>
      <c r="AX116">
        <v>2253</v>
      </c>
      <c r="AY116">
        <v>0</v>
      </c>
      <c r="AZ116">
        <v>0</v>
      </c>
      <c r="BA116">
        <v>0</v>
      </c>
      <c r="BB116">
        <v>81</v>
      </c>
      <c r="BC116">
        <v>7</v>
      </c>
      <c r="BD116">
        <v>25</v>
      </c>
      <c r="BE116">
        <v>1</v>
      </c>
      <c r="BF116">
        <v>0</v>
      </c>
      <c r="BG116">
        <v>0</v>
      </c>
      <c r="BH116">
        <v>0</v>
      </c>
      <c r="BI116">
        <v>74</v>
      </c>
      <c r="BJ116">
        <v>16</v>
      </c>
      <c r="BK116">
        <v>0</v>
      </c>
      <c r="BL116">
        <v>0</v>
      </c>
    </row>
    <row r="117" spans="1:64" x14ac:dyDescent="0.35">
      <c r="A117">
        <v>2020</v>
      </c>
      <c r="B117" t="s">
        <v>43</v>
      </c>
      <c r="C117" t="s">
        <v>44</v>
      </c>
      <c r="D117" s="2">
        <v>906937.8</v>
      </c>
      <c r="E117">
        <v>5285</v>
      </c>
      <c r="H117">
        <v>95789</v>
      </c>
      <c r="I117">
        <v>16700</v>
      </c>
      <c r="K117">
        <v>1388</v>
      </c>
      <c r="AI117">
        <v>5285</v>
      </c>
      <c r="AM117">
        <v>16700</v>
      </c>
      <c r="AN117">
        <v>95789</v>
      </c>
    </row>
    <row r="118" spans="1:64" x14ac:dyDescent="0.35">
      <c r="A118">
        <v>2020</v>
      </c>
      <c r="B118" t="s">
        <v>45</v>
      </c>
      <c r="C118" t="s">
        <v>46</v>
      </c>
      <c r="D118" s="2">
        <v>448514.4</v>
      </c>
    </row>
    <row r="119" spans="1:64" x14ac:dyDescent="0.35">
      <c r="A119">
        <v>2020</v>
      </c>
      <c r="B119" t="s">
        <v>47</v>
      </c>
      <c r="C119" t="s">
        <v>48</v>
      </c>
      <c r="D119" s="2">
        <v>62815</v>
      </c>
      <c r="E119">
        <v>385</v>
      </c>
      <c r="F119">
        <v>375</v>
      </c>
      <c r="G119">
        <v>0</v>
      </c>
      <c r="H119">
        <v>1371</v>
      </c>
      <c r="I119">
        <v>185</v>
      </c>
      <c r="J119">
        <v>5</v>
      </c>
      <c r="K119">
        <v>13</v>
      </c>
      <c r="L119">
        <v>119</v>
      </c>
      <c r="O119">
        <v>4</v>
      </c>
      <c r="P119">
        <v>3711</v>
      </c>
      <c r="Q119">
        <v>0</v>
      </c>
      <c r="R119">
        <v>8</v>
      </c>
      <c r="S119">
        <v>3</v>
      </c>
      <c r="T119">
        <v>1</v>
      </c>
      <c r="U119">
        <v>9</v>
      </c>
      <c r="V119">
        <v>18</v>
      </c>
      <c r="W119">
        <v>2</v>
      </c>
      <c r="X119">
        <v>6</v>
      </c>
      <c r="Z119">
        <v>10</v>
      </c>
      <c r="AB119">
        <v>3</v>
      </c>
      <c r="AE119">
        <v>1</v>
      </c>
      <c r="AF119">
        <v>285</v>
      </c>
      <c r="AI119">
        <v>0</v>
      </c>
      <c r="AK119">
        <v>167</v>
      </c>
      <c r="AL119">
        <v>18</v>
      </c>
      <c r="AM119">
        <v>0</v>
      </c>
      <c r="AN119">
        <v>14</v>
      </c>
      <c r="AO119">
        <v>1016</v>
      </c>
      <c r="AP119">
        <v>341</v>
      </c>
      <c r="AQ119">
        <v>40</v>
      </c>
      <c r="AR119">
        <v>0</v>
      </c>
      <c r="AS119">
        <v>4</v>
      </c>
      <c r="AT119">
        <v>4</v>
      </c>
      <c r="AU119">
        <v>9</v>
      </c>
      <c r="AV119">
        <v>0</v>
      </c>
      <c r="AW119">
        <v>149</v>
      </c>
      <c r="AX119">
        <v>115</v>
      </c>
      <c r="AY119">
        <v>2</v>
      </c>
      <c r="BB119">
        <v>73</v>
      </c>
      <c r="BC119">
        <v>4</v>
      </c>
      <c r="BE119">
        <v>0</v>
      </c>
      <c r="BF119">
        <v>11</v>
      </c>
      <c r="BG119">
        <v>61</v>
      </c>
      <c r="BI119">
        <v>10</v>
      </c>
      <c r="BJ119">
        <v>1</v>
      </c>
    </row>
    <row r="120" spans="1:64" x14ac:dyDescent="0.35">
      <c r="A120">
        <v>2020</v>
      </c>
      <c r="B120" t="s">
        <v>49</v>
      </c>
      <c r="C120" t="s">
        <v>50</v>
      </c>
      <c r="D120" s="2">
        <v>1455623.7</v>
      </c>
      <c r="H120">
        <v>0</v>
      </c>
      <c r="P120">
        <v>91653</v>
      </c>
      <c r="AO120">
        <v>0</v>
      </c>
    </row>
    <row r="121" spans="1:64" x14ac:dyDescent="0.35">
      <c r="A121">
        <v>2020</v>
      </c>
      <c r="B121" t="s">
        <v>51</v>
      </c>
      <c r="C121" t="s">
        <v>52</v>
      </c>
      <c r="D121" s="2">
        <v>158615.9</v>
      </c>
      <c r="E121">
        <v>777</v>
      </c>
      <c r="F121">
        <v>725</v>
      </c>
      <c r="G121">
        <v>16</v>
      </c>
      <c r="H121">
        <v>2416</v>
      </c>
      <c r="I121">
        <v>872</v>
      </c>
      <c r="J121">
        <v>6</v>
      </c>
      <c r="K121">
        <v>127</v>
      </c>
      <c r="P121">
        <v>12625</v>
      </c>
      <c r="X121">
        <v>10</v>
      </c>
      <c r="AL121">
        <v>872</v>
      </c>
      <c r="AP121">
        <v>2416</v>
      </c>
      <c r="AT121">
        <v>15</v>
      </c>
      <c r="BB121">
        <v>486</v>
      </c>
      <c r="BI121">
        <v>52</v>
      </c>
      <c r="BJ121">
        <v>16</v>
      </c>
    </row>
    <row r="122" spans="1:64" x14ac:dyDescent="0.35">
      <c r="A122">
        <v>2020</v>
      </c>
      <c r="B122" t="s">
        <v>53</v>
      </c>
      <c r="C122" t="s">
        <v>54</v>
      </c>
      <c r="D122" s="2">
        <v>878903.6</v>
      </c>
      <c r="P122">
        <v>41616</v>
      </c>
    </row>
    <row r="123" spans="1:64" x14ac:dyDescent="0.35">
      <c r="A123">
        <v>2020</v>
      </c>
      <c r="B123" t="s">
        <v>55</v>
      </c>
      <c r="C123" t="s">
        <v>56</v>
      </c>
      <c r="D123" s="2">
        <v>641720.1</v>
      </c>
      <c r="E123">
        <v>958</v>
      </c>
      <c r="F123">
        <v>639</v>
      </c>
      <c r="G123">
        <v>0</v>
      </c>
      <c r="H123">
        <v>13564</v>
      </c>
      <c r="I123">
        <v>0</v>
      </c>
      <c r="J123">
        <v>149</v>
      </c>
      <c r="K123">
        <v>151</v>
      </c>
      <c r="L123">
        <v>2848</v>
      </c>
      <c r="M123">
        <v>0</v>
      </c>
      <c r="N123">
        <v>0</v>
      </c>
      <c r="O123">
        <v>13</v>
      </c>
      <c r="P123">
        <v>0</v>
      </c>
      <c r="Q123">
        <v>204</v>
      </c>
      <c r="R123">
        <v>0</v>
      </c>
      <c r="S123">
        <v>31</v>
      </c>
      <c r="T123">
        <v>0</v>
      </c>
      <c r="U123">
        <v>249</v>
      </c>
      <c r="V123">
        <v>321</v>
      </c>
      <c r="W123">
        <v>196</v>
      </c>
      <c r="X123">
        <v>30</v>
      </c>
      <c r="Y123">
        <v>0</v>
      </c>
      <c r="Z123">
        <v>334</v>
      </c>
      <c r="AA123">
        <v>0</v>
      </c>
      <c r="AB123">
        <v>0</v>
      </c>
      <c r="AC123">
        <v>2630</v>
      </c>
      <c r="AD123">
        <v>1809</v>
      </c>
      <c r="AE123">
        <v>282</v>
      </c>
      <c r="AF123">
        <v>743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77</v>
      </c>
      <c r="AO123">
        <v>6004</v>
      </c>
      <c r="AP123">
        <v>7483</v>
      </c>
      <c r="AQ123">
        <v>1479</v>
      </c>
      <c r="AR123">
        <v>4358</v>
      </c>
      <c r="AS123">
        <v>54</v>
      </c>
      <c r="AT123">
        <v>52</v>
      </c>
      <c r="AU123">
        <v>91</v>
      </c>
      <c r="AV123">
        <v>195</v>
      </c>
      <c r="AY123">
        <v>0</v>
      </c>
      <c r="AZ123">
        <v>0</v>
      </c>
      <c r="BA123">
        <v>0</v>
      </c>
      <c r="BB123">
        <v>600</v>
      </c>
      <c r="BC123">
        <v>152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319</v>
      </c>
      <c r="BJ123">
        <v>68</v>
      </c>
      <c r="BK123">
        <v>0</v>
      </c>
      <c r="BL123">
        <v>0</v>
      </c>
    </row>
    <row r="124" spans="1:64" x14ac:dyDescent="0.35">
      <c r="A124">
        <v>2020</v>
      </c>
      <c r="B124" t="s">
        <v>57</v>
      </c>
      <c r="C124" t="s">
        <v>58</v>
      </c>
      <c r="D124" s="2">
        <v>862128.3</v>
      </c>
      <c r="P124">
        <v>3303</v>
      </c>
    </row>
    <row r="125" spans="1:64" x14ac:dyDescent="0.35">
      <c r="A125">
        <v>2020</v>
      </c>
      <c r="B125" t="s">
        <v>59</v>
      </c>
      <c r="C125" t="s">
        <v>60</v>
      </c>
      <c r="D125" s="2">
        <v>14492.6</v>
      </c>
      <c r="E125">
        <v>3450</v>
      </c>
      <c r="P125">
        <v>163</v>
      </c>
      <c r="AI125">
        <v>3450</v>
      </c>
      <c r="BE125">
        <v>61</v>
      </c>
      <c r="BJ125">
        <v>140</v>
      </c>
    </row>
    <row r="126" spans="1:64" x14ac:dyDescent="0.35">
      <c r="A126">
        <v>2020</v>
      </c>
      <c r="B126" t="s">
        <v>61</v>
      </c>
      <c r="C126" t="s">
        <v>62</v>
      </c>
      <c r="D126" s="2">
        <v>1124965.3999999999</v>
      </c>
      <c r="E126">
        <v>2573</v>
      </c>
      <c r="F126">
        <v>1655</v>
      </c>
      <c r="H126">
        <v>8831</v>
      </c>
      <c r="I126">
        <v>6324</v>
      </c>
      <c r="J126">
        <v>277</v>
      </c>
      <c r="K126">
        <v>423</v>
      </c>
      <c r="L126">
        <v>9913</v>
      </c>
      <c r="P126">
        <v>6696</v>
      </c>
      <c r="Q126">
        <v>318</v>
      </c>
      <c r="U126">
        <v>128</v>
      </c>
      <c r="X126">
        <v>73</v>
      </c>
      <c r="Z126">
        <v>169</v>
      </c>
      <c r="AB126">
        <v>301</v>
      </c>
      <c r="AC126">
        <v>2954</v>
      </c>
      <c r="AF126">
        <v>2041</v>
      </c>
      <c r="AK126">
        <v>1275</v>
      </c>
      <c r="AL126">
        <v>5049</v>
      </c>
      <c r="AO126">
        <v>1616</v>
      </c>
      <c r="AP126">
        <v>7215</v>
      </c>
      <c r="AS126">
        <v>870</v>
      </c>
      <c r="AT126">
        <v>76</v>
      </c>
      <c r="AU126">
        <v>156</v>
      </c>
      <c r="AV126">
        <v>636</v>
      </c>
      <c r="AW126">
        <v>8308</v>
      </c>
      <c r="AX126">
        <v>14416</v>
      </c>
      <c r="BB126">
        <v>2358</v>
      </c>
      <c r="BC126">
        <v>108</v>
      </c>
      <c r="BD126">
        <v>336</v>
      </c>
      <c r="BE126">
        <v>17</v>
      </c>
      <c r="BF126">
        <v>530</v>
      </c>
      <c r="BG126">
        <v>400</v>
      </c>
      <c r="BH126">
        <v>154</v>
      </c>
      <c r="BI126">
        <v>918</v>
      </c>
      <c r="BJ126">
        <v>116</v>
      </c>
    </row>
    <row r="127" spans="1:64" x14ac:dyDescent="0.35">
      <c r="A127">
        <v>2020</v>
      </c>
      <c r="B127" t="s">
        <v>63</v>
      </c>
      <c r="C127" t="s">
        <v>64</v>
      </c>
      <c r="D127" s="2">
        <v>70199.3</v>
      </c>
      <c r="E127">
        <v>1036</v>
      </c>
      <c r="F127">
        <v>1036</v>
      </c>
      <c r="H127">
        <v>6440</v>
      </c>
      <c r="I127">
        <v>5</v>
      </c>
      <c r="J127">
        <v>138</v>
      </c>
      <c r="K127">
        <v>546</v>
      </c>
      <c r="Q127">
        <v>43</v>
      </c>
      <c r="S127">
        <v>32</v>
      </c>
      <c r="W127">
        <v>177</v>
      </c>
      <c r="X127">
        <v>28</v>
      </c>
      <c r="AD127">
        <v>3</v>
      </c>
      <c r="AE127">
        <v>99</v>
      </c>
      <c r="AF127">
        <v>99</v>
      </c>
      <c r="AL127">
        <v>5</v>
      </c>
      <c r="AO127">
        <v>44</v>
      </c>
      <c r="AP127">
        <v>6396</v>
      </c>
      <c r="AT127">
        <v>46</v>
      </c>
      <c r="AU127">
        <v>95</v>
      </c>
      <c r="AV127">
        <v>37</v>
      </c>
      <c r="AY127">
        <v>54</v>
      </c>
      <c r="BB127">
        <v>338</v>
      </c>
      <c r="BC127">
        <v>134</v>
      </c>
      <c r="BJ127">
        <v>47</v>
      </c>
    </row>
    <row r="128" spans="1:64" x14ac:dyDescent="0.35">
      <c r="A128">
        <v>2020</v>
      </c>
      <c r="B128" t="s">
        <v>65</v>
      </c>
      <c r="C128" t="s">
        <v>66</v>
      </c>
      <c r="D128" s="2">
        <v>399189.9</v>
      </c>
      <c r="P128">
        <v>58567</v>
      </c>
    </row>
    <row r="129" spans="1:64" x14ac:dyDescent="0.35">
      <c r="A129">
        <v>2020</v>
      </c>
      <c r="B129" t="s">
        <v>67</v>
      </c>
      <c r="C129" t="s">
        <v>68</v>
      </c>
      <c r="D129" s="2">
        <v>543180.80000000005</v>
      </c>
      <c r="E129">
        <v>1384</v>
      </c>
      <c r="F129">
        <v>308</v>
      </c>
      <c r="G129">
        <v>450</v>
      </c>
      <c r="H129">
        <v>3800</v>
      </c>
      <c r="I129">
        <v>2061</v>
      </c>
      <c r="J129">
        <v>134</v>
      </c>
      <c r="K129">
        <v>212</v>
      </c>
      <c r="L129">
        <v>5427</v>
      </c>
      <c r="M129">
        <v>35</v>
      </c>
      <c r="N129">
        <v>1</v>
      </c>
      <c r="O129">
        <v>19</v>
      </c>
      <c r="R129">
        <v>13</v>
      </c>
      <c r="S129">
        <v>2</v>
      </c>
      <c r="T129">
        <v>1</v>
      </c>
      <c r="U129">
        <v>60</v>
      </c>
      <c r="W129">
        <v>411</v>
      </c>
      <c r="X129">
        <v>95</v>
      </c>
      <c r="Z129">
        <v>14</v>
      </c>
      <c r="AB129">
        <v>121</v>
      </c>
      <c r="AC129">
        <v>27</v>
      </c>
      <c r="AD129">
        <v>1482</v>
      </c>
      <c r="AE129">
        <v>323</v>
      </c>
      <c r="AF129">
        <v>101</v>
      </c>
      <c r="AJ129">
        <v>72</v>
      </c>
      <c r="AK129">
        <v>92</v>
      </c>
      <c r="AL129">
        <v>1969</v>
      </c>
      <c r="AN129">
        <v>22</v>
      </c>
      <c r="AO129">
        <v>483</v>
      </c>
      <c r="AP129">
        <v>3295</v>
      </c>
      <c r="AS129">
        <v>2</v>
      </c>
      <c r="AT129">
        <v>106</v>
      </c>
      <c r="AY129">
        <v>662</v>
      </c>
      <c r="BB129">
        <v>48</v>
      </c>
      <c r="BC129">
        <v>1</v>
      </c>
      <c r="BD129">
        <v>97</v>
      </c>
      <c r="BE129">
        <v>38</v>
      </c>
      <c r="BF129">
        <v>2</v>
      </c>
      <c r="BH129">
        <v>491</v>
      </c>
      <c r="BI129">
        <v>1076</v>
      </c>
      <c r="BJ129">
        <v>149</v>
      </c>
    </row>
    <row r="130" spans="1:64" x14ac:dyDescent="0.35">
      <c r="A130">
        <v>2020</v>
      </c>
      <c r="B130" t="s">
        <v>69</v>
      </c>
      <c r="C130" t="s">
        <v>70</v>
      </c>
      <c r="D130" s="2">
        <v>1773.9</v>
      </c>
    </row>
    <row r="131" spans="1:64" x14ac:dyDescent="0.35">
      <c r="A131">
        <v>2020</v>
      </c>
      <c r="B131" t="s">
        <v>71</v>
      </c>
      <c r="C131" t="s">
        <v>72</v>
      </c>
      <c r="D131" s="2">
        <v>256574.4</v>
      </c>
      <c r="E131">
        <v>576</v>
      </c>
      <c r="F131">
        <v>515</v>
      </c>
      <c r="H131">
        <v>1040</v>
      </c>
      <c r="I131">
        <v>639</v>
      </c>
      <c r="J131">
        <v>15</v>
      </c>
      <c r="K131">
        <v>193</v>
      </c>
      <c r="O131">
        <v>22</v>
      </c>
      <c r="P131">
        <v>13966</v>
      </c>
      <c r="Q131">
        <v>66</v>
      </c>
      <c r="R131">
        <v>530</v>
      </c>
      <c r="V131">
        <v>17</v>
      </c>
      <c r="W131">
        <v>219</v>
      </c>
      <c r="AC131">
        <v>487</v>
      </c>
      <c r="AF131">
        <v>114</v>
      </c>
      <c r="AK131">
        <v>109</v>
      </c>
      <c r="AL131">
        <v>530</v>
      </c>
      <c r="AP131">
        <v>1040</v>
      </c>
      <c r="AS131">
        <v>57</v>
      </c>
      <c r="AU131">
        <v>1</v>
      </c>
      <c r="AY131">
        <v>650</v>
      </c>
      <c r="AZ131">
        <v>2251</v>
      </c>
      <c r="BB131">
        <v>332</v>
      </c>
      <c r="BC131">
        <v>6</v>
      </c>
      <c r="BI131">
        <v>61</v>
      </c>
    </row>
    <row r="132" spans="1:64" x14ac:dyDescent="0.35">
      <c r="A132">
        <v>2020</v>
      </c>
      <c r="B132" t="s">
        <v>73</v>
      </c>
      <c r="C132" t="s">
        <v>74</v>
      </c>
      <c r="D132" s="2">
        <v>1247502</v>
      </c>
      <c r="H132">
        <v>61028</v>
      </c>
      <c r="AN132">
        <v>61028</v>
      </c>
    </row>
    <row r="133" spans="1:64" x14ac:dyDescent="0.35">
      <c r="A133">
        <v>2020</v>
      </c>
      <c r="B133" t="s">
        <v>75</v>
      </c>
      <c r="C133" t="s">
        <v>76</v>
      </c>
      <c r="D133" s="2">
        <v>301708.79999999999</v>
      </c>
      <c r="E133">
        <v>456</v>
      </c>
      <c r="F133">
        <v>383</v>
      </c>
      <c r="G133">
        <v>13</v>
      </c>
      <c r="H133">
        <v>4530</v>
      </c>
      <c r="I133">
        <v>3020</v>
      </c>
      <c r="J133">
        <v>28</v>
      </c>
      <c r="K133">
        <v>139</v>
      </c>
      <c r="O133">
        <v>7</v>
      </c>
      <c r="P133">
        <v>2826</v>
      </c>
      <c r="Q133">
        <v>128</v>
      </c>
      <c r="T133">
        <v>10</v>
      </c>
      <c r="W133">
        <v>10</v>
      </c>
      <c r="X133">
        <v>11</v>
      </c>
      <c r="AB133">
        <v>16</v>
      </c>
      <c r="AF133">
        <v>635</v>
      </c>
      <c r="AH133">
        <v>1006</v>
      </c>
      <c r="AK133">
        <v>2564</v>
      </c>
      <c r="AL133">
        <v>456</v>
      </c>
      <c r="AO133">
        <v>3934</v>
      </c>
      <c r="AP133">
        <v>596</v>
      </c>
      <c r="AS133">
        <v>197</v>
      </c>
      <c r="AT133">
        <v>12</v>
      </c>
      <c r="AU133">
        <v>24</v>
      </c>
      <c r="AV133">
        <v>26</v>
      </c>
      <c r="AY133">
        <v>623</v>
      </c>
      <c r="BB133">
        <v>291</v>
      </c>
      <c r="BD133">
        <v>17</v>
      </c>
      <c r="BE133">
        <v>3</v>
      </c>
      <c r="BI133">
        <v>73</v>
      </c>
      <c r="BJ133">
        <v>18</v>
      </c>
    </row>
    <row r="134" spans="1:64" x14ac:dyDescent="0.35">
      <c r="A134">
        <v>2020</v>
      </c>
      <c r="B134" t="s">
        <v>77</v>
      </c>
      <c r="C134" t="s">
        <v>78</v>
      </c>
      <c r="D134" s="2">
        <v>177536.2</v>
      </c>
    </row>
    <row r="135" spans="1:64" x14ac:dyDescent="0.35">
      <c r="A135">
        <v>2020</v>
      </c>
      <c r="B135" t="s">
        <v>79</v>
      </c>
      <c r="C135" t="s">
        <v>80</v>
      </c>
      <c r="D135" s="2">
        <v>1076476.3999999999</v>
      </c>
      <c r="E135">
        <v>835</v>
      </c>
      <c r="P135">
        <v>21429</v>
      </c>
      <c r="AI135">
        <v>835</v>
      </c>
    </row>
    <row r="136" spans="1:64" x14ac:dyDescent="0.35">
      <c r="A136">
        <v>2020</v>
      </c>
      <c r="B136" t="s">
        <v>81</v>
      </c>
      <c r="C136" t="s">
        <v>82</v>
      </c>
      <c r="D136" s="2">
        <v>1634390</v>
      </c>
      <c r="E136">
        <v>7031</v>
      </c>
      <c r="H136">
        <v>51327</v>
      </c>
      <c r="I136">
        <v>23546</v>
      </c>
      <c r="J136">
        <v>255</v>
      </c>
      <c r="K136">
        <v>1717</v>
      </c>
      <c r="AI136">
        <v>7031</v>
      </c>
      <c r="AM136">
        <v>23546</v>
      </c>
      <c r="AN136">
        <v>51327</v>
      </c>
    </row>
    <row r="137" spans="1:64" x14ac:dyDescent="0.35">
      <c r="A137">
        <v>2020</v>
      </c>
      <c r="B137" t="s">
        <v>83</v>
      </c>
      <c r="C137" t="s">
        <v>84</v>
      </c>
      <c r="D137" s="2">
        <v>652088.9</v>
      </c>
      <c r="E137">
        <v>4818</v>
      </c>
      <c r="H137">
        <v>27674</v>
      </c>
      <c r="I137">
        <v>3312</v>
      </c>
      <c r="J137">
        <v>205</v>
      </c>
      <c r="K137">
        <v>1082</v>
      </c>
      <c r="P137">
        <v>41669</v>
      </c>
      <c r="Q137">
        <v>453</v>
      </c>
      <c r="W137">
        <v>3830</v>
      </c>
      <c r="AB137">
        <v>1075</v>
      </c>
      <c r="AE137">
        <v>2506</v>
      </c>
      <c r="AF137">
        <v>19</v>
      </c>
      <c r="AI137">
        <v>4818</v>
      </c>
      <c r="AL137">
        <v>3312</v>
      </c>
      <c r="AP137">
        <v>27674</v>
      </c>
      <c r="AY137">
        <v>5544</v>
      </c>
      <c r="BB137">
        <v>1544</v>
      </c>
      <c r="BC137">
        <v>1036</v>
      </c>
    </row>
    <row r="138" spans="1:64" x14ac:dyDescent="0.35">
      <c r="A138">
        <v>2020</v>
      </c>
      <c r="B138" t="s">
        <v>85</v>
      </c>
      <c r="C138" t="s">
        <v>86</v>
      </c>
      <c r="D138" s="2">
        <v>485539.3</v>
      </c>
      <c r="E138">
        <v>2957</v>
      </c>
      <c r="H138">
        <v>22499</v>
      </c>
      <c r="I138">
        <v>9293</v>
      </c>
      <c r="J138">
        <v>234</v>
      </c>
      <c r="K138">
        <v>1600</v>
      </c>
      <c r="AI138">
        <v>2957</v>
      </c>
      <c r="AM138">
        <v>9293</v>
      </c>
      <c r="AN138">
        <v>22499</v>
      </c>
    </row>
    <row r="139" spans="1:64" x14ac:dyDescent="0.35">
      <c r="A139">
        <v>2020</v>
      </c>
      <c r="B139" t="s">
        <v>87</v>
      </c>
      <c r="C139" t="s">
        <v>88</v>
      </c>
      <c r="D139" s="2">
        <v>102444.9</v>
      </c>
      <c r="E139">
        <v>291</v>
      </c>
      <c r="P139">
        <v>6000</v>
      </c>
      <c r="AI139">
        <v>291</v>
      </c>
      <c r="BE139">
        <v>34</v>
      </c>
      <c r="BJ139">
        <v>46</v>
      </c>
    </row>
    <row r="140" spans="1:64" x14ac:dyDescent="0.35">
      <c r="A140">
        <v>2020</v>
      </c>
      <c r="B140" t="s">
        <v>89</v>
      </c>
      <c r="C140" t="s">
        <v>90</v>
      </c>
      <c r="D140" s="2">
        <v>269323.40000000002</v>
      </c>
      <c r="E140">
        <v>685</v>
      </c>
      <c r="F140">
        <v>354</v>
      </c>
      <c r="H140">
        <v>2455</v>
      </c>
      <c r="I140">
        <v>1743</v>
      </c>
      <c r="K140">
        <v>232</v>
      </c>
      <c r="L140">
        <v>1411</v>
      </c>
      <c r="N140">
        <v>83</v>
      </c>
      <c r="O140">
        <v>20</v>
      </c>
      <c r="P140">
        <v>7386</v>
      </c>
      <c r="R140">
        <v>2</v>
      </c>
      <c r="S140">
        <v>1</v>
      </c>
      <c r="T140">
        <v>2</v>
      </c>
      <c r="U140">
        <v>20</v>
      </c>
      <c r="V140">
        <v>50</v>
      </c>
      <c r="W140">
        <v>379</v>
      </c>
      <c r="X140">
        <v>45</v>
      </c>
      <c r="Y140">
        <v>4622</v>
      </c>
      <c r="AB140">
        <v>280</v>
      </c>
      <c r="AD140">
        <v>997</v>
      </c>
      <c r="AE140">
        <v>338</v>
      </c>
      <c r="AF140">
        <v>589</v>
      </c>
      <c r="AG140">
        <v>6</v>
      </c>
      <c r="AJ140">
        <v>14</v>
      </c>
      <c r="AK140">
        <v>809</v>
      </c>
      <c r="AL140">
        <v>934</v>
      </c>
      <c r="AO140">
        <v>902</v>
      </c>
      <c r="AP140">
        <v>1553</v>
      </c>
      <c r="AS140">
        <v>7</v>
      </c>
      <c r="AT140">
        <v>61</v>
      </c>
      <c r="AU140">
        <v>3</v>
      </c>
      <c r="AV140">
        <v>61</v>
      </c>
      <c r="AW140">
        <v>2137</v>
      </c>
      <c r="AX140">
        <v>1371</v>
      </c>
      <c r="BB140">
        <v>49</v>
      </c>
      <c r="BC140">
        <v>230</v>
      </c>
      <c r="BE140">
        <v>6</v>
      </c>
      <c r="BF140">
        <v>65</v>
      </c>
      <c r="BG140">
        <v>45</v>
      </c>
      <c r="BH140">
        <v>21</v>
      </c>
      <c r="BI140">
        <v>331</v>
      </c>
      <c r="BJ140">
        <v>76</v>
      </c>
    </row>
    <row r="141" spans="1:64" x14ac:dyDescent="0.35">
      <c r="A141">
        <v>2020</v>
      </c>
      <c r="B141" t="s">
        <v>91</v>
      </c>
      <c r="C141" t="s">
        <v>92</v>
      </c>
      <c r="D141" s="2">
        <v>23981</v>
      </c>
      <c r="E141">
        <v>354</v>
      </c>
      <c r="F141">
        <v>241</v>
      </c>
      <c r="H141">
        <v>683</v>
      </c>
      <c r="I141">
        <v>586</v>
      </c>
      <c r="J141">
        <v>32</v>
      </c>
      <c r="K141">
        <v>35</v>
      </c>
      <c r="AB141">
        <v>25</v>
      </c>
      <c r="AE141">
        <v>16</v>
      </c>
      <c r="AL141">
        <v>586</v>
      </c>
      <c r="AP141">
        <v>683</v>
      </c>
      <c r="BB141">
        <v>71</v>
      </c>
      <c r="BI141">
        <v>113</v>
      </c>
    </row>
    <row r="142" spans="1:64" x14ac:dyDescent="0.35">
      <c r="A142">
        <v>2020</v>
      </c>
      <c r="B142" t="s">
        <v>93</v>
      </c>
      <c r="C142" t="s">
        <v>94</v>
      </c>
      <c r="D142" s="2">
        <v>2235369.7000000002</v>
      </c>
    </row>
    <row r="143" spans="1:64" x14ac:dyDescent="0.35">
      <c r="A143">
        <v>2019</v>
      </c>
      <c r="B143" t="s">
        <v>1</v>
      </c>
      <c r="C143" t="s">
        <v>2</v>
      </c>
      <c r="D143" s="2">
        <v>752782.1</v>
      </c>
      <c r="E143">
        <v>1910</v>
      </c>
      <c r="F143">
        <v>1026</v>
      </c>
      <c r="G143">
        <v>693</v>
      </c>
      <c r="H143">
        <v>11364</v>
      </c>
      <c r="I143">
        <v>7477</v>
      </c>
      <c r="J143">
        <v>52</v>
      </c>
      <c r="K143">
        <v>313</v>
      </c>
      <c r="L143">
        <v>811</v>
      </c>
      <c r="M143">
        <v>200</v>
      </c>
      <c r="O143">
        <v>7</v>
      </c>
      <c r="P143">
        <v>2979</v>
      </c>
      <c r="Q143">
        <v>143</v>
      </c>
      <c r="U143">
        <v>6</v>
      </c>
      <c r="V143">
        <v>1348</v>
      </c>
      <c r="W143">
        <v>222</v>
      </c>
      <c r="X143">
        <v>90</v>
      </c>
      <c r="Z143">
        <v>174</v>
      </c>
      <c r="AB143">
        <v>191</v>
      </c>
      <c r="AF143">
        <v>800</v>
      </c>
      <c r="AG143">
        <v>143</v>
      </c>
      <c r="AJ143">
        <v>15</v>
      </c>
      <c r="AK143">
        <v>3057</v>
      </c>
      <c r="AL143">
        <v>4420</v>
      </c>
      <c r="AO143">
        <v>1893</v>
      </c>
      <c r="AP143">
        <v>9471</v>
      </c>
      <c r="AQ143">
        <v>0</v>
      </c>
      <c r="AR143">
        <v>0</v>
      </c>
      <c r="AS143">
        <v>21</v>
      </c>
      <c r="AT143">
        <v>106</v>
      </c>
      <c r="AV143">
        <v>580</v>
      </c>
      <c r="AW143">
        <v>22</v>
      </c>
      <c r="AX143">
        <v>2079</v>
      </c>
      <c r="BB143">
        <v>192</v>
      </c>
      <c r="BE143">
        <v>9</v>
      </c>
      <c r="BF143">
        <v>8</v>
      </c>
      <c r="BG143">
        <v>6</v>
      </c>
      <c r="BH143">
        <v>28</v>
      </c>
      <c r="BI143">
        <v>884</v>
      </c>
      <c r="BJ143">
        <v>99</v>
      </c>
      <c r="BK143">
        <v>335</v>
      </c>
      <c r="BL143">
        <v>1</v>
      </c>
    </row>
    <row r="144" spans="1:64" x14ac:dyDescent="0.35">
      <c r="A144">
        <v>2019</v>
      </c>
      <c r="B144" t="s">
        <v>3</v>
      </c>
      <c r="C144" t="s">
        <v>4</v>
      </c>
      <c r="D144" s="2">
        <v>209572.8</v>
      </c>
    </row>
    <row r="145" spans="1:64" x14ac:dyDescent="0.35">
      <c r="A145">
        <v>2019</v>
      </c>
      <c r="B145" t="s">
        <v>5</v>
      </c>
      <c r="C145" t="s">
        <v>6</v>
      </c>
      <c r="D145" s="2">
        <v>6338.5</v>
      </c>
      <c r="E145">
        <v>105</v>
      </c>
      <c r="H145">
        <v>440</v>
      </c>
      <c r="I145">
        <v>22</v>
      </c>
      <c r="J145">
        <v>6</v>
      </c>
      <c r="K145">
        <v>37</v>
      </c>
      <c r="AI145">
        <v>105</v>
      </c>
      <c r="AM145">
        <v>22</v>
      </c>
      <c r="AN145">
        <v>440</v>
      </c>
      <c r="BE145">
        <v>1</v>
      </c>
      <c r="BJ145">
        <v>2</v>
      </c>
    </row>
    <row r="146" spans="1:64" x14ac:dyDescent="0.35">
      <c r="A146">
        <v>2019</v>
      </c>
      <c r="B146" t="s">
        <v>7</v>
      </c>
      <c r="C146" t="s">
        <v>8</v>
      </c>
      <c r="D146" s="2">
        <v>3709546.6</v>
      </c>
      <c r="E146">
        <v>15016</v>
      </c>
      <c r="F146">
        <v>15016</v>
      </c>
      <c r="H146">
        <v>93964</v>
      </c>
      <c r="I146">
        <v>3149</v>
      </c>
      <c r="J146">
        <v>422</v>
      </c>
      <c r="K146">
        <v>584</v>
      </c>
      <c r="L146">
        <v>75871</v>
      </c>
      <c r="W146">
        <v>166</v>
      </c>
      <c r="AC146">
        <v>3342</v>
      </c>
      <c r="AL146">
        <v>3149</v>
      </c>
      <c r="AP146">
        <v>93964</v>
      </c>
      <c r="AS146">
        <v>668</v>
      </c>
      <c r="AW146">
        <v>1939</v>
      </c>
      <c r="BB146">
        <v>188</v>
      </c>
      <c r="BC146">
        <v>496</v>
      </c>
    </row>
    <row r="147" spans="1:64" x14ac:dyDescent="0.35">
      <c r="A147">
        <v>2019</v>
      </c>
      <c r="B147" t="s">
        <v>9</v>
      </c>
      <c r="C147" t="s">
        <v>10</v>
      </c>
      <c r="D147" s="2">
        <v>3717724.4</v>
      </c>
      <c r="E147">
        <v>5867</v>
      </c>
      <c r="F147">
        <v>5867</v>
      </c>
      <c r="J147">
        <v>52</v>
      </c>
    </row>
    <row r="148" spans="1:64" x14ac:dyDescent="0.35">
      <c r="A148">
        <v>2019</v>
      </c>
      <c r="B148" t="s">
        <v>11</v>
      </c>
      <c r="C148" t="s">
        <v>12</v>
      </c>
      <c r="D148" s="2">
        <v>7409670.9000000004</v>
      </c>
      <c r="E148">
        <v>74543</v>
      </c>
      <c r="H148">
        <v>180709</v>
      </c>
      <c r="I148">
        <v>120870</v>
      </c>
      <c r="J148">
        <v>4358</v>
      </c>
      <c r="K148">
        <v>24668</v>
      </c>
      <c r="N148">
        <v>79</v>
      </c>
      <c r="P148">
        <v>116454</v>
      </c>
      <c r="Q148">
        <v>6165</v>
      </c>
      <c r="T148">
        <v>942</v>
      </c>
      <c r="W148">
        <v>14743</v>
      </c>
      <c r="X148">
        <v>1031</v>
      </c>
      <c r="Z148">
        <v>7146</v>
      </c>
      <c r="AB148">
        <v>369</v>
      </c>
      <c r="AE148">
        <v>29803</v>
      </c>
      <c r="AF148">
        <v>26677</v>
      </c>
      <c r="AG148">
        <v>7</v>
      </c>
      <c r="AH148">
        <v>27247</v>
      </c>
      <c r="AI148">
        <v>74543</v>
      </c>
      <c r="AL148">
        <v>120870</v>
      </c>
      <c r="AP148">
        <v>180709</v>
      </c>
      <c r="AT148">
        <v>1238</v>
      </c>
      <c r="AU148">
        <v>4429</v>
      </c>
      <c r="AV148">
        <v>5698</v>
      </c>
      <c r="BB148">
        <v>5793</v>
      </c>
      <c r="BC148">
        <v>4971</v>
      </c>
      <c r="BD148">
        <v>118</v>
      </c>
      <c r="BE148">
        <v>267</v>
      </c>
      <c r="BF148">
        <v>267</v>
      </c>
      <c r="BJ148">
        <v>2368</v>
      </c>
      <c r="BL148">
        <v>32</v>
      </c>
    </row>
    <row r="149" spans="1:64" x14ac:dyDescent="0.35">
      <c r="A149">
        <v>2019</v>
      </c>
      <c r="B149" t="s">
        <v>13</v>
      </c>
      <c r="C149" t="s">
        <v>14</v>
      </c>
      <c r="D149" s="2">
        <v>64066.9</v>
      </c>
      <c r="E149">
        <v>1368</v>
      </c>
      <c r="F149">
        <v>516</v>
      </c>
      <c r="G149">
        <v>113</v>
      </c>
      <c r="H149">
        <v>4711</v>
      </c>
      <c r="I149">
        <v>607</v>
      </c>
      <c r="J149">
        <v>34</v>
      </c>
      <c r="K149">
        <v>140</v>
      </c>
      <c r="L149">
        <v>693</v>
      </c>
      <c r="M149">
        <v>159</v>
      </c>
      <c r="N149">
        <v>1</v>
      </c>
      <c r="O149">
        <v>65</v>
      </c>
      <c r="P149">
        <v>117</v>
      </c>
      <c r="Q149">
        <v>32</v>
      </c>
      <c r="R149">
        <v>9</v>
      </c>
      <c r="S149">
        <v>10</v>
      </c>
      <c r="T149">
        <v>14</v>
      </c>
      <c r="U149">
        <v>30</v>
      </c>
      <c r="V149">
        <v>7</v>
      </c>
      <c r="W149">
        <v>201</v>
      </c>
      <c r="X149">
        <v>69</v>
      </c>
      <c r="Y149">
        <v>39</v>
      </c>
      <c r="Z149">
        <v>89</v>
      </c>
      <c r="AA149">
        <v>0</v>
      </c>
      <c r="AB149">
        <v>78</v>
      </c>
      <c r="AC149">
        <v>344</v>
      </c>
      <c r="AD149">
        <v>14</v>
      </c>
      <c r="AE149">
        <v>72</v>
      </c>
      <c r="AF149">
        <v>454</v>
      </c>
      <c r="AG149">
        <v>0</v>
      </c>
      <c r="AH149">
        <v>1</v>
      </c>
      <c r="AI149">
        <v>1</v>
      </c>
      <c r="AJ149">
        <v>107</v>
      </c>
      <c r="AK149">
        <v>0</v>
      </c>
      <c r="AL149">
        <v>607</v>
      </c>
      <c r="AM149">
        <v>0</v>
      </c>
      <c r="AN149">
        <v>2</v>
      </c>
      <c r="AO149">
        <v>1408</v>
      </c>
      <c r="AP149">
        <v>3301</v>
      </c>
      <c r="AQ149">
        <v>746</v>
      </c>
      <c r="AR149">
        <v>11</v>
      </c>
      <c r="AS149">
        <v>3</v>
      </c>
      <c r="AT149">
        <v>79</v>
      </c>
      <c r="AU149">
        <v>9</v>
      </c>
      <c r="AV149">
        <v>429</v>
      </c>
      <c r="AW149">
        <v>942</v>
      </c>
      <c r="AX149">
        <v>2595</v>
      </c>
      <c r="AY149">
        <v>703</v>
      </c>
      <c r="AZ149">
        <v>1</v>
      </c>
      <c r="BA149">
        <v>0</v>
      </c>
      <c r="BB149">
        <v>179</v>
      </c>
      <c r="BC149">
        <v>29</v>
      </c>
      <c r="BD149">
        <v>14</v>
      </c>
      <c r="BE149">
        <v>4</v>
      </c>
      <c r="BF149">
        <v>85</v>
      </c>
      <c r="BG149">
        <v>10</v>
      </c>
      <c r="BH149">
        <v>109</v>
      </c>
      <c r="BI149">
        <v>851</v>
      </c>
      <c r="BJ149">
        <v>157</v>
      </c>
      <c r="BK149">
        <v>84</v>
      </c>
      <c r="BL149">
        <v>33</v>
      </c>
    </row>
    <row r="150" spans="1:64" x14ac:dyDescent="0.35">
      <c r="A150">
        <v>2019</v>
      </c>
      <c r="B150" t="s">
        <v>15</v>
      </c>
      <c r="C150" t="s">
        <v>16</v>
      </c>
      <c r="D150" s="2">
        <v>145586.5</v>
      </c>
      <c r="E150">
        <v>897</v>
      </c>
      <c r="F150">
        <v>533</v>
      </c>
      <c r="H150">
        <v>4369</v>
      </c>
      <c r="I150">
        <v>932</v>
      </c>
      <c r="J150">
        <v>118</v>
      </c>
      <c r="K150">
        <v>74</v>
      </c>
      <c r="AL150">
        <v>932</v>
      </c>
      <c r="AN150">
        <v>3819</v>
      </c>
      <c r="AP150">
        <v>550</v>
      </c>
      <c r="BI150">
        <v>364</v>
      </c>
    </row>
    <row r="151" spans="1:64" x14ac:dyDescent="0.35">
      <c r="A151">
        <v>2019</v>
      </c>
      <c r="B151" t="s">
        <v>17</v>
      </c>
      <c r="C151" t="s">
        <v>18</v>
      </c>
      <c r="D151" s="2">
        <v>29875.9</v>
      </c>
      <c r="J151">
        <v>14</v>
      </c>
      <c r="Q151">
        <v>19</v>
      </c>
      <c r="R151">
        <v>3</v>
      </c>
    </row>
    <row r="152" spans="1:64" x14ac:dyDescent="0.35">
      <c r="A152">
        <v>2019</v>
      </c>
      <c r="B152" t="s">
        <v>19</v>
      </c>
      <c r="C152" t="s">
        <v>20</v>
      </c>
      <c r="D152" s="2">
        <v>59062.8</v>
      </c>
      <c r="J152">
        <v>37</v>
      </c>
      <c r="Q152">
        <v>47</v>
      </c>
      <c r="R152">
        <v>6</v>
      </c>
    </row>
    <row r="153" spans="1:64" x14ac:dyDescent="0.35">
      <c r="A153">
        <v>2019</v>
      </c>
      <c r="B153" t="s">
        <v>21</v>
      </c>
      <c r="C153" t="s">
        <v>22</v>
      </c>
      <c r="D153" s="2">
        <v>1025953.1</v>
      </c>
      <c r="E153">
        <v>42140</v>
      </c>
      <c r="F153">
        <v>27560</v>
      </c>
      <c r="H153">
        <v>4425</v>
      </c>
      <c r="I153">
        <v>9070</v>
      </c>
      <c r="J153">
        <v>7018</v>
      </c>
      <c r="K153">
        <v>2156</v>
      </c>
      <c r="AL153">
        <v>9070</v>
      </c>
      <c r="AP153">
        <v>4425</v>
      </c>
      <c r="AY153">
        <v>128823</v>
      </c>
      <c r="BI153">
        <v>14580</v>
      </c>
    </row>
    <row r="154" spans="1:64" x14ac:dyDescent="0.35">
      <c r="A154">
        <v>2019</v>
      </c>
      <c r="B154" t="s">
        <v>23</v>
      </c>
      <c r="C154" t="s">
        <v>24</v>
      </c>
      <c r="D154" s="2">
        <v>1251836.8999999999</v>
      </c>
    </row>
    <row r="155" spans="1:64" x14ac:dyDescent="0.35">
      <c r="A155">
        <v>2019</v>
      </c>
      <c r="B155" t="s">
        <v>25</v>
      </c>
      <c r="C155" t="s">
        <v>26</v>
      </c>
      <c r="D155" s="2">
        <v>450366.9</v>
      </c>
      <c r="E155">
        <v>763</v>
      </c>
      <c r="F155">
        <v>202</v>
      </c>
      <c r="H155">
        <v>2670</v>
      </c>
      <c r="I155">
        <v>905</v>
      </c>
      <c r="X155">
        <v>34</v>
      </c>
      <c r="AB155">
        <v>92</v>
      </c>
      <c r="AI155">
        <v>561</v>
      </c>
      <c r="AM155">
        <v>905</v>
      </c>
      <c r="AN155">
        <v>2670</v>
      </c>
      <c r="AT155">
        <v>89</v>
      </c>
      <c r="AV155">
        <v>133</v>
      </c>
      <c r="BJ155">
        <v>60</v>
      </c>
    </row>
    <row r="156" spans="1:64" x14ac:dyDescent="0.35">
      <c r="A156">
        <v>2019</v>
      </c>
      <c r="B156" t="s">
        <v>27</v>
      </c>
      <c r="C156" t="s">
        <v>28</v>
      </c>
      <c r="D156" s="2">
        <v>62733.4</v>
      </c>
      <c r="E156">
        <v>920</v>
      </c>
      <c r="F156">
        <v>813</v>
      </c>
      <c r="H156">
        <v>7763</v>
      </c>
      <c r="J156">
        <v>88</v>
      </c>
      <c r="K156">
        <v>138</v>
      </c>
      <c r="L156">
        <v>491</v>
      </c>
      <c r="M156">
        <v>843</v>
      </c>
      <c r="N156">
        <v>8</v>
      </c>
      <c r="O156">
        <v>11</v>
      </c>
      <c r="Q156">
        <v>27</v>
      </c>
      <c r="R156">
        <v>33</v>
      </c>
      <c r="S156">
        <v>41</v>
      </c>
      <c r="U156">
        <v>32</v>
      </c>
      <c r="Y156">
        <v>1421</v>
      </c>
      <c r="Z156">
        <v>25</v>
      </c>
      <c r="AB156">
        <v>116</v>
      </c>
      <c r="AC156">
        <v>131</v>
      </c>
      <c r="AD156">
        <v>64</v>
      </c>
      <c r="AE156">
        <v>330</v>
      </c>
      <c r="AF156">
        <v>156</v>
      </c>
      <c r="AH156">
        <v>110</v>
      </c>
      <c r="AP156">
        <v>7763</v>
      </c>
      <c r="AS156">
        <v>3</v>
      </c>
      <c r="AU156">
        <v>3</v>
      </c>
      <c r="AW156">
        <v>1376</v>
      </c>
      <c r="AX156">
        <v>3956</v>
      </c>
      <c r="AY156">
        <v>10</v>
      </c>
      <c r="BB156">
        <v>408</v>
      </c>
      <c r="BC156">
        <v>38</v>
      </c>
      <c r="BF156">
        <v>15</v>
      </c>
      <c r="BI156">
        <v>107</v>
      </c>
    </row>
    <row r="157" spans="1:64" x14ac:dyDescent="0.35">
      <c r="A157">
        <v>2019</v>
      </c>
      <c r="B157" t="s">
        <v>29</v>
      </c>
      <c r="C157" t="s">
        <v>30</v>
      </c>
      <c r="D157" s="2">
        <v>425247.1</v>
      </c>
      <c r="H157">
        <v>7518</v>
      </c>
      <c r="I157">
        <v>124</v>
      </c>
      <c r="AL157">
        <v>124</v>
      </c>
      <c r="AP157">
        <v>7518</v>
      </c>
    </row>
    <row r="158" spans="1:64" x14ac:dyDescent="0.35">
      <c r="A158">
        <v>2019</v>
      </c>
      <c r="B158" t="s">
        <v>31</v>
      </c>
      <c r="C158" t="s">
        <v>32</v>
      </c>
      <c r="D158" s="2">
        <v>10569</v>
      </c>
      <c r="J158">
        <v>120</v>
      </c>
      <c r="Q158">
        <v>74</v>
      </c>
      <c r="R158">
        <v>20</v>
      </c>
    </row>
    <row r="159" spans="1:64" x14ac:dyDescent="0.35">
      <c r="A159">
        <v>2019</v>
      </c>
      <c r="B159" t="s">
        <v>33</v>
      </c>
      <c r="C159" t="s">
        <v>34</v>
      </c>
      <c r="D159" s="2">
        <v>914051.2</v>
      </c>
      <c r="J159">
        <v>300</v>
      </c>
    </row>
    <row r="160" spans="1:64" x14ac:dyDescent="0.35">
      <c r="A160">
        <v>2019</v>
      </c>
      <c r="B160" t="s">
        <v>35</v>
      </c>
      <c r="C160" t="s">
        <v>36</v>
      </c>
      <c r="D160" s="2">
        <v>680354</v>
      </c>
      <c r="E160">
        <v>859</v>
      </c>
      <c r="F160">
        <v>642</v>
      </c>
      <c r="I160">
        <v>589</v>
      </c>
      <c r="K160">
        <v>52</v>
      </c>
      <c r="L160">
        <v>335</v>
      </c>
      <c r="O160">
        <v>560</v>
      </c>
      <c r="Q160">
        <v>11</v>
      </c>
      <c r="U160">
        <v>26</v>
      </c>
      <c r="W160">
        <v>96</v>
      </c>
      <c r="X160">
        <v>20</v>
      </c>
      <c r="Y160">
        <v>31</v>
      </c>
      <c r="AB160">
        <v>48</v>
      </c>
      <c r="AC160">
        <v>109</v>
      </c>
      <c r="AI160">
        <v>15</v>
      </c>
      <c r="AJ160">
        <v>150</v>
      </c>
      <c r="AM160">
        <v>589</v>
      </c>
      <c r="AS160">
        <v>42</v>
      </c>
      <c r="AT160">
        <v>52</v>
      </c>
      <c r="AU160">
        <v>50</v>
      </c>
      <c r="AV160">
        <v>88</v>
      </c>
      <c r="AW160">
        <v>6</v>
      </c>
      <c r="AX160">
        <v>791</v>
      </c>
      <c r="AZ160">
        <v>177</v>
      </c>
      <c r="BB160">
        <v>136</v>
      </c>
      <c r="BC160">
        <v>18</v>
      </c>
      <c r="BE160">
        <v>1</v>
      </c>
      <c r="BG160">
        <v>19</v>
      </c>
      <c r="BI160">
        <v>202</v>
      </c>
      <c r="BJ160">
        <v>26</v>
      </c>
    </row>
    <row r="161" spans="1:64" x14ac:dyDescent="0.35">
      <c r="A161">
        <v>2019</v>
      </c>
      <c r="B161" t="s">
        <v>37</v>
      </c>
      <c r="C161" t="s">
        <v>38</v>
      </c>
      <c r="D161" s="2">
        <v>883020.80000000005</v>
      </c>
      <c r="E161">
        <v>4173</v>
      </c>
      <c r="H161">
        <v>11259</v>
      </c>
      <c r="I161">
        <v>5601</v>
      </c>
      <c r="J161">
        <v>373</v>
      </c>
      <c r="K161">
        <v>944</v>
      </c>
      <c r="R161">
        <v>40</v>
      </c>
      <c r="Y161">
        <v>4168</v>
      </c>
      <c r="AI161">
        <v>4173</v>
      </c>
      <c r="AL161">
        <v>5601</v>
      </c>
      <c r="AP161">
        <v>11259</v>
      </c>
      <c r="AX161">
        <v>3470</v>
      </c>
    </row>
    <row r="162" spans="1:64" x14ac:dyDescent="0.35">
      <c r="A162">
        <v>2019</v>
      </c>
      <c r="B162" t="s">
        <v>39</v>
      </c>
      <c r="C162" t="s">
        <v>40</v>
      </c>
      <c r="D162" s="2">
        <v>48504</v>
      </c>
    </row>
    <row r="163" spans="1:64" x14ac:dyDescent="0.35">
      <c r="A163">
        <v>2019</v>
      </c>
      <c r="B163" t="s">
        <v>41</v>
      </c>
      <c r="C163" t="s">
        <v>42</v>
      </c>
      <c r="D163" s="2">
        <v>85715.6</v>
      </c>
      <c r="E163">
        <v>188</v>
      </c>
      <c r="F163">
        <v>107</v>
      </c>
      <c r="G163">
        <v>51</v>
      </c>
      <c r="H163">
        <v>749</v>
      </c>
      <c r="I163">
        <v>341</v>
      </c>
      <c r="J163">
        <v>12</v>
      </c>
      <c r="K163">
        <v>2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6</v>
      </c>
      <c r="R163">
        <v>95</v>
      </c>
      <c r="S163">
        <v>0</v>
      </c>
      <c r="T163">
        <v>4</v>
      </c>
      <c r="U163">
        <v>0</v>
      </c>
      <c r="V163">
        <v>106</v>
      </c>
      <c r="W163">
        <v>43</v>
      </c>
      <c r="X163">
        <v>7</v>
      </c>
      <c r="Y163">
        <v>0</v>
      </c>
      <c r="Z163">
        <v>0</v>
      </c>
      <c r="AA163">
        <v>0</v>
      </c>
      <c r="AB163">
        <v>149</v>
      </c>
      <c r="AC163">
        <v>246</v>
      </c>
      <c r="AD163">
        <v>0</v>
      </c>
      <c r="AE163">
        <v>0</v>
      </c>
      <c r="AF163">
        <v>22</v>
      </c>
      <c r="AG163">
        <v>0</v>
      </c>
      <c r="AH163">
        <v>0</v>
      </c>
      <c r="AI163">
        <v>0</v>
      </c>
      <c r="AJ163">
        <v>0</v>
      </c>
      <c r="AK163">
        <v>252</v>
      </c>
      <c r="AL163">
        <v>89</v>
      </c>
      <c r="AM163">
        <v>0</v>
      </c>
      <c r="AN163">
        <v>38</v>
      </c>
      <c r="AO163">
        <v>391</v>
      </c>
      <c r="AP163">
        <v>320</v>
      </c>
      <c r="AS163">
        <v>0</v>
      </c>
      <c r="AT163">
        <v>9</v>
      </c>
      <c r="AU163">
        <v>16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81</v>
      </c>
      <c r="BC163">
        <v>3</v>
      </c>
      <c r="BD163">
        <v>20</v>
      </c>
      <c r="BE163">
        <v>0</v>
      </c>
      <c r="BF163">
        <v>0</v>
      </c>
      <c r="BG163">
        <v>0</v>
      </c>
      <c r="BH163">
        <v>0</v>
      </c>
      <c r="BI163">
        <v>81</v>
      </c>
      <c r="BJ163">
        <v>14</v>
      </c>
      <c r="BK163">
        <v>0</v>
      </c>
      <c r="BL163">
        <v>0</v>
      </c>
    </row>
    <row r="164" spans="1:64" x14ac:dyDescent="0.35">
      <c r="A164">
        <v>2019</v>
      </c>
      <c r="B164" t="s">
        <v>43</v>
      </c>
      <c r="C164" t="s">
        <v>44</v>
      </c>
      <c r="D164" s="2">
        <v>902628.3</v>
      </c>
      <c r="E164">
        <v>3236</v>
      </c>
      <c r="F164">
        <v>2181</v>
      </c>
      <c r="H164">
        <v>69789</v>
      </c>
      <c r="I164">
        <v>12673</v>
      </c>
      <c r="K164">
        <v>1138</v>
      </c>
      <c r="AL164">
        <v>12673</v>
      </c>
      <c r="AO164">
        <v>43830</v>
      </c>
      <c r="AP164">
        <v>25959</v>
      </c>
      <c r="AT164">
        <v>162</v>
      </c>
      <c r="BI164">
        <v>1055</v>
      </c>
    </row>
    <row r="165" spans="1:64" x14ac:dyDescent="0.35">
      <c r="A165">
        <v>2019</v>
      </c>
      <c r="B165" t="s">
        <v>45</v>
      </c>
      <c r="C165" t="s">
        <v>46</v>
      </c>
      <c r="D165" s="2">
        <v>442929.1</v>
      </c>
    </row>
    <row r="166" spans="1:64" x14ac:dyDescent="0.35">
      <c r="A166">
        <v>2019</v>
      </c>
      <c r="B166" t="s">
        <v>47</v>
      </c>
      <c r="C166" t="s">
        <v>48</v>
      </c>
      <c r="D166" s="2">
        <v>62304.1</v>
      </c>
    </row>
    <row r="167" spans="1:64" x14ac:dyDescent="0.35">
      <c r="A167">
        <v>2019</v>
      </c>
      <c r="B167" t="s">
        <v>49</v>
      </c>
      <c r="C167" t="s">
        <v>50</v>
      </c>
      <c r="D167" s="2">
        <v>1444188.8</v>
      </c>
      <c r="J167">
        <v>1300</v>
      </c>
      <c r="Q167">
        <v>464</v>
      </c>
      <c r="R167">
        <v>468</v>
      </c>
    </row>
    <row r="168" spans="1:64" x14ac:dyDescent="0.35">
      <c r="A168">
        <v>2019</v>
      </c>
      <c r="B168" t="s">
        <v>51</v>
      </c>
      <c r="C168" t="s">
        <v>52</v>
      </c>
      <c r="D168" s="2">
        <v>157728.4</v>
      </c>
      <c r="E168">
        <v>732</v>
      </c>
      <c r="F168">
        <v>697</v>
      </c>
      <c r="G168">
        <v>16</v>
      </c>
      <c r="H168">
        <v>1978</v>
      </c>
      <c r="I168">
        <v>767</v>
      </c>
      <c r="J168">
        <v>4</v>
      </c>
      <c r="K168">
        <v>54</v>
      </c>
      <c r="X168">
        <v>7</v>
      </c>
      <c r="AL168">
        <v>767</v>
      </c>
      <c r="AP168">
        <v>1978</v>
      </c>
      <c r="AT168">
        <v>10</v>
      </c>
      <c r="BB168">
        <v>201</v>
      </c>
      <c r="BI168">
        <v>35</v>
      </c>
      <c r="BJ168">
        <v>11</v>
      </c>
    </row>
    <row r="169" spans="1:64" x14ac:dyDescent="0.35">
      <c r="A169">
        <v>2019</v>
      </c>
      <c r="B169" t="s">
        <v>53</v>
      </c>
      <c r="C169" t="s">
        <v>54</v>
      </c>
      <c r="D169" s="2">
        <v>866367.5</v>
      </c>
      <c r="P169">
        <v>38338</v>
      </c>
      <c r="Q169">
        <v>21</v>
      </c>
      <c r="R169">
        <v>12</v>
      </c>
    </row>
    <row r="170" spans="1:64" x14ac:dyDescent="0.35">
      <c r="A170">
        <v>2019</v>
      </c>
      <c r="B170" t="s">
        <v>55</v>
      </c>
      <c r="C170" t="s">
        <v>56</v>
      </c>
      <c r="D170" s="2">
        <v>630365.19999999995</v>
      </c>
    </row>
    <row r="171" spans="1:64" x14ac:dyDescent="0.35">
      <c r="A171">
        <v>2019</v>
      </c>
      <c r="B171" t="s">
        <v>57</v>
      </c>
      <c r="C171" t="s">
        <v>58</v>
      </c>
      <c r="D171" s="2">
        <v>843431.7</v>
      </c>
    </row>
    <row r="172" spans="1:64" x14ac:dyDescent="0.35">
      <c r="A172">
        <v>2019</v>
      </c>
      <c r="B172" t="s">
        <v>59</v>
      </c>
      <c r="C172" t="s">
        <v>60</v>
      </c>
      <c r="D172" s="2">
        <v>14477.1</v>
      </c>
      <c r="E172">
        <v>3290</v>
      </c>
      <c r="J172">
        <v>351</v>
      </c>
      <c r="R172">
        <v>15</v>
      </c>
      <c r="AI172">
        <v>3290</v>
      </c>
    </row>
    <row r="173" spans="1:64" x14ac:dyDescent="0.35">
      <c r="A173">
        <v>2019</v>
      </c>
      <c r="B173" t="s">
        <v>61</v>
      </c>
      <c r="C173" t="s">
        <v>62</v>
      </c>
      <c r="D173" s="2">
        <v>1103037.8</v>
      </c>
      <c r="E173">
        <v>2570</v>
      </c>
      <c r="F173">
        <v>1715</v>
      </c>
      <c r="H173">
        <v>8179</v>
      </c>
      <c r="I173">
        <v>6175</v>
      </c>
      <c r="J173">
        <v>288</v>
      </c>
      <c r="K173">
        <v>385</v>
      </c>
      <c r="L173">
        <v>9444</v>
      </c>
      <c r="N173">
        <v>2</v>
      </c>
      <c r="P173">
        <v>6632</v>
      </c>
      <c r="Q173">
        <v>305</v>
      </c>
      <c r="R173">
        <v>27</v>
      </c>
      <c r="U173">
        <v>123</v>
      </c>
      <c r="X173">
        <v>66</v>
      </c>
      <c r="Z173">
        <v>416</v>
      </c>
      <c r="AB173">
        <v>315</v>
      </c>
      <c r="AC173">
        <v>2789</v>
      </c>
      <c r="AF173">
        <v>2055</v>
      </c>
      <c r="AG173">
        <v>27</v>
      </c>
      <c r="AK173">
        <v>286</v>
      </c>
      <c r="AL173">
        <v>5889</v>
      </c>
      <c r="AO173">
        <v>377</v>
      </c>
      <c r="AP173">
        <v>7802</v>
      </c>
      <c r="AS173">
        <v>745</v>
      </c>
      <c r="AT173">
        <v>76</v>
      </c>
      <c r="AU173">
        <v>165</v>
      </c>
      <c r="AV173">
        <v>605</v>
      </c>
      <c r="AW173">
        <v>399</v>
      </c>
      <c r="AX173">
        <v>16937</v>
      </c>
      <c r="AY173">
        <v>6665</v>
      </c>
      <c r="BB173">
        <v>2261</v>
      </c>
      <c r="BC173">
        <v>93</v>
      </c>
      <c r="BD173">
        <v>302</v>
      </c>
      <c r="BE173">
        <v>11</v>
      </c>
      <c r="BF173">
        <v>393</v>
      </c>
      <c r="BG173">
        <v>8</v>
      </c>
      <c r="BH173">
        <v>414</v>
      </c>
      <c r="BI173">
        <v>855</v>
      </c>
      <c r="BJ173">
        <v>95</v>
      </c>
    </row>
    <row r="174" spans="1:64" x14ac:dyDescent="0.35">
      <c r="A174">
        <v>2019</v>
      </c>
      <c r="B174" t="s">
        <v>63</v>
      </c>
      <c r="C174" t="s">
        <v>64</v>
      </c>
      <c r="D174" s="2">
        <v>70307.7</v>
      </c>
      <c r="E174">
        <v>900</v>
      </c>
      <c r="F174">
        <v>900</v>
      </c>
      <c r="H174">
        <v>5903</v>
      </c>
      <c r="I174">
        <v>5</v>
      </c>
      <c r="J174">
        <v>117</v>
      </c>
      <c r="K174">
        <v>514</v>
      </c>
      <c r="Q174">
        <v>43</v>
      </c>
      <c r="R174">
        <v>137</v>
      </c>
      <c r="S174">
        <v>29</v>
      </c>
      <c r="W174">
        <v>148</v>
      </c>
      <c r="X174">
        <v>19</v>
      </c>
      <c r="AB174">
        <v>291</v>
      </c>
      <c r="AD174">
        <v>3</v>
      </c>
      <c r="AF174">
        <v>503</v>
      </c>
      <c r="AL174">
        <v>5</v>
      </c>
      <c r="AO174">
        <v>44</v>
      </c>
      <c r="AP174">
        <v>5859</v>
      </c>
      <c r="AT174">
        <v>39</v>
      </c>
      <c r="AU174">
        <v>99</v>
      </c>
      <c r="AV174">
        <v>32</v>
      </c>
      <c r="AY174">
        <v>53</v>
      </c>
      <c r="BB174">
        <v>300</v>
      </c>
      <c r="BC174">
        <v>123</v>
      </c>
      <c r="BJ174">
        <v>41</v>
      </c>
    </row>
    <row r="175" spans="1:64" x14ac:dyDescent="0.35">
      <c r="A175">
        <v>2019</v>
      </c>
      <c r="B175" t="s">
        <v>65</v>
      </c>
      <c r="C175" t="s">
        <v>66</v>
      </c>
      <c r="D175" s="2">
        <v>394736.7</v>
      </c>
      <c r="E175">
        <v>1492</v>
      </c>
      <c r="H175">
        <v>10409</v>
      </c>
      <c r="I175">
        <v>1561</v>
      </c>
      <c r="AI175">
        <v>1492</v>
      </c>
      <c r="AM175">
        <v>1561</v>
      </c>
      <c r="AN175">
        <v>10409</v>
      </c>
    </row>
    <row r="176" spans="1:64" x14ac:dyDescent="0.35">
      <c r="A176">
        <v>2019</v>
      </c>
      <c r="B176" t="s">
        <v>67</v>
      </c>
      <c r="C176" t="s">
        <v>68</v>
      </c>
      <c r="D176" s="2">
        <v>535460.80000000005</v>
      </c>
      <c r="E176">
        <v>1435</v>
      </c>
      <c r="F176">
        <v>353</v>
      </c>
      <c r="G176">
        <v>1082</v>
      </c>
      <c r="H176">
        <v>6151</v>
      </c>
      <c r="I176">
        <v>2656</v>
      </c>
      <c r="J176">
        <v>219</v>
      </c>
      <c r="K176">
        <v>188</v>
      </c>
      <c r="L176">
        <v>2663</v>
      </c>
      <c r="M176">
        <v>445</v>
      </c>
      <c r="N176">
        <v>2</v>
      </c>
      <c r="O176">
        <v>12</v>
      </c>
      <c r="P176">
        <v>1116</v>
      </c>
      <c r="Q176">
        <v>0</v>
      </c>
      <c r="R176">
        <v>21</v>
      </c>
      <c r="S176">
        <v>4</v>
      </c>
      <c r="U176">
        <v>155</v>
      </c>
      <c r="W176">
        <v>835</v>
      </c>
      <c r="X176">
        <v>103</v>
      </c>
      <c r="Y176">
        <v>3141</v>
      </c>
      <c r="Z176">
        <v>90</v>
      </c>
      <c r="AB176">
        <v>124</v>
      </c>
      <c r="AC176">
        <v>686</v>
      </c>
      <c r="AD176">
        <v>2112</v>
      </c>
      <c r="AF176">
        <v>715</v>
      </c>
      <c r="AG176">
        <v>1</v>
      </c>
      <c r="AH176">
        <v>123</v>
      </c>
      <c r="AI176">
        <v>0</v>
      </c>
      <c r="AJ176">
        <v>70</v>
      </c>
      <c r="AK176">
        <v>460</v>
      </c>
      <c r="AL176">
        <v>2196</v>
      </c>
      <c r="AM176">
        <v>0</v>
      </c>
      <c r="AN176">
        <v>0</v>
      </c>
      <c r="AO176">
        <v>3058</v>
      </c>
      <c r="AP176">
        <v>3093</v>
      </c>
      <c r="AQ176">
        <v>1981</v>
      </c>
      <c r="AR176">
        <v>600</v>
      </c>
      <c r="AS176">
        <v>3</v>
      </c>
      <c r="AT176">
        <v>116</v>
      </c>
      <c r="AU176">
        <v>1</v>
      </c>
      <c r="AV176">
        <v>1552</v>
      </c>
      <c r="AW176">
        <v>3647</v>
      </c>
      <c r="AX176">
        <v>1722</v>
      </c>
      <c r="AY176">
        <v>2352</v>
      </c>
      <c r="AZ176">
        <v>12281</v>
      </c>
      <c r="BB176">
        <v>45</v>
      </c>
      <c r="BE176">
        <v>41</v>
      </c>
      <c r="BF176">
        <v>16</v>
      </c>
      <c r="BH176">
        <v>402</v>
      </c>
      <c r="BI176">
        <v>1082</v>
      </c>
      <c r="BJ176">
        <v>188</v>
      </c>
    </row>
    <row r="177" spans="1:64" x14ac:dyDescent="0.35">
      <c r="A177">
        <v>2019</v>
      </c>
      <c r="B177" t="s">
        <v>69</v>
      </c>
      <c r="C177" t="s">
        <v>70</v>
      </c>
      <c r="D177" s="2">
        <v>1804.7</v>
      </c>
      <c r="E177">
        <v>220</v>
      </c>
      <c r="J177">
        <v>42</v>
      </c>
      <c r="Q177">
        <v>37</v>
      </c>
      <c r="R177">
        <v>14</v>
      </c>
      <c r="AI177">
        <v>220</v>
      </c>
      <c r="BE177">
        <v>4</v>
      </c>
      <c r="BJ177">
        <v>35</v>
      </c>
    </row>
    <row r="178" spans="1:64" x14ac:dyDescent="0.35">
      <c r="A178">
        <v>2019</v>
      </c>
      <c r="B178" t="s">
        <v>71</v>
      </c>
      <c r="C178" t="s">
        <v>72</v>
      </c>
      <c r="D178" s="2">
        <v>254698.9</v>
      </c>
      <c r="E178">
        <v>256</v>
      </c>
      <c r="F178">
        <v>231</v>
      </c>
      <c r="G178">
        <v>10</v>
      </c>
      <c r="H178">
        <v>4311</v>
      </c>
      <c r="I178">
        <v>2373</v>
      </c>
      <c r="J178">
        <v>7</v>
      </c>
      <c r="K178">
        <v>164</v>
      </c>
      <c r="P178">
        <v>15000</v>
      </c>
      <c r="Q178">
        <v>140</v>
      </c>
      <c r="R178">
        <v>25</v>
      </c>
      <c r="W178">
        <v>121</v>
      </c>
      <c r="X178">
        <v>3</v>
      </c>
      <c r="AB178">
        <v>36</v>
      </c>
      <c r="AC178">
        <v>93</v>
      </c>
      <c r="AE178">
        <v>342</v>
      </c>
      <c r="AH178">
        <v>64</v>
      </c>
      <c r="AK178">
        <v>1951</v>
      </c>
      <c r="AL178">
        <v>422</v>
      </c>
      <c r="AO178">
        <v>3492</v>
      </c>
      <c r="AP178">
        <v>819</v>
      </c>
      <c r="AS178">
        <v>130</v>
      </c>
      <c r="AT178">
        <v>3</v>
      </c>
      <c r="AU178">
        <v>15</v>
      </c>
      <c r="AY178">
        <v>319</v>
      </c>
      <c r="BB178">
        <v>213</v>
      </c>
      <c r="BC178">
        <v>8</v>
      </c>
      <c r="BE178">
        <v>1</v>
      </c>
      <c r="BI178">
        <v>25</v>
      </c>
      <c r="BJ178">
        <v>9</v>
      </c>
    </row>
    <row r="179" spans="1:64" x14ac:dyDescent="0.35">
      <c r="A179">
        <v>2019</v>
      </c>
      <c r="B179" t="s">
        <v>73</v>
      </c>
      <c r="C179" t="s">
        <v>74</v>
      </c>
      <c r="D179" s="2">
        <v>1253306.6000000001</v>
      </c>
      <c r="E179">
        <v>46393</v>
      </c>
      <c r="H179">
        <v>64638</v>
      </c>
      <c r="J179">
        <v>6365</v>
      </c>
      <c r="N179">
        <v>3676</v>
      </c>
      <c r="O179">
        <v>2</v>
      </c>
      <c r="S179">
        <v>3555</v>
      </c>
      <c r="T179">
        <v>140</v>
      </c>
      <c r="W179">
        <v>3881</v>
      </c>
      <c r="AF179">
        <v>9939</v>
      </c>
      <c r="AI179">
        <v>46393</v>
      </c>
      <c r="AN179">
        <v>64638</v>
      </c>
      <c r="AS179">
        <v>226</v>
      </c>
      <c r="AU179">
        <v>3830</v>
      </c>
      <c r="BC179">
        <v>7908</v>
      </c>
      <c r="BD179">
        <v>202</v>
      </c>
      <c r="BF179">
        <v>8742</v>
      </c>
    </row>
    <row r="180" spans="1:64" x14ac:dyDescent="0.35">
      <c r="A180">
        <v>2019</v>
      </c>
      <c r="B180" t="s">
        <v>75</v>
      </c>
      <c r="C180" t="s">
        <v>76</v>
      </c>
      <c r="D180" s="2">
        <v>303184.59999999998</v>
      </c>
      <c r="E180">
        <v>342</v>
      </c>
      <c r="F180">
        <v>274</v>
      </c>
      <c r="G180">
        <v>9</v>
      </c>
      <c r="H180">
        <v>3714</v>
      </c>
      <c r="I180">
        <v>2380</v>
      </c>
      <c r="J180">
        <v>20</v>
      </c>
      <c r="K180">
        <v>98</v>
      </c>
      <c r="N180">
        <v>0</v>
      </c>
      <c r="O180">
        <v>9</v>
      </c>
      <c r="P180">
        <v>850</v>
      </c>
      <c r="Q180">
        <v>96</v>
      </c>
      <c r="W180">
        <v>8</v>
      </c>
      <c r="X180">
        <v>8</v>
      </c>
      <c r="AB180">
        <v>13</v>
      </c>
      <c r="AF180">
        <v>485</v>
      </c>
      <c r="AH180">
        <v>850</v>
      </c>
      <c r="AK180">
        <v>2000</v>
      </c>
      <c r="AL180">
        <v>380</v>
      </c>
      <c r="AO180">
        <v>3212</v>
      </c>
      <c r="AP180">
        <v>502</v>
      </c>
      <c r="AS180">
        <v>168</v>
      </c>
      <c r="AT180">
        <v>9</v>
      </c>
      <c r="AU180">
        <v>13</v>
      </c>
      <c r="AV180">
        <v>20</v>
      </c>
      <c r="AY180">
        <v>580</v>
      </c>
      <c r="BA180">
        <v>5870</v>
      </c>
      <c r="BB180">
        <v>253</v>
      </c>
      <c r="BC180">
        <v>11</v>
      </c>
      <c r="BE180">
        <v>3</v>
      </c>
      <c r="BI180">
        <v>68</v>
      </c>
      <c r="BJ180">
        <v>14</v>
      </c>
      <c r="BK180">
        <v>0</v>
      </c>
      <c r="BL180">
        <v>0</v>
      </c>
    </row>
    <row r="181" spans="1:64" x14ac:dyDescent="0.35">
      <c r="A181">
        <v>2019</v>
      </c>
      <c r="B181" t="s">
        <v>77</v>
      </c>
      <c r="C181" t="s">
        <v>78</v>
      </c>
      <c r="D181" s="2">
        <v>176455.7</v>
      </c>
    </row>
    <row r="182" spans="1:64" x14ac:dyDescent="0.35">
      <c r="A182">
        <v>2019</v>
      </c>
      <c r="B182" t="s">
        <v>79</v>
      </c>
      <c r="C182" t="s">
        <v>80</v>
      </c>
      <c r="D182" s="2">
        <v>1041927.9</v>
      </c>
      <c r="E182">
        <v>888</v>
      </c>
      <c r="AI182">
        <v>888</v>
      </c>
    </row>
    <row r="183" spans="1:64" x14ac:dyDescent="0.35">
      <c r="A183">
        <v>2019</v>
      </c>
      <c r="B183" t="s">
        <v>81</v>
      </c>
      <c r="C183" t="s">
        <v>82</v>
      </c>
      <c r="D183" s="2">
        <v>1595456</v>
      </c>
      <c r="J183">
        <v>310</v>
      </c>
      <c r="P183">
        <v>179000</v>
      </c>
      <c r="Q183">
        <v>900</v>
      </c>
      <c r="R183">
        <v>30</v>
      </c>
    </row>
    <row r="184" spans="1:64" x14ac:dyDescent="0.35">
      <c r="A184">
        <v>2019</v>
      </c>
      <c r="B184" t="s">
        <v>83</v>
      </c>
      <c r="C184" t="s">
        <v>84</v>
      </c>
      <c r="D184" s="2">
        <v>641968.30000000005</v>
      </c>
      <c r="E184">
        <v>4386</v>
      </c>
      <c r="H184">
        <v>23035</v>
      </c>
      <c r="I184">
        <v>3223</v>
      </c>
      <c r="J184">
        <v>180</v>
      </c>
      <c r="K184">
        <v>856</v>
      </c>
      <c r="P184">
        <v>1846</v>
      </c>
      <c r="Q184">
        <v>390</v>
      </c>
      <c r="W184">
        <v>3207</v>
      </c>
      <c r="AB184">
        <v>929</v>
      </c>
      <c r="AE184">
        <v>2045</v>
      </c>
      <c r="AF184">
        <v>18</v>
      </c>
      <c r="AI184">
        <v>4386</v>
      </c>
      <c r="AL184">
        <v>3223</v>
      </c>
      <c r="AP184">
        <v>23035</v>
      </c>
      <c r="AY184">
        <v>4562</v>
      </c>
      <c r="BB184">
        <v>1312</v>
      </c>
      <c r="BC184">
        <v>864</v>
      </c>
    </row>
    <row r="185" spans="1:64" x14ac:dyDescent="0.35">
      <c r="A185">
        <v>2019</v>
      </c>
      <c r="B185" t="s">
        <v>85</v>
      </c>
      <c r="C185" t="s">
        <v>86</v>
      </c>
      <c r="D185" s="2">
        <v>483729.8</v>
      </c>
      <c r="J185">
        <v>248</v>
      </c>
      <c r="Q185">
        <v>329</v>
      </c>
      <c r="R185">
        <v>25</v>
      </c>
    </row>
    <row r="186" spans="1:64" x14ac:dyDescent="0.35">
      <c r="A186">
        <v>2019</v>
      </c>
      <c r="B186" t="s">
        <v>87</v>
      </c>
      <c r="C186" t="s">
        <v>88</v>
      </c>
      <c r="D186" s="2">
        <v>101446.8</v>
      </c>
      <c r="E186">
        <v>248</v>
      </c>
      <c r="AI186">
        <v>248</v>
      </c>
      <c r="BE186">
        <v>34</v>
      </c>
      <c r="BJ186">
        <v>46</v>
      </c>
    </row>
    <row r="187" spans="1:64" x14ac:dyDescent="0.35">
      <c r="A187">
        <v>2019</v>
      </c>
      <c r="B187" t="s">
        <v>89</v>
      </c>
      <c r="C187" t="s">
        <v>90</v>
      </c>
      <c r="D187" s="2">
        <v>266152.90000000002</v>
      </c>
      <c r="E187">
        <v>627</v>
      </c>
      <c r="F187">
        <v>230</v>
      </c>
      <c r="H187">
        <v>2134</v>
      </c>
      <c r="I187">
        <v>1619</v>
      </c>
      <c r="K187">
        <v>222</v>
      </c>
      <c r="L187">
        <v>884</v>
      </c>
      <c r="N187">
        <v>35</v>
      </c>
      <c r="O187">
        <v>16</v>
      </c>
      <c r="Q187">
        <v>25</v>
      </c>
      <c r="R187">
        <v>2</v>
      </c>
      <c r="S187">
        <v>1</v>
      </c>
      <c r="T187">
        <v>2</v>
      </c>
      <c r="U187">
        <v>17</v>
      </c>
      <c r="V187">
        <v>332</v>
      </c>
      <c r="W187">
        <v>21</v>
      </c>
      <c r="X187">
        <v>48</v>
      </c>
      <c r="Y187">
        <v>3845</v>
      </c>
      <c r="AB187">
        <v>139</v>
      </c>
      <c r="AE187">
        <v>195</v>
      </c>
      <c r="AF187">
        <v>518</v>
      </c>
      <c r="AG187">
        <v>14</v>
      </c>
      <c r="AK187">
        <v>834</v>
      </c>
      <c r="AL187">
        <v>785</v>
      </c>
      <c r="AO187">
        <v>899</v>
      </c>
      <c r="AP187">
        <v>1235</v>
      </c>
      <c r="AS187">
        <v>5</v>
      </c>
      <c r="AT187">
        <v>45</v>
      </c>
      <c r="AU187">
        <v>4</v>
      </c>
      <c r="AV187">
        <v>236</v>
      </c>
      <c r="AW187">
        <v>1353</v>
      </c>
      <c r="AX187">
        <v>1948</v>
      </c>
      <c r="AY187">
        <v>817</v>
      </c>
      <c r="BB187">
        <v>32</v>
      </c>
      <c r="BC187">
        <v>117</v>
      </c>
      <c r="BD187">
        <v>58</v>
      </c>
      <c r="BE187">
        <v>5</v>
      </c>
      <c r="BF187">
        <v>61</v>
      </c>
      <c r="BG187">
        <v>41</v>
      </c>
      <c r="BH187">
        <v>21</v>
      </c>
      <c r="BI187">
        <v>397</v>
      </c>
      <c r="BJ187">
        <v>63</v>
      </c>
    </row>
    <row r="188" spans="1:64" x14ac:dyDescent="0.35">
      <c r="A188">
        <v>2019</v>
      </c>
      <c r="B188" t="s">
        <v>91</v>
      </c>
      <c r="C188" t="s">
        <v>92</v>
      </c>
      <c r="D188" s="2">
        <v>23881.9</v>
      </c>
    </row>
    <row r="189" spans="1:64" x14ac:dyDescent="0.35">
      <c r="A189">
        <v>2019</v>
      </c>
      <c r="B189" t="s">
        <v>93</v>
      </c>
      <c r="C189" t="s">
        <v>94</v>
      </c>
      <c r="D189" s="2">
        <v>2192621.7000000002</v>
      </c>
    </row>
    <row r="190" spans="1:64" x14ac:dyDescent="0.35">
      <c r="A190">
        <v>2018</v>
      </c>
      <c r="B190" t="s">
        <v>1</v>
      </c>
      <c r="C190" t="s">
        <v>2</v>
      </c>
      <c r="D190" s="2">
        <v>743373</v>
      </c>
      <c r="E190">
        <v>1684</v>
      </c>
      <c r="F190">
        <v>732</v>
      </c>
      <c r="J190">
        <v>91</v>
      </c>
      <c r="K190">
        <v>239</v>
      </c>
      <c r="Q190">
        <v>185</v>
      </c>
      <c r="R190">
        <v>2</v>
      </c>
      <c r="AF190">
        <v>648</v>
      </c>
      <c r="BI190">
        <v>952</v>
      </c>
    </row>
    <row r="191" spans="1:64" x14ac:dyDescent="0.35">
      <c r="A191">
        <v>2018</v>
      </c>
      <c r="B191" t="s">
        <v>3</v>
      </c>
      <c r="C191" t="s">
        <v>4</v>
      </c>
      <c r="D191" s="2">
        <v>204196.5</v>
      </c>
      <c r="E191">
        <v>335</v>
      </c>
      <c r="F191">
        <v>263</v>
      </c>
      <c r="H191">
        <v>1195</v>
      </c>
      <c r="J191">
        <v>10</v>
      </c>
      <c r="K191">
        <v>36</v>
      </c>
      <c r="P191">
        <v>115</v>
      </c>
      <c r="R191">
        <v>1</v>
      </c>
      <c r="AF191">
        <v>112</v>
      </c>
      <c r="AN191">
        <v>1195</v>
      </c>
      <c r="BI191">
        <v>72</v>
      </c>
    </row>
    <row r="192" spans="1:64" x14ac:dyDescent="0.35">
      <c r="A192">
        <v>2018</v>
      </c>
      <c r="B192" t="s">
        <v>5</v>
      </c>
      <c r="C192" t="s">
        <v>6</v>
      </c>
      <c r="D192" s="2">
        <v>6389.2</v>
      </c>
      <c r="H192">
        <v>406</v>
      </c>
      <c r="AN192">
        <v>406</v>
      </c>
    </row>
    <row r="193" spans="1:62" x14ac:dyDescent="0.35">
      <c r="A193">
        <v>2018</v>
      </c>
      <c r="B193" t="s">
        <v>7</v>
      </c>
      <c r="C193" t="s">
        <v>8</v>
      </c>
      <c r="D193" s="2">
        <v>3612384.5</v>
      </c>
      <c r="H193">
        <v>93326</v>
      </c>
      <c r="J193">
        <v>404</v>
      </c>
      <c r="K193">
        <v>1687</v>
      </c>
      <c r="AF193">
        <v>2934</v>
      </c>
      <c r="AN193">
        <v>41948</v>
      </c>
      <c r="AO193">
        <v>14398</v>
      </c>
      <c r="AP193">
        <v>36980</v>
      </c>
    </row>
    <row r="194" spans="1:62" x14ac:dyDescent="0.35">
      <c r="A194">
        <v>2018</v>
      </c>
      <c r="B194" t="s">
        <v>9</v>
      </c>
      <c r="C194" t="s">
        <v>10</v>
      </c>
      <c r="D194" s="2">
        <v>3612346.7</v>
      </c>
      <c r="E194">
        <v>8395</v>
      </c>
      <c r="F194">
        <v>5867</v>
      </c>
      <c r="H194">
        <v>61772</v>
      </c>
      <c r="I194">
        <v>16159</v>
      </c>
      <c r="J194">
        <v>1889</v>
      </c>
      <c r="K194">
        <v>10752</v>
      </c>
      <c r="P194">
        <v>37259</v>
      </c>
      <c r="AF194">
        <v>10450</v>
      </c>
      <c r="AL194">
        <v>16159</v>
      </c>
      <c r="AP194">
        <v>61772</v>
      </c>
      <c r="AT194">
        <v>200</v>
      </c>
      <c r="AV194">
        <v>36</v>
      </c>
      <c r="BI194">
        <v>2528</v>
      </c>
    </row>
    <row r="195" spans="1:62" x14ac:dyDescent="0.35">
      <c r="A195">
        <v>2018</v>
      </c>
      <c r="B195" t="s">
        <v>11</v>
      </c>
      <c r="C195" t="s">
        <v>12</v>
      </c>
      <c r="D195" s="2">
        <v>7300350.5</v>
      </c>
      <c r="E195">
        <v>74543</v>
      </c>
      <c r="F195">
        <v>71508</v>
      </c>
      <c r="H195">
        <v>110105</v>
      </c>
      <c r="I195">
        <v>71237</v>
      </c>
      <c r="J195">
        <v>4358</v>
      </c>
      <c r="K195">
        <v>24668</v>
      </c>
      <c r="N195">
        <v>56</v>
      </c>
      <c r="P195">
        <v>116454</v>
      </c>
      <c r="Q195">
        <v>19269</v>
      </c>
      <c r="R195">
        <v>6165</v>
      </c>
      <c r="T195">
        <v>1029</v>
      </c>
      <c r="X195">
        <v>370</v>
      </c>
      <c r="AB195">
        <v>2578</v>
      </c>
      <c r="AE195">
        <v>29246</v>
      </c>
      <c r="AF195">
        <v>26677</v>
      </c>
      <c r="AL195">
        <v>71237</v>
      </c>
      <c r="AP195">
        <v>110105</v>
      </c>
      <c r="AT195">
        <v>404</v>
      </c>
      <c r="AU195">
        <v>4626</v>
      </c>
      <c r="BB195">
        <v>5793</v>
      </c>
      <c r="BC195">
        <v>4793</v>
      </c>
      <c r="BD195">
        <v>360</v>
      </c>
      <c r="BE195">
        <v>116</v>
      </c>
      <c r="BI195">
        <v>3035</v>
      </c>
    </row>
    <row r="196" spans="1:62" x14ac:dyDescent="0.35">
      <c r="A196">
        <v>2018</v>
      </c>
      <c r="B196" t="s">
        <v>13</v>
      </c>
      <c r="C196" t="s">
        <v>14</v>
      </c>
      <c r="D196" s="2">
        <v>63976.2</v>
      </c>
      <c r="E196">
        <v>1368</v>
      </c>
      <c r="F196">
        <v>570</v>
      </c>
      <c r="H196">
        <v>6085</v>
      </c>
      <c r="J196">
        <v>40</v>
      </c>
      <c r="K196">
        <v>227</v>
      </c>
      <c r="AF196">
        <v>439</v>
      </c>
      <c r="AN196">
        <v>6085</v>
      </c>
      <c r="BI196">
        <v>798</v>
      </c>
    </row>
    <row r="197" spans="1:62" x14ac:dyDescent="0.35">
      <c r="A197">
        <v>2018</v>
      </c>
      <c r="B197" t="s">
        <v>15</v>
      </c>
      <c r="C197" t="s">
        <v>16</v>
      </c>
      <c r="D197" s="2">
        <v>143140.70000000001</v>
      </c>
      <c r="E197">
        <v>850</v>
      </c>
      <c r="F197">
        <v>487</v>
      </c>
      <c r="H197">
        <v>4066</v>
      </c>
      <c r="I197">
        <v>671</v>
      </c>
      <c r="J197">
        <v>112</v>
      </c>
      <c r="K197">
        <v>78</v>
      </c>
      <c r="W197">
        <v>5</v>
      </c>
      <c r="AL197">
        <v>671</v>
      </c>
      <c r="AN197">
        <v>3605</v>
      </c>
      <c r="AP197">
        <v>461</v>
      </c>
      <c r="AQ197">
        <v>11</v>
      </c>
      <c r="AR197">
        <v>80</v>
      </c>
      <c r="BI197">
        <v>363</v>
      </c>
    </row>
    <row r="198" spans="1:62" x14ac:dyDescent="0.35">
      <c r="A198">
        <v>2018</v>
      </c>
      <c r="B198" t="s">
        <v>17</v>
      </c>
      <c r="C198" t="s">
        <v>18</v>
      </c>
      <c r="D198" s="2">
        <v>30300.3</v>
      </c>
      <c r="E198">
        <v>278</v>
      </c>
      <c r="F198">
        <v>211</v>
      </c>
      <c r="H198">
        <v>4706</v>
      </c>
      <c r="J198">
        <v>74</v>
      </c>
      <c r="K198">
        <v>281</v>
      </c>
      <c r="P198">
        <v>6324</v>
      </c>
      <c r="AF198">
        <v>370</v>
      </c>
      <c r="AO198">
        <v>1029</v>
      </c>
      <c r="AP198">
        <v>3677</v>
      </c>
      <c r="BI198">
        <v>67</v>
      </c>
    </row>
    <row r="199" spans="1:62" x14ac:dyDescent="0.35">
      <c r="A199">
        <v>2018</v>
      </c>
      <c r="B199" t="s">
        <v>19</v>
      </c>
      <c r="C199" t="s">
        <v>20</v>
      </c>
      <c r="D199" s="2">
        <v>59244.9</v>
      </c>
      <c r="E199">
        <v>998</v>
      </c>
      <c r="F199">
        <v>815</v>
      </c>
      <c r="H199">
        <v>6866</v>
      </c>
      <c r="J199">
        <v>159</v>
      </c>
      <c r="K199">
        <v>398</v>
      </c>
      <c r="P199">
        <v>14508</v>
      </c>
      <c r="AF199">
        <v>205</v>
      </c>
      <c r="AO199">
        <v>2180</v>
      </c>
      <c r="AP199">
        <v>4686</v>
      </c>
      <c r="BI199">
        <v>183</v>
      </c>
    </row>
    <row r="200" spans="1:62" x14ac:dyDescent="0.35">
      <c r="A200">
        <v>2018</v>
      </c>
      <c r="B200" t="s">
        <v>21</v>
      </c>
      <c r="C200" t="s">
        <v>22</v>
      </c>
      <c r="D200" s="2">
        <v>1036361.6</v>
      </c>
      <c r="E200">
        <v>72604</v>
      </c>
      <c r="F200">
        <v>32774</v>
      </c>
      <c r="G200">
        <v>19815</v>
      </c>
      <c r="H200">
        <v>56411</v>
      </c>
      <c r="I200">
        <v>8948</v>
      </c>
      <c r="J200">
        <v>15437</v>
      </c>
      <c r="K200">
        <v>18807</v>
      </c>
      <c r="L200">
        <v>25611</v>
      </c>
      <c r="O200">
        <v>515</v>
      </c>
      <c r="Q200">
        <v>46</v>
      </c>
      <c r="R200">
        <v>729</v>
      </c>
      <c r="S200">
        <v>406</v>
      </c>
      <c r="U200">
        <v>240</v>
      </c>
      <c r="W200">
        <v>1258</v>
      </c>
      <c r="X200">
        <v>2960</v>
      </c>
      <c r="Z200">
        <v>653</v>
      </c>
      <c r="AB200">
        <v>6245</v>
      </c>
      <c r="AC200">
        <v>900</v>
      </c>
      <c r="AD200">
        <v>2148</v>
      </c>
      <c r="AE200">
        <v>15238</v>
      </c>
      <c r="AF200">
        <v>136</v>
      </c>
      <c r="AG200">
        <v>107</v>
      </c>
      <c r="AJ200">
        <v>168</v>
      </c>
      <c r="AK200">
        <v>209</v>
      </c>
      <c r="AL200">
        <v>8739</v>
      </c>
      <c r="AO200">
        <v>11238</v>
      </c>
      <c r="AP200">
        <v>45173</v>
      </c>
      <c r="AT200">
        <v>3114</v>
      </c>
      <c r="AU200">
        <v>1533</v>
      </c>
      <c r="AV200">
        <v>3792</v>
      </c>
      <c r="AW200">
        <v>6184</v>
      </c>
      <c r="AX200">
        <v>75033</v>
      </c>
      <c r="AY200">
        <v>365</v>
      </c>
      <c r="BA200">
        <v>42507</v>
      </c>
      <c r="BB200">
        <v>880</v>
      </c>
      <c r="BC200">
        <v>1751</v>
      </c>
      <c r="BD200">
        <v>220</v>
      </c>
      <c r="BE200">
        <v>1192</v>
      </c>
      <c r="BF200">
        <v>4403</v>
      </c>
      <c r="BI200">
        <v>39830</v>
      </c>
      <c r="BJ200">
        <v>8957</v>
      </c>
    </row>
    <row r="201" spans="1:62" x14ac:dyDescent="0.35">
      <c r="A201">
        <v>2018</v>
      </c>
      <c r="B201" t="s">
        <v>23</v>
      </c>
      <c r="C201" t="s">
        <v>24</v>
      </c>
      <c r="D201" s="2">
        <v>1224269.3</v>
      </c>
      <c r="E201">
        <v>6593</v>
      </c>
      <c r="F201">
        <v>3043</v>
      </c>
      <c r="H201">
        <v>12554</v>
      </c>
      <c r="J201">
        <v>1652</v>
      </c>
      <c r="K201">
        <v>2302</v>
      </c>
      <c r="P201">
        <v>1680</v>
      </c>
      <c r="AF201">
        <v>98</v>
      </c>
      <c r="AO201">
        <v>3237</v>
      </c>
      <c r="AP201">
        <v>9317</v>
      </c>
      <c r="BI201">
        <v>3550</v>
      </c>
    </row>
    <row r="202" spans="1:62" x14ac:dyDescent="0.35">
      <c r="A202">
        <v>2018</v>
      </c>
      <c r="B202" t="s">
        <v>25</v>
      </c>
      <c r="C202" t="s">
        <v>26</v>
      </c>
      <c r="D202" s="2">
        <v>442748.4</v>
      </c>
      <c r="E202">
        <v>908</v>
      </c>
      <c r="F202">
        <v>346</v>
      </c>
      <c r="G202">
        <v>13</v>
      </c>
      <c r="H202">
        <v>3410</v>
      </c>
      <c r="I202">
        <v>1055</v>
      </c>
      <c r="J202">
        <v>12</v>
      </c>
      <c r="K202">
        <v>306</v>
      </c>
      <c r="L202">
        <v>4463</v>
      </c>
      <c r="W202">
        <v>255</v>
      </c>
      <c r="X202">
        <v>47</v>
      </c>
      <c r="AB202">
        <v>137</v>
      </c>
      <c r="AF202">
        <v>668</v>
      </c>
      <c r="AL202">
        <v>1055</v>
      </c>
      <c r="AP202">
        <v>3410</v>
      </c>
      <c r="AT202">
        <v>76</v>
      </c>
      <c r="AV202">
        <v>334</v>
      </c>
      <c r="AY202">
        <v>5086</v>
      </c>
      <c r="BB202">
        <v>45</v>
      </c>
      <c r="BC202">
        <v>58</v>
      </c>
      <c r="BE202">
        <v>6</v>
      </c>
      <c r="BH202">
        <v>102</v>
      </c>
      <c r="BI202">
        <v>562</v>
      </c>
      <c r="BJ202">
        <v>8</v>
      </c>
    </row>
    <row r="203" spans="1:62" x14ac:dyDescent="0.35">
      <c r="A203">
        <v>2018</v>
      </c>
      <c r="B203" t="s">
        <v>27</v>
      </c>
      <c r="C203" t="s">
        <v>28</v>
      </c>
      <c r="D203" s="2">
        <v>62387.4</v>
      </c>
      <c r="E203">
        <v>925</v>
      </c>
      <c r="F203">
        <v>807</v>
      </c>
      <c r="H203">
        <v>7645</v>
      </c>
      <c r="J203">
        <v>96</v>
      </c>
      <c r="K203">
        <v>156</v>
      </c>
      <c r="L203">
        <v>534</v>
      </c>
      <c r="M203">
        <v>927</v>
      </c>
      <c r="N203">
        <v>9</v>
      </c>
      <c r="O203">
        <v>16</v>
      </c>
      <c r="Q203">
        <v>27</v>
      </c>
      <c r="R203">
        <v>27</v>
      </c>
      <c r="S203">
        <v>40</v>
      </c>
      <c r="U203">
        <v>36</v>
      </c>
      <c r="Y203">
        <v>1563</v>
      </c>
      <c r="Z203">
        <v>24</v>
      </c>
      <c r="AB203">
        <v>134</v>
      </c>
      <c r="AC203">
        <v>156</v>
      </c>
      <c r="AD203">
        <v>63</v>
      </c>
      <c r="AE203">
        <v>318</v>
      </c>
      <c r="AF203">
        <v>160</v>
      </c>
      <c r="AH203">
        <v>73</v>
      </c>
      <c r="AP203">
        <v>7645</v>
      </c>
      <c r="AS203">
        <v>3</v>
      </c>
      <c r="AU203">
        <v>5</v>
      </c>
      <c r="AW203">
        <v>1248</v>
      </c>
      <c r="AX203">
        <v>3342</v>
      </c>
      <c r="AY203">
        <v>10</v>
      </c>
      <c r="BB203">
        <v>435</v>
      </c>
      <c r="BC203">
        <v>42</v>
      </c>
      <c r="BF203">
        <v>16</v>
      </c>
      <c r="BI203">
        <v>118</v>
      </c>
    </row>
    <row r="204" spans="1:62" x14ac:dyDescent="0.35">
      <c r="A204">
        <v>2018</v>
      </c>
      <c r="B204" t="s">
        <v>29</v>
      </c>
      <c r="C204" t="s">
        <v>30</v>
      </c>
      <c r="D204" s="2">
        <v>421562</v>
      </c>
      <c r="H204">
        <v>9156</v>
      </c>
      <c r="J204">
        <v>14</v>
      </c>
      <c r="K204">
        <v>119</v>
      </c>
      <c r="P204">
        <v>11845</v>
      </c>
      <c r="AF204">
        <v>1071</v>
      </c>
      <c r="AN204">
        <v>9156</v>
      </c>
      <c r="AT204">
        <v>20</v>
      </c>
      <c r="AV204">
        <v>5</v>
      </c>
      <c r="BJ204">
        <v>20</v>
      </c>
    </row>
    <row r="205" spans="1:62" x14ac:dyDescent="0.35">
      <c r="A205">
        <v>2018</v>
      </c>
      <c r="B205" t="s">
        <v>31</v>
      </c>
      <c r="C205" t="s">
        <v>32</v>
      </c>
      <c r="D205" s="2">
        <v>10880.9</v>
      </c>
      <c r="E205">
        <v>452</v>
      </c>
      <c r="F205">
        <v>165</v>
      </c>
      <c r="H205">
        <v>706</v>
      </c>
      <c r="J205">
        <v>81</v>
      </c>
      <c r="K205">
        <v>172</v>
      </c>
      <c r="P205">
        <v>117</v>
      </c>
      <c r="AF205">
        <v>65</v>
      </c>
      <c r="AN205">
        <v>706</v>
      </c>
      <c r="BI205">
        <v>287</v>
      </c>
      <c r="BJ205">
        <v>12</v>
      </c>
    </row>
    <row r="206" spans="1:62" x14ac:dyDescent="0.35">
      <c r="A206">
        <v>2018</v>
      </c>
      <c r="B206" t="s">
        <v>33</v>
      </c>
      <c r="C206" t="s">
        <v>34</v>
      </c>
      <c r="D206" s="2">
        <v>903131.8</v>
      </c>
      <c r="E206">
        <v>3259</v>
      </c>
      <c r="F206">
        <v>2400</v>
      </c>
      <c r="H206">
        <v>9156</v>
      </c>
      <c r="K206">
        <v>14</v>
      </c>
      <c r="AF206">
        <v>241</v>
      </c>
      <c r="AN206">
        <v>9156</v>
      </c>
      <c r="BI206">
        <v>859</v>
      </c>
    </row>
    <row r="207" spans="1:62" x14ac:dyDescent="0.35">
      <c r="A207">
        <v>2018</v>
      </c>
      <c r="B207" t="s">
        <v>35</v>
      </c>
      <c r="C207" t="s">
        <v>36</v>
      </c>
      <c r="D207" s="2">
        <v>661394.80000000005</v>
      </c>
      <c r="E207">
        <v>803</v>
      </c>
      <c r="F207">
        <v>646</v>
      </c>
      <c r="H207">
        <v>4799</v>
      </c>
      <c r="J207">
        <v>3</v>
      </c>
      <c r="K207">
        <v>269</v>
      </c>
      <c r="AF207">
        <v>749</v>
      </c>
      <c r="AN207">
        <v>4799</v>
      </c>
      <c r="BI207">
        <v>157</v>
      </c>
    </row>
    <row r="208" spans="1:62" x14ac:dyDescent="0.35">
      <c r="A208">
        <v>2018</v>
      </c>
      <c r="B208" t="s">
        <v>37</v>
      </c>
      <c r="C208" t="s">
        <v>38</v>
      </c>
      <c r="D208" s="2">
        <v>875669</v>
      </c>
      <c r="E208">
        <v>5602</v>
      </c>
      <c r="F208">
        <v>4246</v>
      </c>
      <c r="H208">
        <v>15163</v>
      </c>
      <c r="J208">
        <v>506</v>
      </c>
      <c r="K208">
        <v>2495</v>
      </c>
      <c r="P208">
        <v>14556</v>
      </c>
      <c r="AO208">
        <v>3595</v>
      </c>
      <c r="AP208">
        <v>11568</v>
      </c>
      <c r="BI208">
        <v>1356</v>
      </c>
    </row>
    <row r="209" spans="1:64" x14ac:dyDescent="0.35">
      <c r="A209">
        <v>2018</v>
      </c>
      <c r="B209" t="s">
        <v>39</v>
      </c>
      <c r="C209" t="s">
        <v>40</v>
      </c>
      <c r="D209" s="2">
        <v>47969.599999999999</v>
      </c>
      <c r="K209">
        <v>10</v>
      </c>
      <c r="AF209">
        <v>2</v>
      </c>
    </row>
    <row r="210" spans="1:64" x14ac:dyDescent="0.35">
      <c r="A210">
        <v>2018</v>
      </c>
      <c r="B210" t="s">
        <v>41</v>
      </c>
      <c r="C210" t="s">
        <v>42</v>
      </c>
      <c r="D210" s="2">
        <v>85148.1</v>
      </c>
      <c r="E210">
        <v>298</v>
      </c>
      <c r="F210">
        <v>181</v>
      </c>
      <c r="H210">
        <v>1498</v>
      </c>
      <c r="J210">
        <v>4</v>
      </c>
      <c r="K210">
        <v>2</v>
      </c>
      <c r="P210">
        <v>1553</v>
      </c>
      <c r="Q210">
        <v>10</v>
      </c>
      <c r="R210">
        <v>7</v>
      </c>
      <c r="AF210">
        <v>138</v>
      </c>
      <c r="AN210">
        <v>1498</v>
      </c>
      <c r="BB210">
        <v>76</v>
      </c>
      <c r="BI210">
        <v>117</v>
      </c>
    </row>
    <row r="211" spans="1:64" x14ac:dyDescent="0.35">
      <c r="A211">
        <v>2018</v>
      </c>
      <c r="B211" t="s">
        <v>43</v>
      </c>
      <c r="C211" t="s">
        <v>44</v>
      </c>
      <c r="D211" s="2">
        <v>889062.6</v>
      </c>
      <c r="E211">
        <v>4406</v>
      </c>
      <c r="F211">
        <v>3316</v>
      </c>
      <c r="H211">
        <v>125024</v>
      </c>
      <c r="I211">
        <v>10489</v>
      </c>
      <c r="J211">
        <v>713</v>
      </c>
      <c r="K211">
        <v>918</v>
      </c>
      <c r="P211">
        <v>15820</v>
      </c>
      <c r="AF211">
        <v>1563</v>
      </c>
      <c r="AL211">
        <v>10489</v>
      </c>
      <c r="AO211">
        <v>64494</v>
      </c>
      <c r="AP211">
        <v>60530</v>
      </c>
      <c r="BI211">
        <v>1090</v>
      </c>
    </row>
    <row r="212" spans="1:64" x14ac:dyDescent="0.35">
      <c r="A212">
        <v>2018</v>
      </c>
      <c r="B212" t="s">
        <v>45</v>
      </c>
      <c r="C212" t="s">
        <v>46</v>
      </c>
      <c r="D212" s="2">
        <v>438506.5</v>
      </c>
      <c r="E212">
        <v>2787</v>
      </c>
      <c r="F212">
        <v>2649</v>
      </c>
      <c r="H212">
        <v>7195</v>
      </c>
      <c r="J212">
        <v>73</v>
      </c>
      <c r="K212">
        <v>255</v>
      </c>
      <c r="P212">
        <v>16567</v>
      </c>
      <c r="AF212">
        <v>181</v>
      </c>
      <c r="AN212">
        <v>7195</v>
      </c>
      <c r="BI212">
        <v>138</v>
      </c>
    </row>
    <row r="213" spans="1:64" x14ac:dyDescent="0.35">
      <c r="A213">
        <v>2018</v>
      </c>
      <c r="B213" t="s">
        <v>47</v>
      </c>
      <c r="C213" t="s">
        <v>48</v>
      </c>
      <c r="D213" s="2">
        <v>61876.9</v>
      </c>
      <c r="E213">
        <v>578</v>
      </c>
      <c r="F213">
        <v>544</v>
      </c>
      <c r="G213">
        <v>21</v>
      </c>
      <c r="H213">
        <v>744</v>
      </c>
      <c r="I213">
        <v>0</v>
      </c>
      <c r="J213">
        <v>0</v>
      </c>
      <c r="K213">
        <v>11</v>
      </c>
      <c r="L213">
        <v>3</v>
      </c>
      <c r="M213">
        <v>15</v>
      </c>
      <c r="N213">
        <v>0</v>
      </c>
      <c r="O213">
        <v>2</v>
      </c>
      <c r="P213">
        <v>3481</v>
      </c>
      <c r="Q213">
        <v>8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1</v>
      </c>
      <c r="Y213">
        <v>0</v>
      </c>
      <c r="Z213">
        <v>1</v>
      </c>
      <c r="AA213">
        <v>0</v>
      </c>
      <c r="AB213">
        <v>17</v>
      </c>
      <c r="AC213">
        <v>0</v>
      </c>
      <c r="AD213">
        <v>0</v>
      </c>
      <c r="AE213">
        <v>0</v>
      </c>
      <c r="AF213">
        <v>53</v>
      </c>
      <c r="AG213">
        <v>0</v>
      </c>
      <c r="AH213">
        <v>1</v>
      </c>
      <c r="AI213">
        <v>0</v>
      </c>
      <c r="AJ213">
        <v>221</v>
      </c>
      <c r="AK213">
        <v>0</v>
      </c>
      <c r="AM213">
        <v>0</v>
      </c>
      <c r="AN213">
        <v>0</v>
      </c>
      <c r="AO213">
        <v>0</v>
      </c>
      <c r="AP213">
        <v>744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18</v>
      </c>
      <c r="BC213">
        <v>15</v>
      </c>
      <c r="BD213">
        <v>0</v>
      </c>
      <c r="BE213">
        <v>0</v>
      </c>
      <c r="BF213">
        <v>2</v>
      </c>
      <c r="BG213">
        <v>0</v>
      </c>
      <c r="BH213">
        <v>53</v>
      </c>
      <c r="BI213">
        <v>34</v>
      </c>
      <c r="BJ213">
        <v>3</v>
      </c>
      <c r="BL213">
        <v>0</v>
      </c>
    </row>
    <row r="214" spans="1:64" x14ac:dyDescent="0.35">
      <c r="A214">
        <v>2018</v>
      </c>
      <c r="B214" t="s">
        <v>49</v>
      </c>
      <c r="C214" t="s">
        <v>50</v>
      </c>
      <c r="D214" s="2">
        <v>1442173.7</v>
      </c>
      <c r="E214">
        <v>8042</v>
      </c>
      <c r="F214">
        <v>5602</v>
      </c>
      <c r="G214">
        <v>2440</v>
      </c>
      <c r="H214">
        <v>59901</v>
      </c>
      <c r="J214">
        <v>841</v>
      </c>
      <c r="K214">
        <v>964</v>
      </c>
      <c r="L214">
        <v>2759</v>
      </c>
      <c r="P214">
        <v>58079</v>
      </c>
      <c r="V214">
        <v>3682</v>
      </c>
      <c r="W214">
        <v>1628</v>
      </c>
      <c r="X214">
        <v>339</v>
      </c>
      <c r="Z214">
        <v>1705</v>
      </c>
      <c r="AB214">
        <v>430</v>
      </c>
      <c r="AH214">
        <v>714</v>
      </c>
      <c r="AO214">
        <v>13198</v>
      </c>
      <c r="AP214">
        <v>46703</v>
      </c>
      <c r="AS214">
        <v>1147</v>
      </c>
      <c r="AT214">
        <v>400</v>
      </c>
      <c r="AV214">
        <v>1112</v>
      </c>
      <c r="AY214">
        <v>21942</v>
      </c>
      <c r="BB214">
        <v>1331</v>
      </c>
      <c r="BE214">
        <v>71</v>
      </c>
      <c r="BI214">
        <v>2440</v>
      </c>
      <c r="BJ214">
        <v>518</v>
      </c>
    </row>
    <row r="215" spans="1:64" x14ac:dyDescent="0.35">
      <c r="A215">
        <v>2018</v>
      </c>
      <c r="B215" t="s">
        <v>51</v>
      </c>
      <c r="C215" t="s">
        <v>52</v>
      </c>
      <c r="D215" s="2">
        <v>156857.29999999999</v>
      </c>
      <c r="E215">
        <v>693</v>
      </c>
      <c r="F215">
        <v>672</v>
      </c>
      <c r="G215">
        <v>6</v>
      </c>
      <c r="H215">
        <v>2263</v>
      </c>
      <c r="I215">
        <v>892</v>
      </c>
      <c r="J215">
        <v>3</v>
      </c>
      <c r="K215">
        <v>93</v>
      </c>
      <c r="P215">
        <v>3391</v>
      </c>
      <c r="X215">
        <v>5</v>
      </c>
      <c r="AL215">
        <v>892</v>
      </c>
      <c r="AP215">
        <v>2263</v>
      </c>
      <c r="AT215">
        <v>6</v>
      </c>
      <c r="BI215">
        <v>21</v>
      </c>
      <c r="BJ215">
        <v>4</v>
      </c>
    </row>
    <row r="216" spans="1:64" x14ac:dyDescent="0.35">
      <c r="A216">
        <v>2018</v>
      </c>
      <c r="B216" t="s">
        <v>53</v>
      </c>
      <c r="C216" t="s">
        <v>54</v>
      </c>
      <c r="D216" s="2">
        <v>853987.6</v>
      </c>
      <c r="H216">
        <v>3833</v>
      </c>
      <c r="I216">
        <v>3994</v>
      </c>
      <c r="J216">
        <v>225</v>
      </c>
      <c r="K216">
        <v>27</v>
      </c>
      <c r="P216">
        <v>35000</v>
      </c>
      <c r="AF216">
        <v>306</v>
      </c>
      <c r="AL216">
        <v>3994</v>
      </c>
      <c r="AP216">
        <v>3833</v>
      </c>
    </row>
    <row r="217" spans="1:64" x14ac:dyDescent="0.35">
      <c r="A217">
        <v>2018</v>
      </c>
      <c r="B217" t="s">
        <v>55</v>
      </c>
      <c r="C217" t="s">
        <v>56</v>
      </c>
      <c r="D217" s="2">
        <v>619407.19999999995</v>
      </c>
      <c r="E217">
        <v>2760</v>
      </c>
      <c r="F217">
        <v>2582</v>
      </c>
      <c r="H217">
        <v>7957</v>
      </c>
      <c r="J217">
        <v>112</v>
      </c>
      <c r="K217">
        <v>387</v>
      </c>
      <c r="P217">
        <v>10016</v>
      </c>
      <c r="AF217">
        <v>542</v>
      </c>
      <c r="AO217">
        <v>6324</v>
      </c>
      <c r="AP217">
        <v>1633</v>
      </c>
      <c r="BB217">
        <v>234</v>
      </c>
      <c r="BI217">
        <v>178</v>
      </c>
    </row>
    <row r="218" spans="1:64" x14ac:dyDescent="0.35">
      <c r="A218">
        <v>2018</v>
      </c>
      <c r="B218" t="s">
        <v>57</v>
      </c>
      <c r="C218" t="s">
        <v>58</v>
      </c>
      <c r="D218" s="2">
        <v>825813.6</v>
      </c>
      <c r="E218">
        <v>2454</v>
      </c>
      <c r="F218">
        <v>1417</v>
      </c>
      <c r="H218">
        <v>5174</v>
      </c>
      <c r="I218">
        <v>3235</v>
      </c>
      <c r="J218">
        <v>30</v>
      </c>
      <c r="K218">
        <v>182</v>
      </c>
      <c r="P218">
        <v>1152</v>
      </c>
      <c r="Q218">
        <v>53</v>
      </c>
      <c r="R218">
        <v>15</v>
      </c>
      <c r="X218">
        <v>61</v>
      </c>
      <c r="AC218">
        <v>13</v>
      </c>
      <c r="AD218">
        <v>1022</v>
      </c>
      <c r="AL218">
        <v>3235</v>
      </c>
      <c r="AP218">
        <v>5174</v>
      </c>
      <c r="AQ218">
        <v>1638</v>
      </c>
      <c r="AS218">
        <v>6</v>
      </c>
      <c r="AT218">
        <v>92</v>
      </c>
      <c r="BE218">
        <v>9</v>
      </c>
      <c r="BI218">
        <v>1037</v>
      </c>
      <c r="BJ218">
        <v>85</v>
      </c>
    </row>
    <row r="219" spans="1:64" x14ac:dyDescent="0.35">
      <c r="A219">
        <v>2018</v>
      </c>
      <c r="B219" t="s">
        <v>59</v>
      </c>
      <c r="C219" t="s">
        <v>60</v>
      </c>
      <c r="D219" s="2">
        <v>14714</v>
      </c>
      <c r="E219">
        <v>2395</v>
      </c>
      <c r="F219">
        <v>1188</v>
      </c>
      <c r="H219">
        <v>4986</v>
      </c>
      <c r="J219">
        <v>466</v>
      </c>
      <c r="K219">
        <v>748</v>
      </c>
      <c r="P219">
        <v>180</v>
      </c>
      <c r="AF219">
        <v>291</v>
      </c>
      <c r="AN219">
        <v>4986</v>
      </c>
      <c r="BI219">
        <v>1207</v>
      </c>
    </row>
    <row r="220" spans="1:64" x14ac:dyDescent="0.35">
      <c r="A220">
        <v>2018</v>
      </c>
      <c r="B220" t="s">
        <v>61</v>
      </c>
      <c r="C220" t="s">
        <v>62</v>
      </c>
      <c r="D220" s="2">
        <v>1081131.1000000001</v>
      </c>
      <c r="E220">
        <v>2473</v>
      </c>
      <c r="F220">
        <v>1695</v>
      </c>
      <c r="H220">
        <v>8153</v>
      </c>
      <c r="I220">
        <v>6021</v>
      </c>
      <c r="J220">
        <v>255</v>
      </c>
      <c r="K220">
        <v>305</v>
      </c>
      <c r="L220">
        <v>7169</v>
      </c>
      <c r="N220">
        <v>3</v>
      </c>
      <c r="P220">
        <v>4787</v>
      </c>
      <c r="Q220">
        <v>39</v>
      </c>
      <c r="R220">
        <v>276</v>
      </c>
      <c r="X220">
        <v>67</v>
      </c>
      <c r="AG220">
        <v>28</v>
      </c>
      <c r="AL220">
        <v>6021</v>
      </c>
      <c r="AN220">
        <v>8153</v>
      </c>
      <c r="AS220">
        <v>620</v>
      </c>
      <c r="AT220">
        <v>49</v>
      </c>
      <c r="AU220">
        <v>150</v>
      </c>
      <c r="BB220">
        <v>1887</v>
      </c>
      <c r="BC220">
        <v>78</v>
      </c>
      <c r="BD220">
        <v>284</v>
      </c>
      <c r="BE220">
        <v>17</v>
      </c>
      <c r="BF220">
        <v>608</v>
      </c>
      <c r="BH220">
        <v>338</v>
      </c>
      <c r="BI220">
        <v>778</v>
      </c>
      <c r="BJ220">
        <v>68</v>
      </c>
    </row>
    <row r="221" spans="1:64" x14ac:dyDescent="0.35">
      <c r="A221">
        <v>2018</v>
      </c>
      <c r="B221" t="s">
        <v>63</v>
      </c>
      <c r="C221" t="s">
        <v>64</v>
      </c>
      <c r="D221" s="2">
        <v>70319.7</v>
      </c>
      <c r="E221">
        <v>806</v>
      </c>
      <c r="F221">
        <v>806</v>
      </c>
      <c r="H221">
        <v>5307</v>
      </c>
      <c r="I221">
        <v>5</v>
      </c>
      <c r="J221">
        <v>87</v>
      </c>
      <c r="K221">
        <v>464</v>
      </c>
      <c r="P221">
        <v>2292</v>
      </c>
      <c r="Q221">
        <v>41</v>
      </c>
      <c r="S221">
        <v>25</v>
      </c>
      <c r="W221">
        <v>134</v>
      </c>
      <c r="X221">
        <v>17</v>
      </c>
      <c r="AD221">
        <v>3</v>
      </c>
      <c r="AE221">
        <v>140</v>
      </c>
      <c r="AL221">
        <v>5</v>
      </c>
      <c r="AO221">
        <v>44</v>
      </c>
      <c r="AP221">
        <v>5263</v>
      </c>
      <c r="AT221">
        <v>35</v>
      </c>
      <c r="AU221">
        <v>84</v>
      </c>
      <c r="AV221">
        <v>27</v>
      </c>
      <c r="AY221">
        <v>52</v>
      </c>
      <c r="BB221">
        <v>226</v>
      </c>
      <c r="BC221">
        <v>118</v>
      </c>
      <c r="BJ221">
        <v>35</v>
      </c>
    </row>
    <row r="222" spans="1:64" x14ac:dyDescent="0.35">
      <c r="A222">
        <v>2018</v>
      </c>
      <c r="B222" t="s">
        <v>65</v>
      </c>
      <c r="C222" t="s">
        <v>66</v>
      </c>
      <c r="D222" s="2">
        <v>388863.1</v>
      </c>
      <c r="E222">
        <v>1648</v>
      </c>
      <c r="F222">
        <v>1114</v>
      </c>
      <c r="H222">
        <v>13345</v>
      </c>
      <c r="I222">
        <v>1471</v>
      </c>
      <c r="J222">
        <v>228</v>
      </c>
      <c r="K222">
        <v>886</v>
      </c>
      <c r="P222">
        <v>45000</v>
      </c>
      <c r="AB222">
        <v>152</v>
      </c>
      <c r="AF222">
        <v>1990</v>
      </c>
      <c r="AM222">
        <v>1471</v>
      </c>
      <c r="AN222">
        <v>13345</v>
      </c>
      <c r="AU222">
        <v>13</v>
      </c>
      <c r="BC222">
        <v>225</v>
      </c>
      <c r="BF222">
        <v>310</v>
      </c>
      <c r="BI222">
        <v>534</v>
      </c>
    </row>
    <row r="223" spans="1:64" x14ac:dyDescent="0.35">
      <c r="A223">
        <v>2018</v>
      </c>
      <c r="B223" t="s">
        <v>67</v>
      </c>
      <c r="C223" t="s">
        <v>68</v>
      </c>
      <c r="D223" s="2">
        <v>526366.6</v>
      </c>
      <c r="P223">
        <v>17417</v>
      </c>
      <c r="AF223">
        <v>328</v>
      </c>
    </row>
    <row r="224" spans="1:64" x14ac:dyDescent="0.35">
      <c r="A224">
        <v>2018</v>
      </c>
      <c r="B224" t="s">
        <v>69</v>
      </c>
      <c r="C224" t="s">
        <v>70</v>
      </c>
      <c r="D224" s="2">
        <v>1833.4</v>
      </c>
      <c r="E224">
        <v>240</v>
      </c>
      <c r="F224">
        <v>125</v>
      </c>
      <c r="H224">
        <v>951</v>
      </c>
      <c r="I224">
        <v>158</v>
      </c>
      <c r="K224">
        <v>124</v>
      </c>
      <c r="X224">
        <v>7</v>
      </c>
      <c r="AF224">
        <v>71</v>
      </c>
      <c r="AL224">
        <v>158</v>
      </c>
      <c r="AP224">
        <v>951</v>
      </c>
      <c r="AQ224">
        <v>321</v>
      </c>
      <c r="AT224">
        <v>11</v>
      </c>
      <c r="AV224">
        <v>4</v>
      </c>
      <c r="BI224">
        <v>115</v>
      </c>
      <c r="BJ224">
        <v>35</v>
      </c>
    </row>
    <row r="225" spans="1:64" x14ac:dyDescent="0.35">
      <c r="A225">
        <v>2018</v>
      </c>
      <c r="B225" t="s">
        <v>71</v>
      </c>
      <c r="C225" t="s">
        <v>72</v>
      </c>
      <c r="D225" s="2">
        <v>252080.8</v>
      </c>
      <c r="E225">
        <v>566</v>
      </c>
      <c r="F225">
        <v>500</v>
      </c>
      <c r="H225">
        <v>5757</v>
      </c>
      <c r="J225">
        <v>15</v>
      </c>
      <c r="K225">
        <v>156</v>
      </c>
      <c r="AF225">
        <v>311</v>
      </c>
      <c r="AN225">
        <v>2344</v>
      </c>
      <c r="AO225">
        <v>2545</v>
      </c>
      <c r="AP225">
        <v>868</v>
      </c>
      <c r="BI225">
        <v>66</v>
      </c>
    </row>
    <row r="226" spans="1:64" x14ac:dyDescent="0.35">
      <c r="A226">
        <v>2018</v>
      </c>
      <c r="B226" t="s">
        <v>73</v>
      </c>
      <c r="C226" t="s">
        <v>74</v>
      </c>
      <c r="D226" s="2">
        <v>1221592.2</v>
      </c>
      <c r="E226">
        <v>43503</v>
      </c>
      <c r="F226">
        <v>29311</v>
      </c>
      <c r="H226">
        <v>70552</v>
      </c>
      <c r="J226">
        <v>6433</v>
      </c>
      <c r="N226">
        <v>3512</v>
      </c>
      <c r="O226">
        <v>2</v>
      </c>
      <c r="P226">
        <v>54180</v>
      </c>
      <c r="S226">
        <v>3422</v>
      </c>
      <c r="T226">
        <v>150</v>
      </c>
      <c r="W226">
        <v>3831</v>
      </c>
      <c r="AB226">
        <v>8878</v>
      </c>
      <c r="AE226">
        <v>5731</v>
      </c>
      <c r="AF226">
        <v>5455</v>
      </c>
      <c r="AN226">
        <v>70552</v>
      </c>
      <c r="AS226">
        <v>230</v>
      </c>
      <c r="AU226">
        <v>3848</v>
      </c>
      <c r="BC226">
        <v>7705</v>
      </c>
      <c r="BD226">
        <v>217</v>
      </c>
      <c r="BF226">
        <v>8565</v>
      </c>
      <c r="BI226">
        <v>14192</v>
      </c>
    </row>
    <row r="227" spans="1:64" x14ac:dyDescent="0.35">
      <c r="A227">
        <v>2018</v>
      </c>
      <c r="B227" t="s">
        <v>75</v>
      </c>
      <c r="C227" t="s">
        <v>76</v>
      </c>
      <c r="D227" s="2">
        <v>323958.40000000002</v>
      </c>
      <c r="E227">
        <v>411</v>
      </c>
      <c r="F227">
        <v>338</v>
      </c>
      <c r="H227">
        <v>3726</v>
      </c>
      <c r="J227">
        <v>32</v>
      </c>
      <c r="K227">
        <v>360</v>
      </c>
      <c r="P227">
        <v>1455</v>
      </c>
      <c r="Q227">
        <v>22</v>
      </c>
      <c r="R227">
        <v>2</v>
      </c>
      <c r="AF227">
        <v>272</v>
      </c>
      <c r="AN227">
        <v>3726</v>
      </c>
      <c r="BI227">
        <v>73</v>
      </c>
    </row>
    <row r="228" spans="1:64" x14ac:dyDescent="0.35">
      <c r="A228">
        <v>2018</v>
      </c>
      <c r="B228" t="s">
        <v>77</v>
      </c>
      <c r="C228" t="s">
        <v>78</v>
      </c>
      <c r="D228" s="2">
        <v>175834.5</v>
      </c>
      <c r="E228">
        <v>544</v>
      </c>
      <c r="F228">
        <v>269</v>
      </c>
      <c r="H228">
        <v>5081</v>
      </c>
      <c r="J228">
        <v>27</v>
      </c>
      <c r="K228">
        <v>157</v>
      </c>
      <c r="AF228">
        <v>320</v>
      </c>
      <c r="AN228">
        <v>5081</v>
      </c>
      <c r="BI228">
        <v>275</v>
      </c>
    </row>
    <row r="229" spans="1:64" x14ac:dyDescent="0.35">
      <c r="A229">
        <v>2018</v>
      </c>
      <c r="B229" t="s">
        <v>79</v>
      </c>
      <c r="C229" t="s">
        <v>80</v>
      </c>
      <c r="D229" s="2">
        <v>1007593.1</v>
      </c>
      <c r="E229">
        <v>818</v>
      </c>
      <c r="H229">
        <v>4107</v>
      </c>
      <c r="I229">
        <v>906</v>
      </c>
      <c r="J229">
        <v>30</v>
      </c>
      <c r="K229">
        <v>60</v>
      </c>
      <c r="X229">
        <v>3</v>
      </c>
      <c r="Y229">
        <v>95</v>
      </c>
      <c r="AD229">
        <v>439</v>
      </c>
      <c r="AF229">
        <v>432</v>
      </c>
      <c r="AI229">
        <v>818</v>
      </c>
      <c r="AK229">
        <v>3</v>
      </c>
      <c r="AL229">
        <v>903</v>
      </c>
      <c r="AO229">
        <v>1709</v>
      </c>
      <c r="AP229">
        <v>2398</v>
      </c>
      <c r="AR229">
        <v>37</v>
      </c>
      <c r="AT229">
        <v>22</v>
      </c>
      <c r="AX229">
        <v>249</v>
      </c>
      <c r="BJ229">
        <v>84</v>
      </c>
    </row>
    <row r="230" spans="1:64" x14ac:dyDescent="0.35">
      <c r="A230">
        <v>2018</v>
      </c>
      <c r="B230" t="s">
        <v>81</v>
      </c>
      <c r="C230" t="s">
        <v>82</v>
      </c>
      <c r="D230" s="2">
        <v>1554009.4</v>
      </c>
      <c r="H230">
        <v>52907</v>
      </c>
      <c r="J230">
        <v>26</v>
      </c>
      <c r="K230">
        <v>324</v>
      </c>
      <c r="AF230">
        <v>3874</v>
      </c>
      <c r="AO230">
        <v>47881</v>
      </c>
      <c r="AP230">
        <v>5026</v>
      </c>
    </row>
    <row r="231" spans="1:64" x14ac:dyDescent="0.35">
      <c r="A231">
        <v>2018</v>
      </c>
      <c r="B231" t="s">
        <v>83</v>
      </c>
      <c r="C231" t="s">
        <v>84</v>
      </c>
      <c r="D231" s="2">
        <v>632342.80000000005</v>
      </c>
      <c r="E231">
        <v>4021</v>
      </c>
      <c r="H231">
        <v>20746</v>
      </c>
      <c r="I231">
        <v>2137</v>
      </c>
      <c r="J231">
        <v>160</v>
      </c>
      <c r="K231">
        <v>727</v>
      </c>
      <c r="P231">
        <v>1283</v>
      </c>
      <c r="Q231">
        <v>353</v>
      </c>
      <c r="S231">
        <v>1</v>
      </c>
      <c r="W231">
        <v>2742</v>
      </c>
      <c r="AA231">
        <v>119</v>
      </c>
      <c r="AB231">
        <v>761</v>
      </c>
      <c r="AE231">
        <v>1712</v>
      </c>
      <c r="AF231">
        <v>18</v>
      </c>
      <c r="AH231">
        <v>67</v>
      </c>
      <c r="AI231">
        <v>4021</v>
      </c>
      <c r="AL231">
        <v>2137</v>
      </c>
      <c r="AP231">
        <v>20746</v>
      </c>
      <c r="AU231">
        <v>16</v>
      </c>
      <c r="AY231">
        <v>3616</v>
      </c>
      <c r="BB231">
        <v>1132</v>
      </c>
      <c r="BC231">
        <v>739</v>
      </c>
    </row>
    <row r="232" spans="1:64" x14ac:dyDescent="0.35">
      <c r="A232">
        <v>2018</v>
      </c>
      <c r="B232" t="s">
        <v>85</v>
      </c>
      <c r="C232" t="s">
        <v>86</v>
      </c>
      <c r="D232" s="2">
        <v>481109.7</v>
      </c>
      <c r="E232">
        <v>3026</v>
      </c>
      <c r="F232">
        <v>1863</v>
      </c>
      <c r="G232">
        <v>116</v>
      </c>
      <c r="H232">
        <v>27874</v>
      </c>
      <c r="J232">
        <v>104</v>
      </c>
      <c r="K232">
        <v>1397</v>
      </c>
      <c r="L232">
        <v>12259</v>
      </c>
      <c r="M232">
        <v>419</v>
      </c>
      <c r="P232">
        <v>15888</v>
      </c>
      <c r="Q232">
        <v>508</v>
      </c>
      <c r="R232">
        <v>14</v>
      </c>
      <c r="S232">
        <v>3</v>
      </c>
      <c r="U232">
        <v>80</v>
      </c>
      <c r="W232">
        <v>2305</v>
      </c>
      <c r="X232">
        <v>51</v>
      </c>
      <c r="Z232">
        <v>10</v>
      </c>
      <c r="AB232">
        <v>480</v>
      </c>
      <c r="AC232">
        <v>414</v>
      </c>
      <c r="AD232">
        <v>164</v>
      </c>
      <c r="AE232">
        <v>1126</v>
      </c>
      <c r="AF232">
        <v>644</v>
      </c>
      <c r="AG232">
        <v>26</v>
      </c>
      <c r="AH232">
        <v>703</v>
      </c>
      <c r="AI232">
        <v>544</v>
      </c>
      <c r="AO232">
        <v>13052</v>
      </c>
      <c r="AP232">
        <v>14822</v>
      </c>
      <c r="AQ232">
        <v>6174</v>
      </c>
      <c r="AR232">
        <v>5830</v>
      </c>
      <c r="AS232">
        <v>56</v>
      </c>
      <c r="AT232">
        <v>107</v>
      </c>
      <c r="AU232">
        <v>20</v>
      </c>
      <c r="AV232">
        <v>224</v>
      </c>
      <c r="AZ232">
        <v>2021</v>
      </c>
      <c r="BB232">
        <v>1827</v>
      </c>
      <c r="BC232">
        <v>439</v>
      </c>
      <c r="BD232">
        <v>249</v>
      </c>
      <c r="BE232">
        <v>23</v>
      </c>
      <c r="BH232">
        <v>12</v>
      </c>
      <c r="BI232">
        <v>619</v>
      </c>
      <c r="BJ232">
        <v>92</v>
      </c>
      <c r="BL232">
        <v>1215</v>
      </c>
    </row>
    <row r="233" spans="1:64" x14ac:dyDescent="0.35">
      <c r="A233">
        <v>2018</v>
      </c>
      <c r="B233" t="s">
        <v>87</v>
      </c>
      <c r="C233" t="s">
        <v>88</v>
      </c>
      <c r="D233" s="2">
        <v>100677</v>
      </c>
      <c r="E233">
        <v>280</v>
      </c>
      <c r="F233">
        <v>160</v>
      </c>
      <c r="H233">
        <v>4971</v>
      </c>
      <c r="J233">
        <v>186</v>
      </c>
      <c r="K233">
        <v>451</v>
      </c>
      <c r="P233">
        <v>243</v>
      </c>
      <c r="AF233">
        <v>549</v>
      </c>
      <c r="AO233">
        <v>2913</v>
      </c>
      <c r="AP233">
        <v>2058</v>
      </c>
      <c r="BE233">
        <v>31</v>
      </c>
      <c r="BI233">
        <v>120</v>
      </c>
      <c r="BJ233">
        <v>48</v>
      </c>
    </row>
    <row r="234" spans="1:64" x14ac:dyDescent="0.35">
      <c r="A234">
        <v>2018</v>
      </c>
      <c r="B234" t="s">
        <v>89</v>
      </c>
      <c r="C234" t="s">
        <v>90</v>
      </c>
      <c r="D234" s="2">
        <v>262963.5</v>
      </c>
      <c r="E234">
        <v>611</v>
      </c>
      <c r="F234">
        <v>219</v>
      </c>
      <c r="H234">
        <v>1951</v>
      </c>
      <c r="I234">
        <v>1285</v>
      </c>
      <c r="J234">
        <v>21</v>
      </c>
      <c r="K234">
        <v>213</v>
      </c>
      <c r="L234">
        <v>1050</v>
      </c>
      <c r="N234">
        <v>25</v>
      </c>
      <c r="O234">
        <v>23</v>
      </c>
      <c r="P234">
        <v>7086</v>
      </c>
      <c r="R234">
        <v>4</v>
      </c>
      <c r="S234">
        <v>1</v>
      </c>
      <c r="T234">
        <v>2</v>
      </c>
      <c r="V234">
        <v>300</v>
      </c>
      <c r="W234">
        <v>51</v>
      </c>
      <c r="X234">
        <v>45</v>
      </c>
      <c r="AB234">
        <v>148</v>
      </c>
      <c r="AE234">
        <v>183</v>
      </c>
      <c r="AF234">
        <v>460</v>
      </c>
      <c r="AG234">
        <v>51</v>
      </c>
      <c r="AK234">
        <v>630</v>
      </c>
      <c r="AL234">
        <v>655</v>
      </c>
      <c r="AO234">
        <v>925</v>
      </c>
      <c r="AP234">
        <v>1026</v>
      </c>
      <c r="AS234">
        <v>3</v>
      </c>
      <c r="AT234">
        <v>49</v>
      </c>
      <c r="AU234">
        <v>5</v>
      </c>
      <c r="AV234">
        <v>233</v>
      </c>
      <c r="AW234">
        <v>1353</v>
      </c>
      <c r="AX234">
        <v>1554</v>
      </c>
      <c r="AY234">
        <v>978</v>
      </c>
      <c r="AZ234">
        <v>3903</v>
      </c>
      <c r="BB234">
        <v>3</v>
      </c>
      <c r="BC234">
        <v>160</v>
      </c>
      <c r="BE234">
        <v>3</v>
      </c>
      <c r="BF234">
        <v>62</v>
      </c>
      <c r="BG234">
        <v>42</v>
      </c>
      <c r="BH234">
        <v>20</v>
      </c>
      <c r="BI234">
        <v>392</v>
      </c>
      <c r="BJ234">
        <v>81</v>
      </c>
    </row>
    <row r="235" spans="1:64" x14ac:dyDescent="0.35">
      <c r="A235">
        <v>2018</v>
      </c>
      <c r="B235" t="s">
        <v>91</v>
      </c>
      <c r="C235" t="s">
        <v>92</v>
      </c>
      <c r="D235" s="2">
        <v>23759.3</v>
      </c>
      <c r="E235">
        <v>220</v>
      </c>
      <c r="F235">
        <v>130</v>
      </c>
      <c r="H235">
        <v>679</v>
      </c>
      <c r="I235">
        <v>484</v>
      </c>
      <c r="J235">
        <v>32</v>
      </c>
      <c r="K235">
        <v>36</v>
      </c>
      <c r="AE235">
        <v>8</v>
      </c>
      <c r="AL235">
        <v>484</v>
      </c>
      <c r="AP235">
        <v>679</v>
      </c>
      <c r="BB235">
        <v>19</v>
      </c>
      <c r="BI235">
        <v>90</v>
      </c>
    </row>
    <row r="236" spans="1:64" x14ac:dyDescent="0.35">
      <c r="A236">
        <v>2018</v>
      </c>
      <c r="B236" t="s">
        <v>93</v>
      </c>
      <c r="C236" t="s">
        <v>94</v>
      </c>
      <c r="D236" s="2">
        <v>2149250.2000000002</v>
      </c>
      <c r="E236">
        <v>2885</v>
      </c>
      <c r="F236">
        <v>2434</v>
      </c>
      <c r="H236">
        <v>31940</v>
      </c>
      <c r="J236">
        <v>682</v>
      </c>
      <c r="K236">
        <v>1845</v>
      </c>
      <c r="Q236">
        <v>768</v>
      </c>
      <c r="R236">
        <v>89</v>
      </c>
      <c r="AF236">
        <v>4361</v>
      </c>
      <c r="AN236">
        <v>31940</v>
      </c>
      <c r="BI236">
        <v>451</v>
      </c>
    </row>
    <row r="237" spans="1:64" x14ac:dyDescent="0.35">
      <c r="A237">
        <v>2017</v>
      </c>
      <c r="B237" t="s">
        <v>1</v>
      </c>
      <c r="C237" t="s">
        <v>2</v>
      </c>
      <c r="D237" s="2">
        <v>737568.4</v>
      </c>
      <c r="E237">
        <v>1626</v>
      </c>
      <c r="F237">
        <v>888</v>
      </c>
      <c r="H237">
        <v>10376</v>
      </c>
      <c r="I237">
        <v>6569</v>
      </c>
      <c r="J237">
        <v>80</v>
      </c>
      <c r="K237">
        <v>284</v>
      </c>
      <c r="P237">
        <v>2749</v>
      </c>
      <c r="W237">
        <v>160</v>
      </c>
      <c r="X237">
        <v>86</v>
      </c>
      <c r="AF237">
        <v>699</v>
      </c>
      <c r="AG237">
        <v>3</v>
      </c>
      <c r="AJ237">
        <v>4</v>
      </c>
      <c r="AK237">
        <v>2986</v>
      </c>
      <c r="AL237">
        <v>3583</v>
      </c>
      <c r="AO237">
        <v>2117</v>
      </c>
      <c r="AP237">
        <v>8259</v>
      </c>
      <c r="AS237">
        <v>19</v>
      </c>
      <c r="AT237">
        <v>88</v>
      </c>
      <c r="AU237">
        <v>3</v>
      </c>
      <c r="AV237">
        <v>473</v>
      </c>
      <c r="BB237">
        <v>156</v>
      </c>
      <c r="BC237">
        <v>18</v>
      </c>
      <c r="BE237">
        <v>11</v>
      </c>
      <c r="BI237">
        <v>738</v>
      </c>
      <c r="BJ237">
        <v>80</v>
      </c>
      <c r="BL237">
        <v>336</v>
      </c>
    </row>
    <row r="238" spans="1:64" x14ac:dyDescent="0.35">
      <c r="A238">
        <v>2017</v>
      </c>
      <c r="B238" t="s">
        <v>3</v>
      </c>
      <c r="C238" t="s">
        <v>4</v>
      </c>
      <c r="D238" s="2">
        <v>198589</v>
      </c>
    </row>
    <row r="239" spans="1:64" x14ac:dyDescent="0.35">
      <c r="A239">
        <v>2017</v>
      </c>
      <c r="B239" t="s">
        <v>5</v>
      </c>
      <c r="C239" t="s">
        <v>6</v>
      </c>
      <c r="D239" s="2">
        <v>6489.7</v>
      </c>
    </row>
    <row r="240" spans="1:64" x14ac:dyDescent="0.35">
      <c r="A240">
        <v>2017</v>
      </c>
      <c r="B240" t="s">
        <v>7</v>
      </c>
      <c r="C240" t="s">
        <v>8</v>
      </c>
      <c r="D240" s="2">
        <v>3505486.6</v>
      </c>
      <c r="H240">
        <v>73046</v>
      </c>
      <c r="AN240">
        <v>29281</v>
      </c>
      <c r="AO240">
        <v>14251</v>
      </c>
      <c r="AP240">
        <v>29514</v>
      </c>
    </row>
    <row r="241" spans="1:64" x14ac:dyDescent="0.35">
      <c r="A241">
        <v>2017</v>
      </c>
      <c r="B241" t="s">
        <v>9</v>
      </c>
      <c r="C241" t="s">
        <v>10</v>
      </c>
      <c r="D241" s="2">
        <v>3528311.4</v>
      </c>
      <c r="H241">
        <v>88164</v>
      </c>
      <c r="AN241">
        <v>88164</v>
      </c>
    </row>
    <row r="242" spans="1:64" x14ac:dyDescent="0.35">
      <c r="A242">
        <v>2017</v>
      </c>
      <c r="B242" t="s">
        <v>11</v>
      </c>
      <c r="C242" t="s">
        <v>12</v>
      </c>
      <c r="D242" s="2">
        <v>7193818.5999999996</v>
      </c>
    </row>
    <row r="243" spans="1:64" x14ac:dyDescent="0.35">
      <c r="A243">
        <v>2017</v>
      </c>
      <c r="B243" t="s">
        <v>13</v>
      </c>
      <c r="C243" t="s">
        <v>14</v>
      </c>
      <c r="D243" s="2">
        <v>63752.5</v>
      </c>
      <c r="E243">
        <v>1408</v>
      </c>
      <c r="F243">
        <v>570</v>
      </c>
      <c r="H243">
        <v>5350</v>
      </c>
      <c r="I243">
        <v>733</v>
      </c>
      <c r="J243">
        <v>37</v>
      </c>
      <c r="K243">
        <v>121</v>
      </c>
      <c r="L243">
        <v>1943</v>
      </c>
      <c r="N243">
        <v>2</v>
      </c>
      <c r="O243">
        <v>8</v>
      </c>
      <c r="Q243">
        <v>3</v>
      </c>
      <c r="R243">
        <v>46</v>
      </c>
      <c r="S243">
        <v>2</v>
      </c>
      <c r="X243">
        <v>102</v>
      </c>
      <c r="Z243">
        <v>127</v>
      </c>
      <c r="AB243">
        <v>93</v>
      </c>
      <c r="AD243">
        <v>18</v>
      </c>
      <c r="AE243">
        <v>442</v>
      </c>
      <c r="AH243">
        <v>32</v>
      </c>
      <c r="AJ243">
        <v>195</v>
      </c>
      <c r="AL243">
        <v>109</v>
      </c>
      <c r="AM243">
        <v>624</v>
      </c>
      <c r="AN243">
        <v>4273</v>
      </c>
      <c r="AP243">
        <v>1077</v>
      </c>
      <c r="AS243">
        <v>4</v>
      </c>
      <c r="AT243">
        <v>89</v>
      </c>
      <c r="AU243">
        <v>5</v>
      </c>
      <c r="AV243">
        <v>452</v>
      </c>
      <c r="AY243">
        <v>58</v>
      </c>
      <c r="BB243">
        <v>106</v>
      </c>
      <c r="BC243">
        <v>43</v>
      </c>
      <c r="BE243">
        <v>4</v>
      </c>
      <c r="BF243">
        <v>41</v>
      </c>
      <c r="BI243">
        <v>838</v>
      </c>
      <c r="BJ243">
        <v>80</v>
      </c>
      <c r="BL243">
        <v>99</v>
      </c>
    </row>
    <row r="244" spans="1:64" x14ac:dyDescent="0.35">
      <c r="A244">
        <v>2017</v>
      </c>
      <c r="B244" t="s">
        <v>15</v>
      </c>
      <c r="C244" t="s">
        <v>16</v>
      </c>
      <c r="D244" s="2">
        <v>140591.4</v>
      </c>
      <c r="E244">
        <v>791</v>
      </c>
      <c r="H244">
        <v>4571</v>
      </c>
      <c r="AI244">
        <v>791</v>
      </c>
      <c r="AN244">
        <v>4571</v>
      </c>
    </row>
    <row r="245" spans="1:64" x14ac:dyDescent="0.35">
      <c r="A245">
        <v>2017</v>
      </c>
      <c r="B245" t="s">
        <v>17</v>
      </c>
      <c r="C245" t="s">
        <v>18</v>
      </c>
      <c r="D245" s="2">
        <v>30815.7</v>
      </c>
      <c r="E245">
        <v>208</v>
      </c>
      <c r="H245">
        <v>4431</v>
      </c>
      <c r="AI245">
        <v>208</v>
      </c>
      <c r="AO245">
        <v>993</v>
      </c>
      <c r="AP245">
        <v>3438</v>
      </c>
      <c r="BE245">
        <v>1</v>
      </c>
      <c r="BJ245">
        <v>8</v>
      </c>
    </row>
    <row r="246" spans="1:64" x14ac:dyDescent="0.35">
      <c r="A246">
        <v>2017</v>
      </c>
      <c r="B246" t="s">
        <v>19</v>
      </c>
      <c r="C246" t="s">
        <v>20</v>
      </c>
      <c r="D246" s="2">
        <v>59424.3</v>
      </c>
    </row>
    <row r="247" spans="1:64" x14ac:dyDescent="0.35">
      <c r="A247">
        <v>2017</v>
      </c>
      <c r="B247" t="s">
        <v>21</v>
      </c>
      <c r="C247" t="s">
        <v>22</v>
      </c>
      <c r="D247" s="2">
        <v>1038181.5</v>
      </c>
      <c r="H247">
        <v>92000</v>
      </c>
      <c r="J247">
        <v>14263</v>
      </c>
      <c r="R247">
        <v>521</v>
      </c>
      <c r="AN247">
        <v>92000</v>
      </c>
    </row>
    <row r="248" spans="1:64" x14ac:dyDescent="0.35">
      <c r="A248">
        <v>2017</v>
      </c>
      <c r="B248" t="s">
        <v>23</v>
      </c>
      <c r="C248" t="s">
        <v>24</v>
      </c>
      <c r="D248" s="2">
        <v>1196892.8</v>
      </c>
      <c r="E248">
        <v>6400</v>
      </c>
      <c r="AI248">
        <v>6400</v>
      </c>
    </row>
    <row r="249" spans="1:64" x14ac:dyDescent="0.35">
      <c r="A249">
        <v>2017</v>
      </c>
      <c r="B249" t="s">
        <v>25</v>
      </c>
      <c r="C249" t="s">
        <v>26</v>
      </c>
      <c r="D249" s="2">
        <v>433722.2</v>
      </c>
      <c r="J249">
        <v>73</v>
      </c>
      <c r="Q249">
        <v>33</v>
      </c>
      <c r="R249">
        <v>15</v>
      </c>
    </row>
    <row r="250" spans="1:64" x14ac:dyDescent="0.35">
      <c r="A250">
        <v>2017</v>
      </c>
      <c r="B250" t="s">
        <v>27</v>
      </c>
      <c r="C250" t="s">
        <v>28</v>
      </c>
      <c r="D250" s="2">
        <v>62008.2</v>
      </c>
    </row>
    <row r="251" spans="1:64" x14ac:dyDescent="0.35">
      <c r="A251">
        <v>2017</v>
      </c>
      <c r="B251" t="s">
        <v>29</v>
      </c>
      <c r="C251" t="s">
        <v>30</v>
      </c>
      <c r="D251" s="2">
        <v>423373</v>
      </c>
      <c r="E251">
        <v>0</v>
      </c>
      <c r="H251">
        <v>9071</v>
      </c>
      <c r="I251">
        <v>160</v>
      </c>
      <c r="W251">
        <v>363</v>
      </c>
      <c r="AF251">
        <v>1073</v>
      </c>
      <c r="AL251">
        <v>160</v>
      </c>
      <c r="AP251">
        <v>9071</v>
      </c>
      <c r="AW251">
        <v>2946</v>
      </c>
      <c r="AX251">
        <v>9003</v>
      </c>
      <c r="BF251">
        <v>93</v>
      </c>
    </row>
    <row r="252" spans="1:64" x14ac:dyDescent="0.35">
      <c r="A252">
        <v>2017</v>
      </c>
      <c r="B252" t="s">
        <v>31</v>
      </c>
      <c r="C252" t="s">
        <v>32</v>
      </c>
      <c r="D252" s="2">
        <v>11160.3</v>
      </c>
      <c r="H252">
        <v>688</v>
      </c>
      <c r="AN252">
        <v>688</v>
      </c>
    </row>
    <row r="253" spans="1:64" x14ac:dyDescent="0.35">
      <c r="A253">
        <v>2017</v>
      </c>
      <c r="B253" t="s">
        <v>33</v>
      </c>
      <c r="C253" t="s">
        <v>34</v>
      </c>
      <c r="D253" s="2">
        <v>889229.5</v>
      </c>
    </row>
    <row r="254" spans="1:64" x14ac:dyDescent="0.35">
      <c r="A254">
        <v>2017</v>
      </c>
      <c r="B254" t="s">
        <v>35</v>
      </c>
      <c r="C254" t="s">
        <v>36</v>
      </c>
      <c r="D254" s="2">
        <v>646467.9</v>
      </c>
      <c r="E254">
        <v>651</v>
      </c>
      <c r="H254">
        <v>3487</v>
      </c>
      <c r="K254">
        <v>71</v>
      </c>
      <c r="AI254">
        <v>651</v>
      </c>
      <c r="AN254">
        <v>3487</v>
      </c>
    </row>
    <row r="255" spans="1:64" x14ac:dyDescent="0.35">
      <c r="A255">
        <v>2017</v>
      </c>
      <c r="B255" t="s">
        <v>37</v>
      </c>
      <c r="C255" t="s">
        <v>38</v>
      </c>
      <c r="D255" s="2">
        <v>863980</v>
      </c>
      <c r="H255">
        <v>13583</v>
      </c>
      <c r="AO255">
        <v>2770</v>
      </c>
      <c r="AP255">
        <v>10813</v>
      </c>
    </row>
    <row r="256" spans="1:64" x14ac:dyDescent="0.35">
      <c r="A256">
        <v>2017</v>
      </c>
      <c r="B256" t="s">
        <v>39</v>
      </c>
      <c r="C256" t="s">
        <v>40</v>
      </c>
      <c r="D256" s="2">
        <v>47406.7</v>
      </c>
      <c r="E256">
        <v>507</v>
      </c>
      <c r="H256">
        <v>634</v>
      </c>
      <c r="AI256">
        <v>507</v>
      </c>
      <c r="AN256">
        <v>634</v>
      </c>
    </row>
    <row r="257" spans="1:62" x14ac:dyDescent="0.35">
      <c r="A257">
        <v>2017</v>
      </c>
      <c r="B257" t="s">
        <v>41</v>
      </c>
      <c r="C257" t="s">
        <v>42</v>
      </c>
      <c r="D257" s="2">
        <v>84719.8</v>
      </c>
      <c r="E257">
        <v>232</v>
      </c>
      <c r="F257">
        <v>152</v>
      </c>
      <c r="H257">
        <v>1127</v>
      </c>
      <c r="I257">
        <v>422</v>
      </c>
      <c r="AK257">
        <v>341</v>
      </c>
      <c r="AL257">
        <v>81</v>
      </c>
      <c r="AO257">
        <v>879</v>
      </c>
      <c r="AP257">
        <v>248</v>
      </c>
      <c r="AQ257">
        <v>68</v>
      </c>
      <c r="AR257">
        <v>326</v>
      </c>
      <c r="BB257">
        <v>74</v>
      </c>
      <c r="BI257">
        <v>80</v>
      </c>
    </row>
    <row r="258" spans="1:62" x14ac:dyDescent="0.35">
      <c r="A258">
        <v>2017</v>
      </c>
      <c r="B258" t="s">
        <v>43</v>
      </c>
      <c r="C258" t="s">
        <v>44</v>
      </c>
      <c r="D258" s="2">
        <v>890481.1</v>
      </c>
      <c r="E258">
        <v>2679</v>
      </c>
      <c r="F258">
        <v>1757</v>
      </c>
      <c r="H258">
        <v>58608</v>
      </c>
      <c r="I258">
        <v>9554</v>
      </c>
      <c r="K258">
        <v>718</v>
      </c>
      <c r="P258">
        <v>15456</v>
      </c>
      <c r="Q258">
        <v>46</v>
      </c>
      <c r="R258">
        <v>167</v>
      </c>
      <c r="S258">
        <v>34</v>
      </c>
      <c r="AD258">
        <v>240</v>
      </c>
      <c r="AI258">
        <v>61</v>
      </c>
      <c r="AL258">
        <v>9554</v>
      </c>
      <c r="AO258">
        <v>36681</v>
      </c>
      <c r="AP258">
        <v>21927</v>
      </c>
      <c r="AS258">
        <v>462</v>
      </c>
      <c r="AU258">
        <v>133</v>
      </c>
      <c r="BB258">
        <v>821</v>
      </c>
      <c r="BC258">
        <v>324</v>
      </c>
      <c r="BI258">
        <v>861</v>
      </c>
    </row>
    <row r="259" spans="1:62" x14ac:dyDescent="0.35">
      <c r="A259">
        <v>2017</v>
      </c>
      <c r="B259" t="s">
        <v>45</v>
      </c>
      <c r="C259" t="s">
        <v>46</v>
      </c>
      <c r="D259" s="2">
        <v>435595</v>
      </c>
    </row>
    <row r="260" spans="1:62" x14ac:dyDescent="0.35">
      <c r="A260">
        <v>2017</v>
      </c>
      <c r="B260" t="s">
        <v>47</v>
      </c>
      <c r="C260" t="s">
        <v>48</v>
      </c>
      <c r="D260" s="2">
        <v>61977.7</v>
      </c>
    </row>
    <row r="261" spans="1:62" x14ac:dyDescent="0.35">
      <c r="A261">
        <v>2017</v>
      </c>
      <c r="B261" t="s">
        <v>49</v>
      </c>
      <c r="C261" t="s">
        <v>50</v>
      </c>
      <c r="D261" s="2">
        <v>1446540.2</v>
      </c>
      <c r="H261">
        <v>53168</v>
      </c>
      <c r="AO261">
        <v>11585</v>
      </c>
      <c r="AP261">
        <v>41583</v>
      </c>
    </row>
    <row r="262" spans="1:62" x14ac:dyDescent="0.35">
      <c r="A262">
        <v>2017</v>
      </c>
      <c r="B262" t="s">
        <v>51</v>
      </c>
      <c r="C262" t="s">
        <v>52</v>
      </c>
      <c r="D262" s="2">
        <v>156073.20000000001</v>
      </c>
      <c r="E262">
        <v>248</v>
      </c>
      <c r="AI262">
        <v>248</v>
      </c>
    </row>
    <row r="263" spans="1:62" x14ac:dyDescent="0.35">
      <c r="A263">
        <v>2017</v>
      </c>
      <c r="B263" t="s">
        <v>53</v>
      </c>
      <c r="C263" t="s">
        <v>54</v>
      </c>
      <c r="D263" s="2">
        <v>840158.7</v>
      </c>
      <c r="I263">
        <v>2931</v>
      </c>
      <c r="AL263">
        <v>2931</v>
      </c>
    </row>
    <row r="264" spans="1:62" x14ac:dyDescent="0.35">
      <c r="A264">
        <v>2017</v>
      </c>
      <c r="B264" t="s">
        <v>55</v>
      </c>
      <c r="C264" t="s">
        <v>56</v>
      </c>
      <c r="D264" s="2">
        <v>609708.69999999995</v>
      </c>
      <c r="AV264">
        <v>11</v>
      </c>
    </row>
    <row r="265" spans="1:62" x14ac:dyDescent="0.35">
      <c r="A265">
        <v>2017</v>
      </c>
      <c r="B265" t="s">
        <v>57</v>
      </c>
      <c r="C265" t="s">
        <v>58</v>
      </c>
      <c r="D265" s="2">
        <v>807286.6</v>
      </c>
      <c r="E265">
        <v>2247</v>
      </c>
      <c r="Q265">
        <v>53</v>
      </c>
      <c r="AI265">
        <v>2247</v>
      </c>
      <c r="BE265">
        <v>10</v>
      </c>
      <c r="BJ265">
        <v>72</v>
      </c>
    </row>
    <row r="266" spans="1:62" x14ac:dyDescent="0.35">
      <c r="A266">
        <v>2017</v>
      </c>
      <c r="B266" t="s">
        <v>59</v>
      </c>
      <c r="C266" t="s">
        <v>60</v>
      </c>
      <c r="D266" s="2">
        <v>14729.3</v>
      </c>
      <c r="E266">
        <v>2927</v>
      </c>
      <c r="H266">
        <v>4445</v>
      </c>
      <c r="J266">
        <v>401</v>
      </c>
      <c r="K266">
        <v>531</v>
      </c>
      <c r="AI266">
        <v>2927</v>
      </c>
      <c r="AN266">
        <v>4445</v>
      </c>
    </row>
    <row r="267" spans="1:62" x14ac:dyDescent="0.35">
      <c r="A267">
        <v>2017</v>
      </c>
      <c r="B267" t="s">
        <v>61</v>
      </c>
      <c r="C267" t="s">
        <v>62</v>
      </c>
      <c r="D267" s="2">
        <v>1056956</v>
      </c>
      <c r="E267">
        <v>2180</v>
      </c>
      <c r="F267">
        <v>1555</v>
      </c>
      <c r="H267">
        <v>7961</v>
      </c>
      <c r="I267">
        <v>5820</v>
      </c>
      <c r="J267">
        <v>217</v>
      </c>
      <c r="K267">
        <v>255</v>
      </c>
      <c r="L267">
        <v>7242</v>
      </c>
      <c r="N267">
        <v>2</v>
      </c>
      <c r="P267">
        <v>1991</v>
      </c>
      <c r="Q267">
        <v>319</v>
      </c>
      <c r="U267">
        <v>103</v>
      </c>
      <c r="X267">
        <v>68</v>
      </c>
      <c r="Z267">
        <v>452</v>
      </c>
      <c r="AB267">
        <v>290</v>
      </c>
      <c r="AC267">
        <v>2466</v>
      </c>
      <c r="AE267">
        <v>1958</v>
      </c>
      <c r="AG267">
        <v>29</v>
      </c>
      <c r="AK267">
        <v>436</v>
      </c>
      <c r="AL267">
        <v>5384</v>
      </c>
      <c r="AN267">
        <v>7961</v>
      </c>
      <c r="AS267">
        <v>211</v>
      </c>
      <c r="AT267">
        <v>57</v>
      </c>
      <c r="AU267">
        <v>147</v>
      </c>
      <c r="AV267">
        <v>424</v>
      </c>
      <c r="AW267">
        <v>34992</v>
      </c>
      <c r="AX267">
        <v>26735</v>
      </c>
      <c r="AY267">
        <v>6281</v>
      </c>
      <c r="BB267">
        <v>2055</v>
      </c>
      <c r="BC267">
        <v>52</v>
      </c>
      <c r="BD267">
        <v>325</v>
      </c>
      <c r="BE267">
        <v>17</v>
      </c>
      <c r="BF267">
        <v>219</v>
      </c>
      <c r="BG267">
        <v>8</v>
      </c>
      <c r="BH267">
        <v>279</v>
      </c>
      <c r="BI267">
        <v>625</v>
      </c>
      <c r="BJ267">
        <v>59</v>
      </c>
    </row>
    <row r="268" spans="1:62" x14ac:dyDescent="0.35">
      <c r="A268">
        <v>2017</v>
      </c>
      <c r="B268" t="s">
        <v>63</v>
      </c>
      <c r="C268" t="s">
        <v>64</v>
      </c>
      <c r="D268" s="2">
        <v>70261.600000000006</v>
      </c>
      <c r="E268">
        <v>1421</v>
      </c>
      <c r="H268">
        <v>4853</v>
      </c>
      <c r="AI268">
        <v>1421</v>
      </c>
      <c r="AO268">
        <v>2539</v>
      </c>
      <c r="AP268">
        <v>2314</v>
      </c>
    </row>
    <row r="269" spans="1:62" x14ac:dyDescent="0.35">
      <c r="A269">
        <v>2017</v>
      </c>
      <c r="B269" t="s">
        <v>65</v>
      </c>
      <c r="C269" t="s">
        <v>66</v>
      </c>
      <c r="D269" s="2">
        <v>382138</v>
      </c>
      <c r="E269">
        <v>1648</v>
      </c>
      <c r="F269">
        <v>1114</v>
      </c>
      <c r="I269">
        <v>2144</v>
      </c>
      <c r="J269">
        <v>236</v>
      </c>
      <c r="K269">
        <v>879</v>
      </c>
      <c r="W269">
        <v>201</v>
      </c>
      <c r="X269">
        <v>76</v>
      </c>
      <c r="AE269">
        <v>1990</v>
      </c>
      <c r="AK269">
        <v>879</v>
      </c>
      <c r="AM269">
        <v>1265</v>
      </c>
      <c r="AQ269">
        <v>1290</v>
      </c>
      <c r="AT269">
        <v>83</v>
      </c>
      <c r="AV269">
        <v>309</v>
      </c>
      <c r="BB269">
        <v>201</v>
      </c>
      <c r="BC269">
        <v>182</v>
      </c>
      <c r="BE269">
        <v>10</v>
      </c>
      <c r="BI269">
        <v>534</v>
      </c>
      <c r="BJ269">
        <v>56</v>
      </c>
    </row>
    <row r="270" spans="1:62" x14ac:dyDescent="0.35">
      <c r="A270">
        <v>2017</v>
      </c>
      <c r="B270" t="s">
        <v>67</v>
      </c>
      <c r="C270" t="s">
        <v>68</v>
      </c>
      <c r="D270" s="2">
        <v>516925.5</v>
      </c>
      <c r="E270">
        <v>1066</v>
      </c>
      <c r="H270">
        <v>2820</v>
      </c>
      <c r="I270">
        <v>2002</v>
      </c>
      <c r="J270">
        <v>121</v>
      </c>
      <c r="K270">
        <v>170</v>
      </c>
      <c r="P270">
        <v>5</v>
      </c>
      <c r="Q270">
        <v>57</v>
      </c>
      <c r="W270">
        <v>146</v>
      </c>
      <c r="AF270">
        <v>37</v>
      </c>
      <c r="AI270">
        <v>1066</v>
      </c>
      <c r="AM270">
        <v>2002</v>
      </c>
      <c r="AO270">
        <v>1093</v>
      </c>
      <c r="AP270">
        <v>1727</v>
      </c>
    </row>
    <row r="271" spans="1:62" x14ac:dyDescent="0.35">
      <c r="A271">
        <v>2017</v>
      </c>
      <c r="B271" t="s">
        <v>69</v>
      </c>
      <c r="C271" t="s">
        <v>70</v>
      </c>
      <c r="D271" s="2">
        <v>1837.1</v>
      </c>
      <c r="BE271">
        <v>4</v>
      </c>
      <c r="BJ271">
        <v>35</v>
      </c>
    </row>
    <row r="272" spans="1:62" x14ac:dyDescent="0.35">
      <c r="A272">
        <v>2017</v>
      </c>
      <c r="B272" t="s">
        <v>71</v>
      </c>
      <c r="C272" t="s">
        <v>72</v>
      </c>
      <c r="D272" s="2">
        <v>248976</v>
      </c>
      <c r="H272">
        <v>5980</v>
      </c>
      <c r="AN272">
        <v>2326</v>
      </c>
      <c r="AO272">
        <v>2690</v>
      </c>
      <c r="AP272">
        <v>964</v>
      </c>
    </row>
    <row r="273" spans="1:64" x14ac:dyDescent="0.35">
      <c r="A273">
        <v>2017</v>
      </c>
      <c r="B273" t="s">
        <v>73</v>
      </c>
      <c r="C273" t="s">
        <v>74</v>
      </c>
      <c r="D273" s="2">
        <v>1185951.8</v>
      </c>
      <c r="E273">
        <v>44653</v>
      </c>
      <c r="J273">
        <v>6314</v>
      </c>
      <c r="N273">
        <v>3323</v>
      </c>
      <c r="O273">
        <v>2</v>
      </c>
      <c r="Q273">
        <v>6948</v>
      </c>
      <c r="R273">
        <v>3330</v>
      </c>
      <c r="S273">
        <v>3658</v>
      </c>
      <c r="T273">
        <v>152</v>
      </c>
      <c r="W273">
        <v>3730</v>
      </c>
      <c r="AB273">
        <v>8681</v>
      </c>
      <c r="AE273">
        <v>5525</v>
      </c>
      <c r="AF273">
        <v>5267</v>
      </c>
      <c r="AI273">
        <v>44653</v>
      </c>
      <c r="AS273">
        <v>219</v>
      </c>
      <c r="AU273">
        <v>3790</v>
      </c>
      <c r="AY273">
        <v>8919</v>
      </c>
      <c r="BB273">
        <v>11741</v>
      </c>
      <c r="BC273">
        <v>7476</v>
      </c>
      <c r="BD273">
        <v>228</v>
      </c>
      <c r="BF273">
        <v>8453</v>
      </c>
      <c r="BG273">
        <v>12683</v>
      </c>
      <c r="BH273">
        <v>15011</v>
      </c>
      <c r="BL273">
        <v>49732</v>
      </c>
    </row>
    <row r="274" spans="1:64" x14ac:dyDescent="0.35">
      <c r="A274">
        <v>2017</v>
      </c>
      <c r="B274" t="s">
        <v>75</v>
      </c>
      <c r="C274" t="s">
        <v>76</v>
      </c>
      <c r="D274" s="2">
        <v>360673.9</v>
      </c>
      <c r="AV274">
        <v>1</v>
      </c>
    </row>
    <row r="275" spans="1:64" x14ac:dyDescent="0.35">
      <c r="A275">
        <v>2017</v>
      </c>
      <c r="B275" t="s">
        <v>77</v>
      </c>
      <c r="C275" t="s">
        <v>78</v>
      </c>
      <c r="D275" s="2">
        <v>175040.4</v>
      </c>
    </row>
    <row r="276" spans="1:64" x14ac:dyDescent="0.35">
      <c r="A276">
        <v>2017</v>
      </c>
      <c r="B276" t="s">
        <v>79</v>
      </c>
      <c r="C276" t="s">
        <v>80</v>
      </c>
      <c r="D276" s="2">
        <v>973023.7</v>
      </c>
      <c r="E276">
        <v>472</v>
      </c>
      <c r="AI276">
        <v>472</v>
      </c>
      <c r="AV276">
        <v>6</v>
      </c>
    </row>
    <row r="277" spans="1:64" x14ac:dyDescent="0.35">
      <c r="A277">
        <v>2017</v>
      </c>
      <c r="B277" t="s">
        <v>81</v>
      </c>
      <c r="C277" t="s">
        <v>82</v>
      </c>
      <c r="D277" s="2">
        <v>1511805.9</v>
      </c>
      <c r="E277">
        <v>6918</v>
      </c>
      <c r="H277">
        <v>60456</v>
      </c>
      <c r="AI277">
        <v>6918</v>
      </c>
      <c r="AO277">
        <v>45008</v>
      </c>
      <c r="AP277">
        <v>15448</v>
      </c>
    </row>
    <row r="278" spans="1:64" x14ac:dyDescent="0.35">
      <c r="A278">
        <v>2017</v>
      </c>
      <c r="B278" t="s">
        <v>83</v>
      </c>
      <c r="C278" t="s">
        <v>84</v>
      </c>
      <c r="D278" s="2">
        <v>622980.80000000005</v>
      </c>
      <c r="H278">
        <v>15691</v>
      </c>
      <c r="AP278">
        <v>15691</v>
      </c>
    </row>
    <row r="279" spans="1:64" x14ac:dyDescent="0.35">
      <c r="A279">
        <v>2017</v>
      </c>
      <c r="B279" t="s">
        <v>85</v>
      </c>
      <c r="C279" t="s">
        <v>86</v>
      </c>
      <c r="D279" s="2">
        <v>478807.6</v>
      </c>
      <c r="E279">
        <v>2646</v>
      </c>
      <c r="F279">
        <v>1754</v>
      </c>
      <c r="G279">
        <v>84</v>
      </c>
      <c r="H279">
        <v>28170</v>
      </c>
      <c r="I279">
        <v>8806</v>
      </c>
      <c r="J279">
        <v>109</v>
      </c>
      <c r="K279">
        <v>272</v>
      </c>
      <c r="L279">
        <v>11460</v>
      </c>
      <c r="P279">
        <v>15000</v>
      </c>
      <c r="Q279">
        <v>276</v>
      </c>
      <c r="W279">
        <v>2036</v>
      </c>
      <c r="X279">
        <v>41</v>
      </c>
      <c r="AB279">
        <v>417</v>
      </c>
      <c r="AC279">
        <v>451</v>
      </c>
      <c r="AE279">
        <v>781</v>
      </c>
      <c r="AH279">
        <v>605</v>
      </c>
      <c r="AI279">
        <v>446</v>
      </c>
      <c r="AM279">
        <v>8806</v>
      </c>
      <c r="AO279">
        <v>9360</v>
      </c>
      <c r="AP279">
        <v>18810</v>
      </c>
      <c r="AQ279">
        <v>3586</v>
      </c>
      <c r="AR279">
        <v>39</v>
      </c>
      <c r="AT279">
        <v>69</v>
      </c>
      <c r="AU279">
        <v>20</v>
      </c>
      <c r="AV279">
        <v>154</v>
      </c>
      <c r="AW279">
        <v>1733</v>
      </c>
      <c r="AY279">
        <v>174</v>
      </c>
      <c r="AZ279">
        <v>607</v>
      </c>
      <c r="BB279">
        <v>726</v>
      </c>
      <c r="BC279">
        <v>503</v>
      </c>
      <c r="BE279">
        <v>15</v>
      </c>
      <c r="BI279">
        <v>446</v>
      </c>
      <c r="BJ279">
        <v>79</v>
      </c>
      <c r="BL279">
        <v>596</v>
      </c>
    </row>
    <row r="280" spans="1:64" x14ac:dyDescent="0.35">
      <c r="A280">
        <v>2017</v>
      </c>
      <c r="B280" t="s">
        <v>87</v>
      </c>
      <c r="C280" t="s">
        <v>88</v>
      </c>
      <c r="D280" s="2">
        <v>100718.5</v>
      </c>
      <c r="E280">
        <v>224</v>
      </c>
      <c r="H280">
        <v>4528</v>
      </c>
      <c r="AI280">
        <v>224</v>
      </c>
      <c r="AO280">
        <v>2899</v>
      </c>
      <c r="AP280">
        <v>1629</v>
      </c>
      <c r="BE280">
        <v>33</v>
      </c>
      <c r="BJ280">
        <v>48</v>
      </c>
    </row>
    <row r="281" spans="1:64" x14ac:dyDescent="0.35">
      <c r="A281">
        <v>2017</v>
      </c>
      <c r="B281" t="s">
        <v>89</v>
      </c>
      <c r="C281" t="s">
        <v>90</v>
      </c>
      <c r="D281" s="2">
        <v>259750.6</v>
      </c>
      <c r="E281">
        <v>583</v>
      </c>
      <c r="F281">
        <v>230</v>
      </c>
      <c r="H281">
        <v>1966</v>
      </c>
      <c r="I281">
        <v>1268</v>
      </c>
      <c r="J281">
        <v>57</v>
      </c>
      <c r="K281">
        <v>218</v>
      </c>
      <c r="L281">
        <v>1431</v>
      </c>
      <c r="N281">
        <v>21</v>
      </c>
      <c r="O281">
        <v>22</v>
      </c>
      <c r="P281">
        <v>7545</v>
      </c>
      <c r="R281">
        <v>6</v>
      </c>
      <c r="S281">
        <v>1</v>
      </c>
      <c r="U281">
        <v>11</v>
      </c>
      <c r="V281">
        <v>35</v>
      </c>
      <c r="W281">
        <v>309</v>
      </c>
      <c r="X281">
        <v>43</v>
      </c>
      <c r="Y281">
        <v>3474</v>
      </c>
      <c r="AB281">
        <v>151</v>
      </c>
      <c r="AE281">
        <v>201</v>
      </c>
      <c r="AF281">
        <v>454</v>
      </c>
      <c r="AG281">
        <v>58</v>
      </c>
      <c r="AK281">
        <v>614</v>
      </c>
      <c r="AL281">
        <v>654</v>
      </c>
      <c r="AO281">
        <v>762</v>
      </c>
      <c r="AP281">
        <v>1204</v>
      </c>
      <c r="AS281">
        <v>7</v>
      </c>
      <c r="AT281">
        <v>47</v>
      </c>
      <c r="AU281">
        <v>6</v>
      </c>
      <c r="AV281">
        <v>229</v>
      </c>
      <c r="AW281">
        <v>1364</v>
      </c>
      <c r="AX281">
        <v>1806</v>
      </c>
      <c r="AY281">
        <v>945</v>
      </c>
      <c r="BB281">
        <v>3</v>
      </c>
      <c r="BC281">
        <v>174</v>
      </c>
      <c r="BE281">
        <v>5</v>
      </c>
      <c r="BF281">
        <v>57</v>
      </c>
      <c r="BG281">
        <v>41</v>
      </c>
      <c r="BH281">
        <v>21</v>
      </c>
      <c r="BI281">
        <v>353</v>
      </c>
    </row>
    <row r="282" spans="1:64" x14ac:dyDescent="0.35">
      <c r="A282">
        <v>2017</v>
      </c>
      <c r="B282" t="s">
        <v>91</v>
      </c>
      <c r="C282" t="s">
        <v>92</v>
      </c>
      <c r="D282" s="2">
        <v>23590.799999999999</v>
      </c>
    </row>
    <row r="283" spans="1:64" x14ac:dyDescent="0.35">
      <c r="A283">
        <v>2017</v>
      </c>
      <c r="B283" t="s">
        <v>93</v>
      </c>
      <c r="C283" t="s">
        <v>94</v>
      </c>
      <c r="D283" s="2">
        <v>2100281</v>
      </c>
      <c r="H283">
        <v>31940</v>
      </c>
      <c r="AO283">
        <v>21351</v>
      </c>
      <c r="AP283">
        <v>10589</v>
      </c>
    </row>
    <row r="284" spans="1:64" x14ac:dyDescent="0.35">
      <c r="A284">
        <v>2016</v>
      </c>
      <c r="B284" t="s">
        <v>1</v>
      </c>
      <c r="C284" t="s">
        <v>2</v>
      </c>
      <c r="D284" s="2">
        <v>735658.4</v>
      </c>
      <c r="E284">
        <v>1202</v>
      </c>
      <c r="H284">
        <v>9701</v>
      </c>
      <c r="I284">
        <v>2580</v>
      </c>
      <c r="K284">
        <v>235</v>
      </c>
      <c r="AI284">
        <v>1202</v>
      </c>
      <c r="AM284">
        <v>2580</v>
      </c>
      <c r="AO284">
        <v>2337</v>
      </c>
      <c r="AP284">
        <v>7364</v>
      </c>
    </row>
    <row r="285" spans="1:64" x14ac:dyDescent="0.35">
      <c r="A285">
        <v>2016</v>
      </c>
      <c r="B285" t="s">
        <v>3</v>
      </c>
      <c r="C285" t="s">
        <v>4</v>
      </c>
      <c r="D285" s="2">
        <v>193339.6</v>
      </c>
    </row>
    <row r="286" spans="1:64" x14ac:dyDescent="0.35">
      <c r="A286">
        <v>2016</v>
      </c>
      <c r="B286" t="s">
        <v>5</v>
      </c>
      <c r="C286" t="s">
        <v>6</v>
      </c>
      <c r="D286" s="2">
        <v>6608.2</v>
      </c>
    </row>
    <row r="287" spans="1:64" x14ac:dyDescent="0.35">
      <c r="A287">
        <v>2016</v>
      </c>
      <c r="B287" t="s">
        <v>7</v>
      </c>
      <c r="C287" t="s">
        <v>8</v>
      </c>
      <c r="D287" s="2">
        <v>3397335.8</v>
      </c>
      <c r="H287">
        <v>44897</v>
      </c>
      <c r="I287">
        <v>1793</v>
      </c>
      <c r="J287">
        <v>147</v>
      </c>
      <c r="K287">
        <v>404</v>
      </c>
      <c r="AK287">
        <v>1753</v>
      </c>
      <c r="AL287">
        <v>40</v>
      </c>
      <c r="AN287">
        <v>44897</v>
      </c>
      <c r="AT287">
        <v>200</v>
      </c>
    </row>
    <row r="288" spans="1:64" x14ac:dyDescent="0.35">
      <c r="A288">
        <v>2016</v>
      </c>
      <c r="B288" t="s">
        <v>9</v>
      </c>
      <c r="C288" t="s">
        <v>10</v>
      </c>
      <c r="D288" s="2">
        <v>3447899.3</v>
      </c>
      <c r="I288">
        <v>12069</v>
      </c>
      <c r="AL288">
        <v>12069</v>
      </c>
      <c r="AT288">
        <v>296</v>
      </c>
    </row>
    <row r="289" spans="1:54" x14ac:dyDescent="0.35">
      <c r="A289">
        <v>2016</v>
      </c>
      <c r="B289" t="s">
        <v>11</v>
      </c>
      <c r="C289" t="s">
        <v>12</v>
      </c>
      <c r="D289" s="2">
        <v>7083326.4000000004</v>
      </c>
      <c r="E289">
        <v>83565</v>
      </c>
      <c r="H289">
        <v>185101</v>
      </c>
      <c r="I289">
        <v>141275</v>
      </c>
      <c r="J289">
        <v>4081</v>
      </c>
      <c r="AI289">
        <v>83565</v>
      </c>
      <c r="AM289">
        <v>141275</v>
      </c>
      <c r="AN289">
        <v>185101</v>
      </c>
    </row>
    <row r="290" spans="1:54" x14ac:dyDescent="0.35">
      <c r="A290">
        <v>2016</v>
      </c>
      <c r="B290" t="s">
        <v>13</v>
      </c>
      <c r="C290" t="s">
        <v>14</v>
      </c>
      <c r="D290" s="2">
        <v>63306.9</v>
      </c>
      <c r="E290">
        <v>715</v>
      </c>
      <c r="H290">
        <v>4596</v>
      </c>
      <c r="I290">
        <v>513</v>
      </c>
      <c r="K290">
        <v>46</v>
      </c>
      <c r="R290">
        <v>33</v>
      </c>
      <c r="W290">
        <v>174</v>
      </c>
      <c r="AB290">
        <v>66</v>
      </c>
      <c r="AE290">
        <v>287</v>
      </c>
      <c r="AI290">
        <v>715</v>
      </c>
      <c r="AM290">
        <v>513</v>
      </c>
      <c r="AN290">
        <v>4596</v>
      </c>
      <c r="BB290">
        <v>72</v>
      </c>
    </row>
    <row r="291" spans="1:54" x14ac:dyDescent="0.35">
      <c r="A291">
        <v>2016</v>
      </c>
      <c r="B291" t="s">
        <v>15</v>
      </c>
      <c r="C291" t="s">
        <v>16</v>
      </c>
      <c r="D291" s="2">
        <v>138275.5</v>
      </c>
    </row>
    <row r="292" spans="1:54" x14ac:dyDescent="0.35">
      <c r="A292">
        <v>2016</v>
      </c>
      <c r="B292" t="s">
        <v>17</v>
      </c>
      <c r="C292" t="s">
        <v>18</v>
      </c>
      <c r="D292" s="2">
        <v>31320.3</v>
      </c>
      <c r="E292">
        <v>107</v>
      </c>
      <c r="H292">
        <v>4200</v>
      </c>
      <c r="AI292">
        <v>107</v>
      </c>
      <c r="AO292">
        <v>943</v>
      </c>
      <c r="AP292">
        <v>3257</v>
      </c>
      <c r="AT292">
        <v>6</v>
      </c>
    </row>
    <row r="293" spans="1:54" x14ac:dyDescent="0.35">
      <c r="A293">
        <v>2016</v>
      </c>
      <c r="B293" t="s">
        <v>19</v>
      </c>
      <c r="C293" t="s">
        <v>20</v>
      </c>
      <c r="D293" s="2">
        <v>59260.7</v>
      </c>
    </row>
    <row r="294" spans="1:54" x14ac:dyDescent="0.35">
      <c r="A294">
        <v>2016</v>
      </c>
      <c r="B294" t="s">
        <v>21</v>
      </c>
      <c r="C294" t="s">
        <v>22</v>
      </c>
      <c r="D294" s="2">
        <v>1030448.2</v>
      </c>
      <c r="E294">
        <v>74309</v>
      </c>
      <c r="H294">
        <v>90958</v>
      </c>
      <c r="AI294">
        <v>74309</v>
      </c>
      <c r="AN294">
        <v>90958</v>
      </c>
    </row>
    <row r="295" spans="1:54" x14ac:dyDescent="0.35">
      <c r="A295">
        <v>2016</v>
      </c>
      <c r="B295" t="s">
        <v>23</v>
      </c>
      <c r="C295" t="s">
        <v>24</v>
      </c>
      <c r="D295" s="2">
        <v>1170060.7</v>
      </c>
    </row>
    <row r="296" spans="1:54" x14ac:dyDescent="0.35">
      <c r="A296">
        <v>2016</v>
      </c>
      <c r="B296" t="s">
        <v>25</v>
      </c>
      <c r="C296" t="s">
        <v>26</v>
      </c>
      <c r="D296" s="2">
        <v>422641.3</v>
      </c>
      <c r="E296">
        <v>523</v>
      </c>
      <c r="H296">
        <v>7224</v>
      </c>
      <c r="I296">
        <v>1034</v>
      </c>
      <c r="J296">
        <v>9</v>
      </c>
      <c r="K296">
        <v>13</v>
      </c>
      <c r="W296">
        <v>254</v>
      </c>
      <c r="AB296">
        <v>234</v>
      </c>
      <c r="AE296">
        <v>1166</v>
      </c>
      <c r="AI296">
        <v>523</v>
      </c>
      <c r="AM296">
        <v>1034</v>
      </c>
      <c r="AN296">
        <v>5647</v>
      </c>
      <c r="AP296">
        <v>1577</v>
      </c>
    </row>
    <row r="297" spans="1:54" x14ac:dyDescent="0.35">
      <c r="A297">
        <v>2016</v>
      </c>
      <c r="B297" t="s">
        <v>27</v>
      </c>
      <c r="C297" t="s">
        <v>28</v>
      </c>
      <c r="D297" s="2">
        <v>61561.1</v>
      </c>
      <c r="E297">
        <v>830</v>
      </c>
      <c r="H297">
        <v>7427</v>
      </c>
      <c r="I297">
        <v>1461</v>
      </c>
      <c r="J297">
        <v>91</v>
      </c>
      <c r="AI297">
        <v>830</v>
      </c>
      <c r="AL297">
        <v>1461</v>
      </c>
      <c r="AN297">
        <v>7427</v>
      </c>
      <c r="AT297">
        <v>11</v>
      </c>
    </row>
    <row r="298" spans="1:54" x14ac:dyDescent="0.35">
      <c r="A298">
        <v>2016</v>
      </c>
      <c r="B298" t="s">
        <v>29</v>
      </c>
      <c r="C298" t="s">
        <v>30</v>
      </c>
      <c r="D298" s="2">
        <v>431656.2</v>
      </c>
    </row>
    <row r="299" spans="1:54" x14ac:dyDescent="0.35">
      <c r="A299">
        <v>2016</v>
      </c>
      <c r="B299" t="s">
        <v>31</v>
      </c>
      <c r="C299" t="s">
        <v>32</v>
      </c>
      <c r="D299" s="2">
        <v>11070.9</v>
      </c>
      <c r="E299">
        <v>408</v>
      </c>
      <c r="H299">
        <v>612</v>
      </c>
      <c r="J299">
        <v>4</v>
      </c>
      <c r="K299">
        <v>4</v>
      </c>
      <c r="AI299">
        <v>408</v>
      </c>
      <c r="AN299">
        <v>612</v>
      </c>
    </row>
    <row r="300" spans="1:54" x14ac:dyDescent="0.35">
      <c r="A300">
        <v>2016</v>
      </c>
      <c r="B300" t="s">
        <v>33</v>
      </c>
      <c r="C300" t="s">
        <v>34</v>
      </c>
      <c r="D300" s="2">
        <v>867237.3</v>
      </c>
      <c r="J300">
        <v>88</v>
      </c>
      <c r="K300">
        <v>199</v>
      </c>
    </row>
    <row r="301" spans="1:54" x14ac:dyDescent="0.35">
      <c r="A301">
        <v>2016</v>
      </c>
      <c r="B301" t="s">
        <v>35</v>
      </c>
      <c r="C301" t="s">
        <v>36</v>
      </c>
      <c r="D301" s="2">
        <v>635851.69999999995</v>
      </c>
      <c r="E301">
        <v>540</v>
      </c>
      <c r="H301">
        <v>3106</v>
      </c>
      <c r="AI301">
        <v>540</v>
      </c>
      <c r="AN301">
        <v>3106</v>
      </c>
    </row>
    <row r="302" spans="1:54" x14ac:dyDescent="0.35">
      <c r="A302">
        <v>2016</v>
      </c>
      <c r="B302" t="s">
        <v>37</v>
      </c>
      <c r="C302" t="s">
        <v>38</v>
      </c>
      <c r="D302" s="2">
        <v>846051</v>
      </c>
      <c r="H302">
        <v>12132</v>
      </c>
      <c r="AO302">
        <v>2327</v>
      </c>
      <c r="AP302">
        <v>9805</v>
      </c>
    </row>
    <row r="303" spans="1:54" x14ac:dyDescent="0.35">
      <c r="A303">
        <v>2016</v>
      </c>
      <c r="B303" t="s">
        <v>39</v>
      </c>
      <c r="C303" t="s">
        <v>40</v>
      </c>
      <c r="D303" s="2">
        <v>46750.5</v>
      </c>
    </row>
    <row r="304" spans="1:54" x14ac:dyDescent="0.35">
      <c r="A304">
        <v>2016</v>
      </c>
      <c r="B304" t="s">
        <v>41</v>
      </c>
      <c r="C304" t="s">
        <v>42</v>
      </c>
      <c r="D304" s="2">
        <v>84366.1</v>
      </c>
      <c r="AV304">
        <v>1</v>
      </c>
    </row>
    <row r="305" spans="1:62" x14ac:dyDescent="0.35">
      <c r="A305">
        <v>2016</v>
      </c>
      <c r="B305" t="s">
        <v>43</v>
      </c>
      <c r="C305" t="s">
        <v>44</v>
      </c>
      <c r="D305" s="2">
        <v>908452.5</v>
      </c>
      <c r="E305">
        <v>3618</v>
      </c>
      <c r="H305">
        <v>52605</v>
      </c>
      <c r="I305">
        <v>7662</v>
      </c>
      <c r="J305">
        <v>400</v>
      </c>
      <c r="K305">
        <v>570</v>
      </c>
      <c r="Q305">
        <v>516</v>
      </c>
      <c r="R305">
        <v>30</v>
      </c>
      <c r="AI305">
        <v>3618</v>
      </c>
      <c r="AM305">
        <v>7662</v>
      </c>
      <c r="AN305">
        <v>52605</v>
      </c>
    </row>
    <row r="306" spans="1:62" x14ac:dyDescent="0.35">
      <c r="A306">
        <v>2016</v>
      </c>
      <c r="B306" t="s">
        <v>45</v>
      </c>
      <c r="C306" t="s">
        <v>46</v>
      </c>
      <c r="D306" s="2">
        <v>431325.2</v>
      </c>
      <c r="E306">
        <v>977</v>
      </c>
      <c r="H306">
        <v>1010</v>
      </c>
      <c r="I306">
        <v>443</v>
      </c>
      <c r="J306">
        <v>50</v>
      </c>
      <c r="K306">
        <v>107</v>
      </c>
      <c r="P306">
        <v>6700</v>
      </c>
      <c r="AB306">
        <v>8</v>
      </c>
      <c r="AE306">
        <v>209</v>
      </c>
      <c r="AI306">
        <v>977</v>
      </c>
      <c r="AM306">
        <v>443</v>
      </c>
      <c r="AN306">
        <v>1010</v>
      </c>
    </row>
    <row r="307" spans="1:62" x14ac:dyDescent="0.35">
      <c r="A307">
        <v>2016</v>
      </c>
      <c r="B307" t="s">
        <v>47</v>
      </c>
      <c r="C307" t="s">
        <v>48</v>
      </c>
      <c r="D307" s="2">
        <v>62337</v>
      </c>
      <c r="E307">
        <v>183</v>
      </c>
      <c r="F307">
        <v>169</v>
      </c>
      <c r="H307">
        <v>918</v>
      </c>
      <c r="I307">
        <v>125</v>
      </c>
      <c r="J307">
        <v>7</v>
      </c>
      <c r="K307">
        <v>5</v>
      </c>
      <c r="Q307">
        <v>8</v>
      </c>
      <c r="R307">
        <v>4</v>
      </c>
      <c r="S307">
        <v>4</v>
      </c>
      <c r="X307">
        <v>2</v>
      </c>
      <c r="AE307">
        <v>16</v>
      </c>
      <c r="AF307">
        <v>158</v>
      </c>
      <c r="AL307">
        <v>125</v>
      </c>
      <c r="AO307">
        <v>53</v>
      </c>
      <c r="AP307">
        <v>865</v>
      </c>
      <c r="AQ307">
        <v>170</v>
      </c>
      <c r="AS307">
        <v>5</v>
      </c>
      <c r="AT307">
        <v>1</v>
      </c>
      <c r="AV307">
        <v>19</v>
      </c>
      <c r="AY307">
        <v>11</v>
      </c>
      <c r="BB307">
        <v>35</v>
      </c>
      <c r="BI307">
        <v>14</v>
      </c>
    </row>
    <row r="308" spans="1:62" x14ac:dyDescent="0.35">
      <c r="A308">
        <v>2016</v>
      </c>
      <c r="B308" t="s">
        <v>49</v>
      </c>
      <c r="C308" t="s">
        <v>50</v>
      </c>
      <c r="D308" s="2">
        <v>1439435.7</v>
      </c>
      <c r="H308">
        <v>48737</v>
      </c>
      <c r="I308">
        <v>2092</v>
      </c>
      <c r="AL308">
        <v>2092</v>
      </c>
      <c r="AO308">
        <v>10437</v>
      </c>
      <c r="AP308">
        <v>38300</v>
      </c>
      <c r="AT308">
        <v>380</v>
      </c>
    </row>
    <row r="309" spans="1:62" x14ac:dyDescent="0.35">
      <c r="A309">
        <v>2016</v>
      </c>
      <c r="B309" t="s">
        <v>51</v>
      </c>
      <c r="C309" t="s">
        <v>52</v>
      </c>
      <c r="D309" s="2">
        <v>155266.4</v>
      </c>
      <c r="E309">
        <v>234</v>
      </c>
      <c r="AI309">
        <v>234</v>
      </c>
    </row>
    <row r="310" spans="1:62" x14ac:dyDescent="0.35">
      <c r="A310">
        <v>2016</v>
      </c>
      <c r="B310" t="s">
        <v>53</v>
      </c>
      <c r="C310" t="s">
        <v>54</v>
      </c>
      <c r="D310" s="2">
        <v>821643</v>
      </c>
      <c r="I310">
        <v>1583</v>
      </c>
      <c r="K310">
        <v>4</v>
      </c>
      <c r="AL310">
        <v>1583</v>
      </c>
      <c r="AT310">
        <v>35</v>
      </c>
    </row>
    <row r="311" spans="1:62" x14ac:dyDescent="0.35">
      <c r="A311">
        <v>2016</v>
      </c>
      <c r="B311" t="s">
        <v>55</v>
      </c>
      <c r="C311" t="s">
        <v>56</v>
      </c>
      <c r="D311" s="2">
        <v>604185.30000000005</v>
      </c>
      <c r="E311">
        <v>539</v>
      </c>
      <c r="F311">
        <v>255</v>
      </c>
      <c r="H311">
        <v>4573</v>
      </c>
      <c r="I311">
        <v>568</v>
      </c>
      <c r="AE311">
        <v>397</v>
      </c>
      <c r="AI311">
        <v>284</v>
      </c>
      <c r="AK311">
        <v>568</v>
      </c>
      <c r="AN311">
        <v>4573</v>
      </c>
      <c r="AT311">
        <v>15</v>
      </c>
      <c r="AY311">
        <v>1159</v>
      </c>
      <c r="BB311">
        <v>218</v>
      </c>
    </row>
    <row r="312" spans="1:62" x14ac:dyDescent="0.35">
      <c r="A312">
        <v>2016</v>
      </c>
      <c r="B312" t="s">
        <v>57</v>
      </c>
      <c r="C312" t="s">
        <v>58</v>
      </c>
      <c r="D312" s="2">
        <v>789423.6</v>
      </c>
      <c r="E312">
        <v>2247</v>
      </c>
      <c r="H312">
        <v>4765</v>
      </c>
      <c r="I312">
        <v>2657</v>
      </c>
      <c r="J312">
        <v>107</v>
      </c>
      <c r="K312">
        <v>194</v>
      </c>
      <c r="AI312">
        <v>2247</v>
      </c>
      <c r="AL312">
        <v>2657</v>
      </c>
      <c r="AP312">
        <v>4765</v>
      </c>
      <c r="BE312">
        <v>9</v>
      </c>
      <c r="BJ312">
        <v>67</v>
      </c>
    </row>
    <row r="313" spans="1:62" x14ac:dyDescent="0.35">
      <c r="A313">
        <v>2016</v>
      </c>
      <c r="B313" t="s">
        <v>59</v>
      </c>
      <c r="C313" t="s">
        <v>60</v>
      </c>
      <c r="D313" s="2">
        <v>14486.7</v>
      </c>
      <c r="E313">
        <v>2769</v>
      </c>
      <c r="H313">
        <v>4134</v>
      </c>
      <c r="J313">
        <v>385</v>
      </c>
      <c r="K313">
        <v>514</v>
      </c>
      <c r="AI313">
        <v>2769</v>
      </c>
      <c r="AN313">
        <v>4134</v>
      </c>
    </row>
    <row r="314" spans="1:62" x14ac:dyDescent="0.35">
      <c r="A314">
        <v>2016</v>
      </c>
      <c r="B314" t="s">
        <v>61</v>
      </c>
      <c r="C314" t="s">
        <v>62</v>
      </c>
      <c r="D314" s="2">
        <v>1032089.1</v>
      </c>
      <c r="H314">
        <v>7660</v>
      </c>
      <c r="I314">
        <v>5705</v>
      </c>
      <c r="AK314">
        <v>557</v>
      </c>
      <c r="AL314">
        <v>5148</v>
      </c>
      <c r="AN314">
        <v>7660</v>
      </c>
      <c r="AT314">
        <v>57</v>
      </c>
    </row>
    <row r="315" spans="1:62" x14ac:dyDescent="0.35">
      <c r="A315">
        <v>2016</v>
      </c>
      <c r="B315" t="s">
        <v>63</v>
      </c>
      <c r="C315" t="s">
        <v>64</v>
      </c>
      <c r="D315" s="2">
        <v>69993.600000000006</v>
      </c>
      <c r="H315">
        <v>4816</v>
      </c>
      <c r="AO315">
        <v>2458</v>
      </c>
      <c r="AP315">
        <v>2358</v>
      </c>
    </row>
    <row r="316" spans="1:62" x14ac:dyDescent="0.35">
      <c r="A316">
        <v>2016</v>
      </c>
      <c r="B316" t="s">
        <v>65</v>
      </c>
      <c r="C316" t="s">
        <v>66</v>
      </c>
      <c r="D316" s="2">
        <v>375065.4</v>
      </c>
      <c r="E316">
        <v>1431</v>
      </c>
      <c r="F316">
        <v>1107</v>
      </c>
      <c r="H316">
        <v>11281</v>
      </c>
      <c r="I316">
        <v>1070</v>
      </c>
      <c r="AM316">
        <v>1070</v>
      </c>
      <c r="AN316">
        <v>11281</v>
      </c>
      <c r="AT316">
        <v>56</v>
      </c>
      <c r="BI316">
        <v>324</v>
      </c>
    </row>
    <row r="317" spans="1:62" x14ac:dyDescent="0.35">
      <c r="A317">
        <v>2016</v>
      </c>
      <c r="B317" t="s">
        <v>67</v>
      </c>
      <c r="C317" t="s">
        <v>68</v>
      </c>
      <c r="D317" s="2">
        <v>510487.1</v>
      </c>
      <c r="E317">
        <v>1154</v>
      </c>
      <c r="F317">
        <v>267</v>
      </c>
      <c r="H317">
        <v>2490</v>
      </c>
      <c r="I317">
        <v>2002</v>
      </c>
      <c r="J317">
        <v>121</v>
      </c>
      <c r="K317">
        <v>170</v>
      </c>
      <c r="P317">
        <v>5</v>
      </c>
      <c r="R317">
        <v>57</v>
      </c>
      <c r="W317">
        <v>146</v>
      </c>
      <c r="X317">
        <v>84</v>
      </c>
      <c r="AB317">
        <v>78</v>
      </c>
      <c r="AE317">
        <v>37</v>
      </c>
      <c r="AM317">
        <v>2002</v>
      </c>
      <c r="AO317">
        <v>1045</v>
      </c>
      <c r="AP317">
        <v>1445</v>
      </c>
      <c r="AT317">
        <v>91</v>
      </c>
      <c r="AV317">
        <v>456</v>
      </c>
      <c r="BE317">
        <v>20</v>
      </c>
      <c r="BI317">
        <v>887</v>
      </c>
      <c r="BJ317">
        <v>236</v>
      </c>
    </row>
    <row r="318" spans="1:62" x14ac:dyDescent="0.35">
      <c r="A318">
        <v>2016</v>
      </c>
      <c r="B318" t="s">
        <v>69</v>
      </c>
      <c r="C318" t="s">
        <v>70</v>
      </c>
      <c r="D318" s="2">
        <v>1795.8</v>
      </c>
      <c r="E318">
        <v>203</v>
      </c>
      <c r="F318">
        <v>82</v>
      </c>
      <c r="H318">
        <v>684</v>
      </c>
      <c r="I318">
        <v>89</v>
      </c>
      <c r="J318">
        <v>34</v>
      </c>
      <c r="K318">
        <v>45</v>
      </c>
      <c r="AM318">
        <v>89</v>
      </c>
      <c r="AN318">
        <v>684</v>
      </c>
      <c r="BB318">
        <v>64</v>
      </c>
      <c r="BE318">
        <v>4</v>
      </c>
      <c r="BI318">
        <v>121</v>
      </c>
    </row>
    <row r="319" spans="1:62" x14ac:dyDescent="0.35">
      <c r="A319">
        <v>2016</v>
      </c>
      <c r="B319" t="s">
        <v>71</v>
      </c>
      <c r="C319" t="s">
        <v>72</v>
      </c>
      <c r="D319" s="2">
        <v>245921.2</v>
      </c>
      <c r="H319">
        <v>5160</v>
      </c>
      <c r="I319">
        <v>313</v>
      </c>
      <c r="J319">
        <v>53</v>
      </c>
      <c r="K319">
        <v>82</v>
      </c>
      <c r="P319">
        <v>14622</v>
      </c>
      <c r="AM319">
        <v>313</v>
      </c>
      <c r="AN319">
        <v>2315</v>
      </c>
      <c r="AO319">
        <v>2090</v>
      </c>
      <c r="AP319">
        <v>755</v>
      </c>
    </row>
    <row r="320" spans="1:62" x14ac:dyDescent="0.35">
      <c r="A320">
        <v>2016</v>
      </c>
      <c r="B320" t="s">
        <v>73</v>
      </c>
      <c r="C320" t="s">
        <v>74</v>
      </c>
      <c r="D320" s="2">
        <v>1193987.6000000001</v>
      </c>
      <c r="E320">
        <v>43141</v>
      </c>
      <c r="I320">
        <v>1284</v>
      </c>
      <c r="J320">
        <v>6158</v>
      </c>
      <c r="K320">
        <v>15267</v>
      </c>
      <c r="N320">
        <v>3140</v>
      </c>
      <c r="O320">
        <v>2</v>
      </c>
      <c r="Q320">
        <v>5484</v>
      </c>
      <c r="S320">
        <v>3145</v>
      </c>
      <c r="T320">
        <v>156</v>
      </c>
      <c r="W320">
        <v>3642</v>
      </c>
      <c r="AB320">
        <v>8484</v>
      </c>
      <c r="AE320">
        <v>5377</v>
      </c>
      <c r="AF320">
        <v>4802</v>
      </c>
      <c r="AI320">
        <v>43141</v>
      </c>
      <c r="AL320">
        <v>1284</v>
      </c>
      <c r="AS320">
        <v>197</v>
      </c>
      <c r="AT320">
        <v>1247</v>
      </c>
      <c r="AU320">
        <v>3725</v>
      </c>
      <c r="BB320">
        <v>21713</v>
      </c>
      <c r="BC320">
        <v>7199</v>
      </c>
      <c r="BD320">
        <v>252</v>
      </c>
      <c r="BF320">
        <v>8190</v>
      </c>
    </row>
    <row r="321" spans="1:62" x14ac:dyDescent="0.35">
      <c r="A321">
        <v>2016</v>
      </c>
      <c r="B321" t="s">
        <v>75</v>
      </c>
      <c r="C321" t="s">
        <v>76</v>
      </c>
      <c r="D321" s="2">
        <v>389229.6</v>
      </c>
    </row>
    <row r="322" spans="1:62" x14ac:dyDescent="0.35">
      <c r="A322">
        <v>2016</v>
      </c>
      <c r="B322" t="s">
        <v>77</v>
      </c>
      <c r="C322" t="s">
        <v>78</v>
      </c>
      <c r="D322" s="2">
        <v>174800</v>
      </c>
      <c r="E322">
        <v>530</v>
      </c>
      <c r="F322">
        <v>269</v>
      </c>
      <c r="H322">
        <v>3717</v>
      </c>
      <c r="I322">
        <v>921</v>
      </c>
      <c r="J322">
        <v>27</v>
      </c>
      <c r="K322">
        <v>73</v>
      </c>
      <c r="AM322">
        <v>921</v>
      </c>
      <c r="AO322">
        <v>1847</v>
      </c>
      <c r="AP322">
        <v>1870</v>
      </c>
      <c r="AZ322">
        <v>565</v>
      </c>
      <c r="BF322">
        <v>67</v>
      </c>
      <c r="BI322">
        <v>261</v>
      </c>
    </row>
    <row r="323" spans="1:62" x14ac:dyDescent="0.35">
      <c r="A323">
        <v>2016</v>
      </c>
      <c r="B323" t="s">
        <v>79</v>
      </c>
      <c r="C323" t="s">
        <v>80</v>
      </c>
      <c r="D323" s="2">
        <v>937299.4</v>
      </c>
      <c r="E323">
        <v>681</v>
      </c>
      <c r="H323">
        <v>4746</v>
      </c>
      <c r="I323">
        <v>856</v>
      </c>
      <c r="J323">
        <v>18</v>
      </c>
      <c r="K323">
        <v>24</v>
      </c>
      <c r="AI323">
        <v>681</v>
      </c>
      <c r="AK323">
        <v>5</v>
      </c>
      <c r="AL323">
        <v>851</v>
      </c>
      <c r="AN323">
        <v>4746</v>
      </c>
    </row>
    <row r="324" spans="1:62" x14ac:dyDescent="0.35">
      <c r="A324">
        <v>2016</v>
      </c>
      <c r="B324" t="s">
        <v>81</v>
      </c>
      <c r="C324" t="s">
        <v>82</v>
      </c>
      <c r="D324" s="2">
        <v>1479060.5</v>
      </c>
      <c r="H324">
        <v>55228</v>
      </c>
      <c r="I324">
        <v>9802</v>
      </c>
      <c r="AL324">
        <v>9802</v>
      </c>
      <c r="AO324">
        <v>39631</v>
      </c>
      <c r="AP324">
        <v>15597</v>
      </c>
      <c r="AT324">
        <v>42</v>
      </c>
    </row>
    <row r="325" spans="1:62" x14ac:dyDescent="0.35">
      <c r="A325">
        <v>2016</v>
      </c>
      <c r="B325" t="s">
        <v>83</v>
      </c>
      <c r="C325" t="s">
        <v>84</v>
      </c>
      <c r="D325" s="2">
        <v>613228.69999999995</v>
      </c>
      <c r="E325">
        <v>1514</v>
      </c>
      <c r="I325">
        <v>3333</v>
      </c>
      <c r="J325">
        <v>312</v>
      </c>
      <c r="K325">
        <v>1159</v>
      </c>
      <c r="L325">
        <v>19254</v>
      </c>
      <c r="W325">
        <v>1796</v>
      </c>
      <c r="AB325">
        <v>419</v>
      </c>
      <c r="AF325">
        <v>921</v>
      </c>
      <c r="AI325">
        <v>1514</v>
      </c>
      <c r="AL325">
        <v>192</v>
      </c>
      <c r="AM325">
        <v>3141</v>
      </c>
      <c r="AS325">
        <v>202</v>
      </c>
      <c r="AT325">
        <v>46</v>
      </c>
      <c r="AY325">
        <v>1814</v>
      </c>
      <c r="BD325">
        <v>432</v>
      </c>
    </row>
    <row r="326" spans="1:62" x14ac:dyDescent="0.35">
      <c r="A326">
        <v>2016</v>
      </c>
      <c r="B326" t="s">
        <v>85</v>
      </c>
      <c r="C326" t="s">
        <v>86</v>
      </c>
      <c r="D326" s="2">
        <v>478618.1</v>
      </c>
      <c r="E326">
        <v>2508</v>
      </c>
      <c r="F326">
        <v>1754</v>
      </c>
      <c r="G326">
        <v>84</v>
      </c>
      <c r="H326">
        <v>19642</v>
      </c>
      <c r="J326">
        <v>136</v>
      </c>
      <c r="K326">
        <v>219</v>
      </c>
      <c r="L326">
        <v>9368</v>
      </c>
      <c r="Q326">
        <v>157</v>
      </c>
      <c r="S326">
        <v>3</v>
      </c>
      <c r="U326">
        <v>117</v>
      </c>
      <c r="W326">
        <v>1843</v>
      </c>
      <c r="X326">
        <v>41</v>
      </c>
      <c r="Z326">
        <v>52</v>
      </c>
      <c r="AB326">
        <v>320</v>
      </c>
      <c r="AC326">
        <v>257</v>
      </c>
      <c r="AE326">
        <v>600</v>
      </c>
      <c r="AG326">
        <v>17</v>
      </c>
      <c r="AH326">
        <v>678</v>
      </c>
      <c r="AI326">
        <v>308</v>
      </c>
      <c r="AO326">
        <v>2588</v>
      </c>
      <c r="AP326">
        <v>17054</v>
      </c>
      <c r="AQ326">
        <v>3434</v>
      </c>
      <c r="AR326">
        <v>29</v>
      </c>
      <c r="AS326">
        <v>58</v>
      </c>
      <c r="AT326">
        <v>69</v>
      </c>
      <c r="AU326">
        <v>13</v>
      </c>
      <c r="AV326">
        <v>154</v>
      </c>
      <c r="AY326">
        <v>130</v>
      </c>
      <c r="AZ326">
        <v>551</v>
      </c>
      <c r="BB326">
        <v>540</v>
      </c>
      <c r="BC326">
        <v>432</v>
      </c>
      <c r="BE326">
        <v>15</v>
      </c>
      <c r="BI326">
        <v>446</v>
      </c>
      <c r="BJ326">
        <v>79</v>
      </c>
    </row>
    <row r="327" spans="1:62" x14ac:dyDescent="0.35">
      <c r="A327">
        <v>2016</v>
      </c>
      <c r="B327" t="s">
        <v>87</v>
      </c>
      <c r="C327" t="s">
        <v>88</v>
      </c>
      <c r="D327" s="2">
        <v>101415.1</v>
      </c>
      <c r="E327">
        <v>226</v>
      </c>
      <c r="H327">
        <v>4484</v>
      </c>
      <c r="I327">
        <v>376</v>
      </c>
      <c r="AI327">
        <v>226</v>
      </c>
      <c r="AL327">
        <v>376</v>
      </c>
      <c r="AO327">
        <v>2979</v>
      </c>
      <c r="AP327">
        <v>1505</v>
      </c>
      <c r="AT327">
        <v>11</v>
      </c>
      <c r="BE327">
        <v>24</v>
      </c>
      <c r="BJ327">
        <v>50</v>
      </c>
    </row>
    <row r="328" spans="1:62" x14ac:dyDescent="0.35">
      <c r="A328">
        <v>2016</v>
      </c>
      <c r="B328" t="s">
        <v>89</v>
      </c>
      <c r="C328" t="s">
        <v>90</v>
      </c>
      <c r="D328" s="2">
        <v>255832.9</v>
      </c>
      <c r="E328">
        <v>347</v>
      </c>
      <c r="H328">
        <v>1419</v>
      </c>
      <c r="I328">
        <v>961</v>
      </c>
      <c r="K328">
        <v>13</v>
      </c>
      <c r="L328">
        <v>688</v>
      </c>
      <c r="N328">
        <v>9</v>
      </c>
      <c r="O328">
        <v>9</v>
      </c>
      <c r="R328">
        <v>2</v>
      </c>
      <c r="U328">
        <v>19</v>
      </c>
      <c r="V328">
        <v>18</v>
      </c>
      <c r="W328">
        <v>293</v>
      </c>
      <c r="X328">
        <v>29</v>
      </c>
      <c r="Y328">
        <v>2249</v>
      </c>
      <c r="AB328">
        <v>112</v>
      </c>
      <c r="AE328">
        <v>129</v>
      </c>
      <c r="AF328">
        <v>276</v>
      </c>
      <c r="AG328">
        <v>48</v>
      </c>
      <c r="AI328">
        <v>347</v>
      </c>
      <c r="AK328">
        <v>502</v>
      </c>
      <c r="AL328">
        <v>459</v>
      </c>
      <c r="AO328">
        <v>499</v>
      </c>
      <c r="AP328">
        <v>920</v>
      </c>
      <c r="AS328">
        <v>1</v>
      </c>
      <c r="AT328">
        <v>35</v>
      </c>
      <c r="AU328">
        <v>2</v>
      </c>
      <c r="AV328">
        <v>144</v>
      </c>
      <c r="AW328">
        <v>1340</v>
      </c>
      <c r="AX328">
        <v>1264</v>
      </c>
      <c r="AY328">
        <v>638</v>
      </c>
      <c r="BB328">
        <v>1</v>
      </c>
      <c r="BC328">
        <v>152</v>
      </c>
      <c r="BE328">
        <v>2</v>
      </c>
      <c r="BF328">
        <v>33</v>
      </c>
      <c r="BH328">
        <v>14</v>
      </c>
      <c r="BJ328">
        <v>60</v>
      </c>
    </row>
    <row r="329" spans="1:62" x14ac:dyDescent="0.35">
      <c r="A329">
        <v>2016</v>
      </c>
      <c r="B329" t="s">
        <v>91</v>
      </c>
      <c r="C329" t="s">
        <v>92</v>
      </c>
      <c r="D329" s="2">
        <v>23359.599999999999</v>
      </c>
      <c r="E329">
        <v>216</v>
      </c>
      <c r="F329">
        <v>216</v>
      </c>
      <c r="I329">
        <v>500</v>
      </c>
      <c r="AK329">
        <v>25</v>
      </c>
      <c r="AL329">
        <v>475</v>
      </c>
      <c r="AT329">
        <v>8</v>
      </c>
    </row>
    <row r="330" spans="1:62" x14ac:dyDescent="0.35">
      <c r="A330">
        <v>2016</v>
      </c>
      <c r="B330" t="s">
        <v>93</v>
      </c>
      <c r="C330" t="s">
        <v>94</v>
      </c>
      <c r="D330" s="2">
        <v>2044971.2</v>
      </c>
      <c r="AT330">
        <v>67</v>
      </c>
    </row>
    <row r="331" spans="1:62" x14ac:dyDescent="0.35">
      <c r="A331">
        <v>2015</v>
      </c>
      <c r="B331" t="s">
        <v>1</v>
      </c>
      <c r="C331" t="s">
        <v>2</v>
      </c>
      <c r="D331" s="2">
        <v>731106.9</v>
      </c>
      <c r="E331">
        <v>1189</v>
      </c>
      <c r="H331">
        <v>9748</v>
      </c>
      <c r="I331">
        <v>2383</v>
      </c>
      <c r="K331">
        <v>258</v>
      </c>
      <c r="AI331">
        <v>1189</v>
      </c>
      <c r="AM331">
        <v>2383</v>
      </c>
      <c r="AO331">
        <v>2652</v>
      </c>
      <c r="AP331">
        <v>7096</v>
      </c>
    </row>
    <row r="332" spans="1:62" x14ac:dyDescent="0.35">
      <c r="A332">
        <v>2015</v>
      </c>
      <c r="B332" t="s">
        <v>3</v>
      </c>
      <c r="C332" t="s">
        <v>4</v>
      </c>
      <c r="D332" s="2">
        <v>192500.5</v>
      </c>
      <c r="E332">
        <v>324</v>
      </c>
      <c r="H332">
        <v>322</v>
      </c>
      <c r="I332">
        <v>605</v>
      </c>
      <c r="K332">
        <v>20</v>
      </c>
      <c r="L332">
        <v>734</v>
      </c>
      <c r="O332">
        <v>109</v>
      </c>
      <c r="V332">
        <v>85</v>
      </c>
      <c r="AI332">
        <v>286</v>
      </c>
      <c r="AM332">
        <v>605</v>
      </c>
      <c r="AN332">
        <v>322</v>
      </c>
      <c r="BH332">
        <v>83</v>
      </c>
      <c r="BI332">
        <v>38</v>
      </c>
    </row>
    <row r="333" spans="1:62" x14ac:dyDescent="0.35">
      <c r="A333">
        <v>2015</v>
      </c>
      <c r="B333" t="s">
        <v>5</v>
      </c>
      <c r="C333" t="s">
        <v>6</v>
      </c>
      <c r="D333" s="2">
        <v>6722.6</v>
      </c>
      <c r="E333">
        <v>63</v>
      </c>
      <c r="H333">
        <v>442</v>
      </c>
      <c r="AI333">
        <v>63</v>
      </c>
      <c r="AN333">
        <v>442</v>
      </c>
    </row>
    <row r="334" spans="1:62" x14ac:dyDescent="0.35">
      <c r="A334">
        <v>2015</v>
      </c>
      <c r="B334" t="s">
        <v>7</v>
      </c>
      <c r="C334" t="s">
        <v>8</v>
      </c>
      <c r="D334" s="2">
        <v>3300775.6</v>
      </c>
      <c r="H334">
        <v>72270</v>
      </c>
      <c r="AN334">
        <v>27286</v>
      </c>
      <c r="AO334">
        <v>17611</v>
      </c>
      <c r="AP334">
        <v>27373</v>
      </c>
    </row>
    <row r="335" spans="1:62" x14ac:dyDescent="0.35">
      <c r="A335">
        <v>2015</v>
      </c>
      <c r="B335" t="s">
        <v>9</v>
      </c>
      <c r="C335" t="s">
        <v>10</v>
      </c>
      <c r="D335" s="2">
        <v>3362812.3</v>
      </c>
    </row>
    <row r="336" spans="1:62" x14ac:dyDescent="0.35">
      <c r="A336">
        <v>2015</v>
      </c>
      <c r="B336" t="s">
        <v>11</v>
      </c>
      <c r="C336" t="s">
        <v>12</v>
      </c>
      <c r="D336" s="2">
        <v>6983906.0999999996</v>
      </c>
      <c r="K336">
        <v>20035</v>
      </c>
    </row>
    <row r="337" spans="1:61" x14ac:dyDescent="0.35">
      <c r="A337">
        <v>2015</v>
      </c>
      <c r="B337" t="s">
        <v>13</v>
      </c>
      <c r="C337" t="s">
        <v>14</v>
      </c>
      <c r="D337" s="2">
        <v>62601.9</v>
      </c>
    </row>
    <row r="338" spans="1:61" x14ac:dyDescent="0.35">
      <c r="A338">
        <v>2015</v>
      </c>
      <c r="B338" t="s">
        <v>15</v>
      </c>
      <c r="C338" t="s">
        <v>16</v>
      </c>
      <c r="D338" s="2">
        <v>135862.20000000001</v>
      </c>
      <c r="E338">
        <v>692</v>
      </c>
      <c r="H338">
        <v>4137</v>
      </c>
      <c r="AI338">
        <v>692</v>
      </c>
      <c r="AN338">
        <v>4137</v>
      </c>
    </row>
    <row r="339" spans="1:61" x14ac:dyDescent="0.35">
      <c r="A339">
        <v>2015</v>
      </c>
      <c r="B339" t="s">
        <v>17</v>
      </c>
      <c r="C339" t="s">
        <v>18</v>
      </c>
      <c r="D339" s="2">
        <v>31767.3</v>
      </c>
      <c r="H339">
        <v>3976</v>
      </c>
      <c r="AO339">
        <v>895</v>
      </c>
      <c r="AP339">
        <v>3081</v>
      </c>
    </row>
    <row r="340" spans="1:61" x14ac:dyDescent="0.35">
      <c r="A340">
        <v>2015</v>
      </c>
      <c r="B340" t="s">
        <v>19</v>
      </c>
      <c r="C340" t="s">
        <v>20</v>
      </c>
      <c r="D340" s="2">
        <v>59058.5</v>
      </c>
    </row>
    <row r="341" spans="1:61" x14ac:dyDescent="0.35">
      <c r="A341">
        <v>2015</v>
      </c>
      <c r="B341" t="s">
        <v>21</v>
      </c>
      <c r="C341" t="s">
        <v>22</v>
      </c>
      <c r="D341" s="2">
        <v>1014537.2</v>
      </c>
    </row>
    <row r="342" spans="1:61" x14ac:dyDescent="0.35">
      <c r="A342">
        <v>2015</v>
      </c>
      <c r="B342" t="s">
        <v>23</v>
      </c>
      <c r="C342" t="s">
        <v>24</v>
      </c>
      <c r="D342" s="2">
        <v>1144292.3999999999</v>
      </c>
    </row>
    <row r="343" spans="1:61" x14ac:dyDescent="0.35">
      <c r="A343">
        <v>2015</v>
      </c>
      <c r="B343" t="s">
        <v>25</v>
      </c>
      <c r="C343" t="s">
        <v>26</v>
      </c>
      <c r="D343" s="2">
        <v>411367.9</v>
      </c>
    </row>
    <row r="344" spans="1:61" x14ac:dyDescent="0.35">
      <c r="A344">
        <v>2015</v>
      </c>
      <c r="B344" t="s">
        <v>27</v>
      </c>
      <c r="C344" t="s">
        <v>28</v>
      </c>
      <c r="D344" s="2">
        <v>61044.4</v>
      </c>
    </row>
    <row r="345" spans="1:61" x14ac:dyDescent="0.35">
      <c r="A345">
        <v>2015</v>
      </c>
      <c r="B345" t="s">
        <v>29</v>
      </c>
      <c r="C345" t="s">
        <v>30</v>
      </c>
      <c r="D345" s="2">
        <v>437619.8</v>
      </c>
      <c r="E345">
        <v>508</v>
      </c>
      <c r="F345">
        <v>467</v>
      </c>
      <c r="H345">
        <v>6688</v>
      </c>
      <c r="I345">
        <v>79</v>
      </c>
      <c r="AL345">
        <v>79</v>
      </c>
      <c r="AO345">
        <v>4072</v>
      </c>
      <c r="AP345">
        <v>2616</v>
      </c>
      <c r="BI345">
        <v>41</v>
      </c>
    </row>
    <row r="346" spans="1:61" x14ac:dyDescent="0.35">
      <c r="A346">
        <v>2015</v>
      </c>
      <c r="B346" t="s">
        <v>31</v>
      </c>
      <c r="C346" t="s">
        <v>32</v>
      </c>
      <c r="D346" s="2">
        <v>11002.7</v>
      </c>
      <c r="E346">
        <v>410</v>
      </c>
      <c r="H346">
        <v>498</v>
      </c>
      <c r="AI346">
        <v>410</v>
      </c>
      <c r="AN346">
        <v>498</v>
      </c>
    </row>
    <row r="347" spans="1:61" x14ac:dyDescent="0.35">
      <c r="A347">
        <v>2015</v>
      </c>
      <c r="B347" t="s">
        <v>33</v>
      </c>
      <c r="C347" t="s">
        <v>34</v>
      </c>
      <c r="D347" s="2">
        <v>840650.2</v>
      </c>
    </row>
    <row r="348" spans="1:61" x14ac:dyDescent="0.35">
      <c r="A348">
        <v>2015</v>
      </c>
      <c r="B348" t="s">
        <v>35</v>
      </c>
      <c r="C348" t="s">
        <v>36</v>
      </c>
      <c r="D348" s="2">
        <v>625581.19999999995</v>
      </c>
      <c r="E348">
        <v>696</v>
      </c>
      <c r="H348">
        <v>3563</v>
      </c>
      <c r="K348">
        <v>79</v>
      </c>
      <c r="AI348">
        <v>696</v>
      </c>
      <c r="AN348">
        <v>3563</v>
      </c>
    </row>
    <row r="349" spans="1:61" x14ac:dyDescent="0.35">
      <c r="A349">
        <v>2015</v>
      </c>
      <c r="B349" t="s">
        <v>37</v>
      </c>
      <c r="C349" t="s">
        <v>38</v>
      </c>
      <c r="D349" s="2">
        <v>830910.6</v>
      </c>
      <c r="H349">
        <v>10891</v>
      </c>
      <c r="AO349">
        <v>1987</v>
      </c>
      <c r="AP349">
        <v>8904</v>
      </c>
    </row>
    <row r="350" spans="1:61" x14ac:dyDescent="0.35">
      <c r="A350">
        <v>2015</v>
      </c>
      <c r="B350" t="s">
        <v>39</v>
      </c>
      <c r="C350" t="s">
        <v>40</v>
      </c>
      <c r="D350" s="2">
        <v>45967.3</v>
      </c>
    </row>
    <row r="351" spans="1:61" x14ac:dyDescent="0.35">
      <c r="A351">
        <v>2015</v>
      </c>
      <c r="B351" t="s">
        <v>41</v>
      </c>
      <c r="C351" t="s">
        <v>42</v>
      </c>
      <c r="D351" s="2">
        <v>83965.3</v>
      </c>
      <c r="E351">
        <v>213</v>
      </c>
      <c r="H351">
        <v>2372</v>
      </c>
      <c r="I351">
        <v>850</v>
      </c>
      <c r="J351">
        <v>17</v>
      </c>
      <c r="K351">
        <v>5</v>
      </c>
      <c r="R351">
        <v>3</v>
      </c>
      <c r="W351">
        <v>172</v>
      </c>
      <c r="AB351">
        <v>32</v>
      </c>
      <c r="AE351">
        <v>141</v>
      </c>
      <c r="AF351">
        <v>11</v>
      </c>
      <c r="AI351">
        <v>213</v>
      </c>
      <c r="AM351">
        <v>850</v>
      </c>
      <c r="AN351">
        <v>2372</v>
      </c>
      <c r="AU351">
        <v>17</v>
      </c>
      <c r="BB351">
        <v>99</v>
      </c>
      <c r="BC351">
        <v>5</v>
      </c>
      <c r="BD351">
        <v>15</v>
      </c>
    </row>
    <row r="352" spans="1:61" x14ac:dyDescent="0.35">
      <c r="A352">
        <v>2015</v>
      </c>
      <c r="B352" t="s">
        <v>43</v>
      </c>
      <c r="C352" t="s">
        <v>44</v>
      </c>
      <c r="D352" s="2">
        <v>904717.2</v>
      </c>
      <c r="E352">
        <v>3263</v>
      </c>
      <c r="H352">
        <v>48939</v>
      </c>
      <c r="I352">
        <v>6808</v>
      </c>
      <c r="AI352">
        <v>3263</v>
      </c>
      <c r="AM352">
        <v>6808</v>
      </c>
      <c r="AN352">
        <v>48939</v>
      </c>
    </row>
    <row r="353" spans="1:62" x14ac:dyDescent="0.35">
      <c r="A353">
        <v>2015</v>
      </c>
      <c r="B353" t="s">
        <v>45</v>
      </c>
      <c r="C353" t="s">
        <v>46</v>
      </c>
      <c r="D353" s="2">
        <v>422845.4</v>
      </c>
      <c r="E353">
        <v>977</v>
      </c>
      <c r="H353">
        <v>4389</v>
      </c>
      <c r="I353">
        <v>376</v>
      </c>
      <c r="K353">
        <v>142</v>
      </c>
      <c r="P353">
        <v>6700</v>
      </c>
      <c r="AI353">
        <v>977</v>
      </c>
      <c r="AL353">
        <v>376</v>
      </c>
      <c r="AO353">
        <v>3476</v>
      </c>
      <c r="AP353">
        <v>913</v>
      </c>
    </row>
    <row r="354" spans="1:62" x14ac:dyDescent="0.35">
      <c r="A354">
        <v>2015</v>
      </c>
      <c r="B354" t="s">
        <v>47</v>
      </c>
      <c r="C354" t="s">
        <v>48</v>
      </c>
      <c r="D354" s="2">
        <v>62364.3</v>
      </c>
      <c r="E354">
        <v>354</v>
      </c>
      <c r="H354">
        <v>964</v>
      </c>
      <c r="AI354">
        <v>354</v>
      </c>
      <c r="AO354">
        <v>112</v>
      </c>
      <c r="AP354">
        <v>852</v>
      </c>
      <c r="AQ354">
        <v>170</v>
      </c>
    </row>
    <row r="355" spans="1:62" x14ac:dyDescent="0.35">
      <c r="A355">
        <v>2015</v>
      </c>
      <c r="B355" t="s">
        <v>49</v>
      </c>
      <c r="C355" t="s">
        <v>50</v>
      </c>
      <c r="D355" s="2">
        <v>1423217.7</v>
      </c>
      <c r="H355">
        <v>41413</v>
      </c>
      <c r="AO355">
        <v>8899</v>
      </c>
      <c r="AP355">
        <v>32514</v>
      </c>
    </row>
    <row r="356" spans="1:62" x14ac:dyDescent="0.35">
      <c r="A356">
        <v>2015</v>
      </c>
      <c r="B356" t="s">
        <v>51</v>
      </c>
      <c r="C356" t="s">
        <v>52</v>
      </c>
      <c r="D356" s="2">
        <v>154970.79999999999</v>
      </c>
      <c r="E356">
        <v>168</v>
      </c>
      <c r="AI356">
        <v>168</v>
      </c>
    </row>
    <row r="357" spans="1:62" x14ac:dyDescent="0.35">
      <c r="A357">
        <v>2015</v>
      </c>
      <c r="B357" t="s">
        <v>53</v>
      </c>
      <c r="C357" t="s">
        <v>54</v>
      </c>
      <c r="D357" s="2">
        <v>803737.2</v>
      </c>
    </row>
    <row r="358" spans="1:62" x14ac:dyDescent="0.35">
      <c r="A358">
        <v>2015</v>
      </c>
      <c r="B358" t="s">
        <v>55</v>
      </c>
      <c r="C358" t="s">
        <v>56</v>
      </c>
      <c r="D358" s="2">
        <v>602721.6</v>
      </c>
    </row>
    <row r="359" spans="1:62" x14ac:dyDescent="0.35">
      <c r="A359">
        <v>2015</v>
      </c>
      <c r="B359" t="s">
        <v>57</v>
      </c>
      <c r="C359" t="s">
        <v>58</v>
      </c>
      <c r="D359" s="2">
        <v>772249</v>
      </c>
      <c r="E359">
        <v>1750</v>
      </c>
      <c r="AI359">
        <v>1750</v>
      </c>
      <c r="BE359">
        <v>11</v>
      </c>
      <c r="BJ359">
        <v>72</v>
      </c>
    </row>
    <row r="360" spans="1:62" x14ac:dyDescent="0.35">
      <c r="A360">
        <v>2015</v>
      </c>
      <c r="B360" t="s">
        <v>59</v>
      </c>
      <c r="C360" t="s">
        <v>60</v>
      </c>
      <c r="D360" s="2">
        <v>14693.7</v>
      </c>
      <c r="E360">
        <v>2550</v>
      </c>
      <c r="H360">
        <v>4261</v>
      </c>
      <c r="J360">
        <v>380</v>
      </c>
      <c r="K360">
        <v>497</v>
      </c>
      <c r="AI360">
        <v>2550</v>
      </c>
      <c r="AN360">
        <v>4261</v>
      </c>
    </row>
    <row r="361" spans="1:62" x14ac:dyDescent="0.35">
      <c r="A361">
        <v>2015</v>
      </c>
      <c r="B361" t="s">
        <v>61</v>
      </c>
      <c r="C361" t="s">
        <v>62</v>
      </c>
      <c r="D361" s="2">
        <v>1009693.4</v>
      </c>
      <c r="H361">
        <v>6927</v>
      </c>
      <c r="I361">
        <v>5158</v>
      </c>
      <c r="J361">
        <v>189</v>
      </c>
      <c r="K361">
        <v>194</v>
      </c>
      <c r="Q361">
        <v>45</v>
      </c>
      <c r="R361">
        <v>212</v>
      </c>
      <c r="AM361">
        <v>5158</v>
      </c>
      <c r="AN361">
        <v>6927</v>
      </c>
      <c r="AV361">
        <v>38</v>
      </c>
    </row>
    <row r="362" spans="1:62" x14ac:dyDescent="0.35">
      <c r="A362">
        <v>2015</v>
      </c>
      <c r="B362" t="s">
        <v>63</v>
      </c>
      <c r="C362" t="s">
        <v>64</v>
      </c>
      <c r="D362" s="2">
        <v>69483.399999999994</v>
      </c>
      <c r="H362">
        <v>4365</v>
      </c>
      <c r="AO362">
        <v>2189</v>
      </c>
      <c r="AP362">
        <v>2176</v>
      </c>
    </row>
    <row r="363" spans="1:62" x14ac:dyDescent="0.35">
      <c r="A363">
        <v>2015</v>
      </c>
      <c r="B363" t="s">
        <v>65</v>
      </c>
      <c r="C363" t="s">
        <v>66</v>
      </c>
      <c r="D363" s="2">
        <v>368170.1</v>
      </c>
      <c r="E363">
        <v>1284</v>
      </c>
      <c r="F363">
        <v>1042</v>
      </c>
      <c r="H363">
        <v>10367</v>
      </c>
      <c r="I363">
        <v>868</v>
      </c>
      <c r="J363">
        <v>127</v>
      </c>
      <c r="K363">
        <v>114</v>
      </c>
      <c r="L363">
        <v>4006</v>
      </c>
      <c r="W363">
        <v>226</v>
      </c>
      <c r="AB363">
        <v>116</v>
      </c>
      <c r="AE363">
        <v>1545</v>
      </c>
      <c r="AG363">
        <v>23</v>
      </c>
      <c r="AM363">
        <v>868</v>
      </c>
      <c r="AN363">
        <v>10367</v>
      </c>
      <c r="AS363">
        <v>207</v>
      </c>
      <c r="BC363">
        <v>125</v>
      </c>
      <c r="BH363">
        <v>886</v>
      </c>
      <c r="BI363">
        <v>242</v>
      </c>
    </row>
    <row r="364" spans="1:62" x14ac:dyDescent="0.35">
      <c r="A364">
        <v>2015</v>
      </c>
      <c r="B364" t="s">
        <v>67</v>
      </c>
      <c r="C364" t="s">
        <v>68</v>
      </c>
      <c r="D364" s="2">
        <v>507578.5</v>
      </c>
      <c r="H364">
        <v>1682</v>
      </c>
      <c r="I364">
        <v>1116</v>
      </c>
      <c r="K364">
        <v>143</v>
      </c>
      <c r="P364">
        <v>770</v>
      </c>
      <c r="X364">
        <v>34</v>
      </c>
      <c r="AM364">
        <v>1116</v>
      </c>
      <c r="AO364">
        <v>662</v>
      </c>
      <c r="AP364">
        <v>1020</v>
      </c>
      <c r="AT364">
        <v>38</v>
      </c>
    </row>
    <row r="365" spans="1:62" x14ac:dyDescent="0.35">
      <c r="A365">
        <v>2015</v>
      </c>
      <c r="B365" t="s">
        <v>69</v>
      </c>
      <c r="C365" t="s">
        <v>70</v>
      </c>
      <c r="D365" s="2">
        <v>1743.6</v>
      </c>
      <c r="BE365">
        <v>4</v>
      </c>
    </row>
    <row r="366" spans="1:62" x14ac:dyDescent="0.35">
      <c r="A366">
        <v>2015</v>
      </c>
      <c r="B366" t="s">
        <v>71</v>
      </c>
      <c r="C366" t="s">
        <v>72</v>
      </c>
      <c r="D366" s="2">
        <v>244577.3</v>
      </c>
      <c r="H366">
        <v>5873</v>
      </c>
      <c r="AN366">
        <v>2502</v>
      </c>
      <c r="AO366">
        <v>2605</v>
      </c>
      <c r="AP366">
        <v>766</v>
      </c>
    </row>
    <row r="367" spans="1:62" x14ac:dyDescent="0.35">
      <c r="A367">
        <v>2015</v>
      </c>
      <c r="B367" t="s">
        <v>73</v>
      </c>
      <c r="C367" t="s">
        <v>74</v>
      </c>
      <c r="D367" s="2">
        <v>1224304.8999999999</v>
      </c>
      <c r="J367">
        <v>5985</v>
      </c>
      <c r="K367">
        <v>15784</v>
      </c>
      <c r="M367">
        <v>69276</v>
      </c>
      <c r="N367">
        <v>2913</v>
      </c>
      <c r="O367">
        <v>2</v>
      </c>
      <c r="Q367">
        <v>4785</v>
      </c>
      <c r="W367">
        <v>3518</v>
      </c>
      <c r="AB367">
        <v>9175</v>
      </c>
      <c r="AE367">
        <v>453</v>
      </c>
      <c r="AF367">
        <v>149</v>
      </c>
      <c r="AU367">
        <v>3783</v>
      </c>
      <c r="AV367">
        <v>1143</v>
      </c>
      <c r="AY367">
        <v>474</v>
      </c>
      <c r="BB367">
        <v>18477</v>
      </c>
      <c r="BD367">
        <v>9289</v>
      </c>
    </row>
    <row r="368" spans="1:62" x14ac:dyDescent="0.35">
      <c r="A368">
        <v>2015</v>
      </c>
      <c r="B368" t="s">
        <v>75</v>
      </c>
      <c r="C368" t="s">
        <v>76</v>
      </c>
      <c r="D368" s="2">
        <v>409891.2</v>
      </c>
    </row>
    <row r="369" spans="1:62" x14ac:dyDescent="0.35">
      <c r="A369">
        <v>2015</v>
      </c>
      <c r="B369" t="s">
        <v>77</v>
      </c>
      <c r="C369" t="s">
        <v>78</v>
      </c>
      <c r="D369" s="2">
        <v>174962.3</v>
      </c>
      <c r="H369">
        <v>3852</v>
      </c>
      <c r="AO369">
        <v>1918</v>
      </c>
      <c r="AP369">
        <v>1934</v>
      </c>
    </row>
    <row r="370" spans="1:62" x14ac:dyDescent="0.35">
      <c r="A370">
        <v>2015</v>
      </c>
      <c r="B370" t="s">
        <v>79</v>
      </c>
      <c r="C370" t="s">
        <v>80</v>
      </c>
      <c r="D370" s="2">
        <v>903031.3</v>
      </c>
      <c r="E370">
        <v>634</v>
      </c>
      <c r="H370">
        <v>3253</v>
      </c>
      <c r="I370">
        <v>824</v>
      </c>
      <c r="J370">
        <v>30</v>
      </c>
      <c r="K370">
        <v>50</v>
      </c>
      <c r="AI370">
        <v>634</v>
      </c>
      <c r="AK370">
        <v>7</v>
      </c>
      <c r="AL370">
        <v>817</v>
      </c>
      <c r="AN370">
        <v>3253</v>
      </c>
    </row>
    <row r="371" spans="1:62" x14ac:dyDescent="0.35">
      <c r="A371">
        <v>2015</v>
      </c>
      <c r="B371" t="s">
        <v>81</v>
      </c>
      <c r="C371" t="s">
        <v>82</v>
      </c>
      <c r="D371" s="2">
        <v>1456401</v>
      </c>
      <c r="E371">
        <v>3645</v>
      </c>
      <c r="H371">
        <v>50681</v>
      </c>
      <c r="I371">
        <v>8815</v>
      </c>
      <c r="J371">
        <v>276</v>
      </c>
      <c r="K371">
        <v>45</v>
      </c>
      <c r="P371">
        <v>179175</v>
      </c>
      <c r="W371">
        <v>1925</v>
      </c>
      <c r="AB371">
        <v>121</v>
      </c>
      <c r="AE371">
        <v>2447</v>
      </c>
      <c r="AG371">
        <v>227</v>
      </c>
      <c r="AI371">
        <v>3645</v>
      </c>
      <c r="AM371">
        <v>8815</v>
      </c>
      <c r="AO371">
        <v>33980</v>
      </c>
      <c r="AP371">
        <v>16701</v>
      </c>
      <c r="BC371">
        <v>114</v>
      </c>
    </row>
    <row r="372" spans="1:62" x14ac:dyDescent="0.35">
      <c r="A372">
        <v>2015</v>
      </c>
      <c r="B372" t="s">
        <v>83</v>
      </c>
      <c r="C372" t="s">
        <v>84</v>
      </c>
      <c r="D372" s="2">
        <v>604047.80000000005</v>
      </c>
    </row>
    <row r="373" spans="1:62" x14ac:dyDescent="0.35">
      <c r="A373">
        <v>2015</v>
      </c>
      <c r="B373" t="s">
        <v>85</v>
      </c>
      <c r="C373" t="s">
        <v>86</v>
      </c>
      <c r="D373" s="2">
        <v>481447.2</v>
      </c>
      <c r="E373">
        <v>2508</v>
      </c>
      <c r="F373">
        <v>1754</v>
      </c>
      <c r="G373">
        <v>83</v>
      </c>
      <c r="H373">
        <v>19099</v>
      </c>
      <c r="J373">
        <v>66</v>
      </c>
      <c r="K373">
        <v>141</v>
      </c>
      <c r="L373">
        <v>8424</v>
      </c>
      <c r="P373">
        <v>11200</v>
      </c>
      <c r="Q373">
        <v>261</v>
      </c>
      <c r="W373">
        <v>2494</v>
      </c>
      <c r="X373">
        <v>41</v>
      </c>
      <c r="Z373">
        <v>418</v>
      </c>
      <c r="AB373">
        <v>511</v>
      </c>
      <c r="AC373">
        <v>270</v>
      </c>
      <c r="AE373">
        <v>644</v>
      </c>
      <c r="AI373">
        <v>308</v>
      </c>
      <c r="AO373">
        <v>2318</v>
      </c>
      <c r="AP373">
        <v>16781</v>
      </c>
      <c r="AQ373">
        <v>3334</v>
      </c>
      <c r="AT373">
        <v>69</v>
      </c>
      <c r="AV373">
        <v>165</v>
      </c>
      <c r="BB373">
        <v>443</v>
      </c>
      <c r="BC373">
        <v>472</v>
      </c>
      <c r="BE373">
        <v>15</v>
      </c>
      <c r="BI373">
        <v>446</v>
      </c>
      <c r="BJ373">
        <v>73</v>
      </c>
    </row>
    <row r="374" spans="1:62" x14ac:dyDescent="0.35">
      <c r="A374">
        <v>2015</v>
      </c>
      <c r="B374" t="s">
        <v>87</v>
      </c>
      <c r="C374" t="s">
        <v>88</v>
      </c>
      <c r="D374" s="2">
        <v>102828.4</v>
      </c>
      <c r="E374">
        <v>212</v>
      </c>
      <c r="H374">
        <v>3962</v>
      </c>
      <c r="AI374">
        <v>212</v>
      </c>
      <c r="AO374">
        <v>2658</v>
      </c>
      <c r="AP374">
        <v>1304</v>
      </c>
      <c r="BE374">
        <v>23</v>
      </c>
      <c r="BJ374">
        <v>50</v>
      </c>
    </row>
    <row r="375" spans="1:62" x14ac:dyDescent="0.35">
      <c r="A375">
        <v>2015</v>
      </c>
      <c r="B375" t="s">
        <v>89</v>
      </c>
      <c r="C375" t="s">
        <v>90</v>
      </c>
      <c r="D375" s="2">
        <v>251850.6</v>
      </c>
      <c r="E375">
        <v>361</v>
      </c>
      <c r="F375">
        <v>97</v>
      </c>
      <c r="H375">
        <v>1341</v>
      </c>
      <c r="I375">
        <v>869</v>
      </c>
      <c r="J375">
        <v>18</v>
      </c>
      <c r="K375">
        <v>17</v>
      </c>
      <c r="L375">
        <v>1107</v>
      </c>
      <c r="AF375">
        <v>407</v>
      </c>
      <c r="AM375">
        <v>869</v>
      </c>
      <c r="AN375">
        <v>1341</v>
      </c>
      <c r="BD375">
        <v>231</v>
      </c>
      <c r="BI375">
        <v>264</v>
      </c>
    </row>
    <row r="376" spans="1:62" x14ac:dyDescent="0.35">
      <c r="A376">
        <v>2015</v>
      </c>
      <c r="B376" t="s">
        <v>91</v>
      </c>
      <c r="C376" t="s">
        <v>92</v>
      </c>
      <c r="D376" s="2">
        <v>23131.8</v>
      </c>
    </row>
    <row r="377" spans="1:62" x14ac:dyDescent="0.35">
      <c r="A377">
        <v>2015</v>
      </c>
      <c r="B377" t="s">
        <v>93</v>
      </c>
      <c r="C377" t="s">
        <v>94</v>
      </c>
      <c r="D377" s="2">
        <v>1988487.9</v>
      </c>
    </row>
    <row r="378" spans="1:62" x14ac:dyDescent="0.35">
      <c r="A378">
        <v>2014</v>
      </c>
      <c r="B378" t="s">
        <v>1</v>
      </c>
      <c r="C378" t="s">
        <v>2</v>
      </c>
      <c r="D378" s="2">
        <v>722847.5</v>
      </c>
      <c r="E378">
        <v>857</v>
      </c>
      <c r="H378">
        <v>6358</v>
      </c>
      <c r="I378">
        <v>1744</v>
      </c>
      <c r="K378">
        <v>217</v>
      </c>
      <c r="AI378">
        <v>857</v>
      </c>
      <c r="AM378">
        <v>1744</v>
      </c>
      <c r="AO378">
        <v>2640</v>
      </c>
      <c r="AP378">
        <v>3718</v>
      </c>
      <c r="AT378">
        <v>10</v>
      </c>
      <c r="AV378">
        <v>58</v>
      </c>
      <c r="BJ378">
        <v>36</v>
      </c>
    </row>
    <row r="379" spans="1:62" x14ac:dyDescent="0.35">
      <c r="A379">
        <v>2014</v>
      </c>
      <c r="B379" t="s">
        <v>3</v>
      </c>
      <c r="C379" t="s">
        <v>4</v>
      </c>
      <c r="D379" s="2">
        <v>194995.3</v>
      </c>
      <c r="AT379">
        <v>8</v>
      </c>
      <c r="BJ379">
        <v>9</v>
      </c>
    </row>
    <row r="380" spans="1:62" x14ac:dyDescent="0.35">
      <c r="A380">
        <v>2014</v>
      </c>
      <c r="B380" t="s">
        <v>5</v>
      </c>
      <c r="C380" t="s">
        <v>6</v>
      </c>
      <c r="D380" s="2">
        <v>6820.9</v>
      </c>
    </row>
    <row r="381" spans="1:62" x14ac:dyDescent="0.35">
      <c r="A381">
        <v>2014</v>
      </c>
      <c r="B381" t="s">
        <v>7</v>
      </c>
      <c r="C381" t="s">
        <v>8</v>
      </c>
      <c r="D381" s="2">
        <v>3207143.3</v>
      </c>
    </row>
    <row r="382" spans="1:62" x14ac:dyDescent="0.35">
      <c r="A382">
        <v>2014</v>
      </c>
      <c r="B382" t="s">
        <v>9</v>
      </c>
      <c r="C382" t="s">
        <v>10</v>
      </c>
      <c r="D382" s="2">
        <v>3292126.2</v>
      </c>
    </row>
    <row r="383" spans="1:62" x14ac:dyDescent="0.35">
      <c r="A383">
        <v>2014</v>
      </c>
      <c r="B383" t="s">
        <v>11</v>
      </c>
      <c r="C383" t="s">
        <v>12</v>
      </c>
      <c r="D383" s="2">
        <v>6894101.5999999996</v>
      </c>
      <c r="AT383">
        <v>454</v>
      </c>
      <c r="BJ383">
        <v>1827</v>
      </c>
    </row>
    <row r="384" spans="1:62" x14ac:dyDescent="0.35">
      <c r="A384">
        <v>2014</v>
      </c>
      <c r="B384" t="s">
        <v>13</v>
      </c>
      <c r="C384" t="s">
        <v>14</v>
      </c>
      <c r="D384" s="2">
        <v>61619.1</v>
      </c>
    </row>
    <row r="385" spans="1:62" x14ac:dyDescent="0.35">
      <c r="A385">
        <v>2014</v>
      </c>
      <c r="B385" t="s">
        <v>15</v>
      </c>
      <c r="C385" t="s">
        <v>16</v>
      </c>
      <c r="D385" s="2">
        <v>133349.5</v>
      </c>
      <c r="E385">
        <v>622</v>
      </c>
      <c r="H385">
        <v>3846</v>
      </c>
      <c r="AI385">
        <v>622</v>
      </c>
      <c r="AN385">
        <v>3846</v>
      </c>
    </row>
    <row r="386" spans="1:62" x14ac:dyDescent="0.35">
      <c r="A386">
        <v>2014</v>
      </c>
      <c r="B386" t="s">
        <v>17</v>
      </c>
      <c r="C386" t="s">
        <v>18</v>
      </c>
      <c r="D386" s="2">
        <v>32210.7</v>
      </c>
      <c r="H386">
        <v>3847</v>
      </c>
      <c r="AO386">
        <v>845</v>
      </c>
      <c r="AP386">
        <v>3002</v>
      </c>
    </row>
    <row r="387" spans="1:62" x14ac:dyDescent="0.35">
      <c r="A387">
        <v>2014</v>
      </c>
      <c r="B387" t="s">
        <v>19</v>
      </c>
      <c r="C387" t="s">
        <v>20</v>
      </c>
      <c r="D387" s="2">
        <v>59339.9</v>
      </c>
    </row>
    <row r="388" spans="1:62" x14ac:dyDescent="0.35">
      <c r="A388">
        <v>2014</v>
      </c>
      <c r="B388" t="s">
        <v>21</v>
      </c>
      <c r="C388" t="s">
        <v>22</v>
      </c>
      <c r="D388" s="2">
        <v>991164.8</v>
      </c>
      <c r="I388">
        <v>11139</v>
      </c>
      <c r="AK388">
        <v>1735</v>
      </c>
      <c r="AL388">
        <v>9404</v>
      </c>
      <c r="AT388">
        <v>612</v>
      </c>
    </row>
    <row r="389" spans="1:62" x14ac:dyDescent="0.35">
      <c r="A389">
        <v>2014</v>
      </c>
      <c r="B389" t="s">
        <v>23</v>
      </c>
      <c r="C389" t="s">
        <v>24</v>
      </c>
      <c r="D389" s="2">
        <v>1117632.7</v>
      </c>
    </row>
    <row r="390" spans="1:62" x14ac:dyDescent="0.35">
      <c r="A390">
        <v>2014</v>
      </c>
      <c r="B390" t="s">
        <v>25</v>
      </c>
      <c r="C390" t="s">
        <v>26</v>
      </c>
      <c r="D390" s="2">
        <v>399718.40000000002</v>
      </c>
      <c r="AT390">
        <v>90</v>
      </c>
      <c r="AV390">
        <v>20</v>
      </c>
      <c r="BJ390">
        <v>81</v>
      </c>
    </row>
    <row r="391" spans="1:62" x14ac:dyDescent="0.35">
      <c r="A391">
        <v>2014</v>
      </c>
      <c r="B391" t="s">
        <v>27</v>
      </c>
      <c r="C391" t="s">
        <v>28</v>
      </c>
      <c r="D391" s="2">
        <v>60621.9</v>
      </c>
      <c r="AT391">
        <v>18</v>
      </c>
      <c r="AV391">
        <v>18</v>
      </c>
      <c r="BJ391">
        <v>40</v>
      </c>
    </row>
    <row r="392" spans="1:62" x14ac:dyDescent="0.35">
      <c r="A392">
        <v>2014</v>
      </c>
      <c r="B392" t="s">
        <v>29</v>
      </c>
      <c r="C392" t="s">
        <v>30</v>
      </c>
      <c r="D392" s="2">
        <v>435003</v>
      </c>
      <c r="E392">
        <v>609</v>
      </c>
      <c r="F392">
        <v>556</v>
      </c>
      <c r="H392">
        <v>6819</v>
      </c>
      <c r="I392">
        <v>24</v>
      </c>
      <c r="AL392">
        <v>24</v>
      </c>
      <c r="AO392">
        <v>4072</v>
      </c>
      <c r="AP392">
        <v>2747</v>
      </c>
      <c r="BI392">
        <v>53</v>
      </c>
    </row>
    <row r="393" spans="1:62" x14ac:dyDescent="0.35">
      <c r="A393">
        <v>2014</v>
      </c>
      <c r="B393" t="s">
        <v>31</v>
      </c>
      <c r="C393" t="s">
        <v>32</v>
      </c>
      <c r="D393" s="2">
        <v>10993.6</v>
      </c>
      <c r="H393">
        <v>476</v>
      </c>
      <c r="AN393">
        <v>476</v>
      </c>
    </row>
    <row r="394" spans="1:62" x14ac:dyDescent="0.35">
      <c r="A394">
        <v>2014</v>
      </c>
      <c r="B394" t="s">
        <v>33</v>
      </c>
      <c r="C394" t="s">
        <v>34</v>
      </c>
      <c r="D394" s="2">
        <v>818448.6</v>
      </c>
    </row>
    <row r="395" spans="1:62" x14ac:dyDescent="0.35">
      <c r="A395">
        <v>2014</v>
      </c>
      <c r="B395" t="s">
        <v>35</v>
      </c>
      <c r="C395" t="s">
        <v>36</v>
      </c>
      <c r="D395" s="2">
        <v>610899.30000000005</v>
      </c>
      <c r="E395">
        <v>608</v>
      </c>
      <c r="H395">
        <v>3606</v>
      </c>
      <c r="K395">
        <v>78</v>
      </c>
      <c r="AI395">
        <v>608</v>
      </c>
      <c r="AN395">
        <v>3606</v>
      </c>
    </row>
    <row r="396" spans="1:62" x14ac:dyDescent="0.35">
      <c r="A396">
        <v>2014</v>
      </c>
      <c r="B396" t="s">
        <v>37</v>
      </c>
      <c r="C396" t="s">
        <v>38</v>
      </c>
      <c r="D396" s="2">
        <v>819320.4</v>
      </c>
      <c r="E396">
        <v>5240</v>
      </c>
      <c r="H396">
        <v>8868</v>
      </c>
      <c r="I396">
        <v>5300</v>
      </c>
      <c r="J396">
        <v>490</v>
      </c>
      <c r="K396">
        <v>2430</v>
      </c>
      <c r="Q396">
        <v>120</v>
      </c>
      <c r="R396">
        <v>190</v>
      </c>
      <c r="S396">
        <v>50</v>
      </c>
      <c r="W396">
        <v>790</v>
      </c>
      <c r="AB396">
        <v>820</v>
      </c>
      <c r="AE396">
        <v>1600</v>
      </c>
      <c r="AF396">
        <v>2380</v>
      </c>
      <c r="AI396">
        <v>5240</v>
      </c>
      <c r="AM396">
        <v>5300</v>
      </c>
      <c r="AO396">
        <v>1623</v>
      </c>
      <c r="AP396">
        <v>7245</v>
      </c>
      <c r="AS396">
        <v>70</v>
      </c>
      <c r="AT396">
        <v>238</v>
      </c>
      <c r="AU396">
        <v>70</v>
      </c>
      <c r="BB396">
        <v>2310</v>
      </c>
      <c r="BC396">
        <v>60</v>
      </c>
      <c r="BJ396">
        <v>318</v>
      </c>
    </row>
    <row r="397" spans="1:62" x14ac:dyDescent="0.35">
      <c r="A397">
        <v>2014</v>
      </c>
      <c r="B397" t="s">
        <v>39</v>
      </c>
      <c r="C397" t="s">
        <v>40</v>
      </c>
      <c r="D397" s="2">
        <v>45062.400000000001</v>
      </c>
    </row>
    <row r="398" spans="1:62" x14ac:dyDescent="0.35">
      <c r="A398">
        <v>2014</v>
      </c>
      <c r="B398" t="s">
        <v>41</v>
      </c>
      <c r="C398" t="s">
        <v>42</v>
      </c>
      <c r="D398" s="2">
        <v>83366.8</v>
      </c>
    </row>
    <row r="399" spans="1:62" x14ac:dyDescent="0.35">
      <c r="A399">
        <v>2014</v>
      </c>
      <c r="B399" t="s">
        <v>43</v>
      </c>
      <c r="C399" t="s">
        <v>44</v>
      </c>
      <c r="D399" s="2">
        <v>893372.3</v>
      </c>
      <c r="E399">
        <v>3016</v>
      </c>
      <c r="H399">
        <v>37404</v>
      </c>
      <c r="AI399">
        <v>3016</v>
      </c>
      <c r="AO399">
        <v>21992</v>
      </c>
      <c r="AP399">
        <v>15412</v>
      </c>
    </row>
    <row r="400" spans="1:62" x14ac:dyDescent="0.35">
      <c r="A400">
        <v>2014</v>
      </c>
      <c r="B400" t="s">
        <v>45</v>
      </c>
      <c r="C400" t="s">
        <v>46</v>
      </c>
      <c r="D400" s="2">
        <v>413410.9</v>
      </c>
      <c r="E400">
        <v>1844</v>
      </c>
      <c r="H400">
        <v>5789</v>
      </c>
      <c r="I400">
        <v>500</v>
      </c>
      <c r="AI400">
        <v>1844</v>
      </c>
      <c r="AM400">
        <v>500</v>
      </c>
      <c r="AO400">
        <v>4284</v>
      </c>
      <c r="AP400">
        <v>1505</v>
      </c>
    </row>
    <row r="401" spans="1:63" x14ac:dyDescent="0.35">
      <c r="A401">
        <v>2014</v>
      </c>
      <c r="B401" t="s">
        <v>47</v>
      </c>
      <c r="C401" t="s">
        <v>48</v>
      </c>
      <c r="D401" s="2">
        <v>62283.7</v>
      </c>
      <c r="H401">
        <v>885</v>
      </c>
      <c r="AO401">
        <v>178</v>
      </c>
      <c r="AP401">
        <v>707</v>
      </c>
      <c r="AQ401">
        <v>129</v>
      </c>
    </row>
    <row r="402" spans="1:63" x14ac:dyDescent="0.35">
      <c r="A402">
        <v>2014</v>
      </c>
      <c r="B402" t="s">
        <v>49</v>
      </c>
      <c r="C402" t="s">
        <v>50</v>
      </c>
      <c r="D402" s="2">
        <v>1418695.6</v>
      </c>
      <c r="E402">
        <v>9149</v>
      </c>
      <c r="H402">
        <v>43311</v>
      </c>
      <c r="J402">
        <v>1090</v>
      </c>
      <c r="K402">
        <v>2355</v>
      </c>
      <c r="AI402">
        <v>9149</v>
      </c>
      <c r="AO402">
        <v>12144</v>
      </c>
      <c r="AP402">
        <v>31167</v>
      </c>
      <c r="AT402">
        <v>357</v>
      </c>
      <c r="BJ402">
        <v>316</v>
      </c>
    </row>
    <row r="403" spans="1:63" x14ac:dyDescent="0.35">
      <c r="A403">
        <v>2014</v>
      </c>
      <c r="B403" t="s">
        <v>51</v>
      </c>
      <c r="C403" t="s">
        <v>52</v>
      </c>
      <c r="D403" s="2">
        <v>155883.9</v>
      </c>
    </row>
    <row r="404" spans="1:63" x14ac:dyDescent="0.35">
      <c r="A404">
        <v>2014</v>
      </c>
      <c r="B404" t="s">
        <v>53</v>
      </c>
      <c r="C404" t="s">
        <v>54</v>
      </c>
      <c r="D404" s="2">
        <v>793162.3</v>
      </c>
      <c r="E404">
        <v>4275</v>
      </c>
      <c r="L404">
        <v>2510</v>
      </c>
      <c r="AI404">
        <v>4275</v>
      </c>
    </row>
    <row r="405" spans="1:63" x14ac:dyDescent="0.35">
      <c r="A405">
        <v>2014</v>
      </c>
      <c r="B405" t="s">
        <v>55</v>
      </c>
      <c r="C405" t="s">
        <v>56</v>
      </c>
      <c r="D405" s="2">
        <v>601396.5</v>
      </c>
      <c r="AT405">
        <v>7</v>
      </c>
      <c r="BJ405">
        <v>61</v>
      </c>
    </row>
    <row r="406" spans="1:63" x14ac:dyDescent="0.35">
      <c r="A406">
        <v>2014</v>
      </c>
      <c r="B406" t="s">
        <v>57</v>
      </c>
      <c r="C406" t="s">
        <v>58</v>
      </c>
      <c r="D406" s="2">
        <v>754923.7</v>
      </c>
      <c r="E406">
        <v>1750</v>
      </c>
      <c r="AI406">
        <v>1750</v>
      </c>
      <c r="BE406">
        <v>9</v>
      </c>
      <c r="BJ406">
        <v>67</v>
      </c>
    </row>
    <row r="407" spans="1:63" x14ac:dyDescent="0.35">
      <c r="A407">
        <v>2014</v>
      </c>
      <c r="B407" t="s">
        <v>59</v>
      </c>
      <c r="C407" t="s">
        <v>60</v>
      </c>
      <c r="D407" s="2">
        <v>15026.4</v>
      </c>
      <c r="E407">
        <v>2429</v>
      </c>
      <c r="H407">
        <v>4125</v>
      </c>
      <c r="J407">
        <v>366</v>
      </c>
      <c r="K407">
        <v>494</v>
      </c>
      <c r="AI407">
        <v>2429</v>
      </c>
      <c r="AN407">
        <v>4125</v>
      </c>
    </row>
    <row r="408" spans="1:63" x14ac:dyDescent="0.35">
      <c r="A408">
        <v>2014</v>
      </c>
      <c r="B408" t="s">
        <v>61</v>
      </c>
      <c r="C408" t="s">
        <v>62</v>
      </c>
      <c r="D408" s="2">
        <v>999254.5</v>
      </c>
      <c r="H408">
        <v>6348</v>
      </c>
      <c r="I408">
        <v>4649</v>
      </c>
      <c r="AM408">
        <v>4649</v>
      </c>
      <c r="AN408">
        <v>6348</v>
      </c>
    </row>
    <row r="409" spans="1:63" x14ac:dyDescent="0.35">
      <c r="A409">
        <v>2014</v>
      </c>
      <c r="B409" t="s">
        <v>63</v>
      </c>
      <c r="C409" t="s">
        <v>64</v>
      </c>
      <c r="D409" s="2">
        <v>68792.399999999994</v>
      </c>
      <c r="H409">
        <v>4212</v>
      </c>
      <c r="J409">
        <v>68</v>
      </c>
      <c r="AO409">
        <v>2118</v>
      </c>
      <c r="AP409">
        <v>2094</v>
      </c>
      <c r="AV409">
        <v>24</v>
      </c>
    </row>
    <row r="410" spans="1:63" x14ac:dyDescent="0.35">
      <c r="A410">
        <v>2014</v>
      </c>
      <c r="B410" t="s">
        <v>65</v>
      </c>
      <c r="C410" t="s">
        <v>66</v>
      </c>
      <c r="D410" s="2">
        <v>362267.2</v>
      </c>
      <c r="E410">
        <v>1008</v>
      </c>
      <c r="F410">
        <v>834</v>
      </c>
      <c r="H410">
        <v>9625</v>
      </c>
      <c r="I410">
        <v>692</v>
      </c>
      <c r="AM410">
        <v>692</v>
      </c>
      <c r="AN410">
        <v>9625</v>
      </c>
      <c r="AT410">
        <v>25</v>
      </c>
      <c r="AV410">
        <v>15</v>
      </c>
      <c r="BI410">
        <v>174</v>
      </c>
      <c r="BJ410">
        <v>42</v>
      </c>
    </row>
    <row r="411" spans="1:63" x14ac:dyDescent="0.35">
      <c r="A411">
        <v>2014</v>
      </c>
      <c r="B411" t="s">
        <v>67</v>
      </c>
      <c r="C411" t="s">
        <v>68</v>
      </c>
      <c r="D411" s="2">
        <v>503266.5</v>
      </c>
    </row>
    <row r="412" spans="1:63" x14ac:dyDescent="0.35">
      <c r="A412">
        <v>2014</v>
      </c>
      <c r="B412" t="s">
        <v>69</v>
      </c>
      <c r="C412" t="s">
        <v>70</v>
      </c>
      <c r="D412" s="2">
        <v>1726.4</v>
      </c>
    </row>
    <row r="413" spans="1:63" x14ac:dyDescent="0.35">
      <c r="A413">
        <v>2014</v>
      </c>
      <c r="B413" t="s">
        <v>71</v>
      </c>
      <c r="C413" t="s">
        <v>72</v>
      </c>
      <c r="D413" s="2">
        <v>244533.1</v>
      </c>
      <c r="H413">
        <v>6108</v>
      </c>
      <c r="I413">
        <v>585</v>
      </c>
      <c r="AM413">
        <v>585</v>
      </c>
      <c r="AN413">
        <v>2767</v>
      </c>
      <c r="AO413">
        <v>2707</v>
      </c>
      <c r="AP413">
        <v>634</v>
      </c>
      <c r="AV413">
        <v>1</v>
      </c>
      <c r="BG413">
        <v>1511</v>
      </c>
      <c r="BK413">
        <v>3046</v>
      </c>
    </row>
    <row r="414" spans="1:63" x14ac:dyDescent="0.35">
      <c r="A414">
        <v>2014</v>
      </c>
      <c r="B414" t="s">
        <v>73</v>
      </c>
      <c r="C414" t="s">
        <v>74</v>
      </c>
      <c r="D414" s="2">
        <v>1224226.8999999999</v>
      </c>
      <c r="J414">
        <v>5817</v>
      </c>
      <c r="K414">
        <v>14994</v>
      </c>
      <c r="M414">
        <v>67335</v>
      </c>
      <c r="N414">
        <v>2746</v>
      </c>
      <c r="O414">
        <v>2</v>
      </c>
      <c r="Q414">
        <v>4687</v>
      </c>
      <c r="W414">
        <v>3435</v>
      </c>
      <c r="AB414">
        <v>8924</v>
      </c>
      <c r="AE414">
        <v>326</v>
      </c>
      <c r="AF414">
        <v>145</v>
      </c>
      <c r="AT414">
        <v>1631</v>
      </c>
      <c r="AU414">
        <v>3705</v>
      </c>
      <c r="AY414">
        <v>362</v>
      </c>
      <c r="BB414">
        <v>17491</v>
      </c>
      <c r="BD414">
        <v>8781</v>
      </c>
      <c r="BJ414">
        <v>3453</v>
      </c>
    </row>
    <row r="415" spans="1:63" x14ac:dyDescent="0.35">
      <c r="A415">
        <v>2014</v>
      </c>
      <c r="B415" t="s">
        <v>75</v>
      </c>
      <c r="C415" t="s">
        <v>76</v>
      </c>
      <c r="D415" s="2">
        <v>423842.2</v>
      </c>
    </row>
    <row r="416" spans="1:63" x14ac:dyDescent="0.35">
      <c r="A416">
        <v>2014</v>
      </c>
      <c r="B416" t="s">
        <v>77</v>
      </c>
      <c r="C416" t="s">
        <v>78</v>
      </c>
      <c r="D416" s="2">
        <v>175074.6</v>
      </c>
      <c r="H416">
        <v>3458</v>
      </c>
      <c r="AN416">
        <v>3458</v>
      </c>
    </row>
    <row r="417" spans="1:64" x14ac:dyDescent="0.35">
      <c r="A417">
        <v>2014</v>
      </c>
      <c r="B417" t="s">
        <v>79</v>
      </c>
      <c r="C417" t="s">
        <v>80</v>
      </c>
      <c r="D417" s="2">
        <v>873411.1</v>
      </c>
      <c r="E417">
        <v>523</v>
      </c>
      <c r="H417">
        <v>4940</v>
      </c>
      <c r="I417">
        <v>959</v>
      </c>
      <c r="J417">
        <v>21</v>
      </c>
      <c r="AI417">
        <v>523</v>
      </c>
      <c r="AK417">
        <v>12</v>
      </c>
      <c r="AL417">
        <v>947</v>
      </c>
      <c r="AN417">
        <v>4940</v>
      </c>
      <c r="AT417">
        <v>42</v>
      </c>
      <c r="BJ417">
        <v>31</v>
      </c>
    </row>
    <row r="418" spans="1:64" x14ac:dyDescent="0.35">
      <c r="A418">
        <v>2014</v>
      </c>
      <c r="B418" t="s">
        <v>81</v>
      </c>
      <c r="C418" t="s">
        <v>82</v>
      </c>
      <c r="D418" s="2">
        <v>1437486</v>
      </c>
      <c r="H418">
        <v>45388</v>
      </c>
      <c r="AO418">
        <v>29982</v>
      </c>
      <c r="AP418">
        <v>15406</v>
      </c>
    </row>
    <row r="419" spans="1:64" x14ac:dyDescent="0.35">
      <c r="A419">
        <v>2014</v>
      </c>
      <c r="B419" t="s">
        <v>83</v>
      </c>
      <c r="C419" t="s">
        <v>84</v>
      </c>
      <c r="D419" s="2">
        <v>597001.9</v>
      </c>
    </row>
    <row r="420" spans="1:64" x14ac:dyDescent="0.35">
      <c r="A420">
        <v>2014</v>
      </c>
      <c r="B420" t="s">
        <v>85</v>
      </c>
      <c r="C420" t="s">
        <v>86</v>
      </c>
      <c r="D420" s="2">
        <v>485908.2</v>
      </c>
      <c r="E420">
        <v>1685</v>
      </c>
      <c r="F420">
        <v>1458</v>
      </c>
      <c r="H420">
        <v>20885</v>
      </c>
      <c r="J420">
        <v>107</v>
      </c>
      <c r="K420">
        <v>193</v>
      </c>
      <c r="L420">
        <v>5218</v>
      </c>
      <c r="Q420">
        <v>171</v>
      </c>
      <c r="U420">
        <v>111</v>
      </c>
      <c r="V420">
        <v>2052</v>
      </c>
      <c r="W420">
        <v>2052</v>
      </c>
      <c r="Z420">
        <v>190</v>
      </c>
      <c r="AB420">
        <v>312</v>
      </c>
      <c r="AC420">
        <v>229</v>
      </c>
      <c r="AE420">
        <v>519</v>
      </c>
      <c r="AG420">
        <v>26</v>
      </c>
      <c r="AO420">
        <v>2570</v>
      </c>
      <c r="AP420">
        <v>18315</v>
      </c>
      <c r="AQ420">
        <v>3000</v>
      </c>
      <c r="AR420">
        <v>40</v>
      </c>
      <c r="AS420">
        <v>819</v>
      </c>
      <c r="AT420">
        <v>63</v>
      </c>
      <c r="AV420">
        <v>48</v>
      </c>
      <c r="AY420">
        <v>145</v>
      </c>
      <c r="BB420">
        <v>511</v>
      </c>
      <c r="BC420">
        <v>413</v>
      </c>
      <c r="BI420">
        <v>227</v>
      </c>
      <c r="BJ420">
        <v>80</v>
      </c>
    </row>
    <row r="421" spans="1:64" x14ac:dyDescent="0.35">
      <c r="A421">
        <v>2014</v>
      </c>
      <c r="B421" t="s">
        <v>87</v>
      </c>
      <c r="C421" t="s">
        <v>88</v>
      </c>
      <c r="D421" s="2">
        <v>104202.4</v>
      </c>
      <c r="E421">
        <v>204</v>
      </c>
      <c r="H421">
        <v>4132</v>
      </c>
      <c r="AI421">
        <v>204</v>
      </c>
      <c r="AO421">
        <v>2735</v>
      </c>
      <c r="AP421">
        <v>1397</v>
      </c>
      <c r="BE421">
        <v>23</v>
      </c>
      <c r="BJ421">
        <v>53</v>
      </c>
    </row>
    <row r="422" spans="1:64" x14ac:dyDescent="0.35">
      <c r="A422">
        <v>2014</v>
      </c>
      <c r="B422" t="s">
        <v>89</v>
      </c>
      <c r="C422" t="s">
        <v>90</v>
      </c>
      <c r="D422" s="2">
        <v>248497.9</v>
      </c>
    </row>
    <row r="423" spans="1:64" x14ac:dyDescent="0.35">
      <c r="A423">
        <v>2014</v>
      </c>
      <c r="B423" t="s">
        <v>91</v>
      </c>
      <c r="C423" t="s">
        <v>92</v>
      </c>
      <c r="D423" s="2">
        <v>22908.400000000001</v>
      </c>
    </row>
    <row r="424" spans="1:64" x14ac:dyDescent="0.35">
      <c r="A424">
        <v>2014</v>
      </c>
      <c r="B424" t="s">
        <v>93</v>
      </c>
      <c r="C424" t="s">
        <v>94</v>
      </c>
      <c r="D424" s="2">
        <v>1924245.2</v>
      </c>
      <c r="E424">
        <v>3015</v>
      </c>
      <c r="H424">
        <v>21552</v>
      </c>
      <c r="J424">
        <v>104</v>
      </c>
      <c r="K424">
        <v>707</v>
      </c>
      <c r="Q424">
        <v>933</v>
      </c>
      <c r="V424">
        <v>1119</v>
      </c>
      <c r="W424">
        <v>1205</v>
      </c>
      <c r="AE424">
        <v>2508</v>
      </c>
      <c r="AF424">
        <v>93</v>
      </c>
      <c r="AI424">
        <v>2086</v>
      </c>
      <c r="AN424">
        <v>21552</v>
      </c>
      <c r="AV424">
        <v>6</v>
      </c>
      <c r="AY424">
        <v>10536</v>
      </c>
      <c r="BB424">
        <v>1132</v>
      </c>
      <c r="BI424">
        <v>929</v>
      </c>
    </row>
    <row r="425" spans="1:64" x14ac:dyDescent="0.35">
      <c r="A425">
        <v>2013</v>
      </c>
      <c r="B425" t="s">
        <v>1</v>
      </c>
      <c r="C425" t="s">
        <v>2</v>
      </c>
      <c r="D425" s="2">
        <v>712157.2</v>
      </c>
      <c r="E425">
        <v>803</v>
      </c>
      <c r="H425">
        <v>6196</v>
      </c>
      <c r="I425">
        <v>1591</v>
      </c>
      <c r="K425">
        <v>207</v>
      </c>
      <c r="AI425">
        <v>803</v>
      </c>
      <c r="AM425">
        <v>1591</v>
      </c>
      <c r="AO425">
        <v>2707</v>
      </c>
      <c r="AP425">
        <v>3489</v>
      </c>
    </row>
    <row r="426" spans="1:64" x14ac:dyDescent="0.35">
      <c r="A426">
        <v>2013</v>
      </c>
      <c r="B426" t="s">
        <v>3</v>
      </c>
      <c r="C426" t="s">
        <v>4</v>
      </c>
      <c r="D426" s="2">
        <v>196632.4</v>
      </c>
      <c r="I426">
        <v>514</v>
      </c>
      <c r="AK426">
        <v>273</v>
      </c>
      <c r="AL426">
        <v>241</v>
      </c>
    </row>
    <row r="427" spans="1:64" x14ac:dyDescent="0.35">
      <c r="A427">
        <v>2013</v>
      </c>
      <c r="B427" t="s">
        <v>5</v>
      </c>
      <c r="C427" t="s">
        <v>6</v>
      </c>
      <c r="D427" s="2">
        <v>6883.1</v>
      </c>
      <c r="I427">
        <v>31</v>
      </c>
      <c r="AL427">
        <v>31</v>
      </c>
    </row>
    <row r="428" spans="1:64" x14ac:dyDescent="0.35">
      <c r="A428">
        <v>2013</v>
      </c>
      <c r="B428" t="s">
        <v>7</v>
      </c>
      <c r="C428" t="s">
        <v>8</v>
      </c>
      <c r="D428" s="2">
        <v>3118004.4</v>
      </c>
      <c r="E428">
        <v>6418</v>
      </c>
      <c r="H428">
        <v>59813</v>
      </c>
      <c r="I428">
        <v>1555</v>
      </c>
      <c r="K428">
        <v>283</v>
      </c>
      <c r="AB428">
        <v>287</v>
      </c>
      <c r="AF428">
        <v>2126</v>
      </c>
      <c r="AI428">
        <v>6418</v>
      </c>
      <c r="AK428">
        <v>1555</v>
      </c>
      <c r="AN428">
        <v>59813</v>
      </c>
      <c r="AS428">
        <v>582</v>
      </c>
    </row>
    <row r="429" spans="1:64" x14ac:dyDescent="0.35">
      <c r="A429">
        <v>2013</v>
      </c>
      <c r="B429" t="s">
        <v>9</v>
      </c>
      <c r="C429" t="s">
        <v>10</v>
      </c>
      <c r="D429" s="2">
        <v>3257516.8</v>
      </c>
      <c r="I429">
        <v>6925</v>
      </c>
      <c r="AL429">
        <v>6925</v>
      </c>
    </row>
    <row r="430" spans="1:64" x14ac:dyDescent="0.35">
      <c r="A430">
        <v>2013</v>
      </c>
      <c r="B430" t="s">
        <v>11</v>
      </c>
      <c r="C430" t="s">
        <v>12</v>
      </c>
      <c r="D430" s="2">
        <v>6805083.0999999996</v>
      </c>
      <c r="E430">
        <v>65759</v>
      </c>
      <c r="H430">
        <v>74920</v>
      </c>
      <c r="I430">
        <v>101275</v>
      </c>
      <c r="AI430">
        <v>65759</v>
      </c>
      <c r="AL430">
        <v>101275</v>
      </c>
      <c r="AN430">
        <v>74920</v>
      </c>
      <c r="BG430">
        <v>68565</v>
      </c>
      <c r="BL430">
        <v>262512</v>
      </c>
    </row>
    <row r="431" spans="1:64" x14ac:dyDescent="0.35">
      <c r="A431">
        <v>2013</v>
      </c>
      <c r="B431" t="s">
        <v>13</v>
      </c>
      <c r="C431" t="s">
        <v>14</v>
      </c>
      <c r="D431" s="2">
        <v>60469.599999999999</v>
      </c>
      <c r="I431">
        <v>437</v>
      </c>
      <c r="AL431">
        <v>437</v>
      </c>
    </row>
    <row r="432" spans="1:64" x14ac:dyDescent="0.35">
      <c r="A432">
        <v>2013</v>
      </c>
      <c r="B432" t="s">
        <v>15</v>
      </c>
      <c r="C432" t="s">
        <v>16</v>
      </c>
      <c r="D432" s="2">
        <v>137079.5</v>
      </c>
      <c r="I432">
        <v>368</v>
      </c>
      <c r="AL432">
        <v>368</v>
      </c>
    </row>
    <row r="433" spans="1:64" x14ac:dyDescent="0.35">
      <c r="A433">
        <v>2013</v>
      </c>
      <c r="B433" t="s">
        <v>17</v>
      </c>
      <c r="C433" t="s">
        <v>18</v>
      </c>
      <c r="D433" s="2">
        <v>32451</v>
      </c>
      <c r="H433">
        <v>3735</v>
      </c>
      <c r="AO433">
        <v>809</v>
      </c>
      <c r="AP433">
        <v>2926</v>
      </c>
    </row>
    <row r="434" spans="1:64" x14ac:dyDescent="0.35">
      <c r="A434">
        <v>2013</v>
      </c>
      <c r="B434" t="s">
        <v>19</v>
      </c>
      <c r="C434" t="s">
        <v>20</v>
      </c>
      <c r="D434" s="2">
        <v>59174.8</v>
      </c>
    </row>
    <row r="435" spans="1:64" x14ac:dyDescent="0.35">
      <c r="A435">
        <v>2013</v>
      </c>
      <c r="B435" t="s">
        <v>21</v>
      </c>
      <c r="C435" t="s">
        <v>22</v>
      </c>
      <c r="D435" s="2">
        <v>971174.5</v>
      </c>
      <c r="AT435">
        <v>599</v>
      </c>
      <c r="AV435">
        <v>825</v>
      </c>
      <c r="BJ435">
        <v>3204</v>
      </c>
    </row>
    <row r="436" spans="1:64" x14ac:dyDescent="0.35">
      <c r="A436">
        <v>2013</v>
      </c>
      <c r="B436" t="s">
        <v>23</v>
      </c>
      <c r="C436" t="s">
        <v>24</v>
      </c>
      <c r="D436" s="2">
        <v>1089608.5</v>
      </c>
      <c r="I436">
        <v>30</v>
      </c>
      <c r="AL436">
        <v>30</v>
      </c>
    </row>
    <row r="437" spans="1:64" x14ac:dyDescent="0.35">
      <c r="A437">
        <v>2013</v>
      </c>
      <c r="B437" t="s">
        <v>25</v>
      </c>
      <c r="C437" t="s">
        <v>26</v>
      </c>
      <c r="D437" s="2">
        <v>387605.1</v>
      </c>
      <c r="H437">
        <v>4880</v>
      </c>
      <c r="I437">
        <v>943</v>
      </c>
      <c r="K437">
        <v>1330</v>
      </c>
      <c r="AB437">
        <v>206</v>
      </c>
      <c r="AE437">
        <v>830</v>
      </c>
      <c r="AL437">
        <v>943</v>
      </c>
      <c r="AN437">
        <v>4880</v>
      </c>
      <c r="BB437">
        <v>770</v>
      </c>
      <c r="BL437">
        <v>10200</v>
      </c>
    </row>
    <row r="438" spans="1:64" x14ac:dyDescent="0.35">
      <c r="A438">
        <v>2013</v>
      </c>
      <c r="B438" t="s">
        <v>27</v>
      </c>
      <c r="C438" t="s">
        <v>28</v>
      </c>
      <c r="D438" s="2">
        <v>60143.3</v>
      </c>
      <c r="I438">
        <v>1501</v>
      </c>
      <c r="AL438">
        <v>1501</v>
      </c>
    </row>
    <row r="439" spans="1:64" x14ac:dyDescent="0.35">
      <c r="A439">
        <v>2013</v>
      </c>
      <c r="B439" t="s">
        <v>29</v>
      </c>
      <c r="C439" t="s">
        <v>30</v>
      </c>
      <c r="D439" s="2">
        <v>429312</v>
      </c>
      <c r="E439">
        <v>554</v>
      </c>
      <c r="F439">
        <v>486</v>
      </c>
      <c r="H439">
        <v>6573</v>
      </c>
      <c r="I439">
        <v>35</v>
      </c>
      <c r="J439">
        <v>4</v>
      </c>
      <c r="AL439">
        <v>35</v>
      </c>
      <c r="AO439">
        <v>4005</v>
      </c>
      <c r="AP439">
        <v>2568</v>
      </c>
      <c r="BI439">
        <v>68</v>
      </c>
    </row>
    <row r="440" spans="1:64" x14ac:dyDescent="0.35">
      <c r="A440">
        <v>2013</v>
      </c>
      <c r="B440" t="s">
        <v>31</v>
      </c>
      <c r="C440" t="s">
        <v>32</v>
      </c>
      <c r="D440" s="2">
        <v>11037.4</v>
      </c>
      <c r="E440">
        <v>308</v>
      </c>
      <c r="H440">
        <v>403</v>
      </c>
      <c r="AI440">
        <v>308</v>
      </c>
      <c r="AN440">
        <v>403</v>
      </c>
    </row>
    <row r="441" spans="1:64" x14ac:dyDescent="0.35">
      <c r="A441">
        <v>2013</v>
      </c>
      <c r="B441" t="s">
        <v>33</v>
      </c>
      <c r="C441" t="s">
        <v>34</v>
      </c>
      <c r="D441" s="2">
        <v>803500.2</v>
      </c>
      <c r="I441">
        <v>127</v>
      </c>
      <c r="AL441">
        <v>127</v>
      </c>
    </row>
    <row r="442" spans="1:64" x14ac:dyDescent="0.35">
      <c r="A442">
        <v>2013</v>
      </c>
      <c r="B442" t="s">
        <v>35</v>
      </c>
      <c r="C442" t="s">
        <v>36</v>
      </c>
      <c r="D442" s="2">
        <v>595182.19999999995</v>
      </c>
      <c r="E442">
        <v>573</v>
      </c>
      <c r="H442">
        <v>3606</v>
      </c>
      <c r="I442">
        <v>451</v>
      </c>
      <c r="K442">
        <v>72</v>
      </c>
      <c r="AI442">
        <v>573</v>
      </c>
      <c r="AM442">
        <v>451</v>
      </c>
      <c r="AN442">
        <v>3606</v>
      </c>
    </row>
    <row r="443" spans="1:64" x14ac:dyDescent="0.35">
      <c r="A443">
        <v>2013</v>
      </c>
      <c r="B443" t="s">
        <v>37</v>
      </c>
      <c r="C443" t="s">
        <v>38</v>
      </c>
      <c r="D443" s="2">
        <v>812933</v>
      </c>
      <c r="H443">
        <v>8780</v>
      </c>
      <c r="I443">
        <v>3851</v>
      </c>
      <c r="AK443">
        <v>1224</v>
      </c>
      <c r="AL443">
        <v>2627</v>
      </c>
      <c r="AO443">
        <v>1608</v>
      </c>
      <c r="AP443">
        <v>7172</v>
      </c>
    </row>
    <row r="444" spans="1:64" x14ac:dyDescent="0.35">
      <c r="A444">
        <v>2013</v>
      </c>
      <c r="B444" t="s">
        <v>39</v>
      </c>
      <c r="C444" t="s">
        <v>40</v>
      </c>
      <c r="D444" s="2">
        <v>44010.1</v>
      </c>
    </row>
    <row r="445" spans="1:64" x14ac:dyDescent="0.35">
      <c r="A445">
        <v>2013</v>
      </c>
      <c r="B445" t="s">
        <v>41</v>
      </c>
      <c r="C445" t="s">
        <v>42</v>
      </c>
      <c r="D445" s="2">
        <v>82489.399999999994</v>
      </c>
      <c r="I445">
        <v>259</v>
      </c>
      <c r="AK445">
        <v>180</v>
      </c>
      <c r="AL445">
        <v>79</v>
      </c>
    </row>
    <row r="446" spans="1:64" x14ac:dyDescent="0.35">
      <c r="A446">
        <v>2013</v>
      </c>
      <c r="B446" t="s">
        <v>43</v>
      </c>
      <c r="C446" t="s">
        <v>44</v>
      </c>
      <c r="D446" s="2">
        <v>884877.4</v>
      </c>
      <c r="E446">
        <v>2730</v>
      </c>
      <c r="I446">
        <v>11287</v>
      </c>
      <c r="P446">
        <v>5293</v>
      </c>
      <c r="V446">
        <v>1473</v>
      </c>
      <c r="W446">
        <v>3639</v>
      </c>
      <c r="AE446">
        <v>3987</v>
      </c>
      <c r="AI446">
        <v>2730</v>
      </c>
      <c r="AL446">
        <v>4185</v>
      </c>
      <c r="AM446">
        <v>7102</v>
      </c>
      <c r="BG446">
        <v>3482</v>
      </c>
      <c r="BH446">
        <v>2636</v>
      </c>
      <c r="BK446">
        <v>4472</v>
      </c>
      <c r="BL446">
        <v>4166</v>
      </c>
    </row>
    <row r="447" spans="1:64" x14ac:dyDescent="0.35">
      <c r="A447">
        <v>2013</v>
      </c>
      <c r="B447" t="s">
        <v>45</v>
      </c>
      <c r="C447" t="s">
        <v>46</v>
      </c>
      <c r="D447" s="2">
        <v>405974.1</v>
      </c>
      <c r="I447">
        <v>500</v>
      </c>
      <c r="AL447">
        <v>500</v>
      </c>
    </row>
    <row r="448" spans="1:64" x14ac:dyDescent="0.35">
      <c r="A448">
        <v>2013</v>
      </c>
      <c r="B448" t="s">
        <v>47</v>
      </c>
      <c r="C448" t="s">
        <v>48</v>
      </c>
      <c r="D448" s="2">
        <v>61757.599999999999</v>
      </c>
      <c r="H448">
        <v>727</v>
      </c>
      <c r="I448">
        <v>153</v>
      </c>
      <c r="AK448">
        <v>5</v>
      </c>
      <c r="AL448">
        <v>148</v>
      </c>
      <c r="AO448">
        <v>253</v>
      </c>
      <c r="AP448">
        <v>474</v>
      </c>
      <c r="AQ448">
        <v>14</v>
      </c>
    </row>
    <row r="449" spans="1:64" x14ac:dyDescent="0.35">
      <c r="A449">
        <v>2013</v>
      </c>
      <c r="B449" t="s">
        <v>49</v>
      </c>
      <c r="C449" t="s">
        <v>50</v>
      </c>
      <c r="D449" s="2">
        <v>1427073.7</v>
      </c>
      <c r="E449">
        <v>8682</v>
      </c>
      <c r="H449">
        <v>40292</v>
      </c>
      <c r="J449">
        <v>1045</v>
      </c>
      <c r="K449">
        <v>2202</v>
      </c>
      <c r="AI449">
        <v>8682</v>
      </c>
      <c r="AO449">
        <v>11992</v>
      </c>
      <c r="AP449">
        <v>28300</v>
      </c>
      <c r="AV449">
        <v>129</v>
      </c>
    </row>
    <row r="450" spans="1:64" x14ac:dyDescent="0.35">
      <c r="A450">
        <v>2013</v>
      </c>
      <c r="B450" t="s">
        <v>51</v>
      </c>
      <c r="C450" t="s">
        <v>52</v>
      </c>
      <c r="D450" s="2">
        <v>157241.29999999999</v>
      </c>
      <c r="I450">
        <v>806</v>
      </c>
      <c r="AL450">
        <v>806</v>
      </c>
    </row>
    <row r="451" spans="1:64" x14ac:dyDescent="0.35">
      <c r="A451">
        <v>2013</v>
      </c>
      <c r="B451" t="s">
        <v>53</v>
      </c>
      <c r="C451" t="s">
        <v>54</v>
      </c>
      <c r="D451" s="2">
        <v>785163.7</v>
      </c>
      <c r="E451">
        <v>3523</v>
      </c>
      <c r="F451">
        <v>3028</v>
      </c>
      <c r="H451">
        <v>3438</v>
      </c>
      <c r="I451">
        <v>3400</v>
      </c>
      <c r="J451">
        <v>111</v>
      </c>
      <c r="K451">
        <v>17</v>
      </c>
      <c r="AL451">
        <v>3400</v>
      </c>
      <c r="AN451">
        <v>3438</v>
      </c>
      <c r="BI451">
        <v>495</v>
      </c>
    </row>
    <row r="452" spans="1:64" x14ac:dyDescent="0.35">
      <c r="A452">
        <v>2013</v>
      </c>
      <c r="B452" t="s">
        <v>55</v>
      </c>
      <c r="C452" t="s">
        <v>56</v>
      </c>
      <c r="D452" s="2">
        <v>598581.6</v>
      </c>
      <c r="E452">
        <v>200</v>
      </c>
      <c r="H452">
        <v>3545</v>
      </c>
      <c r="I452">
        <v>48</v>
      </c>
      <c r="K452">
        <v>170</v>
      </c>
      <c r="AI452">
        <v>168</v>
      </c>
      <c r="AK452">
        <v>48</v>
      </c>
      <c r="AN452">
        <v>3545</v>
      </c>
      <c r="BI452">
        <v>32</v>
      </c>
    </row>
    <row r="453" spans="1:64" x14ac:dyDescent="0.35">
      <c r="A453">
        <v>2013</v>
      </c>
      <c r="B453" t="s">
        <v>57</v>
      </c>
      <c r="C453" t="s">
        <v>58</v>
      </c>
      <c r="D453" s="2">
        <v>740567.7</v>
      </c>
      <c r="E453">
        <v>1971</v>
      </c>
      <c r="I453">
        <v>1961</v>
      </c>
      <c r="AI453">
        <v>1971</v>
      </c>
      <c r="AK453">
        <v>1275</v>
      </c>
      <c r="AL453">
        <v>686</v>
      </c>
      <c r="BE453">
        <v>8</v>
      </c>
      <c r="BJ453">
        <v>113</v>
      </c>
    </row>
    <row r="454" spans="1:64" x14ac:dyDescent="0.35">
      <c r="A454">
        <v>2013</v>
      </c>
      <c r="B454" t="s">
        <v>59</v>
      </c>
      <c r="C454" t="s">
        <v>60</v>
      </c>
      <c r="D454" s="2">
        <v>15623.3</v>
      </c>
      <c r="E454">
        <v>2046</v>
      </c>
      <c r="H454">
        <v>3963</v>
      </c>
      <c r="J454">
        <v>351</v>
      </c>
      <c r="K454">
        <v>460</v>
      </c>
      <c r="AI454">
        <v>2046</v>
      </c>
      <c r="AN454">
        <v>3963</v>
      </c>
    </row>
    <row r="455" spans="1:64" x14ac:dyDescent="0.35">
      <c r="A455">
        <v>2013</v>
      </c>
      <c r="B455" t="s">
        <v>61</v>
      </c>
      <c r="C455" t="s">
        <v>62</v>
      </c>
      <c r="D455" s="2">
        <v>989682.3</v>
      </c>
      <c r="E455">
        <v>1452</v>
      </c>
      <c r="H455">
        <v>6432</v>
      </c>
      <c r="I455">
        <v>4265</v>
      </c>
      <c r="J455">
        <v>136</v>
      </c>
      <c r="K455">
        <v>103</v>
      </c>
      <c r="P455">
        <v>1204</v>
      </c>
      <c r="Q455">
        <v>238</v>
      </c>
      <c r="R455">
        <v>44</v>
      </c>
      <c r="AB455">
        <v>238</v>
      </c>
      <c r="AE455">
        <v>1465</v>
      </c>
      <c r="AI455">
        <v>1452</v>
      </c>
      <c r="AK455">
        <v>720</v>
      </c>
      <c r="AL455">
        <v>3545</v>
      </c>
      <c r="AN455">
        <v>6432</v>
      </c>
      <c r="AU455">
        <v>115</v>
      </c>
      <c r="BB455">
        <v>1388</v>
      </c>
      <c r="BC455">
        <v>287</v>
      </c>
    </row>
    <row r="456" spans="1:64" x14ac:dyDescent="0.35">
      <c r="A456">
        <v>2013</v>
      </c>
      <c r="B456" t="s">
        <v>63</v>
      </c>
      <c r="C456" t="s">
        <v>64</v>
      </c>
      <c r="D456" s="2">
        <v>67950.7</v>
      </c>
      <c r="H456">
        <v>4110</v>
      </c>
      <c r="AO456">
        <v>2068</v>
      </c>
      <c r="AP456">
        <v>2042</v>
      </c>
      <c r="AT456">
        <v>30</v>
      </c>
      <c r="BJ456">
        <v>83</v>
      </c>
    </row>
    <row r="457" spans="1:64" x14ac:dyDescent="0.35">
      <c r="A457">
        <v>2013</v>
      </c>
      <c r="B457" t="s">
        <v>65</v>
      </c>
      <c r="C457" t="s">
        <v>66</v>
      </c>
      <c r="D457" s="2">
        <v>357235.9</v>
      </c>
      <c r="E457">
        <v>1104</v>
      </c>
      <c r="F457">
        <v>609</v>
      </c>
      <c r="I457">
        <v>622</v>
      </c>
      <c r="AL457">
        <v>622</v>
      </c>
      <c r="BI457">
        <v>495</v>
      </c>
    </row>
    <row r="458" spans="1:64" x14ac:dyDescent="0.35">
      <c r="A458">
        <v>2013</v>
      </c>
      <c r="B458" t="s">
        <v>67</v>
      </c>
      <c r="C458" t="s">
        <v>68</v>
      </c>
      <c r="D458" s="2">
        <v>494983.7</v>
      </c>
      <c r="I458">
        <v>3946</v>
      </c>
      <c r="J458">
        <v>54</v>
      </c>
      <c r="S458">
        <v>66</v>
      </c>
      <c r="T458">
        <v>22</v>
      </c>
      <c r="AB458">
        <v>22</v>
      </c>
      <c r="AE458">
        <v>546</v>
      </c>
      <c r="AL458">
        <v>3946</v>
      </c>
      <c r="AV458">
        <v>42</v>
      </c>
      <c r="AY458">
        <v>11</v>
      </c>
      <c r="BB458">
        <v>371</v>
      </c>
      <c r="BC458">
        <v>11</v>
      </c>
      <c r="BK458">
        <v>22</v>
      </c>
      <c r="BL458">
        <v>32</v>
      </c>
    </row>
    <row r="459" spans="1:64" x14ac:dyDescent="0.35">
      <c r="A459">
        <v>2013</v>
      </c>
      <c r="B459" t="s">
        <v>69</v>
      </c>
      <c r="C459" t="s">
        <v>70</v>
      </c>
      <c r="D459" s="2">
        <v>1775</v>
      </c>
    </row>
    <row r="460" spans="1:64" x14ac:dyDescent="0.35">
      <c r="A460">
        <v>2013</v>
      </c>
      <c r="B460" t="s">
        <v>71</v>
      </c>
      <c r="C460" t="s">
        <v>72</v>
      </c>
      <c r="D460" s="2">
        <v>244461.1</v>
      </c>
      <c r="H460">
        <v>6106</v>
      </c>
      <c r="I460">
        <v>2187</v>
      </c>
      <c r="AK460">
        <v>1901</v>
      </c>
      <c r="AL460">
        <v>286</v>
      </c>
      <c r="AN460">
        <v>2765</v>
      </c>
      <c r="AO460">
        <v>2707</v>
      </c>
      <c r="AP460">
        <v>634</v>
      </c>
    </row>
    <row r="461" spans="1:64" x14ac:dyDescent="0.35">
      <c r="A461">
        <v>2013</v>
      </c>
      <c r="B461" t="s">
        <v>73</v>
      </c>
      <c r="C461" t="s">
        <v>74</v>
      </c>
      <c r="D461" s="2">
        <v>1214423.8999999999</v>
      </c>
      <c r="J461">
        <v>5770</v>
      </c>
      <c r="M461">
        <v>64876</v>
      </c>
      <c r="N461">
        <v>2586</v>
      </c>
      <c r="O461">
        <v>2</v>
      </c>
      <c r="Q461">
        <v>4625</v>
      </c>
      <c r="W461">
        <v>3330</v>
      </c>
      <c r="AB461">
        <v>8476</v>
      </c>
      <c r="AE461">
        <v>273</v>
      </c>
      <c r="AF461">
        <v>144</v>
      </c>
      <c r="AU461">
        <v>3588</v>
      </c>
      <c r="AY461">
        <v>217</v>
      </c>
      <c r="BD461">
        <v>8185</v>
      </c>
    </row>
    <row r="462" spans="1:64" x14ac:dyDescent="0.35">
      <c r="A462">
        <v>2013</v>
      </c>
      <c r="B462" t="s">
        <v>75</v>
      </c>
      <c r="C462" t="s">
        <v>76</v>
      </c>
      <c r="D462" s="2">
        <v>420676</v>
      </c>
      <c r="AT462">
        <v>17</v>
      </c>
      <c r="BJ462">
        <v>15</v>
      </c>
    </row>
    <row r="463" spans="1:64" x14ac:dyDescent="0.35">
      <c r="A463">
        <v>2013</v>
      </c>
      <c r="B463" t="s">
        <v>77</v>
      </c>
      <c r="C463" t="s">
        <v>78</v>
      </c>
      <c r="D463" s="2">
        <v>175389.3</v>
      </c>
      <c r="H463">
        <v>3289</v>
      </c>
      <c r="I463">
        <v>1282</v>
      </c>
      <c r="AK463">
        <v>67</v>
      </c>
      <c r="AL463">
        <v>1215</v>
      </c>
      <c r="AN463">
        <v>3289</v>
      </c>
    </row>
    <row r="464" spans="1:64" x14ac:dyDescent="0.35">
      <c r="A464">
        <v>2013</v>
      </c>
      <c r="B464" t="s">
        <v>79</v>
      </c>
      <c r="C464" t="s">
        <v>80</v>
      </c>
      <c r="D464" s="2">
        <v>845295.7</v>
      </c>
      <c r="E464">
        <v>946</v>
      </c>
      <c r="H464">
        <v>3289</v>
      </c>
      <c r="I464">
        <v>836</v>
      </c>
      <c r="J464">
        <v>30</v>
      </c>
      <c r="K464">
        <v>51</v>
      </c>
      <c r="P464">
        <v>6560</v>
      </c>
      <c r="AI464">
        <v>946</v>
      </c>
      <c r="AL464">
        <v>829</v>
      </c>
      <c r="AM464">
        <v>7</v>
      </c>
      <c r="AN464">
        <v>3289</v>
      </c>
    </row>
    <row r="465" spans="1:62" x14ac:dyDescent="0.35">
      <c r="A465">
        <v>2013</v>
      </c>
      <c r="B465" t="s">
        <v>81</v>
      </c>
      <c r="C465" t="s">
        <v>82</v>
      </c>
      <c r="D465" s="2">
        <v>1420776.7</v>
      </c>
      <c r="H465">
        <v>40149</v>
      </c>
      <c r="I465">
        <v>7000</v>
      </c>
      <c r="AL465">
        <v>7000</v>
      </c>
      <c r="AO465">
        <v>25846</v>
      </c>
      <c r="AP465">
        <v>14303</v>
      </c>
    </row>
    <row r="466" spans="1:62" x14ac:dyDescent="0.35">
      <c r="A466">
        <v>2013</v>
      </c>
      <c r="B466" t="s">
        <v>83</v>
      </c>
      <c r="C466" t="s">
        <v>84</v>
      </c>
      <c r="D466" s="2">
        <v>589977.69999999995</v>
      </c>
      <c r="I466">
        <v>2773</v>
      </c>
      <c r="AL466">
        <v>2773</v>
      </c>
    </row>
    <row r="467" spans="1:62" x14ac:dyDescent="0.35">
      <c r="A467">
        <v>2013</v>
      </c>
      <c r="B467" t="s">
        <v>85</v>
      </c>
      <c r="C467" t="s">
        <v>86</v>
      </c>
      <c r="D467" s="2">
        <v>485648.9</v>
      </c>
      <c r="E467">
        <v>1114</v>
      </c>
      <c r="H467">
        <v>18722</v>
      </c>
      <c r="J467">
        <v>236</v>
      </c>
      <c r="K467">
        <v>394</v>
      </c>
      <c r="L467">
        <v>5334</v>
      </c>
      <c r="W467">
        <v>1885</v>
      </c>
      <c r="AB467">
        <v>239</v>
      </c>
      <c r="AF467">
        <v>343</v>
      </c>
      <c r="AG467">
        <v>26</v>
      </c>
      <c r="AI467">
        <v>1114</v>
      </c>
      <c r="AN467">
        <v>18722</v>
      </c>
      <c r="AS467">
        <v>845</v>
      </c>
      <c r="BC467">
        <v>419</v>
      </c>
    </row>
    <row r="468" spans="1:62" x14ac:dyDescent="0.35">
      <c r="A468">
        <v>2013</v>
      </c>
      <c r="B468" t="s">
        <v>87</v>
      </c>
      <c r="C468" t="s">
        <v>88</v>
      </c>
      <c r="D468" s="2">
        <v>104956.6</v>
      </c>
      <c r="E468">
        <v>172</v>
      </c>
      <c r="H468">
        <v>4262</v>
      </c>
      <c r="AI468">
        <v>172</v>
      </c>
      <c r="AO468">
        <v>2867</v>
      </c>
      <c r="AP468">
        <v>1395</v>
      </c>
      <c r="BE468">
        <v>23</v>
      </c>
      <c r="BJ468">
        <v>60</v>
      </c>
    </row>
    <row r="469" spans="1:62" x14ac:dyDescent="0.35">
      <c r="A469">
        <v>2013</v>
      </c>
      <c r="B469" t="s">
        <v>89</v>
      </c>
      <c r="C469" t="s">
        <v>90</v>
      </c>
      <c r="D469" s="2">
        <v>245420.7</v>
      </c>
      <c r="I469">
        <v>795</v>
      </c>
      <c r="AK469">
        <v>399</v>
      </c>
      <c r="AL469">
        <v>396</v>
      </c>
      <c r="BE469">
        <v>2</v>
      </c>
      <c r="BJ469">
        <v>51</v>
      </c>
    </row>
    <row r="470" spans="1:62" x14ac:dyDescent="0.35">
      <c r="A470">
        <v>2013</v>
      </c>
      <c r="B470" t="s">
        <v>91</v>
      </c>
      <c r="C470" t="s">
        <v>92</v>
      </c>
      <c r="D470" s="2">
        <v>22675.4</v>
      </c>
      <c r="I470">
        <v>295</v>
      </c>
      <c r="AK470">
        <v>11</v>
      </c>
      <c r="AL470">
        <v>284</v>
      </c>
    </row>
    <row r="471" spans="1:62" x14ac:dyDescent="0.35">
      <c r="A471">
        <v>2013</v>
      </c>
      <c r="B471" t="s">
        <v>93</v>
      </c>
      <c r="C471" t="s">
        <v>94</v>
      </c>
      <c r="D471" s="2">
        <v>1850826.3</v>
      </c>
    </row>
    <row r="472" spans="1:62" x14ac:dyDescent="0.35">
      <c r="A472">
        <v>2012</v>
      </c>
      <c r="B472" t="s">
        <v>1</v>
      </c>
      <c r="C472" t="s">
        <v>2</v>
      </c>
      <c r="D472" s="2">
        <v>699018.1</v>
      </c>
      <c r="E472">
        <v>787</v>
      </c>
      <c r="H472">
        <v>6008</v>
      </c>
      <c r="I472">
        <v>4451</v>
      </c>
      <c r="J472">
        <v>38</v>
      </c>
      <c r="K472">
        <v>203</v>
      </c>
      <c r="P472">
        <v>2099</v>
      </c>
      <c r="V472">
        <v>91</v>
      </c>
      <c r="AB472">
        <v>109</v>
      </c>
      <c r="AE472">
        <v>458</v>
      </c>
      <c r="AI472">
        <v>787</v>
      </c>
      <c r="AM472">
        <v>4451</v>
      </c>
      <c r="AN472">
        <v>6008</v>
      </c>
      <c r="BB472">
        <v>148</v>
      </c>
    </row>
    <row r="473" spans="1:62" x14ac:dyDescent="0.35">
      <c r="A473">
        <v>2012</v>
      </c>
      <c r="B473" t="s">
        <v>3</v>
      </c>
      <c r="C473" t="s">
        <v>4</v>
      </c>
      <c r="D473" s="2">
        <v>196643.20000000001</v>
      </c>
    </row>
    <row r="474" spans="1:62" x14ac:dyDescent="0.35">
      <c r="A474">
        <v>2012</v>
      </c>
      <c r="B474" t="s">
        <v>5</v>
      </c>
      <c r="C474" t="s">
        <v>6</v>
      </c>
      <c r="D474" s="2">
        <v>6575.5</v>
      </c>
    </row>
    <row r="475" spans="1:62" x14ac:dyDescent="0.35">
      <c r="A475">
        <v>2012</v>
      </c>
      <c r="B475" t="s">
        <v>7</v>
      </c>
      <c r="C475" t="s">
        <v>8</v>
      </c>
      <c r="D475" s="2">
        <v>3026941</v>
      </c>
    </row>
    <row r="476" spans="1:62" x14ac:dyDescent="0.35">
      <c r="A476">
        <v>2012</v>
      </c>
      <c r="B476" t="s">
        <v>9</v>
      </c>
      <c r="C476" t="s">
        <v>10</v>
      </c>
      <c r="D476" s="2">
        <v>3248329.2</v>
      </c>
    </row>
    <row r="477" spans="1:62" x14ac:dyDescent="0.35">
      <c r="A477">
        <v>2012</v>
      </c>
      <c r="B477" t="s">
        <v>11</v>
      </c>
      <c r="C477" t="s">
        <v>12</v>
      </c>
      <c r="D477" s="2">
        <v>6713643.7999999998</v>
      </c>
      <c r="AV477">
        <v>144</v>
      </c>
    </row>
    <row r="478" spans="1:62" x14ac:dyDescent="0.35">
      <c r="A478">
        <v>2012</v>
      </c>
      <c r="B478" t="s">
        <v>13</v>
      </c>
      <c r="C478" t="s">
        <v>14</v>
      </c>
      <c r="D478" s="2">
        <v>59226.3</v>
      </c>
    </row>
    <row r="479" spans="1:62" x14ac:dyDescent="0.35">
      <c r="A479">
        <v>2012</v>
      </c>
      <c r="B479" t="s">
        <v>15</v>
      </c>
      <c r="C479" t="s">
        <v>16</v>
      </c>
      <c r="D479" s="2">
        <v>140118.5</v>
      </c>
    </row>
    <row r="480" spans="1:62" x14ac:dyDescent="0.35">
      <c r="A480">
        <v>2012</v>
      </c>
      <c r="B480" t="s">
        <v>17</v>
      </c>
      <c r="C480" t="s">
        <v>18</v>
      </c>
      <c r="D480" s="2">
        <v>32540</v>
      </c>
    </row>
    <row r="481" spans="1:63" x14ac:dyDescent="0.35">
      <c r="A481">
        <v>2012</v>
      </c>
      <c r="B481" t="s">
        <v>19</v>
      </c>
      <c r="C481" t="s">
        <v>20</v>
      </c>
      <c r="D481" s="2">
        <v>58544.2</v>
      </c>
    </row>
    <row r="482" spans="1:63" x14ac:dyDescent="0.35">
      <c r="A482">
        <v>2012</v>
      </c>
      <c r="B482" t="s">
        <v>21</v>
      </c>
      <c r="C482" t="s">
        <v>22</v>
      </c>
      <c r="D482" s="2">
        <v>944686.2</v>
      </c>
    </row>
    <row r="483" spans="1:63" x14ac:dyDescent="0.35">
      <c r="A483">
        <v>2012</v>
      </c>
      <c r="B483" t="s">
        <v>23</v>
      </c>
      <c r="C483" t="s">
        <v>24</v>
      </c>
      <c r="D483" s="2">
        <v>1060133.3</v>
      </c>
    </row>
    <row r="484" spans="1:63" x14ac:dyDescent="0.35">
      <c r="A484">
        <v>2012</v>
      </c>
      <c r="B484" t="s">
        <v>25</v>
      </c>
      <c r="C484" t="s">
        <v>26</v>
      </c>
      <c r="D484" s="2">
        <v>376547.2</v>
      </c>
      <c r="H484">
        <v>5138</v>
      </c>
      <c r="I484">
        <v>1480</v>
      </c>
      <c r="AB484">
        <v>241</v>
      </c>
      <c r="AE484">
        <v>845</v>
      </c>
      <c r="AM484">
        <v>1480</v>
      </c>
      <c r="AN484">
        <v>5138</v>
      </c>
      <c r="AT484">
        <v>26</v>
      </c>
    </row>
    <row r="485" spans="1:63" x14ac:dyDescent="0.35">
      <c r="A485">
        <v>2012</v>
      </c>
      <c r="B485" t="s">
        <v>27</v>
      </c>
      <c r="C485" t="s">
        <v>28</v>
      </c>
      <c r="D485" s="2">
        <v>59490.1</v>
      </c>
      <c r="E485">
        <v>819</v>
      </c>
      <c r="H485">
        <v>5816</v>
      </c>
      <c r="J485">
        <v>55</v>
      </c>
      <c r="P485">
        <v>166</v>
      </c>
      <c r="AI485">
        <v>819</v>
      </c>
      <c r="AN485">
        <v>5816</v>
      </c>
    </row>
    <row r="486" spans="1:63" x14ac:dyDescent="0.35">
      <c r="A486">
        <v>2012</v>
      </c>
      <c r="B486" t="s">
        <v>29</v>
      </c>
      <c r="C486" t="s">
        <v>30</v>
      </c>
      <c r="D486" s="2">
        <v>423678.2</v>
      </c>
      <c r="E486">
        <v>498</v>
      </c>
      <c r="F486">
        <v>475</v>
      </c>
      <c r="H486">
        <v>6486</v>
      </c>
      <c r="I486">
        <v>16</v>
      </c>
      <c r="K486">
        <v>4</v>
      </c>
      <c r="AL486">
        <v>16</v>
      </c>
      <c r="AO486">
        <v>3643</v>
      </c>
      <c r="AP486">
        <v>2843</v>
      </c>
      <c r="BI486">
        <v>23</v>
      </c>
    </row>
    <row r="487" spans="1:63" x14ac:dyDescent="0.35">
      <c r="A487">
        <v>2012</v>
      </c>
      <c r="B487" t="s">
        <v>31</v>
      </c>
      <c r="C487" t="s">
        <v>32</v>
      </c>
      <c r="D487" s="2">
        <v>11441.9</v>
      </c>
      <c r="E487">
        <v>260</v>
      </c>
      <c r="H487">
        <v>551</v>
      </c>
      <c r="AI487">
        <v>260</v>
      </c>
      <c r="AN487">
        <v>551</v>
      </c>
    </row>
    <row r="488" spans="1:63" x14ac:dyDescent="0.35">
      <c r="A488">
        <v>2012</v>
      </c>
      <c r="B488" t="s">
        <v>33</v>
      </c>
      <c r="C488" t="s">
        <v>34</v>
      </c>
      <c r="D488" s="2">
        <v>791411.5</v>
      </c>
    </row>
    <row r="489" spans="1:63" x14ac:dyDescent="0.35">
      <c r="A489">
        <v>2012</v>
      </c>
      <c r="B489" t="s">
        <v>35</v>
      </c>
      <c r="C489" t="s">
        <v>36</v>
      </c>
      <c r="D489" s="2">
        <v>579359.69999999995</v>
      </c>
      <c r="E489">
        <v>528</v>
      </c>
      <c r="H489">
        <v>3141</v>
      </c>
      <c r="I489">
        <v>416</v>
      </c>
      <c r="K489">
        <v>68</v>
      </c>
      <c r="AI489">
        <v>528</v>
      </c>
      <c r="AM489">
        <v>416</v>
      </c>
      <c r="AN489">
        <v>3141</v>
      </c>
    </row>
    <row r="490" spans="1:63" x14ac:dyDescent="0.35">
      <c r="A490">
        <v>2012</v>
      </c>
      <c r="B490" t="s">
        <v>37</v>
      </c>
      <c r="C490" t="s">
        <v>38</v>
      </c>
      <c r="D490" s="2">
        <v>808861.1</v>
      </c>
    </row>
    <row r="491" spans="1:63" x14ac:dyDescent="0.35">
      <c r="A491">
        <v>2012</v>
      </c>
      <c r="B491" t="s">
        <v>39</v>
      </c>
      <c r="C491" t="s">
        <v>40</v>
      </c>
      <c r="D491" s="2">
        <v>42828</v>
      </c>
    </row>
    <row r="492" spans="1:63" x14ac:dyDescent="0.35">
      <c r="A492">
        <v>2012</v>
      </c>
      <c r="B492" t="s">
        <v>41</v>
      </c>
      <c r="C492" t="s">
        <v>42</v>
      </c>
      <c r="D492" s="2">
        <v>81185.8</v>
      </c>
      <c r="H492">
        <v>2386</v>
      </c>
      <c r="AN492">
        <v>2386</v>
      </c>
      <c r="BH492">
        <v>127</v>
      </c>
      <c r="BK492">
        <v>656</v>
      </c>
    </row>
    <row r="493" spans="1:63" x14ac:dyDescent="0.35">
      <c r="A493">
        <v>2012</v>
      </c>
      <c r="B493" t="s">
        <v>43</v>
      </c>
      <c r="C493" t="s">
        <v>44</v>
      </c>
      <c r="D493" s="2">
        <v>867829</v>
      </c>
      <c r="E493">
        <v>2486</v>
      </c>
      <c r="AI493">
        <v>2486</v>
      </c>
    </row>
    <row r="494" spans="1:63" x14ac:dyDescent="0.35">
      <c r="A494">
        <v>2012</v>
      </c>
      <c r="B494" t="s">
        <v>45</v>
      </c>
      <c r="C494" t="s">
        <v>46</v>
      </c>
      <c r="D494" s="2">
        <v>399755.3</v>
      </c>
    </row>
    <row r="495" spans="1:63" x14ac:dyDescent="0.35">
      <c r="A495">
        <v>2012</v>
      </c>
      <c r="B495" t="s">
        <v>47</v>
      </c>
      <c r="C495" t="s">
        <v>48</v>
      </c>
      <c r="D495" s="2">
        <v>60700.6</v>
      </c>
    </row>
    <row r="496" spans="1:63" x14ac:dyDescent="0.35">
      <c r="A496">
        <v>2012</v>
      </c>
      <c r="B496" t="s">
        <v>49</v>
      </c>
      <c r="C496" t="s">
        <v>50</v>
      </c>
      <c r="D496" s="2">
        <v>1436441.7</v>
      </c>
      <c r="E496">
        <v>8092</v>
      </c>
      <c r="H496">
        <v>61769</v>
      </c>
      <c r="J496">
        <v>985</v>
      </c>
      <c r="K496">
        <v>2076</v>
      </c>
      <c r="AI496">
        <v>8092</v>
      </c>
      <c r="AN496">
        <v>61769</v>
      </c>
    </row>
    <row r="497" spans="1:63" x14ac:dyDescent="0.35">
      <c r="A497">
        <v>2012</v>
      </c>
      <c r="B497" t="s">
        <v>51</v>
      </c>
      <c r="C497" t="s">
        <v>52</v>
      </c>
      <c r="D497" s="2">
        <v>155206.70000000001</v>
      </c>
    </row>
    <row r="498" spans="1:63" x14ac:dyDescent="0.35">
      <c r="A498">
        <v>2012</v>
      </c>
      <c r="B498" t="s">
        <v>53</v>
      </c>
      <c r="C498" t="s">
        <v>54</v>
      </c>
      <c r="D498" s="2">
        <v>778427</v>
      </c>
      <c r="E498">
        <v>3188</v>
      </c>
      <c r="H498">
        <v>3383</v>
      </c>
      <c r="I498">
        <v>1475</v>
      </c>
      <c r="J498">
        <v>181</v>
      </c>
      <c r="K498">
        <v>6</v>
      </c>
      <c r="V498">
        <v>755</v>
      </c>
      <c r="AI498">
        <v>3188</v>
      </c>
      <c r="AM498">
        <v>1475</v>
      </c>
      <c r="AN498">
        <v>3383</v>
      </c>
    </row>
    <row r="499" spans="1:63" x14ac:dyDescent="0.35">
      <c r="A499">
        <v>2012</v>
      </c>
      <c r="B499" t="s">
        <v>55</v>
      </c>
      <c r="C499" t="s">
        <v>56</v>
      </c>
      <c r="D499" s="2">
        <v>595474.80000000005</v>
      </c>
    </row>
    <row r="500" spans="1:63" x14ac:dyDescent="0.35">
      <c r="A500">
        <v>2012</v>
      </c>
      <c r="B500" t="s">
        <v>57</v>
      </c>
      <c r="C500" t="s">
        <v>58</v>
      </c>
      <c r="D500" s="2">
        <v>725926.6</v>
      </c>
      <c r="E500">
        <v>1704</v>
      </c>
      <c r="H500">
        <v>4257</v>
      </c>
      <c r="I500">
        <v>1770</v>
      </c>
      <c r="AI500">
        <v>1704</v>
      </c>
      <c r="AM500">
        <v>1770</v>
      </c>
      <c r="AN500">
        <v>4257</v>
      </c>
      <c r="BE500">
        <v>7</v>
      </c>
      <c r="BJ500">
        <v>110</v>
      </c>
    </row>
    <row r="501" spans="1:63" x14ac:dyDescent="0.35">
      <c r="A501">
        <v>2012</v>
      </c>
      <c r="B501" t="s">
        <v>59</v>
      </c>
      <c r="C501" t="s">
        <v>60</v>
      </c>
      <c r="D501" s="2">
        <v>16273.7</v>
      </c>
      <c r="E501">
        <v>1722</v>
      </c>
      <c r="H501">
        <v>3737</v>
      </c>
      <c r="J501">
        <v>301</v>
      </c>
      <c r="K501">
        <v>432</v>
      </c>
      <c r="AI501">
        <v>1722</v>
      </c>
      <c r="AN501">
        <v>3737</v>
      </c>
    </row>
    <row r="502" spans="1:63" x14ac:dyDescent="0.35">
      <c r="A502">
        <v>2012</v>
      </c>
      <c r="B502" t="s">
        <v>61</v>
      </c>
      <c r="C502" t="s">
        <v>62</v>
      </c>
      <c r="D502" s="2">
        <v>970830.3</v>
      </c>
      <c r="E502">
        <v>1358</v>
      </c>
      <c r="H502">
        <v>5826</v>
      </c>
      <c r="I502">
        <v>4261</v>
      </c>
      <c r="J502">
        <v>69</v>
      </c>
      <c r="K502">
        <v>72</v>
      </c>
      <c r="P502">
        <v>1213</v>
      </c>
      <c r="Q502">
        <v>305</v>
      </c>
      <c r="R502">
        <v>33</v>
      </c>
      <c r="AB502">
        <v>267</v>
      </c>
      <c r="AE502">
        <v>1425</v>
      </c>
      <c r="AI502">
        <v>1358</v>
      </c>
      <c r="AM502">
        <v>4261</v>
      </c>
      <c r="AN502">
        <v>5826</v>
      </c>
      <c r="AU502">
        <v>76</v>
      </c>
      <c r="BB502">
        <v>1390</v>
      </c>
      <c r="BC502">
        <v>281</v>
      </c>
    </row>
    <row r="503" spans="1:63" x14ac:dyDescent="0.35">
      <c r="A503">
        <v>2012</v>
      </c>
      <c r="B503" t="s">
        <v>63</v>
      </c>
      <c r="C503" t="s">
        <v>64</v>
      </c>
      <c r="D503" s="2">
        <v>66722.8</v>
      </c>
    </row>
    <row r="504" spans="1:63" x14ac:dyDescent="0.35">
      <c r="A504">
        <v>2012</v>
      </c>
      <c r="B504" t="s">
        <v>65</v>
      </c>
      <c r="C504" t="s">
        <v>66</v>
      </c>
      <c r="D504" s="2">
        <v>352562.3</v>
      </c>
    </row>
    <row r="505" spans="1:63" x14ac:dyDescent="0.35">
      <c r="A505">
        <v>2012</v>
      </c>
      <c r="B505" t="s">
        <v>67</v>
      </c>
      <c r="C505" t="s">
        <v>68</v>
      </c>
      <c r="D505" s="2">
        <v>485442.2</v>
      </c>
    </row>
    <row r="506" spans="1:63" x14ac:dyDescent="0.35">
      <c r="A506">
        <v>2012</v>
      </c>
      <c r="B506" t="s">
        <v>69</v>
      </c>
      <c r="C506" t="s">
        <v>70</v>
      </c>
      <c r="D506" s="2">
        <v>1803.6</v>
      </c>
      <c r="E506">
        <v>93</v>
      </c>
      <c r="H506">
        <v>419</v>
      </c>
      <c r="J506">
        <v>14</v>
      </c>
      <c r="K506">
        <v>4</v>
      </c>
      <c r="AI506">
        <v>93</v>
      </c>
      <c r="AN506">
        <v>419</v>
      </c>
    </row>
    <row r="507" spans="1:63" x14ac:dyDescent="0.35">
      <c r="A507">
        <v>2012</v>
      </c>
      <c r="B507" t="s">
        <v>71</v>
      </c>
      <c r="C507" t="s">
        <v>72</v>
      </c>
      <c r="D507" s="2">
        <v>243297.8</v>
      </c>
      <c r="AT507">
        <v>3</v>
      </c>
      <c r="BJ507">
        <v>5</v>
      </c>
    </row>
    <row r="508" spans="1:63" x14ac:dyDescent="0.35">
      <c r="A508">
        <v>2012</v>
      </c>
      <c r="B508" t="s">
        <v>73</v>
      </c>
      <c r="C508" t="s">
        <v>74</v>
      </c>
      <c r="D508" s="2">
        <v>1201525.5</v>
      </c>
      <c r="H508">
        <v>58722</v>
      </c>
      <c r="J508">
        <v>5554</v>
      </c>
      <c r="K508">
        <v>13642</v>
      </c>
      <c r="M508">
        <v>61920</v>
      </c>
      <c r="N508">
        <v>2285</v>
      </c>
      <c r="O508">
        <v>1</v>
      </c>
      <c r="Q508">
        <v>4104</v>
      </c>
      <c r="W508">
        <v>3255</v>
      </c>
      <c r="AB508">
        <v>8095</v>
      </c>
      <c r="AE508">
        <v>171</v>
      </c>
      <c r="AF508">
        <v>133</v>
      </c>
      <c r="AN508">
        <v>58722</v>
      </c>
      <c r="AU508">
        <v>3453</v>
      </c>
      <c r="AY508">
        <v>90</v>
      </c>
      <c r="BB508">
        <v>7320</v>
      </c>
      <c r="BD508">
        <v>7791</v>
      </c>
    </row>
    <row r="509" spans="1:63" x14ac:dyDescent="0.35">
      <c r="A509">
        <v>2012</v>
      </c>
      <c r="B509" t="s">
        <v>75</v>
      </c>
      <c r="C509" t="s">
        <v>76</v>
      </c>
      <c r="D509" s="2">
        <v>408449.5</v>
      </c>
    </row>
    <row r="510" spans="1:63" x14ac:dyDescent="0.35">
      <c r="A510">
        <v>2012</v>
      </c>
      <c r="B510" t="s">
        <v>77</v>
      </c>
      <c r="C510" t="s">
        <v>78</v>
      </c>
      <c r="D510" s="2">
        <v>174681.1</v>
      </c>
    </row>
    <row r="511" spans="1:63" x14ac:dyDescent="0.35">
      <c r="A511">
        <v>2012</v>
      </c>
      <c r="B511" t="s">
        <v>79</v>
      </c>
      <c r="C511" t="s">
        <v>80</v>
      </c>
      <c r="D511" s="2">
        <v>819636.9</v>
      </c>
      <c r="E511">
        <v>952</v>
      </c>
      <c r="I511">
        <v>894</v>
      </c>
      <c r="K511">
        <v>53</v>
      </c>
      <c r="AI511">
        <v>952</v>
      </c>
      <c r="AM511">
        <v>894</v>
      </c>
    </row>
    <row r="512" spans="1:63" x14ac:dyDescent="0.35">
      <c r="A512">
        <v>2012</v>
      </c>
      <c r="B512" t="s">
        <v>81</v>
      </c>
      <c r="C512" t="s">
        <v>82</v>
      </c>
      <c r="D512" s="2">
        <v>1402343.9</v>
      </c>
      <c r="E512">
        <v>3370</v>
      </c>
      <c r="H512">
        <v>40816</v>
      </c>
      <c r="K512">
        <v>550</v>
      </c>
      <c r="AI512">
        <v>3370</v>
      </c>
      <c r="AN512">
        <v>40816</v>
      </c>
      <c r="BB512">
        <v>650</v>
      </c>
      <c r="BG512">
        <v>6046</v>
      </c>
      <c r="BK512">
        <v>19791</v>
      </c>
    </row>
    <row r="513" spans="1:62" x14ac:dyDescent="0.35">
      <c r="A513">
        <v>2012</v>
      </c>
      <c r="B513" t="s">
        <v>83</v>
      </c>
      <c r="C513" t="s">
        <v>84</v>
      </c>
      <c r="D513" s="2">
        <v>581879</v>
      </c>
      <c r="K513">
        <v>409</v>
      </c>
      <c r="M513">
        <v>17</v>
      </c>
      <c r="Q513">
        <v>282</v>
      </c>
      <c r="R513">
        <v>42</v>
      </c>
      <c r="W513">
        <v>566</v>
      </c>
      <c r="AB513">
        <v>500</v>
      </c>
      <c r="AE513">
        <v>1126</v>
      </c>
      <c r="AF513">
        <v>184</v>
      </c>
      <c r="AG513">
        <v>11</v>
      </c>
      <c r="AS513">
        <v>49</v>
      </c>
      <c r="AT513">
        <v>46</v>
      </c>
      <c r="AU513">
        <v>18</v>
      </c>
      <c r="AV513">
        <v>13</v>
      </c>
      <c r="AY513">
        <v>3141</v>
      </c>
      <c r="BB513">
        <v>814</v>
      </c>
      <c r="BC513">
        <v>70</v>
      </c>
      <c r="BD513">
        <v>415</v>
      </c>
      <c r="BJ513">
        <v>97</v>
      </c>
    </row>
    <row r="514" spans="1:62" x14ac:dyDescent="0.35">
      <c r="A514">
        <v>2012</v>
      </c>
      <c r="B514" t="s">
        <v>85</v>
      </c>
      <c r="C514" t="s">
        <v>86</v>
      </c>
      <c r="D514" s="2">
        <v>481316.8</v>
      </c>
      <c r="E514">
        <v>1059</v>
      </c>
      <c r="H514">
        <v>15536</v>
      </c>
      <c r="J514">
        <v>233</v>
      </c>
      <c r="K514">
        <v>378</v>
      </c>
      <c r="L514">
        <v>5226</v>
      </c>
      <c r="W514">
        <v>1905</v>
      </c>
      <c r="AB514">
        <v>233</v>
      </c>
      <c r="AF514">
        <v>352</v>
      </c>
      <c r="AG514">
        <v>27</v>
      </c>
      <c r="AI514">
        <v>1059</v>
      </c>
      <c r="AN514">
        <v>15536</v>
      </c>
      <c r="AS514">
        <v>855</v>
      </c>
      <c r="BC514">
        <v>377</v>
      </c>
    </row>
    <row r="515" spans="1:62" x14ac:dyDescent="0.35">
      <c r="A515">
        <v>2012</v>
      </c>
      <c r="B515" t="s">
        <v>87</v>
      </c>
      <c r="C515" t="s">
        <v>88</v>
      </c>
      <c r="D515" s="2">
        <v>105648.1</v>
      </c>
      <c r="E515">
        <v>153</v>
      </c>
      <c r="AI515">
        <v>153</v>
      </c>
      <c r="BE515">
        <v>21</v>
      </c>
      <c r="BJ515">
        <v>62</v>
      </c>
    </row>
    <row r="516" spans="1:62" x14ac:dyDescent="0.35">
      <c r="A516">
        <v>2012</v>
      </c>
      <c r="B516" t="s">
        <v>89</v>
      </c>
      <c r="C516" t="s">
        <v>90</v>
      </c>
      <c r="D516" s="2">
        <v>243236.1</v>
      </c>
      <c r="BE516">
        <v>3</v>
      </c>
      <c r="BJ516">
        <v>46</v>
      </c>
    </row>
    <row r="517" spans="1:62" x14ac:dyDescent="0.35">
      <c r="A517">
        <v>2012</v>
      </c>
      <c r="B517" t="s">
        <v>91</v>
      </c>
      <c r="C517" t="s">
        <v>92</v>
      </c>
      <c r="D517" s="2">
        <v>22453.8</v>
      </c>
      <c r="E517">
        <v>123</v>
      </c>
      <c r="I517">
        <v>667</v>
      </c>
      <c r="J517">
        <v>18</v>
      </c>
      <c r="K517">
        <v>16</v>
      </c>
      <c r="AE517">
        <v>86</v>
      </c>
      <c r="AI517">
        <v>123</v>
      </c>
      <c r="AM517">
        <v>667</v>
      </c>
    </row>
    <row r="518" spans="1:62" x14ac:dyDescent="0.35">
      <c r="A518">
        <v>2012</v>
      </c>
      <c r="B518" t="s">
        <v>93</v>
      </c>
      <c r="C518" t="s">
        <v>94</v>
      </c>
      <c r="D518" s="2">
        <v>1802575.6</v>
      </c>
      <c r="E518">
        <v>1481</v>
      </c>
      <c r="H518">
        <v>20800</v>
      </c>
      <c r="J518">
        <v>99</v>
      </c>
      <c r="K518">
        <v>339</v>
      </c>
      <c r="L518">
        <v>317</v>
      </c>
      <c r="O518">
        <v>28</v>
      </c>
      <c r="Q518">
        <v>366</v>
      </c>
      <c r="R518">
        <v>44</v>
      </c>
      <c r="W518">
        <v>929</v>
      </c>
      <c r="AB518">
        <v>223</v>
      </c>
      <c r="AE518">
        <v>1997</v>
      </c>
      <c r="AF518">
        <v>89</v>
      </c>
      <c r="AG518">
        <v>16</v>
      </c>
      <c r="AH518">
        <v>470</v>
      </c>
      <c r="AI518">
        <v>1481</v>
      </c>
      <c r="AN518">
        <v>20800</v>
      </c>
      <c r="AS518">
        <v>65</v>
      </c>
      <c r="AU518">
        <v>82</v>
      </c>
      <c r="AY518">
        <v>8787</v>
      </c>
      <c r="BB518">
        <v>317</v>
      </c>
      <c r="BC518">
        <v>118</v>
      </c>
      <c r="BD518">
        <v>12</v>
      </c>
    </row>
  </sheetData>
  <autoFilter ref="A1:BL518" xr:uid="{A43B2AD6-5AAD-4E2C-86C7-B8B141C53F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CE27-F3B7-4735-A2D8-DA66152650B0}">
  <dimension ref="A2:F62"/>
  <sheetViews>
    <sheetView topLeftCell="A13" workbookViewId="0">
      <selection activeCell="B47" sqref="B47"/>
    </sheetView>
  </sheetViews>
  <sheetFormatPr defaultColWidth="11.6328125" defaultRowHeight="14.5" x14ac:dyDescent="0.35"/>
  <cols>
    <col min="1" max="1" width="11.6328125" style="3"/>
    <col min="2" max="2" width="55.81640625" bestFit="1" customWidth="1"/>
    <col min="6" max="6" width="56.08984375" bestFit="1" customWidth="1"/>
  </cols>
  <sheetData>
    <row r="2" spans="1:6" x14ac:dyDescent="0.35">
      <c r="A2" s="4" t="s">
        <v>158</v>
      </c>
      <c r="B2" s="5" t="s">
        <v>159</v>
      </c>
    </row>
    <row r="3" spans="1:6" x14ac:dyDescent="0.35">
      <c r="A3" s="6">
        <v>1</v>
      </c>
      <c r="B3" s="7" t="s">
        <v>160</v>
      </c>
      <c r="F3" s="21" t="s">
        <v>160</v>
      </c>
    </row>
    <row r="4" spans="1:6" x14ac:dyDescent="0.35">
      <c r="A4" s="6">
        <v>1.1000000000000001</v>
      </c>
      <c r="B4" s="7" t="s">
        <v>161</v>
      </c>
      <c r="F4" s="21" t="s">
        <v>176</v>
      </c>
    </row>
    <row r="5" spans="1:6" x14ac:dyDescent="0.35">
      <c r="A5" s="6">
        <v>1.2</v>
      </c>
      <c r="B5" s="7" t="s">
        <v>162</v>
      </c>
      <c r="F5" s="21" t="s">
        <v>180</v>
      </c>
    </row>
    <row r="6" spans="1:6" x14ac:dyDescent="0.35">
      <c r="A6" s="6" t="s">
        <v>163</v>
      </c>
      <c r="B6" s="7" t="s">
        <v>164</v>
      </c>
      <c r="F6" s="21" t="s">
        <v>184</v>
      </c>
    </row>
    <row r="7" spans="1:6" x14ac:dyDescent="0.35">
      <c r="A7" s="6" t="s">
        <v>165</v>
      </c>
      <c r="B7" s="7" t="s">
        <v>166</v>
      </c>
      <c r="F7" s="21" t="s">
        <v>185</v>
      </c>
    </row>
    <row r="8" spans="1:6" x14ac:dyDescent="0.35">
      <c r="A8" s="6" t="s">
        <v>167</v>
      </c>
      <c r="B8" s="7" t="s">
        <v>168</v>
      </c>
      <c r="F8" s="21" t="s">
        <v>186</v>
      </c>
    </row>
    <row r="9" spans="1:6" x14ac:dyDescent="0.35">
      <c r="A9" s="6" t="s">
        <v>169</v>
      </c>
      <c r="B9" s="7" t="s">
        <v>170</v>
      </c>
      <c r="F9" s="21" t="s">
        <v>187</v>
      </c>
    </row>
    <row r="10" spans="1:6" x14ac:dyDescent="0.35">
      <c r="A10" s="6" t="s">
        <v>171</v>
      </c>
      <c r="B10" s="7" t="s">
        <v>172</v>
      </c>
      <c r="F10" s="21" t="s">
        <v>188</v>
      </c>
    </row>
    <row r="11" spans="1:6" x14ac:dyDescent="0.35">
      <c r="A11" s="6" t="s">
        <v>173</v>
      </c>
      <c r="B11" s="7" t="s">
        <v>174</v>
      </c>
      <c r="F11" s="21" t="s">
        <v>189</v>
      </c>
    </row>
    <row r="12" spans="1:6" x14ac:dyDescent="0.35">
      <c r="A12" s="6">
        <v>1.3</v>
      </c>
      <c r="B12" s="7" t="s">
        <v>175</v>
      </c>
      <c r="F12" s="21" t="s">
        <v>190</v>
      </c>
    </row>
    <row r="13" spans="1:6" x14ac:dyDescent="0.35">
      <c r="A13" s="6">
        <v>2</v>
      </c>
      <c r="B13" s="7" t="s">
        <v>176</v>
      </c>
      <c r="F13" s="21" t="s">
        <v>191</v>
      </c>
    </row>
    <row r="14" spans="1:6" x14ac:dyDescent="0.35">
      <c r="A14" s="6">
        <v>2.1</v>
      </c>
      <c r="B14" s="7" t="s">
        <v>177</v>
      </c>
      <c r="F14" s="21" t="s">
        <v>192</v>
      </c>
    </row>
    <row r="15" spans="1:6" x14ac:dyDescent="0.35">
      <c r="A15" s="6">
        <v>2.2000000000000002</v>
      </c>
      <c r="B15" s="7" t="s">
        <v>178</v>
      </c>
      <c r="F15" s="21" t="s">
        <v>193</v>
      </c>
    </row>
    <row r="16" spans="1:6" x14ac:dyDescent="0.35">
      <c r="A16" s="6">
        <v>2.2999999999999998</v>
      </c>
      <c r="B16" s="7" t="s">
        <v>179</v>
      </c>
      <c r="F16" s="21" t="s">
        <v>194</v>
      </c>
    </row>
    <row r="17" spans="1:6" x14ac:dyDescent="0.35">
      <c r="A17" s="6">
        <v>3</v>
      </c>
      <c r="B17" s="7" t="s">
        <v>180</v>
      </c>
      <c r="F17" s="21" t="s">
        <v>195</v>
      </c>
    </row>
    <row r="18" spans="1:6" x14ac:dyDescent="0.35">
      <c r="A18" s="6">
        <v>3.1</v>
      </c>
      <c r="B18" s="7" t="s">
        <v>181</v>
      </c>
      <c r="F18" s="21" t="s">
        <v>196</v>
      </c>
    </row>
    <row r="19" spans="1:6" x14ac:dyDescent="0.35">
      <c r="A19" s="6">
        <v>3.2</v>
      </c>
      <c r="B19" s="7" t="s">
        <v>182</v>
      </c>
      <c r="F19" s="21" t="s">
        <v>197</v>
      </c>
    </row>
    <row r="20" spans="1:6" x14ac:dyDescent="0.35">
      <c r="A20" s="6">
        <v>3.3</v>
      </c>
      <c r="B20" s="7" t="s">
        <v>183</v>
      </c>
      <c r="F20" s="21" t="s">
        <v>198</v>
      </c>
    </row>
    <row r="21" spans="1:6" x14ac:dyDescent="0.35">
      <c r="A21" s="6">
        <v>4</v>
      </c>
      <c r="B21" s="7" t="s">
        <v>184</v>
      </c>
      <c r="F21" s="21" t="s">
        <v>202</v>
      </c>
    </row>
    <row r="22" spans="1:6" x14ac:dyDescent="0.35">
      <c r="A22" s="6">
        <v>5</v>
      </c>
      <c r="B22" s="7" t="s">
        <v>185</v>
      </c>
      <c r="F22" s="21" t="s">
        <v>203</v>
      </c>
    </row>
    <row r="23" spans="1:6" x14ac:dyDescent="0.35">
      <c r="A23" s="6">
        <v>6</v>
      </c>
      <c r="B23" s="7" t="s">
        <v>186</v>
      </c>
      <c r="F23" s="21" t="s">
        <v>204</v>
      </c>
    </row>
    <row r="24" spans="1:6" x14ac:dyDescent="0.35">
      <c r="A24" s="6">
        <v>7</v>
      </c>
      <c r="B24" s="7" t="s">
        <v>187</v>
      </c>
      <c r="F24" s="21" t="s">
        <v>205</v>
      </c>
    </row>
    <row r="25" spans="1:6" x14ac:dyDescent="0.35">
      <c r="A25" s="6">
        <v>8</v>
      </c>
      <c r="B25" s="7" t="s">
        <v>188</v>
      </c>
      <c r="F25" s="21" t="s">
        <v>206</v>
      </c>
    </row>
    <row r="26" spans="1:6" x14ac:dyDescent="0.35">
      <c r="A26" s="6">
        <v>9</v>
      </c>
      <c r="B26" s="7" t="s">
        <v>189</v>
      </c>
      <c r="F26" s="21" t="s">
        <v>207</v>
      </c>
    </row>
    <row r="27" spans="1:6" x14ac:dyDescent="0.35">
      <c r="A27" s="6">
        <v>10</v>
      </c>
      <c r="B27" s="7" t="s">
        <v>190</v>
      </c>
      <c r="F27" s="21" t="s">
        <v>208</v>
      </c>
    </row>
    <row r="28" spans="1:6" x14ac:dyDescent="0.35">
      <c r="A28" s="6">
        <v>11</v>
      </c>
      <c r="B28" s="7" t="s">
        <v>191</v>
      </c>
      <c r="F28" s="21" t="s">
        <v>209</v>
      </c>
    </row>
    <row r="29" spans="1:6" x14ac:dyDescent="0.35">
      <c r="A29" s="6">
        <v>12</v>
      </c>
      <c r="B29" s="7" t="s">
        <v>192</v>
      </c>
      <c r="F29" s="21" t="s">
        <v>210</v>
      </c>
    </row>
    <row r="30" spans="1:6" x14ac:dyDescent="0.35">
      <c r="A30" s="6">
        <v>13</v>
      </c>
      <c r="B30" s="7" t="s">
        <v>193</v>
      </c>
      <c r="F30" s="21" t="s">
        <v>211</v>
      </c>
    </row>
    <row r="31" spans="1:6" x14ac:dyDescent="0.35">
      <c r="A31" s="6">
        <v>14</v>
      </c>
      <c r="B31" s="7" t="s">
        <v>194</v>
      </c>
      <c r="F31" s="21" t="s">
        <v>212</v>
      </c>
    </row>
    <row r="32" spans="1:6" x14ac:dyDescent="0.35">
      <c r="A32" s="6">
        <v>15</v>
      </c>
      <c r="B32" s="7" t="s">
        <v>195</v>
      </c>
      <c r="F32" s="21" t="s">
        <v>213</v>
      </c>
    </row>
    <row r="33" spans="1:6" x14ac:dyDescent="0.35">
      <c r="A33" s="6">
        <v>16</v>
      </c>
      <c r="B33" s="7" t="s">
        <v>196</v>
      </c>
      <c r="F33" s="21" t="s">
        <v>214</v>
      </c>
    </row>
    <row r="34" spans="1:6" x14ac:dyDescent="0.35">
      <c r="A34" s="6">
        <v>17</v>
      </c>
      <c r="B34" s="7" t="s">
        <v>197</v>
      </c>
      <c r="F34" s="21" t="s">
        <v>215</v>
      </c>
    </row>
    <row r="35" spans="1:6" x14ac:dyDescent="0.35">
      <c r="A35" s="6">
        <v>18</v>
      </c>
      <c r="B35" s="7" t="s">
        <v>198</v>
      </c>
      <c r="F35" s="21" t="s">
        <v>216</v>
      </c>
    </row>
    <row r="36" spans="1:6" x14ac:dyDescent="0.35">
      <c r="A36" s="6">
        <v>18.100000000000001</v>
      </c>
      <c r="B36" s="7" t="s">
        <v>199</v>
      </c>
      <c r="F36" s="21" t="s">
        <v>217</v>
      </c>
    </row>
    <row r="37" spans="1:6" x14ac:dyDescent="0.35">
      <c r="A37" s="6">
        <v>18.2</v>
      </c>
      <c r="B37" s="7" t="s">
        <v>200</v>
      </c>
      <c r="F37" s="21" t="s">
        <v>218</v>
      </c>
    </row>
    <row r="38" spans="1:6" x14ac:dyDescent="0.35">
      <c r="A38" s="6">
        <v>18.3</v>
      </c>
      <c r="B38" s="7" t="s">
        <v>201</v>
      </c>
      <c r="F38" s="21" t="s">
        <v>219</v>
      </c>
    </row>
    <row r="39" spans="1:6" x14ac:dyDescent="0.35">
      <c r="A39" s="6">
        <v>19</v>
      </c>
      <c r="B39" s="7" t="s">
        <v>202</v>
      </c>
      <c r="F39" s="21" t="s">
        <v>220</v>
      </c>
    </row>
    <row r="40" spans="1:6" x14ac:dyDescent="0.35">
      <c r="A40" s="6">
        <v>20</v>
      </c>
      <c r="B40" s="7" t="s">
        <v>203</v>
      </c>
      <c r="F40" s="21" t="s">
        <v>221</v>
      </c>
    </row>
    <row r="41" spans="1:6" x14ac:dyDescent="0.35">
      <c r="A41" s="6">
        <v>21</v>
      </c>
      <c r="B41" s="7" t="s">
        <v>204</v>
      </c>
      <c r="F41" s="21" t="s">
        <v>222</v>
      </c>
    </row>
    <row r="42" spans="1:6" x14ac:dyDescent="0.35">
      <c r="A42" s="6">
        <v>22</v>
      </c>
      <c r="B42" s="7" t="s">
        <v>205</v>
      </c>
      <c r="F42" s="21" t="s">
        <v>223</v>
      </c>
    </row>
    <row r="43" spans="1:6" x14ac:dyDescent="0.35">
      <c r="A43" s="6">
        <v>23</v>
      </c>
      <c r="B43" s="7" t="s">
        <v>206</v>
      </c>
      <c r="F43" s="21" t="s">
        <v>224</v>
      </c>
    </row>
    <row r="44" spans="1:6" x14ac:dyDescent="0.35">
      <c r="A44" s="6">
        <v>24</v>
      </c>
      <c r="B44" s="7" t="s">
        <v>207</v>
      </c>
    </row>
    <row r="45" spans="1:6" x14ac:dyDescent="0.35">
      <c r="A45" s="6">
        <v>25</v>
      </c>
      <c r="B45" s="7" t="s">
        <v>208</v>
      </c>
    </row>
    <row r="46" spans="1:6" x14ac:dyDescent="0.35">
      <c r="A46" s="6">
        <v>26</v>
      </c>
      <c r="B46" s="7" t="s">
        <v>209</v>
      </c>
    </row>
    <row r="47" spans="1:6" x14ac:dyDescent="0.35">
      <c r="A47" s="6">
        <v>27</v>
      </c>
      <c r="B47" s="7" t="s">
        <v>210</v>
      </c>
    </row>
    <row r="48" spans="1:6" x14ac:dyDescent="0.35">
      <c r="A48" s="6">
        <v>28</v>
      </c>
      <c r="B48" s="7" t="s">
        <v>211</v>
      </c>
    </row>
    <row r="49" spans="1:2" x14ac:dyDescent="0.35">
      <c r="A49" s="6">
        <v>29</v>
      </c>
      <c r="B49" s="7" t="s">
        <v>212</v>
      </c>
    </row>
    <row r="50" spans="1:2" x14ac:dyDescent="0.35">
      <c r="A50" s="6">
        <v>30</v>
      </c>
      <c r="B50" s="7" t="s">
        <v>213</v>
      </c>
    </row>
    <row r="51" spans="1:2" x14ac:dyDescent="0.35">
      <c r="A51" s="6">
        <v>31</v>
      </c>
      <c r="B51" s="7" t="s">
        <v>214</v>
      </c>
    </row>
    <row r="52" spans="1:2" x14ac:dyDescent="0.35">
      <c r="A52" s="6">
        <v>32</v>
      </c>
      <c r="B52" s="7" t="s">
        <v>215</v>
      </c>
    </row>
    <row r="53" spans="1:2" x14ac:dyDescent="0.35">
      <c r="A53" s="6">
        <v>33</v>
      </c>
      <c r="B53" s="7" t="s">
        <v>216</v>
      </c>
    </row>
    <row r="54" spans="1:2" x14ac:dyDescent="0.35">
      <c r="A54" s="6">
        <v>34</v>
      </c>
      <c r="B54" s="7" t="s">
        <v>217</v>
      </c>
    </row>
    <row r="55" spans="1:2" x14ac:dyDescent="0.35">
      <c r="A55" s="6">
        <v>35</v>
      </c>
      <c r="B55" s="7" t="s">
        <v>218</v>
      </c>
    </row>
    <row r="56" spans="1:2" x14ac:dyDescent="0.35">
      <c r="A56" s="6">
        <v>36</v>
      </c>
      <c r="B56" s="7" t="s">
        <v>219</v>
      </c>
    </row>
    <row r="57" spans="1:2" x14ac:dyDescent="0.35">
      <c r="A57" s="6">
        <v>37</v>
      </c>
      <c r="B57" s="7" t="s">
        <v>220</v>
      </c>
    </row>
    <row r="58" spans="1:2" x14ac:dyDescent="0.35">
      <c r="A58" s="6">
        <v>38</v>
      </c>
      <c r="B58" s="7" t="s">
        <v>221</v>
      </c>
    </row>
    <row r="59" spans="1:2" x14ac:dyDescent="0.35">
      <c r="A59" s="6">
        <v>39</v>
      </c>
      <c r="B59" s="7" t="s">
        <v>222</v>
      </c>
    </row>
    <row r="60" spans="1:2" x14ac:dyDescent="0.35">
      <c r="A60" s="6">
        <v>40</v>
      </c>
      <c r="B60" s="7" t="s">
        <v>223</v>
      </c>
    </row>
    <row r="61" spans="1:2" x14ac:dyDescent="0.35">
      <c r="A61" s="6">
        <v>41</v>
      </c>
      <c r="B61" s="7" t="s">
        <v>224</v>
      </c>
    </row>
    <row r="62" spans="1:2" x14ac:dyDescent="0.35">
      <c r="A62" s="6">
        <v>41.1</v>
      </c>
      <c r="B62" s="7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D211-9774-4E05-AB37-F4B5A05E8AE3}">
  <dimension ref="A1:BT518"/>
  <sheetViews>
    <sheetView topLeftCell="BD387" workbookViewId="0">
      <selection activeCell="BQ1" sqref="BQ1:BT518"/>
    </sheetView>
  </sheetViews>
  <sheetFormatPr defaultRowHeight="14.5" x14ac:dyDescent="0.35"/>
  <cols>
    <col min="2" max="2" width="40" bestFit="1" customWidth="1"/>
    <col min="4" max="4" width="12.08984375" bestFit="1" customWidth="1"/>
    <col min="5" max="5" width="8.7265625" customWidth="1"/>
    <col min="6" max="6" width="14.08984375" customWidth="1"/>
    <col min="7" max="7" width="11.1796875" customWidth="1"/>
    <col min="8" max="8" width="10" customWidth="1"/>
    <col min="9" max="9" width="10.6328125" customWidth="1"/>
    <col min="13" max="13" width="10" customWidth="1"/>
    <col min="18" max="18" width="11.26953125" customWidth="1"/>
    <col min="20" max="20" width="10.08984375" customWidth="1"/>
    <col min="22" max="22" width="16.36328125" customWidth="1"/>
    <col min="23" max="23" width="16.90625" customWidth="1"/>
    <col min="24" max="25" width="8.7265625" customWidth="1"/>
    <col min="26" max="26" width="10.81640625" customWidth="1"/>
    <col min="27" max="27" width="8.7265625" customWidth="1"/>
    <col min="28" max="28" width="12.1796875" customWidth="1"/>
    <col min="29" max="29" width="11.81640625" customWidth="1"/>
    <col min="30" max="30" width="9.6328125" customWidth="1"/>
    <col min="31" max="31" width="11.1796875" customWidth="1"/>
    <col min="32" max="32" width="12.7265625" customWidth="1"/>
    <col min="33" max="33" width="10.08984375" customWidth="1"/>
    <col min="34" max="34" width="13.26953125" customWidth="1"/>
    <col min="35" max="35" width="8.7265625" customWidth="1"/>
    <col min="37" max="44" width="8.7265625" customWidth="1"/>
    <col min="46" max="46" width="8.7265625" customWidth="1"/>
    <col min="48" max="48" width="8.7265625" customWidth="1"/>
    <col min="52" max="53" width="8.7265625" customWidth="1"/>
    <col min="57" max="57" width="8.7265625" customWidth="1"/>
    <col min="61" max="61" width="11.90625" customWidth="1"/>
    <col min="62" max="62" width="10.90625" customWidth="1"/>
    <col min="63" max="63" width="10.26953125" customWidth="1"/>
    <col min="64" max="64" width="10.54296875" style="10" customWidth="1"/>
    <col min="70" max="70" width="11.54296875" customWidth="1"/>
    <col min="71" max="71" width="11.36328125" customWidth="1"/>
  </cols>
  <sheetData>
    <row r="1" spans="1:72" s="1" customFormat="1" ht="159.5" x14ac:dyDescent="0.35">
      <c r="A1" s="1" t="s">
        <v>97</v>
      </c>
      <c r="B1" s="1" t="s">
        <v>95</v>
      </c>
      <c r="C1" s="1" t="s">
        <v>96</v>
      </c>
      <c r="D1" s="1" t="s">
        <v>0</v>
      </c>
      <c r="E1" s="8" t="s">
        <v>100</v>
      </c>
      <c r="F1" s="8" t="s">
        <v>101</v>
      </c>
      <c r="G1" s="8" t="s">
        <v>102</v>
      </c>
      <c r="H1" s="9" t="s">
        <v>103</v>
      </c>
      <c r="I1" s="12" t="s">
        <v>104</v>
      </c>
      <c r="J1" s="28" t="s">
        <v>105</v>
      </c>
      <c r="K1" s="1" t="s">
        <v>247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28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8" t="s">
        <v>119</v>
      </c>
      <c r="Y1" s="13" t="s">
        <v>120</v>
      </c>
      <c r="Z1" s="1" t="s">
        <v>121</v>
      </c>
      <c r="AA1" s="13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8" t="s">
        <v>130</v>
      </c>
      <c r="AJ1" s="1" t="s">
        <v>131</v>
      </c>
      <c r="AK1" s="12" t="s">
        <v>132</v>
      </c>
      <c r="AL1" s="12" t="s">
        <v>133</v>
      </c>
      <c r="AM1" s="12" t="s">
        <v>134</v>
      </c>
      <c r="AN1" s="9" t="s">
        <v>135</v>
      </c>
      <c r="AO1" s="9" t="s">
        <v>136</v>
      </c>
      <c r="AP1" s="9" t="s">
        <v>137</v>
      </c>
      <c r="AQ1" s="9" t="s">
        <v>98</v>
      </c>
      <c r="AR1" s="9" t="s">
        <v>99</v>
      </c>
      <c r="AS1" s="1" t="s">
        <v>138</v>
      </c>
      <c r="AT1" s="8" t="s">
        <v>139</v>
      </c>
      <c r="AU1" s="1" t="s">
        <v>140</v>
      </c>
      <c r="AV1" s="8" t="s">
        <v>141</v>
      </c>
      <c r="AW1" s="1" t="s">
        <v>142</v>
      </c>
      <c r="AX1" s="1" t="s">
        <v>143</v>
      </c>
      <c r="AY1" s="1" t="s">
        <v>144</v>
      </c>
      <c r="AZ1" s="13" t="s">
        <v>145</v>
      </c>
      <c r="BA1" s="13" t="s">
        <v>146</v>
      </c>
      <c r="BB1" s="1" t="s">
        <v>147</v>
      </c>
      <c r="BC1" s="1" t="s">
        <v>148</v>
      </c>
      <c r="BD1" s="1" t="s">
        <v>149</v>
      </c>
      <c r="BE1" s="8" t="s">
        <v>150</v>
      </c>
      <c r="BF1" s="1" t="s">
        <v>151</v>
      </c>
      <c r="BG1" s="1" t="s">
        <v>152</v>
      </c>
      <c r="BH1" s="1" t="s">
        <v>153</v>
      </c>
      <c r="BI1" s="8" t="s">
        <v>154</v>
      </c>
      <c r="BJ1" s="8" t="s">
        <v>155</v>
      </c>
      <c r="BK1" s="1" t="s">
        <v>156</v>
      </c>
      <c r="BL1" s="9" t="s">
        <v>157</v>
      </c>
      <c r="BM1" s="7" t="s">
        <v>160</v>
      </c>
      <c r="BN1" s="7" t="s">
        <v>176</v>
      </c>
      <c r="BO1" s="7" t="s">
        <v>180</v>
      </c>
      <c r="BP1" s="7" t="s">
        <v>198</v>
      </c>
      <c r="BQ1" s="12" t="s">
        <v>184</v>
      </c>
      <c r="BR1" s="12" t="s">
        <v>187</v>
      </c>
      <c r="BS1" s="12" t="s">
        <v>248</v>
      </c>
      <c r="BT1" s="12" t="s">
        <v>249</v>
      </c>
    </row>
    <row r="2" spans="1:72" x14ac:dyDescent="0.35">
      <c r="A2">
        <v>2022</v>
      </c>
      <c r="B2" t="s">
        <v>1</v>
      </c>
      <c r="C2" t="s">
        <v>2</v>
      </c>
      <c r="D2" s="2">
        <v>780085.6</v>
      </c>
      <c r="E2">
        <v>3323</v>
      </c>
      <c r="F2">
        <v>2372</v>
      </c>
      <c r="G2">
        <v>32</v>
      </c>
      <c r="H2">
        <v>13961</v>
      </c>
      <c r="I2">
        <v>9294</v>
      </c>
      <c r="J2">
        <v>39</v>
      </c>
      <c r="K2">
        <v>575</v>
      </c>
      <c r="M2">
        <v>275</v>
      </c>
      <c r="O2">
        <v>18</v>
      </c>
      <c r="P2">
        <v>3145</v>
      </c>
      <c r="R2">
        <v>7</v>
      </c>
      <c r="S2">
        <v>57</v>
      </c>
      <c r="W2">
        <v>1791</v>
      </c>
      <c r="X2">
        <v>102</v>
      </c>
      <c r="AG2">
        <v>7</v>
      </c>
      <c r="AH2">
        <v>44</v>
      </c>
      <c r="AJ2">
        <v>2</v>
      </c>
      <c r="AK2">
        <v>3608</v>
      </c>
      <c r="AL2">
        <v>5686</v>
      </c>
      <c r="AO2">
        <v>67</v>
      </c>
      <c r="AP2">
        <v>13894</v>
      </c>
      <c r="AS2">
        <v>71</v>
      </c>
      <c r="AT2">
        <v>127</v>
      </c>
      <c r="AU2">
        <v>2</v>
      </c>
      <c r="AV2">
        <v>555</v>
      </c>
      <c r="AY2">
        <v>1698</v>
      </c>
      <c r="AZ2">
        <v>886</v>
      </c>
      <c r="BB2">
        <v>210</v>
      </c>
      <c r="BE2">
        <v>13</v>
      </c>
      <c r="BF2">
        <v>9</v>
      </c>
      <c r="BH2">
        <v>39</v>
      </c>
      <c r="BI2">
        <v>951</v>
      </c>
      <c r="BJ2">
        <v>112</v>
      </c>
      <c r="BM2" s="11">
        <f>E2+F2+BI2+X2+AT2+BE2+G2+BJ2+AV2+AI2</f>
        <v>7587</v>
      </c>
      <c r="BN2" s="11">
        <f>H2+AP2+AO2+AN2+AQ2+AR2</f>
        <v>27922</v>
      </c>
      <c r="BO2" s="11">
        <f>I2+AK2+AL2+AM2</f>
        <v>18588</v>
      </c>
      <c r="BP2" s="11">
        <f>AZ2+Y2+AA2+BA2</f>
        <v>886</v>
      </c>
      <c r="BQ2">
        <f>J2+Q2</f>
        <v>39</v>
      </c>
      <c r="BR2">
        <f>K2+BB2</f>
        <v>785</v>
      </c>
      <c r="BS2">
        <f>S2+AS2</f>
        <v>128</v>
      </c>
      <c r="BT2">
        <f>V2+W2</f>
        <v>1791</v>
      </c>
    </row>
    <row r="3" spans="1:72" x14ac:dyDescent="0.35">
      <c r="A3">
        <v>2022</v>
      </c>
      <c r="B3" t="s">
        <v>3</v>
      </c>
      <c r="C3" t="s">
        <v>4</v>
      </c>
      <c r="D3" s="2">
        <v>228677.8</v>
      </c>
      <c r="BM3" s="11">
        <f>E3+F3+BI3+X3+AT3+BE3+G3+BJ3+AV3+AI3</f>
        <v>0</v>
      </c>
      <c r="BN3" s="11">
        <f t="shared" ref="BN3:BN66" si="0">H3+AP3+AO3+AN3+AQ3+AR3</f>
        <v>0</v>
      </c>
      <c r="BO3" s="11">
        <f t="shared" ref="BO3:BO66" si="1">I3+AK3+AL3+AM3</f>
        <v>0</v>
      </c>
      <c r="BP3" s="11">
        <f t="shared" ref="BP3:BP66" si="2">AZ3+Y3+AA3+BA3</f>
        <v>0</v>
      </c>
      <c r="BQ3">
        <f t="shared" ref="BQ3:BQ66" si="3">J3+Q3</f>
        <v>0</v>
      </c>
      <c r="BR3">
        <f t="shared" ref="BR3:BR66" si="4">K3+BB3</f>
        <v>0</v>
      </c>
      <c r="BS3">
        <f t="shared" ref="BS3:BS66" si="5">S3+AS3</f>
        <v>0</v>
      </c>
      <c r="BT3">
        <f t="shared" ref="BT3:BT66" si="6">V3+W3</f>
        <v>0</v>
      </c>
    </row>
    <row r="4" spans="1:72" x14ac:dyDescent="0.35">
      <c r="A4">
        <v>2022</v>
      </c>
      <c r="B4" t="s">
        <v>5</v>
      </c>
      <c r="C4" t="s">
        <v>6</v>
      </c>
      <c r="D4" s="2">
        <v>6481.1</v>
      </c>
      <c r="BM4" s="11">
        <f t="shared" ref="BM4:BM67" si="7">E4+F4+BI4+X4+AT4+BE4+G4+BJ4+AV4+AI4</f>
        <v>0</v>
      </c>
      <c r="BN4" s="11">
        <f t="shared" si="0"/>
        <v>0</v>
      </c>
      <c r="BO4" s="11">
        <f t="shared" si="1"/>
        <v>0</v>
      </c>
      <c r="BP4" s="11">
        <f t="shared" si="2"/>
        <v>0</v>
      </c>
      <c r="BQ4">
        <f t="shared" si="3"/>
        <v>0</v>
      </c>
      <c r="BR4">
        <f t="shared" si="4"/>
        <v>0</v>
      </c>
      <c r="BS4">
        <f t="shared" si="5"/>
        <v>0</v>
      </c>
      <c r="BT4">
        <f t="shared" si="6"/>
        <v>0</v>
      </c>
    </row>
    <row r="5" spans="1:72" x14ac:dyDescent="0.35">
      <c r="A5">
        <v>2022</v>
      </c>
      <c r="B5" t="s">
        <v>7</v>
      </c>
      <c r="C5" t="s">
        <v>8</v>
      </c>
      <c r="D5" s="2">
        <v>4011145.2</v>
      </c>
      <c r="E5">
        <v>18493</v>
      </c>
      <c r="F5">
        <v>18493</v>
      </c>
      <c r="H5">
        <v>115316</v>
      </c>
      <c r="I5">
        <v>2640</v>
      </c>
      <c r="J5">
        <v>392</v>
      </c>
      <c r="K5">
        <v>806</v>
      </c>
      <c r="L5">
        <v>101117</v>
      </c>
      <c r="W5">
        <v>718</v>
      </c>
      <c r="AB5">
        <v>528</v>
      </c>
      <c r="AC5">
        <v>4695</v>
      </c>
      <c r="AL5">
        <v>2640</v>
      </c>
      <c r="AP5">
        <v>115316</v>
      </c>
      <c r="AS5">
        <v>1688</v>
      </c>
      <c r="AW5">
        <v>1803</v>
      </c>
      <c r="BB5">
        <v>378</v>
      </c>
      <c r="BC5">
        <v>793</v>
      </c>
      <c r="BM5" s="11">
        <f t="shared" si="7"/>
        <v>36986</v>
      </c>
      <c r="BN5" s="11">
        <f t="shared" si="0"/>
        <v>230632</v>
      </c>
      <c r="BO5" s="11">
        <f t="shared" si="1"/>
        <v>5280</v>
      </c>
      <c r="BP5" s="11">
        <f t="shared" si="2"/>
        <v>0</v>
      </c>
      <c r="BQ5">
        <f t="shared" si="3"/>
        <v>392</v>
      </c>
      <c r="BR5">
        <f t="shared" si="4"/>
        <v>1184</v>
      </c>
      <c r="BS5">
        <f t="shared" si="5"/>
        <v>1688</v>
      </c>
      <c r="BT5">
        <f t="shared" si="6"/>
        <v>718</v>
      </c>
    </row>
    <row r="6" spans="1:72" x14ac:dyDescent="0.35">
      <c r="A6">
        <v>2022</v>
      </c>
      <c r="B6" t="s">
        <v>9</v>
      </c>
      <c r="C6" t="s">
        <v>10</v>
      </c>
      <c r="D6" s="2">
        <v>3920543</v>
      </c>
      <c r="E6">
        <v>13327</v>
      </c>
      <c r="F6">
        <v>8860</v>
      </c>
      <c r="G6">
        <v>540</v>
      </c>
      <c r="H6">
        <v>70246</v>
      </c>
      <c r="I6">
        <v>21993</v>
      </c>
      <c r="J6">
        <v>271</v>
      </c>
      <c r="K6">
        <v>5871</v>
      </c>
      <c r="L6">
        <v>121853</v>
      </c>
      <c r="O6">
        <v>1086</v>
      </c>
      <c r="P6">
        <v>41101</v>
      </c>
      <c r="Q6">
        <v>195</v>
      </c>
      <c r="R6">
        <v>65</v>
      </c>
      <c r="S6">
        <v>310</v>
      </c>
      <c r="V6">
        <v>0</v>
      </c>
      <c r="W6">
        <v>2367</v>
      </c>
      <c r="X6">
        <v>352</v>
      </c>
      <c r="Z6">
        <v>5283</v>
      </c>
      <c r="AB6">
        <v>1469</v>
      </c>
      <c r="AE6">
        <v>13915</v>
      </c>
      <c r="AF6">
        <v>0</v>
      </c>
      <c r="AG6">
        <v>65</v>
      </c>
      <c r="AK6">
        <v>0</v>
      </c>
      <c r="AL6">
        <v>21993</v>
      </c>
      <c r="AM6">
        <v>0</v>
      </c>
      <c r="AN6">
        <v>0</v>
      </c>
      <c r="AO6">
        <v>0</v>
      </c>
      <c r="AP6">
        <v>70246</v>
      </c>
      <c r="AS6">
        <v>630</v>
      </c>
      <c r="AT6">
        <v>454</v>
      </c>
      <c r="AU6">
        <v>383</v>
      </c>
      <c r="AV6">
        <v>2440</v>
      </c>
      <c r="AY6">
        <v>1205</v>
      </c>
      <c r="BB6">
        <v>11220</v>
      </c>
      <c r="BC6">
        <v>231</v>
      </c>
      <c r="BE6">
        <v>4658</v>
      </c>
      <c r="BI6">
        <v>4467</v>
      </c>
      <c r="BJ6">
        <v>656</v>
      </c>
      <c r="BK6">
        <v>0</v>
      </c>
      <c r="BL6" s="10">
        <v>0</v>
      </c>
      <c r="BM6" s="11">
        <f t="shared" si="7"/>
        <v>35754</v>
      </c>
      <c r="BN6" s="11">
        <f t="shared" si="0"/>
        <v>140492</v>
      </c>
      <c r="BO6" s="11">
        <f t="shared" si="1"/>
        <v>43986</v>
      </c>
      <c r="BP6" s="11">
        <f t="shared" si="2"/>
        <v>0</v>
      </c>
      <c r="BQ6">
        <f t="shared" si="3"/>
        <v>466</v>
      </c>
      <c r="BR6">
        <f t="shared" si="4"/>
        <v>17091</v>
      </c>
      <c r="BS6">
        <f t="shared" si="5"/>
        <v>940</v>
      </c>
      <c r="BT6">
        <f t="shared" si="6"/>
        <v>2367</v>
      </c>
    </row>
    <row r="7" spans="1:72" x14ac:dyDescent="0.35">
      <c r="A7">
        <v>2022</v>
      </c>
      <c r="B7" t="s">
        <v>11</v>
      </c>
      <c r="C7" t="s">
        <v>12</v>
      </c>
      <c r="D7" s="2">
        <v>7745147.0999999996</v>
      </c>
      <c r="E7">
        <v>86181</v>
      </c>
      <c r="F7">
        <v>85719</v>
      </c>
      <c r="H7">
        <v>220681</v>
      </c>
      <c r="I7">
        <v>146787</v>
      </c>
      <c r="J7">
        <v>5048</v>
      </c>
      <c r="K7">
        <v>18277</v>
      </c>
      <c r="N7">
        <v>168</v>
      </c>
      <c r="P7">
        <v>154477</v>
      </c>
      <c r="T7">
        <v>2660</v>
      </c>
      <c r="W7">
        <v>20392</v>
      </c>
      <c r="X7">
        <v>45</v>
      </c>
      <c r="Z7">
        <v>354339</v>
      </c>
      <c r="AB7">
        <v>4262</v>
      </c>
      <c r="AE7">
        <v>38712</v>
      </c>
      <c r="AF7">
        <v>36833</v>
      </c>
      <c r="AG7">
        <v>280</v>
      </c>
      <c r="AL7">
        <v>146787</v>
      </c>
      <c r="AP7">
        <v>220681</v>
      </c>
      <c r="AT7">
        <v>81</v>
      </c>
      <c r="AU7">
        <v>5632</v>
      </c>
      <c r="BB7">
        <v>2326</v>
      </c>
      <c r="BC7">
        <v>6282</v>
      </c>
      <c r="BD7">
        <v>197</v>
      </c>
      <c r="BE7">
        <v>27</v>
      </c>
      <c r="BI7">
        <v>462</v>
      </c>
      <c r="BJ7">
        <v>61</v>
      </c>
      <c r="BM7" s="11">
        <f t="shared" si="7"/>
        <v>172576</v>
      </c>
      <c r="BN7" s="11">
        <f t="shared" si="0"/>
        <v>441362</v>
      </c>
      <c r="BO7" s="11">
        <f t="shared" si="1"/>
        <v>293574</v>
      </c>
      <c r="BP7" s="11">
        <f t="shared" si="2"/>
        <v>0</v>
      </c>
      <c r="BQ7">
        <f t="shared" si="3"/>
        <v>5048</v>
      </c>
      <c r="BR7">
        <f t="shared" si="4"/>
        <v>20603</v>
      </c>
      <c r="BS7">
        <f t="shared" si="5"/>
        <v>0</v>
      </c>
      <c r="BT7">
        <f t="shared" si="6"/>
        <v>20392</v>
      </c>
    </row>
    <row r="8" spans="1:72" x14ac:dyDescent="0.35">
      <c r="A8">
        <v>2022</v>
      </c>
      <c r="B8" t="s">
        <v>13</v>
      </c>
      <c r="C8" t="s">
        <v>14</v>
      </c>
      <c r="D8" s="2">
        <v>64514.8</v>
      </c>
      <c r="E8">
        <v>1139</v>
      </c>
      <c r="F8">
        <v>612</v>
      </c>
      <c r="G8">
        <v>137</v>
      </c>
      <c r="H8">
        <v>4277</v>
      </c>
      <c r="I8">
        <v>920</v>
      </c>
      <c r="J8">
        <v>44</v>
      </c>
      <c r="K8">
        <v>168</v>
      </c>
      <c r="P8">
        <v>98</v>
      </c>
      <c r="Q8">
        <v>67</v>
      </c>
      <c r="R8">
        <v>17</v>
      </c>
      <c r="V8">
        <v>2</v>
      </c>
      <c r="W8">
        <v>155</v>
      </c>
      <c r="X8">
        <v>154</v>
      </c>
      <c r="AB8">
        <v>478</v>
      </c>
      <c r="AE8">
        <v>228</v>
      </c>
      <c r="AF8">
        <v>231</v>
      </c>
      <c r="AI8">
        <v>0</v>
      </c>
      <c r="AK8">
        <v>43</v>
      </c>
      <c r="AL8">
        <v>867</v>
      </c>
      <c r="AM8">
        <v>10</v>
      </c>
      <c r="AN8">
        <v>84</v>
      </c>
      <c r="AO8">
        <v>3201</v>
      </c>
      <c r="AP8">
        <v>992</v>
      </c>
      <c r="AT8">
        <v>134</v>
      </c>
      <c r="AV8">
        <v>22</v>
      </c>
      <c r="AY8">
        <v>84</v>
      </c>
      <c r="AZ8">
        <v>70</v>
      </c>
      <c r="BB8">
        <v>233</v>
      </c>
      <c r="BC8">
        <v>2</v>
      </c>
      <c r="BE8">
        <v>4</v>
      </c>
      <c r="BF8">
        <v>175</v>
      </c>
      <c r="BI8">
        <v>527</v>
      </c>
      <c r="BJ8">
        <v>103</v>
      </c>
      <c r="BM8" s="11">
        <f t="shared" si="7"/>
        <v>2832</v>
      </c>
      <c r="BN8" s="11">
        <f t="shared" si="0"/>
        <v>8554</v>
      </c>
      <c r="BO8" s="11">
        <f t="shared" si="1"/>
        <v>1840</v>
      </c>
      <c r="BP8" s="11">
        <f t="shared" si="2"/>
        <v>70</v>
      </c>
      <c r="BQ8">
        <f t="shared" si="3"/>
        <v>111</v>
      </c>
      <c r="BR8">
        <f t="shared" si="4"/>
        <v>401</v>
      </c>
      <c r="BS8">
        <f t="shared" si="5"/>
        <v>0</v>
      </c>
      <c r="BT8">
        <f t="shared" si="6"/>
        <v>157</v>
      </c>
    </row>
    <row r="9" spans="1:72" x14ac:dyDescent="0.35">
      <c r="A9">
        <v>2022</v>
      </c>
      <c r="B9" t="s">
        <v>15</v>
      </c>
      <c r="C9" t="s">
        <v>16</v>
      </c>
      <c r="D9" s="2">
        <v>153744</v>
      </c>
      <c r="E9">
        <v>1118</v>
      </c>
      <c r="F9">
        <v>616</v>
      </c>
      <c r="H9">
        <v>6503</v>
      </c>
      <c r="I9">
        <v>1340</v>
      </c>
      <c r="J9">
        <v>131</v>
      </c>
      <c r="K9">
        <v>85</v>
      </c>
      <c r="AL9">
        <v>1340</v>
      </c>
      <c r="AN9">
        <v>5840</v>
      </c>
      <c r="AP9">
        <v>663</v>
      </c>
      <c r="BI9">
        <v>502</v>
      </c>
      <c r="BM9" s="11">
        <f t="shared" si="7"/>
        <v>2236</v>
      </c>
      <c r="BN9" s="11">
        <f t="shared" si="0"/>
        <v>13006</v>
      </c>
      <c r="BO9" s="11">
        <f t="shared" si="1"/>
        <v>2680</v>
      </c>
      <c r="BP9" s="11">
        <f t="shared" si="2"/>
        <v>0</v>
      </c>
      <c r="BQ9">
        <f t="shared" si="3"/>
        <v>131</v>
      </c>
      <c r="BR9">
        <f t="shared" si="4"/>
        <v>85</v>
      </c>
      <c r="BS9">
        <f t="shared" si="5"/>
        <v>0</v>
      </c>
      <c r="BT9">
        <f t="shared" si="6"/>
        <v>0</v>
      </c>
    </row>
    <row r="10" spans="1:72" x14ac:dyDescent="0.35">
      <c r="A10">
        <v>2022</v>
      </c>
      <c r="B10" t="s">
        <v>17</v>
      </c>
      <c r="C10" t="s">
        <v>18</v>
      </c>
      <c r="D10" s="2">
        <v>28860</v>
      </c>
      <c r="E10">
        <v>1912</v>
      </c>
      <c r="F10">
        <v>623</v>
      </c>
      <c r="H10">
        <v>3824</v>
      </c>
      <c r="X10">
        <v>87</v>
      </c>
      <c r="AO10">
        <v>680</v>
      </c>
      <c r="AP10">
        <v>3144</v>
      </c>
      <c r="AT10">
        <v>152</v>
      </c>
      <c r="BI10">
        <v>1289</v>
      </c>
      <c r="BM10" s="11">
        <f t="shared" si="7"/>
        <v>4063</v>
      </c>
      <c r="BN10" s="11">
        <f t="shared" si="0"/>
        <v>7648</v>
      </c>
      <c r="BO10" s="11">
        <f t="shared" si="1"/>
        <v>0</v>
      </c>
      <c r="BP10" s="11">
        <f t="shared" si="2"/>
        <v>0</v>
      </c>
      <c r="BQ10">
        <f t="shared" si="3"/>
        <v>0</v>
      </c>
      <c r="BR10">
        <f t="shared" si="4"/>
        <v>0</v>
      </c>
      <c r="BS10">
        <f t="shared" si="5"/>
        <v>0</v>
      </c>
      <c r="BT10">
        <f t="shared" si="6"/>
        <v>0</v>
      </c>
    </row>
    <row r="11" spans="1:72" x14ac:dyDescent="0.35">
      <c r="A11">
        <v>2022</v>
      </c>
      <c r="B11" t="s">
        <v>19</v>
      </c>
      <c r="C11" t="s">
        <v>20</v>
      </c>
      <c r="D11" s="2">
        <v>58859.199999999997</v>
      </c>
      <c r="E11">
        <v>347</v>
      </c>
      <c r="F11">
        <v>281</v>
      </c>
      <c r="G11">
        <v>0</v>
      </c>
      <c r="H11">
        <v>0</v>
      </c>
      <c r="I11">
        <v>0</v>
      </c>
      <c r="J11">
        <v>31</v>
      </c>
      <c r="K11">
        <v>201</v>
      </c>
      <c r="L11">
        <v>343</v>
      </c>
      <c r="M11">
        <v>0</v>
      </c>
      <c r="N11">
        <v>0</v>
      </c>
      <c r="O11">
        <v>1</v>
      </c>
      <c r="P11">
        <v>9196</v>
      </c>
      <c r="Q11">
        <v>49</v>
      </c>
      <c r="R11">
        <v>5</v>
      </c>
      <c r="S11">
        <v>15</v>
      </c>
      <c r="T11">
        <v>0</v>
      </c>
      <c r="U11">
        <v>4</v>
      </c>
      <c r="V11">
        <v>0</v>
      </c>
      <c r="W11">
        <v>31</v>
      </c>
      <c r="X11">
        <v>9</v>
      </c>
      <c r="Y11">
        <v>0</v>
      </c>
      <c r="Z11">
        <v>3</v>
      </c>
      <c r="AA11">
        <v>0</v>
      </c>
      <c r="AB11">
        <v>76</v>
      </c>
      <c r="AC11">
        <v>33</v>
      </c>
      <c r="AD11">
        <v>5</v>
      </c>
      <c r="AE11">
        <v>28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>
        <v>0</v>
      </c>
      <c r="AT11">
        <v>9</v>
      </c>
      <c r="AU11">
        <v>3</v>
      </c>
      <c r="AV11">
        <v>30</v>
      </c>
      <c r="AW11">
        <v>620</v>
      </c>
      <c r="AX11">
        <v>0</v>
      </c>
      <c r="AY11">
        <v>2</v>
      </c>
      <c r="AZ11">
        <v>0</v>
      </c>
      <c r="BA11">
        <v>0</v>
      </c>
      <c r="BB11">
        <v>31</v>
      </c>
      <c r="BC11">
        <v>5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66</v>
      </c>
      <c r="BJ11">
        <v>6</v>
      </c>
      <c r="BK11">
        <v>0</v>
      </c>
      <c r="BL11" s="10">
        <v>0</v>
      </c>
      <c r="BM11" s="11">
        <f t="shared" si="7"/>
        <v>748</v>
      </c>
      <c r="BN11" s="11">
        <f t="shared" si="0"/>
        <v>0</v>
      </c>
      <c r="BO11" s="11">
        <f t="shared" si="1"/>
        <v>0</v>
      </c>
      <c r="BP11" s="11">
        <f t="shared" si="2"/>
        <v>0</v>
      </c>
      <c r="BQ11">
        <f t="shared" si="3"/>
        <v>80</v>
      </c>
      <c r="BR11">
        <f t="shared" si="4"/>
        <v>232</v>
      </c>
      <c r="BS11">
        <f t="shared" si="5"/>
        <v>15</v>
      </c>
      <c r="BT11">
        <f t="shared" si="6"/>
        <v>31</v>
      </c>
    </row>
    <row r="12" spans="1:72" x14ac:dyDescent="0.35">
      <c r="A12">
        <v>2022</v>
      </c>
      <c r="B12" t="s">
        <v>21</v>
      </c>
      <c r="C12" t="s">
        <v>22</v>
      </c>
      <c r="D12" s="2">
        <v>966316.9</v>
      </c>
      <c r="BM12" s="11">
        <f t="shared" si="7"/>
        <v>0</v>
      </c>
      <c r="BN12" s="11">
        <f t="shared" si="0"/>
        <v>0</v>
      </c>
      <c r="BO12" s="11">
        <f t="shared" si="1"/>
        <v>0</v>
      </c>
      <c r="BP12" s="11">
        <f t="shared" si="2"/>
        <v>0</v>
      </c>
      <c r="BQ12">
        <f t="shared" si="3"/>
        <v>0</v>
      </c>
      <c r="BR12">
        <f t="shared" si="4"/>
        <v>0</v>
      </c>
      <c r="BS12">
        <f t="shared" si="5"/>
        <v>0</v>
      </c>
      <c r="BT12">
        <f t="shared" si="6"/>
        <v>0</v>
      </c>
    </row>
    <row r="13" spans="1:72" x14ac:dyDescent="0.35">
      <c r="A13">
        <v>2022</v>
      </c>
      <c r="B13" t="s">
        <v>23</v>
      </c>
      <c r="C13" t="s">
        <v>24</v>
      </c>
      <c r="D13" s="2">
        <v>1332678.6000000001</v>
      </c>
      <c r="E13">
        <v>8693</v>
      </c>
      <c r="F13">
        <v>4778</v>
      </c>
      <c r="G13">
        <v>2510</v>
      </c>
      <c r="H13">
        <v>44989</v>
      </c>
      <c r="I13">
        <v>22</v>
      </c>
      <c r="J13">
        <v>171</v>
      </c>
      <c r="K13">
        <v>967</v>
      </c>
      <c r="L13">
        <v>13442</v>
      </c>
      <c r="M13">
        <v>1045</v>
      </c>
      <c r="N13">
        <v>1</v>
      </c>
      <c r="O13">
        <v>16</v>
      </c>
      <c r="P13">
        <v>5</v>
      </c>
      <c r="Q13">
        <v>0</v>
      </c>
      <c r="R13">
        <v>0</v>
      </c>
      <c r="S13">
        <v>0</v>
      </c>
      <c r="V13">
        <v>0</v>
      </c>
      <c r="W13">
        <v>11</v>
      </c>
      <c r="X13">
        <v>273</v>
      </c>
      <c r="Z13">
        <v>110</v>
      </c>
      <c r="AB13">
        <v>107</v>
      </c>
      <c r="AC13">
        <v>2072</v>
      </c>
      <c r="AE13">
        <v>12</v>
      </c>
      <c r="AF13">
        <v>9</v>
      </c>
      <c r="AH13">
        <v>117</v>
      </c>
      <c r="AK13">
        <v>20</v>
      </c>
      <c r="AL13">
        <v>2</v>
      </c>
      <c r="AM13">
        <v>0</v>
      </c>
      <c r="AN13">
        <v>1597</v>
      </c>
      <c r="AO13">
        <v>37151</v>
      </c>
      <c r="AP13">
        <v>6241</v>
      </c>
      <c r="AS13">
        <v>15</v>
      </c>
      <c r="AT13">
        <v>279</v>
      </c>
      <c r="AU13">
        <v>6</v>
      </c>
      <c r="AV13">
        <v>599</v>
      </c>
      <c r="AX13">
        <v>8431</v>
      </c>
      <c r="AY13">
        <v>0</v>
      </c>
      <c r="BB13">
        <v>636</v>
      </c>
      <c r="BC13">
        <v>705</v>
      </c>
      <c r="BD13">
        <v>490</v>
      </c>
      <c r="BE13">
        <v>44</v>
      </c>
      <c r="BF13">
        <v>767</v>
      </c>
      <c r="BH13">
        <v>41</v>
      </c>
      <c r="BI13">
        <v>3915</v>
      </c>
      <c r="BJ13">
        <v>210</v>
      </c>
      <c r="BK13">
        <v>0</v>
      </c>
      <c r="BL13" s="10">
        <v>0</v>
      </c>
      <c r="BM13" s="11">
        <f t="shared" si="7"/>
        <v>21301</v>
      </c>
      <c r="BN13" s="11">
        <f t="shared" si="0"/>
        <v>89978</v>
      </c>
      <c r="BO13" s="11">
        <f t="shared" si="1"/>
        <v>44</v>
      </c>
      <c r="BP13" s="11">
        <f t="shared" si="2"/>
        <v>0</v>
      </c>
      <c r="BQ13">
        <f t="shared" si="3"/>
        <v>171</v>
      </c>
      <c r="BR13">
        <f t="shared" si="4"/>
        <v>1603</v>
      </c>
      <c r="BS13">
        <f t="shared" si="5"/>
        <v>15</v>
      </c>
      <c r="BT13">
        <f t="shared" si="6"/>
        <v>11</v>
      </c>
    </row>
    <row r="14" spans="1:72" x14ac:dyDescent="0.35">
      <c r="A14">
        <v>2022</v>
      </c>
      <c r="B14" t="s">
        <v>25</v>
      </c>
      <c r="C14" t="s">
        <v>26</v>
      </c>
      <c r="D14" s="2">
        <v>470912.8</v>
      </c>
      <c r="E14">
        <v>2608</v>
      </c>
      <c r="F14">
        <v>1753</v>
      </c>
      <c r="H14">
        <v>5893</v>
      </c>
      <c r="I14">
        <v>2055</v>
      </c>
      <c r="J14">
        <v>50</v>
      </c>
      <c r="K14">
        <v>382</v>
      </c>
      <c r="L14">
        <v>5106</v>
      </c>
      <c r="P14">
        <v>21</v>
      </c>
      <c r="W14">
        <v>257</v>
      </c>
      <c r="X14">
        <v>97</v>
      </c>
      <c r="AE14">
        <v>1602</v>
      </c>
      <c r="AJ14">
        <v>4</v>
      </c>
      <c r="AL14">
        <v>2055</v>
      </c>
      <c r="AP14">
        <v>5893</v>
      </c>
      <c r="AS14">
        <v>44</v>
      </c>
      <c r="AT14">
        <v>157</v>
      </c>
      <c r="AY14">
        <v>382</v>
      </c>
      <c r="BC14">
        <v>187</v>
      </c>
      <c r="BI14">
        <v>855</v>
      </c>
      <c r="BJ14">
        <v>97</v>
      </c>
      <c r="BM14" s="11">
        <f t="shared" si="7"/>
        <v>5567</v>
      </c>
      <c r="BN14" s="11">
        <f t="shared" si="0"/>
        <v>11786</v>
      </c>
      <c r="BO14" s="11">
        <f t="shared" si="1"/>
        <v>4110</v>
      </c>
      <c r="BP14" s="11">
        <f t="shared" si="2"/>
        <v>0</v>
      </c>
      <c r="BQ14">
        <f t="shared" si="3"/>
        <v>50</v>
      </c>
      <c r="BR14">
        <f t="shared" si="4"/>
        <v>382</v>
      </c>
      <c r="BS14">
        <f t="shared" si="5"/>
        <v>44</v>
      </c>
      <c r="BT14">
        <f t="shared" si="6"/>
        <v>257</v>
      </c>
    </row>
    <row r="15" spans="1:72" x14ac:dyDescent="0.35">
      <c r="A15">
        <v>2022</v>
      </c>
      <c r="B15" t="s">
        <v>27</v>
      </c>
      <c r="C15" t="s">
        <v>28</v>
      </c>
      <c r="D15" s="2">
        <v>61665.2</v>
      </c>
      <c r="E15">
        <v>992</v>
      </c>
      <c r="F15">
        <v>898</v>
      </c>
      <c r="H15">
        <v>8028</v>
      </c>
      <c r="J15">
        <v>86</v>
      </c>
      <c r="K15">
        <v>125</v>
      </c>
      <c r="L15">
        <v>449</v>
      </c>
      <c r="M15">
        <v>848</v>
      </c>
      <c r="N15">
        <v>11</v>
      </c>
      <c r="O15">
        <v>13</v>
      </c>
      <c r="Q15">
        <v>24</v>
      </c>
      <c r="R15">
        <v>33</v>
      </c>
      <c r="S15">
        <v>40</v>
      </c>
      <c r="U15">
        <v>106</v>
      </c>
      <c r="Y15">
        <v>1563</v>
      </c>
      <c r="Z15">
        <v>113</v>
      </c>
      <c r="AB15">
        <v>82</v>
      </c>
      <c r="AC15">
        <v>159</v>
      </c>
      <c r="AD15">
        <v>63</v>
      </c>
      <c r="AE15">
        <v>318</v>
      </c>
      <c r="AF15">
        <v>191</v>
      </c>
      <c r="AH15">
        <v>74</v>
      </c>
      <c r="AP15">
        <v>8028</v>
      </c>
      <c r="AS15">
        <v>4</v>
      </c>
      <c r="AU15">
        <v>4</v>
      </c>
      <c r="AW15">
        <v>1579</v>
      </c>
      <c r="AX15">
        <v>3204</v>
      </c>
      <c r="AY15">
        <v>6</v>
      </c>
      <c r="BB15">
        <v>449</v>
      </c>
      <c r="BC15">
        <v>30</v>
      </c>
      <c r="BF15">
        <v>17</v>
      </c>
      <c r="BI15">
        <v>94</v>
      </c>
      <c r="BM15" s="11">
        <f t="shared" si="7"/>
        <v>1984</v>
      </c>
      <c r="BN15" s="11">
        <f t="shared" si="0"/>
        <v>16056</v>
      </c>
      <c r="BO15" s="11">
        <f t="shared" si="1"/>
        <v>0</v>
      </c>
      <c r="BP15" s="11">
        <f t="shared" si="2"/>
        <v>1563</v>
      </c>
      <c r="BQ15">
        <f t="shared" si="3"/>
        <v>110</v>
      </c>
      <c r="BR15">
        <f t="shared" si="4"/>
        <v>574</v>
      </c>
      <c r="BS15">
        <f t="shared" si="5"/>
        <v>44</v>
      </c>
      <c r="BT15">
        <f t="shared" si="6"/>
        <v>0</v>
      </c>
    </row>
    <row r="16" spans="1:72" x14ac:dyDescent="0.35">
      <c r="A16">
        <v>2022</v>
      </c>
      <c r="B16" t="s">
        <v>29</v>
      </c>
      <c r="C16" t="s">
        <v>30</v>
      </c>
      <c r="D16" s="2">
        <v>437298.7</v>
      </c>
      <c r="BM16" s="11">
        <f t="shared" si="7"/>
        <v>0</v>
      </c>
      <c r="BN16" s="11">
        <f t="shared" si="0"/>
        <v>0</v>
      </c>
      <c r="BO16" s="11">
        <f t="shared" si="1"/>
        <v>0</v>
      </c>
      <c r="BP16" s="11">
        <f t="shared" si="2"/>
        <v>0</v>
      </c>
      <c r="BQ16">
        <f t="shared" si="3"/>
        <v>0</v>
      </c>
      <c r="BR16">
        <f t="shared" si="4"/>
        <v>0</v>
      </c>
      <c r="BS16">
        <f t="shared" si="5"/>
        <v>0</v>
      </c>
      <c r="BT16">
        <f t="shared" si="6"/>
        <v>0</v>
      </c>
    </row>
    <row r="17" spans="1:72" x14ac:dyDescent="0.35">
      <c r="A17">
        <v>2022</v>
      </c>
      <c r="B17" t="s">
        <v>31</v>
      </c>
      <c r="C17" t="s">
        <v>32</v>
      </c>
      <c r="D17" s="2">
        <v>10405.299999999999</v>
      </c>
      <c r="E17">
        <v>2644</v>
      </c>
      <c r="F17">
        <v>187</v>
      </c>
      <c r="G17">
        <v>100</v>
      </c>
      <c r="H17">
        <v>941</v>
      </c>
      <c r="I17">
        <v>0</v>
      </c>
      <c r="J17">
        <v>10</v>
      </c>
      <c r="K17">
        <v>23</v>
      </c>
      <c r="L17">
        <v>0</v>
      </c>
      <c r="M17">
        <v>0</v>
      </c>
      <c r="N17">
        <v>0</v>
      </c>
      <c r="O17">
        <v>0</v>
      </c>
      <c r="P17">
        <v>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2349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95</v>
      </c>
      <c r="AP17">
        <v>846</v>
      </c>
      <c r="AS17">
        <v>11</v>
      </c>
      <c r="AT17">
        <v>33</v>
      </c>
      <c r="AU17">
        <v>4</v>
      </c>
      <c r="AV17">
        <v>24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</v>
      </c>
      <c r="BC17">
        <v>10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108</v>
      </c>
      <c r="BJ17">
        <v>56</v>
      </c>
      <c r="BK17">
        <v>0</v>
      </c>
      <c r="BL17" s="10">
        <v>0</v>
      </c>
      <c r="BM17" s="11">
        <f>E17+F17+BI17+X17+AT17+BE17+G17+BJ17+AV17+AI17</f>
        <v>5532</v>
      </c>
      <c r="BN17" s="11">
        <f t="shared" si="0"/>
        <v>1882</v>
      </c>
      <c r="BO17" s="11">
        <f t="shared" si="1"/>
        <v>0</v>
      </c>
      <c r="BP17" s="11">
        <f t="shared" si="2"/>
        <v>0</v>
      </c>
      <c r="BQ17">
        <f t="shared" si="3"/>
        <v>10</v>
      </c>
      <c r="BR17">
        <f t="shared" si="4"/>
        <v>29</v>
      </c>
      <c r="BS17">
        <f t="shared" si="5"/>
        <v>11</v>
      </c>
      <c r="BT17">
        <f t="shared" si="6"/>
        <v>0</v>
      </c>
    </row>
    <row r="18" spans="1:72" x14ac:dyDescent="0.35">
      <c r="A18">
        <v>2022</v>
      </c>
      <c r="B18" t="s">
        <v>33</v>
      </c>
      <c r="C18" t="s">
        <v>34</v>
      </c>
      <c r="D18" s="2">
        <v>946149.4</v>
      </c>
      <c r="E18">
        <v>3759</v>
      </c>
      <c r="F18">
        <v>2467</v>
      </c>
      <c r="G18">
        <v>639</v>
      </c>
      <c r="H18">
        <v>16473</v>
      </c>
      <c r="I18">
        <v>1674</v>
      </c>
      <c r="J18">
        <v>317</v>
      </c>
      <c r="K18">
        <v>602</v>
      </c>
      <c r="L18">
        <v>3699</v>
      </c>
      <c r="M18">
        <v>61</v>
      </c>
      <c r="N18">
        <v>0</v>
      </c>
      <c r="O18">
        <v>85</v>
      </c>
      <c r="P18">
        <v>310</v>
      </c>
      <c r="Q18">
        <v>88</v>
      </c>
      <c r="R18">
        <v>11</v>
      </c>
      <c r="S18">
        <v>6</v>
      </c>
      <c r="T18">
        <v>1</v>
      </c>
      <c r="U18">
        <v>89</v>
      </c>
      <c r="V18">
        <v>1</v>
      </c>
      <c r="W18">
        <v>668</v>
      </c>
      <c r="X18">
        <v>87</v>
      </c>
      <c r="Y18">
        <v>132</v>
      </c>
      <c r="Z18">
        <v>20</v>
      </c>
      <c r="AA18">
        <v>0</v>
      </c>
      <c r="AB18">
        <v>4864</v>
      </c>
      <c r="AC18">
        <v>1195</v>
      </c>
      <c r="AD18">
        <v>118</v>
      </c>
      <c r="AE18">
        <v>161</v>
      </c>
      <c r="AF18">
        <v>293</v>
      </c>
      <c r="AG18">
        <v>8</v>
      </c>
      <c r="AH18">
        <v>85</v>
      </c>
      <c r="AI18">
        <v>3</v>
      </c>
      <c r="AJ18">
        <v>83</v>
      </c>
      <c r="AK18">
        <v>77</v>
      </c>
      <c r="AL18">
        <v>1578</v>
      </c>
      <c r="AM18">
        <v>19</v>
      </c>
      <c r="AN18">
        <v>63</v>
      </c>
      <c r="AO18">
        <v>4925</v>
      </c>
      <c r="AP18">
        <v>11485</v>
      </c>
      <c r="AS18">
        <v>49</v>
      </c>
      <c r="AT18">
        <v>152</v>
      </c>
      <c r="AU18">
        <v>10</v>
      </c>
      <c r="AV18">
        <v>158</v>
      </c>
      <c r="AW18">
        <v>5</v>
      </c>
      <c r="AX18">
        <v>74</v>
      </c>
      <c r="AY18">
        <v>34</v>
      </c>
      <c r="AZ18">
        <v>14</v>
      </c>
      <c r="BA18">
        <v>0</v>
      </c>
      <c r="BB18">
        <v>369</v>
      </c>
      <c r="BC18">
        <v>24</v>
      </c>
      <c r="BD18">
        <v>167</v>
      </c>
      <c r="BE18">
        <v>10</v>
      </c>
      <c r="BF18">
        <v>32</v>
      </c>
      <c r="BG18">
        <v>11</v>
      </c>
      <c r="BH18">
        <v>595</v>
      </c>
      <c r="BI18">
        <v>1289</v>
      </c>
      <c r="BJ18">
        <v>301</v>
      </c>
      <c r="BK18">
        <v>11</v>
      </c>
      <c r="BL18" s="10">
        <v>5</v>
      </c>
      <c r="BM18" s="11">
        <f t="shared" si="7"/>
        <v>8865</v>
      </c>
      <c r="BN18" s="11">
        <f t="shared" si="0"/>
        <v>32946</v>
      </c>
      <c r="BO18" s="11">
        <f t="shared" si="1"/>
        <v>3348</v>
      </c>
      <c r="BP18" s="11">
        <f t="shared" si="2"/>
        <v>146</v>
      </c>
      <c r="BQ18">
        <f t="shared" si="3"/>
        <v>405</v>
      </c>
      <c r="BR18">
        <f t="shared" si="4"/>
        <v>971</v>
      </c>
      <c r="BS18">
        <f t="shared" si="5"/>
        <v>55</v>
      </c>
      <c r="BT18">
        <f t="shared" si="6"/>
        <v>669</v>
      </c>
    </row>
    <row r="19" spans="1:72" x14ac:dyDescent="0.35">
      <c r="A19">
        <v>2022</v>
      </c>
      <c r="B19" t="s">
        <v>35</v>
      </c>
      <c r="C19" t="s">
        <v>36</v>
      </c>
      <c r="D19" s="2">
        <v>734070.3</v>
      </c>
      <c r="E19">
        <v>1507</v>
      </c>
      <c r="F19">
        <v>1197</v>
      </c>
      <c r="H19">
        <v>2933</v>
      </c>
      <c r="I19">
        <v>783</v>
      </c>
      <c r="J19">
        <v>21</v>
      </c>
      <c r="K19">
        <v>163</v>
      </c>
      <c r="L19">
        <v>431</v>
      </c>
      <c r="R19">
        <v>11</v>
      </c>
      <c r="U19">
        <v>30</v>
      </c>
      <c r="X19">
        <v>28</v>
      </c>
      <c r="Z19">
        <v>18</v>
      </c>
      <c r="AD19">
        <v>104</v>
      </c>
      <c r="AE19">
        <v>1028</v>
      </c>
      <c r="AF19">
        <v>1028</v>
      </c>
      <c r="AK19">
        <v>126</v>
      </c>
      <c r="AL19">
        <v>657</v>
      </c>
      <c r="AO19">
        <v>1265</v>
      </c>
      <c r="AP19">
        <v>1668</v>
      </c>
      <c r="AS19">
        <v>77</v>
      </c>
      <c r="AT19">
        <v>57</v>
      </c>
      <c r="AV19">
        <v>183</v>
      </c>
      <c r="BB19">
        <v>320</v>
      </c>
      <c r="BE19">
        <v>1</v>
      </c>
      <c r="BI19">
        <v>310</v>
      </c>
      <c r="BJ19">
        <v>28</v>
      </c>
      <c r="BL19" s="10">
        <v>21983</v>
      </c>
      <c r="BM19" s="11">
        <f t="shared" si="7"/>
        <v>3311</v>
      </c>
      <c r="BN19" s="11">
        <f t="shared" si="0"/>
        <v>5866</v>
      </c>
      <c r="BO19" s="11">
        <f t="shared" si="1"/>
        <v>1566</v>
      </c>
      <c r="BP19" s="11">
        <f t="shared" si="2"/>
        <v>0</v>
      </c>
      <c r="BQ19">
        <f t="shared" si="3"/>
        <v>21</v>
      </c>
      <c r="BR19">
        <f t="shared" si="4"/>
        <v>483</v>
      </c>
      <c r="BS19">
        <f t="shared" si="5"/>
        <v>77</v>
      </c>
      <c r="BT19">
        <f t="shared" si="6"/>
        <v>0</v>
      </c>
    </row>
    <row r="20" spans="1:72" x14ac:dyDescent="0.35">
      <c r="A20">
        <v>2022</v>
      </c>
      <c r="B20" t="s">
        <v>37</v>
      </c>
      <c r="C20" t="s">
        <v>38</v>
      </c>
      <c r="D20" s="2">
        <v>924980.8</v>
      </c>
      <c r="E20">
        <v>4930</v>
      </c>
      <c r="F20">
        <v>4412</v>
      </c>
      <c r="H20">
        <v>14979</v>
      </c>
      <c r="I20">
        <v>7425</v>
      </c>
      <c r="J20">
        <v>418</v>
      </c>
      <c r="K20">
        <v>1162</v>
      </c>
      <c r="Q20">
        <v>28</v>
      </c>
      <c r="Y20">
        <v>4140</v>
      </c>
      <c r="AJ20">
        <v>148</v>
      </c>
      <c r="AK20">
        <v>4</v>
      </c>
      <c r="AL20">
        <v>7421</v>
      </c>
      <c r="AN20">
        <v>45</v>
      </c>
      <c r="AP20">
        <v>14934</v>
      </c>
      <c r="AY20">
        <v>3896</v>
      </c>
      <c r="BB20">
        <v>200</v>
      </c>
      <c r="BC20">
        <v>95</v>
      </c>
      <c r="BI20">
        <v>518</v>
      </c>
      <c r="BM20" s="11">
        <f t="shared" si="7"/>
        <v>9860</v>
      </c>
      <c r="BN20" s="11">
        <f t="shared" si="0"/>
        <v>29958</v>
      </c>
      <c r="BO20" s="11">
        <f t="shared" si="1"/>
        <v>14850</v>
      </c>
      <c r="BP20" s="11">
        <f t="shared" si="2"/>
        <v>4140</v>
      </c>
      <c r="BQ20">
        <f t="shared" si="3"/>
        <v>446</v>
      </c>
      <c r="BR20">
        <f t="shared" si="4"/>
        <v>1362</v>
      </c>
      <c r="BS20">
        <f t="shared" si="5"/>
        <v>0</v>
      </c>
      <c r="BT20">
        <f t="shared" si="6"/>
        <v>0</v>
      </c>
    </row>
    <row r="21" spans="1:72" x14ac:dyDescent="0.35">
      <c r="A21">
        <v>2022</v>
      </c>
      <c r="B21" t="s">
        <v>39</v>
      </c>
      <c r="C21" t="s">
        <v>40</v>
      </c>
      <c r="D21" s="2">
        <v>49447.1</v>
      </c>
      <c r="E21">
        <v>239</v>
      </c>
      <c r="F21">
        <v>182</v>
      </c>
      <c r="H21">
        <v>1375</v>
      </c>
      <c r="I21">
        <v>23</v>
      </c>
      <c r="K21">
        <v>14</v>
      </c>
      <c r="P21">
        <v>146</v>
      </c>
      <c r="AD21">
        <v>282</v>
      </c>
      <c r="AE21">
        <v>228</v>
      </c>
      <c r="AL21">
        <v>23</v>
      </c>
      <c r="AN21">
        <v>1078</v>
      </c>
      <c r="AP21">
        <v>297</v>
      </c>
      <c r="AY21">
        <v>101</v>
      </c>
      <c r="BB21">
        <v>91</v>
      </c>
      <c r="BI21">
        <v>57</v>
      </c>
      <c r="BM21" s="11">
        <f t="shared" si="7"/>
        <v>478</v>
      </c>
      <c r="BN21" s="11">
        <f t="shared" si="0"/>
        <v>2750</v>
      </c>
      <c r="BO21" s="11">
        <f t="shared" si="1"/>
        <v>46</v>
      </c>
      <c r="BP21" s="11">
        <f t="shared" si="2"/>
        <v>0</v>
      </c>
      <c r="BQ21">
        <f t="shared" si="3"/>
        <v>0</v>
      </c>
      <c r="BR21">
        <f t="shared" si="4"/>
        <v>105</v>
      </c>
      <c r="BS21">
        <f t="shared" si="5"/>
        <v>0</v>
      </c>
      <c r="BT21">
        <f t="shared" si="6"/>
        <v>0</v>
      </c>
    </row>
    <row r="22" spans="1:72" x14ac:dyDescent="0.35">
      <c r="A22">
        <v>2022</v>
      </c>
      <c r="B22" t="s">
        <v>41</v>
      </c>
      <c r="C22" t="s">
        <v>42</v>
      </c>
      <c r="D22" s="2">
        <v>88529.1</v>
      </c>
      <c r="BM22" s="11">
        <f t="shared" si="7"/>
        <v>0</v>
      </c>
      <c r="BN22" s="11">
        <f t="shared" si="0"/>
        <v>0</v>
      </c>
      <c r="BO22" s="11">
        <f t="shared" si="1"/>
        <v>0</v>
      </c>
      <c r="BP22" s="11">
        <f t="shared" si="2"/>
        <v>0</v>
      </c>
      <c r="BQ22">
        <f t="shared" si="3"/>
        <v>0</v>
      </c>
      <c r="BR22">
        <f t="shared" si="4"/>
        <v>0</v>
      </c>
      <c r="BS22">
        <f t="shared" si="5"/>
        <v>0</v>
      </c>
      <c r="BT22">
        <f t="shared" si="6"/>
        <v>0</v>
      </c>
    </row>
    <row r="23" spans="1:72" x14ac:dyDescent="0.35">
      <c r="A23">
        <v>2022</v>
      </c>
      <c r="B23" t="s">
        <v>43</v>
      </c>
      <c r="C23" t="s">
        <v>44</v>
      </c>
      <c r="D23" s="2">
        <v>913289.2</v>
      </c>
      <c r="E23">
        <v>4726</v>
      </c>
      <c r="F23">
        <v>3344</v>
      </c>
      <c r="G23">
        <v>0</v>
      </c>
      <c r="H23">
        <v>102943</v>
      </c>
      <c r="I23">
        <v>23882</v>
      </c>
      <c r="J23">
        <v>0</v>
      </c>
      <c r="K23">
        <v>1188</v>
      </c>
      <c r="L23">
        <v>4065</v>
      </c>
      <c r="M23">
        <v>3583</v>
      </c>
      <c r="N23">
        <v>30</v>
      </c>
      <c r="O23">
        <v>0</v>
      </c>
      <c r="P23">
        <v>0</v>
      </c>
      <c r="Q23">
        <v>488</v>
      </c>
      <c r="R23">
        <v>0</v>
      </c>
      <c r="S23">
        <v>153</v>
      </c>
      <c r="T23">
        <v>0</v>
      </c>
      <c r="U23">
        <v>436</v>
      </c>
      <c r="V23">
        <v>0</v>
      </c>
      <c r="W23">
        <v>47</v>
      </c>
      <c r="X23">
        <v>0</v>
      </c>
      <c r="Y23">
        <v>0</v>
      </c>
      <c r="Z23">
        <v>0</v>
      </c>
      <c r="AA23">
        <v>0</v>
      </c>
      <c r="AB23">
        <v>2703</v>
      </c>
      <c r="AC23">
        <v>0</v>
      </c>
      <c r="AD23">
        <v>2471</v>
      </c>
      <c r="AE23">
        <v>477</v>
      </c>
      <c r="AF23">
        <v>2139</v>
      </c>
      <c r="AG23">
        <v>0</v>
      </c>
      <c r="AH23">
        <v>3555</v>
      </c>
      <c r="AI23">
        <v>0</v>
      </c>
      <c r="AJ23">
        <v>0</v>
      </c>
      <c r="AK23">
        <v>0</v>
      </c>
      <c r="AL23">
        <v>23882</v>
      </c>
      <c r="AM23">
        <v>0</v>
      </c>
      <c r="AN23">
        <v>0</v>
      </c>
      <c r="AO23">
        <v>56484</v>
      </c>
      <c r="AP23">
        <v>46459</v>
      </c>
      <c r="AS23">
        <v>1481</v>
      </c>
      <c r="AT23">
        <v>0</v>
      </c>
      <c r="AU23">
        <v>309</v>
      </c>
      <c r="AV23">
        <v>0</v>
      </c>
      <c r="AW23">
        <v>0</v>
      </c>
      <c r="AX23">
        <v>0</v>
      </c>
      <c r="AY23">
        <v>0</v>
      </c>
      <c r="AZ23">
        <v>3602</v>
      </c>
      <c r="BA23">
        <v>0</v>
      </c>
      <c r="BB23">
        <v>1507</v>
      </c>
      <c r="BC23">
        <v>196</v>
      </c>
      <c r="BD23">
        <v>185</v>
      </c>
      <c r="BE23">
        <v>0</v>
      </c>
      <c r="BF23">
        <v>65</v>
      </c>
      <c r="BG23">
        <v>0</v>
      </c>
      <c r="BH23">
        <v>0</v>
      </c>
      <c r="BI23">
        <v>1382</v>
      </c>
      <c r="BJ23">
        <v>0</v>
      </c>
      <c r="BK23">
        <v>0</v>
      </c>
      <c r="BL23" s="10">
        <v>0</v>
      </c>
      <c r="BM23" s="11">
        <f t="shared" si="7"/>
        <v>9452</v>
      </c>
      <c r="BN23" s="11">
        <f t="shared" si="0"/>
        <v>205886</v>
      </c>
      <c r="BO23" s="11">
        <f t="shared" si="1"/>
        <v>47764</v>
      </c>
      <c r="BP23" s="11">
        <f t="shared" si="2"/>
        <v>3602</v>
      </c>
      <c r="BQ23">
        <f t="shared" si="3"/>
        <v>488</v>
      </c>
      <c r="BR23">
        <f t="shared" si="4"/>
        <v>2695</v>
      </c>
      <c r="BS23">
        <f t="shared" si="5"/>
        <v>1634</v>
      </c>
      <c r="BT23">
        <f t="shared" si="6"/>
        <v>47</v>
      </c>
    </row>
    <row r="24" spans="1:72" x14ac:dyDescent="0.35">
      <c r="A24">
        <v>2022</v>
      </c>
      <c r="B24" t="s">
        <v>45</v>
      </c>
      <c r="C24" t="s">
        <v>46</v>
      </c>
      <c r="D24" s="2">
        <v>458014.7</v>
      </c>
      <c r="E24">
        <v>297</v>
      </c>
      <c r="G24">
        <v>5</v>
      </c>
      <c r="H24">
        <v>4367</v>
      </c>
      <c r="I24">
        <v>777</v>
      </c>
      <c r="J24">
        <v>34</v>
      </c>
      <c r="Q24">
        <v>50</v>
      </c>
      <c r="X24">
        <v>30</v>
      </c>
      <c r="AI24">
        <v>1</v>
      </c>
      <c r="AK24">
        <v>0</v>
      </c>
      <c r="AL24">
        <v>777</v>
      </c>
      <c r="AM24">
        <v>0</v>
      </c>
      <c r="AN24">
        <v>0</v>
      </c>
      <c r="AO24">
        <v>2680</v>
      </c>
      <c r="AP24">
        <v>1687</v>
      </c>
      <c r="AT24">
        <v>31</v>
      </c>
      <c r="AV24">
        <v>111</v>
      </c>
      <c r="BE24">
        <v>5</v>
      </c>
      <c r="BI24">
        <v>296</v>
      </c>
      <c r="BJ24">
        <v>80</v>
      </c>
      <c r="BM24" s="11">
        <f t="shared" si="7"/>
        <v>856</v>
      </c>
      <c r="BN24" s="11">
        <f t="shared" si="0"/>
        <v>8734</v>
      </c>
      <c r="BO24" s="11">
        <f t="shared" si="1"/>
        <v>1554</v>
      </c>
      <c r="BP24" s="11">
        <f t="shared" si="2"/>
        <v>0</v>
      </c>
      <c r="BQ24">
        <f t="shared" si="3"/>
        <v>84</v>
      </c>
      <c r="BR24">
        <f t="shared" si="4"/>
        <v>0</v>
      </c>
      <c r="BS24">
        <f t="shared" si="5"/>
        <v>0</v>
      </c>
      <c r="BT24">
        <f t="shared" si="6"/>
        <v>0</v>
      </c>
    </row>
    <row r="25" spans="1:72" x14ac:dyDescent="0.35">
      <c r="A25">
        <v>2022</v>
      </c>
      <c r="B25" t="s">
        <v>47</v>
      </c>
      <c r="C25" t="s">
        <v>48</v>
      </c>
      <c r="D25" s="2">
        <v>63757.9</v>
      </c>
      <c r="E25">
        <v>438</v>
      </c>
      <c r="F25">
        <v>428</v>
      </c>
      <c r="G25">
        <v>0</v>
      </c>
      <c r="H25">
        <v>1879</v>
      </c>
      <c r="I25">
        <v>197</v>
      </c>
      <c r="J25">
        <v>20</v>
      </c>
      <c r="K25">
        <v>2</v>
      </c>
      <c r="L25">
        <v>181</v>
      </c>
      <c r="M25">
        <v>0</v>
      </c>
      <c r="N25">
        <v>0</v>
      </c>
      <c r="O25">
        <v>11</v>
      </c>
      <c r="P25">
        <v>3975</v>
      </c>
      <c r="Q25">
        <v>2</v>
      </c>
      <c r="R25">
        <v>2</v>
      </c>
      <c r="S25">
        <v>3</v>
      </c>
      <c r="T25">
        <v>1</v>
      </c>
      <c r="U25">
        <v>1</v>
      </c>
      <c r="V25">
        <v>24</v>
      </c>
      <c r="W25">
        <v>0</v>
      </c>
      <c r="X25">
        <v>5</v>
      </c>
      <c r="Y25">
        <v>0</v>
      </c>
      <c r="Z25">
        <v>0</v>
      </c>
      <c r="AA25">
        <v>0</v>
      </c>
      <c r="AB25">
        <v>51</v>
      </c>
      <c r="AC25">
        <v>0</v>
      </c>
      <c r="AD25">
        <v>0</v>
      </c>
      <c r="AE25">
        <v>197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171</v>
      </c>
      <c r="AL25">
        <v>26</v>
      </c>
      <c r="AM25">
        <v>0</v>
      </c>
      <c r="AN25">
        <v>3</v>
      </c>
      <c r="AO25">
        <v>889</v>
      </c>
      <c r="AP25">
        <v>987</v>
      </c>
      <c r="AS25">
        <v>1</v>
      </c>
      <c r="AT25">
        <v>4</v>
      </c>
      <c r="AU25">
        <v>0</v>
      </c>
      <c r="AV25">
        <v>0</v>
      </c>
      <c r="AW25">
        <v>10</v>
      </c>
      <c r="AX25">
        <v>64</v>
      </c>
      <c r="AY25">
        <v>0</v>
      </c>
      <c r="AZ25">
        <v>0</v>
      </c>
      <c r="BA25">
        <v>0</v>
      </c>
      <c r="BB25">
        <v>80</v>
      </c>
      <c r="BC25">
        <v>5</v>
      </c>
      <c r="BD25">
        <v>0</v>
      </c>
      <c r="BE25">
        <v>0</v>
      </c>
      <c r="BF25">
        <v>11</v>
      </c>
      <c r="BG25">
        <v>68</v>
      </c>
      <c r="BH25">
        <v>0</v>
      </c>
      <c r="BI25">
        <v>10</v>
      </c>
      <c r="BJ25">
        <v>0</v>
      </c>
      <c r="BK25">
        <v>0</v>
      </c>
      <c r="BL25" s="10">
        <v>0</v>
      </c>
      <c r="BM25" s="11">
        <f t="shared" si="7"/>
        <v>885</v>
      </c>
      <c r="BN25" s="11">
        <f t="shared" si="0"/>
        <v>3758</v>
      </c>
      <c r="BO25" s="11">
        <f t="shared" si="1"/>
        <v>394</v>
      </c>
      <c r="BP25" s="11">
        <f t="shared" si="2"/>
        <v>0</v>
      </c>
      <c r="BQ25">
        <f t="shared" si="3"/>
        <v>22</v>
      </c>
      <c r="BR25">
        <f t="shared" si="4"/>
        <v>82</v>
      </c>
      <c r="BS25">
        <f t="shared" si="5"/>
        <v>4</v>
      </c>
      <c r="BT25">
        <f t="shared" si="6"/>
        <v>24</v>
      </c>
    </row>
    <row r="26" spans="1:72" x14ac:dyDescent="0.35">
      <c r="A26">
        <v>2022</v>
      </c>
      <c r="B26" t="s">
        <v>49</v>
      </c>
      <c r="C26" t="s">
        <v>50</v>
      </c>
      <c r="D26" s="2">
        <v>1487676.4</v>
      </c>
      <c r="E26">
        <v>5517</v>
      </c>
      <c r="F26">
        <v>3544</v>
      </c>
      <c r="G26">
        <v>333</v>
      </c>
      <c r="H26">
        <v>34634</v>
      </c>
      <c r="I26">
        <v>137</v>
      </c>
      <c r="J26">
        <v>273</v>
      </c>
      <c r="K26">
        <v>886</v>
      </c>
      <c r="L26">
        <v>0</v>
      </c>
      <c r="M26">
        <v>141</v>
      </c>
      <c r="N26">
        <v>0</v>
      </c>
      <c r="O26">
        <v>603</v>
      </c>
      <c r="P26">
        <v>86423</v>
      </c>
      <c r="Q26">
        <v>255</v>
      </c>
      <c r="R26">
        <v>181</v>
      </c>
      <c r="S26">
        <v>0</v>
      </c>
      <c r="T26">
        <v>0</v>
      </c>
      <c r="U26">
        <v>0</v>
      </c>
      <c r="V26">
        <v>0</v>
      </c>
      <c r="W26">
        <v>4286</v>
      </c>
      <c r="X26">
        <v>206</v>
      </c>
      <c r="Y26">
        <v>0</v>
      </c>
      <c r="Z26">
        <v>2153</v>
      </c>
      <c r="AA26">
        <v>0</v>
      </c>
      <c r="AB26">
        <v>0</v>
      </c>
      <c r="AC26">
        <v>0</v>
      </c>
      <c r="AD26">
        <v>0</v>
      </c>
      <c r="AE26">
        <v>636</v>
      </c>
      <c r="AF26">
        <v>4663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137</v>
      </c>
      <c r="AM26">
        <v>0</v>
      </c>
      <c r="AN26">
        <v>0</v>
      </c>
      <c r="AO26">
        <v>0</v>
      </c>
      <c r="AP26">
        <v>34634</v>
      </c>
      <c r="AS26">
        <v>2217</v>
      </c>
      <c r="AT26">
        <v>285</v>
      </c>
      <c r="AU26">
        <v>0</v>
      </c>
      <c r="AV26">
        <v>812</v>
      </c>
      <c r="AW26">
        <v>0</v>
      </c>
      <c r="AX26">
        <v>0</v>
      </c>
      <c r="AY26">
        <v>8639</v>
      </c>
      <c r="AZ26">
        <v>0</v>
      </c>
      <c r="BA26">
        <v>0</v>
      </c>
      <c r="BB26">
        <v>1797</v>
      </c>
      <c r="BC26">
        <v>631</v>
      </c>
      <c r="BD26">
        <v>0</v>
      </c>
      <c r="BE26">
        <v>77</v>
      </c>
      <c r="BF26">
        <v>0</v>
      </c>
      <c r="BG26">
        <v>0</v>
      </c>
      <c r="BH26">
        <v>642</v>
      </c>
      <c r="BI26">
        <v>1973</v>
      </c>
      <c r="BJ26">
        <v>593</v>
      </c>
      <c r="BK26">
        <v>0</v>
      </c>
      <c r="BL26" s="10">
        <v>0</v>
      </c>
      <c r="BM26" s="11">
        <f t="shared" si="7"/>
        <v>13340</v>
      </c>
      <c r="BN26" s="11">
        <f t="shared" si="0"/>
        <v>69268</v>
      </c>
      <c r="BO26" s="11">
        <f t="shared" si="1"/>
        <v>274</v>
      </c>
      <c r="BP26" s="11">
        <f t="shared" si="2"/>
        <v>0</v>
      </c>
      <c r="BQ26">
        <f t="shared" si="3"/>
        <v>528</v>
      </c>
      <c r="BR26">
        <f t="shared" si="4"/>
        <v>2683</v>
      </c>
      <c r="BS26">
        <f t="shared" si="5"/>
        <v>2217</v>
      </c>
      <c r="BT26">
        <f t="shared" si="6"/>
        <v>4286</v>
      </c>
    </row>
    <row r="27" spans="1:72" x14ac:dyDescent="0.35">
      <c r="A27">
        <v>2022</v>
      </c>
      <c r="B27" t="s">
        <v>51</v>
      </c>
      <c r="C27" t="s">
        <v>52</v>
      </c>
      <c r="D27" s="2">
        <v>161499.29999999999</v>
      </c>
      <c r="E27">
        <v>954</v>
      </c>
      <c r="F27">
        <v>840</v>
      </c>
      <c r="G27">
        <v>37</v>
      </c>
      <c r="H27">
        <v>3440</v>
      </c>
      <c r="I27">
        <v>769</v>
      </c>
      <c r="J27">
        <v>6</v>
      </c>
      <c r="K27">
        <v>170</v>
      </c>
      <c r="X27">
        <v>20</v>
      </c>
      <c r="AL27">
        <v>769</v>
      </c>
      <c r="AO27">
        <v>1423</v>
      </c>
      <c r="AP27">
        <v>2017</v>
      </c>
      <c r="AT27">
        <v>30</v>
      </c>
      <c r="BB27">
        <v>447</v>
      </c>
      <c r="BE27">
        <v>0</v>
      </c>
      <c r="BI27">
        <v>114</v>
      </c>
      <c r="BJ27">
        <v>30</v>
      </c>
      <c r="BM27" s="11">
        <f t="shared" si="7"/>
        <v>2025</v>
      </c>
      <c r="BN27" s="11">
        <f t="shared" si="0"/>
        <v>6880</v>
      </c>
      <c r="BO27" s="11">
        <f t="shared" si="1"/>
        <v>1538</v>
      </c>
      <c r="BP27" s="11">
        <f t="shared" si="2"/>
        <v>0</v>
      </c>
      <c r="BQ27">
        <f t="shared" si="3"/>
        <v>6</v>
      </c>
      <c r="BR27">
        <f t="shared" si="4"/>
        <v>617</v>
      </c>
      <c r="BS27">
        <f t="shared" si="5"/>
        <v>0</v>
      </c>
      <c r="BT27">
        <f t="shared" si="6"/>
        <v>0</v>
      </c>
    </row>
    <row r="28" spans="1:72" x14ac:dyDescent="0.35">
      <c r="A28">
        <v>2022</v>
      </c>
      <c r="B28" t="s">
        <v>53</v>
      </c>
      <c r="C28" t="s">
        <v>54</v>
      </c>
      <c r="D28" s="2">
        <v>903175.3</v>
      </c>
      <c r="J28">
        <v>225</v>
      </c>
      <c r="K28">
        <v>27</v>
      </c>
      <c r="BM28" s="11">
        <f t="shared" si="7"/>
        <v>0</v>
      </c>
      <c r="BN28" s="11">
        <f t="shared" si="0"/>
        <v>0</v>
      </c>
      <c r="BO28" s="11">
        <f t="shared" si="1"/>
        <v>0</v>
      </c>
      <c r="BP28" s="11">
        <f t="shared" si="2"/>
        <v>0</v>
      </c>
      <c r="BQ28">
        <f t="shared" si="3"/>
        <v>225</v>
      </c>
      <c r="BR28">
        <f t="shared" si="4"/>
        <v>27</v>
      </c>
      <c r="BS28">
        <f t="shared" si="5"/>
        <v>0</v>
      </c>
      <c r="BT28">
        <f t="shared" si="6"/>
        <v>0</v>
      </c>
    </row>
    <row r="29" spans="1:72" x14ac:dyDescent="0.35">
      <c r="A29">
        <v>2022</v>
      </c>
      <c r="B29" t="s">
        <v>55</v>
      </c>
      <c r="C29" t="s">
        <v>56</v>
      </c>
      <c r="D29" s="2">
        <v>663702.4</v>
      </c>
      <c r="E29">
        <v>996</v>
      </c>
      <c r="F29">
        <v>843</v>
      </c>
      <c r="G29">
        <v>32</v>
      </c>
      <c r="H29">
        <v>9592</v>
      </c>
      <c r="I29">
        <v>616</v>
      </c>
      <c r="J29">
        <v>91</v>
      </c>
      <c r="K29">
        <v>111</v>
      </c>
      <c r="L29">
        <v>82</v>
      </c>
      <c r="M29">
        <v>272</v>
      </c>
      <c r="N29">
        <v>0</v>
      </c>
      <c r="O29">
        <v>56</v>
      </c>
      <c r="P29">
        <v>10747</v>
      </c>
      <c r="Q29">
        <v>173</v>
      </c>
      <c r="R29">
        <v>12</v>
      </c>
      <c r="S29">
        <v>33</v>
      </c>
      <c r="T29">
        <v>0</v>
      </c>
      <c r="U29">
        <v>71</v>
      </c>
      <c r="V29">
        <v>0</v>
      </c>
      <c r="W29">
        <v>548</v>
      </c>
      <c r="X29">
        <v>33</v>
      </c>
      <c r="Y29">
        <v>0</v>
      </c>
      <c r="Z29">
        <v>68</v>
      </c>
      <c r="AA29">
        <v>0</v>
      </c>
      <c r="AB29">
        <v>610</v>
      </c>
      <c r="AC29">
        <v>561</v>
      </c>
      <c r="AD29">
        <v>1661</v>
      </c>
      <c r="AE29">
        <v>189</v>
      </c>
      <c r="AF29">
        <v>81</v>
      </c>
      <c r="AG29">
        <v>0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616</v>
      </c>
      <c r="AN29">
        <v>227</v>
      </c>
      <c r="AO29">
        <v>6474</v>
      </c>
      <c r="AP29">
        <v>2891</v>
      </c>
      <c r="AS29">
        <v>28</v>
      </c>
      <c r="AT29">
        <v>21</v>
      </c>
      <c r="AU29">
        <v>73</v>
      </c>
      <c r="AV29">
        <v>13</v>
      </c>
      <c r="AW29">
        <v>0</v>
      </c>
      <c r="AX29">
        <v>11178</v>
      </c>
      <c r="AY29">
        <v>37</v>
      </c>
      <c r="AZ29">
        <v>0</v>
      </c>
      <c r="BA29">
        <v>0</v>
      </c>
      <c r="BB29">
        <v>710</v>
      </c>
      <c r="BC29">
        <v>160</v>
      </c>
      <c r="BD29">
        <v>88</v>
      </c>
      <c r="BE29">
        <v>4</v>
      </c>
      <c r="BF29">
        <v>11</v>
      </c>
      <c r="BG29">
        <v>48</v>
      </c>
      <c r="BH29">
        <v>24</v>
      </c>
      <c r="BI29">
        <v>141</v>
      </c>
      <c r="BJ29">
        <v>26</v>
      </c>
      <c r="BK29">
        <v>0</v>
      </c>
      <c r="BL29" s="10">
        <v>2</v>
      </c>
      <c r="BM29" s="11">
        <f t="shared" si="7"/>
        <v>2121</v>
      </c>
      <c r="BN29" s="11">
        <f t="shared" si="0"/>
        <v>19184</v>
      </c>
      <c r="BO29" s="11">
        <f t="shared" si="1"/>
        <v>1232</v>
      </c>
      <c r="BP29" s="11">
        <f t="shared" si="2"/>
        <v>0</v>
      </c>
      <c r="BQ29">
        <f t="shared" si="3"/>
        <v>264</v>
      </c>
      <c r="BR29">
        <f t="shared" si="4"/>
        <v>821</v>
      </c>
      <c r="BS29">
        <f t="shared" si="5"/>
        <v>61</v>
      </c>
      <c r="BT29">
        <f t="shared" si="6"/>
        <v>548</v>
      </c>
    </row>
    <row r="30" spans="1:72" x14ac:dyDescent="0.35">
      <c r="A30">
        <v>2022</v>
      </c>
      <c r="B30" t="s">
        <v>57</v>
      </c>
      <c r="C30" t="s">
        <v>58</v>
      </c>
      <c r="D30" s="2">
        <v>903993.3</v>
      </c>
      <c r="E30">
        <v>4402</v>
      </c>
      <c r="F30">
        <v>3557</v>
      </c>
      <c r="H30">
        <v>6327</v>
      </c>
      <c r="I30">
        <v>1629</v>
      </c>
      <c r="K30">
        <v>1721</v>
      </c>
      <c r="X30">
        <v>69</v>
      </c>
      <c r="AD30">
        <v>1481</v>
      </c>
      <c r="AL30">
        <v>1629</v>
      </c>
      <c r="AO30">
        <v>6327</v>
      </c>
      <c r="AT30">
        <v>50</v>
      </c>
      <c r="BI30">
        <v>845</v>
      </c>
      <c r="BJ30">
        <v>75</v>
      </c>
      <c r="BM30" s="11">
        <f t="shared" si="7"/>
        <v>8998</v>
      </c>
      <c r="BN30" s="11">
        <f t="shared" si="0"/>
        <v>12654</v>
      </c>
      <c r="BO30" s="11">
        <f t="shared" si="1"/>
        <v>3258</v>
      </c>
      <c r="BP30" s="11">
        <f t="shared" si="2"/>
        <v>0</v>
      </c>
      <c r="BQ30">
        <f t="shared" si="3"/>
        <v>0</v>
      </c>
      <c r="BR30">
        <f t="shared" si="4"/>
        <v>1721</v>
      </c>
      <c r="BS30">
        <f t="shared" si="5"/>
        <v>0</v>
      </c>
      <c r="BT30">
        <f t="shared" si="6"/>
        <v>0</v>
      </c>
    </row>
    <row r="31" spans="1:72" x14ac:dyDescent="0.35">
      <c r="A31">
        <v>2022</v>
      </c>
      <c r="B31" t="s">
        <v>59</v>
      </c>
      <c r="C31" t="s">
        <v>60</v>
      </c>
      <c r="D31" s="2">
        <v>14474.3</v>
      </c>
      <c r="E31">
        <v>1555</v>
      </c>
      <c r="F31">
        <v>1207</v>
      </c>
      <c r="G31">
        <v>34</v>
      </c>
      <c r="H31">
        <v>3900</v>
      </c>
      <c r="K31">
        <v>35</v>
      </c>
      <c r="M31">
        <v>293</v>
      </c>
      <c r="N31">
        <v>27</v>
      </c>
      <c r="O31">
        <v>27</v>
      </c>
      <c r="P31">
        <v>916</v>
      </c>
      <c r="Q31">
        <v>78</v>
      </c>
      <c r="W31">
        <v>26</v>
      </c>
      <c r="X31">
        <v>25</v>
      </c>
      <c r="AE31">
        <v>224</v>
      </c>
      <c r="AF31">
        <v>270</v>
      </c>
      <c r="AH31">
        <v>378</v>
      </c>
      <c r="AO31">
        <v>185</v>
      </c>
      <c r="AP31">
        <v>3715</v>
      </c>
      <c r="AS31">
        <v>14</v>
      </c>
      <c r="AT31">
        <v>30</v>
      </c>
      <c r="AU31">
        <v>6</v>
      </c>
      <c r="BB31">
        <v>314</v>
      </c>
      <c r="BF31">
        <v>16</v>
      </c>
      <c r="BI31">
        <v>348</v>
      </c>
      <c r="BJ31">
        <v>25</v>
      </c>
      <c r="BM31" s="11">
        <f t="shared" si="7"/>
        <v>3224</v>
      </c>
      <c r="BN31" s="11">
        <f t="shared" si="0"/>
        <v>7800</v>
      </c>
      <c r="BO31" s="11">
        <f t="shared" si="1"/>
        <v>0</v>
      </c>
      <c r="BP31" s="11">
        <f t="shared" si="2"/>
        <v>0</v>
      </c>
      <c r="BQ31">
        <f t="shared" si="3"/>
        <v>78</v>
      </c>
      <c r="BR31">
        <f t="shared" si="4"/>
        <v>349</v>
      </c>
      <c r="BS31">
        <f t="shared" si="5"/>
        <v>14</v>
      </c>
      <c r="BT31">
        <f t="shared" si="6"/>
        <v>26</v>
      </c>
    </row>
    <row r="32" spans="1:72" x14ac:dyDescent="0.35">
      <c r="A32">
        <v>2022</v>
      </c>
      <c r="B32" t="s">
        <v>61</v>
      </c>
      <c r="C32" t="s">
        <v>62</v>
      </c>
      <c r="D32" s="2">
        <v>1166744.6000000001</v>
      </c>
      <c r="E32">
        <v>2689</v>
      </c>
      <c r="F32">
        <v>1933</v>
      </c>
      <c r="H32">
        <v>9775</v>
      </c>
      <c r="I32">
        <v>7120</v>
      </c>
      <c r="J32">
        <v>348</v>
      </c>
      <c r="K32">
        <v>498</v>
      </c>
      <c r="L32">
        <v>10769</v>
      </c>
      <c r="M32">
        <v>133</v>
      </c>
      <c r="P32">
        <v>6992</v>
      </c>
      <c r="Q32">
        <v>341</v>
      </c>
      <c r="U32">
        <v>120</v>
      </c>
      <c r="X32">
        <v>55</v>
      </c>
      <c r="Z32">
        <v>302</v>
      </c>
      <c r="AB32">
        <v>276</v>
      </c>
      <c r="AC32">
        <v>3337</v>
      </c>
      <c r="AE32">
        <v>2040</v>
      </c>
      <c r="AF32">
        <v>335</v>
      </c>
      <c r="AG32">
        <v>72</v>
      </c>
      <c r="AH32">
        <v>172</v>
      </c>
      <c r="AK32">
        <v>7082</v>
      </c>
      <c r="AL32">
        <v>38</v>
      </c>
      <c r="AO32">
        <v>7983</v>
      </c>
      <c r="AP32">
        <v>1792</v>
      </c>
      <c r="AS32">
        <v>1344</v>
      </c>
      <c r="AT32">
        <v>58</v>
      </c>
      <c r="AU32">
        <v>154</v>
      </c>
      <c r="AV32">
        <v>525</v>
      </c>
      <c r="AW32">
        <v>696</v>
      </c>
      <c r="AX32">
        <v>12261</v>
      </c>
      <c r="AY32">
        <v>6873</v>
      </c>
      <c r="BB32">
        <v>3299</v>
      </c>
      <c r="BC32">
        <v>114</v>
      </c>
      <c r="BD32">
        <v>383</v>
      </c>
      <c r="BE32">
        <v>11</v>
      </c>
      <c r="BF32">
        <v>655</v>
      </c>
      <c r="BG32">
        <v>232</v>
      </c>
      <c r="BH32">
        <v>110</v>
      </c>
      <c r="BI32">
        <v>756</v>
      </c>
      <c r="BJ32">
        <v>113</v>
      </c>
      <c r="BK32">
        <v>99939</v>
      </c>
      <c r="BL32" s="10">
        <v>3</v>
      </c>
      <c r="BM32" s="11">
        <f t="shared" si="7"/>
        <v>6140</v>
      </c>
      <c r="BN32" s="11">
        <f t="shared" si="0"/>
        <v>19550</v>
      </c>
      <c r="BO32" s="11">
        <f t="shared" si="1"/>
        <v>14240</v>
      </c>
      <c r="BP32" s="11">
        <f t="shared" si="2"/>
        <v>0</v>
      </c>
      <c r="BQ32">
        <f t="shared" si="3"/>
        <v>689</v>
      </c>
      <c r="BR32">
        <f t="shared" si="4"/>
        <v>3797</v>
      </c>
      <c r="BS32">
        <f t="shared" si="5"/>
        <v>1344</v>
      </c>
      <c r="BT32">
        <f t="shared" si="6"/>
        <v>0</v>
      </c>
    </row>
    <row r="33" spans="1:72" x14ac:dyDescent="0.35">
      <c r="A33">
        <v>2022</v>
      </c>
      <c r="B33" t="s">
        <v>63</v>
      </c>
      <c r="C33" t="s">
        <v>64</v>
      </c>
      <c r="D33" s="2">
        <v>70063.5</v>
      </c>
      <c r="E33">
        <v>1394</v>
      </c>
      <c r="F33">
        <v>1336</v>
      </c>
      <c r="H33">
        <v>8605</v>
      </c>
      <c r="I33">
        <v>7</v>
      </c>
      <c r="J33">
        <v>207</v>
      </c>
      <c r="K33">
        <v>655</v>
      </c>
      <c r="L33">
        <v>4865</v>
      </c>
      <c r="Q33">
        <v>49</v>
      </c>
      <c r="S33">
        <v>44</v>
      </c>
      <c r="W33">
        <v>245</v>
      </c>
      <c r="X33">
        <v>44</v>
      </c>
      <c r="Y33">
        <v>889</v>
      </c>
      <c r="AB33">
        <v>289</v>
      </c>
      <c r="AC33">
        <v>51</v>
      </c>
      <c r="AD33">
        <v>5</v>
      </c>
      <c r="AE33">
        <v>1065</v>
      </c>
      <c r="AL33">
        <v>7</v>
      </c>
      <c r="AO33">
        <v>45</v>
      </c>
      <c r="AP33">
        <v>8560</v>
      </c>
      <c r="AT33">
        <v>65</v>
      </c>
      <c r="AU33">
        <v>107</v>
      </c>
      <c r="AV33">
        <v>57</v>
      </c>
      <c r="AY33">
        <v>82</v>
      </c>
      <c r="BB33">
        <v>402</v>
      </c>
      <c r="BC33">
        <v>144</v>
      </c>
      <c r="BI33">
        <v>58</v>
      </c>
      <c r="BJ33">
        <v>58</v>
      </c>
      <c r="BM33" s="11">
        <f t="shared" si="7"/>
        <v>3012</v>
      </c>
      <c r="BN33" s="11">
        <f t="shared" si="0"/>
        <v>17210</v>
      </c>
      <c r="BO33" s="11">
        <f t="shared" si="1"/>
        <v>14</v>
      </c>
      <c r="BP33" s="11">
        <f t="shared" si="2"/>
        <v>889</v>
      </c>
      <c r="BQ33">
        <f t="shared" si="3"/>
        <v>256</v>
      </c>
      <c r="BR33">
        <f t="shared" si="4"/>
        <v>1057</v>
      </c>
      <c r="BS33">
        <f t="shared" si="5"/>
        <v>44</v>
      </c>
      <c r="BT33">
        <f t="shared" si="6"/>
        <v>245</v>
      </c>
    </row>
    <row r="34" spans="1:72" x14ac:dyDescent="0.35">
      <c r="A34">
        <v>2022</v>
      </c>
      <c r="B34" t="s">
        <v>65</v>
      </c>
      <c r="C34" t="s">
        <v>66</v>
      </c>
      <c r="D34" s="2">
        <v>408235.8</v>
      </c>
      <c r="BM34" s="11">
        <f t="shared" si="7"/>
        <v>0</v>
      </c>
      <c r="BN34" s="11">
        <f t="shared" si="0"/>
        <v>0</v>
      </c>
      <c r="BO34" s="11">
        <f t="shared" si="1"/>
        <v>0</v>
      </c>
      <c r="BP34" s="11">
        <f t="shared" si="2"/>
        <v>0</v>
      </c>
      <c r="BQ34">
        <f t="shared" si="3"/>
        <v>0</v>
      </c>
      <c r="BR34">
        <f t="shared" si="4"/>
        <v>0</v>
      </c>
      <c r="BS34">
        <f t="shared" si="5"/>
        <v>0</v>
      </c>
      <c r="BT34">
        <f t="shared" si="6"/>
        <v>0</v>
      </c>
    </row>
    <row r="35" spans="1:72" x14ac:dyDescent="0.35">
      <c r="A35">
        <v>2022</v>
      </c>
      <c r="B35" t="s">
        <v>67</v>
      </c>
      <c r="C35" t="s">
        <v>68</v>
      </c>
      <c r="D35" s="2">
        <v>558327.9</v>
      </c>
      <c r="E35">
        <v>2188</v>
      </c>
      <c r="F35">
        <v>703</v>
      </c>
      <c r="H35">
        <v>4737</v>
      </c>
      <c r="I35">
        <v>2803</v>
      </c>
      <c r="J35">
        <v>223</v>
      </c>
      <c r="K35">
        <v>352</v>
      </c>
      <c r="L35">
        <v>3584</v>
      </c>
      <c r="M35">
        <v>31</v>
      </c>
      <c r="O35">
        <v>17</v>
      </c>
      <c r="P35">
        <v>18757</v>
      </c>
      <c r="Q35">
        <v>64</v>
      </c>
      <c r="R35">
        <v>15</v>
      </c>
      <c r="S35">
        <v>12</v>
      </c>
      <c r="W35">
        <v>634</v>
      </c>
      <c r="X35">
        <v>144</v>
      </c>
      <c r="Y35">
        <v>3378</v>
      </c>
      <c r="Z35">
        <v>122</v>
      </c>
      <c r="AB35">
        <v>237</v>
      </c>
      <c r="AE35">
        <v>252</v>
      </c>
      <c r="AJ35">
        <v>109</v>
      </c>
      <c r="AL35">
        <v>2803</v>
      </c>
      <c r="AO35">
        <v>1968</v>
      </c>
      <c r="AP35">
        <v>2769</v>
      </c>
      <c r="AS35">
        <v>7</v>
      </c>
      <c r="AT35">
        <v>164</v>
      </c>
      <c r="AY35">
        <v>1083</v>
      </c>
      <c r="BB35">
        <v>57</v>
      </c>
      <c r="BC35">
        <v>90</v>
      </c>
      <c r="BD35">
        <v>4</v>
      </c>
      <c r="BE35">
        <v>37</v>
      </c>
      <c r="BF35">
        <v>14</v>
      </c>
      <c r="BH35">
        <v>543</v>
      </c>
      <c r="BI35">
        <v>1485</v>
      </c>
      <c r="BJ35">
        <v>155</v>
      </c>
      <c r="BM35" s="11">
        <f t="shared" si="7"/>
        <v>4876</v>
      </c>
      <c r="BN35" s="11">
        <f t="shared" si="0"/>
        <v>9474</v>
      </c>
      <c r="BO35" s="11">
        <f t="shared" si="1"/>
        <v>5606</v>
      </c>
      <c r="BP35" s="11">
        <f t="shared" si="2"/>
        <v>3378</v>
      </c>
      <c r="BQ35">
        <f t="shared" si="3"/>
        <v>287</v>
      </c>
      <c r="BR35">
        <f t="shared" si="4"/>
        <v>409</v>
      </c>
      <c r="BS35">
        <f t="shared" si="5"/>
        <v>19</v>
      </c>
      <c r="BT35">
        <f t="shared" si="6"/>
        <v>634</v>
      </c>
    </row>
    <row r="36" spans="1:72" x14ac:dyDescent="0.35">
      <c r="A36">
        <v>2022</v>
      </c>
      <c r="B36" t="s">
        <v>69</v>
      </c>
      <c r="C36" t="s">
        <v>70</v>
      </c>
      <c r="D36" s="2">
        <v>1715.5</v>
      </c>
      <c r="E36">
        <v>409</v>
      </c>
      <c r="F36">
        <v>57</v>
      </c>
      <c r="G36">
        <v>0</v>
      </c>
      <c r="H36">
        <v>623</v>
      </c>
      <c r="I36">
        <v>156</v>
      </c>
      <c r="J36">
        <v>44</v>
      </c>
      <c r="K36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</v>
      </c>
      <c r="AJ36">
        <v>0</v>
      </c>
      <c r="AK36">
        <v>0</v>
      </c>
      <c r="AL36">
        <v>156</v>
      </c>
      <c r="AM36">
        <v>0</v>
      </c>
      <c r="AN36">
        <v>0</v>
      </c>
      <c r="AO36">
        <v>0</v>
      </c>
      <c r="AP36">
        <v>623</v>
      </c>
      <c r="AS36">
        <v>0</v>
      </c>
      <c r="AT36">
        <v>16</v>
      </c>
      <c r="AU36">
        <v>0</v>
      </c>
      <c r="AV36">
        <v>62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  <c r="BI36">
        <v>346</v>
      </c>
      <c r="BJ36">
        <v>10</v>
      </c>
      <c r="BK36">
        <v>0</v>
      </c>
      <c r="BL36" s="10">
        <v>0</v>
      </c>
      <c r="BM36" s="11">
        <f t="shared" si="7"/>
        <v>923</v>
      </c>
      <c r="BN36" s="11">
        <f t="shared" si="0"/>
        <v>1246</v>
      </c>
      <c r="BO36" s="11">
        <f t="shared" si="1"/>
        <v>312</v>
      </c>
      <c r="BP36" s="11">
        <f t="shared" si="2"/>
        <v>0</v>
      </c>
      <c r="BQ36">
        <f t="shared" si="3"/>
        <v>44</v>
      </c>
      <c r="BR36">
        <f t="shared" si="4"/>
        <v>35</v>
      </c>
      <c r="BS36">
        <f t="shared" si="5"/>
        <v>0</v>
      </c>
      <c r="BT36">
        <f t="shared" si="6"/>
        <v>0</v>
      </c>
    </row>
    <row r="37" spans="1:72" x14ac:dyDescent="0.35">
      <c r="A37">
        <v>2022</v>
      </c>
      <c r="B37" t="s">
        <v>71</v>
      </c>
      <c r="C37" t="s">
        <v>72</v>
      </c>
      <c r="D37" s="2">
        <v>259656.4</v>
      </c>
      <c r="E37">
        <v>366</v>
      </c>
      <c r="F37">
        <v>338</v>
      </c>
      <c r="G37">
        <v>11</v>
      </c>
      <c r="H37">
        <v>7356</v>
      </c>
      <c r="I37">
        <v>2271</v>
      </c>
      <c r="J37">
        <v>6</v>
      </c>
      <c r="K37">
        <v>89</v>
      </c>
      <c r="Q37">
        <v>126</v>
      </c>
      <c r="R37">
        <v>13</v>
      </c>
      <c r="S37">
        <v>100</v>
      </c>
      <c r="T37">
        <v>14</v>
      </c>
      <c r="W37">
        <v>163</v>
      </c>
      <c r="X37">
        <v>2</v>
      </c>
      <c r="AB37">
        <v>38</v>
      </c>
      <c r="AE37">
        <v>298</v>
      </c>
      <c r="AH37">
        <v>195</v>
      </c>
      <c r="AK37">
        <v>2087</v>
      </c>
      <c r="AL37">
        <v>184</v>
      </c>
      <c r="AO37">
        <v>5907</v>
      </c>
      <c r="AP37">
        <v>1449</v>
      </c>
      <c r="AS37">
        <v>261</v>
      </c>
      <c r="AU37">
        <v>2</v>
      </c>
      <c r="BB37">
        <v>88</v>
      </c>
      <c r="BE37">
        <v>1</v>
      </c>
      <c r="BI37">
        <v>28</v>
      </c>
      <c r="BJ37">
        <v>7</v>
      </c>
      <c r="BM37" s="11">
        <f t="shared" si="7"/>
        <v>753</v>
      </c>
      <c r="BN37" s="11">
        <f t="shared" si="0"/>
        <v>14712</v>
      </c>
      <c r="BO37" s="11">
        <f t="shared" si="1"/>
        <v>4542</v>
      </c>
      <c r="BP37" s="11">
        <f t="shared" si="2"/>
        <v>0</v>
      </c>
      <c r="BQ37">
        <f t="shared" si="3"/>
        <v>132</v>
      </c>
      <c r="BR37">
        <f t="shared" si="4"/>
        <v>177</v>
      </c>
      <c r="BS37">
        <f t="shared" si="5"/>
        <v>361</v>
      </c>
      <c r="BT37">
        <f t="shared" si="6"/>
        <v>163</v>
      </c>
    </row>
    <row r="38" spans="1:72" x14ac:dyDescent="0.35">
      <c r="A38">
        <v>2022</v>
      </c>
      <c r="B38" t="s">
        <v>73</v>
      </c>
      <c r="C38" t="s">
        <v>74</v>
      </c>
      <c r="D38" s="2">
        <v>1197906.7</v>
      </c>
      <c r="J38">
        <v>1348</v>
      </c>
      <c r="K38">
        <v>3609</v>
      </c>
      <c r="L38">
        <v>33735</v>
      </c>
      <c r="M38">
        <v>2025</v>
      </c>
      <c r="N38">
        <v>586</v>
      </c>
      <c r="O38">
        <v>53</v>
      </c>
      <c r="P38">
        <v>63290</v>
      </c>
      <c r="Q38">
        <v>1550</v>
      </c>
      <c r="R38">
        <v>54</v>
      </c>
      <c r="S38">
        <v>1549</v>
      </c>
      <c r="T38">
        <v>2</v>
      </c>
      <c r="U38">
        <v>339</v>
      </c>
      <c r="W38">
        <v>1168</v>
      </c>
      <c r="AC38">
        <v>26692</v>
      </c>
      <c r="AF38">
        <v>13</v>
      </c>
      <c r="AG38">
        <v>275</v>
      </c>
      <c r="AS38">
        <v>643</v>
      </c>
      <c r="AU38">
        <v>255</v>
      </c>
      <c r="AW38">
        <v>15459</v>
      </c>
      <c r="AY38">
        <v>20327</v>
      </c>
      <c r="AZ38">
        <v>2857</v>
      </c>
      <c r="BC38">
        <v>1446</v>
      </c>
      <c r="BD38">
        <v>109</v>
      </c>
      <c r="BF38">
        <v>723</v>
      </c>
      <c r="BG38">
        <v>6656</v>
      </c>
      <c r="BH38">
        <v>9098</v>
      </c>
      <c r="BL38" s="10">
        <v>9</v>
      </c>
      <c r="BM38" s="11">
        <f t="shared" si="7"/>
        <v>0</v>
      </c>
      <c r="BN38" s="11">
        <f t="shared" si="0"/>
        <v>0</v>
      </c>
      <c r="BO38" s="11">
        <f t="shared" si="1"/>
        <v>0</v>
      </c>
      <c r="BP38" s="11">
        <f t="shared" si="2"/>
        <v>2857</v>
      </c>
      <c r="BQ38">
        <f t="shared" si="3"/>
        <v>2898</v>
      </c>
      <c r="BR38">
        <f t="shared" si="4"/>
        <v>3609</v>
      </c>
      <c r="BS38">
        <f t="shared" si="5"/>
        <v>2192</v>
      </c>
      <c r="BT38">
        <f t="shared" si="6"/>
        <v>1168</v>
      </c>
    </row>
    <row r="39" spans="1:72" x14ac:dyDescent="0.35">
      <c r="A39">
        <v>2022</v>
      </c>
      <c r="B39" t="s">
        <v>75</v>
      </c>
      <c r="C39" t="s">
        <v>76</v>
      </c>
      <c r="D39" s="2">
        <v>309372.40000000002</v>
      </c>
      <c r="BM39" s="11">
        <f t="shared" si="7"/>
        <v>0</v>
      </c>
      <c r="BN39" s="11">
        <f t="shared" si="0"/>
        <v>0</v>
      </c>
      <c r="BO39" s="11">
        <f t="shared" si="1"/>
        <v>0</v>
      </c>
      <c r="BP39" s="11">
        <f t="shared" si="2"/>
        <v>0</v>
      </c>
      <c r="BQ39">
        <f t="shared" si="3"/>
        <v>0</v>
      </c>
      <c r="BR39">
        <f t="shared" si="4"/>
        <v>0</v>
      </c>
      <c r="BS39">
        <f t="shared" si="5"/>
        <v>0</v>
      </c>
      <c r="BT39">
        <f t="shared" si="6"/>
        <v>0</v>
      </c>
    </row>
    <row r="40" spans="1:72" x14ac:dyDescent="0.35">
      <c r="A40">
        <v>2022</v>
      </c>
      <c r="B40" t="s">
        <v>77</v>
      </c>
      <c r="C40" t="s">
        <v>78</v>
      </c>
      <c r="D40" s="2">
        <v>180285.9</v>
      </c>
      <c r="E40">
        <v>1042</v>
      </c>
      <c r="F40">
        <v>787</v>
      </c>
      <c r="G40">
        <v>169</v>
      </c>
      <c r="H40">
        <v>5573</v>
      </c>
      <c r="I40">
        <v>907</v>
      </c>
      <c r="J40">
        <v>9</v>
      </c>
      <c r="K40">
        <v>28</v>
      </c>
      <c r="L40">
        <v>2442</v>
      </c>
      <c r="X40">
        <v>24</v>
      </c>
      <c r="AE40">
        <v>777</v>
      </c>
      <c r="AL40">
        <v>907</v>
      </c>
      <c r="AP40">
        <v>5573</v>
      </c>
      <c r="AT40">
        <v>31</v>
      </c>
      <c r="BB40">
        <v>80</v>
      </c>
      <c r="BI40">
        <v>255</v>
      </c>
      <c r="BJ40">
        <v>31</v>
      </c>
      <c r="BM40" s="11">
        <f t="shared" si="7"/>
        <v>2339</v>
      </c>
      <c r="BN40" s="11">
        <f t="shared" si="0"/>
        <v>11146</v>
      </c>
      <c r="BO40" s="11">
        <f t="shared" si="1"/>
        <v>1814</v>
      </c>
      <c r="BP40" s="11">
        <f t="shared" si="2"/>
        <v>0</v>
      </c>
      <c r="BQ40">
        <f t="shared" si="3"/>
        <v>9</v>
      </c>
      <c r="BR40">
        <f t="shared" si="4"/>
        <v>108</v>
      </c>
      <c r="BS40">
        <f t="shared" si="5"/>
        <v>0</v>
      </c>
      <c r="BT40">
        <f t="shared" si="6"/>
        <v>0</v>
      </c>
    </row>
    <row r="41" spans="1:72" x14ac:dyDescent="0.35">
      <c r="A41">
        <v>2022</v>
      </c>
      <c r="B41" t="s">
        <v>79</v>
      </c>
      <c r="C41" t="s">
        <v>80</v>
      </c>
      <c r="D41" s="2">
        <v>1147745.3</v>
      </c>
      <c r="E41">
        <v>614</v>
      </c>
      <c r="F41">
        <v>316</v>
      </c>
      <c r="H41">
        <v>4565</v>
      </c>
      <c r="I41">
        <v>718</v>
      </c>
      <c r="J41">
        <v>24</v>
      </c>
      <c r="K41">
        <v>43</v>
      </c>
      <c r="P41">
        <v>2239</v>
      </c>
      <c r="R41">
        <v>6</v>
      </c>
      <c r="W41">
        <v>136</v>
      </c>
      <c r="X41">
        <v>69</v>
      </c>
      <c r="AE41">
        <v>418</v>
      </c>
      <c r="AL41">
        <v>718</v>
      </c>
      <c r="AP41">
        <v>4565</v>
      </c>
      <c r="AS41">
        <v>119</v>
      </c>
      <c r="AT41">
        <v>118</v>
      </c>
      <c r="AY41">
        <v>1592</v>
      </c>
      <c r="BB41">
        <v>4</v>
      </c>
      <c r="BI41">
        <v>298</v>
      </c>
      <c r="BM41" s="11">
        <f t="shared" si="7"/>
        <v>1415</v>
      </c>
      <c r="BN41" s="11">
        <f t="shared" si="0"/>
        <v>9130</v>
      </c>
      <c r="BO41" s="11">
        <f t="shared" si="1"/>
        <v>1436</v>
      </c>
      <c r="BP41" s="11">
        <f t="shared" si="2"/>
        <v>0</v>
      </c>
      <c r="BQ41">
        <f t="shared" si="3"/>
        <v>24</v>
      </c>
      <c r="BR41">
        <f t="shared" si="4"/>
        <v>47</v>
      </c>
      <c r="BS41">
        <f t="shared" si="5"/>
        <v>119</v>
      </c>
      <c r="BT41">
        <f t="shared" si="6"/>
        <v>136</v>
      </c>
    </row>
    <row r="42" spans="1:72" x14ac:dyDescent="0.35">
      <c r="A42">
        <v>2022</v>
      </c>
      <c r="B42" t="s">
        <v>81</v>
      </c>
      <c r="C42" t="s">
        <v>82</v>
      </c>
      <c r="D42" s="2">
        <v>1701068.1</v>
      </c>
      <c r="E42">
        <v>7941</v>
      </c>
      <c r="F42">
        <v>6369</v>
      </c>
      <c r="G42">
        <v>338</v>
      </c>
      <c r="H42">
        <v>74197</v>
      </c>
      <c r="I42">
        <v>32957</v>
      </c>
      <c r="J42">
        <v>1440</v>
      </c>
      <c r="K42">
        <v>1712</v>
      </c>
      <c r="V42">
        <v>3936</v>
      </c>
      <c r="W42">
        <v>426</v>
      </c>
      <c r="X42">
        <v>273</v>
      </c>
      <c r="AB42">
        <v>1249</v>
      </c>
      <c r="AD42">
        <v>14531</v>
      </c>
      <c r="AE42">
        <v>13380</v>
      </c>
      <c r="AF42">
        <v>3309</v>
      </c>
      <c r="AK42">
        <v>8698</v>
      </c>
      <c r="AM42">
        <v>24259</v>
      </c>
      <c r="AN42">
        <v>52772</v>
      </c>
      <c r="AO42">
        <v>21425</v>
      </c>
      <c r="AT42">
        <v>315</v>
      </c>
      <c r="AV42">
        <v>158</v>
      </c>
      <c r="BB42">
        <v>1820</v>
      </c>
      <c r="BC42">
        <v>572</v>
      </c>
      <c r="BE42">
        <v>59</v>
      </c>
      <c r="BI42">
        <v>1572</v>
      </c>
      <c r="BJ42">
        <v>429</v>
      </c>
      <c r="BM42" s="11">
        <f t="shared" si="7"/>
        <v>17454</v>
      </c>
      <c r="BN42" s="11">
        <f t="shared" si="0"/>
        <v>148394</v>
      </c>
      <c r="BO42" s="11">
        <f t="shared" si="1"/>
        <v>65914</v>
      </c>
      <c r="BP42" s="11">
        <f t="shared" si="2"/>
        <v>0</v>
      </c>
      <c r="BQ42">
        <f t="shared" si="3"/>
        <v>1440</v>
      </c>
      <c r="BR42">
        <f t="shared" si="4"/>
        <v>3532</v>
      </c>
      <c r="BS42">
        <f t="shared" si="5"/>
        <v>0</v>
      </c>
      <c r="BT42">
        <f t="shared" si="6"/>
        <v>4362</v>
      </c>
    </row>
    <row r="43" spans="1:72" x14ac:dyDescent="0.35">
      <c r="A43">
        <v>2022</v>
      </c>
      <c r="B43" t="s">
        <v>83</v>
      </c>
      <c r="C43" t="s">
        <v>84</v>
      </c>
      <c r="D43" s="2">
        <v>675227.8</v>
      </c>
      <c r="E43">
        <v>5243</v>
      </c>
      <c r="F43">
        <v>4709</v>
      </c>
      <c r="G43">
        <v>101</v>
      </c>
      <c r="H43">
        <v>33779</v>
      </c>
      <c r="I43">
        <v>9202</v>
      </c>
      <c r="J43">
        <v>261</v>
      </c>
      <c r="K43">
        <v>639</v>
      </c>
      <c r="L43">
        <v>0</v>
      </c>
      <c r="M43">
        <v>18</v>
      </c>
      <c r="N43">
        <v>2</v>
      </c>
      <c r="O43">
        <v>3</v>
      </c>
      <c r="P43">
        <v>2421</v>
      </c>
      <c r="Q43">
        <v>743</v>
      </c>
      <c r="R43">
        <v>23</v>
      </c>
      <c r="S43">
        <v>3</v>
      </c>
      <c r="T43">
        <v>0</v>
      </c>
      <c r="U43">
        <v>0</v>
      </c>
      <c r="V43">
        <v>3325</v>
      </c>
      <c r="W43">
        <v>463</v>
      </c>
      <c r="X43">
        <v>61</v>
      </c>
      <c r="Y43">
        <v>0</v>
      </c>
      <c r="Z43">
        <v>0</v>
      </c>
      <c r="AA43">
        <v>0</v>
      </c>
      <c r="AB43">
        <v>2633</v>
      </c>
      <c r="AC43">
        <v>0</v>
      </c>
      <c r="AD43">
        <v>7144</v>
      </c>
      <c r="AE43">
        <v>1474</v>
      </c>
      <c r="AF43">
        <v>388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9202</v>
      </c>
      <c r="AM43">
        <v>0</v>
      </c>
      <c r="AN43">
        <v>0</v>
      </c>
      <c r="AO43">
        <v>0</v>
      </c>
      <c r="AP43">
        <v>33779</v>
      </c>
      <c r="AS43">
        <v>773</v>
      </c>
      <c r="AT43">
        <v>85</v>
      </c>
      <c r="AU43">
        <v>137</v>
      </c>
      <c r="AV43">
        <v>79</v>
      </c>
      <c r="AW43">
        <v>0</v>
      </c>
      <c r="AX43">
        <v>0</v>
      </c>
      <c r="AY43">
        <v>970</v>
      </c>
      <c r="AZ43">
        <v>0</v>
      </c>
      <c r="BA43">
        <v>0</v>
      </c>
      <c r="BB43">
        <v>1800</v>
      </c>
      <c r="BC43">
        <v>269</v>
      </c>
      <c r="BD43">
        <v>970</v>
      </c>
      <c r="BE43">
        <v>12</v>
      </c>
      <c r="BF43">
        <v>4</v>
      </c>
      <c r="BG43">
        <v>0</v>
      </c>
      <c r="BH43">
        <v>0</v>
      </c>
      <c r="BI43">
        <v>534</v>
      </c>
      <c r="BJ43">
        <v>196</v>
      </c>
      <c r="BK43">
        <v>0</v>
      </c>
      <c r="BL43" s="10">
        <v>0</v>
      </c>
      <c r="BM43" s="11">
        <f t="shared" si="7"/>
        <v>11020</v>
      </c>
      <c r="BN43" s="11">
        <f t="shared" si="0"/>
        <v>67558</v>
      </c>
      <c r="BO43" s="11">
        <f t="shared" si="1"/>
        <v>18404</v>
      </c>
      <c r="BP43" s="11">
        <f t="shared" si="2"/>
        <v>0</v>
      </c>
      <c r="BQ43">
        <f t="shared" si="3"/>
        <v>1004</v>
      </c>
      <c r="BR43">
        <f t="shared" si="4"/>
        <v>2439</v>
      </c>
      <c r="BS43">
        <f t="shared" si="5"/>
        <v>776</v>
      </c>
      <c r="BT43">
        <f t="shared" si="6"/>
        <v>3788</v>
      </c>
    </row>
    <row r="44" spans="1:72" x14ac:dyDescent="0.35">
      <c r="A44">
        <v>2022</v>
      </c>
      <c r="B44" t="s">
        <v>85</v>
      </c>
      <c r="C44" t="s">
        <v>86</v>
      </c>
      <c r="D44" s="2">
        <v>490571.8</v>
      </c>
      <c r="E44">
        <v>2708</v>
      </c>
      <c r="F44">
        <v>2032</v>
      </c>
      <c r="G44">
        <v>92</v>
      </c>
      <c r="H44">
        <v>32182</v>
      </c>
      <c r="I44">
        <v>2796</v>
      </c>
      <c r="J44">
        <v>2703</v>
      </c>
      <c r="K44">
        <v>1902</v>
      </c>
      <c r="O44">
        <v>63</v>
      </c>
      <c r="P44">
        <v>19722</v>
      </c>
      <c r="Q44">
        <v>178</v>
      </c>
      <c r="S44">
        <v>14</v>
      </c>
      <c r="V44">
        <v>1994</v>
      </c>
      <c r="W44">
        <v>690</v>
      </c>
      <c r="X44">
        <v>55</v>
      </c>
      <c r="Z44">
        <v>265</v>
      </c>
      <c r="AE44">
        <v>795</v>
      </c>
      <c r="AF44">
        <v>757</v>
      </c>
      <c r="AL44">
        <v>2796</v>
      </c>
      <c r="AP44">
        <v>32182</v>
      </c>
      <c r="AS44">
        <v>77</v>
      </c>
      <c r="AT44">
        <v>141</v>
      </c>
      <c r="AV44">
        <v>351</v>
      </c>
      <c r="BB44">
        <v>588</v>
      </c>
      <c r="BC44">
        <v>400</v>
      </c>
      <c r="BD44">
        <v>557</v>
      </c>
      <c r="BE44">
        <v>23</v>
      </c>
      <c r="BF44">
        <v>39</v>
      </c>
      <c r="BH44">
        <v>84</v>
      </c>
      <c r="BI44">
        <v>676</v>
      </c>
      <c r="BJ44">
        <v>55</v>
      </c>
      <c r="BM44" s="11">
        <f t="shared" si="7"/>
        <v>6133</v>
      </c>
      <c r="BN44" s="11">
        <f t="shared" si="0"/>
        <v>64364</v>
      </c>
      <c r="BO44" s="11">
        <f t="shared" si="1"/>
        <v>5592</v>
      </c>
      <c r="BP44" s="11">
        <f t="shared" si="2"/>
        <v>0</v>
      </c>
      <c r="BQ44">
        <f t="shared" si="3"/>
        <v>2881</v>
      </c>
      <c r="BR44">
        <f t="shared" si="4"/>
        <v>2490</v>
      </c>
      <c r="BS44">
        <f t="shared" si="5"/>
        <v>91</v>
      </c>
      <c r="BT44">
        <f t="shared" si="6"/>
        <v>2684</v>
      </c>
    </row>
    <row r="45" spans="1:72" x14ac:dyDescent="0.35">
      <c r="A45">
        <v>2022</v>
      </c>
      <c r="B45" t="s">
        <v>87</v>
      </c>
      <c r="C45" t="s">
        <v>88</v>
      </c>
      <c r="D45" s="2">
        <v>105140.5</v>
      </c>
      <c r="E45">
        <v>260</v>
      </c>
      <c r="F45">
        <v>260</v>
      </c>
      <c r="G45">
        <v>19</v>
      </c>
      <c r="H45">
        <v>5007</v>
      </c>
      <c r="I45">
        <v>67</v>
      </c>
      <c r="J45">
        <v>58</v>
      </c>
      <c r="K45">
        <v>199</v>
      </c>
      <c r="L45">
        <v>4713</v>
      </c>
      <c r="O45">
        <v>11</v>
      </c>
      <c r="P45">
        <v>2626</v>
      </c>
      <c r="Q45">
        <v>157</v>
      </c>
      <c r="U45">
        <v>8</v>
      </c>
      <c r="W45">
        <v>233</v>
      </c>
      <c r="X45">
        <v>10</v>
      </c>
      <c r="Z45">
        <v>49</v>
      </c>
      <c r="AB45">
        <v>141</v>
      </c>
      <c r="AC45">
        <v>381</v>
      </c>
      <c r="AE45">
        <v>267</v>
      </c>
      <c r="AF45">
        <v>296</v>
      </c>
      <c r="AL45">
        <v>67</v>
      </c>
      <c r="AN45">
        <v>188</v>
      </c>
      <c r="AO45">
        <v>3372</v>
      </c>
      <c r="AP45">
        <v>1447</v>
      </c>
      <c r="AT45">
        <v>10</v>
      </c>
      <c r="AU45">
        <v>96</v>
      </c>
      <c r="BB45">
        <v>288</v>
      </c>
      <c r="BC45">
        <v>1</v>
      </c>
      <c r="BD45">
        <v>129</v>
      </c>
      <c r="BF45">
        <v>7</v>
      </c>
      <c r="BH45">
        <v>6</v>
      </c>
      <c r="BJ45">
        <v>25</v>
      </c>
      <c r="BM45" s="11">
        <f t="shared" si="7"/>
        <v>584</v>
      </c>
      <c r="BN45" s="11">
        <f t="shared" si="0"/>
        <v>10014</v>
      </c>
      <c r="BO45" s="11">
        <f t="shared" si="1"/>
        <v>134</v>
      </c>
      <c r="BP45" s="11">
        <f t="shared" si="2"/>
        <v>0</v>
      </c>
      <c r="BQ45">
        <f t="shared" si="3"/>
        <v>215</v>
      </c>
      <c r="BR45">
        <f t="shared" si="4"/>
        <v>487</v>
      </c>
      <c r="BS45">
        <f t="shared" si="5"/>
        <v>0</v>
      </c>
      <c r="BT45">
        <f t="shared" si="6"/>
        <v>233</v>
      </c>
    </row>
    <row r="46" spans="1:72" x14ac:dyDescent="0.35">
      <c r="A46">
        <v>2022</v>
      </c>
      <c r="B46" t="s">
        <v>89</v>
      </c>
      <c r="C46" t="s">
        <v>90</v>
      </c>
      <c r="D46" s="2">
        <v>275519.8</v>
      </c>
      <c r="E46">
        <v>730</v>
      </c>
      <c r="F46">
        <v>331</v>
      </c>
      <c r="H46">
        <v>2630</v>
      </c>
      <c r="I46">
        <v>1864</v>
      </c>
      <c r="J46">
        <v>18</v>
      </c>
      <c r="K46">
        <v>255</v>
      </c>
      <c r="O46">
        <v>19</v>
      </c>
      <c r="Q46">
        <v>1</v>
      </c>
      <c r="R46">
        <v>19</v>
      </c>
      <c r="W46">
        <v>461</v>
      </c>
      <c r="X46">
        <v>37</v>
      </c>
      <c r="AC46">
        <v>1377</v>
      </c>
      <c r="AD46">
        <v>595</v>
      </c>
      <c r="AE46">
        <v>887</v>
      </c>
      <c r="AK46">
        <v>821</v>
      </c>
      <c r="AL46">
        <v>1043</v>
      </c>
      <c r="AO46">
        <v>931</v>
      </c>
      <c r="AP46">
        <v>1699</v>
      </c>
      <c r="AS46">
        <v>50</v>
      </c>
      <c r="AT46">
        <v>43</v>
      </c>
      <c r="AU46">
        <v>2</v>
      </c>
      <c r="AY46">
        <v>390</v>
      </c>
      <c r="BB46">
        <v>73</v>
      </c>
      <c r="BC46">
        <v>183</v>
      </c>
      <c r="BI46">
        <v>399</v>
      </c>
      <c r="BJ46">
        <v>101</v>
      </c>
      <c r="BM46" s="11">
        <f t="shared" si="7"/>
        <v>1641</v>
      </c>
      <c r="BN46" s="11">
        <f t="shared" si="0"/>
        <v>5260</v>
      </c>
      <c r="BO46" s="11">
        <f t="shared" si="1"/>
        <v>3728</v>
      </c>
      <c r="BP46" s="11">
        <f t="shared" si="2"/>
        <v>0</v>
      </c>
      <c r="BQ46">
        <f t="shared" si="3"/>
        <v>19</v>
      </c>
      <c r="BR46">
        <f t="shared" si="4"/>
        <v>328</v>
      </c>
      <c r="BS46">
        <f t="shared" si="5"/>
        <v>50</v>
      </c>
      <c r="BT46">
        <f t="shared" si="6"/>
        <v>461</v>
      </c>
    </row>
    <row r="47" spans="1:72" x14ac:dyDescent="0.35">
      <c r="A47">
        <v>2022</v>
      </c>
      <c r="B47" t="s">
        <v>91</v>
      </c>
      <c r="C47" t="s">
        <v>92</v>
      </c>
      <c r="D47" s="2">
        <v>24120.5</v>
      </c>
      <c r="BM47" s="11">
        <f t="shared" si="7"/>
        <v>0</v>
      </c>
      <c r="BN47" s="11">
        <f t="shared" si="0"/>
        <v>0</v>
      </c>
      <c r="BO47" s="11">
        <f t="shared" si="1"/>
        <v>0</v>
      </c>
      <c r="BP47" s="11">
        <f t="shared" si="2"/>
        <v>0</v>
      </c>
      <c r="BQ47">
        <f t="shared" si="3"/>
        <v>0</v>
      </c>
      <c r="BR47">
        <f t="shared" si="4"/>
        <v>0</v>
      </c>
      <c r="BS47">
        <f t="shared" si="5"/>
        <v>0</v>
      </c>
      <c r="BT47">
        <f t="shared" si="6"/>
        <v>0</v>
      </c>
    </row>
    <row r="48" spans="1:72" x14ac:dyDescent="0.35">
      <c r="A48">
        <v>2022</v>
      </c>
      <c r="B48" t="s">
        <v>93</v>
      </c>
      <c r="C48" t="s">
        <v>94</v>
      </c>
      <c r="D48" s="2">
        <v>2323148.7999999998</v>
      </c>
      <c r="E48">
        <v>8693</v>
      </c>
      <c r="F48">
        <v>6701</v>
      </c>
      <c r="J48">
        <v>583</v>
      </c>
      <c r="K48">
        <v>1746</v>
      </c>
      <c r="N48">
        <v>2</v>
      </c>
      <c r="O48">
        <v>96</v>
      </c>
      <c r="P48">
        <v>20737</v>
      </c>
      <c r="Q48">
        <v>449</v>
      </c>
      <c r="V48">
        <v>2313</v>
      </c>
      <c r="W48">
        <v>657</v>
      </c>
      <c r="Z48">
        <v>787</v>
      </c>
      <c r="AB48">
        <v>543</v>
      </c>
      <c r="AD48">
        <v>2337</v>
      </c>
      <c r="AE48">
        <v>4743</v>
      </c>
      <c r="AF48">
        <v>1198</v>
      </c>
      <c r="AG48">
        <v>12</v>
      </c>
      <c r="AH48">
        <v>724</v>
      </c>
      <c r="AU48">
        <v>201</v>
      </c>
      <c r="AX48">
        <v>2</v>
      </c>
      <c r="AY48">
        <v>71119</v>
      </c>
      <c r="BB48">
        <v>5583</v>
      </c>
      <c r="BC48">
        <v>526</v>
      </c>
      <c r="BD48">
        <v>832</v>
      </c>
      <c r="BI48">
        <v>1992</v>
      </c>
      <c r="BK48">
        <v>4710</v>
      </c>
      <c r="BM48" s="11">
        <f t="shared" si="7"/>
        <v>17386</v>
      </c>
      <c r="BN48" s="11">
        <f t="shared" si="0"/>
        <v>0</v>
      </c>
      <c r="BO48" s="11">
        <f t="shared" si="1"/>
        <v>0</v>
      </c>
      <c r="BP48" s="11">
        <f t="shared" si="2"/>
        <v>0</v>
      </c>
      <c r="BQ48">
        <f t="shared" si="3"/>
        <v>1032</v>
      </c>
      <c r="BR48">
        <f t="shared" si="4"/>
        <v>7329</v>
      </c>
      <c r="BS48">
        <f t="shared" si="5"/>
        <v>0</v>
      </c>
      <c r="BT48">
        <f t="shared" si="6"/>
        <v>2970</v>
      </c>
    </row>
    <row r="49" spans="1:72" x14ac:dyDescent="0.35">
      <c r="A49">
        <v>2021</v>
      </c>
      <c r="B49" t="s">
        <v>1</v>
      </c>
      <c r="C49" t="s">
        <v>2</v>
      </c>
      <c r="D49" s="2">
        <v>770961.1</v>
      </c>
      <c r="E49">
        <v>2221</v>
      </c>
      <c r="F49">
        <v>1220</v>
      </c>
      <c r="H49">
        <v>12189</v>
      </c>
      <c r="I49">
        <v>8052</v>
      </c>
      <c r="J49">
        <v>107</v>
      </c>
      <c r="K49">
        <v>691</v>
      </c>
      <c r="P49">
        <v>2947</v>
      </c>
      <c r="Q49">
        <v>168</v>
      </c>
      <c r="U49">
        <v>19</v>
      </c>
      <c r="X49">
        <v>105</v>
      </c>
      <c r="AB49">
        <v>209</v>
      </c>
      <c r="AD49">
        <v>8</v>
      </c>
      <c r="AF49">
        <v>899</v>
      </c>
      <c r="AJ49">
        <v>16</v>
      </c>
      <c r="AK49">
        <v>3066</v>
      </c>
      <c r="AL49">
        <v>4986</v>
      </c>
      <c r="AO49">
        <v>1486</v>
      </c>
      <c r="AP49">
        <v>10703</v>
      </c>
      <c r="AS49">
        <v>35</v>
      </c>
      <c r="AT49">
        <v>126</v>
      </c>
      <c r="AU49">
        <v>3</v>
      </c>
      <c r="BB49">
        <v>203</v>
      </c>
      <c r="BD49">
        <v>47</v>
      </c>
      <c r="BE49">
        <v>11</v>
      </c>
      <c r="BF49">
        <v>8</v>
      </c>
      <c r="BI49">
        <v>1001</v>
      </c>
      <c r="BL49" s="10">
        <v>50</v>
      </c>
      <c r="BM49" s="11">
        <f t="shared" si="7"/>
        <v>4684</v>
      </c>
      <c r="BN49" s="11">
        <f t="shared" si="0"/>
        <v>24378</v>
      </c>
      <c r="BO49" s="11">
        <f t="shared" si="1"/>
        <v>16104</v>
      </c>
      <c r="BP49" s="11">
        <f t="shared" si="2"/>
        <v>0</v>
      </c>
      <c r="BQ49">
        <f t="shared" si="3"/>
        <v>275</v>
      </c>
      <c r="BR49">
        <f t="shared" si="4"/>
        <v>894</v>
      </c>
      <c r="BS49">
        <f t="shared" si="5"/>
        <v>35</v>
      </c>
      <c r="BT49">
        <f t="shared" si="6"/>
        <v>0</v>
      </c>
    </row>
    <row r="50" spans="1:72" x14ac:dyDescent="0.35">
      <c r="A50">
        <v>2021</v>
      </c>
      <c r="B50" t="s">
        <v>3</v>
      </c>
      <c r="C50" t="s">
        <v>4</v>
      </c>
      <c r="D50" s="2">
        <v>223125.3</v>
      </c>
      <c r="E50">
        <v>114</v>
      </c>
      <c r="F50">
        <v>108</v>
      </c>
      <c r="G50">
        <v>1</v>
      </c>
      <c r="H50">
        <v>505</v>
      </c>
      <c r="I50">
        <v>537</v>
      </c>
      <c r="J50">
        <v>2</v>
      </c>
      <c r="K50">
        <v>2</v>
      </c>
      <c r="L50">
        <v>12</v>
      </c>
      <c r="P50">
        <v>1595</v>
      </c>
      <c r="V50">
        <v>39</v>
      </c>
      <c r="W50">
        <v>25</v>
      </c>
      <c r="Y50">
        <v>121</v>
      </c>
      <c r="AE50">
        <v>47</v>
      </c>
      <c r="AI50">
        <v>2</v>
      </c>
      <c r="AK50">
        <v>197</v>
      </c>
      <c r="AL50">
        <v>130</v>
      </c>
      <c r="AM50">
        <v>210</v>
      </c>
      <c r="AN50">
        <v>255</v>
      </c>
      <c r="AO50">
        <v>1</v>
      </c>
      <c r="AP50">
        <v>249</v>
      </c>
      <c r="AT50">
        <v>5</v>
      </c>
      <c r="AV50">
        <v>322</v>
      </c>
      <c r="AZ50">
        <v>187</v>
      </c>
      <c r="BD50">
        <v>155</v>
      </c>
      <c r="BI50">
        <v>4</v>
      </c>
      <c r="BJ50">
        <v>5</v>
      </c>
      <c r="BM50" s="11">
        <f t="shared" si="7"/>
        <v>561</v>
      </c>
      <c r="BN50" s="11">
        <f t="shared" si="0"/>
        <v>1010</v>
      </c>
      <c r="BO50" s="11">
        <f t="shared" si="1"/>
        <v>1074</v>
      </c>
      <c r="BP50" s="11">
        <f t="shared" si="2"/>
        <v>308</v>
      </c>
      <c r="BQ50">
        <f t="shared" si="3"/>
        <v>2</v>
      </c>
      <c r="BR50">
        <f t="shared" si="4"/>
        <v>2</v>
      </c>
      <c r="BS50">
        <f t="shared" si="5"/>
        <v>0</v>
      </c>
      <c r="BT50">
        <f t="shared" si="6"/>
        <v>64</v>
      </c>
    </row>
    <row r="51" spans="1:72" x14ac:dyDescent="0.35">
      <c r="A51">
        <v>2021</v>
      </c>
      <c r="B51" t="s">
        <v>5</v>
      </c>
      <c r="C51" t="s">
        <v>6</v>
      </c>
      <c r="D51" s="2">
        <v>6406.9</v>
      </c>
      <c r="BM51" s="11">
        <f t="shared" si="7"/>
        <v>0</v>
      </c>
      <c r="BN51" s="11">
        <f t="shared" si="0"/>
        <v>0</v>
      </c>
      <c r="BO51" s="11">
        <f t="shared" si="1"/>
        <v>0</v>
      </c>
      <c r="BP51" s="11">
        <f t="shared" si="2"/>
        <v>0</v>
      </c>
      <c r="BQ51">
        <f t="shared" si="3"/>
        <v>0</v>
      </c>
      <c r="BR51">
        <f t="shared" si="4"/>
        <v>0</v>
      </c>
      <c r="BS51">
        <f t="shared" si="5"/>
        <v>0</v>
      </c>
      <c r="BT51">
        <f t="shared" si="6"/>
        <v>0</v>
      </c>
    </row>
    <row r="52" spans="1:72" x14ac:dyDescent="0.35">
      <c r="A52">
        <v>2021</v>
      </c>
      <c r="B52" t="s">
        <v>7</v>
      </c>
      <c r="C52" t="s">
        <v>8</v>
      </c>
      <c r="D52" s="2">
        <v>3905396.8</v>
      </c>
      <c r="E52">
        <v>16989</v>
      </c>
      <c r="F52">
        <v>16989</v>
      </c>
      <c r="H52">
        <v>101752</v>
      </c>
      <c r="I52">
        <v>2093</v>
      </c>
      <c r="J52">
        <v>268</v>
      </c>
      <c r="K52">
        <v>682</v>
      </c>
      <c r="L52">
        <v>87086</v>
      </c>
      <c r="W52">
        <v>665</v>
      </c>
      <c r="AB52">
        <v>439</v>
      </c>
      <c r="AC52">
        <v>3724</v>
      </c>
      <c r="AL52">
        <v>2093</v>
      </c>
      <c r="AP52">
        <v>101752</v>
      </c>
      <c r="AS52">
        <v>1385</v>
      </c>
      <c r="AW52">
        <v>1785</v>
      </c>
      <c r="BB52">
        <v>313</v>
      </c>
      <c r="BC52">
        <v>680</v>
      </c>
      <c r="BM52" s="11">
        <f t="shared" si="7"/>
        <v>33978</v>
      </c>
      <c r="BN52" s="11">
        <f t="shared" si="0"/>
        <v>203504</v>
      </c>
      <c r="BO52" s="11">
        <f t="shared" si="1"/>
        <v>4186</v>
      </c>
      <c r="BP52" s="11">
        <f t="shared" si="2"/>
        <v>0</v>
      </c>
      <c r="BQ52">
        <f t="shared" si="3"/>
        <v>268</v>
      </c>
      <c r="BR52">
        <f t="shared" si="4"/>
        <v>995</v>
      </c>
      <c r="BS52">
        <f t="shared" si="5"/>
        <v>1385</v>
      </c>
      <c r="BT52">
        <f t="shared" si="6"/>
        <v>665</v>
      </c>
    </row>
    <row r="53" spans="1:72" x14ac:dyDescent="0.35">
      <c r="A53">
        <v>2021</v>
      </c>
      <c r="B53" t="s">
        <v>9</v>
      </c>
      <c r="C53" t="s">
        <v>10</v>
      </c>
      <c r="D53" s="2">
        <v>3870531</v>
      </c>
      <c r="E53">
        <v>12174</v>
      </c>
      <c r="F53">
        <v>9361</v>
      </c>
      <c r="H53">
        <v>69824</v>
      </c>
      <c r="I53">
        <v>20355</v>
      </c>
      <c r="K53">
        <v>15498</v>
      </c>
      <c r="L53">
        <v>113189</v>
      </c>
      <c r="O53">
        <v>987</v>
      </c>
      <c r="P53">
        <v>42630</v>
      </c>
      <c r="Z53">
        <v>4921</v>
      </c>
      <c r="AG53">
        <v>17</v>
      </c>
      <c r="AL53">
        <v>20355</v>
      </c>
      <c r="AP53">
        <v>69824</v>
      </c>
      <c r="AU53">
        <v>567</v>
      </c>
      <c r="BE53">
        <v>1076</v>
      </c>
      <c r="BI53">
        <v>2813</v>
      </c>
      <c r="BM53" s="11">
        <f t="shared" si="7"/>
        <v>25424</v>
      </c>
      <c r="BN53" s="11">
        <f t="shared" si="0"/>
        <v>139648</v>
      </c>
      <c r="BO53" s="11">
        <f t="shared" si="1"/>
        <v>40710</v>
      </c>
      <c r="BP53" s="11">
        <f t="shared" si="2"/>
        <v>0</v>
      </c>
      <c r="BQ53">
        <f t="shared" si="3"/>
        <v>0</v>
      </c>
      <c r="BR53">
        <f t="shared" si="4"/>
        <v>15498</v>
      </c>
      <c r="BS53">
        <f t="shared" si="5"/>
        <v>0</v>
      </c>
      <c r="BT53">
        <f t="shared" si="6"/>
        <v>0</v>
      </c>
    </row>
    <row r="54" spans="1:72" x14ac:dyDescent="0.35">
      <c r="A54">
        <v>2021</v>
      </c>
      <c r="B54" t="s">
        <v>11</v>
      </c>
      <c r="C54" t="s">
        <v>12</v>
      </c>
      <c r="D54" s="2">
        <v>7641925.4000000004</v>
      </c>
      <c r="E54">
        <v>84277</v>
      </c>
      <c r="F54">
        <v>84277</v>
      </c>
      <c r="H54">
        <v>201735</v>
      </c>
      <c r="I54">
        <v>131922</v>
      </c>
      <c r="J54">
        <v>4358</v>
      </c>
      <c r="K54">
        <v>17331</v>
      </c>
      <c r="P54">
        <v>7912</v>
      </c>
      <c r="Q54">
        <v>11781</v>
      </c>
      <c r="R54">
        <v>11408</v>
      </c>
      <c r="T54">
        <v>2071</v>
      </c>
      <c r="W54">
        <v>1234</v>
      </c>
      <c r="X54">
        <v>36</v>
      </c>
      <c r="Z54">
        <v>9205</v>
      </c>
      <c r="AE54">
        <v>34554</v>
      </c>
      <c r="AF54">
        <v>37181</v>
      </c>
      <c r="AG54">
        <v>37181</v>
      </c>
      <c r="AL54">
        <v>131922</v>
      </c>
      <c r="AP54">
        <v>201735</v>
      </c>
      <c r="AQ54">
        <v>131922</v>
      </c>
      <c r="AT54">
        <v>49</v>
      </c>
      <c r="AU54">
        <v>5485</v>
      </c>
      <c r="BE54">
        <v>14</v>
      </c>
      <c r="BJ54">
        <v>42</v>
      </c>
      <c r="BM54" s="11">
        <f t="shared" si="7"/>
        <v>168695</v>
      </c>
      <c r="BN54" s="11">
        <f t="shared" si="0"/>
        <v>535392</v>
      </c>
      <c r="BO54" s="11">
        <f t="shared" si="1"/>
        <v>263844</v>
      </c>
      <c r="BP54" s="11">
        <f t="shared" si="2"/>
        <v>0</v>
      </c>
      <c r="BQ54">
        <f t="shared" si="3"/>
        <v>16139</v>
      </c>
      <c r="BR54">
        <f t="shared" si="4"/>
        <v>17331</v>
      </c>
      <c r="BS54">
        <f t="shared" si="5"/>
        <v>0</v>
      </c>
      <c r="BT54">
        <f t="shared" si="6"/>
        <v>1234</v>
      </c>
    </row>
    <row r="55" spans="1:72" x14ac:dyDescent="0.35">
      <c r="A55">
        <v>2021</v>
      </c>
      <c r="B55" t="s">
        <v>13</v>
      </c>
      <c r="C55" t="s">
        <v>14</v>
      </c>
      <c r="D55" s="2">
        <v>64185.3</v>
      </c>
      <c r="BM55" s="11">
        <f t="shared" si="7"/>
        <v>0</v>
      </c>
      <c r="BN55" s="11">
        <f t="shared" si="0"/>
        <v>0</v>
      </c>
      <c r="BO55" s="11">
        <f t="shared" si="1"/>
        <v>0</v>
      </c>
      <c r="BP55" s="11">
        <f t="shared" si="2"/>
        <v>0</v>
      </c>
      <c r="BQ55">
        <f t="shared" si="3"/>
        <v>0</v>
      </c>
      <c r="BR55">
        <f t="shared" si="4"/>
        <v>0</v>
      </c>
      <c r="BS55">
        <f t="shared" si="5"/>
        <v>0</v>
      </c>
      <c r="BT55">
        <f t="shared" si="6"/>
        <v>0</v>
      </c>
    </row>
    <row r="56" spans="1:72" x14ac:dyDescent="0.35">
      <c r="A56">
        <v>2021</v>
      </c>
      <c r="B56" t="s">
        <v>15</v>
      </c>
      <c r="C56" t="s">
        <v>16</v>
      </c>
      <c r="D56" s="2">
        <v>150737.70000000001</v>
      </c>
      <c r="E56">
        <v>1035</v>
      </c>
      <c r="F56">
        <v>597</v>
      </c>
      <c r="H56">
        <v>6156</v>
      </c>
      <c r="I56">
        <v>1252</v>
      </c>
      <c r="J56">
        <v>121</v>
      </c>
      <c r="K56">
        <v>75</v>
      </c>
      <c r="AL56">
        <v>1252</v>
      </c>
      <c r="AN56">
        <v>5510</v>
      </c>
      <c r="AP56">
        <v>646</v>
      </c>
      <c r="BI56">
        <v>438</v>
      </c>
      <c r="BM56" s="11">
        <f t="shared" si="7"/>
        <v>2070</v>
      </c>
      <c r="BN56" s="11">
        <f t="shared" si="0"/>
        <v>12312</v>
      </c>
      <c r="BO56" s="11">
        <f t="shared" si="1"/>
        <v>2504</v>
      </c>
      <c r="BP56" s="11">
        <f t="shared" si="2"/>
        <v>0</v>
      </c>
      <c r="BQ56">
        <f t="shared" si="3"/>
        <v>121</v>
      </c>
      <c r="BR56">
        <f t="shared" si="4"/>
        <v>75</v>
      </c>
      <c r="BS56">
        <f t="shared" si="5"/>
        <v>0</v>
      </c>
      <c r="BT56">
        <f t="shared" si="6"/>
        <v>0</v>
      </c>
    </row>
    <row r="57" spans="1:72" x14ac:dyDescent="0.35">
      <c r="A57">
        <v>2021</v>
      </c>
      <c r="B57" t="s">
        <v>17</v>
      </c>
      <c r="C57" t="s">
        <v>18</v>
      </c>
      <c r="D57" s="2">
        <v>29226.2</v>
      </c>
      <c r="BM57" s="11">
        <f t="shared" si="7"/>
        <v>0</v>
      </c>
      <c r="BN57" s="11">
        <f t="shared" si="0"/>
        <v>0</v>
      </c>
      <c r="BO57" s="11">
        <f t="shared" si="1"/>
        <v>0</v>
      </c>
      <c r="BP57" s="11">
        <f t="shared" si="2"/>
        <v>0</v>
      </c>
      <c r="BQ57">
        <f t="shared" si="3"/>
        <v>0</v>
      </c>
      <c r="BR57">
        <f t="shared" si="4"/>
        <v>0</v>
      </c>
      <c r="BS57">
        <f t="shared" si="5"/>
        <v>0</v>
      </c>
      <c r="BT57">
        <f t="shared" si="6"/>
        <v>0</v>
      </c>
    </row>
    <row r="58" spans="1:72" x14ac:dyDescent="0.35">
      <c r="A58">
        <v>2021</v>
      </c>
      <c r="B58" t="s">
        <v>19</v>
      </c>
      <c r="C58" t="s">
        <v>20</v>
      </c>
      <c r="D58" s="2">
        <v>58852.800000000003</v>
      </c>
      <c r="BM58" s="11">
        <f t="shared" si="7"/>
        <v>0</v>
      </c>
      <c r="BN58" s="11">
        <f t="shared" si="0"/>
        <v>0</v>
      </c>
      <c r="BO58" s="11">
        <f t="shared" si="1"/>
        <v>0</v>
      </c>
      <c r="BP58" s="11">
        <f t="shared" si="2"/>
        <v>0</v>
      </c>
      <c r="BQ58">
        <f t="shared" si="3"/>
        <v>0</v>
      </c>
      <c r="BR58">
        <f t="shared" si="4"/>
        <v>0</v>
      </c>
      <c r="BS58">
        <f t="shared" si="5"/>
        <v>0</v>
      </c>
      <c r="BT58">
        <f t="shared" si="6"/>
        <v>0</v>
      </c>
    </row>
    <row r="59" spans="1:72" x14ac:dyDescent="0.35">
      <c r="A59">
        <v>2021</v>
      </c>
      <c r="B59" t="s">
        <v>21</v>
      </c>
      <c r="C59" t="s">
        <v>22</v>
      </c>
      <c r="D59" s="2">
        <v>989535.7</v>
      </c>
      <c r="BM59" s="11">
        <f t="shared" si="7"/>
        <v>0</v>
      </c>
      <c r="BN59" s="11">
        <f t="shared" si="0"/>
        <v>0</v>
      </c>
      <c r="BO59" s="11">
        <f t="shared" si="1"/>
        <v>0</v>
      </c>
      <c r="BP59" s="11">
        <f t="shared" si="2"/>
        <v>0</v>
      </c>
      <c r="BQ59">
        <f t="shared" si="3"/>
        <v>0</v>
      </c>
      <c r="BR59">
        <f t="shared" si="4"/>
        <v>0</v>
      </c>
      <c r="BS59">
        <f t="shared" si="5"/>
        <v>0</v>
      </c>
      <c r="BT59">
        <f t="shared" si="6"/>
        <v>0</v>
      </c>
    </row>
    <row r="60" spans="1:72" x14ac:dyDescent="0.35">
      <c r="A60">
        <v>2021</v>
      </c>
      <c r="B60" t="s">
        <v>23</v>
      </c>
      <c r="C60" t="s">
        <v>24</v>
      </c>
      <c r="D60" s="2">
        <v>1308712.3</v>
      </c>
      <c r="BM60" s="11">
        <f t="shared" si="7"/>
        <v>0</v>
      </c>
      <c r="BN60" s="11">
        <f t="shared" si="0"/>
        <v>0</v>
      </c>
      <c r="BO60" s="11">
        <f t="shared" si="1"/>
        <v>0</v>
      </c>
      <c r="BP60" s="11">
        <f t="shared" si="2"/>
        <v>0</v>
      </c>
      <c r="BQ60">
        <f t="shared" si="3"/>
        <v>0</v>
      </c>
      <c r="BR60">
        <f t="shared" si="4"/>
        <v>0</v>
      </c>
      <c r="BS60">
        <f t="shared" si="5"/>
        <v>0</v>
      </c>
      <c r="BT60">
        <f t="shared" si="6"/>
        <v>0</v>
      </c>
    </row>
    <row r="61" spans="1:72" x14ac:dyDescent="0.35">
      <c r="A61">
        <v>2021</v>
      </c>
      <c r="B61" t="s">
        <v>25</v>
      </c>
      <c r="C61" t="s">
        <v>26</v>
      </c>
      <c r="D61" s="2">
        <v>464321.1</v>
      </c>
      <c r="E61">
        <v>2755</v>
      </c>
      <c r="F61">
        <v>1797</v>
      </c>
      <c r="H61">
        <v>5484</v>
      </c>
      <c r="I61">
        <v>2086</v>
      </c>
      <c r="J61">
        <v>50</v>
      </c>
      <c r="K61">
        <v>403</v>
      </c>
      <c r="L61">
        <v>5903</v>
      </c>
      <c r="P61">
        <v>21</v>
      </c>
      <c r="Q61">
        <v>6</v>
      </c>
      <c r="W61">
        <v>311</v>
      </c>
      <c r="X61">
        <v>97</v>
      </c>
      <c r="Y61">
        <v>6809</v>
      </c>
      <c r="AB61">
        <v>352</v>
      </c>
      <c r="AE61">
        <v>1744</v>
      </c>
      <c r="AJ61">
        <v>4</v>
      </c>
      <c r="AL61">
        <v>2086</v>
      </c>
      <c r="AP61">
        <v>5484</v>
      </c>
      <c r="AS61">
        <v>44</v>
      </c>
      <c r="AT61">
        <v>157</v>
      </c>
      <c r="AY61">
        <v>382</v>
      </c>
      <c r="BB61">
        <v>56</v>
      </c>
      <c r="BC61">
        <v>187</v>
      </c>
      <c r="BI61">
        <v>958</v>
      </c>
      <c r="BJ61">
        <v>97</v>
      </c>
      <c r="BM61" s="11">
        <f t="shared" si="7"/>
        <v>5861</v>
      </c>
      <c r="BN61" s="11">
        <f t="shared" si="0"/>
        <v>10968</v>
      </c>
      <c r="BO61" s="11">
        <f t="shared" si="1"/>
        <v>4172</v>
      </c>
      <c r="BP61" s="11">
        <f t="shared" si="2"/>
        <v>6809</v>
      </c>
      <c r="BQ61">
        <f t="shared" si="3"/>
        <v>56</v>
      </c>
      <c r="BR61">
        <f t="shared" si="4"/>
        <v>459</v>
      </c>
      <c r="BS61">
        <f t="shared" si="5"/>
        <v>44</v>
      </c>
      <c r="BT61">
        <f t="shared" si="6"/>
        <v>311</v>
      </c>
    </row>
    <row r="62" spans="1:72" x14ac:dyDescent="0.35">
      <c r="A62">
        <v>2021</v>
      </c>
      <c r="B62" t="s">
        <v>27</v>
      </c>
      <c r="C62" t="s">
        <v>28</v>
      </c>
      <c r="D62" s="2">
        <v>62086.9</v>
      </c>
      <c r="E62">
        <v>1014</v>
      </c>
      <c r="F62">
        <v>900</v>
      </c>
      <c r="H62">
        <v>7886</v>
      </c>
      <c r="J62">
        <v>89</v>
      </c>
      <c r="K62">
        <v>158</v>
      </c>
      <c r="L62">
        <v>465</v>
      </c>
      <c r="M62">
        <v>845</v>
      </c>
      <c r="N62">
        <v>8</v>
      </c>
      <c r="O62">
        <v>12</v>
      </c>
      <c r="Q62">
        <v>26</v>
      </c>
      <c r="R62">
        <v>35</v>
      </c>
      <c r="S62">
        <v>45</v>
      </c>
      <c r="U62">
        <v>35</v>
      </c>
      <c r="Y62">
        <v>1519</v>
      </c>
      <c r="Z62">
        <v>203</v>
      </c>
      <c r="AB62">
        <v>123</v>
      </c>
      <c r="AC62">
        <v>147</v>
      </c>
      <c r="AD62">
        <v>66</v>
      </c>
      <c r="AE62">
        <v>337</v>
      </c>
      <c r="AF62">
        <v>161</v>
      </c>
      <c r="AH62">
        <v>62</v>
      </c>
      <c r="AP62">
        <v>7886</v>
      </c>
      <c r="AS62">
        <v>3</v>
      </c>
      <c r="AU62">
        <v>6</v>
      </c>
      <c r="AW62">
        <v>1355</v>
      </c>
      <c r="AX62">
        <v>3629</v>
      </c>
      <c r="AY62">
        <v>11</v>
      </c>
      <c r="BB62">
        <v>413</v>
      </c>
      <c r="BC62">
        <v>42</v>
      </c>
      <c r="BF62">
        <v>15</v>
      </c>
      <c r="BI62">
        <v>114</v>
      </c>
      <c r="BM62" s="11">
        <f t="shared" si="7"/>
        <v>2028</v>
      </c>
      <c r="BN62" s="11">
        <f t="shared" si="0"/>
        <v>15772</v>
      </c>
      <c r="BO62" s="11">
        <f t="shared" si="1"/>
        <v>0</v>
      </c>
      <c r="BP62" s="11">
        <f t="shared" si="2"/>
        <v>1519</v>
      </c>
      <c r="BQ62">
        <f t="shared" si="3"/>
        <v>115</v>
      </c>
      <c r="BR62">
        <f t="shared" si="4"/>
        <v>571</v>
      </c>
      <c r="BS62">
        <f t="shared" si="5"/>
        <v>48</v>
      </c>
      <c r="BT62">
        <f t="shared" si="6"/>
        <v>0</v>
      </c>
    </row>
    <row r="63" spans="1:72" x14ac:dyDescent="0.35">
      <c r="A63">
        <v>2021</v>
      </c>
      <c r="B63" t="s">
        <v>29</v>
      </c>
      <c r="C63" t="s">
        <v>30</v>
      </c>
      <c r="D63" s="2">
        <v>434393</v>
      </c>
      <c r="E63">
        <v>812</v>
      </c>
      <c r="F63">
        <v>725</v>
      </c>
      <c r="G63">
        <v>96</v>
      </c>
      <c r="H63">
        <v>9372</v>
      </c>
      <c r="I63">
        <v>143</v>
      </c>
      <c r="K63">
        <v>99</v>
      </c>
      <c r="L63">
        <v>1750</v>
      </c>
      <c r="N63">
        <v>5</v>
      </c>
      <c r="X63">
        <v>14</v>
      </c>
      <c r="Z63">
        <v>1352</v>
      </c>
      <c r="AB63">
        <v>81</v>
      </c>
      <c r="AE63">
        <v>729</v>
      </c>
      <c r="AL63">
        <v>143</v>
      </c>
      <c r="AP63">
        <v>9372</v>
      </c>
      <c r="AS63">
        <v>7</v>
      </c>
      <c r="AT63">
        <v>7</v>
      </c>
      <c r="AV63">
        <v>61</v>
      </c>
      <c r="AW63">
        <v>7805</v>
      </c>
      <c r="BB63">
        <v>6</v>
      </c>
      <c r="BF63">
        <v>15</v>
      </c>
      <c r="BI63">
        <v>87</v>
      </c>
      <c r="BJ63">
        <v>14</v>
      </c>
      <c r="BM63" s="11">
        <f t="shared" si="7"/>
        <v>1816</v>
      </c>
      <c r="BN63" s="11">
        <f t="shared" si="0"/>
        <v>18744</v>
      </c>
      <c r="BO63" s="11">
        <f t="shared" si="1"/>
        <v>286</v>
      </c>
      <c r="BP63" s="11">
        <f t="shared" si="2"/>
        <v>0</v>
      </c>
      <c r="BQ63">
        <f t="shared" si="3"/>
        <v>0</v>
      </c>
      <c r="BR63">
        <f t="shared" si="4"/>
        <v>105</v>
      </c>
      <c r="BS63">
        <f t="shared" si="5"/>
        <v>7</v>
      </c>
      <c r="BT63">
        <f t="shared" si="6"/>
        <v>0</v>
      </c>
    </row>
    <row r="64" spans="1:72" x14ac:dyDescent="0.35">
      <c r="A64">
        <v>2021</v>
      </c>
      <c r="B64" t="s">
        <v>31</v>
      </c>
      <c r="C64" t="s">
        <v>32</v>
      </c>
      <c r="D64" s="2">
        <v>10447</v>
      </c>
      <c r="BM64" s="11">
        <f t="shared" si="7"/>
        <v>0</v>
      </c>
      <c r="BN64" s="11">
        <f t="shared" si="0"/>
        <v>0</v>
      </c>
      <c r="BO64" s="11">
        <f t="shared" si="1"/>
        <v>0</v>
      </c>
      <c r="BP64" s="11">
        <f t="shared" si="2"/>
        <v>0</v>
      </c>
      <c r="BQ64">
        <f t="shared" si="3"/>
        <v>0</v>
      </c>
      <c r="BR64">
        <f t="shared" si="4"/>
        <v>0</v>
      </c>
      <c r="BS64">
        <f t="shared" si="5"/>
        <v>0</v>
      </c>
      <c r="BT64">
        <f t="shared" si="6"/>
        <v>0</v>
      </c>
    </row>
    <row r="65" spans="1:72" x14ac:dyDescent="0.35">
      <c r="A65">
        <v>2021</v>
      </c>
      <c r="B65" t="s">
        <v>33</v>
      </c>
      <c r="C65" t="s">
        <v>34</v>
      </c>
      <c r="D65" s="2">
        <v>935437.5</v>
      </c>
      <c r="E65">
        <v>3378</v>
      </c>
      <c r="F65">
        <v>2477</v>
      </c>
      <c r="G65">
        <v>486</v>
      </c>
      <c r="H65">
        <v>4543</v>
      </c>
      <c r="I65">
        <v>704</v>
      </c>
      <c r="J65">
        <v>133</v>
      </c>
      <c r="K65">
        <v>264</v>
      </c>
      <c r="L65">
        <v>3229</v>
      </c>
      <c r="M65">
        <v>37</v>
      </c>
      <c r="O65">
        <v>22</v>
      </c>
      <c r="Q65">
        <v>97</v>
      </c>
      <c r="R65">
        <v>3</v>
      </c>
      <c r="S65">
        <v>6</v>
      </c>
      <c r="U65">
        <v>364</v>
      </c>
      <c r="X65">
        <v>59</v>
      </c>
      <c r="Z65">
        <v>339</v>
      </c>
      <c r="AB65">
        <v>267</v>
      </c>
      <c r="AC65">
        <v>4216</v>
      </c>
      <c r="AE65">
        <v>249</v>
      </c>
      <c r="AF65">
        <v>2247</v>
      </c>
      <c r="AI65">
        <v>4</v>
      </c>
      <c r="AJ65">
        <v>639</v>
      </c>
      <c r="AL65">
        <v>704</v>
      </c>
      <c r="AN65">
        <v>981</v>
      </c>
      <c r="AO65">
        <v>43</v>
      </c>
      <c r="AP65">
        <v>3519</v>
      </c>
      <c r="AQ65">
        <v>131</v>
      </c>
      <c r="AR65">
        <v>37</v>
      </c>
      <c r="AS65">
        <v>65</v>
      </c>
      <c r="AT65">
        <v>125</v>
      </c>
      <c r="AV65">
        <v>40</v>
      </c>
      <c r="BB65">
        <v>324</v>
      </c>
      <c r="BC65">
        <v>21</v>
      </c>
      <c r="BE65">
        <v>7</v>
      </c>
      <c r="BF65">
        <v>44</v>
      </c>
      <c r="BH65">
        <v>584</v>
      </c>
      <c r="BI65">
        <v>897</v>
      </c>
      <c r="BJ65">
        <v>180</v>
      </c>
      <c r="BM65" s="11">
        <f t="shared" si="7"/>
        <v>7653</v>
      </c>
      <c r="BN65" s="11">
        <f t="shared" si="0"/>
        <v>9254</v>
      </c>
      <c r="BO65" s="11">
        <f t="shared" si="1"/>
        <v>1408</v>
      </c>
      <c r="BP65" s="11">
        <f t="shared" si="2"/>
        <v>0</v>
      </c>
      <c r="BQ65">
        <f t="shared" si="3"/>
        <v>230</v>
      </c>
      <c r="BR65">
        <f t="shared" si="4"/>
        <v>588</v>
      </c>
      <c r="BS65">
        <f t="shared" si="5"/>
        <v>71</v>
      </c>
      <c r="BT65">
        <f t="shared" si="6"/>
        <v>0</v>
      </c>
    </row>
    <row r="66" spans="1:72" x14ac:dyDescent="0.35">
      <c r="A66">
        <v>2021</v>
      </c>
      <c r="B66" t="s">
        <v>35</v>
      </c>
      <c r="C66" t="s">
        <v>36</v>
      </c>
      <c r="D66" s="2">
        <v>715665.6</v>
      </c>
      <c r="E66">
        <v>1000</v>
      </c>
      <c r="F66">
        <v>740</v>
      </c>
      <c r="G66">
        <v>174</v>
      </c>
      <c r="H66">
        <v>2677</v>
      </c>
      <c r="I66">
        <v>721</v>
      </c>
      <c r="J66">
        <v>19</v>
      </c>
      <c r="K66">
        <v>142</v>
      </c>
      <c r="P66">
        <v>8077</v>
      </c>
      <c r="Q66">
        <v>11</v>
      </c>
      <c r="R66">
        <v>4</v>
      </c>
      <c r="U66">
        <v>30</v>
      </c>
      <c r="X66">
        <v>17</v>
      </c>
      <c r="Z66">
        <v>18</v>
      </c>
      <c r="AC66">
        <v>371</v>
      </c>
      <c r="AD66">
        <v>104</v>
      </c>
      <c r="AE66">
        <v>848</v>
      </c>
      <c r="AF66">
        <v>848</v>
      </c>
      <c r="AK66">
        <v>104</v>
      </c>
      <c r="AL66">
        <v>617</v>
      </c>
      <c r="AO66">
        <v>1140</v>
      </c>
      <c r="AP66">
        <v>1537</v>
      </c>
      <c r="AS66">
        <v>77</v>
      </c>
      <c r="AT66">
        <v>56</v>
      </c>
      <c r="BB66">
        <v>277</v>
      </c>
      <c r="BE66">
        <v>1</v>
      </c>
      <c r="BI66">
        <v>260</v>
      </c>
      <c r="BJ66">
        <v>12</v>
      </c>
      <c r="BM66" s="11">
        <f t="shared" si="7"/>
        <v>2260</v>
      </c>
      <c r="BN66" s="11">
        <f t="shared" si="0"/>
        <v>5354</v>
      </c>
      <c r="BO66" s="11">
        <f t="shared" si="1"/>
        <v>1442</v>
      </c>
      <c r="BP66" s="11">
        <f t="shared" si="2"/>
        <v>0</v>
      </c>
      <c r="BQ66">
        <f t="shared" si="3"/>
        <v>30</v>
      </c>
      <c r="BR66">
        <f t="shared" si="4"/>
        <v>419</v>
      </c>
      <c r="BS66">
        <f t="shared" si="5"/>
        <v>77</v>
      </c>
      <c r="BT66">
        <f t="shared" si="6"/>
        <v>0</v>
      </c>
    </row>
    <row r="67" spans="1:72" x14ac:dyDescent="0.35">
      <c r="A67">
        <v>2021</v>
      </c>
      <c r="B67" t="s">
        <v>37</v>
      </c>
      <c r="C67" t="s">
        <v>38</v>
      </c>
      <c r="D67" s="2">
        <v>911396.5</v>
      </c>
      <c r="E67">
        <v>4951</v>
      </c>
      <c r="F67">
        <v>4623</v>
      </c>
      <c r="H67">
        <v>12887</v>
      </c>
      <c r="I67">
        <v>7074</v>
      </c>
      <c r="J67">
        <v>416</v>
      </c>
      <c r="K67">
        <v>1117</v>
      </c>
      <c r="Y67">
        <v>4221</v>
      </c>
      <c r="AJ67">
        <v>139</v>
      </c>
      <c r="AL67">
        <v>7074</v>
      </c>
      <c r="AN67">
        <v>0</v>
      </c>
      <c r="AP67">
        <v>12887</v>
      </c>
      <c r="AY67">
        <v>3480</v>
      </c>
      <c r="BB67">
        <v>215</v>
      </c>
      <c r="BC67">
        <v>97</v>
      </c>
      <c r="BI67">
        <v>328</v>
      </c>
      <c r="BM67" s="11">
        <f t="shared" si="7"/>
        <v>9902</v>
      </c>
      <c r="BN67" s="11">
        <f t="shared" ref="BN67:BN130" si="8">H67+AP67+AO67+AN67+AQ67+AR67</f>
        <v>25774</v>
      </c>
      <c r="BO67" s="11">
        <f t="shared" ref="BO67:BO130" si="9">I67+AK67+AL67+AM67</f>
        <v>14148</v>
      </c>
      <c r="BP67" s="11">
        <f t="shared" ref="BP67:BP130" si="10">AZ67+Y67+AA67+BA67</f>
        <v>4221</v>
      </c>
      <c r="BQ67">
        <f t="shared" ref="BQ67:BQ130" si="11">J67+Q67</f>
        <v>416</v>
      </c>
      <c r="BR67">
        <f t="shared" ref="BR67:BR130" si="12">K67+BB67</f>
        <v>1332</v>
      </c>
      <c r="BS67">
        <f t="shared" ref="BS67:BS130" si="13">S67+AS67</f>
        <v>0</v>
      </c>
      <c r="BT67">
        <f t="shared" ref="BT67:BT130" si="14">V67+W67</f>
        <v>0</v>
      </c>
    </row>
    <row r="68" spans="1:72" x14ac:dyDescent="0.35">
      <c r="A68">
        <v>2021</v>
      </c>
      <c r="B68" t="s">
        <v>39</v>
      </c>
      <c r="C68" t="s">
        <v>40</v>
      </c>
      <c r="D68" s="2">
        <v>49221.8</v>
      </c>
      <c r="BM68" s="11">
        <f t="shared" ref="BM68:BM131" si="15">E68+F68+BI68+X68+AT68+BE68+G68+BJ68+AV68+AI68</f>
        <v>0</v>
      </c>
      <c r="BN68" s="11">
        <f t="shared" si="8"/>
        <v>0</v>
      </c>
      <c r="BO68" s="11">
        <f t="shared" si="9"/>
        <v>0</v>
      </c>
      <c r="BP68" s="11">
        <f t="shared" si="10"/>
        <v>0</v>
      </c>
      <c r="BQ68">
        <f t="shared" si="11"/>
        <v>0</v>
      </c>
      <c r="BR68">
        <f t="shared" si="12"/>
        <v>0</v>
      </c>
      <c r="BS68">
        <f t="shared" si="13"/>
        <v>0</v>
      </c>
      <c r="BT68">
        <f t="shared" si="14"/>
        <v>0</v>
      </c>
    </row>
    <row r="69" spans="1:72" x14ac:dyDescent="0.35">
      <c r="A69">
        <v>2021</v>
      </c>
      <c r="B69" t="s">
        <v>41</v>
      </c>
      <c r="C69" t="s">
        <v>42</v>
      </c>
      <c r="D69" s="2">
        <v>87525.9</v>
      </c>
      <c r="E69">
        <v>269</v>
      </c>
      <c r="F69">
        <v>156</v>
      </c>
      <c r="G69">
        <v>69</v>
      </c>
      <c r="H69">
        <v>1404</v>
      </c>
      <c r="I69">
        <v>379</v>
      </c>
      <c r="J69">
        <v>9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16</v>
      </c>
      <c r="R69">
        <v>6</v>
      </c>
      <c r="S69">
        <v>0</v>
      </c>
      <c r="T69">
        <v>2</v>
      </c>
      <c r="U69">
        <v>0</v>
      </c>
      <c r="V69">
        <v>252</v>
      </c>
      <c r="W69">
        <v>44</v>
      </c>
      <c r="X69">
        <v>10</v>
      </c>
      <c r="Y69">
        <v>0</v>
      </c>
      <c r="Z69">
        <v>0</v>
      </c>
      <c r="AA69">
        <v>0</v>
      </c>
      <c r="AB69">
        <v>172</v>
      </c>
      <c r="AC69">
        <v>522</v>
      </c>
      <c r="AD69">
        <v>0</v>
      </c>
      <c r="AE69">
        <v>0</v>
      </c>
      <c r="AF69">
        <v>18</v>
      </c>
      <c r="AG69">
        <v>0</v>
      </c>
      <c r="AH69">
        <v>0</v>
      </c>
      <c r="AI69">
        <v>0</v>
      </c>
      <c r="AJ69">
        <v>0</v>
      </c>
      <c r="AK69">
        <v>278</v>
      </c>
      <c r="AL69">
        <v>101</v>
      </c>
      <c r="AM69">
        <v>0</v>
      </c>
      <c r="AN69">
        <v>47</v>
      </c>
      <c r="AO69">
        <v>449</v>
      </c>
      <c r="AP69">
        <v>908</v>
      </c>
      <c r="AS69">
        <v>0</v>
      </c>
      <c r="AT69">
        <v>20</v>
      </c>
      <c r="AU69">
        <v>18</v>
      </c>
      <c r="AV69">
        <v>0</v>
      </c>
      <c r="AW69">
        <v>0</v>
      </c>
      <c r="AX69">
        <v>2193</v>
      </c>
      <c r="AY69">
        <v>0</v>
      </c>
      <c r="AZ69">
        <v>0</v>
      </c>
      <c r="BA69">
        <v>0</v>
      </c>
      <c r="BB69">
        <v>94</v>
      </c>
      <c r="BC69">
        <v>1</v>
      </c>
      <c r="BD69">
        <v>23</v>
      </c>
      <c r="BE69">
        <v>1</v>
      </c>
      <c r="BF69">
        <v>0</v>
      </c>
      <c r="BG69">
        <v>0</v>
      </c>
      <c r="BH69">
        <v>0</v>
      </c>
      <c r="BI69">
        <v>113</v>
      </c>
      <c r="BJ69">
        <v>13</v>
      </c>
      <c r="BK69">
        <v>0</v>
      </c>
      <c r="BL69" s="10">
        <v>0</v>
      </c>
      <c r="BM69" s="11">
        <f t="shared" si="15"/>
        <v>651</v>
      </c>
      <c r="BN69" s="11">
        <f t="shared" si="8"/>
        <v>2808</v>
      </c>
      <c r="BO69" s="11">
        <f t="shared" si="9"/>
        <v>758</v>
      </c>
      <c r="BP69" s="11">
        <f t="shared" si="10"/>
        <v>0</v>
      </c>
      <c r="BQ69">
        <f t="shared" si="11"/>
        <v>25</v>
      </c>
      <c r="BR69">
        <f t="shared" si="12"/>
        <v>98</v>
      </c>
      <c r="BS69">
        <f t="shared" si="13"/>
        <v>0</v>
      </c>
      <c r="BT69">
        <f t="shared" si="14"/>
        <v>296</v>
      </c>
    </row>
    <row r="70" spans="1:72" x14ac:dyDescent="0.35">
      <c r="A70">
        <v>2021</v>
      </c>
      <c r="B70" t="s">
        <v>43</v>
      </c>
      <c r="C70" t="s">
        <v>44</v>
      </c>
      <c r="D70" s="2">
        <v>910102.9</v>
      </c>
      <c r="E70">
        <v>4169</v>
      </c>
      <c r="F70">
        <v>3034</v>
      </c>
      <c r="G70">
        <v>0</v>
      </c>
      <c r="H70">
        <v>93144</v>
      </c>
      <c r="I70">
        <v>19141</v>
      </c>
      <c r="J70">
        <v>0</v>
      </c>
      <c r="K70">
        <v>1035</v>
      </c>
      <c r="L70">
        <v>4274</v>
      </c>
      <c r="M70">
        <v>2091</v>
      </c>
      <c r="N70">
        <v>9</v>
      </c>
      <c r="O70">
        <v>0</v>
      </c>
      <c r="P70">
        <v>0</v>
      </c>
      <c r="Q70">
        <v>396</v>
      </c>
      <c r="R70">
        <v>0</v>
      </c>
      <c r="S70">
        <v>112</v>
      </c>
      <c r="T70">
        <v>0</v>
      </c>
      <c r="U70">
        <v>380</v>
      </c>
      <c r="V70">
        <v>0</v>
      </c>
      <c r="W70">
        <v>6</v>
      </c>
      <c r="X70">
        <v>0</v>
      </c>
      <c r="Y70">
        <v>0</v>
      </c>
      <c r="Z70">
        <v>0</v>
      </c>
      <c r="AA70">
        <v>0</v>
      </c>
      <c r="AB70">
        <v>1673</v>
      </c>
      <c r="AC70">
        <v>0</v>
      </c>
      <c r="AD70">
        <v>2352</v>
      </c>
      <c r="AE70">
        <v>6276</v>
      </c>
      <c r="AF70">
        <v>1759</v>
      </c>
      <c r="AG70">
        <v>0</v>
      </c>
      <c r="AH70">
        <v>3238</v>
      </c>
      <c r="AI70">
        <v>0</v>
      </c>
      <c r="AJ70">
        <v>0</v>
      </c>
      <c r="AK70">
        <v>0</v>
      </c>
      <c r="AL70">
        <v>19141</v>
      </c>
      <c r="AM70">
        <v>0</v>
      </c>
      <c r="AN70">
        <v>0</v>
      </c>
      <c r="AO70">
        <v>51836</v>
      </c>
      <c r="AP70">
        <v>41308</v>
      </c>
      <c r="AS70">
        <v>887</v>
      </c>
      <c r="AT70">
        <v>0</v>
      </c>
      <c r="AU70">
        <v>235</v>
      </c>
      <c r="AV70">
        <v>0</v>
      </c>
      <c r="AW70">
        <v>0</v>
      </c>
      <c r="AX70">
        <v>0</v>
      </c>
      <c r="AY70">
        <v>0</v>
      </c>
      <c r="AZ70">
        <v>3453</v>
      </c>
      <c r="BA70">
        <v>0</v>
      </c>
      <c r="BB70">
        <v>1096</v>
      </c>
      <c r="BC70">
        <v>159</v>
      </c>
      <c r="BD70">
        <v>149</v>
      </c>
      <c r="BE70">
        <v>0</v>
      </c>
      <c r="BF70">
        <v>48</v>
      </c>
      <c r="BG70">
        <v>0</v>
      </c>
      <c r="BH70">
        <v>0</v>
      </c>
      <c r="BI70">
        <v>1135</v>
      </c>
      <c r="BJ70">
        <v>0</v>
      </c>
      <c r="BK70">
        <v>0</v>
      </c>
      <c r="BL70" s="10">
        <v>7</v>
      </c>
      <c r="BM70" s="11">
        <f t="shared" si="15"/>
        <v>8338</v>
      </c>
      <c r="BN70" s="11">
        <f t="shared" si="8"/>
        <v>186288</v>
      </c>
      <c r="BO70" s="11">
        <f t="shared" si="9"/>
        <v>38282</v>
      </c>
      <c r="BP70" s="11">
        <f t="shared" si="10"/>
        <v>3453</v>
      </c>
      <c r="BQ70">
        <f t="shared" si="11"/>
        <v>396</v>
      </c>
      <c r="BR70">
        <f t="shared" si="12"/>
        <v>2131</v>
      </c>
      <c r="BS70">
        <f t="shared" si="13"/>
        <v>999</v>
      </c>
      <c r="BT70">
        <f t="shared" si="14"/>
        <v>6</v>
      </c>
    </row>
    <row r="71" spans="1:72" x14ac:dyDescent="0.35">
      <c r="A71">
        <v>2021</v>
      </c>
      <c r="B71" t="s">
        <v>45</v>
      </c>
      <c r="C71" t="s">
        <v>46</v>
      </c>
      <c r="D71" s="2">
        <v>453737.3</v>
      </c>
      <c r="BM71" s="11">
        <f t="shared" si="15"/>
        <v>0</v>
      </c>
      <c r="BN71" s="11">
        <f t="shared" si="8"/>
        <v>0</v>
      </c>
      <c r="BO71" s="11">
        <f t="shared" si="9"/>
        <v>0</v>
      </c>
      <c r="BP71" s="11">
        <f t="shared" si="10"/>
        <v>0</v>
      </c>
      <c r="BQ71">
        <f t="shared" si="11"/>
        <v>0</v>
      </c>
      <c r="BR71">
        <f t="shared" si="12"/>
        <v>0</v>
      </c>
      <c r="BS71">
        <f t="shared" si="13"/>
        <v>0</v>
      </c>
      <c r="BT71">
        <f t="shared" si="14"/>
        <v>0</v>
      </c>
    </row>
    <row r="72" spans="1:72" x14ac:dyDescent="0.35">
      <c r="A72">
        <v>2021</v>
      </c>
      <c r="B72" t="s">
        <v>47</v>
      </c>
      <c r="C72" t="s">
        <v>48</v>
      </c>
      <c r="D72" s="2">
        <v>63310.400000000001</v>
      </c>
      <c r="E72">
        <v>453</v>
      </c>
      <c r="F72">
        <v>444</v>
      </c>
      <c r="G72">
        <v>0</v>
      </c>
      <c r="H72">
        <v>1956</v>
      </c>
      <c r="I72">
        <v>213</v>
      </c>
      <c r="J72">
        <v>2</v>
      </c>
      <c r="K72">
        <v>2</v>
      </c>
      <c r="L72">
        <v>196</v>
      </c>
      <c r="M72">
        <v>0</v>
      </c>
      <c r="N72">
        <v>0</v>
      </c>
      <c r="O72">
        <v>0</v>
      </c>
      <c r="P72">
        <v>0</v>
      </c>
      <c r="Q72">
        <v>21</v>
      </c>
      <c r="R72">
        <v>3</v>
      </c>
      <c r="S72">
        <v>2</v>
      </c>
      <c r="T72">
        <v>0</v>
      </c>
      <c r="U72">
        <v>0</v>
      </c>
      <c r="V72">
        <v>28</v>
      </c>
      <c r="W72">
        <v>1</v>
      </c>
      <c r="X72">
        <v>5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200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213</v>
      </c>
      <c r="AM72">
        <v>0</v>
      </c>
      <c r="AN72">
        <v>2</v>
      </c>
      <c r="AO72">
        <v>951</v>
      </c>
      <c r="AP72">
        <v>1003</v>
      </c>
      <c r="AQ72">
        <v>0</v>
      </c>
      <c r="AR72">
        <v>0</v>
      </c>
      <c r="AS72">
        <v>2</v>
      </c>
      <c r="AT72">
        <v>4</v>
      </c>
      <c r="AU72">
        <v>10</v>
      </c>
      <c r="AV72">
        <v>0</v>
      </c>
      <c r="AW72">
        <v>0</v>
      </c>
      <c r="AX72">
        <v>86</v>
      </c>
      <c r="AY72">
        <v>0</v>
      </c>
      <c r="AZ72">
        <v>0</v>
      </c>
      <c r="BA72">
        <v>0</v>
      </c>
      <c r="BB72">
        <v>76</v>
      </c>
      <c r="BC72">
        <v>6</v>
      </c>
      <c r="BD72">
        <v>0</v>
      </c>
      <c r="BE72">
        <v>0</v>
      </c>
      <c r="BF72">
        <v>12</v>
      </c>
      <c r="BG72">
        <v>0</v>
      </c>
      <c r="BH72">
        <v>16</v>
      </c>
      <c r="BI72">
        <v>9</v>
      </c>
      <c r="BJ72">
        <v>1</v>
      </c>
      <c r="BK72">
        <v>0</v>
      </c>
      <c r="BL72" s="10">
        <v>0</v>
      </c>
      <c r="BM72" s="11">
        <f t="shared" si="15"/>
        <v>916</v>
      </c>
      <c r="BN72" s="11">
        <f t="shared" si="8"/>
        <v>3912</v>
      </c>
      <c r="BO72" s="11">
        <f t="shared" si="9"/>
        <v>426</v>
      </c>
      <c r="BP72" s="11">
        <f t="shared" si="10"/>
        <v>0</v>
      </c>
      <c r="BQ72">
        <f t="shared" si="11"/>
        <v>23</v>
      </c>
      <c r="BR72">
        <f t="shared" si="12"/>
        <v>78</v>
      </c>
      <c r="BS72">
        <f t="shared" si="13"/>
        <v>4</v>
      </c>
      <c r="BT72">
        <f t="shared" si="14"/>
        <v>29</v>
      </c>
    </row>
    <row r="73" spans="1:72" x14ac:dyDescent="0.35">
      <c r="A73">
        <v>2021</v>
      </c>
      <c r="B73" t="s">
        <v>49</v>
      </c>
      <c r="C73" t="s">
        <v>50</v>
      </c>
      <c r="D73" s="2">
        <v>1466518.7</v>
      </c>
      <c r="E73">
        <v>5203</v>
      </c>
      <c r="F73">
        <v>3252</v>
      </c>
      <c r="G73">
        <v>447</v>
      </c>
      <c r="H73">
        <v>34588</v>
      </c>
      <c r="K73">
        <v>1137</v>
      </c>
      <c r="O73">
        <v>725</v>
      </c>
      <c r="P73">
        <v>86490</v>
      </c>
      <c r="Q73">
        <v>246</v>
      </c>
      <c r="R73">
        <v>261</v>
      </c>
      <c r="W73">
        <v>5029</v>
      </c>
      <c r="X73">
        <v>199</v>
      </c>
      <c r="Z73">
        <v>2137</v>
      </c>
      <c r="AB73">
        <v>717</v>
      </c>
      <c r="AF73">
        <v>5019</v>
      </c>
      <c r="AP73">
        <v>34588</v>
      </c>
      <c r="AS73">
        <v>1985</v>
      </c>
      <c r="AT73">
        <v>242</v>
      </c>
      <c r="AV73">
        <v>426</v>
      </c>
      <c r="AW73">
        <v>3295</v>
      </c>
      <c r="AX73">
        <v>11129</v>
      </c>
      <c r="AY73">
        <v>8087</v>
      </c>
      <c r="BB73">
        <v>1780</v>
      </c>
      <c r="BC73">
        <v>718</v>
      </c>
      <c r="BE73">
        <v>92</v>
      </c>
      <c r="BH73">
        <v>749</v>
      </c>
      <c r="BI73">
        <v>1951</v>
      </c>
      <c r="BJ73">
        <v>565</v>
      </c>
      <c r="BM73" s="11">
        <f t="shared" si="15"/>
        <v>12377</v>
      </c>
      <c r="BN73" s="11">
        <f t="shared" si="8"/>
        <v>69176</v>
      </c>
      <c r="BO73" s="11">
        <f t="shared" si="9"/>
        <v>0</v>
      </c>
      <c r="BP73" s="11">
        <f t="shared" si="10"/>
        <v>0</v>
      </c>
      <c r="BQ73">
        <f t="shared" si="11"/>
        <v>246</v>
      </c>
      <c r="BR73">
        <f t="shared" si="12"/>
        <v>2917</v>
      </c>
      <c r="BS73">
        <f t="shared" si="13"/>
        <v>1985</v>
      </c>
      <c r="BT73">
        <f t="shared" si="14"/>
        <v>5029</v>
      </c>
    </row>
    <row r="74" spans="1:72" x14ac:dyDescent="0.35">
      <c r="A74">
        <v>2021</v>
      </c>
      <c r="B74" t="s">
        <v>51</v>
      </c>
      <c r="C74" t="s">
        <v>52</v>
      </c>
      <c r="D74" s="2">
        <v>159834.6</v>
      </c>
      <c r="E74">
        <v>887</v>
      </c>
      <c r="F74">
        <v>800</v>
      </c>
      <c r="G74">
        <v>26</v>
      </c>
      <c r="H74">
        <v>1761</v>
      </c>
      <c r="I74">
        <v>795</v>
      </c>
      <c r="J74">
        <v>6</v>
      </c>
      <c r="K74">
        <v>124</v>
      </c>
      <c r="X74">
        <v>15</v>
      </c>
      <c r="AL74">
        <v>795</v>
      </c>
      <c r="AP74">
        <v>1761</v>
      </c>
      <c r="AT74">
        <v>23</v>
      </c>
      <c r="BB74">
        <v>472</v>
      </c>
      <c r="BI74">
        <v>87</v>
      </c>
      <c r="BJ74">
        <v>23</v>
      </c>
      <c r="BM74" s="11">
        <f t="shared" si="15"/>
        <v>1861</v>
      </c>
      <c r="BN74" s="11">
        <f t="shared" si="8"/>
        <v>3522</v>
      </c>
      <c r="BO74" s="11">
        <f t="shared" si="9"/>
        <v>1590</v>
      </c>
      <c r="BP74" s="11">
        <f t="shared" si="10"/>
        <v>0</v>
      </c>
      <c r="BQ74">
        <f t="shared" si="11"/>
        <v>6</v>
      </c>
      <c r="BR74">
        <f t="shared" si="12"/>
        <v>596</v>
      </c>
      <c r="BS74">
        <f t="shared" si="13"/>
        <v>0</v>
      </c>
      <c r="BT74">
        <f t="shared" si="14"/>
        <v>0</v>
      </c>
    </row>
    <row r="75" spans="1:72" x14ac:dyDescent="0.35">
      <c r="A75">
        <v>2021</v>
      </c>
      <c r="B75" t="s">
        <v>53</v>
      </c>
      <c r="C75" t="s">
        <v>54</v>
      </c>
      <c r="D75" s="2">
        <v>890888.8</v>
      </c>
      <c r="P75">
        <v>41616</v>
      </c>
      <c r="BM75" s="11">
        <f t="shared" si="15"/>
        <v>0</v>
      </c>
      <c r="BN75" s="11">
        <f t="shared" si="8"/>
        <v>0</v>
      </c>
      <c r="BO75" s="11">
        <f t="shared" si="9"/>
        <v>0</v>
      </c>
      <c r="BP75" s="11">
        <f t="shared" si="10"/>
        <v>0</v>
      </c>
      <c r="BQ75">
        <f t="shared" si="11"/>
        <v>0</v>
      </c>
      <c r="BR75">
        <f t="shared" si="12"/>
        <v>0</v>
      </c>
      <c r="BS75">
        <f t="shared" si="13"/>
        <v>0</v>
      </c>
      <c r="BT75">
        <f t="shared" si="14"/>
        <v>0</v>
      </c>
    </row>
    <row r="76" spans="1:72" x14ac:dyDescent="0.35">
      <c r="A76">
        <v>2021</v>
      </c>
      <c r="B76" t="s">
        <v>55</v>
      </c>
      <c r="C76" t="s">
        <v>56</v>
      </c>
      <c r="D76" s="2">
        <v>652416.6</v>
      </c>
      <c r="BM76" s="11">
        <f t="shared" si="15"/>
        <v>0</v>
      </c>
      <c r="BN76" s="11">
        <f t="shared" si="8"/>
        <v>0</v>
      </c>
      <c r="BO76" s="11">
        <f t="shared" si="9"/>
        <v>0</v>
      </c>
      <c r="BP76" s="11">
        <f t="shared" si="10"/>
        <v>0</v>
      </c>
      <c r="BQ76">
        <f t="shared" si="11"/>
        <v>0</v>
      </c>
      <c r="BR76">
        <f t="shared" si="12"/>
        <v>0</v>
      </c>
      <c r="BS76">
        <f t="shared" si="13"/>
        <v>0</v>
      </c>
      <c r="BT76">
        <f t="shared" si="14"/>
        <v>0</v>
      </c>
    </row>
    <row r="77" spans="1:72" x14ac:dyDescent="0.35">
      <c r="A77">
        <v>2021</v>
      </c>
      <c r="B77" t="s">
        <v>57</v>
      </c>
      <c r="C77" t="s">
        <v>58</v>
      </c>
      <c r="D77" s="2">
        <v>883083.9</v>
      </c>
      <c r="BM77" s="11">
        <f t="shared" si="15"/>
        <v>0</v>
      </c>
      <c r="BN77" s="11">
        <f t="shared" si="8"/>
        <v>0</v>
      </c>
      <c r="BO77" s="11">
        <f t="shared" si="9"/>
        <v>0</v>
      </c>
      <c r="BP77" s="11">
        <f t="shared" si="10"/>
        <v>0</v>
      </c>
      <c r="BQ77">
        <f t="shared" si="11"/>
        <v>0</v>
      </c>
      <c r="BR77">
        <f t="shared" si="12"/>
        <v>0</v>
      </c>
      <c r="BS77">
        <f t="shared" si="13"/>
        <v>0</v>
      </c>
      <c r="BT77">
        <f t="shared" si="14"/>
        <v>0</v>
      </c>
    </row>
    <row r="78" spans="1:72" x14ac:dyDescent="0.35">
      <c r="A78">
        <v>2021</v>
      </c>
      <c r="B78" t="s">
        <v>59</v>
      </c>
      <c r="C78" t="s">
        <v>60</v>
      </c>
      <c r="D78" s="2">
        <v>14565.6</v>
      </c>
      <c r="BM78" s="11">
        <f t="shared" si="15"/>
        <v>0</v>
      </c>
      <c r="BN78" s="11">
        <f t="shared" si="8"/>
        <v>0</v>
      </c>
      <c r="BO78" s="11">
        <f t="shared" si="9"/>
        <v>0</v>
      </c>
      <c r="BP78" s="11">
        <f t="shared" si="10"/>
        <v>0</v>
      </c>
      <c r="BQ78">
        <f t="shared" si="11"/>
        <v>0</v>
      </c>
      <c r="BR78">
        <f t="shared" si="12"/>
        <v>0</v>
      </c>
      <c r="BS78">
        <f t="shared" si="13"/>
        <v>0</v>
      </c>
      <c r="BT78">
        <f t="shared" si="14"/>
        <v>0</v>
      </c>
    </row>
    <row r="79" spans="1:72" x14ac:dyDescent="0.35">
      <c r="A79">
        <v>2021</v>
      </c>
      <c r="B79" t="s">
        <v>61</v>
      </c>
      <c r="C79" t="s">
        <v>62</v>
      </c>
      <c r="D79" s="2">
        <v>1147375.7</v>
      </c>
      <c r="E79">
        <v>2611</v>
      </c>
      <c r="F79">
        <v>1807</v>
      </c>
      <c r="G79">
        <v>445</v>
      </c>
      <c r="H79">
        <v>10928</v>
      </c>
      <c r="I79">
        <v>7278</v>
      </c>
      <c r="J79">
        <v>355</v>
      </c>
      <c r="K79">
        <v>406</v>
      </c>
      <c r="L79">
        <v>11559</v>
      </c>
      <c r="P79">
        <v>7329</v>
      </c>
      <c r="Q79">
        <v>340</v>
      </c>
      <c r="U79">
        <v>105</v>
      </c>
      <c r="X79">
        <v>57</v>
      </c>
      <c r="Z79">
        <v>264</v>
      </c>
      <c r="AB79">
        <v>264</v>
      </c>
      <c r="AC79">
        <v>3318</v>
      </c>
      <c r="AE79">
        <v>301</v>
      </c>
      <c r="AF79">
        <v>1912</v>
      </c>
      <c r="AK79">
        <v>7236</v>
      </c>
      <c r="AL79">
        <v>42</v>
      </c>
      <c r="AO79">
        <v>8781</v>
      </c>
      <c r="AP79">
        <v>2147</v>
      </c>
      <c r="AS79">
        <v>1172</v>
      </c>
      <c r="AT79">
        <v>63</v>
      </c>
      <c r="AU79">
        <v>151</v>
      </c>
      <c r="AW79">
        <v>3530</v>
      </c>
      <c r="AX79">
        <v>10717</v>
      </c>
      <c r="BB79">
        <v>3039</v>
      </c>
      <c r="BC79">
        <v>123</v>
      </c>
      <c r="BD79">
        <v>412</v>
      </c>
      <c r="BE79">
        <v>11</v>
      </c>
      <c r="BF79">
        <v>610</v>
      </c>
      <c r="BG79">
        <v>399</v>
      </c>
      <c r="BH79">
        <v>153</v>
      </c>
      <c r="BI79">
        <v>804</v>
      </c>
      <c r="BJ79">
        <v>218</v>
      </c>
      <c r="BM79" s="11">
        <f t="shared" si="15"/>
        <v>6016</v>
      </c>
      <c r="BN79" s="11">
        <f t="shared" si="8"/>
        <v>21856</v>
      </c>
      <c r="BO79" s="11">
        <f t="shared" si="9"/>
        <v>14556</v>
      </c>
      <c r="BP79" s="11">
        <f t="shared" si="10"/>
        <v>0</v>
      </c>
      <c r="BQ79">
        <f t="shared" si="11"/>
        <v>695</v>
      </c>
      <c r="BR79">
        <f t="shared" si="12"/>
        <v>3445</v>
      </c>
      <c r="BS79">
        <f t="shared" si="13"/>
        <v>1172</v>
      </c>
      <c r="BT79">
        <f t="shared" si="14"/>
        <v>0</v>
      </c>
    </row>
    <row r="80" spans="1:72" x14ac:dyDescent="0.35">
      <c r="A80">
        <v>2021</v>
      </c>
      <c r="B80" t="s">
        <v>63</v>
      </c>
      <c r="C80" t="s">
        <v>64</v>
      </c>
      <c r="D80" s="2">
        <v>70214.399999999994</v>
      </c>
      <c r="E80">
        <v>1181</v>
      </c>
      <c r="F80">
        <v>1181</v>
      </c>
      <c r="H80">
        <v>7166</v>
      </c>
      <c r="I80">
        <v>6</v>
      </c>
      <c r="J80">
        <v>161</v>
      </c>
      <c r="K80">
        <v>603</v>
      </c>
      <c r="Q80">
        <v>48</v>
      </c>
      <c r="S80">
        <v>35</v>
      </c>
      <c r="W80">
        <v>209</v>
      </c>
      <c r="X80">
        <v>34</v>
      </c>
      <c r="AD80">
        <v>3</v>
      </c>
      <c r="AE80">
        <v>99</v>
      </c>
      <c r="AL80">
        <v>6</v>
      </c>
      <c r="AO80">
        <v>45</v>
      </c>
      <c r="AP80">
        <v>7121</v>
      </c>
      <c r="AT80">
        <v>56</v>
      </c>
      <c r="AU80">
        <v>99</v>
      </c>
      <c r="AV80">
        <v>47</v>
      </c>
      <c r="AY80">
        <v>63</v>
      </c>
      <c r="BB80">
        <v>372</v>
      </c>
      <c r="BC80">
        <v>140</v>
      </c>
      <c r="BJ80">
        <v>50</v>
      </c>
      <c r="BM80" s="11">
        <f t="shared" si="15"/>
        <v>2549</v>
      </c>
      <c r="BN80" s="11">
        <f t="shared" si="8"/>
        <v>14332</v>
      </c>
      <c r="BO80" s="11">
        <f t="shared" si="9"/>
        <v>12</v>
      </c>
      <c r="BP80" s="11">
        <f t="shared" si="10"/>
        <v>0</v>
      </c>
      <c r="BQ80">
        <f t="shared" si="11"/>
        <v>209</v>
      </c>
      <c r="BR80">
        <f t="shared" si="12"/>
        <v>975</v>
      </c>
      <c r="BS80">
        <f t="shared" si="13"/>
        <v>35</v>
      </c>
      <c r="BT80">
        <f t="shared" si="14"/>
        <v>209</v>
      </c>
    </row>
    <row r="81" spans="1:72" x14ac:dyDescent="0.35">
      <c r="A81">
        <v>2021</v>
      </c>
      <c r="B81" t="s">
        <v>65</v>
      </c>
      <c r="C81" t="s">
        <v>66</v>
      </c>
      <c r="D81" s="2">
        <v>403959</v>
      </c>
      <c r="BM81" s="11">
        <f t="shared" si="15"/>
        <v>0</v>
      </c>
      <c r="BN81" s="11">
        <f t="shared" si="8"/>
        <v>0</v>
      </c>
      <c r="BO81" s="11">
        <f t="shared" si="9"/>
        <v>0</v>
      </c>
      <c r="BP81" s="11">
        <f t="shared" si="10"/>
        <v>0</v>
      </c>
      <c r="BQ81">
        <f t="shared" si="11"/>
        <v>0</v>
      </c>
      <c r="BR81">
        <f t="shared" si="12"/>
        <v>0</v>
      </c>
      <c r="BS81">
        <f t="shared" si="13"/>
        <v>0</v>
      </c>
      <c r="BT81">
        <f t="shared" si="14"/>
        <v>0</v>
      </c>
    </row>
    <row r="82" spans="1:72" x14ac:dyDescent="0.35">
      <c r="A82">
        <v>2021</v>
      </c>
      <c r="B82" t="s">
        <v>67</v>
      </c>
      <c r="C82" t="s">
        <v>68</v>
      </c>
      <c r="D82" s="2">
        <v>550908.19999999995</v>
      </c>
      <c r="E82">
        <v>1707</v>
      </c>
      <c r="F82">
        <v>487</v>
      </c>
      <c r="G82">
        <v>810</v>
      </c>
      <c r="H82">
        <v>6477</v>
      </c>
      <c r="I82">
        <v>2739</v>
      </c>
      <c r="J82">
        <v>176</v>
      </c>
      <c r="K82">
        <v>293</v>
      </c>
      <c r="L82">
        <v>5833</v>
      </c>
      <c r="M82">
        <v>36</v>
      </c>
      <c r="O82">
        <v>15</v>
      </c>
      <c r="P82">
        <v>16443</v>
      </c>
      <c r="Q82">
        <v>28</v>
      </c>
      <c r="R82">
        <v>94</v>
      </c>
      <c r="S82">
        <v>4</v>
      </c>
      <c r="U82">
        <v>87</v>
      </c>
      <c r="W82">
        <v>53</v>
      </c>
      <c r="X82">
        <v>107</v>
      </c>
      <c r="Y82">
        <v>949</v>
      </c>
      <c r="Z82">
        <v>103</v>
      </c>
      <c r="AB82">
        <v>123</v>
      </c>
      <c r="AC82">
        <v>188</v>
      </c>
      <c r="AE82">
        <v>14</v>
      </c>
      <c r="AF82">
        <v>434</v>
      </c>
      <c r="AG82">
        <v>4</v>
      </c>
      <c r="AH82">
        <v>2</v>
      </c>
      <c r="AJ82">
        <v>104</v>
      </c>
      <c r="AK82">
        <v>29</v>
      </c>
      <c r="AL82">
        <v>2710</v>
      </c>
      <c r="AN82">
        <v>1781</v>
      </c>
      <c r="AO82">
        <v>2173</v>
      </c>
      <c r="AP82">
        <v>2523</v>
      </c>
      <c r="AS82">
        <v>8</v>
      </c>
      <c r="AT82">
        <v>133</v>
      </c>
      <c r="AU82">
        <v>107</v>
      </c>
      <c r="AW82">
        <v>16</v>
      </c>
      <c r="AX82">
        <v>344</v>
      </c>
      <c r="AY82">
        <v>917</v>
      </c>
      <c r="BB82">
        <v>40</v>
      </c>
      <c r="BE82">
        <v>35</v>
      </c>
      <c r="BH82">
        <v>173</v>
      </c>
      <c r="BI82">
        <v>1220</v>
      </c>
      <c r="BJ82">
        <v>135</v>
      </c>
      <c r="BM82" s="11">
        <f t="shared" si="15"/>
        <v>4634</v>
      </c>
      <c r="BN82" s="11">
        <f t="shared" si="8"/>
        <v>12954</v>
      </c>
      <c r="BO82" s="11">
        <f t="shared" si="9"/>
        <v>5478</v>
      </c>
      <c r="BP82" s="11">
        <f t="shared" si="10"/>
        <v>949</v>
      </c>
      <c r="BQ82">
        <f t="shared" si="11"/>
        <v>204</v>
      </c>
      <c r="BR82">
        <f t="shared" si="12"/>
        <v>333</v>
      </c>
      <c r="BS82">
        <f t="shared" si="13"/>
        <v>12</v>
      </c>
      <c r="BT82">
        <f t="shared" si="14"/>
        <v>53</v>
      </c>
    </row>
    <row r="83" spans="1:72" x14ac:dyDescent="0.35">
      <c r="A83">
        <v>2021</v>
      </c>
      <c r="B83" t="s">
        <v>69</v>
      </c>
      <c r="C83" t="s">
        <v>70</v>
      </c>
      <c r="D83" s="2">
        <v>1744.8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S83">
        <v>3</v>
      </c>
      <c r="AT83">
        <v>0</v>
      </c>
      <c r="AU83">
        <v>22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20</v>
      </c>
      <c r="BD83">
        <v>40</v>
      </c>
      <c r="BE83">
        <v>0</v>
      </c>
      <c r="BF83">
        <v>6</v>
      </c>
      <c r="BG83">
        <v>0</v>
      </c>
      <c r="BH83">
        <v>2</v>
      </c>
      <c r="BI83">
        <v>0</v>
      </c>
      <c r="BJ83">
        <v>0</v>
      </c>
      <c r="BK83">
        <v>2</v>
      </c>
      <c r="BL83" s="10">
        <v>0</v>
      </c>
      <c r="BM83" s="11">
        <f t="shared" si="15"/>
        <v>0</v>
      </c>
      <c r="BN83" s="11">
        <f t="shared" si="8"/>
        <v>0</v>
      </c>
      <c r="BO83" s="11">
        <f t="shared" si="9"/>
        <v>0</v>
      </c>
      <c r="BP83" s="11">
        <f t="shared" si="10"/>
        <v>0</v>
      </c>
      <c r="BQ83">
        <f t="shared" si="11"/>
        <v>0</v>
      </c>
      <c r="BR83">
        <f t="shared" si="12"/>
        <v>0</v>
      </c>
      <c r="BS83">
        <f t="shared" si="13"/>
        <v>4</v>
      </c>
      <c r="BT83">
        <f t="shared" si="14"/>
        <v>0</v>
      </c>
    </row>
    <row r="84" spans="1:72" x14ac:dyDescent="0.35">
      <c r="A84">
        <v>2021</v>
      </c>
      <c r="B84" t="s">
        <v>71</v>
      </c>
      <c r="C84" t="s">
        <v>72</v>
      </c>
      <c r="D84" s="2">
        <v>258166.6</v>
      </c>
      <c r="BM84" s="11">
        <f t="shared" si="15"/>
        <v>0</v>
      </c>
      <c r="BN84" s="11">
        <f t="shared" si="8"/>
        <v>0</v>
      </c>
      <c r="BO84" s="11">
        <f t="shared" si="9"/>
        <v>0</v>
      </c>
      <c r="BP84" s="11">
        <f t="shared" si="10"/>
        <v>0</v>
      </c>
      <c r="BQ84">
        <f t="shared" si="11"/>
        <v>0</v>
      </c>
      <c r="BR84">
        <f t="shared" si="12"/>
        <v>0</v>
      </c>
      <c r="BS84">
        <f t="shared" si="13"/>
        <v>0</v>
      </c>
      <c r="BT84">
        <f t="shared" si="14"/>
        <v>0</v>
      </c>
    </row>
    <row r="85" spans="1:72" x14ac:dyDescent="0.35">
      <c r="A85">
        <v>2021</v>
      </c>
      <c r="B85" t="s">
        <v>73</v>
      </c>
      <c r="C85" t="s">
        <v>74</v>
      </c>
      <c r="D85" s="2">
        <v>1219311.2</v>
      </c>
      <c r="E85">
        <v>48021</v>
      </c>
      <c r="J85">
        <v>6586</v>
      </c>
      <c r="M85">
        <v>41029</v>
      </c>
      <c r="N85">
        <v>4037</v>
      </c>
      <c r="O85">
        <v>1</v>
      </c>
      <c r="Q85">
        <v>6165</v>
      </c>
      <c r="S85">
        <v>3822</v>
      </c>
      <c r="T85">
        <v>135</v>
      </c>
      <c r="V85">
        <v>549</v>
      </c>
      <c r="W85">
        <v>4196</v>
      </c>
      <c r="X85">
        <v>1015</v>
      </c>
      <c r="AB85">
        <v>9281</v>
      </c>
      <c r="AE85">
        <v>6353</v>
      </c>
      <c r="AF85">
        <v>6166</v>
      </c>
      <c r="AI85">
        <v>48021</v>
      </c>
      <c r="AS85">
        <v>216</v>
      </c>
      <c r="AT85">
        <v>1183</v>
      </c>
      <c r="AU85">
        <v>4012</v>
      </c>
      <c r="AY85">
        <v>3870</v>
      </c>
      <c r="BC85">
        <v>8345</v>
      </c>
      <c r="BD85">
        <v>164</v>
      </c>
      <c r="BE85">
        <v>853</v>
      </c>
      <c r="BF85">
        <v>9125</v>
      </c>
      <c r="BM85" s="11">
        <f t="shared" si="15"/>
        <v>99093</v>
      </c>
      <c r="BN85" s="11">
        <f t="shared" si="8"/>
        <v>0</v>
      </c>
      <c r="BO85" s="11">
        <f t="shared" si="9"/>
        <v>0</v>
      </c>
      <c r="BP85" s="11">
        <f t="shared" si="10"/>
        <v>0</v>
      </c>
      <c r="BQ85">
        <f t="shared" si="11"/>
        <v>12751</v>
      </c>
      <c r="BR85">
        <f t="shared" si="12"/>
        <v>0</v>
      </c>
      <c r="BS85">
        <f t="shared" si="13"/>
        <v>4038</v>
      </c>
      <c r="BT85">
        <f t="shared" si="14"/>
        <v>4745</v>
      </c>
    </row>
    <row r="86" spans="1:72" x14ac:dyDescent="0.35">
      <c r="A86">
        <v>2021</v>
      </c>
      <c r="B86" t="s">
        <v>75</v>
      </c>
      <c r="C86" t="s">
        <v>76</v>
      </c>
      <c r="D86" s="2">
        <v>306239.5</v>
      </c>
      <c r="BM86" s="11">
        <f t="shared" si="15"/>
        <v>0</v>
      </c>
      <c r="BN86" s="11">
        <f t="shared" si="8"/>
        <v>0</v>
      </c>
      <c r="BO86" s="11">
        <f t="shared" si="9"/>
        <v>0</v>
      </c>
      <c r="BP86" s="11">
        <f t="shared" si="10"/>
        <v>0</v>
      </c>
      <c r="BQ86">
        <f t="shared" si="11"/>
        <v>0</v>
      </c>
      <c r="BR86">
        <f t="shared" si="12"/>
        <v>0</v>
      </c>
      <c r="BS86">
        <f t="shared" si="13"/>
        <v>0</v>
      </c>
      <c r="BT86">
        <f t="shared" si="14"/>
        <v>0</v>
      </c>
    </row>
    <row r="87" spans="1:72" x14ac:dyDescent="0.35">
      <c r="A87">
        <v>2021</v>
      </c>
      <c r="B87" t="s">
        <v>77</v>
      </c>
      <c r="C87" t="s">
        <v>78</v>
      </c>
      <c r="D87" s="2">
        <v>179200.3</v>
      </c>
      <c r="BM87" s="11">
        <f t="shared" si="15"/>
        <v>0</v>
      </c>
      <c r="BN87" s="11">
        <f t="shared" si="8"/>
        <v>0</v>
      </c>
      <c r="BO87" s="11">
        <f t="shared" si="9"/>
        <v>0</v>
      </c>
      <c r="BP87" s="11">
        <f t="shared" si="10"/>
        <v>0</v>
      </c>
      <c r="BQ87">
        <f t="shared" si="11"/>
        <v>0</v>
      </c>
      <c r="BR87">
        <f t="shared" si="12"/>
        <v>0</v>
      </c>
      <c r="BS87">
        <f t="shared" si="13"/>
        <v>0</v>
      </c>
      <c r="BT87">
        <f t="shared" si="14"/>
        <v>0</v>
      </c>
    </row>
    <row r="88" spans="1:72" x14ac:dyDescent="0.35">
      <c r="A88">
        <v>2021</v>
      </c>
      <c r="B88" t="s">
        <v>79</v>
      </c>
      <c r="C88" t="s">
        <v>80</v>
      </c>
      <c r="D88" s="2">
        <v>1111347.5</v>
      </c>
      <c r="BM88" s="11">
        <f t="shared" si="15"/>
        <v>0</v>
      </c>
      <c r="BN88" s="11">
        <f t="shared" si="8"/>
        <v>0</v>
      </c>
      <c r="BO88" s="11">
        <f t="shared" si="9"/>
        <v>0</v>
      </c>
      <c r="BP88" s="11">
        <f t="shared" si="10"/>
        <v>0</v>
      </c>
      <c r="BQ88">
        <f t="shared" si="11"/>
        <v>0</v>
      </c>
      <c r="BR88">
        <f t="shared" si="12"/>
        <v>0</v>
      </c>
      <c r="BS88">
        <f t="shared" si="13"/>
        <v>0</v>
      </c>
      <c r="BT88">
        <f t="shared" si="14"/>
        <v>0</v>
      </c>
    </row>
    <row r="89" spans="1:72" x14ac:dyDescent="0.35">
      <c r="A89">
        <v>2021</v>
      </c>
      <c r="B89" t="s">
        <v>81</v>
      </c>
      <c r="C89" t="s">
        <v>82</v>
      </c>
      <c r="D89" s="2">
        <v>1671156.9</v>
      </c>
      <c r="BM89" s="11">
        <f t="shared" si="15"/>
        <v>0</v>
      </c>
      <c r="BN89" s="11">
        <f t="shared" si="8"/>
        <v>0</v>
      </c>
      <c r="BO89" s="11">
        <f t="shared" si="9"/>
        <v>0</v>
      </c>
      <c r="BP89" s="11">
        <f t="shared" si="10"/>
        <v>0</v>
      </c>
      <c r="BQ89">
        <f t="shared" si="11"/>
        <v>0</v>
      </c>
      <c r="BR89">
        <f t="shared" si="12"/>
        <v>0</v>
      </c>
      <c r="BS89">
        <f t="shared" si="13"/>
        <v>0</v>
      </c>
      <c r="BT89">
        <f t="shared" si="14"/>
        <v>0</v>
      </c>
    </row>
    <row r="90" spans="1:72" x14ac:dyDescent="0.35">
      <c r="A90">
        <v>2021</v>
      </c>
      <c r="B90" t="s">
        <v>83</v>
      </c>
      <c r="C90" t="s">
        <v>84</v>
      </c>
      <c r="D90" s="2">
        <v>663224.69999999995</v>
      </c>
      <c r="E90">
        <v>5773</v>
      </c>
      <c r="H90">
        <v>32542</v>
      </c>
      <c r="I90">
        <v>3746</v>
      </c>
      <c r="J90">
        <v>269</v>
      </c>
      <c r="K90">
        <v>1376</v>
      </c>
      <c r="Q90">
        <v>499</v>
      </c>
      <c r="W90">
        <v>4646</v>
      </c>
      <c r="AB90">
        <v>1375</v>
      </c>
      <c r="AE90">
        <v>3182</v>
      </c>
      <c r="AF90">
        <v>19</v>
      </c>
      <c r="AI90">
        <v>5773</v>
      </c>
      <c r="AL90">
        <v>3746</v>
      </c>
      <c r="AP90">
        <v>32542</v>
      </c>
      <c r="AY90">
        <v>8281</v>
      </c>
      <c r="BB90">
        <v>1944</v>
      </c>
      <c r="BC90">
        <v>1324</v>
      </c>
      <c r="BM90" s="11">
        <f t="shared" si="15"/>
        <v>11546</v>
      </c>
      <c r="BN90" s="11">
        <f t="shared" si="8"/>
        <v>65084</v>
      </c>
      <c r="BO90" s="11">
        <f t="shared" si="9"/>
        <v>7492</v>
      </c>
      <c r="BP90" s="11">
        <f t="shared" si="10"/>
        <v>0</v>
      </c>
      <c r="BQ90">
        <f t="shared" si="11"/>
        <v>768</v>
      </c>
      <c r="BR90">
        <f t="shared" si="12"/>
        <v>3320</v>
      </c>
      <c r="BS90">
        <f t="shared" si="13"/>
        <v>0</v>
      </c>
      <c r="BT90">
        <f t="shared" si="14"/>
        <v>4646</v>
      </c>
    </row>
    <row r="91" spans="1:72" x14ac:dyDescent="0.35">
      <c r="A91">
        <v>2021</v>
      </c>
      <c r="B91" t="s">
        <v>85</v>
      </c>
      <c r="C91" t="s">
        <v>86</v>
      </c>
      <c r="D91" s="2">
        <v>487965.1</v>
      </c>
      <c r="BM91" s="11">
        <f t="shared" si="15"/>
        <v>0</v>
      </c>
      <c r="BN91" s="11">
        <f t="shared" si="8"/>
        <v>0</v>
      </c>
      <c r="BO91" s="11">
        <f t="shared" si="9"/>
        <v>0</v>
      </c>
      <c r="BP91" s="11">
        <f t="shared" si="10"/>
        <v>0</v>
      </c>
      <c r="BQ91">
        <f t="shared" si="11"/>
        <v>0</v>
      </c>
      <c r="BR91">
        <f t="shared" si="12"/>
        <v>0</v>
      </c>
      <c r="BS91">
        <f t="shared" si="13"/>
        <v>0</v>
      </c>
      <c r="BT91">
        <f t="shared" si="14"/>
        <v>0</v>
      </c>
    </row>
    <row r="92" spans="1:72" x14ac:dyDescent="0.35">
      <c r="A92">
        <v>2021</v>
      </c>
      <c r="B92" t="s">
        <v>87</v>
      </c>
      <c r="C92" t="s">
        <v>88</v>
      </c>
      <c r="D92" s="2">
        <v>103744.1</v>
      </c>
      <c r="E92">
        <v>286</v>
      </c>
      <c r="F92">
        <v>276</v>
      </c>
      <c r="G92">
        <v>19</v>
      </c>
      <c r="H92">
        <v>4681</v>
      </c>
      <c r="I92">
        <v>67</v>
      </c>
      <c r="J92">
        <v>60</v>
      </c>
      <c r="K92">
        <v>208</v>
      </c>
      <c r="O92">
        <v>11</v>
      </c>
      <c r="P92">
        <v>2626</v>
      </c>
      <c r="Q92">
        <v>154</v>
      </c>
      <c r="U92">
        <v>8</v>
      </c>
      <c r="V92">
        <v>234</v>
      </c>
      <c r="X92">
        <v>10</v>
      </c>
      <c r="Z92">
        <v>44</v>
      </c>
      <c r="AB92">
        <v>137</v>
      </c>
      <c r="AE92">
        <v>267</v>
      </c>
      <c r="AF92">
        <v>298</v>
      </c>
      <c r="AL92">
        <v>67</v>
      </c>
      <c r="AN92">
        <v>182</v>
      </c>
      <c r="AO92">
        <v>3050</v>
      </c>
      <c r="AP92">
        <v>1449</v>
      </c>
      <c r="AT92">
        <v>10</v>
      </c>
      <c r="AU92">
        <v>99</v>
      </c>
      <c r="BB92">
        <v>280</v>
      </c>
      <c r="BC92">
        <v>131</v>
      </c>
      <c r="BF92">
        <v>7</v>
      </c>
      <c r="BH92">
        <v>6</v>
      </c>
      <c r="BI92">
        <v>10</v>
      </c>
      <c r="BJ92">
        <v>25</v>
      </c>
      <c r="BM92" s="11">
        <f t="shared" si="15"/>
        <v>636</v>
      </c>
      <c r="BN92" s="11">
        <f t="shared" si="8"/>
        <v>9362</v>
      </c>
      <c r="BO92" s="11">
        <f t="shared" si="9"/>
        <v>134</v>
      </c>
      <c r="BP92" s="11">
        <f t="shared" si="10"/>
        <v>0</v>
      </c>
      <c r="BQ92">
        <f t="shared" si="11"/>
        <v>214</v>
      </c>
      <c r="BR92">
        <f t="shared" si="12"/>
        <v>488</v>
      </c>
      <c r="BS92">
        <f t="shared" si="13"/>
        <v>0</v>
      </c>
      <c r="BT92">
        <f t="shared" si="14"/>
        <v>234</v>
      </c>
    </row>
    <row r="93" spans="1:72" x14ac:dyDescent="0.35">
      <c r="A93">
        <v>2021</v>
      </c>
      <c r="B93" t="s">
        <v>89</v>
      </c>
      <c r="C93" t="s">
        <v>90</v>
      </c>
      <c r="D93" s="2">
        <v>272351.90000000002</v>
      </c>
      <c r="E93">
        <v>506</v>
      </c>
      <c r="F93">
        <v>149</v>
      </c>
      <c r="H93">
        <v>1946</v>
      </c>
      <c r="I93">
        <v>1482</v>
      </c>
      <c r="J93">
        <v>13</v>
      </c>
      <c r="K93">
        <v>21</v>
      </c>
      <c r="L93">
        <v>991</v>
      </c>
      <c r="N93">
        <v>33</v>
      </c>
      <c r="O93">
        <v>5</v>
      </c>
      <c r="P93">
        <v>7500</v>
      </c>
      <c r="R93">
        <v>2</v>
      </c>
      <c r="S93">
        <v>1</v>
      </c>
      <c r="U93">
        <v>104</v>
      </c>
      <c r="V93">
        <v>86</v>
      </c>
      <c r="W93">
        <v>342</v>
      </c>
      <c r="X93">
        <v>38</v>
      </c>
      <c r="Y93">
        <v>2974</v>
      </c>
      <c r="AB93">
        <v>95</v>
      </c>
      <c r="AE93">
        <v>149</v>
      </c>
      <c r="AF93">
        <v>446</v>
      </c>
      <c r="AG93">
        <v>17</v>
      </c>
      <c r="AK93">
        <v>709</v>
      </c>
      <c r="AL93">
        <v>773</v>
      </c>
      <c r="AO93">
        <v>759</v>
      </c>
      <c r="AP93">
        <v>1187</v>
      </c>
      <c r="AS93">
        <v>14</v>
      </c>
      <c r="AT93">
        <v>34</v>
      </c>
      <c r="AU93">
        <v>1</v>
      </c>
      <c r="AV93">
        <v>190</v>
      </c>
      <c r="AW93">
        <v>2139</v>
      </c>
      <c r="AY93">
        <v>813</v>
      </c>
      <c r="BB93">
        <v>44</v>
      </c>
      <c r="BC93">
        <v>161</v>
      </c>
      <c r="BE93">
        <v>5</v>
      </c>
      <c r="BF93">
        <v>69</v>
      </c>
      <c r="BG93">
        <v>33</v>
      </c>
      <c r="BH93">
        <v>23</v>
      </c>
      <c r="BI93">
        <v>357</v>
      </c>
      <c r="BJ93">
        <v>90</v>
      </c>
      <c r="BM93" s="11">
        <f t="shared" si="15"/>
        <v>1369</v>
      </c>
      <c r="BN93" s="11">
        <f t="shared" si="8"/>
        <v>3892</v>
      </c>
      <c r="BO93" s="11">
        <f t="shared" si="9"/>
        <v>2964</v>
      </c>
      <c r="BP93" s="11">
        <f t="shared" si="10"/>
        <v>2974</v>
      </c>
      <c r="BQ93">
        <f t="shared" si="11"/>
        <v>13</v>
      </c>
      <c r="BR93">
        <f t="shared" si="12"/>
        <v>65</v>
      </c>
      <c r="BS93">
        <f t="shared" si="13"/>
        <v>15</v>
      </c>
      <c r="BT93">
        <f t="shared" si="14"/>
        <v>428</v>
      </c>
    </row>
    <row r="94" spans="1:72" x14ac:dyDescent="0.35">
      <c r="A94">
        <v>2021</v>
      </c>
      <c r="B94" t="s">
        <v>91</v>
      </c>
      <c r="C94" t="s">
        <v>92</v>
      </c>
      <c r="D94" s="2">
        <v>24060.400000000001</v>
      </c>
      <c r="BM94" s="11">
        <f t="shared" si="15"/>
        <v>0</v>
      </c>
      <c r="BN94" s="11">
        <f t="shared" si="8"/>
        <v>0</v>
      </c>
      <c r="BO94" s="11">
        <f t="shared" si="9"/>
        <v>0</v>
      </c>
      <c r="BP94" s="11">
        <f t="shared" si="10"/>
        <v>0</v>
      </c>
      <c r="BQ94">
        <f t="shared" si="11"/>
        <v>0</v>
      </c>
      <c r="BR94">
        <f t="shared" si="12"/>
        <v>0</v>
      </c>
      <c r="BS94">
        <f t="shared" si="13"/>
        <v>0</v>
      </c>
      <c r="BT94">
        <f t="shared" si="14"/>
        <v>0</v>
      </c>
    </row>
    <row r="95" spans="1:72" x14ac:dyDescent="0.35">
      <c r="A95">
        <v>2021</v>
      </c>
      <c r="B95" t="s">
        <v>93</v>
      </c>
      <c r="C95" t="s">
        <v>94</v>
      </c>
      <c r="D95" s="2">
        <v>2277499.2000000002</v>
      </c>
      <c r="BM95" s="11">
        <f t="shared" si="15"/>
        <v>0</v>
      </c>
      <c r="BN95" s="11">
        <f t="shared" si="8"/>
        <v>0</v>
      </c>
      <c r="BO95" s="11">
        <f t="shared" si="9"/>
        <v>0</v>
      </c>
      <c r="BP95" s="11">
        <f t="shared" si="10"/>
        <v>0</v>
      </c>
      <c r="BQ95">
        <f t="shared" si="11"/>
        <v>0</v>
      </c>
      <c r="BR95">
        <f t="shared" si="12"/>
        <v>0</v>
      </c>
      <c r="BS95">
        <f t="shared" si="13"/>
        <v>0</v>
      </c>
      <c r="BT95">
        <f t="shared" si="14"/>
        <v>0</v>
      </c>
    </row>
    <row r="96" spans="1:72" x14ac:dyDescent="0.35">
      <c r="A96">
        <v>2020</v>
      </c>
      <c r="B96" t="s">
        <v>1</v>
      </c>
      <c r="C96" t="s">
        <v>2</v>
      </c>
      <c r="D96" s="2">
        <v>761670.7</v>
      </c>
      <c r="E96">
        <v>2061</v>
      </c>
      <c r="F96">
        <v>1088</v>
      </c>
      <c r="H96">
        <v>11874</v>
      </c>
      <c r="I96">
        <v>7804</v>
      </c>
      <c r="J96">
        <v>103</v>
      </c>
      <c r="K96">
        <v>718</v>
      </c>
      <c r="O96">
        <v>8</v>
      </c>
      <c r="P96">
        <v>2923</v>
      </c>
      <c r="Q96">
        <v>172</v>
      </c>
      <c r="W96">
        <v>275</v>
      </c>
      <c r="X96">
        <v>101</v>
      </c>
      <c r="Y96">
        <v>68</v>
      </c>
      <c r="AB96">
        <v>274</v>
      </c>
      <c r="AF96">
        <v>906</v>
      </c>
      <c r="AJ96">
        <v>16</v>
      </c>
      <c r="AK96">
        <v>2977</v>
      </c>
      <c r="AL96">
        <v>4827</v>
      </c>
      <c r="AO96">
        <v>1646</v>
      </c>
      <c r="AP96">
        <v>10228</v>
      </c>
      <c r="AS96">
        <v>31</v>
      </c>
      <c r="AT96">
        <v>126</v>
      </c>
      <c r="AU96">
        <v>3</v>
      </c>
      <c r="BB96">
        <v>203</v>
      </c>
      <c r="BC96">
        <v>22</v>
      </c>
      <c r="BE96">
        <v>11</v>
      </c>
      <c r="BF96">
        <v>8</v>
      </c>
      <c r="BI96">
        <v>973</v>
      </c>
      <c r="BM96" s="11">
        <f t="shared" si="15"/>
        <v>4360</v>
      </c>
      <c r="BN96" s="11">
        <f t="shared" si="8"/>
        <v>23748</v>
      </c>
      <c r="BO96" s="11">
        <f t="shared" si="9"/>
        <v>15608</v>
      </c>
      <c r="BP96" s="11">
        <f t="shared" si="10"/>
        <v>68</v>
      </c>
      <c r="BQ96">
        <f t="shared" si="11"/>
        <v>275</v>
      </c>
      <c r="BR96">
        <f t="shared" si="12"/>
        <v>921</v>
      </c>
      <c r="BS96">
        <f t="shared" si="13"/>
        <v>31</v>
      </c>
      <c r="BT96">
        <f t="shared" si="14"/>
        <v>275</v>
      </c>
    </row>
    <row r="97" spans="1:72" x14ac:dyDescent="0.35">
      <c r="A97">
        <v>2020</v>
      </c>
      <c r="B97" t="s">
        <v>3</v>
      </c>
      <c r="C97" t="s">
        <v>4</v>
      </c>
      <c r="D97" s="2">
        <v>215791.4</v>
      </c>
      <c r="BM97" s="11">
        <f t="shared" si="15"/>
        <v>0</v>
      </c>
      <c r="BN97" s="11">
        <f t="shared" si="8"/>
        <v>0</v>
      </c>
      <c r="BO97" s="11">
        <f t="shared" si="9"/>
        <v>0</v>
      </c>
      <c r="BP97" s="11">
        <f t="shared" si="10"/>
        <v>0</v>
      </c>
      <c r="BQ97">
        <f t="shared" si="11"/>
        <v>0</v>
      </c>
      <c r="BR97">
        <f t="shared" si="12"/>
        <v>0</v>
      </c>
      <c r="BS97">
        <f t="shared" si="13"/>
        <v>0</v>
      </c>
      <c r="BT97">
        <f t="shared" si="14"/>
        <v>0</v>
      </c>
    </row>
    <row r="98" spans="1:72" x14ac:dyDescent="0.35">
      <c r="A98">
        <v>2020</v>
      </c>
      <c r="B98" t="s">
        <v>5</v>
      </c>
      <c r="C98" t="s">
        <v>6</v>
      </c>
      <c r="D98" s="2">
        <v>6343.5</v>
      </c>
      <c r="BM98" s="11">
        <f t="shared" si="15"/>
        <v>0</v>
      </c>
      <c r="BN98" s="11">
        <f t="shared" si="8"/>
        <v>0</v>
      </c>
      <c r="BO98" s="11">
        <f t="shared" si="9"/>
        <v>0</v>
      </c>
      <c r="BP98" s="11">
        <f t="shared" si="10"/>
        <v>0</v>
      </c>
      <c r="BQ98">
        <f t="shared" si="11"/>
        <v>0</v>
      </c>
      <c r="BR98">
        <f t="shared" si="12"/>
        <v>0</v>
      </c>
      <c r="BS98">
        <f t="shared" si="13"/>
        <v>0</v>
      </c>
      <c r="BT98">
        <f t="shared" si="14"/>
        <v>0</v>
      </c>
    </row>
    <row r="99" spans="1:72" x14ac:dyDescent="0.35">
      <c r="A99">
        <v>2020</v>
      </c>
      <c r="B99" t="s">
        <v>7</v>
      </c>
      <c r="C99" t="s">
        <v>8</v>
      </c>
      <c r="D99" s="2">
        <v>3804138.2</v>
      </c>
      <c r="BM99" s="11">
        <f t="shared" si="15"/>
        <v>0</v>
      </c>
      <c r="BN99" s="11">
        <f t="shared" si="8"/>
        <v>0</v>
      </c>
      <c r="BO99" s="11">
        <f t="shared" si="9"/>
        <v>0</v>
      </c>
      <c r="BP99" s="11">
        <f t="shared" si="10"/>
        <v>0</v>
      </c>
      <c r="BQ99">
        <f t="shared" si="11"/>
        <v>0</v>
      </c>
      <c r="BR99">
        <f t="shared" si="12"/>
        <v>0</v>
      </c>
      <c r="BS99">
        <f t="shared" si="13"/>
        <v>0</v>
      </c>
      <c r="BT99">
        <f t="shared" si="14"/>
        <v>0</v>
      </c>
    </row>
    <row r="100" spans="1:72" x14ac:dyDescent="0.35">
      <c r="A100">
        <v>2020</v>
      </c>
      <c r="B100" t="s">
        <v>9</v>
      </c>
      <c r="C100" t="s">
        <v>10</v>
      </c>
      <c r="D100" s="2">
        <v>3808847.5</v>
      </c>
      <c r="E100">
        <v>12174</v>
      </c>
      <c r="F100">
        <v>9361</v>
      </c>
      <c r="G100">
        <v>847</v>
      </c>
      <c r="H100">
        <v>69824</v>
      </c>
      <c r="I100">
        <v>20355</v>
      </c>
      <c r="J100">
        <v>228</v>
      </c>
      <c r="K100">
        <v>5394</v>
      </c>
      <c r="L100">
        <v>113189</v>
      </c>
      <c r="N100">
        <v>4</v>
      </c>
      <c r="O100">
        <v>423</v>
      </c>
      <c r="P100">
        <v>42630</v>
      </c>
      <c r="Q100">
        <v>110</v>
      </c>
      <c r="V100">
        <v>508</v>
      </c>
      <c r="W100">
        <v>2378</v>
      </c>
      <c r="X100">
        <v>303</v>
      </c>
      <c r="Z100">
        <v>5002</v>
      </c>
      <c r="AE100">
        <v>4752</v>
      </c>
      <c r="AF100">
        <v>8005</v>
      </c>
      <c r="AG100">
        <v>22</v>
      </c>
      <c r="AL100">
        <v>20355</v>
      </c>
      <c r="AP100">
        <v>69824</v>
      </c>
      <c r="AS100">
        <v>688</v>
      </c>
      <c r="AT100">
        <v>436</v>
      </c>
      <c r="AU100">
        <v>654</v>
      </c>
      <c r="AV100">
        <v>482</v>
      </c>
      <c r="AY100">
        <v>1234</v>
      </c>
      <c r="BB100">
        <v>10104</v>
      </c>
      <c r="BC100">
        <v>240</v>
      </c>
      <c r="BD100">
        <v>9</v>
      </c>
      <c r="BE100">
        <v>83</v>
      </c>
      <c r="BI100">
        <v>2813</v>
      </c>
      <c r="BJ100">
        <v>656</v>
      </c>
      <c r="BM100" s="11">
        <f t="shared" si="15"/>
        <v>27155</v>
      </c>
      <c r="BN100" s="11">
        <f t="shared" si="8"/>
        <v>139648</v>
      </c>
      <c r="BO100" s="11">
        <f t="shared" si="9"/>
        <v>40710</v>
      </c>
      <c r="BP100" s="11">
        <f t="shared" si="10"/>
        <v>0</v>
      </c>
      <c r="BQ100">
        <f t="shared" si="11"/>
        <v>338</v>
      </c>
      <c r="BR100">
        <f t="shared" si="12"/>
        <v>15498</v>
      </c>
      <c r="BS100">
        <f t="shared" si="13"/>
        <v>688</v>
      </c>
      <c r="BT100">
        <f t="shared" si="14"/>
        <v>2886</v>
      </c>
    </row>
    <row r="101" spans="1:72" x14ac:dyDescent="0.35">
      <c r="A101">
        <v>2020</v>
      </c>
      <c r="B101" t="s">
        <v>11</v>
      </c>
      <c r="C101" t="s">
        <v>12</v>
      </c>
      <c r="D101" s="2">
        <v>7523678.7000000002</v>
      </c>
      <c r="BM101" s="11">
        <f t="shared" si="15"/>
        <v>0</v>
      </c>
      <c r="BN101" s="11">
        <f t="shared" si="8"/>
        <v>0</v>
      </c>
      <c r="BO101" s="11">
        <f t="shared" si="9"/>
        <v>0</v>
      </c>
      <c r="BP101" s="11">
        <f t="shared" si="10"/>
        <v>0</v>
      </c>
      <c r="BQ101">
        <f t="shared" si="11"/>
        <v>0</v>
      </c>
      <c r="BR101">
        <f t="shared" si="12"/>
        <v>0</v>
      </c>
      <c r="BS101">
        <f t="shared" si="13"/>
        <v>0</v>
      </c>
      <c r="BT101">
        <f t="shared" si="14"/>
        <v>0</v>
      </c>
    </row>
    <row r="102" spans="1:72" x14ac:dyDescent="0.35">
      <c r="A102">
        <v>2020</v>
      </c>
      <c r="B102" t="s">
        <v>13</v>
      </c>
      <c r="C102" t="s">
        <v>14</v>
      </c>
      <c r="D102" s="2">
        <v>64112.7</v>
      </c>
      <c r="E102">
        <v>1362</v>
      </c>
      <c r="F102">
        <v>526</v>
      </c>
      <c r="G102">
        <v>114</v>
      </c>
      <c r="H102">
        <v>5481</v>
      </c>
      <c r="I102">
        <v>662</v>
      </c>
      <c r="J102">
        <v>34</v>
      </c>
      <c r="K102">
        <v>139</v>
      </c>
      <c r="L102">
        <v>693</v>
      </c>
      <c r="M102">
        <v>132</v>
      </c>
      <c r="N102">
        <v>0</v>
      </c>
      <c r="O102">
        <v>66</v>
      </c>
      <c r="P102">
        <v>110</v>
      </c>
      <c r="Q102">
        <v>32</v>
      </c>
      <c r="R102">
        <v>9</v>
      </c>
      <c r="S102">
        <v>8</v>
      </c>
      <c r="T102">
        <v>14</v>
      </c>
      <c r="U102">
        <v>31</v>
      </c>
      <c r="V102">
        <v>7</v>
      </c>
      <c r="W102">
        <v>198</v>
      </c>
      <c r="X102">
        <v>67</v>
      </c>
      <c r="Y102">
        <v>17</v>
      </c>
      <c r="Z102">
        <v>86</v>
      </c>
      <c r="AA102">
        <v>0</v>
      </c>
      <c r="AB102">
        <v>82</v>
      </c>
      <c r="AC102">
        <v>390</v>
      </c>
      <c r="AD102">
        <v>14</v>
      </c>
      <c r="AE102">
        <v>74</v>
      </c>
      <c r="AF102">
        <v>469</v>
      </c>
      <c r="AG102">
        <v>0</v>
      </c>
      <c r="AH102">
        <v>0</v>
      </c>
      <c r="AI102">
        <v>1</v>
      </c>
      <c r="AJ102">
        <v>106</v>
      </c>
      <c r="AK102">
        <v>0</v>
      </c>
      <c r="AL102">
        <v>662</v>
      </c>
      <c r="AM102">
        <v>0</v>
      </c>
      <c r="AN102">
        <v>2</v>
      </c>
      <c r="AO102">
        <v>635</v>
      </c>
      <c r="AP102">
        <v>4844</v>
      </c>
      <c r="AQ102">
        <v>0</v>
      </c>
      <c r="AR102">
        <v>1</v>
      </c>
      <c r="AS102">
        <v>3</v>
      </c>
      <c r="AT102">
        <v>82</v>
      </c>
      <c r="AU102">
        <v>9</v>
      </c>
      <c r="AV102">
        <v>416</v>
      </c>
      <c r="AW102">
        <v>947</v>
      </c>
      <c r="AX102">
        <v>2714</v>
      </c>
      <c r="AY102">
        <v>615</v>
      </c>
      <c r="AZ102">
        <v>1</v>
      </c>
      <c r="BA102">
        <v>0</v>
      </c>
      <c r="BB102">
        <v>179</v>
      </c>
      <c r="BC102">
        <v>17</v>
      </c>
      <c r="BD102">
        <v>15</v>
      </c>
      <c r="BE102">
        <v>3</v>
      </c>
      <c r="BF102">
        <v>86</v>
      </c>
      <c r="BG102">
        <v>9</v>
      </c>
      <c r="BH102">
        <v>106</v>
      </c>
      <c r="BI102">
        <v>835</v>
      </c>
      <c r="BJ102">
        <v>153</v>
      </c>
      <c r="BK102">
        <v>79</v>
      </c>
      <c r="BL102" s="10">
        <v>33</v>
      </c>
      <c r="BM102" s="11">
        <f t="shared" si="15"/>
        <v>3559</v>
      </c>
      <c r="BN102" s="11">
        <f t="shared" si="8"/>
        <v>10963</v>
      </c>
      <c r="BO102" s="11">
        <f t="shared" si="9"/>
        <v>1324</v>
      </c>
      <c r="BP102" s="11">
        <f t="shared" si="10"/>
        <v>18</v>
      </c>
      <c r="BQ102">
        <f t="shared" si="11"/>
        <v>66</v>
      </c>
      <c r="BR102">
        <f t="shared" si="12"/>
        <v>318</v>
      </c>
      <c r="BS102">
        <f t="shared" si="13"/>
        <v>11</v>
      </c>
      <c r="BT102">
        <f t="shared" si="14"/>
        <v>205</v>
      </c>
    </row>
    <row r="103" spans="1:72" x14ac:dyDescent="0.35">
      <c r="A103">
        <v>2020</v>
      </c>
      <c r="B103" t="s">
        <v>15</v>
      </c>
      <c r="C103" t="s">
        <v>16</v>
      </c>
      <c r="D103" s="2">
        <v>147926</v>
      </c>
      <c r="E103">
        <v>934</v>
      </c>
      <c r="F103">
        <v>532</v>
      </c>
      <c r="H103">
        <v>4290</v>
      </c>
      <c r="I103">
        <v>1027</v>
      </c>
      <c r="J103">
        <v>117</v>
      </c>
      <c r="K103">
        <v>76</v>
      </c>
      <c r="AL103">
        <v>1027</v>
      </c>
      <c r="AN103">
        <v>3764</v>
      </c>
      <c r="AP103">
        <v>526</v>
      </c>
      <c r="BI103">
        <v>402</v>
      </c>
      <c r="BM103" s="11">
        <f t="shared" si="15"/>
        <v>1868</v>
      </c>
      <c r="BN103" s="11">
        <f t="shared" si="8"/>
        <v>8580</v>
      </c>
      <c r="BO103" s="11">
        <f t="shared" si="9"/>
        <v>2054</v>
      </c>
      <c r="BP103" s="11">
        <f t="shared" si="10"/>
        <v>0</v>
      </c>
      <c r="BQ103">
        <f t="shared" si="11"/>
        <v>117</v>
      </c>
      <c r="BR103">
        <f t="shared" si="12"/>
        <v>76</v>
      </c>
      <c r="BS103">
        <f t="shared" si="13"/>
        <v>0</v>
      </c>
      <c r="BT103">
        <f t="shared" si="14"/>
        <v>0</v>
      </c>
    </row>
    <row r="104" spans="1:72" x14ac:dyDescent="0.35">
      <c r="A104">
        <v>2020</v>
      </c>
      <c r="B104" t="s">
        <v>17</v>
      </c>
      <c r="C104" t="s">
        <v>18</v>
      </c>
      <c r="D104" s="2">
        <v>29530.3</v>
      </c>
      <c r="E104">
        <v>165</v>
      </c>
      <c r="F104">
        <v>136</v>
      </c>
      <c r="H104">
        <v>2917</v>
      </c>
      <c r="I104">
        <v>0</v>
      </c>
      <c r="J104">
        <v>22</v>
      </c>
      <c r="K104">
        <v>48</v>
      </c>
      <c r="L104">
        <v>2087</v>
      </c>
      <c r="M104">
        <v>374</v>
      </c>
      <c r="N104">
        <v>7</v>
      </c>
      <c r="O104">
        <v>75</v>
      </c>
      <c r="P104">
        <v>5386</v>
      </c>
      <c r="Q104">
        <v>28</v>
      </c>
      <c r="S104">
        <v>7</v>
      </c>
      <c r="U104">
        <v>18</v>
      </c>
      <c r="V104">
        <v>63</v>
      </c>
      <c r="W104">
        <v>79</v>
      </c>
      <c r="Z104">
        <v>51</v>
      </c>
      <c r="AB104">
        <v>53</v>
      </c>
      <c r="AD104">
        <v>30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394</v>
      </c>
      <c r="AP104">
        <v>2523</v>
      </c>
      <c r="AQ104">
        <v>1047</v>
      </c>
      <c r="AR104">
        <v>0</v>
      </c>
      <c r="AS104">
        <v>9</v>
      </c>
      <c r="AU104">
        <v>6</v>
      </c>
      <c r="AW104">
        <v>52</v>
      </c>
      <c r="AX104">
        <v>1861</v>
      </c>
      <c r="BB104">
        <v>80</v>
      </c>
      <c r="BC104">
        <v>10</v>
      </c>
      <c r="BD104">
        <v>5</v>
      </c>
      <c r="BF104">
        <v>12</v>
      </c>
      <c r="BG104">
        <v>16</v>
      </c>
      <c r="BH104">
        <v>22</v>
      </c>
      <c r="BI104">
        <v>29</v>
      </c>
      <c r="BM104" s="11">
        <f t="shared" si="15"/>
        <v>330</v>
      </c>
      <c r="BN104" s="11">
        <f t="shared" si="8"/>
        <v>6881</v>
      </c>
      <c r="BO104" s="11">
        <f t="shared" si="9"/>
        <v>0</v>
      </c>
      <c r="BP104" s="11">
        <f t="shared" si="10"/>
        <v>0</v>
      </c>
      <c r="BQ104">
        <f t="shared" si="11"/>
        <v>50</v>
      </c>
      <c r="BR104">
        <f t="shared" si="12"/>
        <v>128</v>
      </c>
      <c r="BS104">
        <f t="shared" si="13"/>
        <v>16</v>
      </c>
      <c r="BT104">
        <f t="shared" si="14"/>
        <v>142</v>
      </c>
    </row>
    <row r="105" spans="1:72" x14ac:dyDescent="0.35">
      <c r="A105">
        <v>2020</v>
      </c>
      <c r="B105" t="s">
        <v>19</v>
      </c>
      <c r="C105" t="s">
        <v>20</v>
      </c>
      <c r="D105" s="2">
        <v>58877.4</v>
      </c>
      <c r="BM105" s="11">
        <f t="shared" si="15"/>
        <v>0</v>
      </c>
      <c r="BN105" s="11">
        <f t="shared" si="8"/>
        <v>0</v>
      </c>
      <c r="BO105" s="11">
        <f t="shared" si="9"/>
        <v>0</v>
      </c>
      <c r="BP105" s="11">
        <f t="shared" si="10"/>
        <v>0</v>
      </c>
      <c r="BQ105">
        <f t="shared" si="11"/>
        <v>0</v>
      </c>
      <c r="BR105">
        <f t="shared" si="12"/>
        <v>0</v>
      </c>
      <c r="BS105">
        <f t="shared" si="13"/>
        <v>0</v>
      </c>
      <c r="BT105">
        <f t="shared" si="14"/>
        <v>0</v>
      </c>
    </row>
    <row r="106" spans="1:72" x14ac:dyDescent="0.35">
      <c r="A106">
        <v>2020</v>
      </c>
      <c r="B106" t="s">
        <v>21</v>
      </c>
      <c r="C106" t="s">
        <v>22</v>
      </c>
      <c r="D106" s="2">
        <v>1010048.1</v>
      </c>
      <c r="BM106" s="11">
        <f t="shared" si="15"/>
        <v>0</v>
      </c>
      <c r="BN106" s="11">
        <f t="shared" si="8"/>
        <v>0</v>
      </c>
      <c r="BO106" s="11">
        <f t="shared" si="9"/>
        <v>0</v>
      </c>
      <c r="BP106" s="11">
        <f t="shared" si="10"/>
        <v>0</v>
      </c>
      <c r="BQ106">
        <f t="shared" si="11"/>
        <v>0</v>
      </c>
      <c r="BR106">
        <f t="shared" si="12"/>
        <v>0</v>
      </c>
      <c r="BS106">
        <f t="shared" si="13"/>
        <v>0</v>
      </c>
      <c r="BT106">
        <f t="shared" si="14"/>
        <v>0</v>
      </c>
    </row>
    <row r="107" spans="1:72" x14ac:dyDescent="0.35">
      <c r="A107">
        <v>2020</v>
      </c>
      <c r="B107" t="s">
        <v>23</v>
      </c>
      <c r="C107" t="s">
        <v>24</v>
      </c>
      <c r="D107" s="2">
        <v>1280498.2</v>
      </c>
      <c r="P107">
        <v>2652</v>
      </c>
      <c r="BM107" s="11">
        <f t="shared" si="15"/>
        <v>0</v>
      </c>
      <c r="BN107" s="11">
        <f t="shared" si="8"/>
        <v>0</v>
      </c>
      <c r="BO107" s="11">
        <f t="shared" si="9"/>
        <v>0</v>
      </c>
      <c r="BP107" s="11">
        <f t="shared" si="10"/>
        <v>0</v>
      </c>
      <c r="BQ107">
        <f t="shared" si="11"/>
        <v>0</v>
      </c>
      <c r="BR107">
        <f t="shared" si="12"/>
        <v>0</v>
      </c>
      <c r="BS107">
        <f t="shared" si="13"/>
        <v>0</v>
      </c>
      <c r="BT107">
        <f t="shared" si="14"/>
        <v>0</v>
      </c>
    </row>
    <row r="108" spans="1:72" x14ac:dyDescent="0.35">
      <c r="A108">
        <v>2020</v>
      </c>
      <c r="B108" t="s">
        <v>25</v>
      </c>
      <c r="C108" t="s">
        <v>26</v>
      </c>
      <c r="D108" s="2">
        <v>457449.9</v>
      </c>
      <c r="BM108" s="11">
        <f t="shared" si="15"/>
        <v>0</v>
      </c>
      <c r="BN108" s="11">
        <f t="shared" si="8"/>
        <v>0</v>
      </c>
      <c r="BO108" s="11">
        <f t="shared" si="9"/>
        <v>0</v>
      </c>
      <c r="BP108" s="11">
        <f t="shared" si="10"/>
        <v>0</v>
      </c>
      <c r="BQ108">
        <f t="shared" si="11"/>
        <v>0</v>
      </c>
      <c r="BR108">
        <f t="shared" si="12"/>
        <v>0</v>
      </c>
      <c r="BS108">
        <f t="shared" si="13"/>
        <v>0</v>
      </c>
      <c r="BT108">
        <f t="shared" si="14"/>
        <v>0</v>
      </c>
    </row>
    <row r="109" spans="1:72" x14ac:dyDescent="0.35">
      <c r="A109">
        <v>2020</v>
      </c>
      <c r="B109" t="s">
        <v>27</v>
      </c>
      <c r="C109" t="s">
        <v>28</v>
      </c>
      <c r="D109" s="2">
        <v>62582.3</v>
      </c>
      <c r="E109">
        <v>1024</v>
      </c>
      <c r="F109">
        <v>902</v>
      </c>
      <c r="H109">
        <v>7771</v>
      </c>
      <c r="J109">
        <v>89</v>
      </c>
      <c r="K109">
        <v>145</v>
      </c>
      <c r="L109">
        <v>463</v>
      </c>
      <c r="M109">
        <v>842</v>
      </c>
      <c r="N109">
        <v>7</v>
      </c>
      <c r="O109">
        <v>11</v>
      </c>
      <c r="Q109">
        <v>28</v>
      </c>
      <c r="R109">
        <v>33</v>
      </c>
      <c r="S109">
        <v>40</v>
      </c>
      <c r="U109">
        <v>92</v>
      </c>
      <c r="Y109">
        <v>1423</v>
      </c>
      <c r="Z109">
        <v>25</v>
      </c>
      <c r="AB109">
        <v>117</v>
      </c>
      <c r="AC109">
        <v>125</v>
      </c>
      <c r="AD109">
        <v>67</v>
      </c>
      <c r="AE109">
        <v>338</v>
      </c>
      <c r="AF109">
        <v>167</v>
      </c>
      <c r="AH109">
        <v>63</v>
      </c>
      <c r="AP109">
        <v>7771</v>
      </c>
      <c r="AS109">
        <v>3</v>
      </c>
      <c r="AU109">
        <v>3</v>
      </c>
      <c r="AW109">
        <v>1221</v>
      </c>
      <c r="AX109">
        <v>3691</v>
      </c>
      <c r="AY109">
        <v>10</v>
      </c>
      <c r="BB109">
        <v>435</v>
      </c>
      <c r="BC109">
        <v>66</v>
      </c>
      <c r="BF109">
        <v>13</v>
      </c>
      <c r="BI109">
        <v>122</v>
      </c>
      <c r="BM109" s="11">
        <f t="shared" si="15"/>
        <v>2048</v>
      </c>
      <c r="BN109" s="11">
        <f t="shared" si="8"/>
        <v>15542</v>
      </c>
      <c r="BO109" s="11">
        <f t="shared" si="9"/>
        <v>0</v>
      </c>
      <c r="BP109" s="11">
        <f t="shared" si="10"/>
        <v>1423</v>
      </c>
      <c r="BQ109">
        <f t="shared" si="11"/>
        <v>117</v>
      </c>
      <c r="BR109">
        <f t="shared" si="12"/>
        <v>580</v>
      </c>
      <c r="BS109">
        <f t="shared" si="13"/>
        <v>43</v>
      </c>
      <c r="BT109">
        <f t="shared" si="14"/>
        <v>0</v>
      </c>
    </row>
    <row r="110" spans="1:72" x14ac:dyDescent="0.35">
      <c r="A110">
        <v>2020</v>
      </c>
      <c r="B110" t="s">
        <v>29</v>
      </c>
      <c r="C110" t="s">
        <v>30</v>
      </c>
      <c r="D110" s="2">
        <v>430785.2</v>
      </c>
      <c r="E110">
        <v>852</v>
      </c>
      <c r="H110">
        <v>7713</v>
      </c>
      <c r="P110">
        <v>11845</v>
      </c>
      <c r="AI110">
        <v>852</v>
      </c>
      <c r="AN110">
        <v>7713</v>
      </c>
      <c r="BM110" s="11">
        <f t="shared" si="15"/>
        <v>1704</v>
      </c>
      <c r="BN110" s="11">
        <f t="shared" si="8"/>
        <v>15426</v>
      </c>
      <c r="BO110" s="11">
        <f t="shared" si="9"/>
        <v>0</v>
      </c>
      <c r="BP110" s="11">
        <f t="shared" si="10"/>
        <v>0</v>
      </c>
      <c r="BQ110">
        <f t="shared" si="11"/>
        <v>0</v>
      </c>
      <c r="BR110">
        <f t="shared" si="12"/>
        <v>0</v>
      </c>
      <c r="BS110">
        <f t="shared" si="13"/>
        <v>0</v>
      </c>
      <c r="BT110">
        <f t="shared" si="14"/>
        <v>0</v>
      </c>
    </row>
    <row r="111" spans="1:72" x14ac:dyDescent="0.35">
      <c r="A111">
        <v>2020</v>
      </c>
      <c r="B111" t="s">
        <v>31</v>
      </c>
      <c r="C111" t="s">
        <v>32</v>
      </c>
      <c r="D111" s="2">
        <v>10491.7</v>
      </c>
      <c r="BM111" s="11">
        <f t="shared" si="15"/>
        <v>0</v>
      </c>
      <c r="BN111" s="11">
        <f t="shared" si="8"/>
        <v>0</v>
      </c>
      <c r="BO111" s="11">
        <f t="shared" si="9"/>
        <v>0</v>
      </c>
      <c r="BP111" s="11">
        <f t="shared" si="10"/>
        <v>0</v>
      </c>
      <c r="BQ111">
        <f t="shared" si="11"/>
        <v>0</v>
      </c>
      <c r="BR111">
        <f t="shared" si="12"/>
        <v>0</v>
      </c>
      <c r="BS111">
        <f t="shared" si="13"/>
        <v>0</v>
      </c>
      <c r="BT111">
        <f t="shared" si="14"/>
        <v>0</v>
      </c>
    </row>
    <row r="112" spans="1:72" x14ac:dyDescent="0.35">
      <c r="A112">
        <v>2020</v>
      </c>
      <c r="B112" t="s">
        <v>33</v>
      </c>
      <c r="C112" t="s">
        <v>34</v>
      </c>
      <c r="D112" s="2">
        <v>925124.6</v>
      </c>
      <c r="E112">
        <v>2562</v>
      </c>
      <c r="F112">
        <v>1643</v>
      </c>
      <c r="G112">
        <v>16</v>
      </c>
      <c r="H112">
        <v>11478</v>
      </c>
      <c r="I112">
        <v>1258</v>
      </c>
      <c r="J112">
        <v>179</v>
      </c>
      <c r="K112">
        <v>337</v>
      </c>
      <c r="L112">
        <v>2735</v>
      </c>
      <c r="M112">
        <v>16</v>
      </c>
      <c r="N112">
        <v>2</v>
      </c>
      <c r="O112">
        <v>15</v>
      </c>
      <c r="P112">
        <v>154</v>
      </c>
      <c r="Q112">
        <v>45</v>
      </c>
      <c r="R112">
        <v>12</v>
      </c>
      <c r="S112">
        <v>3</v>
      </c>
      <c r="T112">
        <v>10</v>
      </c>
      <c r="U112">
        <v>137</v>
      </c>
      <c r="V112">
        <v>5</v>
      </c>
      <c r="W112">
        <v>194</v>
      </c>
      <c r="X112">
        <v>45</v>
      </c>
      <c r="Y112">
        <v>5366</v>
      </c>
      <c r="Z112">
        <v>21</v>
      </c>
      <c r="AA112">
        <v>4</v>
      </c>
      <c r="AB112">
        <v>73</v>
      </c>
      <c r="AC112">
        <v>21</v>
      </c>
      <c r="AD112">
        <v>6</v>
      </c>
      <c r="AE112">
        <v>48</v>
      </c>
      <c r="AF112">
        <v>112</v>
      </c>
      <c r="AG112">
        <v>19</v>
      </c>
      <c r="AH112">
        <v>4</v>
      </c>
      <c r="AI112">
        <v>0</v>
      </c>
      <c r="AJ112">
        <v>13</v>
      </c>
      <c r="AK112">
        <v>239</v>
      </c>
      <c r="AL112">
        <v>998</v>
      </c>
      <c r="AM112">
        <v>21</v>
      </c>
      <c r="AN112">
        <v>1435</v>
      </c>
      <c r="AO112">
        <v>1202</v>
      </c>
      <c r="AP112">
        <v>8841</v>
      </c>
      <c r="AQ112">
        <v>290</v>
      </c>
      <c r="AR112">
        <v>190</v>
      </c>
      <c r="AS112">
        <v>17</v>
      </c>
      <c r="AT112">
        <v>114</v>
      </c>
      <c r="AU112">
        <v>207</v>
      </c>
      <c r="AV112">
        <v>538</v>
      </c>
      <c r="AW112">
        <v>1406</v>
      </c>
      <c r="AX112">
        <v>152</v>
      </c>
      <c r="AY112">
        <v>2098</v>
      </c>
      <c r="AZ112">
        <v>18</v>
      </c>
      <c r="BA112">
        <v>2</v>
      </c>
      <c r="BB112">
        <v>54</v>
      </c>
      <c r="BC112">
        <v>5</v>
      </c>
      <c r="BD112">
        <v>64</v>
      </c>
      <c r="BE112">
        <v>9</v>
      </c>
      <c r="BF112">
        <v>6</v>
      </c>
      <c r="BG112">
        <v>16</v>
      </c>
      <c r="BH112">
        <v>48</v>
      </c>
      <c r="BI112">
        <v>919</v>
      </c>
      <c r="BJ112">
        <v>84</v>
      </c>
      <c r="BK112">
        <v>4</v>
      </c>
      <c r="BL112" s="10">
        <v>3</v>
      </c>
      <c r="BM112" s="11">
        <f t="shared" si="15"/>
        <v>5930</v>
      </c>
      <c r="BN112" s="11">
        <f t="shared" si="8"/>
        <v>23436</v>
      </c>
      <c r="BO112" s="11">
        <f t="shared" si="9"/>
        <v>2516</v>
      </c>
      <c r="BP112" s="11">
        <f t="shared" si="10"/>
        <v>5390</v>
      </c>
      <c r="BQ112">
        <f t="shared" si="11"/>
        <v>224</v>
      </c>
      <c r="BR112">
        <f t="shared" si="12"/>
        <v>391</v>
      </c>
      <c r="BS112">
        <f t="shared" si="13"/>
        <v>20</v>
      </c>
      <c r="BT112">
        <f t="shared" si="14"/>
        <v>199</v>
      </c>
    </row>
    <row r="113" spans="1:72" x14ac:dyDescent="0.35">
      <c r="A113">
        <v>2020</v>
      </c>
      <c r="B113" t="s">
        <v>35</v>
      </c>
      <c r="C113" t="s">
        <v>36</v>
      </c>
      <c r="D113" s="2">
        <v>699467.2</v>
      </c>
      <c r="E113">
        <v>1003</v>
      </c>
      <c r="F113">
        <v>784</v>
      </c>
      <c r="H113">
        <v>2623</v>
      </c>
      <c r="I113">
        <v>710</v>
      </c>
      <c r="K113">
        <v>54</v>
      </c>
      <c r="O113">
        <v>2</v>
      </c>
      <c r="P113">
        <v>592</v>
      </c>
      <c r="X113">
        <v>2</v>
      </c>
      <c r="AL113">
        <v>710</v>
      </c>
      <c r="AN113">
        <v>268</v>
      </c>
      <c r="AO113">
        <v>827</v>
      </c>
      <c r="AP113">
        <v>1528</v>
      </c>
      <c r="AS113">
        <v>1</v>
      </c>
      <c r="AT113">
        <v>5</v>
      </c>
      <c r="AU113">
        <v>1</v>
      </c>
      <c r="AV113">
        <v>9</v>
      </c>
      <c r="BI113">
        <v>219</v>
      </c>
      <c r="BJ113">
        <v>1</v>
      </c>
      <c r="BM113" s="11">
        <f t="shared" si="15"/>
        <v>2023</v>
      </c>
      <c r="BN113" s="11">
        <f t="shared" si="8"/>
        <v>5246</v>
      </c>
      <c r="BO113" s="11">
        <f t="shared" si="9"/>
        <v>1420</v>
      </c>
      <c r="BP113" s="11">
        <f t="shared" si="10"/>
        <v>0</v>
      </c>
      <c r="BQ113">
        <f t="shared" si="11"/>
        <v>0</v>
      </c>
      <c r="BR113">
        <f t="shared" si="12"/>
        <v>54</v>
      </c>
      <c r="BS113">
        <f t="shared" si="13"/>
        <v>1</v>
      </c>
      <c r="BT113">
        <f t="shared" si="14"/>
        <v>0</v>
      </c>
    </row>
    <row r="114" spans="1:72" x14ac:dyDescent="0.35">
      <c r="A114">
        <v>2020</v>
      </c>
      <c r="B114" t="s">
        <v>37</v>
      </c>
      <c r="C114" t="s">
        <v>38</v>
      </c>
      <c r="D114" s="2">
        <v>896181.6</v>
      </c>
      <c r="E114">
        <v>4435</v>
      </c>
      <c r="F114">
        <v>4435</v>
      </c>
      <c r="H114">
        <v>13396</v>
      </c>
      <c r="I114">
        <v>6345</v>
      </c>
      <c r="J114">
        <v>397</v>
      </c>
      <c r="K114">
        <v>1029</v>
      </c>
      <c r="AL114">
        <v>6345</v>
      </c>
      <c r="AP114">
        <v>13396</v>
      </c>
      <c r="AY114">
        <v>3734</v>
      </c>
      <c r="BM114" s="11">
        <f t="shared" si="15"/>
        <v>8870</v>
      </c>
      <c r="BN114" s="11">
        <f t="shared" si="8"/>
        <v>26792</v>
      </c>
      <c r="BO114" s="11">
        <f t="shared" si="9"/>
        <v>12690</v>
      </c>
      <c r="BP114" s="11">
        <f t="shared" si="10"/>
        <v>0</v>
      </c>
      <c r="BQ114">
        <f t="shared" si="11"/>
        <v>397</v>
      </c>
      <c r="BR114">
        <f t="shared" si="12"/>
        <v>1029</v>
      </c>
      <c r="BS114">
        <f t="shared" si="13"/>
        <v>0</v>
      </c>
      <c r="BT114">
        <f t="shared" si="14"/>
        <v>0</v>
      </c>
    </row>
    <row r="115" spans="1:72" x14ac:dyDescent="0.35">
      <c r="A115">
        <v>2020</v>
      </c>
      <c r="B115" t="s">
        <v>39</v>
      </c>
      <c r="C115" t="s">
        <v>40</v>
      </c>
      <c r="D115" s="2">
        <v>48954.6</v>
      </c>
      <c r="BM115" s="11">
        <f t="shared" si="15"/>
        <v>0</v>
      </c>
      <c r="BN115" s="11">
        <f t="shared" si="8"/>
        <v>0</v>
      </c>
      <c r="BO115" s="11">
        <f t="shared" si="9"/>
        <v>0</v>
      </c>
      <c r="BP115" s="11">
        <f t="shared" si="10"/>
        <v>0</v>
      </c>
      <c r="BQ115">
        <f t="shared" si="11"/>
        <v>0</v>
      </c>
      <c r="BR115">
        <f t="shared" si="12"/>
        <v>0</v>
      </c>
      <c r="BS115">
        <f t="shared" si="13"/>
        <v>0</v>
      </c>
      <c r="BT115">
        <f t="shared" si="14"/>
        <v>0</v>
      </c>
    </row>
    <row r="116" spans="1:72" x14ac:dyDescent="0.35">
      <c r="A116">
        <v>2020</v>
      </c>
      <c r="B116" t="s">
        <v>41</v>
      </c>
      <c r="C116" t="s">
        <v>42</v>
      </c>
      <c r="D116" s="2">
        <v>86528</v>
      </c>
      <c r="E116">
        <v>196</v>
      </c>
      <c r="F116">
        <v>122</v>
      </c>
      <c r="G116">
        <v>47</v>
      </c>
      <c r="H116">
        <v>1229</v>
      </c>
      <c r="I116">
        <v>540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10</v>
      </c>
      <c r="P116">
        <v>0</v>
      </c>
      <c r="Q116">
        <v>17</v>
      </c>
      <c r="R116">
        <v>4</v>
      </c>
      <c r="S116">
        <v>0</v>
      </c>
      <c r="T116">
        <v>9</v>
      </c>
      <c r="U116">
        <v>0</v>
      </c>
      <c r="V116">
        <v>237</v>
      </c>
      <c r="W116">
        <v>67</v>
      </c>
      <c r="X116">
        <v>10</v>
      </c>
      <c r="Y116">
        <v>0</v>
      </c>
      <c r="Z116">
        <v>0</v>
      </c>
      <c r="AA116">
        <v>0</v>
      </c>
      <c r="AB116">
        <v>173</v>
      </c>
      <c r="AC116">
        <v>479</v>
      </c>
      <c r="AD116">
        <v>0</v>
      </c>
      <c r="AE116">
        <v>0</v>
      </c>
      <c r="AF116">
        <v>13</v>
      </c>
      <c r="AG116">
        <v>0</v>
      </c>
      <c r="AH116">
        <v>0</v>
      </c>
      <c r="AI116">
        <v>0</v>
      </c>
      <c r="AJ116">
        <v>0</v>
      </c>
      <c r="AK116">
        <v>412</v>
      </c>
      <c r="AL116">
        <v>128</v>
      </c>
      <c r="AM116">
        <v>0</v>
      </c>
      <c r="AN116">
        <v>42</v>
      </c>
      <c r="AO116">
        <v>484</v>
      </c>
      <c r="AP116">
        <v>703</v>
      </c>
      <c r="AS116">
        <v>0</v>
      </c>
      <c r="AT116">
        <v>0</v>
      </c>
      <c r="AU116">
        <v>20</v>
      </c>
      <c r="AV116">
        <v>0</v>
      </c>
      <c r="AW116">
        <v>0</v>
      </c>
      <c r="AX116">
        <v>2253</v>
      </c>
      <c r="AY116">
        <v>0</v>
      </c>
      <c r="AZ116">
        <v>0</v>
      </c>
      <c r="BA116">
        <v>0</v>
      </c>
      <c r="BB116">
        <v>81</v>
      </c>
      <c r="BC116">
        <v>7</v>
      </c>
      <c r="BD116">
        <v>25</v>
      </c>
      <c r="BE116">
        <v>1</v>
      </c>
      <c r="BF116">
        <v>0</v>
      </c>
      <c r="BG116">
        <v>0</v>
      </c>
      <c r="BH116">
        <v>0</v>
      </c>
      <c r="BI116">
        <v>74</v>
      </c>
      <c r="BJ116">
        <v>16</v>
      </c>
      <c r="BK116">
        <v>0</v>
      </c>
      <c r="BL116" s="10">
        <v>0</v>
      </c>
      <c r="BM116" s="11">
        <f t="shared" si="15"/>
        <v>466</v>
      </c>
      <c r="BN116" s="11">
        <f t="shared" si="8"/>
        <v>2458</v>
      </c>
      <c r="BO116" s="11">
        <f t="shared" si="9"/>
        <v>1080</v>
      </c>
      <c r="BP116" s="11">
        <f t="shared" si="10"/>
        <v>0</v>
      </c>
      <c r="BQ116">
        <f t="shared" si="11"/>
        <v>25</v>
      </c>
      <c r="BR116">
        <f t="shared" si="12"/>
        <v>81</v>
      </c>
      <c r="BS116">
        <f t="shared" si="13"/>
        <v>0</v>
      </c>
      <c r="BT116">
        <f t="shared" si="14"/>
        <v>304</v>
      </c>
    </row>
    <row r="117" spans="1:72" x14ac:dyDescent="0.35">
      <c r="A117">
        <v>2020</v>
      </c>
      <c r="B117" t="s">
        <v>43</v>
      </c>
      <c r="C117" t="s">
        <v>44</v>
      </c>
      <c r="D117" s="2">
        <v>906937.8</v>
      </c>
      <c r="E117">
        <v>5285</v>
      </c>
      <c r="H117">
        <v>95789</v>
      </c>
      <c r="I117">
        <v>16700</v>
      </c>
      <c r="K117">
        <v>1388</v>
      </c>
      <c r="AI117">
        <v>5285</v>
      </c>
      <c r="AM117">
        <v>16700</v>
      </c>
      <c r="AN117">
        <v>95789</v>
      </c>
      <c r="BM117" s="11">
        <f t="shared" si="15"/>
        <v>10570</v>
      </c>
      <c r="BN117" s="11">
        <f t="shared" si="8"/>
        <v>191578</v>
      </c>
      <c r="BO117" s="11">
        <f t="shared" si="9"/>
        <v>33400</v>
      </c>
      <c r="BP117" s="11">
        <f t="shared" si="10"/>
        <v>0</v>
      </c>
      <c r="BQ117">
        <f t="shared" si="11"/>
        <v>0</v>
      </c>
      <c r="BR117">
        <f t="shared" si="12"/>
        <v>1388</v>
      </c>
      <c r="BS117">
        <f t="shared" si="13"/>
        <v>0</v>
      </c>
      <c r="BT117">
        <f t="shared" si="14"/>
        <v>0</v>
      </c>
    </row>
    <row r="118" spans="1:72" x14ac:dyDescent="0.35">
      <c r="A118">
        <v>2020</v>
      </c>
      <c r="B118" t="s">
        <v>45</v>
      </c>
      <c r="C118" t="s">
        <v>46</v>
      </c>
      <c r="D118" s="2">
        <v>448514.4</v>
      </c>
      <c r="BM118" s="11">
        <f t="shared" si="15"/>
        <v>0</v>
      </c>
      <c r="BN118" s="11">
        <f t="shared" si="8"/>
        <v>0</v>
      </c>
      <c r="BO118" s="11">
        <f t="shared" si="9"/>
        <v>0</v>
      </c>
      <c r="BP118" s="11">
        <f t="shared" si="10"/>
        <v>0</v>
      </c>
      <c r="BQ118">
        <f t="shared" si="11"/>
        <v>0</v>
      </c>
      <c r="BR118">
        <f t="shared" si="12"/>
        <v>0</v>
      </c>
      <c r="BS118">
        <f t="shared" si="13"/>
        <v>0</v>
      </c>
      <c r="BT118">
        <f t="shared" si="14"/>
        <v>0</v>
      </c>
    </row>
    <row r="119" spans="1:72" x14ac:dyDescent="0.35">
      <c r="A119">
        <v>2020</v>
      </c>
      <c r="B119" t="s">
        <v>47</v>
      </c>
      <c r="C119" t="s">
        <v>48</v>
      </c>
      <c r="D119" s="2">
        <v>62815</v>
      </c>
      <c r="E119">
        <v>385</v>
      </c>
      <c r="F119">
        <v>375</v>
      </c>
      <c r="G119">
        <v>0</v>
      </c>
      <c r="H119">
        <v>1371</v>
      </c>
      <c r="I119">
        <v>185</v>
      </c>
      <c r="J119">
        <v>5</v>
      </c>
      <c r="K119">
        <v>13</v>
      </c>
      <c r="L119">
        <v>119</v>
      </c>
      <c r="O119">
        <v>4</v>
      </c>
      <c r="P119">
        <v>3711</v>
      </c>
      <c r="Q119">
        <v>0</v>
      </c>
      <c r="R119">
        <v>8</v>
      </c>
      <c r="S119">
        <v>3</v>
      </c>
      <c r="T119">
        <v>1</v>
      </c>
      <c r="U119">
        <v>9</v>
      </c>
      <c r="V119">
        <v>18</v>
      </c>
      <c r="W119">
        <v>2</v>
      </c>
      <c r="X119">
        <v>6</v>
      </c>
      <c r="Z119">
        <v>10</v>
      </c>
      <c r="AB119">
        <v>3</v>
      </c>
      <c r="AE119">
        <v>1</v>
      </c>
      <c r="AF119">
        <v>285</v>
      </c>
      <c r="AI119">
        <v>0</v>
      </c>
      <c r="AK119">
        <v>167</v>
      </c>
      <c r="AL119">
        <v>18</v>
      </c>
      <c r="AM119">
        <v>0</v>
      </c>
      <c r="AN119">
        <v>14</v>
      </c>
      <c r="AO119">
        <v>1016</v>
      </c>
      <c r="AP119">
        <v>341</v>
      </c>
      <c r="AQ119">
        <v>40</v>
      </c>
      <c r="AR119">
        <v>0</v>
      </c>
      <c r="AS119">
        <v>4</v>
      </c>
      <c r="AT119">
        <v>4</v>
      </c>
      <c r="AU119">
        <v>9</v>
      </c>
      <c r="AV119">
        <v>0</v>
      </c>
      <c r="AW119">
        <v>149</v>
      </c>
      <c r="AX119">
        <v>115</v>
      </c>
      <c r="AY119">
        <v>2</v>
      </c>
      <c r="BB119">
        <v>73</v>
      </c>
      <c r="BC119">
        <v>4</v>
      </c>
      <c r="BE119">
        <v>0</v>
      </c>
      <c r="BF119">
        <v>11</v>
      </c>
      <c r="BG119">
        <v>61</v>
      </c>
      <c r="BI119">
        <v>10</v>
      </c>
      <c r="BJ119">
        <v>1</v>
      </c>
      <c r="BM119" s="11">
        <f t="shared" si="15"/>
        <v>781</v>
      </c>
      <c r="BN119" s="11">
        <f t="shared" si="8"/>
        <v>2782</v>
      </c>
      <c r="BO119" s="11">
        <f t="shared" si="9"/>
        <v>370</v>
      </c>
      <c r="BP119" s="11">
        <f t="shared" si="10"/>
        <v>0</v>
      </c>
      <c r="BQ119">
        <f t="shared" si="11"/>
        <v>5</v>
      </c>
      <c r="BR119">
        <f t="shared" si="12"/>
        <v>86</v>
      </c>
      <c r="BS119">
        <f t="shared" si="13"/>
        <v>7</v>
      </c>
      <c r="BT119">
        <f t="shared" si="14"/>
        <v>20</v>
      </c>
    </row>
    <row r="120" spans="1:72" x14ac:dyDescent="0.35">
      <c r="A120">
        <v>2020</v>
      </c>
      <c r="B120" t="s">
        <v>49</v>
      </c>
      <c r="C120" t="s">
        <v>50</v>
      </c>
      <c r="D120" s="2">
        <v>1455623.7</v>
      </c>
      <c r="H120">
        <v>0</v>
      </c>
      <c r="P120">
        <v>91653</v>
      </c>
      <c r="AO120">
        <v>0</v>
      </c>
      <c r="BM120" s="11">
        <f t="shared" si="15"/>
        <v>0</v>
      </c>
      <c r="BN120" s="11">
        <f t="shared" si="8"/>
        <v>0</v>
      </c>
      <c r="BO120" s="11">
        <f t="shared" si="9"/>
        <v>0</v>
      </c>
      <c r="BP120" s="11">
        <f t="shared" si="10"/>
        <v>0</v>
      </c>
      <c r="BQ120">
        <f t="shared" si="11"/>
        <v>0</v>
      </c>
      <c r="BR120">
        <f t="shared" si="12"/>
        <v>0</v>
      </c>
      <c r="BS120">
        <f t="shared" si="13"/>
        <v>0</v>
      </c>
      <c r="BT120">
        <f t="shared" si="14"/>
        <v>0</v>
      </c>
    </row>
    <row r="121" spans="1:72" x14ac:dyDescent="0.35">
      <c r="A121">
        <v>2020</v>
      </c>
      <c r="B121" t="s">
        <v>51</v>
      </c>
      <c r="C121" t="s">
        <v>52</v>
      </c>
      <c r="D121" s="2">
        <v>158615.9</v>
      </c>
      <c r="E121">
        <v>777</v>
      </c>
      <c r="F121">
        <v>725</v>
      </c>
      <c r="G121">
        <v>16</v>
      </c>
      <c r="H121">
        <v>2416</v>
      </c>
      <c r="I121">
        <v>872</v>
      </c>
      <c r="J121">
        <v>6</v>
      </c>
      <c r="K121">
        <v>127</v>
      </c>
      <c r="P121">
        <v>12625</v>
      </c>
      <c r="X121">
        <v>10</v>
      </c>
      <c r="AL121">
        <v>872</v>
      </c>
      <c r="AP121">
        <v>2416</v>
      </c>
      <c r="AT121">
        <v>15</v>
      </c>
      <c r="BB121">
        <v>486</v>
      </c>
      <c r="BI121">
        <v>52</v>
      </c>
      <c r="BJ121">
        <v>16</v>
      </c>
      <c r="BM121" s="11">
        <f t="shared" si="15"/>
        <v>1611</v>
      </c>
      <c r="BN121" s="11">
        <f t="shared" si="8"/>
        <v>4832</v>
      </c>
      <c r="BO121" s="11">
        <f t="shared" si="9"/>
        <v>1744</v>
      </c>
      <c r="BP121" s="11">
        <f t="shared" si="10"/>
        <v>0</v>
      </c>
      <c r="BQ121">
        <f t="shared" si="11"/>
        <v>6</v>
      </c>
      <c r="BR121">
        <f t="shared" si="12"/>
        <v>613</v>
      </c>
      <c r="BS121">
        <f t="shared" si="13"/>
        <v>0</v>
      </c>
      <c r="BT121">
        <f t="shared" si="14"/>
        <v>0</v>
      </c>
    </row>
    <row r="122" spans="1:72" x14ac:dyDescent="0.35">
      <c r="A122">
        <v>2020</v>
      </c>
      <c r="B122" t="s">
        <v>53</v>
      </c>
      <c r="C122" t="s">
        <v>54</v>
      </c>
      <c r="D122" s="2">
        <v>878903.6</v>
      </c>
      <c r="P122">
        <v>41616</v>
      </c>
      <c r="BM122" s="11">
        <f t="shared" si="15"/>
        <v>0</v>
      </c>
      <c r="BN122" s="11">
        <f t="shared" si="8"/>
        <v>0</v>
      </c>
      <c r="BO122" s="11">
        <f t="shared" si="9"/>
        <v>0</v>
      </c>
      <c r="BP122" s="11">
        <f t="shared" si="10"/>
        <v>0</v>
      </c>
      <c r="BQ122">
        <f t="shared" si="11"/>
        <v>0</v>
      </c>
      <c r="BR122">
        <f t="shared" si="12"/>
        <v>0</v>
      </c>
      <c r="BS122">
        <f t="shared" si="13"/>
        <v>0</v>
      </c>
      <c r="BT122">
        <f t="shared" si="14"/>
        <v>0</v>
      </c>
    </row>
    <row r="123" spans="1:72" x14ac:dyDescent="0.35">
      <c r="A123">
        <v>2020</v>
      </c>
      <c r="B123" t="s">
        <v>55</v>
      </c>
      <c r="C123" t="s">
        <v>56</v>
      </c>
      <c r="D123" s="2">
        <v>641720.1</v>
      </c>
      <c r="E123">
        <v>958</v>
      </c>
      <c r="F123">
        <v>639</v>
      </c>
      <c r="G123">
        <v>0</v>
      </c>
      <c r="H123">
        <v>13564</v>
      </c>
      <c r="I123">
        <v>0</v>
      </c>
      <c r="J123">
        <v>149</v>
      </c>
      <c r="K123">
        <v>151</v>
      </c>
      <c r="L123">
        <v>2848</v>
      </c>
      <c r="M123">
        <v>0</v>
      </c>
      <c r="N123">
        <v>0</v>
      </c>
      <c r="O123">
        <v>13</v>
      </c>
      <c r="P123">
        <v>0</v>
      </c>
      <c r="Q123">
        <v>204</v>
      </c>
      <c r="R123">
        <v>0</v>
      </c>
      <c r="S123">
        <v>31</v>
      </c>
      <c r="T123">
        <v>0</v>
      </c>
      <c r="U123">
        <v>249</v>
      </c>
      <c r="V123">
        <v>321</v>
      </c>
      <c r="W123">
        <v>196</v>
      </c>
      <c r="X123">
        <v>30</v>
      </c>
      <c r="Y123">
        <v>0</v>
      </c>
      <c r="Z123">
        <v>334</v>
      </c>
      <c r="AA123">
        <v>0</v>
      </c>
      <c r="AB123">
        <v>0</v>
      </c>
      <c r="AC123">
        <v>2630</v>
      </c>
      <c r="AD123">
        <v>1809</v>
      </c>
      <c r="AE123">
        <v>282</v>
      </c>
      <c r="AF123">
        <v>743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77</v>
      </c>
      <c r="AO123">
        <v>6004</v>
      </c>
      <c r="AP123">
        <v>7483</v>
      </c>
      <c r="AQ123">
        <v>1479</v>
      </c>
      <c r="AR123">
        <v>4358</v>
      </c>
      <c r="AS123">
        <v>54</v>
      </c>
      <c r="AT123">
        <v>52</v>
      </c>
      <c r="AU123">
        <v>91</v>
      </c>
      <c r="AV123">
        <v>195</v>
      </c>
      <c r="AY123">
        <v>0</v>
      </c>
      <c r="AZ123">
        <v>0</v>
      </c>
      <c r="BA123">
        <v>0</v>
      </c>
      <c r="BB123">
        <v>600</v>
      </c>
      <c r="BC123">
        <v>152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319</v>
      </c>
      <c r="BJ123">
        <v>68</v>
      </c>
      <c r="BK123">
        <v>0</v>
      </c>
      <c r="BL123" s="10">
        <v>0</v>
      </c>
      <c r="BM123" s="11">
        <f t="shared" si="15"/>
        <v>2265</v>
      </c>
      <c r="BN123" s="11">
        <f t="shared" si="8"/>
        <v>32965</v>
      </c>
      <c r="BO123" s="11">
        <f t="shared" si="9"/>
        <v>0</v>
      </c>
      <c r="BP123" s="11">
        <f t="shared" si="10"/>
        <v>0</v>
      </c>
      <c r="BQ123">
        <f t="shared" si="11"/>
        <v>353</v>
      </c>
      <c r="BR123">
        <f t="shared" si="12"/>
        <v>751</v>
      </c>
      <c r="BS123">
        <f t="shared" si="13"/>
        <v>85</v>
      </c>
      <c r="BT123">
        <f t="shared" si="14"/>
        <v>517</v>
      </c>
    </row>
    <row r="124" spans="1:72" x14ac:dyDescent="0.35">
      <c r="A124">
        <v>2020</v>
      </c>
      <c r="B124" t="s">
        <v>57</v>
      </c>
      <c r="C124" t="s">
        <v>58</v>
      </c>
      <c r="D124" s="2">
        <v>862128.3</v>
      </c>
      <c r="P124">
        <v>3303</v>
      </c>
      <c r="BM124" s="11">
        <f t="shared" si="15"/>
        <v>0</v>
      </c>
      <c r="BN124" s="11">
        <f t="shared" si="8"/>
        <v>0</v>
      </c>
      <c r="BO124" s="11">
        <f t="shared" si="9"/>
        <v>0</v>
      </c>
      <c r="BP124" s="11">
        <f t="shared" si="10"/>
        <v>0</v>
      </c>
      <c r="BQ124">
        <f t="shared" si="11"/>
        <v>0</v>
      </c>
      <c r="BR124">
        <f t="shared" si="12"/>
        <v>0</v>
      </c>
      <c r="BS124">
        <f t="shared" si="13"/>
        <v>0</v>
      </c>
      <c r="BT124">
        <f t="shared" si="14"/>
        <v>0</v>
      </c>
    </row>
    <row r="125" spans="1:72" x14ac:dyDescent="0.35">
      <c r="A125">
        <v>2020</v>
      </c>
      <c r="B125" t="s">
        <v>59</v>
      </c>
      <c r="C125" t="s">
        <v>60</v>
      </c>
      <c r="D125" s="2">
        <v>14492.6</v>
      </c>
      <c r="E125">
        <v>3450</v>
      </c>
      <c r="P125">
        <v>163</v>
      </c>
      <c r="AI125">
        <v>3450</v>
      </c>
      <c r="BE125">
        <v>61</v>
      </c>
      <c r="BJ125">
        <v>140</v>
      </c>
      <c r="BM125" s="11">
        <f t="shared" si="15"/>
        <v>7101</v>
      </c>
      <c r="BN125" s="11">
        <f t="shared" si="8"/>
        <v>0</v>
      </c>
      <c r="BO125" s="11">
        <f t="shared" si="9"/>
        <v>0</v>
      </c>
      <c r="BP125" s="11">
        <f t="shared" si="10"/>
        <v>0</v>
      </c>
      <c r="BQ125">
        <f t="shared" si="11"/>
        <v>0</v>
      </c>
      <c r="BR125">
        <f t="shared" si="12"/>
        <v>0</v>
      </c>
      <c r="BS125">
        <f t="shared" si="13"/>
        <v>0</v>
      </c>
      <c r="BT125">
        <f t="shared" si="14"/>
        <v>0</v>
      </c>
    </row>
    <row r="126" spans="1:72" x14ac:dyDescent="0.35">
      <c r="A126">
        <v>2020</v>
      </c>
      <c r="B126" t="s">
        <v>61</v>
      </c>
      <c r="C126" t="s">
        <v>62</v>
      </c>
      <c r="D126" s="2">
        <v>1124965.3999999999</v>
      </c>
      <c r="E126">
        <v>2573</v>
      </c>
      <c r="F126">
        <v>1655</v>
      </c>
      <c r="H126">
        <v>8831</v>
      </c>
      <c r="I126">
        <v>6324</v>
      </c>
      <c r="J126">
        <v>277</v>
      </c>
      <c r="K126">
        <v>423</v>
      </c>
      <c r="L126">
        <v>9913</v>
      </c>
      <c r="P126">
        <v>6696</v>
      </c>
      <c r="Q126">
        <v>318</v>
      </c>
      <c r="U126">
        <v>128</v>
      </c>
      <c r="X126">
        <v>73</v>
      </c>
      <c r="Z126">
        <v>169</v>
      </c>
      <c r="AB126">
        <v>301</v>
      </c>
      <c r="AC126">
        <v>2954</v>
      </c>
      <c r="AF126">
        <v>2041</v>
      </c>
      <c r="AK126">
        <v>1275</v>
      </c>
      <c r="AL126">
        <v>5049</v>
      </c>
      <c r="AO126">
        <v>1616</v>
      </c>
      <c r="AP126">
        <v>7215</v>
      </c>
      <c r="AS126">
        <v>870</v>
      </c>
      <c r="AT126">
        <v>76</v>
      </c>
      <c r="AU126">
        <v>156</v>
      </c>
      <c r="AV126">
        <v>636</v>
      </c>
      <c r="AW126">
        <v>8308</v>
      </c>
      <c r="AX126">
        <v>14416</v>
      </c>
      <c r="BB126">
        <v>2358</v>
      </c>
      <c r="BC126">
        <v>108</v>
      </c>
      <c r="BD126">
        <v>336</v>
      </c>
      <c r="BE126">
        <v>17</v>
      </c>
      <c r="BF126">
        <v>530</v>
      </c>
      <c r="BG126">
        <v>400</v>
      </c>
      <c r="BH126">
        <v>154</v>
      </c>
      <c r="BI126">
        <v>918</v>
      </c>
      <c r="BJ126">
        <v>116</v>
      </c>
      <c r="BM126" s="11">
        <f t="shared" si="15"/>
        <v>6064</v>
      </c>
      <c r="BN126" s="11">
        <f t="shared" si="8"/>
        <v>17662</v>
      </c>
      <c r="BO126" s="11">
        <f t="shared" si="9"/>
        <v>12648</v>
      </c>
      <c r="BP126" s="11">
        <f t="shared" si="10"/>
        <v>0</v>
      </c>
      <c r="BQ126">
        <f t="shared" si="11"/>
        <v>595</v>
      </c>
      <c r="BR126">
        <f t="shared" si="12"/>
        <v>2781</v>
      </c>
      <c r="BS126">
        <f t="shared" si="13"/>
        <v>870</v>
      </c>
      <c r="BT126">
        <f t="shared" si="14"/>
        <v>0</v>
      </c>
    </row>
    <row r="127" spans="1:72" x14ac:dyDescent="0.35">
      <c r="A127">
        <v>2020</v>
      </c>
      <c r="B127" t="s">
        <v>63</v>
      </c>
      <c r="C127" t="s">
        <v>64</v>
      </c>
      <c r="D127" s="2">
        <v>70199.3</v>
      </c>
      <c r="E127">
        <v>1036</v>
      </c>
      <c r="F127">
        <v>1036</v>
      </c>
      <c r="H127">
        <v>6440</v>
      </c>
      <c r="I127">
        <v>5</v>
      </c>
      <c r="J127">
        <v>138</v>
      </c>
      <c r="K127">
        <v>546</v>
      </c>
      <c r="Q127">
        <v>43</v>
      </c>
      <c r="S127">
        <v>32</v>
      </c>
      <c r="W127">
        <v>177</v>
      </c>
      <c r="X127">
        <v>28</v>
      </c>
      <c r="AD127">
        <v>3</v>
      </c>
      <c r="AE127">
        <v>99</v>
      </c>
      <c r="AF127">
        <v>99</v>
      </c>
      <c r="AL127">
        <v>5</v>
      </c>
      <c r="AO127">
        <v>44</v>
      </c>
      <c r="AP127">
        <v>6396</v>
      </c>
      <c r="AT127">
        <v>46</v>
      </c>
      <c r="AU127">
        <v>95</v>
      </c>
      <c r="AV127">
        <v>37</v>
      </c>
      <c r="AY127">
        <v>54</v>
      </c>
      <c r="BB127">
        <v>338</v>
      </c>
      <c r="BC127">
        <v>134</v>
      </c>
      <c r="BJ127">
        <v>47</v>
      </c>
      <c r="BM127" s="11">
        <f t="shared" si="15"/>
        <v>2230</v>
      </c>
      <c r="BN127" s="11">
        <f t="shared" si="8"/>
        <v>12880</v>
      </c>
      <c r="BO127" s="11">
        <f t="shared" si="9"/>
        <v>10</v>
      </c>
      <c r="BP127" s="11">
        <f t="shared" si="10"/>
        <v>0</v>
      </c>
      <c r="BQ127">
        <f t="shared" si="11"/>
        <v>181</v>
      </c>
      <c r="BR127">
        <f t="shared" si="12"/>
        <v>884</v>
      </c>
      <c r="BS127">
        <f t="shared" si="13"/>
        <v>32</v>
      </c>
      <c r="BT127">
        <f t="shared" si="14"/>
        <v>177</v>
      </c>
    </row>
    <row r="128" spans="1:72" x14ac:dyDescent="0.35">
      <c r="A128">
        <v>2020</v>
      </c>
      <c r="B128" t="s">
        <v>65</v>
      </c>
      <c r="C128" t="s">
        <v>66</v>
      </c>
      <c r="D128" s="2">
        <v>399189.9</v>
      </c>
      <c r="P128">
        <v>58567</v>
      </c>
      <c r="BM128" s="11">
        <f t="shared" si="15"/>
        <v>0</v>
      </c>
      <c r="BN128" s="11">
        <f t="shared" si="8"/>
        <v>0</v>
      </c>
      <c r="BO128" s="11">
        <f t="shared" si="9"/>
        <v>0</v>
      </c>
      <c r="BP128" s="11">
        <f t="shared" si="10"/>
        <v>0</v>
      </c>
      <c r="BQ128">
        <f t="shared" si="11"/>
        <v>0</v>
      </c>
      <c r="BR128">
        <f t="shared" si="12"/>
        <v>0</v>
      </c>
      <c r="BS128">
        <f t="shared" si="13"/>
        <v>0</v>
      </c>
      <c r="BT128">
        <f t="shared" si="14"/>
        <v>0</v>
      </c>
    </row>
    <row r="129" spans="1:72" x14ac:dyDescent="0.35">
      <c r="A129">
        <v>2020</v>
      </c>
      <c r="B129" t="s">
        <v>67</v>
      </c>
      <c r="C129" t="s">
        <v>68</v>
      </c>
      <c r="D129" s="2">
        <v>543180.80000000005</v>
      </c>
      <c r="E129">
        <v>1384</v>
      </c>
      <c r="F129">
        <v>308</v>
      </c>
      <c r="G129">
        <v>450</v>
      </c>
      <c r="H129">
        <v>3800</v>
      </c>
      <c r="I129">
        <v>2061</v>
      </c>
      <c r="J129">
        <v>134</v>
      </c>
      <c r="K129">
        <v>212</v>
      </c>
      <c r="L129">
        <v>5427</v>
      </c>
      <c r="M129">
        <v>35</v>
      </c>
      <c r="N129">
        <v>1</v>
      </c>
      <c r="O129">
        <v>19</v>
      </c>
      <c r="R129">
        <v>13</v>
      </c>
      <c r="S129">
        <v>2</v>
      </c>
      <c r="T129">
        <v>1</v>
      </c>
      <c r="U129">
        <v>60</v>
      </c>
      <c r="W129">
        <v>411</v>
      </c>
      <c r="X129">
        <v>95</v>
      </c>
      <c r="Z129">
        <v>14</v>
      </c>
      <c r="AB129">
        <v>121</v>
      </c>
      <c r="AC129">
        <v>27</v>
      </c>
      <c r="AD129">
        <v>1482</v>
      </c>
      <c r="AE129">
        <v>323</v>
      </c>
      <c r="AF129">
        <v>101</v>
      </c>
      <c r="AJ129">
        <v>72</v>
      </c>
      <c r="AK129">
        <v>92</v>
      </c>
      <c r="AL129">
        <v>1969</v>
      </c>
      <c r="AN129">
        <v>22</v>
      </c>
      <c r="AO129">
        <v>483</v>
      </c>
      <c r="AP129">
        <v>3295</v>
      </c>
      <c r="AS129">
        <v>2</v>
      </c>
      <c r="AT129">
        <v>106</v>
      </c>
      <c r="AY129">
        <v>662</v>
      </c>
      <c r="BB129">
        <v>48</v>
      </c>
      <c r="BC129">
        <v>1</v>
      </c>
      <c r="BD129">
        <v>97</v>
      </c>
      <c r="BE129">
        <v>38</v>
      </c>
      <c r="BF129">
        <v>2</v>
      </c>
      <c r="BH129">
        <v>491</v>
      </c>
      <c r="BI129">
        <v>1076</v>
      </c>
      <c r="BJ129">
        <v>149</v>
      </c>
      <c r="BM129" s="11">
        <f t="shared" si="15"/>
        <v>3606</v>
      </c>
      <c r="BN129" s="11">
        <f t="shared" si="8"/>
        <v>7600</v>
      </c>
      <c r="BO129" s="11">
        <f t="shared" si="9"/>
        <v>4122</v>
      </c>
      <c r="BP129" s="11">
        <f t="shared" si="10"/>
        <v>0</v>
      </c>
      <c r="BQ129">
        <f t="shared" si="11"/>
        <v>134</v>
      </c>
      <c r="BR129">
        <f t="shared" si="12"/>
        <v>260</v>
      </c>
      <c r="BS129">
        <f t="shared" si="13"/>
        <v>4</v>
      </c>
      <c r="BT129">
        <f t="shared" si="14"/>
        <v>411</v>
      </c>
    </row>
    <row r="130" spans="1:72" x14ac:dyDescent="0.35">
      <c r="A130">
        <v>2020</v>
      </c>
      <c r="B130" t="s">
        <v>69</v>
      </c>
      <c r="C130" t="s">
        <v>70</v>
      </c>
      <c r="D130" s="2">
        <v>1773.9</v>
      </c>
      <c r="BM130" s="11">
        <f t="shared" si="15"/>
        <v>0</v>
      </c>
      <c r="BN130" s="11">
        <f t="shared" si="8"/>
        <v>0</v>
      </c>
      <c r="BO130" s="11">
        <f t="shared" si="9"/>
        <v>0</v>
      </c>
      <c r="BP130" s="11">
        <f t="shared" si="10"/>
        <v>0</v>
      </c>
      <c r="BQ130">
        <f t="shared" si="11"/>
        <v>0</v>
      </c>
      <c r="BR130">
        <f t="shared" si="12"/>
        <v>0</v>
      </c>
      <c r="BS130">
        <f t="shared" si="13"/>
        <v>0</v>
      </c>
      <c r="BT130">
        <f t="shared" si="14"/>
        <v>0</v>
      </c>
    </row>
    <row r="131" spans="1:72" x14ac:dyDescent="0.35">
      <c r="A131">
        <v>2020</v>
      </c>
      <c r="B131" t="s">
        <v>71</v>
      </c>
      <c r="C131" t="s">
        <v>72</v>
      </c>
      <c r="D131" s="2">
        <v>256574.4</v>
      </c>
      <c r="E131">
        <v>576</v>
      </c>
      <c r="F131">
        <v>515</v>
      </c>
      <c r="H131">
        <v>1040</v>
      </c>
      <c r="I131">
        <v>639</v>
      </c>
      <c r="J131">
        <v>15</v>
      </c>
      <c r="K131">
        <v>193</v>
      </c>
      <c r="O131">
        <v>22</v>
      </c>
      <c r="P131">
        <v>13966</v>
      </c>
      <c r="Q131">
        <v>66</v>
      </c>
      <c r="R131">
        <v>530</v>
      </c>
      <c r="V131">
        <v>17</v>
      </c>
      <c r="W131">
        <v>219</v>
      </c>
      <c r="AC131">
        <v>487</v>
      </c>
      <c r="AF131">
        <v>114</v>
      </c>
      <c r="AK131">
        <v>109</v>
      </c>
      <c r="AL131">
        <v>530</v>
      </c>
      <c r="AP131">
        <v>1040</v>
      </c>
      <c r="AS131">
        <v>57</v>
      </c>
      <c r="AU131">
        <v>1</v>
      </c>
      <c r="AY131">
        <v>650</v>
      </c>
      <c r="AZ131">
        <v>2251</v>
      </c>
      <c r="BB131">
        <v>332</v>
      </c>
      <c r="BC131">
        <v>6</v>
      </c>
      <c r="BI131">
        <v>61</v>
      </c>
      <c r="BM131" s="11">
        <f t="shared" si="15"/>
        <v>1152</v>
      </c>
      <c r="BN131" s="11">
        <f t="shared" ref="BN131:BN194" si="16">H131+AP131+AO131+AN131+AQ131+AR131</f>
        <v>2080</v>
      </c>
      <c r="BO131" s="11">
        <f t="shared" ref="BO131:BO194" si="17">I131+AK131+AL131+AM131</f>
        <v>1278</v>
      </c>
      <c r="BP131" s="11">
        <f t="shared" ref="BP131:BP194" si="18">AZ131+Y131+AA131+BA131</f>
        <v>2251</v>
      </c>
      <c r="BQ131">
        <f t="shared" ref="BQ131:BQ194" si="19">J131+Q131</f>
        <v>81</v>
      </c>
      <c r="BR131">
        <f t="shared" ref="BR131:BR194" si="20">K131+BB131</f>
        <v>525</v>
      </c>
      <c r="BS131">
        <f t="shared" ref="BS131:BS194" si="21">S131+AS131</f>
        <v>57</v>
      </c>
      <c r="BT131">
        <f t="shared" ref="BT131:BT194" si="22">V131+W131</f>
        <v>236</v>
      </c>
    </row>
    <row r="132" spans="1:72" x14ac:dyDescent="0.35">
      <c r="A132">
        <v>2020</v>
      </c>
      <c r="B132" t="s">
        <v>73</v>
      </c>
      <c r="C132" t="s">
        <v>74</v>
      </c>
      <c r="D132" s="2">
        <v>1247502</v>
      </c>
      <c r="H132">
        <v>61028</v>
      </c>
      <c r="AN132">
        <v>61028</v>
      </c>
      <c r="BM132" s="11">
        <f t="shared" ref="BM132:BM195" si="23">E132+F132+BI132+X132+AT132+BE132+G132+BJ132+AV132+AI132</f>
        <v>0</v>
      </c>
      <c r="BN132" s="11">
        <f t="shared" si="16"/>
        <v>122056</v>
      </c>
      <c r="BO132" s="11">
        <f t="shared" si="17"/>
        <v>0</v>
      </c>
      <c r="BP132" s="11">
        <f t="shared" si="18"/>
        <v>0</v>
      </c>
      <c r="BQ132">
        <f t="shared" si="19"/>
        <v>0</v>
      </c>
      <c r="BR132">
        <f t="shared" si="20"/>
        <v>0</v>
      </c>
      <c r="BS132">
        <f t="shared" si="21"/>
        <v>0</v>
      </c>
      <c r="BT132">
        <f t="shared" si="22"/>
        <v>0</v>
      </c>
    </row>
    <row r="133" spans="1:72" x14ac:dyDescent="0.35">
      <c r="A133">
        <v>2020</v>
      </c>
      <c r="B133" t="s">
        <v>75</v>
      </c>
      <c r="C133" t="s">
        <v>76</v>
      </c>
      <c r="D133" s="2">
        <v>301708.79999999999</v>
      </c>
      <c r="E133">
        <v>456</v>
      </c>
      <c r="F133">
        <v>383</v>
      </c>
      <c r="G133">
        <v>13</v>
      </c>
      <c r="H133">
        <v>4530</v>
      </c>
      <c r="I133">
        <v>3020</v>
      </c>
      <c r="J133">
        <v>28</v>
      </c>
      <c r="K133">
        <v>139</v>
      </c>
      <c r="O133">
        <v>7</v>
      </c>
      <c r="P133">
        <v>2826</v>
      </c>
      <c r="Q133">
        <v>128</v>
      </c>
      <c r="T133">
        <v>10</v>
      </c>
      <c r="W133">
        <v>10</v>
      </c>
      <c r="X133">
        <v>11</v>
      </c>
      <c r="AB133">
        <v>16</v>
      </c>
      <c r="AF133">
        <v>635</v>
      </c>
      <c r="AH133">
        <v>1006</v>
      </c>
      <c r="AK133">
        <v>2564</v>
      </c>
      <c r="AL133">
        <v>456</v>
      </c>
      <c r="AO133">
        <v>3934</v>
      </c>
      <c r="AP133">
        <v>596</v>
      </c>
      <c r="AS133">
        <v>197</v>
      </c>
      <c r="AT133">
        <v>12</v>
      </c>
      <c r="AU133">
        <v>24</v>
      </c>
      <c r="AV133">
        <v>26</v>
      </c>
      <c r="AY133">
        <v>623</v>
      </c>
      <c r="BB133">
        <v>291</v>
      </c>
      <c r="BD133">
        <v>17</v>
      </c>
      <c r="BE133">
        <v>3</v>
      </c>
      <c r="BI133">
        <v>73</v>
      </c>
      <c r="BJ133">
        <v>18</v>
      </c>
      <c r="BM133" s="11">
        <f t="shared" si="23"/>
        <v>995</v>
      </c>
      <c r="BN133" s="11">
        <f t="shared" si="16"/>
        <v>9060</v>
      </c>
      <c r="BO133" s="11">
        <f t="shared" si="17"/>
        <v>6040</v>
      </c>
      <c r="BP133" s="11">
        <f t="shared" si="18"/>
        <v>0</v>
      </c>
      <c r="BQ133">
        <f t="shared" si="19"/>
        <v>156</v>
      </c>
      <c r="BR133">
        <f t="shared" si="20"/>
        <v>430</v>
      </c>
      <c r="BS133">
        <f t="shared" si="21"/>
        <v>197</v>
      </c>
      <c r="BT133">
        <f t="shared" si="22"/>
        <v>10</v>
      </c>
    </row>
    <row r="134" spans="1:72" x14ac:dyDescent="0.35">
      <c r="A134">
        <v>2020</v>
      </c>
      <c r="B134" t="s">
        <v>77</v>
      </c>
      <c r="C134" t="s">
        <v>78</v>
      </c>
      <c r="D134" s="2">
        <v>177536.2</v>
      </c>
      <c r="BM134" s="11">
        <f t="shared" si="23"/>
        <v>0</v>
      </c>
      <c r="BN134" s="11">
        <f t="shared" si="16"/>
        <v>0</v>
      </c>
      <c r="BO134" s="11">
        <f t="shared" si="17"/>
        <v>0</v>
      </c>
      <c r="BP134" s="11">
        <f t="shared" si="18"/>
        <v>0</v>
      </c>
      <c r="BQ134">
        <f t="shared" si="19"/>
        <v>0</v>
      </c>
      <c r="BR134">
        <f t="shared" si="20"/>
        <v>0</v>
      </c>
      <c r="BS134">
        <f t="shared" si="21"/>
        <v>0</v>
      </c>
      <c r="BT134">
        <f t="shared" si="22"/>
        <v>0</v>
      </c>
    </row>
    <row r="135" spans="1:72" x14ac:dyDescent="0.35">
      <c r="A135">
        <v>2020</v>
      </c>
      <c r="B135" t="s">
        <v>79</v>
      </c>
      <c r="C135" t="s">
        <v>80</v>
      </c>
      <c r="D135" s="2">
        <v>1076476.3999999999</v>
      </c>
      <c r="E135">
        <v>835</v>
      </c>
      <c r="P135">
        <v>21429</v>
      </c>
      <c r="AI135">
        <v>835</v>
      </c>
      <c r="BM135" s="11">
        <f t="shared" si="23"/>
        <v>1670</v>
      </c>
      <c r="BN135" s="11">
        <f t="shared" si="16"/>
        <v>0</v>
      </c>
      <c r="BO135" s="11">
        <f t="shared" si="17"/>
        <v>0</v>
      </c>
      <c r="BP135" s="11">
        <f t="shared" si="18"/>
        <v>0</v>
      </c>
      <c r="BQ135">
        <f t="shared" si="19"/>
        <v>0</v>
      </c>
      <c r="BR135">
        <f t="shared" si="20"/>
        <v>0</v>
      </c>
      <c r="BS135">
        <f t="shared" si="21"/>
        <v>0</v>
      </c>
      <c r="BT135">
        <f t="shared" si="22"/>
        <v>0</v>
      </c>
    </row>
    <row r="136" spans="1:72" x14ac:dyDescent="0.35">
      <c r="A136">
        <v>2020</v>
      </c>
      <c r="B136" t="s">
        <v>81</v>
      </c>
      <c r="C136" t="s">
        <v>82</v>
      </c>
      <c r="D136" s="2">
        <v>1634390</v>
      </c>
      <c r="E136">
        <v>7031</v>
      </c>
      <c r="H136">
        <v>51327</v>
      </c>
      <c r="I136">
        <v>23546</v>
      </c>
      <c r="J136">
        <v>255</v>
      </c>
      <c r="K136">
        <v>1717</v>
      </c>
      <c r="AI136">
        <v>7031</v>
      </c>
      <c r="AM136">
        <v>23546</v>
      </c>
      <c r="AN136">
        <v>51327</v>
      </c>
      <c r="BM136" s="11">
        <f t="shared" si="23"/>
        <v>14062</v>
      </c>
      <c r="BN136" s="11">
        <f t="shared" si="16"/>
        <v>102654</v>
      </c>
      <c r="BO136" s="11">
        <f t="shared" si="17"/>
        <v>47092</v>
      </c>
      <c r="BP136" s="11">
        <f t="shared" si="18"/>
        <v>0</v>
      </c>
      <c r="BQ136">
        <f t="shared" si="19"/>
        <v>255</v>
      </c>
      <c r="BR136">
        <f t="shared" si="20"/>
        <v>1717</v>
      </c>
      <c r="BS136">
        <f t="shared" si="21"/>
        <v>0</v>
      </c>
      <c r="BT136">
        <f t="shared" si="22"/>
        <v>0</v>
      </c>
    </row>
    <row r="137" spans="1:72" x14ac:dyDescent="0.35">
      <c r="A137">
        <v>2020</v>
      </c>
      <c r="B137" t="s">
        <v>83</v>
      </c>
      <c r="C137" t="s">
        <v>84</v>
      </c>
      <c r="D137" s="2">
        <v>652088.9</v>
      </c>
      <c r="E137">
        <v>4818</v>
      </c>
      <c r="H137">
        <v>27674</v>
      </c>
      <c r="I137">
        <v>3312</v>
      </c>
      <c r="J137">
        <v>205</v>
      </c>
      <c r="K137">
        <v>1082</v>
      </c>
      <c r="P137">
        <v>41669</v>
      </c>
      <c r="Q137">
        <v>453</v>
      </c>
      <c r="W137">
        <v>3830</v>
      </c>
      <c r="AB137">
        <v>1075</v>
      </c>
      <c r="AE137">
        <v>2506</v>
      </c>
      <c r="AF137">
        <v>19</v>
      </c>
      <c r="AI137">
        <v>4818</v>
      </c>
      <c r="AL137">
        <v>3312</v>
      </c>
      <c r="AP137">
        <v>27674</v>
      </c>
      <c r="AY137">
        <v>5544</v>
      </c>
      <c r="BB137">
        <v>1544</v>
      </c>
      <c r="BC137">
        <v>1036</v>
      </c>
      <c r="BM137" s="11">
        <f t="shared" si="23"/>
        <v>9636</v>
      </c>
      <c r="BN137" s="11">
        <f t="shared" si="16"/>
        <v>55348</v>
      </c>
      <c r="BO137" s="11">
        <f t="shared" si="17"/>
        <v>6624</v>
      </c>
      <c r="BP137" s="11">
        <f t="shared" si="18"/>
        <v>0</v>
      </c>
      <c r="BQ137">
        <f t="shared" si="19"/>
        <v>658</v>
      </c>
      <c r="BR137">
        <f t="shared" si="20"/>
        <v>2626</v>
      </c>
      <c r="BS137">
        <f t="shared" si="21"/>
        <v>0</v>
      </c>
      <c r="BT137">
        <f t="shared" si="22"/>
        <v>3830</v>
      </c>
    </row>
    <row r="138" spans="1:72" x14ac:dyDescent="0.35">
      <c r="A138">
        <v>2020</v>
      </c>
      <c r="B138" t="s">
        <v>85</v>
      </c>
      <c r="C138" t="s">
        <v>86</v>
      </c>
      <c r="D138" s="2">
        <v>485539.3</v>
      </c>
      <c r="E138">
        <v>2957</v>
      </c>
      <c r="H138">
        <v>22499</v>
      </c>
      <c r="I138">
        <v>9293</v>
      </c>
      <c r="J138">
        <v>234</v>
      </c>
      <c r="K138">
        <v>1600</v>
      </c>
      <c r="AI138">
        <v>2957</v>
      </c>
      <c r="AM138">
        <v>9293</v>
      </c>
      <c r="AN138">
        <v>22499</v>
      </c>
      <c r="BM138" s="11">
        <f t="shared" si="23"/>
        <v>5914</v>
      </c>
      <c r="BN138" s="11">
        <f t="shared" si="16"/>
        <v>44998</v>
      </c>
      <c r="BO138" s="11">
        <f t="shared" si="17"/>
        <v>18586</v>
      </c>
      <c r="BP138" s="11">
        <f t="shared" si="18"/>
        <v>0</v>
      </c>
      <c r="BQ138">
        <f t="shared" si="19"/>
        <v>234</v>
      </c>
      <c r="BR138">
        <f t="shared" si="20"/>
        <v>1600</v>
      </c>
      <c r="BS138">
        <f t="shared" si="21"/>
        <v>0</v>
      </c>
      <c r="BT138">
        <f t="shared" si="22"/>
        <v>0</v>
      </c>
    </row>
    <row r="139" spans="1:72" x14ac:dyDescent="0.35">
      <c r="A139">
        <v>2020</v>
      </c>
      <c r="B139" t="s">
        <v>87</v>
      </c>
      <c r="C139" t="s">
        <v>88</v>
      </c>
      <c r="D139" s="2">
        <v>102444.9</v>
      </c>
      <c r="E139">
        <v>291</v>
      </c>
      <c r="P139">
        <v>6000</v>
      </c>
      <c r="AI139">
        <v>291</v>
      </c>
      <c r="BE139">
        <v>34</v>
      </c>
      <c r="BJ139">
        <v>46</v>
      </c>
      <c r="BM139" s="11">
        <f t="shared" si="23"/>
        <v>662</v>
      </c>
      <c r="BN139" s="11">
        <f t="shared" si="16"/>
        <v>0</v>
      </c>
      <c r="BO139" s="11">
        <f t="shared" si="17"/>
        <v>0</v>
      </c>
      <c r="BP139" s="11">
        <f t="shared" si="18"/>
        <v>0</v>
      </c>
      <c r="BQ139">
        <f t="shared" si="19"/>
        <v>0</v>
      </c>
      <c r="BR139">
        <f t="shared" si="20"/>
        <v>0</v>
      </c>
      <c r="BS139">
        <f t="shared" si="21"/>
        <v>0</v>
      </c>
      <c r="BT139">
        <f t="shared" si="22"/>
        <v>0</v>
      </c>
    </row>
    <row r="140" spans="1:72" x14ac:dyDescent="0.35">
      <c r="A140">
        <v>2020</v>
      </c>
      <c r="B140" t="s">
        <v>89</v>
      </c>
      <c r="C140" t="s">
        <v>90</v>
      </c>
      <c r="D140" s="2">
        <v>269323.40000000002</v>
      </c>
      <c r="E140">
        <v>685</v>
      </c>
      <c r="F140">
        <v>354</v>
      </c>
      <c r="H140">
        <v>2455</v>
      </c>
      <c r="I140">
        <v>1743</v>
      </c>
      <c r="K140">
        <v>232</v>
      </c>
      <c r="L140">
        <v>1411</v>
      </c>
      <c r="N140">
        <v>83</v>
      </c>
      <c r="O140">
        <v>20</v>
      </c>
      <c r="P140">
        <v>7386</v>
      </c>
      <c r="R140">
        <v>2</v>
      </c>
      <c r="S140">
        <v>1</v>
      </c>
      <c r="T140">
        <v>2</v>
      </c>
      <c r="U140">
        <v>20</v>
      </c>
      <c r="V140">
        <v>50</v>
      </c>
      <c r="W140">
        <v>379</v>
      </c>
      <c r="X140">
        <v>45</v>
      </c>
      <c r="Y140">
        <v>4622</v>
      </c>
      <c r="AB140">
        <v>280</v>
      </c>
      <c r="AD140">
        <v>997</v>
      </c>
      <c r="AE140">
        <v>338</v>
      </c>
      <c r="AF140">
        <v>589</v>
      </c>
      <c r="AG140">
        <v>6</v>
      </c>
      <c r="AJ140">
        <v>14</v>
      </c>
      <c r="AK140">
        <v>809</v>
      </c>
      <c r="AL140">
        <v>934</v>
      </c>
      <c r="AO140">
        <v>902</v>
      </c>
      <c r="AP140">
        <v>1553</v>
      </c>
      <c r="AS140">
        <v>7</v>
      </c>
      <c r="AT140">
        <v>61</v>
      </c>
      <c r="AU140">
        <v>3</v>
      </c>
      <c r="AV140">
        <v>61</v>
      </c>
      <c r="AW140">
        <v>2137</v>
      </c>
      <c r="AX140">
        <v>1371</v>
      </c>
      <c r="BB140">
        <v>49</v>
      </c>
      <c r="BC140">
        <v>230</v>
      </c>
      <c r="BE140">
        <v>6</v>
      </c>
      <c r="BF140">
        <v>65</v>
      </c>
      <c r="BG140">
        <v>45</v>
      </c>
      <c r="BH140">
        <v>21</v>
      </c>
      <c r="BI140">
        <v>331</v>
      </c>
      <c r="BJ140">
        <v>76</v>
      </c>
      <c r="BM140" s="11">
        <f t="shared" si="23"/>
        <v>1619</v>
      </c>
      <c r="BN140" s="11">
        <f t="shared" si="16"/>
        <v>4910</v>
      </c>
      <c r="BO140" s="11">
        <f t="shared" si="17"/>
        <v>3486</v>
      </c>
      <c r="BP140" s="11">
        <f t="shared" si="18"/>
        <v>4622</v>
      </c>
      <c r="BQ140">
        <f t="shared" si="19"/>
        <v>0</v>
      </c>
      <c r="BR140">
        <f t="shared" si="20"/>
        <v>281</v>
      </c>
      <c r="BS140">
        <f t="shared" si="21"/>
        <v>8</v>
      </c>
      <c r="BT140">
        <f t="shared" si="22"/>
        <v>429</v>
      </c>
    </row>
    <row r="141" spans="1:72" x14ac:dyDescent="0.35">
      <c r="A141">
        <v>2020</v>
      </c>
      <c r="B141" t="s">
        <v>91</v>
      </c>
      <c r="C141" t="s">
        <v>92</v>
      </c>
      <c r="D141" s="2">
        <v>23981</v>
      </c>
      <c r="E141">
        <v>354</v>
      </c>
      <c r="F141">
        <v>241</v>
      </c>
      <c r="H141">
        <v>683</v>
      </c>
      <c r="I141">
        <v>586</v>
      </c>
      <c r="J141">
        <v>32</v>
      </c>
      <c r="K141">
        <v>35</v>
      </c>
      <c r="AB141">
        <v>25</v>
      </c>
      <c r="AE141">
        <v>16</v>
      </c>
      <c r="AL141">
        <v>586</v>
      </c>
      <c r="AP141">
        <v>683</v>
      </c>
      <c r="BB141">
        <v>71</v>
      </c>
      <c r="BI141">
        <v>113</v>
      </c>
      <c r="BM141" s="11">
        <f t="shared" si="23"/>
        <v>708</v>
      </c>
      <c r="BN141" s="11">
        <f t="shared" si="16"/>
        <v>1366</v>
      </c>
      <c r="BO141" s="11">
        <f t="shared" si="17"/>
        <v>1172</v>
      </c>
      <c r="BP141" s="11">
        <f t="shared" si="18"/>
        <v>0</v>
      </c>
      <c r="BQ141">
        <f t="shared" si="19"/>
        <v>32</v>
      </c>
      <c r="BR141">
        <f t="shared" si="20"/>
        <v>106</v>
      </c>
      <c r="BS141">
        <f t="shared" si="21"/>
        <v>0</v>
      </c>
      <c r="BT141">
        <f t="shared" si="22"/>
        <v>0</v>
      </c>
    </row>
    <row r="142" spans="1:72" x14ac:dyDescent="0.35">
      <c r="A142">
        <v>2020</v>
      </c>
      <c r="B142" t="s">
        <v>93</v>
      </c>
      <c r="C142" t="s">
        <v>94</v>
      </c>
      <c r="D142" s="2">
        <v>2235369.7000000002</v>
      </c>
      <c r="BM142" s="11">
        <f t="shared" si="23"/>
        <v>0</v>
      </c>
      <c r="BN142" s="11">
        <f t="shared" si="16"/>
        <v>0</v>
      </c>
      <c r="BO142" s="11">
        <f t="shared" si="17"/>
        <v>0</v>
      </c>
      <c r="BP142" s="11">
        <f t="shared" si="18"/>
        <v>0</v>
      </c>
      <c r="BQ142">
        <f t="shared" si="19"/>
        <v>0</v>
      </c>
      <c r="BR142">
        <f t="shared" si="20"/>
        <v>0</v>
      </c>
      <c r="BS142">
        <f t="shared" si="21"/>
        <v>0</v>
      </c>
      <c r="BT142">
        <f t="shared" si="22"/>
        <v>0</v>
      </c>
    </row>
    <row r="143" spans="1:72" x14ac:dyDescent="0.35">
      <c r="A143">
        <v>2019</v>
      </c>
      <c r="B143" t="s">
        <v>1</v>
      </c>
      <c r="C143" t="s">
        <v>2</v>
      </c>
      <c r="D143" s="2">
        <v>752782.1</v>
      </c>
      <c r="E143">
        <v>1910</v>
      </c>
      <c r="F143">
        <v>1026</v>
      </c>
      <c r="G143">
        <v>693</v>
      </c>
      <c r="H143">
        <v>11364</v>
      </c>
      <c r="I143">
        <v>7477</v>
      </c>
      <c r="J143">
        <v>52</v>
      </c>
      <c r="K143">
        <v>313</v>
      </c>
      <c r="L143">
        <v>811</v>
      </c>
      <c r="M143">
        <v>200</v>
      </c>
      <c r="O143">
        <v>7</v>
      </c>
      <c r="P143">
        <v>2979</v>
      </c>
      <c r="Q143">
        <v>143</v>
      </c>
      <c r="U143">
        <v>6</v>
      </c>
      <c r="V143">
        <v>1348</v>
      </c>
      <c r="W143">
        <v>222</v>
      </c>
      <c r="X143">
        <v>90</v>
      </c>
      <c r="Z143">
        <v>174</v>
      </c>
      <c r="AB143">
        <v>191</v>
      </c>
      <c r="AF143">
        <v>800</v>
      </c>
      <c r="AG143">
        <v>143</v>
      </c>
      <c r="AJ143">
        <v>15</v>
      </c>
      <c r="AK143">
        <v>3057</v>
      </c>
      <c r="AL143">
        <v>4420</v>
      </c>
      <c r="AO143">
        <v>1893</v>
      </c>
      <c r="AP143">
        <v>9471</v>
      </c>
      <c r="AQ143">
        <v>0</v>
      </c>
      <c r="AR143">
        <v>0</v>
      </c>
      <c r="AS143">
        <v>21</v>
      </c>
      <c r="AT143">
        <v>106</v>
      </c>
      <c r="AV143">
        <v>580</v>
      </c>
      <c r="AW143">
        <v>22</v>
      </c>
      <c r="AX143">
        <v>2079</v>
      </c>
      <c r="BB143">
        <v>192</v>
      </c>
      <c r="BE143">
        <v>9</v>
      </c>
      <c r="BF143">
        <v>8</v>
      </c>
      <c r="BG143">
        <v>6</v>
      </c>
      <c r="BH143">
        <v>28</v>
      </c>
      <c r="BI143">
        <v>884</v>
      </c>
      <c r="BJ143">
        <v>99</v>
      </c>
      <c r="BK143">
        <v>335</v>
      </c>
      <c r="BL143" s="10">
        <v>1</v>
      </c>
      <c r="BM143" s="11">
        <f t="shared" si="23"/>
        <v>5397</v>
      </c>
      <c r="BN143" s="11">
        <f t="shared" si="16"/>
        <v>22728</v>
      </c>
      <c r="BO143" s="11">
        <f t="shared" si="17"/>
        <v>14954</v>
      </c>
      <c r="BP143" s="11">
        <f t="shared" si="18"/>
        <v>0</v>
      </c>
      <c r="BQ143">
        <f t="shared" si="19"/>
        <v>195</v>
      </c>
      <c r="BR143">
        <f t="shared" si="20"/>
        <v>505</v>
      </c>
      <c r="BS143">
        <f t="shared" si="21"/>
        <v>21</v>
      </c>
      <c r="BT143">
        <f t="shared" si="22"/>
        <v>1570</v>
      </c>
    </row>
    <row r="144" spans="1:72" x14ac:dyDescent="0.35">
      <c r="A144">
        <v>2019</v>
      </c>
      <c r="B144" t="s">
        <v>3</v>
      </c>
      <c r="C144" t="s">
        <v>4</v>
      </c>
      <c r="D144" s="2">
        <v>209572.8</v>
      </c>
      <c r="BM144" s="11">
        <f t="shared" si="23"/>
        <v>0</v>
      </c>
      <c r="BN144" s="11">
        <f t="shared" si="16"/>
        <v>0</v>
      </c>
      <c r="BO144" s="11">
        <f t="shared" si="17"/>
        <v>0</v>
      </c>
      <c r="BP144" s="11">
        <f t="shared" si="18"/>
        <v>0</v>
      </c>
      <c r="BQ144">
        <f t="shared" si="19"/>
        <v>0</v>
      </c>
      <c r="BR144">
        <f t="shared" si="20"/>
        <v>0</v>
      </c>
      <c r="BS144">
        <f t="shared" si="21"/>
        <v>0</v>
      </c>
      <c r="BT144">
        <f t="shared" si="22"/>
        <v>0</v>
      </c>
    </row>
    <row r="145" spans="1:72" x14ac:dyDescent="0.35">
      <c r="A145">
        <v>2019</v>
      </c>
      <c r="B145" t="s">
        <v>5</v>
      </c>
      <c r="C145" t="s">
        <v>6</v>
      </c>
      <c r="D145" s="2">
        <v>6338.5</v>
      </c>
      <c r="E145">
        <v>105</v>
      </c>
      <c r="H145">
        <v>440</v>
      </c>
      <c r="I145">
        <v>22</v>
      </c>
      <c r="J145">
        <v>6</v>
      </c>
      <c r="K145">
        <v>37</v>
      </c>
      <c r="AI145">
        <v>105</v>
      </c>
      <c r="AM145">
        <v>22</v>
      </c>
      <c r="AN145">
        <v>440</v>
      </c>
      <c r="BE145">
        <v>1</v>
      </c>
      <c r="BJ145">
        <v>2</v>
      </c>
      <c r="BM145" s="11">
        <f t="shared" si="23"/>
        <v>213</v>
      </c>
      <c r="BN145" s="11">
        <f t="shared" si="16"/>
        <v>880</v>
      </c>
      <c r="BO145" s="11">
        <f t="shared" si="17"/>
        <v>44</v>
      </c>
      <c r="BP145" s="11">
        <f t="shared" si="18"/>
        <v>0</v>
      </c>
      <c r="BQ145">
        <f t="shared" si="19"/>
        <v>6</v>
      </c>
      <c r="BR145">
        <f t="shared" si="20"/>
        <v>37</v>
      </c>
      <c r="BS145">
        <f t="shared" si="21"/>
        <v>0</v>
      </c>
      <c r="BT145">
        <f t="shared" si="22"/>
        <v>0</v>
      </c>
    </row>
    <row r="146" spans="1:72" x14ac:dyDescent="0.35">
      <c r="A146">
        <v>2019</v>
      </c>
      <c r="B146" t="s">
        <v>7</v>
      </c>
      <c r="C146" t="s">
        <v>8</v>
      </c>
      <c r="D146" s="2">
        <v>3709546.6</v>
      </c>
      <c r="E146">
        <v>15016</v>
      </c>
      <c r="F146">
        <v>15016</v>
      </c>
      <c r="H146">
        <v>93964</v>
      </c>
      <c r="I146">
        <v>3149</v>
      </c>
      <c r="J146">
        <v>422</v>
      </c>
      <c r="K146">
        <v>584</v>
      </c>
      <c r="L146">
        <v>75871</v>
      </c>
      <c r="W146">
        <v>166</v>
      </c>
      <c r="AC146">
        <v>3342</v>
      </c>
      <c r="AL146">
        <v>3149</v>
      </c>
      <c r="AP146">
        <v>93964</v>
      </c>
      <c r="AS146">
        <v>668</v>
      </c>
      <c r="AW146">
        <v>1939</v>
      </c>
      <c r="BB146">
        <v>188</v>
      </c>
      <c r="BC146">
        <v>496</v>
      </c>
      <c r="BM146" s="11">
        <f t="shared" si="23"/>
        <v>30032</v>
      </c>
      <c r="BN146" s="11">
        <f t="shared" si="16"/>
        <v>187928</v>
      </c>
      <c r="BO146" s="11">
        <f t="shared" si="17"/>
        <v>6298</v>
      </c>
      <c r="BP146" s="11">
        <f t="shared" si="18"/>
        <v>0</v>
      </c>
      <c r="BQ146">
        <f t="shared" si="19"/>
        <v>422</v>
      </c>
      <c r="BR146">
        <f t="shared" si="20"/>
        <v>772</v>
      </c>
      <c r="BS146">
        <f t="shared" si="21"/>
        <v>668</v>
      </c>
      <c r="BT146">
        <f t="shared" si="22"/>
        <v>166</v>
      </c>
    </row>
    <row r="147" spans="1:72" x14ac:dyDescent="0.35">
      <c r="A147">
        <v>2019</v>
      </c>
      <c r="B147" t="s">
        <v>9</v>
      </c>
      <c r="C147" t="s">
        <v>10</v>
      </c>
      <c r="D147" s="2">
        <v>3717724.4</v>
      </c>
      <c r="E147">
        <v>5867</v>
      </c>
      <c r="F147">
        <v>5867</v>
      </c>
      <c r="J147">
        <v>52</v>
      </c>
      <c r="BM147" s="11">
        <f t="shared" si="23"/>
        <v>11734</v>
      </c>
      <c r="BN147" s="11">
        <f t="shared" si="16"/>
        <v>0</v>
      </c>
      <c r="BO147" s="11">
        <f t="shared" si="17"/>
        <v>0</v>
      </c>
      <c r="BP147" s="11">
        <f t="shared" si="18"/>
        <v>0</v>
      </c>
      <c r="BQ147">
        <f t="shared" si="19"/>
        <v>52</v>
      </c>
      <c r="BR147">
        <f t="shared" si="20"/>
        <v>0</v>
      </c>
      <c r="BS147">
        <f t="shared" si="21"/>
        <v>0</v>
      </c>
      <c r="BT147">
        <f t="shared" si="22"/>
        <v>0</v>
      </c>
    </row>
    <row r="148" spans="1:72" x14ac:dyDescent="0.35">
      <c r="A148">
        <v>2019</v>
      </c>
      <c r="B148" t="s">
        <v>11</v>
      </c>
      <c r="C148" t="s">
        <v>12</v>
      </c>
      <c r="D148" s="2">
        <v>7409670.9000000004</v>
      </c>
      <c r="E148">
        <v>74543</v>
      </c>
      <c r="H148">
        <v>180709</v>
      </c>
      <c r="I148">
        <v>120870</v>
      </c>
      <c r="J148">
        <v>4358</v>
      </c>
      <c r="K148">
        <v>24668</v>
      </c>
      <c r="N148">
        <v>79</v>
      </c>
      <c r="P148">
        <v>116454</v>
      </c>
      <c r="Q148">
        <v>6165</v>
      </c>
      <c r="T148">
        <v>942</v>
      </c>
      <c r="W148">
        <v>14743</v>
      </c>
      <c r="X148">
        <v>1031</v>
      </c>
      <c r="Z148">
        <v>7146</v>
      </c>
      <c r="AB148">
        <v>369</v>
      </c>
      <c r="AE148">
        <v>29803</v>
      </c>
      <c r="AF148">
        <v>26677</v>
      </c>
      <c r="AG148">
        <v>7</v>
      </c>
      <c r="AH148">
        <v>27247</v>
      </c>
      <c r="AI148">
        <v>74543</v>
      </c>
      <c r="AL148">
        <v>120870</v>
      </c>
      <c r="AP148">
        <v>180709</v>
      </c>
      <c r="AT148">
        <v>1238</v>
      </c>
      <c r="AU148">
        <v>4429</v>
      </c>
      <c r="AV148">
        <v>5698</v>
      </c>
      <c r="BB148">
        <v>5793</v>
      </c>
      <c r="BC148">
        <v>4971</v>
      </c>
      <c r="BD148">
        <v>118</v>
      </c>
      <c r="BE148">
        <v>267</v>
      </c>
      <c r="BF148">
        <v>267</v>
      </c>
      <c r="BJ148">
        <v>2368</v>
      </c>
      <c r="BL148" s="10">
        <v>32</v>
      </c>
      <c r="BM148" s="11">
        <f t="shared" si="23"/>
        <v>159688</v>
      </c>
      <c r="BN148" s="11">
        <f t="shared" si="16"/>
        <v>361418</v>
      </c>
      <c r="BO148" s="11">
        <f t="shared" si="17"/>
        <v>241740</v>
      </c>
      <c r="BP148" s="11">
        <f t="shared" si="18"/>
        <v>0</v>
      </c>
      <c r="BQ148">
        <f t="shared" si="19"/>
        <v>10523</v>
      </c>
      <c r="BR148">
        <f t="shared" si="20"/>
        <v>30461</v>
      </c>
      <c r="BS148">
        <f t="shared" si="21"/>
        <v>0</v>
      </c>
      <c r="BT148">
        <f t="shared" si="22"/>
        <v>14743</v>
      </c>
    </row>
    <row r="149" spans="1:72" x14ac:dyDescent="0.35">
      <c r="A149">
        <v>2019</v>
      </c>
      <c r="B149" t="s">
        <v>13</v>
      </c>
      <c r="C149" t="s">
        <v>14</v>
      </c>
      <c r="D149" s="2">
        <v>64066.9</v>
      </c>
      <c r="E149">
        <v>1368</v>
      </c>
      <c r="F149">
        <v>516</v>
      </c>
      <c r="G149">
        <v>113</v>
      </c>
      <c r="H149">
        <v>4711</v>
      </c>
      <c r="I149">
        <v>607</v>
      </c>
      <c r="J149">
        <v>34</v>
      </c>
      <c r="K149">
        <v>140</v>
      </c>
      <c r="L149">
        <v>693</v>
      </c>
      <c r="M149">
        <v>159</v>
      </c>
      <c r="N149">
        <v>1</v>
      </c>
      <c r="O149">
        <v>65</v>
      </c>
      <c r="P149">
        <v>117</v>
      </c>
      <c r="Q149">
        <v>32</v>
      </c>
      <c r="R149">
        <v>9</v>
      </c>
      <c r="S149">
        <v>10</v>
      </c>
      <c r="T149">
        <v>14</v>
      </c>
      <c r="U149">
        <v>30</v>
      </c>
      <c r="V149">
        <v>7</v>
      </c>
      <c r="W149">
        <v>201</v>
      </c>
      <c r="X149">
        <v>69</v>
      </c>
      <c r="Y149">
        <v>39</v>
      </c>
      <c r="Z149">
        <v>89</v>
      </c>
      <c r="AA149">
        <v>0</v>
      </c>
      <c r="AB149">
        <v>78</v>
      </c>
      <c r="AC149">
        <v>344</v>
      </c>
      <c r="AD149">
        <v>14</v>
      </c>
      <c r="AE149">
        <v>72</v>
      </c>
      <c r="AF149">
        <v>454</v>
      </c>
      <c r="AG149">
        <v>0</v>
      </c>
      <c r="AH149">
        <v>1</v>
      </c>
      <c r="AI149">
        <v>1</v>
      </c>
      <c r="AJ149">
        <v>107</v>
      </c>
      <c r="AK149">
        <v>0</v>
      </c>
      <c r="AL149">
        <v>607</v>
      </c>
      <c r="AM149">
        <v>0</v>
      </c>
      <c r="AN149">
        <v>2</v>
      </c>
      <c r="AO149">
        <v>1408</v>
      </c>
      <c r="AP149">
        <v>3301</v>
      </c>
      <c r="AQ149">
        <v>746</v>
      </c>
      <c r="AR149">
        <v>11</v>
      </c>
      <c r="AS149">
        <v>3</v>
      </c>
      <c r="AT149">
        <v>79</v>
      </c>
      <c r="AU149">
        <v>9</v>
      </c>
      <c r="AV149">
        <v>429</v>
      </c>
      <c r="AW149">
        <v>942</v>
      </c>
      <c r="AX149">
        <v>2595</v>
      </c>
      <c r="AY149">
        <v>703</v>
      </c>
      <c r="AZ149">
        <v>1</v>
      </c>
      <c r="BA149">
        <v>0</v>
      </c>
      <c r="BB149">
        <v>179</v>
      </c>
      <c r="BC149">
        <v>29</v>
      </c>
      <c r="BD149">
        <v>14</v>
      </c>
      <c r="BE149">
        <v>4</v>
      </c>
      <c r="BF149">
        <v>85</v>
      </c>
      <c r="BG149">
        <v>10</v>
      </c>
      <c r="BH149">
        <v>109</v>
      </c>
      <c r="BI149">
        <v>851</v>
      </c>
      <c r="BJ149">
        <v>157</v>
      </c>
      <c r="BK149">
        <v>84</v>
      </c>
      <c r="BL149" s="10">
        <v>33</v>
      </c>
      <c r="BM149" s="11">
        <f t="shared" si="23"/>
        <v>3587</v>
      </c>
      <c r="BN149" s="11">
        <f t="shared" si="16"/>
        <v>10179</v>
      </c>
      <c r="BO149" s="11">
        <f t="shared" si="17"/>
        <v>1214</v>
      </c>
      <c r="BP149" s="11">
        <f t="shared" si="18"/>
        <v>40</v>
      </c>
      <c r="BQ149">
        <f t="shared" si="19"/>
        <v>66</v>
      </c>
      <c r="BR149">
        <f t="shared" si="20"/>
        <v>319</v>
      </c>
      <c r="BS149">
        <f t="shared" si="21"/>
        <v>13</v>
      </c>
      <c r="BT149">
        <f t="shared" si="22"/>
        <v>208</v>
      </c>
    </row>
    <row r="150" spans="1:72" x14ac:dyDescent="0.35">
      <c r="A150">
        <v>2019</v>
      </c>
      <c r="B150" t="s">
        <v>15</v>
      </c>
      <c r="C150" t="s">
        <v>16</v>
      </c>
      <c r="D150" s="2">
        <v>145586.5</v>
      </c>
      <c r="E150">
        <v>897</v>
      </c>
      <c r="F150">
        <v>533</v>
      </c>
      <c r="H150">
        <v>4369</v>
      </c>
      <c r="I150">
        <v>932</v>
      </c>
      <c r="J150">
        <v>118</v>
      </c>
      <c r="K150">
        <v>74</v>
      </c>
      <c r="AL150">
        <v>932</v>
      </c>
      <c r="AN150">
        <v>3819</v>
      </c>
      <c r="AP150">
        <v>550</v>
      </c>
      <c r="BI150">
        <v>364</v>
      </c>
      <c r="BM150" s="11">
        <f t="shared" si="23"/>
        <v>1794</v>
      </c>
      <c r="BN150" s="11">
        <f t="shared" si="16"/>
        <v>8738</v>
      </c>
      <c r="BO150" s="11">
        <f t="shared" si="17"/>
        <v>1864</v>
      </c>
      <c r="BP150" s="11">
        <f t="shared" si="18"/>
        <v>0</v>
      </c>
      <c r="BQ150">
        <f t="shared" si="19"/>
        <v>118</v>
      </c>
      <c r="BR150">
        <f t="shared" si="20"/>
        <v>74</v>
      </c>
      <c r="BS150">
        <f t="shared" si="21"/>
        <v>0</v>
      </c>
      <c r="BT150">
        <f t="shared" si="22"/>
        <v>0</v>
      </c>
    </row>
    <row r="151" spans="1:72" x14ac:dyDescent="0.35">
      <c r="A151">
        <v>2019</v>
      </c>
      <c r="B151" t="s">
        <v>17</v>
      </c>
      <c r="C151" t="s">
        <v>18</v>
      </c>
      <c r="D151" s="2">
        <v>29875.9</v>
      </c>
      <c r="J151">
        <v>14</v>
      </c>
      <c r="Q151">
        <v>19</v>
      </c>
      <c r="R151">
        <v>3</v>
      </c>
      <c r="BM151" s="11">
        <f t="shared" si="23"/>
        <v>0</v>
      </c>
      <c r="BN151" s="11">
        <f t="shared" si="16"/>
        <v>0</v>
      </c>
      <c r="BO151" s="11">
        <f t="shared" si="17"/>
        <v>0</v>
      </c>
      <c r="BP151" s="11">
        <f t="shared" si="18"/>
        <v>0</v>
      </c>
      <c r="BQ151">
        <f t="shared" si="19"/>
        <v>33</v>
      </c>
      <c r="BR151">
        <f t="shared" si="20"/>
        <v>0</v>
      </c>
      <c r="BS151">
        <f t="shared" si="21"/>
        <v>0</v>
      </c>
      <c r="BT151">
        <f t="shared" si="22"/>
        <v>0</v>
      </c>
    </row>
    <row r="152" spans="1:72" x14ac:dyDescent="0.35">
      <c r="A152">
        <v>2019</v>
      </c>
      <c r="B152" t="s">
        <v>19</v>
      </c>
      <c r="C152" t="s">
        <v>20</v>
      </c>
      <c r="D152" s="2">
        <v>59062.8</v>
      </c>
      <c r="J152">
        <v>37</v>
      </c>
      <c r="Q152">
        <v>47</v>
      </c>
      <c r="R152">
        <v>6</v>
      </c>
      <c r="BM152" s="11">
        <f t="shared" si="23"/>
        <v>0</v>
      </c>
      <c r="BN152" s="11">
        <f t="shared" si="16"/>
        <v>0</v>
      </c>
      <c r="BO152" s="11">
        <f t="shared" si="17"/>
        <v>0</v>
      </c>
      <c r="BP152" s="11">
        <f t="shared" si="18"/>
        <v>0</v>
      </c>
      <c r="BQ152">
        <f t="shared" si="19"/>
        <v>84</v>
      </c>
      <c r="BR152">
        <f t="shared" si="20"/>
        <v>0</v>
      </c>
      <c r="BS152">
        <f t="shared" si="21"/>
        <v>0</v>
      </c>
      <c r="BT152">
        <f t="shared" si="22"/>
        <v>0</v>
      </c>
    </row>
    <row r="153" spans="1:72" x14ac:dyDescent="0.35">
      <c r="A153">
        <v>2019</v>
      </c>
      <c r="B153" t="s">
        <v>21</v>
      </c>
      <c r="C153" t="s">
        <v>22</v>
      </c>
      <c r="D153" s="2">
        <v>1025953.1</v>
      </c>
      <c r="E153">
        <v>42140</v>
      </c>
      <c r="F153">
        <v>27560</v>
      </c>
      <c r="H153">
        <v>4425</v>
      </c>
      <c r="I153">
        <v>9070</v>
      </c>
      <c r="J153">
        <v>7018</v>
      </c>
      <c r="K153">
        <v>2156</v>
      </c>
      <c r="AL153">
        <v>9070</v>
      </c>
      <c r="AP153">
        <v>4425</v>
      </c>
      <c r="AY153">
        <v>128823</v>
      </c>
      <c r="BI153">
        <v>14580</v>
      </c>
      <c r="BM153" s="11">
        <f t="shared" si="23"/>
        <v>84280</v>
      </c>
      <c r="BN153" s="11">
        <f t="shared" si="16"/>
        <v>8850</v>
      </c>
      <c r="BO153" s="11">
        <f t="shared" si="17"/>
        <v>18140</v>
      </c>
      <c r="BP153" s="11">
        <f t="shared" si="18"/>
        <v>0</v>
      </c>
      <c r="BQ153">
        <f t="shared" si="19"/>
        <v>7018</v>
      </c>
      <c r="BR153">
        <f t="shared" si="20"/>
        <v>2156</v>
      </c>
      <c r="BS153">
        <f t="shared" si="21"/>
        <v>0</v>
      </c>
      <c r="BT153">
        <f t="shared" si="22"/>
        <v>0</v>
      </c>
    </row>
    <row r="154" spans="1:72" x14ac:dyDescent="0.35">
      <c r="A154">
        <v>2019</v>
      </c>
      <c r="B154" t="s">
        <v>23</v>
      </c>
      <c r="C154" t="s">
        <v>24</v>
      </c>
      <c r="D154" s="2">
        <v>1251836.8999999999</v>
      </c>
      <c r="BM154" s="11">
        <f t="shared" si="23"/>
        <v>0</v>
      </c>
      <c r="BN154" s="11">
        <f t="shared" si="16"/>
        <v>0</v>
      </c>
      <c r="BO154" s="11">
        <f t="shared" si="17"/>
        <v>0</v>
      </c>
      <c r="BP154" s="11">
        <f t="shared" si="18"/>
        <v>0</v>
      </c>
      <c r="BQ154">
        <f t="shared" si="19"/>
        <v>0</v>
      </c>
      <c r="BR154">
        <f t="shared" si="20"/>
        <v>0</v>
      </c>
      <c r="BS154">
        <f t="shared" si="21"/>
        <v>0</v>
      </c>
      <c r="BT154">
        <f t="shared" si="22"/>
        <v>0</v>
      </c>
    </row>
    <row r="155" spans="1:72" x14ac:dyDescent="0.35">
      <c r="A155">
        <v>2019</v>
      </c>
      <c r="B155" t="s">
        <v>25</v>
      </c>
      <c r="C155" t="s">
        <v>26</v>
      </c>
      <c r="D155" s="2">
        <v>450366.9</v>
      </c>
      <c r="E155">
        <v>763</v>
      </c>
      <c r="F155">
        <v>202</v>
      </c>
      <c r="H155">
        <v>2670</v>
      </c>
      <c r="I155">
        <v>905</v>
      </c>
      <c r="X155">
        <v>34</v>
      </c>
      <c r="AB155">
        <v>92</v>
      </c>
      <c r="AI155">
        <v>561</v>
      </c>
      <c r="AM155">
        <v>905</v>
      </c>
      <c r="AN155">
        <v>2670</v>
      </c>
      <c r="AT155">
        <v>89</v>
      </c>
      <c r="AV155">
        <v>133</v>
      </c>
      <c r="BJ155">
        <v>60</v>
      </c>
      <c r="BM155" s="11">
        <f t="shared" si="23"/>
        <v>1842</v>
      </c>
      <c r="BN155" s="11">
        <f t="shared" si="16"/>
        <v>5340</v>
      </c>
      <c r="BO155" s="11">
        <f t="shared" si="17"/>
        <v>1810</v>
      </c>
      <c r="BP155" s="11">
        <f t="shared" si="18"/>
        <v>0</v>
      </c>
      <c r="BQ155">
        <f t="shared" si="19"/>
        <v>0</v>
      </c>
      <c r="BR155">
        <f t="shared" si="20"/>
        <v>0</v>
      </c>
      <c r="BS155">
        <f t="shared" si="21"/>
        <v>0</v>
      </c>
      <c r="BT155">
        <f t="shared" si="22"/>
        <v>0</v>
      </c>
    </row>
    <row r="156" spans="1:72" x14ac:dyDescent="0.35">
      <c r="A156">
        <v>2019</v>
      </c>
      <c r="B156" t="s">
        <v>27</v>
      </c>
      <c r="C156" t="s">
        <v>28</v>
      </c>
      <c r="D156" s="2">
        <v>62733.4</v>
      </c>
      <c r="E156">
        <v>920</v>
      </c>
      <c r="F156">
        <v>813</v>
      </c>
      <c r="H156">
        <v>7763</v>
      </c>
      <c r="J156">
        <v>88</v>
      </c>
      <c r="K156">
        <v>138</v>
      </c>
      <c r="L156">
        <v>491</v>
      </c>
      <c r="M156">
        <v>843</v>
      </c>
      <c r="N156">
        <v>8</v>
      </c>
      <c r="O156">
        <v>11</v>
      </c>
      <c r="Q156">
        <v>27</v>
      </c>
      <c r="R156">
        <v>33</v>
      </c>
      <c r="S156">
        <v>41</v>
      </c>
      <c r="U156">
        <v>32</v>
      </c>
      <c r="Y156">
        <v>1421</v>
      </c>
      <c r="Z156">
        <v>25</v>
      </c>
      <c r="AB156">
        <v>116</v>
      </c>
      <c r="AC156">
        <v>131</v>
      </c>
      <c r="AD156">
        <v>64</v>
      </c>
      <c r="AE156">
        <v>330</v>
      </c>
      <c r="AF156">
        <v>156</v>
      </c>
      <c r="AH156">
        <v>110</v>
      </c>
      <c r="AP156">
        <v>7763</v>
      </c>
      <c r="AS156">
        <v>3</v>
      </c>
      <c r="AU156">
        <v>3</v>
      </c>
      <c r="AW156">
        <v>1376</v>
      </c>
      <c r="AX156">
        <v>3956</v>
      </c>
      <c r="AY156">
        <v>10</v>
      </c>
      <c r="BB156">
        <v>408</v>
      </c>
      <c r="BC156">
        <v>38</v>
      </c>
      <c r="BF156">
        <v>15</v>
      </c>
      <c r="BI156">
        <v>107</v>
      </c>
      <c r="BM156" s="11">
        <f t="shared" si="23"/>
        <v>1840</v>
      </c>
      <c r="BN156" s="11">
        <f t="shared" si="16"/>
        <v>15526</v>
      </c>
      <c r="BO156" s="11">
        <f t="shared" si="17"/>
        <v>0</v>
      </c>
      <c r="BP156" s="11">
        <f t="shared" si="18"/>
        <v>1421</v>
      </c>
      <c r="BQ156">
        <f t="shared" si="19"/>
        <v>115</v>
      </c>
      <c r="BR156">
        <f t="shared" si="20"/>
        <v>546</v>
      </c>
      <c r="BS156">
        <f t="shared" si="21"/>
        <v>44</v>
      </c>
      <c r="BT156">
        <f t="shared" si="22"/>
        <v>0</v>
      </c>
    </row>
    <row r="157" spans="1:72" x14ac:dyDescent="0.35">
      <c r="A157">
        <v>2019</v>
      </c>
      <c r="B157" t="s">
        <v>29</v>
      </c>
      <c r="C157" t="s">
        <v>30</v>
      </c>
      <c r="D157" s="2">
        <v>425247.1</v>
      </c>
      <c r="H157">
        <v>7518</v>
      </c>
      <c r="I157">
        <v>124</v>
      </c>
      <c r="AL157">
        <v>124</v>
      </c>
      <c r="AP157">
        <v>7518</v>
      </c>
      <c r="BM157" s="11">
        <f t="shared" si="23"/>
        <v>0</v>
      </c>
      <c r="BN157" s="11">
        <f t="shared" si="16"/>
        <v>15036</v>
      </c>
      <c r="BO157" s="11">
        <f t="shared" si="17"/>
        <v>248</v>
      </c>
      <c r="BP157" s="11">
        <f t="shared" si="18"/>
        <v>0</v>
      </c>
      <c r="BQ157">
        <f t="shared" si="19"/>
        <v>0</v>
      </c>
      <c r="BR157">
        <f t="shared" si="20"/>
        <v>0</v>
      </c>
      <c r="BS157">
        <f t="shared" si="21"/>
        <v>0</v>
      </c>
      <c r="BT157">
        <f t="shared" si="22"/>
        <v>0</v>
      </c>
    </row>
    <row r="158" spans="1:72" x14ac:dyDescent="0.35">
      <c r="A158">
        <v>2019</v>
      </c>
      <c r="B158" t="s">
        <v>31</v>
      </c>
      <c r="C158" t="s">
        <v>32</v>
      </c>
      <c r="D158" s="2">
        <v>10569</v>
      </c>
      <c r="J158">
        <v>120</v>
      </c>
      <c r="Q158">
        <v>74</v>
      </c>
      <c r="R158">
        <v>20</v>
      </c>
      <c r="BM158" s="11">
        <f t="shared" si="23"/>
        <v>0</v>
      </c>
      <c r="BN158" s="11">
        <f t="shared" si="16"/>
        <v>0</v>
      </c>
      <c r="BO158" s="11">
        <f t="shared" si="17"/>
        <v>0</v>
      </c>
      <c r="BP158" s="11">
        <f t="shared" si="18"/>
        <v>0</v>
      </c>
      <c r="BQ158">
        <f t="shared" si="19"/>
        <v>194</v>
      </c>
      <c r="BR158">
        <f t="shared" si="20"/>
        <v>0</v>
      </c>
      <c r="BS158">
        <f t="shared" si="21"/>
        <v>0</v>
      </c>
      <c r="BT158">
        <f t="shared" si="22"/>
        <v>0</v>
      </c>
    </row>
    <row r="159" spans="1:72" x14ac:dyDescent="0.35">
      <c r="A159">
        <v>2019</v>
      </c>
      <c r="B159" t="s">
        <v>33</v>
      </c>
      <c r="C159" t="s">
        <v>34</v>
      </c>
      <c r="D159" s="2">
        <v>914051.2</v>
      </c>
      <c r="J159">
        <v>300</v>
      </c>
      <c r="BM159" s="11">
        <f t="shared" si="23"/>
        <v>0</v>
      </c>
      <c r="BN159" s="11">
        <f t="shared" si="16"/>
        <v>0</v>
      </c>
      <c r="BO159" s="11">
        <f t="shared" si="17"/>
        <v>0</v>
      </c>
      <c r="BP159" s="11">
        <f t="shared" si="18"/>
        <v>0</v>
      </c>
      <c r="BQ159">
        <f t="shared" si="19"/>
        <v>300</v>
      </c>
      <c r="BR159">
        <f t="shared" si="20"/>
        <v>0</v>
      </c>
      <c r="BS159">
        <f t="shared" si="21"/>
        <v>0</v>
      </c>
      <c r="BT159">
        <f t="shared" si="22"/>
        <v>0</v>
      </c>
    </row>
    <row r="160" spans="1:72" x14ac:dyDescent="0.35">
      <c r="A160">
        <v>2019</v>
      </c>
      <c r="B160" t="s">
        <v>35</v>
      </c>
      <c r="C160" t="s">
        <v>36</v>
      </c>
      <c r="D160" s="2">
        <v>680354</v>
      </c>
      <c r="E160">
        <v>859</v>
      </c>
      <c r="F160">
        <v>642</v>
      </c>
      <c r="I160">
        <v>589</v>
      </c>
      <c r="K160">
        <v>52</v>
      </c>
      <c r="L160">
        <v>335</v>
      </c>
      <c r="O160">
        <v>560</v>
      </c>
      <c r="Q160">
        <v>11</v>
      </c>
      <c r="U160">
        <v>26</v>
      </c>
      <c r="W160">
        <v>96</v>
      </c>
      <c r="X160">
        <v>20</v>
      </c>
      <c r="Y160">
        <v>31</v>
      </c>
      <c r="AB160">
        <v>48</v>
      </c>
      <c r="AC160">
        <v>109</v>
      </c>
      <c r="AI160">
        <v>15</v>
      </c>
      <c r="AJ160">
        <v>150</v>
      </c>
      <c r="AM160">
        <v>589</v>
      </c>
      <c r="AS160">
        <v>42</v>
      </c>
      <c r="AT160">
        <v>52</v>
      </c>
      <c r="AU160">
        <v>50</v>
      </c>
      <c r="AV160">
        <v>88</v>
      </c>
      <c r="AW160">
        <v>6</v>
      </c>
      <c r="AX160">
        <v>791</v>
      </c>
      <c r="AZ160">
        <v>177</v>
      </c>
      <c r="BB160">
        <v>136</v>
      </c>
      <c r="BC160">
        <v>18</v>
      </c>
      <c r="BE160">
        <v>1</v>
      </c>
      <c r="BG160">
        <v>19</v>
      </c>
      <c r="BI160">
        <v>202</v>
      </c>
      <c r="BJ160">
        <v>26</v>
      </c>
      <c r="BM160" s="11">
        <f t="shared" si="23"/>
        <v>1905</v>
      </c>
      <c r="BN160" s="11">
        <f t="shared" si="16"/>
        <v>0</v>
      </c>
      <c r="BO160" s="11">
        <f t="shared" si="17"/>
        <v>1178</v>
      </c>
      <c r="BP160" s="11">
        <f t="shared" si="18"/>
        <v>208</v>
      </c>
      <c r="BQ160">
        <f t="shared" si="19"/>
        <v>11</v>
      </c>
      <c r="BR160">
        <f t="shared" si="20"/>
        <v>188</v>
      </c>
      <c r="BS160">
        <f t="shared" si="21"/>
        <v>42</v>
      </c>
      <c r="BT160">
        <f t="shared" si="22"/>
        <v>96</v>
      </c>
    </row>
    <row r="161" spans="1:72" x14ac:dyDescent="0.35">
      <c r="A161">
        <v>2019</v>
      </c>
      <c r="B161" t="s">
        <v>37</v>
      </c>
      <c r="C161" t="s">
        <v>38</v>
      </c>
      <c r="D161" s="2">
        <v>883020.80000000005</v>
      </c>
      <c r="E161">
        <v>4173</v>
      </c>
      <c r="H161">
        <v>11259</v>
      </c>
      <c r="I161">
        <v>5601</v>
      </c>
      <c r="J161">
        <v>373</v>
      </c>
      <c r="K161">
        <v>944</v>
      </c>
      <c r="R161">
        <v>40</v>
      </c>
      <c r="Y161">
        <v>4168</v>
      </c>
      <c r="AI161">
        <v>4173</v>
      </c>
      <c r="AL161">
        <v>5601</v>
      </c>
      <c r="AP161">
        <v>11259</v>
      </c>
      <c r="AX161">
        <v>3470</v>
      </c>
      <c r="BM161" s="11">
        <f t="shared" si="23"/>
        <v>8346</v>
      </c>
      <c r="BN161" s="11">
        <f t="shared" si="16"/>
        <v>22518</v>
      </c>
      <c r="BO161" s="11">
        <f t="shared" si="17"/>
        <v>11202</v>
      </c>
      <c r="BP161" s="11">
        <f t="shared" si="18"/>
        <v>4168</v>
      </c>
      <c r="BQ161">
        <f t="shared" si="19"/>
        <v>373</v>
      </c>
      <c r="BR161">
        <f t="shared" si="20"/>
        <v>944</v>
      </c>
      <c r="BS161">
        <f t="shared" si="21"/>
        <v>0</v>
      </c>
      <c r="BT161">
        <f t="shared" si="22"/>
        <v>0</v>
      </c>
    </row>
    <row r="162" spans="1:72" x14ac:dyDescent="0.35">
      <c r="A162">
        <v>2019</v>
      </c>
      <c r="B162" t="s">
        <v>39</v>
      </c>
      <c r="C162" t="s">
        <v>40</v>
      </c>
      <c r="D162" s="2">
        <v>48504</v>
      </c>
      <c r="BM162" s="11">
        <f t="shared" si="23"/>
        <v>0</v>
      </c>
      <c r="BN162" s="11">
        <f t="shared" si="16"/>
        <v>0</v>
      </c>
      <c r="BO162" s="11">
        <f t="shared" si="17"/>
        <v>0</v>
      </c>
      <c r="BP162" s="11">
        <f t="shared" si="18"/>
        <v>0</v>
      </c>
      <c r="BQ162">
        <f t="shared" si="19"/>
        <v>0</v>
      </c>
      <c r="BR162">
        <f t="shared" si="20"/>
        <v>0</v>
      </c>
      <c r="BS162">
        <f t="shared" si="21"/>
        <v>0</v>
      </c>
      <c r="BT162">
        <f t="shared" si="22"/>
        <v>0</v>
      </c>
    </row>
    <row r="163" spans="1:72" x14ac:dyDescent="0.35">
      <c r="A163">
        <v>2019</v>
      </c>
      <c r="B163" t="s">
        <v>41</v>
      </c>
      <c r="C163" t="s">
        <v>42</v>
      </c>
      <c r="D163" s="2">
        <v>85715.6</v>
      </c>
      <c r="E163">
        <v>188</v>
      </c>
      <c r="F163">
        <v>107</v>
      </c>
      <c r="G163">
        <v>51</v>
      </c>
      <c r="H163">
        <v>749</v>
      </c>
      <c r="I163">
        <v>341</v>
      </c>
      <c r="J163">
        <v>12</v>
      </c>
      <c r="K163">
        <v>2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6</v>
      </c>
      <c r="R163">
        <v>95</v>
      </c>
      <c r="S163">
        <v>0</v>
      </c>
      <c r="T163">
        <v>4</v>
      </c>
      <c r="U163">
        <v>0</v>
      </c>
      <c r="V163">
        <v>106</v>
      </c>
      <c r="W163">
        <v>43</v>
      </c>
      <c r="X163">
        <v>7</v>
      </c>
      <c r="Y163">
        <v>0</v>
      </c>
      <c r="Z163">
        <v>0</v>
      </c>
      <c r="AA163">
        <v>0</v>
      </c>
      <c r="AB163">
        <v>149</v>
      </c>
      <c r="AC163">
        <v>246</v>
      </c>
      <c r="AD163">
        <v>0</v>
      </c>
      <c r="AE163">
        <v>0</v>
      </c>
      <c r="AF163">
        <v>22</v>
      </c>
      <c r="AG163">
        <v>0</v>
      </c>
      <c r="AH163">
        <v>0</v>
      </c>
      <c r="AI163">
        <v>0</v>
      </c>
      <c r="AJ163">
        <v>0</v>
      </c>
      <c r="AK163">
        <v>252</v>
      </c>
      <c r="AL163">
        <v>89</v>
      </c>
      <c r="AM163">
        <v>0</v>
      </c>
      <c r="AN163">
        <v>38</v>
      </c>
      <c r="AO163">
        <v>391</v>
      </c>
      <c r="AP163">
        <v>320</v>
      </c>
      <c r="AS163">
        <v>0</v>
      </c>
      <c r="AT163">
        <v>9</v>
      </c>
      <c r="AU163">
        <v>16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81</v>
      </c>
      <c r="BC163">
        <v>3</v>
      </c>
      <c r="BD163">
        <v>20</v>
      </c>
      <c r="BE163">
        <v>0</v>
      </c>
      <c r="BF163">
        <v>0</v>
      </c>
      <c r="BG163">
        <v>0</v>
      </c>
      <c r="BH163">
        <v>0</v>
      </c>
      <c r="BI163">
        <v>81</v>
      </c>
      <c r="BJ163">
        <v>14</v>
      </c>
      <c r="BK163">
        <v>0</v>
      </c>
      <c r="BL163" s="10">
        <v>0</v>
      </c>
      <c r="BM163" s="11">
        <f t="shared" si="23"/>
        <v>457</v>
      </c>
      <c r="BN163" s="11">
        <f t="shared" si="16"/>
        <v>1498</v>
      </c>
      <c r="BO163" s="11">
        <f t="shared" si="17"/>
        <v>682</v>
      </c>
      <c r="BP163" s="11">
        <f t="shared" si="18"/>
        <v>0</v>
      </c>
      <c r="BQ163">
        <f t="shared" si="19"/>
        <v>18</v>
      </c>
      <c r="BR163">
        <f t="shared" si="20"/>
        <v>83</v>
      </c>
      <c r="BS163">
        <f t="shared" si="21"/>
        <v>0</v>
      </c>
      <c r="BT163">
        <f t="shared" si="22"/>
        <v>149</v>
      </c>
    </row>
    <row r="164" spans="1:72" x14ac:dyDescent="0.35">
      <c r="A164">
        <v>2019</v>
      </c>
      <c r="B164" t="s">
        <v>43</v>
      </c>
      <c r="C164" t="s">
        <v>44</v>
      </c>
      <c r="D164" s="2">
        <v>902628.3</v>
      </c>
      <c r="E164">
        <v>3236</v>
      </c>
      <c r="F164">
        <v>2181</v>
      </c>
      <c r="H164">
        <v>69789</v>
      </c>
      <c r="I164">
        <v>12673</v>
      </c>
      <c r="K164">
        <v>1138</v>
      </c>
      <c r="AL164">
        <v>12673</v>
      </c>
      <c r="AO164">
        <v>43830</v>
      </c>
      <c r="AP164">
        <v>25959</v>
      </c>
      <c r="AT164">
        <v>162</v>
      </c>
      <c r="BI164">
        <v>1055</v>
      </c>
      <c r="BM164" s="11">
        <f t="shared" si="23"/>
        <v>6634</v>
      </c>
      <c r="BN164" s="11">
        <f t="shared" si="16"/>
        <v>139578</v>
      </c>
      <c r="BO164" s="11">
        <f t="shared" si="17"/>
        <v>25346</v>
      </c>
      <c r="BP164" s="11">
        <f t="shared" si="18"/>
        <v>0</v>
      </c>
      <c r="BQ164">
        <f t="shared" si="19"/>
        <v>0</v>
      </c>
      <c r="BR164">
        <f t="shared" si="20"/>
        <v>1138</v>
      </c>
      <c r="BS164">
        <f t="shared" si="21"/>
        <v>0</v>
      </c>
      <c r="BT164">
        <f t="shared" si="22"/>
        <v>0</v>
      </c>
    </row>
    <row r="165" spans="1:72" x14ac:dyDescent="0.35">
      <c r="A165">
        <v>2019</v>
      </c>
      <c r="B165" t="s">
        <v>45</v>
      </c>
      <c r="C165" t="s">
        <v>46</v>
      </c>
      <c r="D165" s="2">
        <v>442929.1</v>
      </c>
      <c r="BM165" s="11">
        <f t="shared" si="23"/>
        <v>0</v>
      </c>
      <c r="BN165" s="11">
        <f t="shared" si="16"/>
        <v>0</v>
      </c>
      <c r="BO165" s="11">
        <f t="shared" si="17"/>
        <v>0</v>
      </c>
      <c r="BP165" s="11">
        <f t="shared" si="18"/>
        <v>0</v>
      </c>
      <c r="BQ165">
        <f t="shared" si="19"/>
        <v>0</v>
      </c>
      <c r="BR165">
        <f t="shared" si="20"/>
        <v>0</v>
      </c>
      <c r="BS165">
        <f t="shared" si="21"/>
        <v>0</v>
      </c>
      <c r="BT165">
        <f t="shared" si="22"/>
        <v>0</v>
      </c>
    </row>
    <row r="166" spans="1:72" x14ac:dyDescent="0.35">
      <c r="A166">
        <v>2019</v>
      </c>
      <c r="B166" t="s">
        <v>47</v>
      </c>
      <c r="C166" t="s">
        <v>48</v>
      </c>
      <c r="D166" s="2">
        <v>62304.1</v>
      </c>
      <c r="BM166" s="11">
        <f t="shared" si="23"/>
        <v>0</v>
      </c>
      <c r="BN166" s="11">
        <f t="shared" si="16"/>
        <v>0</v>
      </c>
      <c r="BO166" s="11">
        <f t="shared" si="17"/>
        <v>0</v>
      </c>
      <c r="BP166" s="11">
        <f t="shared" si="18"/>
        <v>0</v>
      </c>
      <c r="BQ166">
        <f t="shared" si="19"/>
        <v>0</v>
      </c>
      <c r="BR166">
        <f t="shared" si="20"/>
        <v>0</v>
      </c>
      <c r="BS166">
        <f t="shared" si="21"/>
        <v>0</v>
      </c>
      <c r="BT166">
        <f t="shared" si="22"/>
        <v>0</v>
      </c>
    </row>
    <row r="167" spans="1:72" x14ac:dyDescent="0.35">
      <c r="A167">
        <v>2019</v>
      </c>
      <c r="B167" t="s">
        <v>49</v>
      </c>
      <c r="C167" t="s">
        <v>50</v>
      </c>
      <c r="D167" s="2">
        <v>1444188.8</v>
      </c>
      <c r="J167">
        <v>1300</v>
      </c>
      <c r="Q167">
        <v>464</v>
      </c>
      <c r="R167">
        <v>468</v>
      </c>
      <c r="BM167" s="11">
        <f t="shared" si="23"/>
        <v>0</v>
      </c>
      <c r="BN167" s="11">
        <f t="shared" si="16"/>
        <v>0</v>
      </c>
      <c r="BO167" s="11">
        <f t="shared" si="17"/>
        <v>0</v>
      </c>
      <c r="BP167" s="11">
        <f t="shared" si="18"/>
        <v>0</v>
      </c>
      <c r="BQ167">
        <f t="shared" si="19"/>
        <v>1764</v>
      </c>
      <c r="BR167">
        <f t="shared" si="20"/>
        <v>0</v>
      </c>
      <c r="BS167">
        <f t="shared" si="21"/>
        <v>0</v>
      </c>
      <c r="BT167">
        <f t="shared" si="22"/>
        <v>0</v>
      </c>
    </row>
    <row r="168" spans="1:72" x14ac:dyDescent="0.35">
      <c r="A168">
        <v>2019</v>
      </c>
      <c r="B168" t="s">
        <v>51</v>
      </c>
      <c r="C168" t="s">
        <v>52</v>
      </c>
      <c r="D168" s="2">
        <v>157728.4</v>
      </c>
      <c r="E168">
        <v>732</v>
      </c>
      <c r="F168">
        <v>697</v>
      </c>
      <c r="G168">
        <v>16</v>
      </c>
      <c r="H168">
        <v>1978</v>
      </c>
      <c r="I168">
        <v>767</v>
      </c>
      <c r="J168">
        <v>4</v>
      </c>
      <c r="K168">
        <v>54</v>
      </c>
      <c r="X168">
        <v>7</v>
      </c>
      <c r="AL168">
        <v>767</v>
      </c>
      <c r="AP168">
        <v>1978</v>
      </c>
      <c r="AT168">
        <v>10</v>
      </c>
      <c r="BB168">
        <v>201</v>
      </c>
      <c r="BI168">
        <v>35</v>
      </c>
      <c r="BJ168">
        <v>11</v>
      </c>
      <c r="BM168" s="11">
        <f t="shared" si="23"/>
        <v>1508</v>
      </c>
      <c r="BN168" s="11">
        <f t="shared" si="16"/>
        <v>3956</v>
      </c>
      <c r="BO168" s="11">
        <f t="shared" si="17"/>
        <v>1534</v>
      </c>
      <c r="BP168" s="11">
        <f t="shared" si="18"/>
        <v>0</v>
      </c>
      <c r="BQ168">
        <f t="shared" si="19"/>
        <v>4</v>
      </c>
      <c r="BR168">
        <f t="shared" si="20"/>
        <v>255</v>
      </c>
      <c r="BS168">
        <f t="shared" si="21"/>
        <v>0</v>
      </c>
      <c r="BT168">
        <f t="shared" si="22"/>
        <v>0</v>
      </c>
    </row>
    <row r="169" spans="1:72" x14ac:dyDescent="0.35">
      <c r="A169">
        <v>2019</v>
      </c>
      <c r="B169" t="s">
        <v>53</v>
      </c>
      <c r="C169" t="s">
        <v>54</v>
      </c>
      <c r="D169" s="2">
        <v>866367.5</v>
      </c>
      <c r="P169">
        <v>38338</v>
      </c>
      <c r="Q169">
        <v>21</v>
      </c>
      <c r="R169">
        <v>12</v>
      </c>
      <c r="BM169" s="11">
        <f t="shared" si="23"/>
        <v>0</v>
      </c>
      <c r="BN169" s="11">
        <f t="shared" si="16"/>
        <v>0</v>
      </c>
      <c r="BO169" s="11">
        <f t="shared" si="17"/>
        <v>0</v>
      </c>
      <c r="BP169" s="11">
        <f t="shared" si="18"/>
        <v>0</v>
      </c>
      <c r="BQ169">
        <f t="shared" si="19"/>
        <v>21</v>
      </c>
      <c r="BR169">
        <f t="shared" si="20"/>
        <v>0</v>
      </c>
      <c r="BS169">
        <f t="shared" si="21"/>
        <v>0</v>
      </c>
      <c r="BT169">
        <f t="shared" si="22"/>
        <v>0</v>
      </c>
    </row>
    <row r="170" spans="1:72" x14ac:dyDescent="0.35">
      <c r="A170">
        <v>2019</v>
      </c>
      <c r="B170" t="s">
        <v>55</v>
      </c>
      <c r="C170" t="s">
        <v>56</v>
      </c>
      <c r="D170" s="2">
        <v>630365.19999999995</v>
      </c>
      <c r="BM170" s="11">
        <f t="shared" si="23"/>
        <v>0</v>
      </c>
      <c r="BN170" s="11">
        <f t="shared" si="16"/>
        <v>0</v>
      </c>
      <c r="BO170" s="11">
        <f t="shared" si="17"/>
        <v>0</v>
      </c>
      <c r="BP170" s="11">
        <f t="shared" si="18"/>
        <v>0</v>
      </c>
      <c r="BQ170">
        <f t="shared" si="19"/>
        <v>0</v>
      </c>
      <c r="BR170">
        <f t="shared" si="20"/>
        <v>0</v>
      </c>
      <c r="BS170">
        <f t="shared" si="21"/>
        <v>0</v>
      </c>
      <c r="BT170">
        <f t="shared" si="22"/>
        <v>0</v>
      </c>
    </row>
    <row r="171" spans="1:72" x14ac:dyDescent="0.35">
      <c r="A171">
        <v>2019</v>
      </c>
      <c r="B171" t="s">
        <v>57</v>
      </c>
      <c r="C171" t="s">
        <v>58</v>
      </c>
      <c r="D171" s="2">
        <v>843431.7</v>
      </c>
      <c r="BM171" s="11">
        <f t="shared" si="23"/>
        <v>0</v>
      </c>
      <c r="BN171" s="11">
        <f t="shared" si="16"/>
        <v>0</v>
      </c>
      <c r="BO171" s="11">
        <f t="shared" si="17"/>
        <v>0</v>
      </c>
      <c r="BP171" s="11">
        <f t="shared" si="18"/>
        <v>0</v>
      </c>
      <c r="BQ171">
        <f t="shared" si="19"/>
        <v>0</v>
      </c>
      <c r="BR171">
        <f t="shared" si="20"/>
        <v>0</v>
      </c>
      <c r="BS171">
        <f t="shared" si="21"/>
        <v>0</v>
      </c>
      <c r="BT171">
        <f t="shared" si="22"/>
        <v>0</v>
      </c>
    </row>
    <row r="172" spans="1:72" x14ac:dyDescent="0.35">
      <c r="A172">
        <v>2019</v>
      </c>
      <c r="B172" t="s">
        <v>59</v>
      </c>
      <c r="C172" t="s">
        <v>60</v>
      </c>
      <c r="D172" s="2">
        <v>14477.1</v>
      </c>
      <c r="E172">
        <v>3290</v>
      </c>
      <c r="J172">
        <v>351</v>
      </c>
      <c r="R172">
        <v>15</v>
      </c>
      <c r="AI172">
        <v>3290</v>
      </c>
      <c r="BM172" s="11">
        <f t="shared" si="23"/>
        <v>6580</v>
      </c>
      <c r="BN172" s="11">
        <f t="shared" si="16"/>
        <v>0</v>
      </c>
      <c r="BO172" s="11">
        <f t="shared" si="17"/>
        <v>0</v>
      </c>
      <c r="BP172" s="11">
        <f t="shared" si="18"/>
        <v>0</v>
      </c>
      <c r="BQ172">
        <f t="shared" si="19"/>
        <v>351</v>
      </c>
      <c r="BR172">
        <f t="shared" si="20"/>
        <v>0</v>
      </c>
      <c r="BS172">
        <f t="shared" si="21"/>
        <v>0</v>
      </c>
      <c r="BT172">
        <f t="shared" si="22"/>
        <v>0</v>
      </c>
    </row>
    <row r="173" spans="1:72" x14ac:dyDescent="0.35">
      <c r="A173">
        <v>2019</v>
      </c>
      <c r="B173" t="s">
        <v>61</v>
      </c>
      <c r="C173" t="s">
        <v>62</v>
      </c>
      <c r="D173" s="2">
        <v>1103037.8</v>
      </c>
      <c r="E173">
        <v>2570</v>
      </c>
      <c r="F173">
        <v>1715</v>
      </c>
      <c r="H173">
        <v>8179</v>
      </c>
      <c r="I173">
        <v>6175</v>
      </c>
      <c r="J173">
        <v>288</v>
      </c>
      <c r="K173">
        <v>385</v>
      </c>
      <c r="L173">
        <v>9444</v>
      </c>
      <c r="N173">
        <v>2</v>
      </c>
      <c r="P173">
        <v>6632</v>
      </c>
      <c r="Q173">
        <v>305</v>
      </c>
      <c r="R173">
        <v>27</v>
      </c>
      <c r="U173">
        <v>123</v>
      </c>
      <c r="X173">
        <v>66</v>
      </c>
      <c r="Z173">
        <v>416</v>
      </c>
      <c r="AB173">
        <v>315</v>
      </c>
      <c r="AC173">
        <v>2789</v>
      </c>
      <c r="AF173">
        <v>2055</v>
      </c>
      <c r="AG173">
        <v>27</v>
      </c>
      <c r="AK173">
        <v>286</v>
      </c>
      <c r="AL173">
        <v>5889</v>
      </c>
      <c r="AO173">
        <v>377</v>
      </c>
      <c r="AP173">
        <v>7802</v>
      </c>
      <c r="AS173">
        <v>745</v>
      </c>
      <c r="AT173">
        <v>76</v>
      </c>
      <c r="AU173">
        <v>165</v>
      </c>
      <c r="AV173">
        <v>605</v>
      </c>
      <c r="AW173">
        <v>399</v>
      </c>
      <c r="AX173">
        <v>16937</v>
      </c>
      <c r="AY173">
        <v>6665</v>
      </c>
      <c r="BB173">
        <v>2261</v>
      </c>
      <c r="BC173">
        <v>93</v>
      </c>
      <c r="BD173">
        <v>302</v>
      </c>
      <c r="BE173">
        <v>11</v>
      </c>
      <c r="BF173">
        <v>393</v>
      </c>
      <c r="BG173">
        <v>8</v>
      </c>
      <c r="BH173">
        <v>414</v>
      </c>
      <c r="BI173">
        <v>855</v>
      </c>
      <c r="BJ173">
        <v>95</v>
      </c>
      <c r="BM173" s="11">
        <f t="shared" si="23"/>
        <v>5993</v>
      </c>
      <c r="BN173" s="11">
        <f t="shared" si="16"/>
        <v>16358</v>
      </c>
      <c r="BO173" s="11">
        <f t="shared" si="17"/>
        <v>12350</v>
      </c>
      <c r="BP173" s="11">
        <f t="shared" si="18"/>
        <v>0</v>
      </c>
      <c r="BQ173">
        <f t="shared" si="19"/>
        <v>593</v>
      </c>
      <c r="BR173">
        <f t="shared" si="20"/>
        <v>2646</v>
      </c>
      <c r="BS173">
        <f t="shared" si="21"/>
        <v>745</v>
      </c>
      <c r="BT173">
        <f t="shared" si="22"/>
        <v>0</v>
      </c>
    </row>
    <row r="174" spans="1:72" x14ac:dyDescent="0.35">
      <c r="A174">
        <v>2019</v>
      </c>
      <c r="B174" t="s">
        <v>63</v>
      </c>
      <c r="C174" t="s">
        <v>64</v>
      </c>
      <c r="D174" s="2">
        <v>70307.7</v>
      </c>
      <c r="E174">
        <v>900</v>
      </c>
      <c r="F174">
        <v>900</v>
      </c>
      <c r="H174">
        <v>5903</v>
      </c>
      <c r="I174">
        <v>5</v>
      </c>
      <c r="J174">
        <v>117</v>
      </c>
      <c r="K174">
        <v>514</v>
      </c>
      <c r="Q174">
        <v>43</v>
      </c>
      <c r="R174">
        <v>137</v>
      </c>
      <c r="S174">
        <v>29</v>
      </c>
      <c r="W174">
        <v>148</v>
      </c>
      <c r="X174">
        <v>19</v>
      </c>
      <c r="AB174">
        <v>291</v>
      </c>
      <c r="AD174">
        <v>3</v>
      </c>
      <c r="AF174">
        <v>503</v>
      </c>
      <c r="AL174">
        <v>5</v>
      </c>
      <c r="AO174">
        <v>44</v>
      </c>
      <c r="AP174">
        <v>5859</v>
      </c>
      <c r="AT174">
        <v>39</v>
      </c>
      <c r="AU174">
        <v>99</v>
      </c>
      <c r="AV174">
        <v>32</v>
      </c>
      <c r="AY174">
        <v>53</v>
      </c>
      <c r="BB174">
        <v>300</v>
      </c>
      <c r="BC174">
        <v>123</v>
      </c>
      <c r="BJ174">
        <v>41</v>
      </c>
      <c r="BM174" s="11">
        <f t="shared" si="23"/>
        <v>1931</v>
      </c>
      <c r="BN174" s="11">
        <f t="shared" si="16"/>
        <v>11806</v>
      </c>
      <c r="BO174" s="11">
        <f t="shared" si="17"/>
        <v>10</v>
      </c>
      <c r="BP174" s="11">
        <f t="shared" si="18"/>
        <v>0</v>
      </c>
      <c r="BQ174">
        <f t="shared" si="19"/>
        <v>160</v>
      </c>
      <c r="BR174">
        <f t="shared" si="20"/>
        <v>814</v>
      </c>
      <c r="BS174">
        <f t="shared" si="21"/>
        <v>29</v>
      </c>
      <c r="BT174">
        <f t="shared" si="22"/>
        <v>148</v>
      </c>
    </row>
    <row r="175" spans="1:72" x14ac:dyDescent="0.35">
      <c r="A175">
        <v>2019</v>
      </c>
      <c r="B175" t="s">
        <v>65</v>
      </c>
      <c r="C175" t="s">
        <v>66</v>
      </c>
      <c r="D175" s="2">
        <v>394736.7</v>
      </c>
      <c r="E175">
        <v>1492</v>
      </c>
      <c r="H175">
        <v>10409</v>
      </c>
      <c r="I175">
        <v>1561</v>
      </c>
      <c r="AI175">
        <v>1492</v>
      </c>
      <c r="AM175">
        <v>1561</v>
      </c>
      <c r="AN175">
        <v>10409</v>
      </c>
      <c r="BM175" s="11">
        <f t="shared" si="23"/>
        <v>2984</v>
      </c>
      <c r="BN175" s="11">
        <f t="shared" si="16"/>
        <v>20818</v>
      </c>
      <c r="BO175" s="11">
        <f t="shared" si="17"/>
        <v>3122</v>
      </c>
      <c r="BP175" s="11">
        <f t="shared" si="18"/>
        <v>0</v>
      </c>
      <c r="BQ175">
        <f t="shared" si="19"/>
        <v>0</v>
      </c>
      <c r="BR175">
        <f t="shared" si="20"/>
        <v>0</v>
      </c>
      <c r="BS175">
        <f t="shared" si="21"/>
        <v>0</v>
      </c>
      <c r="BT175">
        <f t="shared" si="22"/>
        <v>0</v>
      </c>
    </row>
    <row r="176" spans="1:72" x14ac:dyDescent="0.35">
      <c r="A176">
        <v>2019</v>
      </c>
      <c r="B176" t="s">
        <v>67</v>
      </c>
      <c r="C176" t="s">
        <v>68</v>
      </c>
      <c r="D176" s="2">
        <v>535460.80000000005</v>
      </c>
      <c r="E176">
        <v>1435</v>
      </c>
      <c r="F176">
        <v>353</v>
      </c>
      <c r="G176">
        <v>1082</v>
      </c>
      <c r="H176">
        <v>6151</v>
      </c>
      <c r="I176">
        <v>2656</v>
      </c>
      <c r="J176">
        <v>219</v>
      </c>
      <c r="K176">
        <v>188</v>
      </c>
      <c r="L176">
        <v>2663</v>
      </c>
      <c r="M176">
        <v>445</v>
      </c>
      <c r="N176">
        <v>2</v>
      </c>
      <c r="O176">
        <v>12</v>
      </c>
      <c r="P176">
        <v>1116</v>
      </c>
      <c r="Q176">
        <v>0</v>
      </c>
      <c r="R176">
        <v>21</v>
      </c>
      <c r="S176">
        <v>4</v>
      </c>
      <c r="U176">
        <v>155</v>
      </c>
      <c r="W176">
        <v>835</v>
      </c>
      <c r="X176">
        <v>103</v>
      </c>
      <c r="Y176">
        <v>3141</v>
      </c>
      <c r="Z176">
        <v>90</v>
      </c>
      <c r="AB176">
        <v>124</v>
      </c>
      <c r="AC176">
        <v>686</v>
      </c>
      <c r="AD176">
        <v>2112</v>
      </c>
      <c r="AF176">
        <v>715</v>
      </c>
      <c r="AG176">
        <v>1</v>
      </c>
      <c r="AH176">
        <v>123</v>
      </c>
      <c r="AI176">
        <v>0</v>
      </c>
      <c r="AJ176">
        <v>70</v>
      </c>
      <c r="AK176">
        <v>460</v>
      </c>
      <c r="AL176">
        <v>2196</v>
      </c>
      <c r="AM176">
        <v>0</v>
      </c>
      <c r="AN176">
        <v>0</v>
      </c>
      <c r="AO176">
        <v>3058</v>
      </c>
      <c r="AP176">
        <v>3093</v>
      </c>
      <c r="AQ176">
        <v>1981</v>
      </c>
      <c r="AR176">
        <v>600</v>
      </c>
      <c r="AS176">
        <v>3</v>
      </c>
      <c r="AT176">
        <v>116</v>
      </c>
      <c r="AU176">
        <v>1</v>
      </c>
      <c r="AV176">
        <v>1552</v>
      </c>
      <c r="AW176">
        <v>3647</v>
      </c>
      <c r="AX176">
        <v>1722</v>
      </c>
      <c r="AY176">
        <v>2352</v>
      </c>
      <c r="AZ176">
        <v>12281</v>
      </c>
      <c r="BB176">
        <v>45</v>
      </c>
      <c r="BE176">
        <v>41</v>
      </c>
      <c r="BF176">
        <v>16</v>
      </c>
      <c r="BH176">
        <v>402</v>
      </c>
      <c r="BI176">
        <v>1082</v>
      </c>
      <c r="BJ176">
        <v>188</v>
      </c>
      <c r="BM176" s="11">
        <f t="shared" si="23"/>
        <v>5952</v>
      </c>
      <c r="BN176" s="11">
        <f t="shared" si="16"/>
        <v>14883</v>
      </c>
      <c r="BO176" s="11">
        <f t="shared" si="17"/>
        <v>5312</v>
      </c>
      <c r="BP176" s="11">
        <f t="shared" si="18"/>
        <v>15422</v>
      </c>
      <c r="BQ176">
        <f t="shared" si="19"/>
        <v>219</v>
      </c>
      <c r="BR176">
        <f t="shared" si="20"/>
        <v>233</v>
      </c>
      <c r="BS176">
        <f t="shared" si="21"/>
        <v>7</v>
      </c>
      <c r="BT176">
        <f t="shared" si="22"/>
        <v>835</v>
      </c>
    </row>
    <row r="177" spans="1:72" x14ac:dyDescent="0.35">
      <c r="A177">
        <v>2019</v>
      </c>
      <c r="B177" t="s">
        <v>69</v>
      </c>
      <c r="C177" t="s">
        <v>70</v>
      </c>
      <c r="D177" s="2">
        <v>1804.7</v>
      </c>
      <c r="E177">
        <v>220</v>
      </c>
      <c r="J177">
        <v>42</v>
      </c>
      <c r="Q177">
        <v>37</v>
      </c>
      <c r="R177">
        <v>14</v>
      </c>
      <c r="AI177">
        <v>220</v>
      </c>
      <c r="BE177">
        <v>4</v>
      </c>
      <c r="BJ177">
        <v>35</v>
      </c>
      <c r="BM177" s="11">
        <f t="shared" si="23"/>
        <v>479</v>
      </c>
      <c r="BN177" s="11">
        <f t="shared" si="16"/>
        <v>0</v>
      </c>
      <c r="BO177" s="11">
        <f t="shared" si="17"/>
        <v>0</v>
      </c>
      <c r="BP177" s="11">
        <f t="shared" si="18"/>
        <v>0</v>
      </c>
      <c r="BQ177">
        <f t="shared" si="19"/>
        <v>79</v>
      </c>
      <c r="BR177">
        <f t="shared" si="20"/>
        <v>0</v>
      </c>
      <c r="BS177">
        <f t="shared" si="21"/>
        <v>0</v>
      </c>
      <c r="BT177">
        <f t="shared" si="22"/>
        <v>0</v>
      </c>
    </row>
    <row r="178" spans="1:72" x14ac:dyDescent="0.35">
      <c r="A178">
        <v>2019</v>
      </c>
      <c r="B178" t="s">
        <v>71</v>
      </c>
      <c r="C178" t="s">
        <v>72</v>
      </c>
      <c r="D178" s="2">
        <v>254698.9</v>
      </c>
      <c r="E178">
        <v>256</v>
      </c>
      <c r="F178">
        <v>231</v>
      </c>
      <c r="G178">
        <v>10</v>
      </c>
      <c r="H178">
        <v>4311</v>
      </c>
      <c r="I178">
        <v>2373</v>
      </c>
      <c r="J178">
        <v>7</v>
      </c>
      <c r="K178">
        <v>164</v>
      </c>
      <c r="P178">
        <v>15000</v>
      </c>
      <c r="Q178">
        <v>140</v>
      </c>
      <c r="R178">
        <v>25</v>
      </c>
      <c r="W178">
        <v>121</v>
      </c>
      <c r="X178">
        <v>3</v>
      </c>
      <c r="AB178">
        <v>36</v>
      </c>
      <c r="AC178">
        <v>93</v>
      </c>
      <c r="AE178">
        <v>342</v>
      </c>
      <c r="AH178">
        <v>64</v>
      </c>
      <c r="AK178">
        <v>1951</v>
      </c>
      <c r="AL178">
        <v>422</v>
      </c>
      <c r="AO178">
        <v>3492</v>
      </c>
      <c r="AP178">
        <v>819</v>
      </c>
      <c r="AS178">
        <v>130</v>
      </c>
      <c r="AT178">
        <v>3</v>
      </c>
      <c r="AU178">
        <v>15</v>
      </c>
      <c r="AY178">
        <v>319</v>
      </c>
      <c r="BB178">
        <v>213</v>
      </c>
      <c r="BC178">
        <v>8</v>
      </c>
      <c r="BE178">
        <v>1</v>
      </c>
      <c r="BI178">
        <v>25</v>
      </c>
      <c r="BJ178">
        <v>9</v>
      </c>
      <c r="BM178" s="11">
        <f t="shared" si="23"/>
        <v>538</v>
      </c>
      <c r="BN178" s="11">
        <f t="shared" si="16"/>
        <v>8622</v>
      </c>
      <c r="BO178" s="11">
        <f t="shared" si="17"/>
        <v>4746</v>
      </c>
      <c r="BP178" s="11">
        <f t="shared" si="18"/>
        <v>0</v>
      </c>
      <c r="BQ178">
        <f t="shared" si="19"/>
        <v>147</v>
      </c>
      <c r="BR178">
        <f t="shared" si="20"/>
        <v>377</v>
      </c>
      <c r="BS178">
        <f t="shared" si="21"/>
        <v>130</v>
      </c>
      <c r="BT178">
        <f t="shared" si="22"/>
        <v>121</v>
      </c>
    </row>
    <row r="179" spans="1:72" x14ac:dyDescent="0.35">
      <c r="A179">
        <v>2019</v>
      </c>
      <c r="B179" t="s">
        <v>73</v>
      </c>
      <c r="C179" t="s">
        <v>74</v>
      </c>
      <c r="D179" s="2">
        <v>1253306.6000000001</v>
      </c>
      <c r="E179">
        <v>46393</v>
      </c>
      <c r="H179">
        <v>64638</v>
      </c>
      <c r="J179">
        <v>6365</v>
      </c>
      <c r="N179">
        <v>3676</v>
      </c>
      <c r="O179">
        <v>2</v>
      </c>
      <c r="S179">
        <v>3555</v>
      </c>
      <c r="T179">
        <v>140</v>
      </c>
      <c r="W179">
        <v>3881</v>
      </c>
      <c r="AF179">
        <v>9939</v>
      </c>
      <c r="AI179">
        <v>46393</v>
      </c>
      <c r="AN179">
        <v>64638</v>
      </c>
      <c r="AS179">
        <v>226</v>
      </c>
      <c r="AU179">
        <v>3830</v>
      </c>
      <c r="BC179">
        <v>7908</v>
      </c>
      <c r="BD179">
        <v>202</v>
      </c>
      <c r="BF179">
        <v>8742</v>
      </c>
      <c r="BM179" s="11">
        <f t="shared" si="23"/>
        <v>92786</v>
      </c>
      <c r="BN179" s="11">
        <f t="shared" si="16"/>
        <v>129276</v>
      </c>
      <c r="BO179" s="11">
        <f t="shared" si="17"/>
        <v>0</v>
      </c>
      <c r="BP179" s="11">
        <f t="shared" si="18"/>
        <v>0</v>
      </c>
      <c r="BQ179">
        <f t="shared" si="19"/>
        <v>6365</v>
      </c>
      <c r="BR179">
        <f t="shared" si="20"/>
        <v>0</v>
      </c>
      <c r="BS179">
        <f t="shared" si="21"/>
        <v>3781</v>
      </c>
      <c r="BT179">
        <f t="shared" si="22"/>
        <v>3881</v>
      </c>
    </row>
    <row r="180" spans="1:72" x14ac:dyDescent="0.35">
      <c r="A180">
        <v>2019</v>
      </c>
      <c r="B180" t="s">
        <v>75</v>
      </c>
      <c r="C180" t="s">
        <v>76</v>
      </c>
      <c r="D180" s="2">
        <v>303184.59999999998</v>
      </c>
      <c r="E180">
        <v>342</v>
      </c>
      <c r="F180">
        <v>274</v>
      </c>
      <c r="G180">
        <v>9</v>
      </c>
      <c r="H180">
        <v>3714</v>
      </c>
      <c r="I180">
        <v>2380</v>
      </c>
      <c r="J180">
        <v>20</v>
      </c>
      <c r="K180">
        <v>98</v>
      </c>
      <c r="N180">
        <v>0</v>
      </c>
      <c r="O180">
        <v>9</v>
      </c>
      <c r="P180">
        <v>850</v>
      </c>
      <c r="Q180">
        <v>96</v>
      </c>
      <c r="W180">
        <v>8</v>
      </c>
      <c r="X180">
        <v>8</v>
      </c>
      <c r="AB180">
        <v>13</v>
      </c>
      <c r="AF180">
        <v>485</v>
      </c>
      <c r="AH180">
        <v>850</v>
      </c>
      <c r="AK180">
        <v>2000</v>
      </c>
      <c r="AL180">
        <v>380</v>
      </c>
      <c r="AO180">
        <v>3212</v>
      </c>
      <c r="AP180">
        <v>502</v>
      </c>
      <c r="AS180">
        <v>168</v>
      </c>
      <c r="AT180">
        <v>9</v>
      </c>
      <c r="AU180">
        <v>13</v>
      </c>
      <c r="AV180">
        <v>20</v>
      </c>
      <c r="AY180">
        <v>580</v>
      </c>
      <c r="BA180">
        <v>5870</v>
      </c>
      <c r="BB180">
        <v>253</v>
      </c>
      <c r="BC180">
        <v>11</v>
      </c>
      <c r="BE180">
        <v>3</v>
      </c>
      <c r="BI180">
        <v>68</v>
      </c>
      <c r="BJ180">
        <v>14</v>
      </c>
      <c r="BK180">
        <v>0</v>
      </c>
      <c r="BL180" s="10">
        <v>0</v>
      </c>
      <c r="BM180" s="11">
        <f t="shared" si="23"/>
        <v>747</v>
      </c>
      <c r="BN180" s="11">
        <f t="shared" si="16"/>
        <v>7428</v>
      </c>
      <c r="BO180" s="11">
        <f t="shared" si="17"/>
        <v>4760</v>
      </c>
      <c r="BP180" s="11">
        <f t="shared" si="18"/>
        <v>5870</v>
      </c>
      <c r="BQ180">
        <f t="shared" si="19"/>
        <v>116</v>
      </c>
      <c r="BR180">
        <f t="shared" si="20"/>
        <v>351</v>
      </c>
      <c r="BS180">
        <f t="shared" si="21"/>
        <v>168</v>
      </c>
      <c r="BT180">
        <f t="shared" si="22"/>
        <v>8</v>
      </c>
    </row>
    <row r="181" spans="1:72" x14ac:dyDescent="0.35">
      <c r="A181">
        <v>2019</v>
      </c>
      <c r="B181" t="s">
        <v>77</v>
      </c>
      <c r="C181" t="s">
        <v>78</v>
      </c>
      <c r="D181" s="2">
        <v>176455.7</v>
      </c>
      <c r="BM181" s="11">
        <f t="shared" si="23"/>
        <v>0</v>
      </c>
      <c r="BN181" s="11">
        <f t="shared" si="16"/>
        <v>0</v>
      </c>
      <c r="BO181" s="11">
        <f t="shared" si="17"/>
        <v>0</v>
      </c>
      <c r="BP181" s="11">
        <f t="shared" si="18"/>
        <v>0</v>
      </c>
      <c r="BQ181">
        <f t="shared" si="19"/>
        <v>0</v>
      </c>
      <c r="BR181">
        <f t="shared" si="20"/>
        <v>0</v>
      </c>
      <c r="BS181">
        <f t="shared" si="21"/>
        <v>0</v>
      </c>
      <c r="BT181">
        <f t="shared" si="22"/>
        <v>0</v>
      </c>
    </row>
    <row r="182" spans="1:72" x14ac:dyDescent="0.35">
      <c r="A182">
        <v>2019</v>
      </c>
      <c r="B182" t="s">
        <v>79</v>
      </c>
      <c r="C182" t="s">
        <v>80</v>
      </c>
      <c r="D182" s="2">
        <v>1041927.9</v>
      </c>
      <c r="E182">
        <v>888</v>
      </c>
      <c r="AI182">
        <v>888</v>
      </c>
      <c r="BM182" s="11">
        <f t="shared" si="23"/>
        <v>1776</v>
      </c>
      <c r="BN182" s="11">
        <f t="shared" si="16"/>
        <v>0</v>
      </c>
      <c r="BO182" s="11">
        <f t="shared" si="17"/>
        <v>0</v>
      </c>
      <c r="BP182" s="11">
        <f t="shared" si="18"/>
        <v>0</v>
      </c>
      <c r="BQ182">
        <f t="shared" si="19"/>
        <v>0</v>
      </c>
      <c r="BR182">
        <f t="shared" si="20"/>
        <v>0</v>
      </c>
      <c r="BS182">
        <f t="shared" si="21"/>
        <v>0</v>
      </c>
      <c r="BT182">
        <f t="shared" si="22"/>
        <v>0</v>
      </c>
    </row>
    <row r="183" spans="1:72" x14ac:dyDescent="0.35">
      <c r="A183">
        <v>2019</v>
      </c>
      <c r="B183" t="s">
        <v>81</v>
      </c>
      <c r="C183" t="s">
        <v>82</v>
      </c>
      <c r="D183" s="2">
        <v>1595456</v>
      </c>
      <c r="J183">
        <v>310</v>
      </c>
      <c r="P183">
        <v>179000</v>
      </c>
      <c r="Q183">
        <v>900</v>
      </c>
      <c r="R183">
        <v>30</v>
      </c>
      <c r="BM183" s="11">
        <f t="shared" si="23"/>
        <v>0</v>
      </c>
      <c r="BN183" s="11">
        <f t="shared" si="16"/>
        <v>0</v>
      </c>
      <c r="BO183" s="11">
        <f t="shared" si="17"/>
        <v>0</v>
      </c>
      <c r="BP183" s="11">
        <f t="shared" si="18"/>
        <v>0</v>
      </c>
      <c r="BQ183">
        <f t="shared" si="19"/>
        <v>1210</v>
      </c>
      <c r="BR183">
        <f t="shared" si="20"/>
        <v>0</v>
      </c>
      <c r="BS183">
        <f t="shared" si="21"/>
        <v>0</v>
      </c>
      <c r="BT183">
        <f t="shared" si="22"/>
        <v>0</v>
      </c>
    </row>
    <row r="184" spans="1:72" x14ac:dyDescent="0.35">
      <c r="A184">
        <v>2019</v>
      </c>
      <c r="B184" t="s">
        <v>83</v>
      </c>
      <c r="C184" t="s">
        <v>84</v>
      </c>
      <c r="D184" s="2">
        <v>641968.30000000005</v>
      </c>
      <c r="E184">
        <v>4386</v>
      </c>
      <c r="H184">
        <v>23035</v>
      </c>
      <c r="I184">
        <v>3223</v>
      </c>
      <c r="J184">
        <v>180</v>
      </c>
      <c r="K184">
        <v>856</v>
      </c>
      <c r="P184">
        <v>1846</v>
      </c>
      <c r="Q184">
        <v>390</v>
      </c>
      <c r="W184">
        <v>3207</v>
      </c>
      <c r="AB184">
        <v>929</v>
      </c>
      <c r="AE184">
        <v>2045</v>
      </c>
      <c r="AF184">
        <v>18</v>
      </c>
      <c r="AI184">
        <v>4386</v>
      </c>
      <c r="AL184">
        <v>3223</v>
      </c>
      <c r="AP184">
        <v>23035</v>
      </c>
      <c r="AY184">
        <v>4562</v>
      </c>
      <c r="BB184">
        <v>1312</v>
      </c>
      <c r="BC184">
        <v>864</v>
      </c>
      <c r="BM184" s="11">
        <f t="shared" si="23"/>
        <v>8772</v>
      </c>
      <c r="BN184" s="11">
        <f t="shared" si="16"/>
        <v>46070</v>
      </c>
      <c r="BO184" s="11">
        <f t="shared" si="17"/>
        <v>6446</v>
      </c>
      <c r="BP184" s="11">
        <f t="shared" si="18"/>
        <v>0</v>
      </c>
      <c r="BQ184">
        <f t="shared" si="19"/>
        <v>570</v>
      </c>
      <c r="BR184">
        <f t="shared" si="20"/>
        <v>2168</v>
      </c>
      <c r="BS184">
        <f t="shared" si="21"/>
        <v>0</v>
      </c>
      <c r="BT184">
        <f t="shared" si="22"/>
        <v>3207</v>
      </c>
    </row>
    <row r="185" spans="1:72" x14ac:dyDescent="0.35">
      <c r="A185">
        <v>2019</v>
      </c>
      <c r="B185" t="s">
        <v>85</v>
      </c>
      <c r="C185" t="s">
        <v>86</v>
      </c>
      <c r="D185" s="2">
        <v>483729.8</v>
      </c>
      <c r="J185">
        <v>248</v>
      </c>
      <c r="Q185">
        <v>329</v>
      </c>
      <c r="R185">
        <v>25</v>
      </c>
      <c r="BM185" s="11">
        <f t="shared" si="23"/>
        <v>0</v>
      </c>
      <c r="BN185" s="11">
        <f t="shared" si="16"/>
        <v>0</v>
      </c>
      <c r="BO185" s="11">
        <f t="shared" si="17"/>
        <v>0</v>
      </c>
      <c r="BP185" s="11">
        <f t="shared" si="18"/>
        <v>0</v>
      </c>
      <c r="BQ185">
        <f t="shared" si="19"/>
        <v>577</v>
      </c>
      <c r="BR185">
        <f t="shared" si="20"/>
        <v>0</v>
      </c>
      <c r="BS185">
        <f t="shared" si="21"/>
        <v>0</v>
      </c>
      <c r="BT185">
        <f t="shared" si="22"/>
        <v>0</v>
      </c>
    </row>
    <row r="186" spans="1:72" x14ac:dyDescent="0.35">
      <c r="A186">
        <v>2019</v>
      </c>
      <c r="B186" t="s">
        <v>87</v>
      </c>
      <c r="C186" t="s">
        <v>88</v>
      </c>
      <c r="D186" s="2">
        <v>101446.8</v>
      </c>
      <c r="E186">
        <v>248</v>
      </c>
      <c r="AI186">
        <v>248</v>
      </c>
      <c r="BE186">
        <v>34</v>
      </c>
      <c r="BJ186">
        <v>46</v>
      </c>
      <c r="BM186" s="11">
        <f t="shared" si="23"/>
        <v>576</v>
      </c>
      <c r="BN186" s="11">
        <f t="shared" si="16"/>
        <v>0</v>
      </c>
      <c r="BO186" s="11">
        <f t="shared" si="17"/>
        <v>0</v>
      </c>
      <c r="BP186" s="11">
        <f t="shared" si="18"/>
        <v>0</v>
      </c>
      <c r="BQ186">
        <f t="shared" si="19"/>
        <v>0</v>
      </c>
      <c r="BR186">
        <f t="shared" si="20"/>
        <v>0</v>
      </c>
      <c r="BS186">
        <f t="shared" si="21"/>
        <v>0</v>
      </c>
      <c r="BT186">
        <f t="shared" si="22"/>
        <v>0</v>
      </c>
    </row>
    <row r="187" spans="1:72" x14ac:dyDescent="0.35">
      <c r="A187">
        <v>2019</v>
      </c>
      <c r="B187" t="s">
        <v>89</v>
      </c>
      <c r="C187" t="s">
        <v>90</v>
      </c>
      <c r="D187" s="2">
        <v>266152.90000000002</v>
      </c>
      <c r="E187">
        <v>627</v>
      </c>
      <c r="F187">
        <v>230</v>
      </c>
      <c r="H187">
        <v>2134</v>
      </c>
      <c r="I187">
        <v>1619</v>
      </c>
      <c r="K187">
        <v>222</v>
      </c>
      <c r="L187">
        <v>884</v>
      </c>
      <c r="N187">
        <v>35</v>
      </c>
      <c r="O187">
        <v>16</v>
      </c>
      <c r="Q187">
        <v>25</v>
      </c>
      <c r="R187">
        <v>2</v>
      </c>
      <c r="S187">
        <v>1</v>
      </c>
      <c r="T187">
        <v>2</v>
      </c>
      <c r="U187">
        <v>17</v>
      </c>
      <c r="V187">
        <v>332</v>
      </c>
      <c r="W187">
        <v>21</v>
      </c>
      <c r="X187">
        <v>48</v>
      </c>
      <c r="Y187">
        <v>3845</v>
      </c>
      <c r="AB187">
        <v>139</v>
      </c>
      <c r="AE187">
        <v>195</v>
      </c>
      <c r="AF187">
        <v>518</v>
      </c>
      <c r="AG187">
        <v>14</v>
      </c>
      <c r="AK187">
        <v>834</v>
      </c>
      <c r="AL187">
        <v>785</v>
      </c>
      <c r="AO187">
        <v>899</v>
      </c>
      <c r="AP187">
        <v>1235</v>
      </c>
      <c r="AS187">
        <v>5</v>
      </c>
      <c r="AT187">
        <v>45</v>
      </c>
      <c r="AU187">
        <v>4</v>
      </c>
      <c r="AV187">
        <v>236</v>
      </c>
      <c r="AW187">
        <v>1353</v>
      </c>
      <c r="AX187">
        <v>1948</v>
      </c>
      <c r="AY187">
        <v>817</v>
      </c>
      <c r="BB187">
        <v>32</v>
      </c>
      <c r="BC187">
        <v>117</v>
      </c>
      <c r="BD187">
        <v>58</v>
      </c>
      <c r="BE187">
        <v>5</v>
      </c>
      <c r="BF187">
        <v>61</v>
      </c>
      <c r="BG187">
        <v>41</v>
      </c>
      <c r="BH187">
        <v>21</v>
      </c>
      <c r="BI187">
        <v>397</v>
      </c>
      <c r="BJ187">
        <v>63</v>
      </c>
      <c r="BM187" s="11">
        <f t="shared" si="23"/>
        <v>1651</v>
      </c>
      <c r="BN187" s="11">
        <f t="shared" si="16"/>
        <v>4268</v>
      </c>
      <c r="BO187" s="11">
        <f t="shared" si="17"/>
        <v>3238</v>
      </c>
      <c r="BP187" s="11">
        <f t="shared" si="18"/>
        <v>3845</v>
      </c>
      <c r="BQ187">
        <f t="shared" si="19"/>
        <v>25</v>
      </c>
      <c r="BR187">
        <f t="shared" si="20"/>
        <v>254</v>
      </c>
      <c r="BS187">
        <f t="shared" si="21"/>
        <v>6</v>
      </c>
      <c r="BT187">
        <f t="shared" si="22"/>
        <v>353</v>
      </c>
    </row>
    <row r="188" spans="1:72" x14ac:dyDescent="0.35">
      <c r="A188">
        <v>2019</v>
      </c>
      <c r="B188" t="s">
        <v>91</v>
      </c>
      <c r="C188" t="s">
        <v>92</v>
      </c>
      <c r="D188" s="2">
        <v>23881.9</v>
      </c>
      <c r="BM188" s="11">
        <f t="shared" si="23"/>
        <v>0</v>
      </c>
      <c r="BN188" s="11">
        <f t="shared" si="16"/>
        <v>0</v>
      </c>
      <c r="BO188" s="11">
        <f t="shared" si="17"/>
        <v>0</v>
      </c>
      <c r="BP188" s="11">
        <f t="shared" si="18"/>
        <v>0</v>
      </c>
      <c r="BQ188">
        <f t="shared" si="19"/>
        <v>0</v>
      </c>
      <c r="BR188">
        <f t="shared" si="20"/>
        <v>0</v>
      </c>
      <c r="BS188">
        <f t="shared" si="21"/>
        <v>0</v>
      </c>
      <c r="BT188">
        <f t="shared" si="22"/>
        <v>0</v>
      </c>
    </row>
    <row r="189" spans="1:72" x14ac:dyDescent="0.35">
      <c r="A189">
        <v>2019</v>
      </c>
      <c r="B189" t="s">
        <v>93</v>
      </c>
      <c r="C189" t="s">
        <v>94</v>
      </c>
      <c r="D189" s="2">
        <v>2192621.7000000002</v>
      </c>
      <c r="BM189" s="11">
        <f t="shared" si="23"/>
        <v>0</v>
      </c>
      <c r="BN189" s="11">
        <f t="shared" si="16"/>
        <v>0</v>
      </c>
      <c r="BO189" s="11">
        <f t="shared" si="17"/>
        <v>0</v>
      </c>
      <c r="BP189" s="11">
        <f t="shared" si="18"/>
        <v>0</v>
      </c>
      <c r="BQ189">
        <f t="shared" si="19"/>
        <v>0</v>
      </c>
      <c r="BR189">
        <f t="shared" si="20"/>
        <v>0</v>
      </c>
      <c r="BS189">
        <f t="shared" si="21"/>
        <v>0</v>
      </c>
      <c r="BT189">
        <f t="shared" si="22"/>
        <v>0</v>
      </c>
    </row>
    <row r="190" spans="1:72" x14ac:dyDescent="0.35">
      <c r="A190">
        <v>2018</v>
      </c>
      <c r="B190" t="s">
        <v>1</v>
      </c>
      <c r="C190" t="s">
        <v>2</v>
      </c>
      <c r="D190" s="2">
        <v>743373</v>
      </c>
      <c r="E190">
        <v>1684</v>
      </c>
      <c r="F190">
        <v>732</v>
      </c>
      <c r="J190">
        <v>91</v>
      </c>
      <c r="K190">
        <v>239</v>
      </c>
      <c r="Q190">
        <v>185</v>
      </c>
      <c r="R190">
        <v>2</v>
      </c>
      <c r="AF190">
        <v>648</v>
      </c>
      <c r="BI190">
        <v>952</v>
      </c>
      <c r="BM190" s="11">
        <f t="shared" si="23"/>
        <v>3368</v>
      </c>
      <c r="BN190" s="11">
        <f t="shared" si="16"/>
        <v>0</v>
      </c>
      <c r="BO190" s="11">
        <f t="shared" si="17"/>
        <v>0</v>
      </c>
      <c r="BP190" s="11">
        <f t="shared" si="18"/>
        <v>0</v>
      </c>
      <c r="BQ190">
        <f t="shared" si="19"/>
        <v>276</v>
      </c>
      <c r="BR190">
        <f t="shared" si="20"/>
        <v>239</v>
      </c>
      <c r="BS190">
        <f t="shared" si="21"/>
        <v>0</v>
      </c>
      <c r="BT190">
        <f t="shared" si="22"/>
        <v>0</v>
      </c>
    </row>
    <row r="191" spans="1:72" x14ac:dyDescent="0.35">
      <c r="A191">
        <v>2018</v>
      </c>
      <c r="B191" t="s">
        <v>3</v>
      </c>
      <c r="C191" t="s">
        <v>4</v>
      </c>
      <c r="D191" s="2">
        <v>204196.5</v>
      </c>
      <c r="E191">
        <v>335</v>
      </c>
      <c r="F191">
        <v>263</v>
      </c>
      <c r="H191">
        <v>1195</v>
      </c>
      <c r="J191">
        <v>10</v>
      </c>
      <c r="K191">
        <v>36</v>
      </c>
      <c r="P191">
        <v>115</v>
      </c>
      <c r="R191">
        <v>1</v>
      </c>
      <c r="AF191">
        <v>112</v>
      </c>
      <c r="AN191">
        <v>1195</v>
      </c>
      <c r="BI191">
        <v>72</v>
      </c>
      <c r="BM191" s="11">
        <f t="shared" si="23"/>
        <v>670</v>
      </c>
      <c r="BN191" s="11">
        <f t="shared" si="16"/>
        <v>2390</v>
      </c>
      <c r="BO191" s="11">
        <f t="shared" si="17"/>
        <v>0</v>
      </c>
      <c r="BP191" s="11">
        <f t="shared" si="18"/>
        <v>0</v>
      </c>
      <c r="BQ191">
        <f t="shared" si="19"/>
        <v>10</v>
      </c>
      <c r="BR191">
        <f t="shared" si="20"/>
        <v>36</v>
      </c>
      <c r="BS191">
        <f t="shared" si="21"/>
        <v>0</v>
      </c>
      <c r="BT191">
        <f t="shared" si="22"/>
        <v>0</v>
      </c>
    </row>
    <row r="192" spans="1:72" x14ac:dyDescent="0.35">
      <c r="A192">
        <v>2018</v>
      </c>
      <c r="B192" t="s">
        <v>5</v>
      </c>
      <c r="C192" t="s">
        <v>6</v>
      </c>
      <c r="D192" s="2">
        <v>6389.2</v>
      </c>
      <c r="H192">
        <v>406</v>
      </c>
      <c r="AN192">
        <v>406</v>
      </c>
      <c r="BM192" s="11">
        <f t="shared" si="23"/>
        <v>0</v>
      </c>
      <c r="BN192" s="11">
        <f t="shared" si="16"/>
        <v>812</v>
      </c>
      <c r="BO192" s="11">
        <f t="shared" si="17"/>
        <v>0</v>
      </c>
      <c r="BP192" s="11">
        <f t="shared" si="18"/>
        <v>0</v>
      </c>
      <c r="BQ192">
        <f t="shared" si="19"/>
        <v>0</v>
      </c>
      <c r="BR192">
        <f t="shared" si="20"/>
        <v>0</v>
      </c>
      <c r="BS192">
        <f t="shared" si="21"/>
        <v>0</v>
      </c>
      <c r="BT192">
        <f t="shared" si="22"/>
        <v>0</v>
      </c>
    </row>
    <row r="193" spans="1:72" x14ac:dyDescent="0.35">
      <c r="A193">
        <v>2018</v>
      </c>
      <c r="B193" t="s">
        <v>7</v>
      </c>
      <c r="C193" t="s">
        <v>8</v>
      </c>
      <c r="D193" s="2">
        <v>3612384.5</v>
      </c>
      <c r="H193">
        <v>93326</v>
      </c>
      <c r="J193">
        <v>404</v>
      </c>
      <c r="K193">
        <v>1687</v>
      </c>
      <c r="AF193">
        <v>2934</v>
      </c>
      <c r="AN193">
        <v>41948</v>
      </c>
      <c r="AO193">
        <v>14398</v>
      </c>
      <c r="AP193">
        <v>36980</v>
      </c>
      <c r="BM193" s="11">
        <f t="shared" si="23"/>
        <v>0</v>
      </c>
      <c r="BN193" s="11">
        <f t="shared" si="16"/>
        <v>186652</v>
      </c>
      <c r="BO193" s="11">
        <f t="shared" si="17"/>
        <v>0</v>
      </c>
      <c r="BP193" s="11">
        <f t="shared" si="18"/>
        <v>0</v>
      </c>
      <c r="BQ193">
        <f t="shared" si="19"/>
        <v>404</v>
      </c>
      <c r="BR193">
        <f t="shared" si="20"/>
        <v>1687</v>
      </c>
      <c r="BS193">
        <f t="shared" si="21"/>
        <v>0</v>
      </c>
      <c r="BT193">
        <f t="shared" si="22"/>
        <v>0</v>
      </c>
    </row>
    <row r="194" spans="1:72" x14ac:dyDescent="0.35">
      <c r="A194">
        <v>2018</v>
      </c>
      <c r="B194" t="s">
        <v>9</v>
      </c>
      <c r="C194" t="s">
        <v>10</v>
      </c>
      <c r="D194" s="2">
        <v>3612346.7</v>
      </c>
      <c r="E194">
        <v>8395</v>
      </c>
      <c r="F194">
        <v>5867</v>
      </c>
      <c r="H194">
        <v>61772</v>
      </c>
      <c r="I194">
        <v>16159</v>
      </c>
      <c r="J194">
        <v>1889</v>
      </c>
      <c r="K194">
        <v>10752</v>
      </c>
      <c r="P194">
        <v>37259</v>
      </c>
      <c r="AF194">
        <v>10450</v>
      </c>
      <c r="AL194">
        <v>16159</v>
      </c>
      <c r="AP194">
        <v>61772</v>
      </c>
      <c r="AT194">
        <v>200</v>
      </c>
      <c r="AV194">
        <v>36</v>
      </c>
      <c r="BI194">
        <v>2528</v>
      </c>
      <c r="BM194" s="11">
        <f t="shared" si="23"/>
        <v>17026</v>
      </c>
      <c r="BN194" s="11">
        <f t="shared" si="16"/>
        <v>123544</v>
      </c>
      <c r="BO194" s="11">
        <f t="shared" si="17"/>
        <v>32318</v>
      </c>
      <c r="BP194" s="11">
        <f t="shared" si="18"/>
        <v>0</v>
      </c>
      <c r="BQ194">
        <f t="shared" si="19"/>
        <v>1889</v>
      </c>
      <c r="BR194">
        <f t="shared" si="20"/>
        <v>10752</v>
      </c>
      <c r="BS194">
        <f t="shared" si="21"/>
        <v>0</v>
      </c>
      <c r="BT194">
        <f t="shared" si="22"/>
        <v>0</v>
      </c>
    </row>
    <row r="195" spans="1:72" x14ac:dyDescent="0.35">
      <c r="A195">
        <v>2018</v>
      </c>
      <c r="B195" t="s">
        <v>11</v>
      </c>
      <c r="C195" t="s">
        <v>12</v>
      </c>
      <c r="D195" s="2">
        <v>7300350.5</v>
      </c>
      <c r="E195">
        <v>74543</v>
      </c>
      <c r="F195">
        <v>71508</v>
      </c>
      <c r="H195">
        <v>110105</v>
      </c>
      <c r="I195">
        <v>71237</v>
      </c>
      <c r="J195">
        <v>4358</v>
      </c>
      <c r="K195">
        <v>24668</v>
      </c>
      <c r="N195">
        <v>56</v>
      </c>
      <c r="P195">
        <v>116454</v>
      </c>
      <c r="Q195">
        <v>19269</v>
      </c>
      <c r="R195">
        <v>6165</v>
      </c>
      <c r="T195">
        <v>1029</v>
      </c>
      <c r="X195">
        <v>370</v>
      </c>
      <c r="AB195">
        <v>2578</v>
      </c>
      <c r="AE195">
        <v>29246</v>
      </c>
      <c r="AF195">
        <v>26677</v>
      </c>
      <c r="AL195">
        <v>71237</v>
      </c>
      <c r="AP195">
        <v>110105</v>
      </c>
      <c r="AT195">
        <v>404</v>
      </c>
      <c r="AU195">
        <v>4626</v>
      </c>
      <c r="BB195">
        <v>5793</v>
      </c>
      <c r="BC195">
        <v>4793</v>
      </c>
      <c r="BD195">
        <v>360</v>
      </c>
      <c r="BE195">
        <v>116</v>
      </c>
      <c r="BI195">
        <v>3035</v>
      </c>
      <c r="BM195" s="11">
        <f t="shared" si="23"/>
        <v>149976</v>
      </c>
      <c r="BN195" s="11">
        <f t="shared" ref="BN195:BN258" si="24">H195+AP195+AO195+AN195+AQ195+AR195</f>
        <v>220210</v>
      </c>
      <c r="BO195" s="11">
        <f t="shared" ref="BO195:BO258" si="25">I195+AK195+AL195+AM195</f>
        <v>142474</v>
      </c>
      <c r="BP195" s="11">
        <f t="shared" ref="BP195:BP258" si="26">AZ195+Y195+AA195+BA195</f>
        <v>0</v>
      </c>
      <c r="BQ195">
        <f t="shared" ref="BQ195:BQ258" si="27">J195+Q195</f>
        <v>23627</v>
      </c>
      <c r="BR195">
        <f t="shared" ref="BR195:BR258" si="28">K195+BB195</f>
        <v>30461</v>
      </c>
      <c r="BS195">
        <f t="shared" ref="BS195:BS258" si="29">S195+AS195</f>
        <v>0</v>
      </c>
      <c r="BT195">
        <f t="shared" ref="BT195:BT258" si="30">V195+W195</f>
        <v>0</v>
      </c>
    </row>
    <row r="196" spans="1:72" x14ac:dyDescent="0.35">
      <c r="A196">
        <v>2018</v>
      </c>
      <c r="B196" t="s">
        <v>13</v>
      </c>
      <c r="C196" t="s">
        <v>14</v>
      </c>
      <c r="D196" s="2">
        <v>63976.2</v>
      </c>
      <c r="E196">
        <v>1368</v>
      </c>
      <c r="F196">
        <v>570</v>
      </c>
      <c r="H196">
        <v>6085</v>
      </c>
      <c r="J196">
        <v>40</v>
      </c>
      <c r="K196">
        <v>227</v>
      </c>
      <c r="AF196">
        <v>439</v>
      </c>
      <c r="AN196">
        <v>6085</v>
      </c>
      <c r="BI196">
        <v>798</v>
      </c>
      <c r="BM196" s="11">
        <f t="shared" ref="BM196:BM259" si="31">E196+F196+BI196+X196+AT196+BE196+G196+BJ196+AV196+AI196</f>
        <v>2736</v>
      </c>
      <c r="BN196" s="11">
        <f t="shared" si="24"/>
        <v>12170</v>
      </c>
      <c r="BO196" s="11">
        <f t="shared" si="25"/>
        <v>0</v>
      </c>
      <c r="BP196" s="11">
        <f t="shared" si="26"/>
        <v>0</v>
      </c>
      <c r="BQ196">
        <f t="shared" si="27"/>
        <v>40</v>
      </c>
      <c r="BR196">
        <f t="shared" si="28"/>
        <v>227</v>
      </c>
      <c r="BS196">
        <f t="shared" si="29"/>
        <v>0</v>
      </c>
      <c r="BT196">
        <f t="shared" si="30"/>
        <v>0</v>
      </c>
    </row>
    <row r="197" spans="1:72" x14ac:dyDescent="0.35">
      <c r="A197">
        <v>2018</v>
      </c>
      <c r="B197" t="s">
        <v>15</v>
      </c>
      <c r="C197" t="s">
        <v>16</v>
      </c>
      <c r="D197" s="2">
        <v>143140.70000000001</v>
      </c>
      <c r="E197">
        <v>850</v>
      </c>
      <c r="F197">
        <v>487</v>
      </c>
      <c r="H197">
        <v>4066</v>
      </c>
      <c r="I197">
        <v>671</v>
      </c>
      <c r="J197">
        <v>112</v>
      </c>
      <c r="K197">
        <v>78</v>
      </c>
      <c r="W197">
        <v>5</v>
      </c>
      <c r="AL197">
        <v>671</v>
      </c>
      <c r="AN197">
        <v>3605</v>
      </c>
      <c r="AP197">
        <v>461</v>
      </c>
      <c r="AQ197">
        <v>11</v>
      </c>
      <c r="AR197">
        <v>80</v>
      </c>
      <c r="BI197">
        <v>363</v>
      </c>
      <c r="BM197" s="11">
        <f t="shared" si="31"/>
        <v>1700</v>
      </c>
      <c r="BN197" s="11">
        <f t="shared" si="24"/>
        <v>8223</v>
      </c>
      <c r="BO197" s="11">
        <f t="shared" si="25"/>
        <v>1342</v>
      </c>
      <c r="BP197" s="11">
        <f t="shared" si="26"/>
        <v>0</v>
      </c>
      <c r="BQ197">
        <f t="shared" si="27"/>
        <v>112</v>
      </c>
      <c r="BR197">
        <f t="shared" si="28"/>
        <v>78</v>
      </c>
      <c r="BS197">
        <f t="shared" si="29"/>
        <v>0</v>
      </c>
      <c r="BT197">
        <f t="shared" si="30"/>
        <v>5</v>
      </c>
    </row>
    <row r="198" spans="1:72" x14ac:dyDescent="0.35">
      <c r="A198">
        <v>2018</v>
      </c>
      <c r="B198" t="s">
        <v>17</v>
      </c>
      <c r="C198" t="s">
        <v>18</v>
      </c>
      <c r="D198" s="2">
        <v>30300.3</v>
      </c>
      <c r="E198">
        <v>278</v>
      </c>
      <c r="F198">
        <v>211</v>
      </c>
      <c r="H198">
        <v>4706</v>
      </c>
      <c r="J198">
        <v>74</v>
      </c>
      <c r="K198">
        <v>281</v>
      </c>
      <c r="P198">
        <v>6324</v>
      </c>
      <c r="AF198">
        <v>370</v>
      </c>
      <c r="AO198">
        <v>1029</v>
      </c>
      <c r="AP198">
        <v>3677</v>
      </c>
      <c r="BI198">
        <v>67</v>
      </c>
      <c r="BM198" s="11">
        <f t="shared" si="31"/>
        <v>556</v>
      </c>
      <c r="BN198" s="11">
        <f t="shared" si="24"/>
        <v>9412</v>
      </c>
      <c r="BO198" s="11">
        <f t="shared" si="25"/>
        <v>0</v>
      </c>
      <c r="BP198" s="11">
        <f t="shared" si="26"/>
        <v>0</v>
      </c>
      <c r="BQ198">
        <f t="shared" si="27"/>
        <v>74</v>
      </c>
      <c r="BR198">
        <f t="shared" si="28"/>
        <v>281</v>
      </c>
      <c r="BS198">
        <f t="shared" si="29"/>
        <v>0</v>
      </c>
      <c r="BT198">
        <f t="shared" si="30"/>
        <v>0</v>
      </c>
    </row>
    <row r="199" spans="1:72" x14ac:dyDescent="0.35">
      <c r="A199">
        <v>2018</v>
      </c>
      <c r="B199" t="s">
        <v>19</v>
      </c>
      <c r="C199" t="s">
        <v>20</v>
      </c>
      <c r="D199" s="2">
        <v>59244.9</v>
      </c>
      <c r="E199">
        <v>998</v>
      </c>
      <c r="F199">
        <v>815</v>
      </c>
      <c r="H199">
        <v>6866</v>
      </c>
      <c r="J199">
        <v>159</v>
      </c>
      <c r="K199">
        <v>398</v>
      </c>
      <c r="P199">
        <v>14508</v>
      </c>
      <c r="AF199">
        <v>205</v>
      </c>
      <c r="AO199">
        <v>2180</v>
      </c>
      <c r="AP199">
        <v>4686</v>
      </c>
      <c r="BI199">
        <v>183</v>
      </c>
      <c r="BM199" s="11">
        <f t="shared" si="31"/>
        <v>1996</v>
      </c>
      <c r="BN199" s="11">
        <f t="shared" si="24"/>
        <v>13732</v>
      </c>
      <c r="BO199" s="11">
        <f t="shared" si="25"/>
        <v>0</v>
      </c>
      <c r="BP199" s="11">
        <f t="shared" si="26"/>
        <v>0</v>
      </c>
      <c r="BQ199">
        <f t="shared" si="27"/>
        <v>159</v>
      </c>
      <c r="BR199">
        <f t="shared" si="28"/>
        <v>398</v>
      </c>
      <c r="BS199">
        <f t="shared" si="29"/>
        <v>0</v>
      </c>
      <c r="BT199">
        <f t="shared" si="30"/>
        <v>0</v>
      </c>
    </row>
    <row r="200" spans="1:72" x14ac:dyDescent="0.35">
      <c r="A200">
        <v>2018</v>
      </c>
      <c r="B200" t="s">
        <v>21</v>
      </c>
      <c r="C200" t="s">
        <v>22</v>
      </c>
      <c r="D200" s="2">
        <v>1036361.6</v>
      </c>
      <c r="E200">
        <v>72604</v>
      </c>
      <c r="F200">
        <v>32774</v>
      </c>
      <c r="G200">
        <v>19815</v>
      </c>
      <c r="H200">
        <v>56411</v>
      </c>
      <c r="I200">
        <v>8948</v>
      </c>
      <c r="J200">
        <v>15437</v>
      </c>
      <c r="K200">
        <v>18807</v>
      </c>
      <c r="L200">
        <v>25611</v>
      </c>
      <c r="O200">
        <v>515</v>
      </c>
      <c r="Q200">
        <v>46</v>
      </c>
      <c r="R200">
        <v>729</v>
      </c>
      <c r="S200">
        <v>406</v>
      </c>
      <c r="U200">
        <v>240</v>
      </c>
      <c r="W200">
        <v>1258</v>
      </c>
      <c r="X200">
        <v>2960</v>
      </c>
      <c r="Z200">
        <v>653</v>
      </c>
      <c r="AB200">
        <v>6245</v>
      </c>
      <c r="AC200">
        <v>900</v>
      </c>
      <c r="AD200">
        <v>2148</v>
      </c>
      <c r="AE200">
        <v>15238</v>
      </c>
      <c r="AF200">
        <v>136</v>
      </c>
      <c r="AG200">
        <v>107</v>
      </c>
      <c r="AJ200">
        <v>168</v>
      </c>
      <c r="AK200">
        <v>209</v>
      </c>
      <c r="AL200">
        <v>8739</v>
      </c>
      <c r="AO200">
        <v>11238</v>
      </c>
      <c r="AP200">
        <v>45173</v>
      </c>
      <c r="AT200">
        <v>3114</v>
      </c>
      <c r="AU200">
        <v>1533</v>
      </c>
      <c r="AV200">
        <v>3792</v>
      </c>
      <c r="AW200">
        <v>6184</v>
      </c>
      <c r="AX200">
        <v>75033</v>
      </c>
      <c r="AY200">
        <v>365</v>
      </c>
      <c r="BA200">
        <v>42507</v>
      </c>
      <c r="BB200">
        <v>880</v>
      </c>
      <c r="BC200">
        <v>1751</v>
      </c>
      <c r="BD200">
        <v>220</v>
      </c>
      <c r="BE200">
        <v>1192</v>
      </c>
      <c r="BF200">
        <v>4403</v>
      </c>
      <c r="BI200">
        <v>39830</v>
      </c>
      <c r="BJ200">
        <v>8957</v>
      </c>
      <c r="BM200" s="11">
        <f t="shared" si="31"/>
        <v>185038</v>
      </c>
      <c r="BN200" s="11">
        <f t="shared" si="24"/>
        <v>112822</v>
      </c>
      <c r="BO200" s="11">
        <f t="shared" si="25"/>
        <v>17896</v>
      </c>
      <c r="BP200" s="11">
        <f t="shared" si="26"/>
        <v>42507</v>
      </c>
      <c r="BQ200">
        <f t="shared" si="27"/>
        <v>15483</v>
      </c>
      <c r="BR200">
        <f t="shared" si="28"/>
        <v>19687</v>
      </c>
      <c r="BS200">
        <f t="shared" si="29"/>
        <v>406</v>
      </c>
      <c r="BT200">
        <f t="shared" si="30"/>
        <v>1258</v>
      </c>
    </row>
    <row r="201" spans="1:72" x14ac:dyDescent="0.35">
      <c r="A201">
        <v>2018</v>
      </c>
      <c r="B201" t="s">
        <v>23</v>
      </c>
      <c r="C201" t="s">
        <v>24</v>
      </c>
      <c r="D201" s="2">
        <v>1224269.3</v>
      </c>
      <c r="E201">
        <v>6593</v>
      </c>
      <c r="F201">
        <v>3043</v>
      </c>
      <c r="H201">
        <v>12554</v>
      </c>
      <c r="J201">
        <v>1652</v>
      </c>
      <c r="K201">
        <v>2302</v>
      </c>
      <c r="P201">
        <v>1680</v>
      </c>
      <c r="AF201">
        <v>98</v>
      </c>
      <c r="AO201">
        <v>3237</v>
      </c>
      <c r="AP201">
        <v>9317</v>
      </c>
      <c r="BI201">
        <v>3550</v>
      </c>
      <c r="BM201" s="11">
        <f t="shared" si="31"/>
        <v>13186</v>
      </c>
      <c r="BN201" s="11">
        <f t="shared" si="24"/>
        <v>25108</v>
      </c>
      <c r="BO201" s="11">
        <f t="shared" si="25"/>
        <v>0</v>
      </c>
      <c r="BP201" s="11">
        <f t="shared" si="26"/>
        <v>0</v>
      </c>
      <c r="BQ201">
        <f t="shared" si="27"/>
        <v>1652</v>
      </c>
      <c r="BR201">
        <f t="shared" si="28"/>
        <v>2302</v>
      </c>
      <c r="BS201">
        <f t="shared" si="29"/>
        <v>0</v>
      </c>
      <c r="BT201">
        <f t="shared" si="30"/>
        <v>0</v>
      </c>
    </row>
    <row r="202" spans="1:72" x14ac:dyDescent="0.35">
      <c r="A202">
        <v>2018</v>
      </c>
      <c r="B202" t="s">
        <v>25</v>
      </c>
      <c r="C202" t="s">
        <v>26</v>
      </c>
      <c r="D202" s="2">
        <v>442748.4</v>
      </c>
      <c r="E202">
        <v>908</v>
      </c>
      <c r="F202">
        <v>346</v>
      </c>
      <c r="G202">
        <v>13</v>
      </c>
      <c r="H202">
        <v>3410</v>
      </c>
      <c r="I202">
        <v>1055</v>
      </c>
      <c r="J202">
        <v>12</v>
      </c>
      <c r="K202">
        <v>306</v>
      </c>
      <c r="L202">
        <v>4463</v>
      </c>
      <c r="W202">
        <v>255</v>
      </c>
      <c r="X202">
        <v>47</v>
      </c>
      <c r="AB202">
        <v>137</v>
      </c>
      <c r="AF202">
        <v>668</v>
      </c>
      <c r="AL202">
        <v>1055</v>
      </c>
      <c r="AP202">
        <v>3410</v>
      </c>
      <c r="AT202">
        <v>76</v>
      </c>
      <c r="AV202">
        <v>334</v>
      </c>
      <c r="AY202">
        <v>5086</v>
      </c>
      <c r="BB202">
        <v>45</v>
      </c>
      <c r="BC202">
        <v>58</v>
      </c>
      <c r="BE202">
        <v>6</v>
      </c>
      <c r="BH202">
        <v>102</v>
      </c>
      <c r="BI202">
        <v>562</v>
      </c>
      <c r="BJ202">
        <v>8</v>
      </c>
      <c r="BM202" s="11">
        <f t="shared" si="31"/>
        <v>2300</v>
      </c>
      <c r="BN202" s="11">
        <f t="shared" si="24"/>
        <v>6820</v>
      </c>
      <c r="BO202" s="11">
        <f t="shared" si="25"/>
        <v>2110</v>
      </c>
      <c r="BP202" s="11">
        <f t="shared" si="26"/>
        <v>0</v>
      </c>
      <c r="BQ202">
        <f t="shared" si="27"/>
        <v>12</v>
      </c>
      <c r="BR202">
        <f t="shared" si="28"/>
        <v>351</v>
      </c>
      <c r="BS202">
        <f t="shared" si="29"/>
        <v>0</v>
      </c>
      <c r="BT202">
        <f t="shared" si="30"/>
        <v>255</v>
      </c>
    </row>
    <row r="203" spans="1:72" x14ac:dyDescent="0.35">
      <c r="A203">
        <v>2018</v>
      </c>
      <c r="B203" t="s">
        <v>27</v>
      </c>
      <c r="C203" t="s">
        <v>28</v>
      </c>
      <c r="D203" s="2">
        <v>62387.4</v>
      </c>
      <c r="E203">
        <v>925</v>
      </c>
      <c r="F203">
        <v>807</v>
      </c>
      <c r="H203">
        <v>7645</v>
      </c>
      <c r="J203">
        <v>96</v>
      </c>
      <c r="K203">
        <v>156</v>
      </c>
      <c r="L203">
        <v>534</v>
      </c>
      <c r="M203">
        <v>927</v>
      </c>
      <c r="N203">
        <v>9</v>
      </c>
      <c r="O203">
        <v>16</v>
      </c>
      <c r="Q203">
        <v>27</v>
      </c>
      <c r="R203">
        <v>27</v>
      </c>
      <c r="S203">
        <v>40</v>
      </c>
      <c r="U203">
        <v>36</v>
      </c>
      <c r="Y203">
        <v>1563</v>
      </c>
      <c r="Z203">
        <v>24</v>
      </c>
      <c r="AB203">
        <v>134</v>
      </c>
      <c r="AC203">
        <v>156</v>
      </c>
      <c r="AD203">
        <v>63</v>
      </c>
      <c r="AE203">
        <v>318</v>
      </c>
      <c r="AF203">
        <v>160</v>
      </c>
      <c r="AH203">
        <v>73</v>
      </c>
      <c r="AP203">
        <v>7645</v>
      </c>
      <c r="AS203">
        <v>3</v>
      </c>
      <c r="AU203">
        <v>5</v>
      </c>
      <c r="AW203">
        <v>1248</v>
      </c>
      <c r="AX203">
        <v>3342</v>
      </c>
      <c r="AY203">
        <v>10</v>
      </c>
      <c r="BB203">
        <v>435</v>
      </c>
      <c r="BC203">
        <v>42</v>
      </c>
      <c r="BF203">
        <v>16</v>
      </c>
      <c r="BI203">
        <v>118</v>
      </c>
      <c r="BM203" s="11">
        <f t="shared" si="31"/>
        <v>1850</v>
      </c>
      <c r="BN203" s="11">
        <f t="shared" si="24"/>
        <v>15290</v>
      </c>
      <c r="BO203" s="11">
        <f t="shared" si="25"/>
        <v>0</v>
      </c>
      <c r="BP203" s="11">
        <f t="shared" si="26"/>
        <v>1563</v>
      </c>
      <c r="BQ203">
        <f t="shared" si="27"/>
        <v>123</v>
      </c>
      <c r="BR203">
        <f t="shared" si="28"/>
        <v>591</v>
      </c>
      <c r="BS203">
        <f t="shared" si="29"/>
        <v>43</v>
      </c>
      <c r="BT203">
        <f t="shared" si="30"/>
        <v>0</v>
      </c>
    </row>
    <row r="204" spans="1:72" x14ac:dyDescent="0.35">
      <c r="A204">
        <v>2018</v>
      </c>
      <c r="B204" t="s">
        <v>29</v>
      </c>
      <c r="C204" t="s">
        <v>30</v>
      </c>
      <c r="D204" s="2">
        <v>421562</v>
      </c>
      <c r="H204">
        <v>9156</v>
      </c>
      <c r="J204">
        <v>14</v>
      </c>
      <c r="K204">
        <v>119</v>
      </c>
      <c r="P204">
        <v>11845</v>
      </c>
      <c r="AF204">
        <v>1071</v>
      </c>
      <c r="AN204">
        <v>9156</v>
      </c>
      <c r="AT204">
        <v>20</v>
      </c>
      <c r="AV204">
        <v>5</v>
      </c>
      <c r="BJ204">
        <v>20</v>
      </c>
      <c r="BM204" s="11">
        <f t="shared" si="31"/>
        <v>45</v>
      </c>
      <c r="BN204" s="11">
        <f t="shared" si="24"/>
        <v>18312</v>
      </c>
      <c r="BO204" s="11">
        <f t="shared" si="25"/>
        <v>0</v>
      </c>
      <c r="BP204" s="11">
        <f t="shared" si="26"/>
        <v>0</v>
      </c>
      <c r="BQ204">
        <f t="shared" si="27"/>
        <v>14</v>
      </c>
      <c r="BR204">
        <f t="shared" si="28"/>
        <v>119</v>
      </c>
      <c r="BS204">
        <f t="shared" si="29"/>
        <v>0</v>
      </c>
      <c r="BT204">
        <f t="shared" si="30"/>
        <v>0</v>
      </c>
    </row>
    <row r="205" spans="1:72" x14ac:dyDescent="0.35">
      <c r="A205">
        <v>2018</v>
      </c>
      <c r="B205" t="s">
        <v>31</v>
      </c>
      <c r="C205" t="s">
        <v>32</v>
      </c>
      <c r="D205" s="2">
        <v>10880.9</v>
      </c>
      <c r="E205">
        <v>452</v>
      </c>
      <c r="F205">
        <v>165</v>
      </c>
      <c r="H205">
        <v>706</v>
      </c>
      <c r="J205">
        <v>81</v>
      </c>
      <c r="K205">
        <v>172</v>
      </c>
      <c r="P205">
        <v>117</v>
      </c>
      <c r="AF205">
        <v>65</v>
      </c>
      <c r="AN205">
        <v>706</v>
      </c>
      <c r="BI205">
        <v>287</v>
      </c>
      <c r="BJ205">
        <v>12</v>
      </c>
      <c r="BM205" s="11">
        <f t="shared" si="31"/>
        <v>916</v>
      </c>
      <c r="BN205" s="11">
        <f t="shared" si="24"/>
        <v>1412</v>
      </c>
      <c r="BO205" s="11">
        <f t="shared" si="25"/>
        <v>0</v>
      </c>
      <c r="BP205" s="11">
        <f t="shared" si="26"/>
        <v>0</v>
      </c>
      <c r="BQ205">
        <f t="shared" si="27"/>
        <v>81</v>
      </c>
      <c r="BR205">
        <f t="shared" si="28"/>
        <v>172</v>
      </c>
      <c r="BS205">
        <f t="shared" si="29"/>
        <v>0</v>
      </c>
      <c r="BT205">
        <f t="shared" si="30"/>
        <v>0</v>
      </c>
    </row>
    <row r="206" spans="1:72" x14ac:dyDescent="0.35">
      <c r="A206">
        <v>2018</v>
      </c>
      <c r="B206" t="s">
        <v>33</v>
      </c>
      <c r="C206" t="s">
        <v>34</v>
      </c>
      <c r="D206" s="2">
        <v>903131.8</v>
      </c>
      <c r="E206">
        <v>3259</v>
      </c>
      <c r="F206">
        <v>2400</v>
      </c>
      <c r="H206">
        <v>9156</v>
      </c>
      <c r="K206">
        <v>14</v>
      </c>
      <c r="AF206">
        <v>241</v>
      </c>
      <c r="AN206">
        <v>9156</v>
      </c>
      <c r="BI206">
        <v>859</v>
      </c>
      <c r="BM206" s="11">
        <f t="shared" si="31"/>
        <v>6518</v>
      </c>
      <c r="BN206" s="11">
        <f t="shared" si="24"/>
        <v>18312</v>
      </c>
      <c r="BO206" s="11">
        <f t="shared" si="25"/>
        <v>0</v>
      </c>
      <c r="BP206" s="11">
        <f t="shared" si="26"/>
        <v>0</v>
      </c>
      <c r="BQ206">
        <f t="shared" si="27"/>
        <v>0</v>
      </c>
      <c r="BR206">
        <f t="shared" si="28"/>
        <v>14</v>
      </c>
      <c r="BS206">
        <f t="shared" si="29"/>
        <v>0</v>
      </c>
      <c r="BT206">
        <f t="shared" si="30"/>
        <v>0</v>
      </c>
    </row>
    <row r="207" spans="1:72" x14ac:dyDescent="0.35">
      <c r="A207">
        <v>2018</v>
      </c>
      <c r="B207" t="s">
        <v>35</v>
      </c>
      <c r="C207" t="s">
        <v>36</v>
      </c>
      <c r="D207" s="2">
        <v>661394.80000000005</v>
      </c>
      <c r="E207">
        <v>803</v>
      </c>
      <c r="F207">
        <v>646</v>
      </c>
      <c r="H207">
        <v>4799</v>
      </c>
      <c r="J207">
        <v>3</v>
      </c>
      <c r="K207">
        <v>269</v>
      </c>
      <c r="AF207">
        <v>749</v>
      </c>
      <c r="AN207">
        <v>4799</v>
      </c>
      <c r="BI207">
        <v>157</v>
      </c>
      <c r="BM207" s="11">
        <f t="shared" si="31"/>
        <v>1606</v>
      </c>
      <c r="BN207" s="11">
        <f t="shared" si="24"/>
        <v>9598</v>
      </c>
      <c r="BO207" s="11">
        <f t="shared" si="25"/>
        <v>0</v>
      </c>
      <c r="BP207" s="11">
        <f t="shared" si="26"/>
        <v>0</v>
      </c>
      <c r="BQ207">
        <f t="shared" si="27"/>
        <v>3</v>
      </c>
      <c r="BR207">
        <f t="shared" si="28"/>
        <v>269</v>
      </c>
      <c r="BS207">
        <f t="shared" si="29"/>
        <v>0</v>
      </c>
      <c r="BT207">
        <f t="shared" si="30"/>
        <v>0</v>
      </c>
    </row>
    <row r="208" spans="1:72" x14ac:dyDescent="0.35">
      <c r="A208">
        <v>2018</v>
      </c>
      <c r="B208" t="s">
        <v>37</v>
      </c>
      <c r="C208" t="s">
        <v>38</v>
      </c>
      <c r="D208" s="2">
        <v>875669</v>
      </c>
      <c r="E208">
        <v>5602</v>
      </c>
      <c r="F208">
        <v>4246</v>
      </c>
      <c r="H208">
        <v>15163</v>
      </c>
      <c r="J208">
        <v>506</v>
      </c>
      <c r="K208">
        <v>2495</v>
      </c>
      <c r="P208">
        <v>14556</v>
      </c>
      <c r="AO208">
        <v>3595</v>
      </c>
      <c r="AP208">
        <v>11568</v>
      </c>
      <c r="BI208">
        <v>1356</v>
      </c>
      <c r="BM208" s="11">
        <f t="shared" si="31"/>
        <v>11204</v>
      </c>
      <c r="BN208" s="11">
        <f t="shared" si="24"/>
        <v>30326</v>
      </c>
      <c r="BO208" s="11">
        <f t="shared" si="25"/>
        <v>0</v>
      </c>
      <c r="BP208" s="11">
        <f t="shared" si="26"/>
        <v>0</v>
      </c>
      <c r="BQ208">
        <f t="shared" si="27"/>
        <v>506</v>
      </c>
      <c r="BR208">
        <f t="shared" si="28"/>
        <v>2495</v>
      </c>
      <c r="BS208">
        <f t="shared" si="29"/>
        <v>0</v>
      </c>
      <c r="BT208">
        <f t="shared" si="30"/>
        <v>0</v>
      </c>
    </row>
    <row r="209" spans="1:72" x14ac:dyDescent="0.35">
      <c r="A209">
        <v>2018</v>
      </c>
      <c r="B209" t="s">
        <v>39</v>
      </c>
      <c r="C209" t="s">
        <v>40</v>
      </c>
      <c r="D209" s="2">
        <v>47969.599999999999</v>
      </c>
      <c r="K209">
        <v>10</v>
      </c>
      <c r="AF209">
        <v>2</v>
      </c>
      <c r="BM209" s="11">
        <f t="shared" si="31"/>
        <v>0</v>
      </c>
      <c r="BN209" s="11">
        <f t="shared" si="24"/>
        <v>0</v>
      </c>
      <c r="BO209" s="11">
        <f t="shared" si="25"/>
        <v>0</v>
      </c>
      <c r="BP209" s="11">
        <f t="shared" si="26"/>
        <v>0</v>
      </c>
      <c r="BQ209">
        <f t="shared" si="27"/>
        <v>0</v>
      </c>
      <c r="BR209">
        <f t="shared" si="28"/>
        <v>10</v>
      </c>
      <c r="BS209">
        <f t="shared" si="29"/>
        <v>0</v>
      </c>
      <c r="BT209">
        <f t="shared" si="30"/>
        <v>0</v>
      </c>
    </row>
    <row r="210" spans="1:72" x14ac:dyDescent="0.35">
      <c r="A210">
        <v>2018</v>
      </c>
      <c r="B210" t="s">
        <v>41</v>
      </c>
      <c r="C210" t="s">
        <v>42</v>
      </c>
      <c r="D210" s="2">
        <v>85148.1</v>
      </c>
      <c r="E210">
        <v>298</v>
      </c>
      <c r="F210">
        <v>181</v>
      </c>
      <c r="H210">
        <v>1498</v>
      </c>
      <c r="J210">
        <v>4</v>
      </c>
      <c r="K210">
        <v>2</v>
      </c>
      <c r="P210">
        <v>1553</v>
      </c>
      <c r="Q210">
        <v>10</v>
      </c>
      <c r="R210">
        <v>7</v>
      </c>
      <c r="AF210">
        <v>138</v>
      </c>
      <c r="AN210">
        <v>1498</v>
      </c>
      <c r="BB210">
        <v>76</v>
      </c>
      <c r="BI210">
        <v>117</v>
      </c>
      <c r="BM210" s="11">
        <f t="shared" si="31"/>
        <v>596</v>
      </c>
      <c r="BN210" s="11">
        <f t="shared" si="24"/>
        <v>2996</v>
      </c>
      <c r="BO210" s="11">
        <f t="shared" si="25"/>
        <v>0</v>
      </c>
      <c r="BP210" s="11">
        <f t="shared" si="26"/>
        <v>0</v>
      </c>
      <c r="BQ210">
        <f t="shared" si="27"/>
        <v>14</v>
      </c>
      <c r="BR210">
        <f t="shared" si="28"/>
        <v>78</v>
      </c>
      <c r="BS210">
        <f t="shared" si="29"/>
        <v>0</v>
      </c>
      <c r="BT210">
        <f t="shared" si="30"/>
        <v>0</v>
      </c>
    </row>
    <row r="211" spans="1:72" x14ac:dyDescent="0.35">
      <c r="A211">
        <v>2018</v>
      </c>
      <c r="B211" t="s">
        <v>43</v>
      </c>
      <c r="C211" t="s">
        <v>44</v>
      </c>
      <c r="D211" s="2">
        <v>889062.6</v>
      </c>
      <c r="E211">
        <v>4406</v>
      </c>
      <c r="F211">
        <v>3316</v>
      </c>
      <c r="H211">
        <v>125024</v>
      </c>
      <c r="I211">
        <v>10489</v>
      </c>
      <c r="J211">
        <v>713</v>
      </c>
      <c r="K211">
        <v>918</v>
      </c>
      <c r="P211">
        <v>15820</v>
      </c>
      <c r="AF211">
        <v>1563</v>
      </c>
      <c r="AL211">
        <v>10489</v>
      </c>
      <c r="AO211">
        <v>64494</v>
      </c>
      <c r="AP211">
        <v>60530</v>
      </c>
      <c r="BI211">
        <v>1090</v>
      </c>
      <c r="BM211" s="11">
        <f t="shared" si="31"/>
        <v>8812</v>
      </c>
      <c r="BN211" s="11">
        <f t="shared" si="24"/>
        <v>250048</v>
      </c>
      <c r="BO211" s="11">
        <f t="shared" si="25"/>
        <v>20978</v>
      </c>
      <c r="BP211" s="11">
        <f t="shared" si="26"/>
        <v>0</v>
      </c>
      <c r="BQ211">
        <f t="shared" si="27"/>
        <v>713</v>
      </c>
      <c r="BR211">
        <f t="shared" si="28"/>
        <v>918</v>
      </c>
      <c r="BS211">
        <f t="shared" si="29"/>
        <v>0</v>
      </c>
      <c r="BT211">
        <f t="shared" si="30"/>
        <v>0</v>
      </c>
    </row>
    <row r="212" spans="1:72" x14ac:dyDescent="0.35">
      <c r="A212">
        <v>2018</v>
      </c>
      <c r="B212" t="s">
        <v>45</v>
      </c>
      <c r="C212" t="s">
        <v>46</v>
      </c>
      <c r="D212" s="2">
        <v>438506.5</v>
      </c>
      <c r="E212">
        <v>2787</v>
      </c>
      <c r="F212">
        <v>2649</v>
      </c>
      <c r="H212">
        <v>7195</v>
      </c>
      <c r="J212">
        <v>73</v>
      </c>
      <c r="K212">
        <v>255</v>
      </c>
      <c r="P212">
        <v>16567</v>
      </c>
      <c r="AF212">
        <v>181</v>
      </c>
      <c r="AN212">
        <v>7195</v>
      </c>
      <c r="BI212">
        <v>138</v>
      </c>
      <c r="BM212" s="11">
        <f t="shared" si="31"/>
        <v>5574</v>
      </c>
      <c r="BN212" s="11">
        <f t="shared" si="24"/>
        <v>14390</v>
      </c>
      <c r="BO212" s="11">
        <f t="shared" si="25"/>
        <v>0</v>
      </c>
      <c r="BP212" s="11">
        <f t="shared" si="26"/>
        <v>0</v>
      </c>
      <c r="BQ212">
        <f t="shared" si="27"/>
        <v>73</v>
      </c>
      <c r="BR212">
        <f t="shared" si="28"/>
        <v>255</v>
      </c>
      <c r="BS212">
        <f t="shared" si="29"/>
        <v>0</v>
      </c>
      <c r="BT212">
        <f t="shared" si="30"/>
        <v>0</v>
      </c>
    </row>
    <row r="213" spans="1:72" x14ac:dyDescent="0.35">
      <c r="A213">
        <v>2018</v>
      </c>
      <c r="B213" t="s">
        <v>47</v>
      </c>
      <c r="C213" t="s">
        <v>48</v>
      </c>
      <c r="D213" s="2">
        <v>61876.9</v>
      </c>
      <c r="E213">
        <v>578</v>
      </c>
      <c r="F213">
        <v>544</v>
      </c>
      <c r="G213">
        <v>21</v>
      </c>
      <c r="H213">
        <v>744</v>
      </c>
      <c r="I213">
        <v>0</v>
      </c>
      <c r="J213">
        <v>0</v>
      </c>
      <c r="K213">
        <v>11</v>
      </c>
      <c r="L213">
        <v>3</v>
      </c>
      <c r="M213">
        <v>15</v>
      </c>
      <c r="N213">
        <v>0</v>
      </c>
      <c r="O213">
        <v>2</v>
      </c>
      <c r="P213">
        <v>3481</v>
      </c>
      <c r="Q213">
        <v>8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1</v>
      </c>
      <c r="Y213">
        <v>0</v>
      </c>
      <c r="Z213">
        <v>1</v>
      </c>
      <c r="AA213">
        <v>0</v>
      </c>
      <c r="AB213">
        <v>17</v>
      </c>
      <c r="AC213">
        <v>0</v>
      </c>
      <c r="AD213">
        <v>0</v>
      </c>
      <c r="AE213">
        <v>0</v>
      </c>
      <c r="AF213">
        <v>53</v>
      </c>
      <c r="AG213">
        <v>0</v>
      </c>
      <c r="AH213">
        <v>1</v>
      </c>
      <c r="AI213">
        <v>0</v>
      </c>
      <c r="AJ213">
        <v>221</v>
      </c>
      <c r="AK213">
        <v>0</v>
      </c>
      <c r="AM213">
        <v>0</v>
      </c>
      <c r="AN213">
        <v>0</v>
      </c>
      <c r="AO213">
        <v>0</v>
      </c>
      <c r="AP213">
        <v>744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18</v>
      </c>
      <c r="BC213">
        <v>15</v>
      </c>
      <c r="BD213">
        <v>0</v>
      </c>
      <c r="BE213">
        <v>0</v>
      </c>
      <c r="BF213">
        <v>2</v>
      </c>
      <c r="BG213">
        <v>0</v>
      </c>
      <c r="BH213">
        <v>53</v>
      </c>
      <c r="BI213">
        <v>34</v>
      </c>
      <c r="BJ213">
        <v>3</v>
      </c>
      <c r="BL213" s="10">
        <v>0</v>
      </c>
      <c r="BM213" s="11">
        <f t="shared" si="31"/>
        <v>1181</v>
      </c>
      <c r="BN213" s="11">
        <f t="shared" si="24"/>
        <v>1488</v>
      </c>
      <c r="BO213" s="11">
        <f t="shared" si="25"/>
        <v>0</v>
      </c>
      <c r="BP213" s="11">
        <f t="shared" si="26"/>
        <v>0</v>
      </c>
      <c r="BQ213">
        <f t="shared" si="27"/>
        <v>8</v>
      </c>
      <c r="BR213">
        <f t="shared" si="28"/>
        <v>29</v>
      </c>
      <c r="BS213">
        <f t="shared" si="29"/>
        <v>5</v>
      </c>
      <c r="BT213">
        <f t="shared" si="30"/>
        <v>1</v>
      </c>
    </row>
    <row r="214" spans="1:72" x14ac:dyDescent="0.35">
      <c r="A214">
        <v>2018</v>
      </c>
      <c r="B214" t="s">
        <v>49</v>
      </c>
      <c r="C214" t="s">
        <v>50</v>
      </c>
      <c r="D214" s="2">
        <v>1442173.7</v>
      </c>
      <c r="E214">
        <v>8042</v>
      </c>
      <c r="F214">
        <v>5602</v>
      </c>
      <c r="G214">
        <v>2440</v>
      </c>
      <c r="H214">
        <v>59901</v>
      </c>
      <c r="J214">
        <v>841</v>
      </c>
      <c r="K214">
        <v>964</v>
      </c>
      <c r="L214">
        <v>2759</v>
      </c>
      <c r="P214">
        <v>58079</v>
      </c>
      <c r="V214">
        <v>3682</v>
      </c>
      <c r="W214">
        <v>1628</v>
      </c>
      <c r="X214">
        <v>339</v>
      </c>
      <c r="Z214">
        <v>1705</v>
      </c>
      <c r="AB214">
        <v>430</v>
      </c>
      <c r="AH214">
        <v>714</v>
      </c>
      <c r="AO214">
        <v>13198</v>
      </c>
      <c r="AP214">
        <v>46703</v>
      </c>
      <c r="AS214">
        <v>1147</v>
      </c>
      <c r="AT214">
        <v>400</v>
      </c>
      <c r="AV214">
        <v>1112</v>
      </c>
      <c r="AY214">
        <v>21942</v>
      </c>
      <c r="BB214">
        <v>1331</v>
      </c>
      <c r="BE214">
        <v>71</v>
      </c>
      <c r="BI214">
        <v>2440</v>
      </c>
      <c r="BJ214">
        <v>518</v>
      </c>
      <c r="BM214" s="11">
        <f t="shared" si="31"/>
        <v>20964</v>
      </c>
      <c r="BN214" s="11">
        <f t="shared" si="24"/>
        <v>119802</v>
      </c>
      <c r="BO214" s="11">
        <f t="shared" si="25"/>
        <v>0</v>
      </c>
      <c r="BP214" s="11">
        <f t="shared" si="26"/>
        <v>0</v>
      </c>
      <c r="BQ214">
        <f t="shared" si="27"/>
        <v>841</v>
      </c>
      <c r="BR214">
        <f t="shared" si="28"/>
        <v>2295</v>
      </c>
      <c r="BS214">
        <f t="shared" si="29"/>
        <v>1147</v>
      </c>
      <c r="BT214">
        <f t="shared" si="30"/>
        <v>5310</v>
      </c>
    </row>
    <row r="215" spans="1:72" x14ac:dyDescent="0.35">
      <c r="A215">
        <v>2018</v>
      </c>
      <c r="B215" t="s">
        <v>51</v>
      </c>
      <c r="C215" t="s">
        <v>52</v>
      </c>
      <c r="D215" s="2">
        <v>156857.29999999999</v>
      </c>
      <c r="E215">
        <v>693</v>
      </c>
      <c r="F215">
        <v>672</v>
      </c>
      <c r="G215">
        <v>6</v>
      </c>
      <c r="H215">
        <v>2263</v>
      </c>
      <c r="I215">
        <v>892</v>
      </c>
      <c r="J215">
        <v>3</v>
      </c>
      <c r="K215">
        <v>93</v>
      </c>
      <c r="P215">
        <v>3391</v>
      </c>
      <c r="X215">
        <v>5</v>
      </c>
      <c r="AL215">
        <v>892</v>
      </c>
      <c r="AP215">
        <v>2263</v>
      </c>
      <c r="AT215">
        <v>6</v>
      </c>
      <c r="BI215">
        <v>21</v>
      </c>
      <c r="BJ215">
        <v>4</v>
      </c>
      <c r="BM215" s="11">
        <f t="shared" si="31"/>
        <v>1407</v>
      </c>
      <c r="BN215" s="11">
        <f t="shared" si="24"/>
        <v>4526</v>
      </c>
      <c r="BO215" s="11">
        <f t="shared" si="25"/>
        <v>1784</v>
      </c>
      <c r="BP215" s="11">
        <f t="shared" si="26"/>
        <v>0</v>
      </c>
      <c r="BQ215">
        <f t="shared" si="27"/>
        <v>3</v>
      </c>
      <c r="BR215">
        <f t="shared" si="28"/>
        <v>93</v>
      </c>
      <c r="BS215">
        <f t="shared" si="29"/>
        <v>0</v>
      </c>
      <c r="BT215">
        <f t="shared" si="30"/>
        <v>0</v>
      </c>
    </row>
    <row r="216" spans="1:72" x14ac:dyDescent="0.35">
      <c r="A216">
        <v>2018</v>
      </c>
      <c r="B216" t="s">
        <v>53</v>
      </c>
      <c r="C216" t="s">
        <v>54</v>
      </c>
      <c r="D216" s="2">
        <v>853987.6</v>
      </c>
      <c r="H216">
        <v>3833</v>
      </c>
      <c r="I216">
        <v>3994</v>
      </c>
      <c r="J216">
        <v>225</v>
      </c>
      <c r="K216">
        <v>27</v>
      </c>
      <c r="P216">
        <v>35000</v>
      </c>
      <c r="AF216">
        <v>306</v>
      </c>
      <c r="AL216">
        <v>3994</v>
      </c>
      <c r="AP216">
        <v>3833</v>
      </c>
      <c r="BM216" s="11">
        <f t="shared" si="31"/>
        <v>0</v>
      </c>
      <c r="BN216" s="11">
        <f t="shared" si="24"/>
        <v>7666</v>
      </c>
      <c r="BO216" s="11">
        <f t="shared" si="25"/>
        <v>7988</v>
      </c>
      <c r="BP216" s="11">
        <f t="shared" si="26"/>
        <v>0</v>
      </c>
      <c r="BQ216">
        <f t="shared" si="27"/>
        <v>225</v>
      </c>
      <c r="BR216">
        <f t="shared" si="28"/>
        <v>27</v>
      </c>
      <c r="BS216">
        <f t="shared" si="29"/>
        <v>0</v>
      </c>
      <c r="BT216">
        <f t="shared" si="30"/>
        <v>0</v>
      </c>
    </row>
    <row r="217" spans="1:72" x14ac:dyDescent="0.35">
      <c r="A217">
        <v>2018</v>
      </c>
      <c r="B217" t="s">
        <v>55</v>
      </c>
      <c r="C217" t="s">
        <v>56</v>
      </c>
      <c r="D217" s="2">
        <v>619407.19999999995</v>
      </c>
      <c r="E217">
        <v>2760</v>
      </c>
      <c r="F217">
        <v>2582</v>
      </c>
      <c r="H217">
        <v>7957</v>
      </c>
      <c r="J217">
        <v>112</v>
      </c>
      <c r="K217">
        <v>387</v>
      </c>
      <c r="P217">
        <v>10016</v>
      </c>
      <c r="AF217">
        <v>542</v>
      </c>
      <c r="AO217">
        <v>6324</v>
      </c>
      <c r="AP217">
        <v>1633</v>
      </c>
      <c r="BB217">
        <v>234</v>
      </c>
      <c r="BI217">
        <v>178</v>
      </c>
      <c r="BM217" s="11">
        <f t="shared" si="31"/>
        <v>5520</v>
      </c>
      <c r="BN217" s="11">
        <f t="shared" si="24"/>
        <v>15914</v>
      </c>
      <c r="BO217" s="11">
        <f t="shared" si="25"/>
        <v>0</v>
      </c>
      <c r="BP217" s="11">
        <f t="shared" si="26"/>
        <v>0</v>
      </c>
      <c r="BQ217">
        <f t="shared" si="27"/>
        <v>112</v>
      </c>
      <c r="BR217">
        <f t="shared" si="28"/>
        <v>621</v>
      </c>
      <c r="BS217">
        <f t="shared" si="29"/>
        <v>0</v>
      </c>
      <c r="BT217">
        <f t="shared" si="30"/>
        <v>0</v>
      </c>
    </row>
    <row r="218" spans="1:72" x14ac:dyDescent="0.35">
      <c r="A218">
        <v>2018</v>
      </c>
      <c r="B218" t="s">
        <v>57</v>
      </c>
      <c r="C218" t="s">
        <v>58</v>
      </c>
      <c r="D218" s="2">
        <v>825813.6</v>
      </c>
      <c r="E218">
        <v>2454</v>
      </c>
      <c r="F218">
        <v>1417</v>
      </c>
      <c r="H218">
        <v>5174</v>
      </c>
      <c r="I218">
        <v>3235</v>
      </c>
      <c r="J218">
        <v>30</v>
      </c>
      <c r="K218">
        <v>182</v>
      </c>
      <c r="P218">
        <v>1152</v>
      </c>
      <c r="Q218">
        <v>53</v>
      </c>
      <c r="R218">
        <v>15</v>
      </c>
      <c r="X218">
        <v>61</v>
      </c>
      <c r="AC218">
        <v>13</v>
      </c>
      <c r="AD218">
        <v>1022</v>
      </c>
      <c r="AL218">
        <v>3235</v>
      </c>
      <c r="AP218">
        <v>5174</v>
      </c>
      <c r="AQ218">
        <v>1638</v>
      </c>
      <c r="AS218">
        <v>6</v>
      </c>
      <c r="AT218">
        <v>92</v>
      </c>
      <c r="BE218">
        <v>9</v>
      </c>
      <c r="BI218">
        <v>1037</v>
      </c>
      <c r="BJ218">
        <v>85</v>
      </c>
      <c r="BM218" s="11">
        <f t="shared" si="31"/>
        <v>5155</v>
      </c>
      <c r="BN218" s="11">
        <f t="shared" si="24"/>
        <v>11986</v>
      </c>
      <c r="BO218" s="11">
        <f t="shared" si="25"/>
        <v>6470</v>
      </c>
      <c r="BP218" s="11">
        <f t="shared" si="26"/>
        <v>0</v>
      </c>
      <c r="BQ218">
        <f t="shared" si="27"/>
        <v>83</v>
      </c>
      <c r="BR218">
        <f t="shared" si="28"/>
        <v>182</v>
      </c>
      <c r="BS218">
        <f t="shared" si="29"/>
        <v>6</v>
      </c>
      <c r="BT218">
        <f t="shared" si="30"/>
        <v>0</v>
      </c>
    </row>
    <row r="219" spans="1:72" x14ac:dyDescent="0.35">
      <c r="A219">
        <v>2018</v>
      </c>
      <c r="B219" t="s">
        <v>59</v>
      </c>
      <c r="C219" t="s">
        <v>60</v>
      </c>
      <c r="D219" s="2">
        <v>14714</v>
      </c>
      <c r="E219">
        <v>2395</v>
      </c>
      <c r="F219">
        <v>1188</v>
      </c>
      <c r="H219">
        <v>4986</v>
      </c>
      <c r="J219">
        <v>466</v>
      </c>
      <c r="K219">
        <v>748</v>
      </c>
      <c r="P219">
        <v>180</v>
      </c>
      <c r="AF219">
        <v>291</v>
      </c>
      <c r="AN219">
        <v>4986</v>
      </c>
      <c r="BI219">
        <v>1207</v>
      </c>
      <c r="BM219" s="11">
        <f t="shared" si="31"/>
        <v>4790</v>
      </c>
      <c r="BN219" s="11">
        <f t="shared" si="24"/>
        <v>9972</v>
      </c>
      <c r="BO219" s="11">
        <f t="shared" si="25"/>
        <v>0</v>
      </c>
      <c r="BP219" s="11">
        <f t="shared" si="26"/>
        <v>0</v>
      </c>
      <c r="BQ219">
        <f t="shared" si="27"/>
        <v>466</v>
      </c>
      <c r="BR219">
        <f t="shared" si="28"/>
        <v>748</v>
      </c>
      <c r="BS219">
        <f t="shared" si="29"/>
        <v>0</v>
      </c>
      <c r="BT219">
        <f t="shared" si="30"/>
        <v>0</v>
      </c>
    </row>
    <row r="220" spans="1:72" x14ac:dyDescent="0.35">
      <c r="A220">
        <v>2018</v>
      </c>
      <c r="B220" t="s">
        <v>61</v>
      </c>
      <c r="C220" t="s">
        <v>62</v>
      </c>
      <c r="D220" s="2">
        <v>1081131.1000000001</v>
      </c>
      <c r="E220">
        <v>2473</v>
      </c>
      <c r="F220">
        <v>1695</v>
      </c>
      <c r="H220">
        <v>8153</v>
      </c>
      <c r="I220">
        <v>6021</v>
      </c>
      <c r="J220">
        <v>255</v>
      </c>
      <c r="K220">
        <v>305</v>
      </c>
      <c r="L220">
        <v>7169</v>
      </c>
      <c r="N220">
        <v>3</v>
      </c>
      <c r="P220">
        <v>4787</v>
      </c>
      <c r="Q220">
        <v>39</v>
      </c>
      <c r="R220">
        <v>276</v>
      </c>
      <c r="X220">
        <v>67</v>
      </c>
      <c r="AG220">
        <v>28</v>
      </c>
      <c r="AL220">
        <v>6021</v>
      </c>
      <c r="AN220">
        <v>8153</v>
      </c>
      <c r="AS220">
        <v>620</v>
      </c>
      <c r="AT220">
        <v>49</v>
      </c>
      <c r="AU220">
        <v>150</v>
      </c>
      <c r="BB220">
        <v>1887</v>
      </c>
      <c r="BC220">
        <v>78</v>
      </c>
      <c r="BD220">
        <v>284</v>
      </c>
      <c r="BE220">
        <v>17</v>
      </c>
      <c r="BF220">
        <v>608</v>
      </c>
      <c r="BH220">
        <v>338</v>
      </c>
      <c r="BI220">
        <v>778</v>
      </c>
      <c r="BJ220">
        <v>68</v>
      </c>
      <c r="BM220" s="11">
        <f t="shared" si="31"/>
        <v>5147</v>
      </c>
      <c r="BN220" s="11">
        <f t="shared" si="24"/>
        <v>16306</v>
      </c>
      <c r="BO220" s="11">
        <f t="shared" si="25"/>
        <v>12042</v>
      </c>
      <c r="BP220" s="11">
        <f t="shared" si="26"/>
        <v>0</v>
      </c>
      <c r="BQ220">
        <f t="shared" si="27"/>
        <v>294</v>
      </c>
      <c r="BR220">
        <f t="shared" si="28"/>
        <v>2192</v>
      </c>
      <c r="BS220">
        <f t="shared" si="29"/>
        <v>620</v>
      </c>
      <c r="BT220">
        <f t="shared" si="30"/>
        <v>0</v>
      </c>
    </row>
    <row r="221" spans="1:72" x14ac:dyDescent="0.35">
      <c r="A221">
        <v>2018</v>
      </c>
      <c r="B221" t="s">
        <v>63</v>
      </c>
      <c r="C221" t="s">
        <v>64</v>
      </c>
      <c r="D221" s="2">
        <v>70319.7</v>
      </c>
      <c r="E221">
        <v>806</v>
      </c>
      <c r="F221">
        <v>806</v>
      </c>
      <c r="H221">
        <v>5307</v>
      </c>
      <c r="I221">
        <v>5</v>
      </c>
      <c r="J221">
        <v>87</v>
      </c>
      <c r="K221">
        <v>464</v>
      </c>
      <c r="P221">
        <v>2292</v>
      </c>
      <c r="Q221">
        <v>41</v>
      </c>
      <c r="S221">
        <v>25</v>
      </c>
      <c r="W221">
        <v>134</v>
      </c>
      <c r="X221">
        <v>17</v>
      </c>
      <c r="AD221">
        <v>3</v>
      </c>
      <c r="AE221">
        <v>140</v>
      </c>
      <c r="AL221">
        <v>5</v>
      </c>
      <c r="AO221">
        <v>44</v>
      </c>
      <c r="AP221">
        <v>5263</v>
      </c>
      <c r="AT221">
        <v>35</v>
      </c>
      <c r="AU221">
        <v>84</v>
      </c>
      <c r="AV221">
        <v>27</v>
      </c>
      <c r="AY221">
        <v>52</v>
      </c>
      <c r="BB221">
        <v>226</v>
      </c>
      <c r="BC221">
        <v>118</v>
      </c>
      <c r="BJ221">
        <v>35</v>
      </c>
      <c r="BM221" s="11">
        <f t="shared" si="31"/>
        <v>1726</v>
      </c>
      <c r="BN221" s="11">
        <f t="shared" si="24"/>
        <v>10614</v>
      </c>
      <c r="BO221" s="11">
        <f t="shared" si="25"/>
        <v>10</v>
      </c>
      <c r="BP221" s="11">
        <f t="shared" si="26"/>
        <v>0</v>
      </c>
      <c r="BQ221">
        <f t="shared" si="27"/>
        <v>128</v>
      </c>
      <c r="BR221">
        <f t="shared" si="28"/>
        <v>690</v>
      </c>
      <c r="BS221">
        <f t="shared" si="29"/>
        <v>25</v>
      </c>
      <c r="BT221">
        <f t="shared" si="30"/>
        <v>134</v>
      </c>
    </row>
    <row r="222" spans="1:72" x14ac:dyDescent="0.35">
      <c r="A222">
        <v>2018</v>
      </c>
      <c r="B222" t="s">
        <v>65</v>
      </c>
      <c r="C222" t="s">
        <v>66</v>
      </c>
      <c r="D222" s="2">
        <v>388863.1</v>
      </c>
      <c r="E222">
        <v>1648</v>
      </c>
      <c r="F222">
        <v>1114</v>
      </c>
      <c r="H222">
        <v>13345</v>
      </c>
      <c r="I222">
        <v>1471</v>
      </c>
      <c r="J222">
        <v>228</v>
      </c>
      <c r="K222">
        <v>886</v>
      </c>
      <c r="P222">
        <v>45000</v>
      </c>
      <c r="AB222">
        <v>152</v>
      </c>
      <c r="AF222">
        <v>1990</v>
      </c>
      <c r="AM222">
        <v>1471</v>
      </c>
      <c r="AN222">
        <v>13345</v>
      </c>
      <c r="AU222">
        <v>13</v>
      </c>
      <c r="BC222">
        <v>225</v>
      </c>
      <c r="BF222">
        <v>310</v>
      </c>
      <c r="BI222">
        <v>534</v>
      </c>
      <c r="BM222" s="11">
        <f t="shared" si="31"/>
        <v>3296</v>
      </c>
      <c r="BN222" s="11">
        <f t="shared" si="24"/>
        <v>26690</v>
      </c>
      <c r="BO222" s="11">
        <f t="shared" si="25"/>
        <v>2942</v>
      </c>
      <c r="BP222" s="11">
        <f t="shared" si="26"/>
        <v>0</v>
      </c>
      <c r="BQ222">
        <f t="shared" si="27"/>
        <v>228</v>
      </c>
      <c r="BR222">
        <f t="shared" si="28"/>
        <v>886</v>
      </c>
      <c r="BS222">
        <f t="shared" si="29"/>
        <v>0</v>
      </c>
      <c r="BT222">
        <f t="shared" si="30"/>
        <v>0</v>
      </c>
    </row>
    <row r="223" spans="1:72" x14ac:dyDescent="0.35">
      <c r="A223">
        <v>2018</v>
      </c>
      <c r="B223" t="s">
        <v>67</v>
      </c>
      <c r="C223" t="s">
        <v>68</v>
      </c>
      <c r="D223" s="2">
        <v>526366.6</v>
      </c>
      <c r="P223">
        <v>17417</v>
      </c>
      <c r="AF223">
        <v>328</v>
      </c>
      <c r="BM223" s="11">
        <f t="shared" si="31"/>
        <v>0</v>
      </c>
      <c r="BN223" s="11">
        <f t="shared" si="24"/>
        <v>0</v>
      </c>
      <c r="BO223" s="11">
        <f t="shared" si="25"/>
        <v>0</v>
      </c>
      <c r="BP223" s="11">
        <f t="shared" si="26"/>
        <v>0</v>
      </c>
      <c r="BQ223">
        <f t="shared" si="27"/>
        <v>0</v>
      </c>
      <c r="BR223">
        <f t="shared" si="28"/>
        <v>0</v>
      </c>
      <c r="BS223">
        <f t="shared" si="29"/>
        <v>0</v>
      </c>
      <c r="BT223">
        <f t="shared" si="30"/>
        <v>0</v>
      </c>
    </row>
    <row r="224" spans="1:72" x14ac:dyDescent="0.35">
      <c r="A224">
        <v>2018</v>
      </c>
      <c r="B224" t="s">
        <v>69</v>
      </c>
      <c r="C224" t="s">
        <v>70</v>
      </c>
      <c r="D224" s="2">
        <v>1833.4</v>
      </c>
      <c r="E224">
        <v>240</v>
      </c>
      <c r="F224">
        <v>125</v>
      </c>
      <c r="H224">
        <v>951</v>
      </c>
      <c r="I224">
        <v>158</v>
      </c>
      <c r="K224">
        <v>124</v>
      </c>
      <c r="X224">
        <v>7</v>
      </c>
      <c r="AF224">
        <v>71</v>
      </c>
      <c r="AL224">
        <v>158</v>
      </c>
      <c r="AP224">
        <v>951</v>
      </c>
      <c r="AQ224">
        <v>321</v>
      </c>
      <c r="AT224">
        <v>11</v>
      </c>
      <c r="AV224">
        <v>4</v>
      </c>
      <c r="BI224">
        <v>115</v>
      </c>
      <c r="BJ224">
        <v>35</v>
      </c>
      <c r="BM224" s="11">
        <f t="shared" si="31"/>
        <v>537</v>
      </c>
      <c r="BN224" s="11">
        <f t="shared" si="24"/>
        <v>2223</v>
      </c>
      <c r="BO224" s="11">
        <f t="shared" si="25"/>
        <v>316</v>
      </c>
      <c r="BP224" s="11">
        <f t="shared" si="26"/>
        <v>0</v>
      </c>
      <c r="BQ224">
        <f t="shared" si="27"/>
        <v>0</v>
      </c>
      <c r="BR224">
        <f t="shared" si="28"/>
        <v>124</v>
      </c>
      <c r="BS224">
        <f t="shared" si="29"/>
        <v>0</v>
      </c>
      <c r="BT224">
        <f t="shared" si="30"/>
        <v>0</v>
      </c>
    </row>
    <row r="225" spans="1:72" x14ac:dyDescent="0.35">
      <c r="A225">
        <v>2018</v>
      </c>
      <c r="B225" t="s">
        <v>71</v>
      </c>
      <c r="C225" t="s">
        <v>72</v>
      </c>
      <c r="D225" s="2">
        <v>252080.8</v>
      </c>
      <c r="E225">
        <v>566</v>
      </c>
      <c r="F225">
        <v>500</v>
      </c>
      <c r="H225">
        <v>5757</v>
      </c>
      <c r="J225">
        <v>15</v>
      </c>
      <c r="K225">
        <v>156</v>
      </c>
      <c r="AF225">
        <v>311</v>
      </c>
      <c r="AN225">
        <v>2344</v>
      </c>
      <c r="AO225">
        <v>2545</v>
      </c>
      <c r="AP225">
        <v>868</v>
      </c>
      <c r="BI225">
        <v>66</v>
      </c>
      <c r="BM225" s="11">
        <f t="shared" si="31"/>
        <v>1132</v>
      </c>
      <c r="BN225" s="11">
        <f t="shared" si="24"/>
        <v>11514</v>
      </c>
      <c r="BO225" s="11">
        <f t="shared" si="25"/>
        <v>0</v>
      </c>
      <c r="BP225" s="11">
        <f t="shared" si="26"/>
        <v>0</v>
      </c>
      <c r="BQ225">
        <f t="shared" si="27"/>
        <v>15</v>
      </c>
      <c r="BR225">
        <f t="shared" si="28"/>
        <v>156</v>
      </c>
      <c r="BS225">
        <f t="shared" si="29"/>
        <v>0</v>
      </c>
      <c r="BT225">
        <f t="shared" si="30"/>
        <v>0</v>
      </c>
    </row>
    <row r="226" spans="1:72" x14ac:dyDescent="0.35">
      <c r="A226">
        <v>2018</v>
      </c>
      <c r="B226" t="s">
        <v>73</v>
      </c>
      <c r="C226" t="s">
        <v>74</v>
      </c>
      <c r="D226" s="2">
        <v>1221592.2</v>
      </c>
      <c r="E226">
        <v>43503</v>
      </c>
      <c r="F226">
        <v>29311</v>
      </c>
      <c r="H226">
        <v>70552</v>
      </c>
      <c r="J226">
        <v>6433</v>
      </c>
      <c r="N226">
        <v>3512</v>
      </c>
      <c r="O226">
        <v>2</v>
      </c>
      <c r="P226">
        <v>54180</v>
      </c>
      <c r="S226">
        <v>3422</v>
      </c>
      <c r="T226">
        <v>150</v>
      </c>
      <c r="W226">
        <v>3831</v>
      </c>
      <c r="AB226">
        <v>8878</v>
      </c>
      <c r="AE226">
        <v>5731</v>
      </c>
      <c r="AF226">
        <v>5455</v>
      </c>
      <c r="AN226">
        <v>70552</v>
      </c>
      <c r="AS226">
        <v>230</v>
      </c>
      <c r="AU226">
        <v>3848</v>
      </c>
      <c r="BC226">
        <v>7705</v>
      </c>
      <c r="BD226">
        <v>217</v>
      </c>
      <c r="BF226">
        <v>8565</v>
      </c>
      <c r="BI226">
        <v>14192</v>
      </c>
      <c r="BM226" s="11">
        <f t="shared" si="31"/>
        <v>87006</v>
      </c>
      <c r="BN226" s="11">
        <f t="shared" si="24"/>
        <v>141104</v>
      </c>
      <c r="BO226" s="11">
        <f t="shared" si="25"/>
        <v>0</v>
      </c>
      <c r="BP226" s="11">
        <f t="shared" si="26"/>
        <v>0</v>
      </c>
      <c r="BQ226">
        <f t="shared" si="27"/>
        <v>6433</v>
      </c>
      <c r="BR226">
        <f t="shared" si="28"/>
        <v>0</v>
      </c>
      <c r="BS226">
        <f t="shared" si="29"/>
        <v>3652</v>
      </c>
      <c r="BT226">
        <f t="shared" si="30"/>
        <v>3831</v>
      </c>
    </row>
    <row r="227" spans="1:72" x14ac:dyDescent="0.35">
      <c r="A227">
        <v>2018</v>
      </c>
      <c r="B227" t="s">
        <v>75</v>
      </c>
      <c r="C227" t="s">
        <v>76</v>
      </c>
      <c r="D227" s="2">
        <v>323958.40000000002</v>
      </c>
      <c r="E227">
        <v>411</v>
      </c>
      <c r="F227">
        <v>338</v>
      </c>
      <c r="H227">
        <v>3726</v>
      </c>
      <c r="J227">
        <v>32</v>
      </c>
      <c r="K227">
        <v>360</v>
      </c>
      <c r="P227">
        <v>1455</v>
      </c>
      <c r="Q227">
        <v>22</v>
      </c>
      <c r="R227">
        <v>2</v>
      </c>
      <c r="AF227">
        <v>272</v>
      </c>
      <c r="AN227">
        <v>3726</v>
      </c>
      <c r="BI227">
        <v>73</v>
      </c>
      <c r="BM227" s="11">
        <f t="shared" si="31"/>
        <v>822</v>
      </c>
      <c r="BN227" s="11">
        <f t="shared" si="24"/>
        <v>7452</v>
      </c>
      <c r="BO227" s="11">
        <f t="shared" si="25"/>
        <v>0</v>
      </c>
      <c r="BP227" s="11">
        <f t="shared" si="26"/>
        <v>0</v>
      </c>
      <c r="BQ227">
        <f t="shared" si="27"/>
        <v>54</v>
      </c>
      <c r="BR227">
        <f t="shared" si="28"/>
        <v>360</v>
      </c>
      <c r="BS227">
        <f t="shared" si="29"/>
        <v>0</v>
      </c>
      <c r="BT227">
        <f t="shared" si="30"/>
        <v>0</v>
      </c>
    </row>
    <row r="228" spans="1:72" x14ac:dyDescent="0.35">
      <c r="A228">
        <v>2018</v>
      </c>
      <c r="B228" t="s">
        <v>77</v>
      </c>
      <c r="C228" t="s">
        <v>78</v>
      </c>
      <c r="D228" s="2">
        <v>175834.5</v>
      </c>
      <c r="E228">
        <v>544</v>
      </c>
      <c r="F228">
        <v>269</v>
      </c>
      <c r="H228">
        <v>5081</v>
      </c>
      <c r="J228">
        <v>27</v>
      </c>
      <c r="K228">
        <v>157</v>
      </c>
      <c r="AF228">
        <v>320</v>
      </c>
      <c r="AN228">
        <v>5081</v>
      </c>
      <c r="BI228">
        <v>275</v>
      </c>
      <c r="BM228" s="11">
        <f t="shared" si="31"/>
        <v>1088</v>
      </c>
      <c r="BN228" s="11">
        <f t="shared" si="24"/>
        <v>10162</v>
      </c>
      <c r="BO228" s="11">
        <f t="shared" si="25"/>
        <v>0</v>
      </c>
      <c r="BP228" s="11">
        <f t="shared" si="26"/>
        <v>0</v>
      </c>
      <c r="BQ228">
        <f t="shared" si="27"/>
        <v>27</v>
      </c>
      <c r="BR228">
        <f t="shared" si="28"/>
        <v>157</v>
      </c>
      <c r="BS228">
        <f t="shared" si="29"/>
        <v>0</v>
      </c>
      <c r="BT228">
        <f t="shared" si="30"/>
        <v>0</v>
      </c>
    </row>
    <row r="229" spans="1:72" x14ac:dyDescent="0.35">
      <c r="A229">
        <v>2018</v>
      </c>
      <c r="B229" t="s">
        <v>79</v>
      </c>
      <c r="C229" t="s">
        <v>80</v>
      </c>
      <c r="D229" s="2">
        <v>1007593.1</v>
      </c>
      <c r="E229">
        <v>818</v>
      </c>
      <c r="H229">
        <v>4107</v>
      </c>
      <c r="I229">
        <v>906</v>
      </c>
      <c r="J229">
        <v>30</v>
      </c>
      <c r="K229">
        <v>60</v>
      </c>
      <c r="X229">
        <v>3</v>
      </c>
      <c r="Y229">
        <v>95</v>
      </c>
      <c r="AD229">
        <v>439</v>
      </c>
      <c r="AF229">
        <v>432</v>
      </c>
      <c r="AI229">
        <v>818</v>
      </c>
      <c r="AK229">
        <v>3</v>
      </c>
      <c r="AL229">
        <v>903</v>
      </c>
      <c r="AO229">
        <v>1709</v>
      </c>
      <c r="AP229">
        <v>2398</v>
      </c>
      <c r="AR229">
        <v>37</v>
      </c>
      <c r="AT229">
        <v>22</v>
      </c>
      <c r="AX229">
        <v>249</v>
      </c>
      <c r="BJ229">
        <v>84</v>
      </c>
      <c r="BM229" s="11">
        <f t="shared" si="31"/>
        <v>1745</v>
      </c>
      <c r="BN229" s="11">
        <f t="shared" si="24"/>
        <v>8251</v>
      </c>
      <c r="BO229" s="11">
        <f t="shared" si="25"/>
        <v>1812</v>
      </c>
      <c r="BP229" s="11">
        <f t="shared" si="26"/>
        <v>95</v>
      </c>
      <c r="BQ229">
        <f t="shared" si="27"/>
        <v>30</v>
      </c>
      <c r="BR229">
        <f t="shared" si="28"/>
        <v>60</v>
      </c>
      <c r="BS229">
        <f t="shared" si="29"/>
        <v>0</v>
      </c>
      <c r="BT229">
        <f t="shared" si="30"/>
        <v>0</v>
      </c>
    </row>
    <row r="230" spans="1:72" x14ac:dyDescent="0.35">
      <c r="A230">
        <v>2018</v>
      </c>
      <c r="B230" t="s">
        <v>81</v>
      </c>
      <c r="C230" t="s">
        <v>82</v>
      </c>
      <c r="D230" s="2">
        <v>1554009.4</v>
      </c>
      <c r="H230">
        <v>52907</v>
      </c>
      <c r="J230">
        <v>26</v>
      </c>
      <c r="K230">
        <v>324</v>
      </c>
      <c r="AF230">
        <v>3874</v>
      </c>
      <c r="AO230">
        <v>47881</v>
      </c>
      <c r="AP230">
        <v>5026</v>
      </c>
      <c r="BM230" s="11">
        <f t="shared" si="31"/>
        <v>0</v>
      </c>
      <c r="BN230" s="11">
        <f t="shared" si="24"/>
        <v>105814</v>
      </c>
      <c r="BO230" s="11">
        <f t="shared" si="25"/>
        <v>0</v>
      </c>
      <c r="BP230" s="11">
        <f t="shared" si="26"/>
        <v>0</v>
      </c>
      <c r="BQ230">
        <f t="shared" si="27"/>
        <v>26</v>
      </c>
      <c r="BR230">
        <f t="shared" si="28"/>
        <v>324</v>
      </c>
      <c r="BS230">
        <f t="shared" si="29"/>
        <v>0</v>
      </c>
      <c r="BT230">
        <f t="shared" si="30"/>
        <v>0</v>
      </c>
    </row>
    <row r="231" spans="1:72" x14ac:dyDescent="0.35">
      <c r="A231">
        <v>2018</v>
      </c>
      <c r="B231" t="s">
        <v>83</v>
      </c>
      <c r="C231" t="s">
        <v>84</v>
      </c>
      <c r="D231" s="2">
        <v>632342.80000000005</v>
      </c>
      <c r="E231">
        <v>4021</v>
      </c>
      <c r="H231">
        <v>20746</v>
      </c>
      <c r="I231">
        <v>2137</v>
      </c>
      <c r="J231">
        <v>160</v>
      </c>
      <c r="K231">
        <v>727</v>
      </c>
      <c r="P231">
        <v>1283</v>
      </c>
      <c r="Q231">
        <v>353</v>
      </c>
      <c r="S231">
        <v>1</v>
      </c>
      <c r="W231">
        <v>2742</v>
      </c>
      <c r="AA231">
        <v>119</v>
      </c>
      <c r="AB231">
        <v>761</v>
      </c>
      <c r="AE231">
        <v>1712</v>
      </c>
      <c r="AF231">
        <v>18</v>
      </c>
      <c r="AH231">
        <v>67</v>
      </c>
      <c r="AI231">
        <v>4021</v>
      </c>
      <c r="AL231">
        <v>2137</v>
      </c>
      <c r="AP231">
        <v>20746</v>
      </c>
      <c r="AU231">
        <v>16</v>
      </c>
      <c r="AY231">
        <v>3616</v>
      </c>
      <c r="BB231">
        <v>1132</v>
      </c>
      <c r="BC231">
        <v>739</v>
      </c>
      <c r="BM231" s="11">
        <f t="shared" si="31"/>
        <v>8042</v>
      </c>
      <c r="BN231" s="11">
        <f t="shared" si="24"/>
        <v>41492</v>
      </c>
      <c r="BO231" s="11">
        <f t="shared" si="25"/>
        <v>4274</v>
      </c>
      <c r="BP231" s="11">
        <f t="shared" si="26"/>
        <v>119</v>
      </c>
      <c r="BQ231">
        <f t="shared" si="27"/>
        <v>513</v>
      </c>
      <c r="BR231">
        <f t="shared" si="28"/>
        <v>1859</v>
      </c>
      <c r="BS231">
        <f t="shared" si="29"/>
        <v>1</v>
      </c>
      <c r="BT231">
        <f t="shared" si="30"/>
        <v>2742</v>
      </c>
    </row>
    <row r="232" spans="1:72" x14ac:dyDescent="0.35">
      <c r="A232">
        <v>2018</v>
      </c>
      <c r="B232" t="s">
        <v>85</v>
      </c>
      <c r="C232" t="s">
        <v>86</v>
      </c>
      <c r="D232" s="2">
        <v>481109.7</v>
      </c>
      <c r="E232">
        <v>3026</v>
      </c>
      <c r="F232">
        <v>1863</v>
      </c>
      <c r="G232">
        <v>116</v>
      </c>
      <c r="H232">
        <v>27874</v>
      </c>
      <c r="J232">
        <v>104</v>
      </c>
      <c r="K232">
        <v>1397</v>
      </c>
      <c r="L232">
        <v>12259</v>
      </c>
      <c r="M232">
        <v>419</v>
      </c>
      <c r="P232">
        <v>15888</v>
      </c>
      <c r="Q232">
        <v>508</v>
      </c>
      <c r="R232">
        <v>14</v>
      </c>
      <c r="S232">
        <v>3</v>
      </c>
      <c r="U232">
        <v>80</v>
      </c>
      <c r="W232">
        <v>2305</v>
      </c>
      <c r="X232">
        <v>51</v>
      </c>
      <c r="Z232">
        <v>10</v>
      </c>
      <c r="AB232">
        <v>480</v>
      </c>
      <c r="AC232">
        <v>414</v>
      </c>
      <c r="AD232">
        <v>164</v>
      </c>
      <c r="AE232">
        <v>1126</v>
      </c>
      <c r="AF232">
        <v>644</v>
      </c>
      <c r="AG232">
        <v>26</v>
      </c>
      <c r="AH232">
        <v>703</v>
      </c>
      <c r="AI232">
        <v>544</v>
      </c>
      <c r="AO232">
        <v>13052</v>
      </c>
      <c r="AP232">
        <v>14822</v>
      </c>
      <c r="AQ232">
        <v>6174</v>
      </c>
      <c r="AR232">
        <v>5830</v>
      </c>
      <c r="AS232">
        <v>56</v>
      </c>
      <c r="AT232">
        <v>107</v>
      </c>
      <c r="AU232">
        <v>20</v>
      </c>
      <c r="AV232">
        <v>224</v>
      </c>
      <c r="AZ232">
        <v>2021</v>
      </c>
      <c r="BB232">
        <v>1827</v>
      </c>
      <c r="BC232">
        <v>439</v>
      </c>
      <c r="BD232">
        <v>249</v>
      </c>
      <c r="BE232">
        <v>23</v>
      </c>
      <c r="BH232">
        <v>12</v>
      </c>
      <c r="BI232">
        <v>619</v>
      </c>
      <c r="BJ232">
        <v>92</v>
      </c>
      <c r="BL232" s="10">
        <v>1215</v>
      </c>
      <c r="BM232" s="11">
        <f t="shared" si="31"/>
        <v>6665</v>
      </c>
      <c r="BN232" s="11">
        <f t="shared" si="24"/>
        <v>67752</v>
      </c>
      <c r="BO232" s="11">
        <f t="shared" si="25"/>
        <v>0</v>
      </c>
      <c r="BP232" s="11">
        <f t="shared" si="26"/>
        <v>2021</v>
      </c>
      <c r="BQ232">
        <f t="shared" si="27"/>
        <v>612</v>
      </c>
      <c r="BR232">
        <f t="shared" si="28"/>
        <v>3224</v>
      </c>
      <c r="BS232">
        <f t="shared" si="29"/>
        <v>59</v>
      </c>
      <c r="BT232">
        <f t="shared" si="30"/>
        <v>2305</v>
      </c>
    </row>
    <row r="233" spans="1:72" x14ac:dyDescent="0.35">
      <c r="A233">
        <v>2018</v>
      </c>
      <c r="B233" t="s">
        <v>87</v>
      </c>
      <c r="C233" t="s">
        <v>88</v>
      </c>
      <c r="D233" s="2">
        <v>100677</v>
      </c>
      <c r="E233">
        <v>280</v>
      </c>
      <c r="F233">
        <v>160</v>
      </c>
      <c r="H233">
        <v>4971</v>
      </c>
      <c r="J233">
        <v>186</v>
      </c>
      <c r="K233">
        <v>451</v>
      </c>
      <c r="P233">
        <v>243</v>
      </c>
      <c r="AF233">
        <v>549</v>
      </c>
      <c r="AO233">
        <v>2913</v>
      </c>
      <c r="AP233">
        <v>2058</v>
      </c>
      <c r="BE233">
        <v>31</v>
      </c>
      <c r="BI233">
        <v>120</v>
      </c>
      <c r="BJ233">
        <v>48</v>
      </c>
      <c r="BM233" s="11">
        <f t="shared" si="31"/>
        <v>639</v>
      </c>
      <c r="BN233" s="11">
        <f t="shared" si="24"/>
        <v>9942</v>
      </c>
      <c r="BO233" s="11">
        <f t="shared" si="25"/>
        <v>0</v>
      </c>
      <c r="BP233" s="11">
        <f t="shared" si="26"/>
        <v>0</v>
      </c>
      <c r="BQ233">
        <f t="shared" si="27"/>
        <v>186</v>
      </c>
      <c r="BR233">
        <f t="shared" si="28"/>
        <v>451</v>
      </c>
      <c r="BS233">
        <f t="shared" si="29"/>
        <v>0</v>
      </c>
      <c r="BT233">
        <f t="shared" si="30"/>
        <v>0</v>
      </c>
    </row>
    <row r="234" spans="1:72" x14ac:dyDescent="0.35">
      <c r="A234">
        <v>2018</v>
      </c>
      <c r="B234" t="s">
        <v>89</v>
      </c>
      <c r="C234" t="s">
        <v>90</v>
      </c>
      <c r="D234" s="2">
        <v>262963.5</v>
      </c>
      <c r="E234">
        <v>611</v>
      </c>
      <c r="F234">
        <v>219</v>
      </c>
      <c r="H234">
        <v>1951</v>
      </c>
      <c r="I234">
        <v>1285</v>
      </c>
      <c r="J234">
        <v>21</v>
      </c>
      <c r="K234">
        <v>213</v>
      </c>
      <c r="L234">
        <v>1050</v>
      </c>
      <c r="N234">
        <v>25</v>
      </c>
      <c r="O234">
        <v>23</v>
      </c>
      <c r="P234">
        <v>7086</v>
      </c>
      <c r="R234">
        <v>4</v>
      </c>
      <c r="S234">
        <v>1</v>
      </c>
      <c r="T234">
        <v>2</v>
      </c>
      <c r="V234">
        <v>300</v>
      </c>
      <c r="W234">
        <v>51</v>
      </c>
      <c r="X234">
        <v>45</v>
      </c>
      <c r="AB234">
        <v>148</v>
      </c>
      <c r="AE234">
        <v>183</v>
      </c>
      <c r="AF234">
        <v>460</v>
      </c>
      <c r="AG234">
        <v>51</v>
      </c>
      <c r="AK234">
        <v>630</v>
      </c>
      <c r="AL234">
        <v>655</v>
      </c>
      <c r="AO234">
        <v>925</v>
      </c>
      <c r="AP234">
        <v>1026</v>
      </c>
      <c r="AS234">
        <v>3</v>
      </c>
      <c r="AT234">
        <v>49</v>
      </c>
      <c r="AU234">
        <v>5</v>
      </c>
      <c r="AV234">
        <v>233</v>
      </c>
      <c r="AW234">
        <v>1353</v>
      </c>
      <c r="AX234">
        <v>1554</v>
      </c>
      <c r="AY234">
        <v>978</v>
      </c>
      <c r="AZ234">
        <v>3903</v>
      </c>
      <c r="BB234">
        <v>3</v>
      </c>
      <c r="BC234">
        <v>160</v>
      </c>
      <c r="BE234">
        <v>3</v>
      </c>
      <c r="BF234">
        <v>62</v>
      </c>
      <c r="BG234">
        <v>42</v>
      </c>
      <c r="BH234">
        <v>20</v>
      </c>
      <c r="BI234">
        <v>392</v>
      </c>
      <c r="BJ234">
        <v>81</v>
      </c>
      <c r="BM234" s="11">
        <f t="shared" si="31"/>
        <v>1633</v>
      </c>
      <c r="BN234" s="11">
        <f t="shared" si="24"/>
        <v>3902</v>
      </c>
      <c r="BO234" s="11">
        <f t="shared" si="25"/>
        <v>2570</v>
      </c>
      <c r="BP234" s="11">
        <f t="shared" si="26"/>
        <v>3903</v>
      </c>
      <c r="BQ234">
        <f t="shared" si="27"/>
        <v>21</v>
      </c>
      <c r="BR234">
        <f t="shared" si="28"/>
        <v>216</v>
      </c>
      <c r="BS234">
        <f t="shared" si="29"/>
        <v>4</v>
      </c>
      <c r="BT234">
        <f t="shared" si="30"/>
        <v>351</v>
      </c>
    </row>
    <row r="235" spans="1:72" x14ac:dyDescent="0.35">
      <c r="A235">
        <v>2018</v>
      </c>
      <c r="B235" t="s">
        <v>91</v>
      </c>
      <c r="C235" t="s">
        <v>92</v>
      </c>
      <c r="D235" s="2">
        <v>23759.3</v>
      </c>
      <c r="E235">
        <v>220</v>
      </c>
      <c r="F235">
        <v>130</v>
      </c>
      <c r="H235">
        <v>679</v>
      </c>
      <c r="I235">
        <v>484</v>
      </c>
      <c r="J235">
        <v>32</v>
      </c>
      <c r="K235">
        <v>36</v>
      </c>
      <c r="AE235">
        <v>8</v>
      </c>
      <c r="AL235">
        <v>484</v>
      </c>
      <c r="AP235">
        <v>679</v>
      </c>
      <c r="BB235">
        <v>19</v>
      </c>
      <c r="BI235">
        <v>90</v>
      </c>
      <c r="BM235" s="11">
        <f t="shared" si="31"/>
        <v>440</v>
      </c>
      <c r="BN235" s="11">
        <f t="shared" si="24"/>
        <v>1358</v>
      </c>
      <c r="BO235" s="11">
        <f t="shared" si="25"/>
        <v>968</v>
      </c>
      <c r="BP235" s="11">
        <f t="shared" si="26"/>
        <v>0</v>
      </c>
      <c r="BQ235">
        <f t="shared" si="27"/>
        <v>32</v>
      </c>
      <c r="BR235">
        <f t="shared" si="28"/>
        <v>55</v>
      </c>
      <c r="BS235">
        <f t="shared" si="29"/>
        <v>0</v>
      </c>
      <c r="BT235">
        <f t="shared" si="30"/>
        <v>0</v>
      </c>
    </row>
    <row r="236" spans="1:72" x14ac:dyDescent="0.35">
      <c r="A236">
        <v>2018</v>
      </c>
      <c r="B236" t="s">
        <v>93</v>
      </c>
      <c r="C236" t="s">
        <v>94</v>
      </c>
      <c r="D236" s="2">
        <v>2149250.2000000002</v>
      </c>
      <c r="E236">
        <v>2885</v>
      </c>
      <c r="F236">
        <v>2434</v>
      </c>
      <c r="H236">
        <v>31940</v>
      </c>
      <c r="J236">
        <v>682</v>
      </c>
      <c r="K236">
        <v>1845</v>
      </c>
      <c r="Q236">
        <v>768</v>
      </c>
      <c r="R236">
        <v>89</v>
      </c>
      <c r="AF236">
        <v>4361</v>
      </c>
      <c r="AN236">
        <v>31940</v>
      </c>
      <c r="BI236">
        <v>451</v>
      </c>
      <c r="BM236" s="11">
        <f t="shared" si="31"/>
        <v>5770</v>
      </c>
      <c r="BN236" s="11">
        <f t="shared" si="24"/>
        <v>63880</v>
      </c>
      <c r="BO236" s="11">
        <f t="shared" si="25"/>
        <v>0</v>
      </c>
      <c r="BP236" s="11">
        <f t="shared" si="26"/>
        <v>0</v>
      </c>
      <c r="BQ236">
        <f t="shared" si="27"/>
        <v>1450</v>
      </c>
      <c r="BR236">
        <f t="shared" si="28"/>
        <v>1845</v>
      </c>
      <c r="BS236">
        <f t="shared" si="29"/>
        <v>0</v>
      </c>
      <c r="BT236">
        <f t="shared" si="30"/>
        <v>0</v>
      </c>
    </row>
    <row r="237" spans="1:72" x14ac:dyDescent="0.35">
      <c r="A237">
        <v>2017</v>
      </c>
      <c r="B237" t="s">
        <v>1</v>
      </c>
      <c r="C237" t="s">
        <v>2</v>
      </c>
      <c r="D237" s="2">
        <v>737568.4</v>
      </c>
      <c r="E237">
        <v>1626</v>
      </c>
      <c r="F237">
        <v>888</v>
      </c>
      <c r="H237">
        <v>10376</v>
      </c>
      <c r="I237">
        <v>6569</v>
      </c>
      <c r="J237">
        <v>80</v>
      </c>
      <c r="K237">
        <v>284</v>
      </c>
      <c r="P237">
        <v>2749</v>
      </c>
      <c r="W237">
        <v>160</v>
      </c>
      <c r="X237">
        <v>86</v>
      </c>
      <c r="AF237">
        <v>699</v>
      </c>
      <c r="AG237">
        <v>3</v>
      </c>
      <c r="AJ237">
        <v>4</v>
      </c>
      <c r="AK237">
        <v>2986</v>
      </c>
      <c r="AL237">
        <v>3583</v>
      </c>
      <c r="AO237">
        <v>2117</v>
      </c>
      <c r="AP237">
        <v>8259</v>
      </c>
      <c r="AS237">
        <v>19</v>
      </c>
      <c r="AT237">
        <v>88</v>
      </c>
      <c r="AU237">
        <v>3</v>
      </c>
      <c r="AV237">
        <v>473</v>
      </c>
      <c r="BB237">
        <v>156</v>
      </c>
      <c r="BC237">
        <v>18</v>
      </c>
      <c r="BE237">
        <v>11</v>
      </c>
      <c r="BI237">
        <v>738</v>
      </c>
      <c r="BJ237">
        <v>80</v>
      </c>
      <c r="BL237" s="10">
        <v>336</v>
      </c>
      <c r="BM237" s="11">
        <f t="shared" si="31"/>
        <v>3990</v>
      </c>
      <c r="BN237" s="11">
        <f t="shared" si="24"/>
        <v>20752</v>
      </c>
      <c r="BO237" s="11">
        <f t="shared" si="25"/>
        <v>13138</v>
      </c>
      <c r="BP237" s="11">
        <f t="shared" si="26"/>
        <v>0</v>
      </c>
      <c r="BQ237">
        <f t="shared" si="27"/>
        <v>80</v>
      </c>
      <c r="BR237">
        <f t="shared" si="28"/>
        <v>440</v>
      </c>
      <c r="BS237">
        <f t="shared" si="29"/>
        <v>19</v>
      </c>
      <c r="BT237">
        <f t="shared" si="30"/>
        <v>160</v>
      </c>
    </row>
    <row r="238" spans="1:72" x14ac:dyDescent="0.35">
      <c r="A238">
        <v>2017</v>
      </c>
      <c r="B238" t="s">
        <v>3</v>
      </c>
      <c r="C238" t="s">
        <v>4</v>
      </c>
      <c r="D238" s="2">
        <v>198589</v>
      </c>
      <c r="BM238" s="11">
        <f t="shared" si="31"/>
        <v>0</v>
      </c>
      <c r="BN238" s="11">
        <f t="shared" si="24"/>
        <v>0</v>
      </c>
      <c r="BO238" s="11">
        <f t="shared" si="25"/>
        <v>0</v>
      </c>
      <c r="BP238" s="11">
        <f t="shared" si="26"/>
        <v>0</v>
      </c>
      <c r="BQ238">
        <f t="shared" si="27"/>
        <v>0</v>
      </c>
      <c r="BR238">
        <f t="shared" si="28"/>
        <v>0</v>
      </c>
      <c r="BS238">
        <f t="shared" si="29"/>
        <v>0</v>
      </c>
      <c r="BT238">
        <f t="shared" si="30"/>
        <v>0</v>
      </c>
    </row>
    <row r="239" spans="1:72" x14ac:dyDescent="0.35">
      <c r="A239">
        <v>2017</v>
      </c>
      <c r="B239" t="s">
        <v>5</v>
      </c>
      <c r="C239" t="s">
        <v>6</v>
      </c>
      <c r="D239" s="2">
        <v>6489.7</v>
      </c>
      <c r="BM239" s="11">
        <f t="shared" si="31"/>
        <v>0</v>
      </c>
      <c r="BN239" s="11">
        <f t="shared" si="24"/>
        <v>0</v>
      </c>
      <c r="BO239" s="11">
        <f t="shared" si="25"/>
        <v>0</v>
      </c>
      <c r="BP239" s="11">
        <f t="shared" si="26"/>
        <v>0</v>
      </c>
      <c r="BQ239">
        <f t="shared" si="27"/>
        <v>0</v>
      </c>
      <c r="BR239">
        <f t="shared" si="28"/>
        <v>0</v>
      </c>
      <c r="BS239">
        <f t="shared" si="29"/>
        <v>0</v>
      </c>
      <c r="BT239">
        <f t="shared" si="30"/>
        <v>0</v>
      </c>
    </row>
    <row r="240" spans="1:72" x14ac:dyDescent="0.35">
      <c r="A240">
        <v>2017</v>
      </c>
      <c r="B240" t="s">
        <v>7</v>
      </c>
      <c r="C240" t="s">
        <v>8</v>
      </c>
      <c r="D240" s="2">
        <v>3505486.6</v>
      </c>
      <c r="H240">
        <v>73046</v>
      </c>
      <c r="AN240">
        <v>29281</v>
      </c>
      <c r="AO240">
        <v>14251</v>
      </c>
      <c r="AP240">
        <v>29514</v>
      </c>
      <c r="BM240" s="11">
        <f t="shared" si="31"/>
        <v>0</v>
      </c>
      <c r="BN240" s="11">
        <f t="shared" si="24"/>
        <v>146092</v>
      </c>
      <c r="BO240" s="11">
        <f t="shared" si="25"/>
        <v>0</v>
      </c>
      <c r="BP240" s="11">
        <f t="shared" si="26"/>
        <v>0</v>
      </c>
      <c r="BQ240">
        <f t="shared" si="27"/>
        <v>0</v>
      </c>
      <c r="BR240">
        <f t="shared" si="28"/>
        <v>0</v>
      </c>
      <c r="BS240">
        <f t="shared" si="29"/>
        <v>0</v>
      </c>
      <c r="BT240">
        <f t="shared" si="30"/>
        <v>0</v>
      </c>
    </row>
    <row r="241" spans="1:72" x14ac:dyDescent="0.35">
      <c r="A241">
        <v>2017</v>
      </c>
      <c r="B241" t="s">
        <v>9</v>
      </c>
      <c r="C241" t="s">
        <v>10</v>
      </c>
      <c r="D241" s="2">
        <v>3528311.4</v>
      </c>
      <c r="H241">
        <v>88164</v>
      </c>
      <c r="AN241">
        <v>88164</v>
      </c>
      <c r="BM241" s="11">
        <f t="shared" si="31"/>
        <v>0</v>
      </c>
      <c r="BN241" s="11">
        <f t="shared" si="24"/>
        <v>176328</v>
      </c>
      <c r="BO241" s="11">
        <f t="shared" si="25"/>
        <v>0</v>
      </c>
      <c r="BP241" s="11">
        <f t="shared" si="26"/>
        <v>0</v>
      </c>
      <c r="BQ241">
        <f t="shared" si="27"/>
        <v>0</v>
      </c>
      <c r="BR241">
        <f t="shared" si="28"/>
        <v>0</v>
      </c>
      <c r="BS241">
        <f t="shared" si="29"/>
        <v>0</v>
      </c>
      <c r="BT241">
        <f t="shared" si="30"/>
        <v>0</v>
      </c>
    </row>
    <row r="242" spans="1:72" x14ac:dyDescent="0.35">
      <c r="A242">
        <v>2017</v>
      </c>
      <c r="B242" t="s">
        <v>11</v>
      </c>
      <c r="C242" t="s">
        <v>12</v>
      </c>
      <c r="D242" s="2">
        <v>7193818.5999999996</v>
      </c>
      <c r="BM242" s="11">
        <f t="shared" si="31"/>
        <v>0</v>
      </c>
      <c r="BN242" s="11">
        <f t="shared" si="24"/>
        <v>0</v>
      </c>
      <c r="BO242" s="11">
        <f t="shared" si="25"/>
        <v>0</v>
      </c>
      <c r="BP242" s="11">
        <f t="shared" si="26"/>
        <v>0</v>
      </c>
      <c r="BQ242">
        <f t="shared" si="27"/>
        <v>0</v>
      </c>
      <c r="BR242">
        <f t="shared" si="28"/>
        <v>0</v>
      </c>
      <c r="BS242">
        <f t="shared" si="29"/>
        <v>0</v>
      </c>
      <c r="BT242">
        <f t="shared" si="30"/>
        <v>0</v>
      </c>
    </row>
    <row r="243" spans="1:72" x14ac:dyDescent="0.35">
      <c r="A243">
        <v>2017</v>
      </c>
      <c r="B243" t="s">
        <v>13</v>
      </c>
      <c r="C243" t="s">
        <v>14</v>
      </c>
      <c r="D243" s="2">
        <v>63752.5</v>
      </c>
      <c r="E243">
        <v>1408</v>
      </c>
      <c r="F243">
        <v>570</v>
      </c>
      <c r="H243">
        <v>5350</v>
      </c>
      <c r="I243">
        <v>733</v>
      </c>
      <c r="J243">
        <v>37</v>
      </c>
      <c r="K243">
        <v>121</v>
      </c>
      <c r="L243">
        <v>1943</v>
      </c>
      <c r="N243">
        <v>2</v>
      </c>
      <c r="O243">
        <v>8</v>
      </c>
      <c r="Q243">
        <v>3</v>
      </c>
      <c r="R243">
        <v>46</v>
      </c>
      <c r="S243">
        <v>2</v>
      </c>
      <c r="X243">
        <v>102</v>
      </c>
      <c r="Z243">
        <v>127</v>
      </c>
      <c r="AB243">
        <v>93</v>
      </c>
      <c r="AD243">
        <v>18</v>
      </c>
      <c r="AE243">
        <v>442</v>
      </c>
      <c r="AH243">
        <v>32</v>
      </c>
      <c r="AJ243">
        <v>195</v>
      </c>
      <c r="AL243">
        <v>109</v>
      </c>
      <c r="AM243">
        <v>624</v>
      </c>
      <c r="AN243">
        <v>4273</v>
      </c>
      <c r="AP243">
        <v>1077</v>
      </c>
      <c r="AS243">
        <v>4</v>
      </c>
      <c r="AT243">
        <v>89</v>
      </c>
      <c r="AU243">
        <v>5</v>
      </c>
      <c r="AV243">
        <v>452</v>
      </c>
      <c r="AY243">
        <v>58</v>
      </c>
      <c r="BB243">
        <v>106</v>
      </c>
      <c r="BC243">
        <v>43</v>
      </c>
      <c r="BE243">
        <v>4</v>
      </c>
      <c r="BF243">
        <v>41</v>
      </c>
      <c r="BI243">
        <v>838</v>
      </c>
      <c r="BJ243">
        <v>80</v>
      </c>
      <c r="BL243" s="10">
        <v>99</v>
      </c>
      <c r="BM243" s="11">
        <f t="shared" si="31"/>
        <v>3543</v>
      </c>
      <c r="BN243" s="11">
        <f t="shared" si="24"/>
        <v>10700</v>
      </c>
      <c r="BO243" s="11">
        <f t="shared" si="25"/>
        <v>1466</v>
      </c>
      <c r="BP243" s="11">
        <f t="shared" si="26"/>
        <v>0</v>
      </c>
      <c r="BQ243">
        <f t="shared" si="27"/>
        <v>40</v>
      </c>
      <c r="BR243">
        <f t="shared" si="28"/>
        <v>227</v>
      </c>
      <c r="BS243">
        <f t="shared" si="29"/>
        <v>6</v>
      </c>
      <c r="BT243">
        <f t="shared" si="30"/>
        <v>0</v>
      </c>
    </row>
    <row r="244" spans="1:72" x14ac:dyDescent="0.35">
      <c r="A244">
        <v>2017</v>
      </c>
      <c r="B244" t="s">
        <v>15</v>
      </c>
      <c r="C244" t="s">
        <v>16</v>
      </c>
      <c r="D244" s="2">
        <v>140591.4</v>
      </c>
      <c r="E244">
        <v>791</v>
      </c>
      <c r="H244">
        <v>4571</v>
      </c>
      <c r="AI244">
        <v>791</v>
      </c>
      <c r="AN244">
        <v>4571</v>
      </c>
      <c r="BM244" s="11">
        <f t="shared" si="31"/>
        <v>1582</v>
      </c>
      <c r="BN244" s="11">
        <f t="shared" si="24"/>
        <v>9142</v>
      </c>
      <c r="BO244" s="11">
        <f t="shared" si="25"/>
        <v>0</v>
      </c>
      <c r="BP244" s="11">
        <f t="shared" si="26"/>
        <v>0</v>
      </c>
      <c r="BQ244">
        <f t="shared" si="27"/>
        <v>0</v>
      </c>
      <c r="BR244">
        <f t="shared" si="28"/>
        <v>0</v>
      </c>
      <c r="BS244">
        <f t="shared" si="29"/>
        <v>0</v>
      </c>
      <c r="BT244">
        <f t="shared" si="30"/>
        <v>0</v>
      </c>
    </row>
    <row r="245" spans="1:72" x14ac:dyDescent="0.35">
      <c r="A245">
        <v>2017</v>
      </c>
      <c r="B245" t="s">
        <v>17</v>
      </c>
      <c r="C245" t="s">
        <v>18</v>
      </c>
      <c r="D245" s="2">
        <v>30815.7</v>
      </c>
      <c r="E245">
        <v>208</v>
      </c>
      <c r="H245">
        <v>4431</v>
      </c>
      <c r="AI245">
        <v>208</v>
      </c>
      <c r="AO245">
        <v>993</v>
      </c>
      <c r="AP245">
        <v>3438</v>
      </c>
      <c r="BE245">
        <v>1</v>
      </c>
      <c r="BJ245">
        <v>8</v>
      </c>
      <c r="BM245" s="11">
        <f t="shared" si="31"/>
        <v>425</v>
      </c>
      <c r="BN245" s="11">
        <f t="shared" si="24"/>
        <v>8862</v>
      </c>
      <c r="BO245" s="11">
        <f t="shared" si="25"/>
        <v>0</v>
      </c>
      <c r="BP245" s="11">
        <f t="shared" si="26"/>
        <v>0</v>
      </c>
      <c r="BQ245">
        <f t="shared" si="27"/>
        <v>0</v>
      </c>
      <c r="BR245">
        <f t="shared" si="28"/>
        <v>0</v>
      </c>
      <c r="BS245">
        <f t="shared" si="29"/>
        <v>0</v>
      </c>
      <c r="BT245">
        <f t="shared" si="30"/>
        <v>0</v>
      </c>
    </row>
    <row r="246" spans="1:72" x14ac:dyDescent="0.35">
      <c r="A246">
        <v>2017</v>
      </c>
      <c r="B246" t="s">
        <v>19</v>
      </c>
      <c r="C246" t="s">
        <v>20</v>
      </c>
      <c r="D246" s="2">
        <v>59424.3</v>
      </c>
      <c r="BM246" s="11">
        <f t="shared" si="31"/>
        <v>0</v>
      </c>
      <c r="BN246" s="11">
        <f t="shared" si="24"/>
        <v>0</v>
      </c>
      <c r="BO246" s="11">
        <f t="shared" si="25"/>
        <v>0</v>
      </c>
      <c r="BP246" s="11">
        <f t="shared" si="26"/>
        <v>0</v>
      </c>
      <c r="BQ246">
        <f t="shared" si="27"/>
        <v>0</v>
      </c>
      <c r="BR246">
        <f t="shared" si="28"/>
        <v>0</v>
      </c>
      <c r="BS246">
        <f t="shared" si="29"/>
        <v>0</v>
      </c>
      <c r="BT246">
        <f t="shared" si="30"/>
        <v>0</v>
      </c>
    </row>
    <row r="247" spans="1:72" x14ac:dyDescent="0.35">
      <c r="A247">
        <v>2017</v>
      </c>
      <c r="B247" t="s">
        <v>21</v>
      </c>
      <c r="C247" t="s">
        <v>22</v>
      </c>
      <c r="D247" s="2">
        <v>1038181.5</v>
      </c>
      <c r="H247">
        <v>92000</v>
      </c>
      <c r="J247">
        <v>14263</v>
      </c>
      <c r="R247">
        <v>521</v>
      </c>
      <c r="AN247">
        <v>92000</v>
      </c>
      <c r="BM247" s="11">
        <f t="shared" si="31"/>
        <v>0</v>
      </c>
      <c r="BN247" s="11">
        <f t="shared" si="24"/>
        <v>184000</v>
      </c>
      <c r="BO247" s="11">
        <f t="shared" si="25"/>
        <v>0</v>
      </c>
      <c r="BP247" s="11">
        <f t="shared" si="26"/>
        <v>0</v>
      </c>
      <c r="BQ247">
        <f t="shared" si="27"/>
        <v>14263</v>
      </c>
      <c r="BR247">
        <f t="shared" si="28"/>
        <v>0</v>
      </c>
      <c r="BS247">
        <f t="shared" si="29"/>
        <v>0</v>
      </c>
      <c r="BT247">
        <f t="shared" si="30"/>
        <v>0</v>
      </c>
    </row>
    <row r="248" spans="1:72" x14ac:dyDescent="0.35">
      <c r="A248">
        <v>2017</v>
      </c>
      <c r="B248" t="s">
        <v>23</v>
      </c>
      <c r="C248" t="s">
        <v>24</v>
      </c>
      <c r="D248" s="2">
        <v>1196892.8</v>
      </c>
      <c r="E248">
        <v>6400</v>
      </c>
      <c r="AI248">
        <v>6400</v>
      </c>
      <c r="BM248" s="11">
        <f t="shared" si="31"/>
        <v>12800</v>
      </c>
      <c r="BN248" s="11">
        <f t="shared" si="24"/>
        <v>0</v>
      </c>
      <c r="BO248" s="11">
        <f t="shared" si="25"/>
        <v>0</v>
      </c>
      <c r="BP248" s="11">
        <f t="shared" si="26"/>
        <v>0</v>
      </c>
      <c r="BQ248">
        <f t="shared" si="27"/>
        <v>0</v>
      </c>
      <c r="BR248">
        <f t="shared" si="28"/>
        <v>0</v>
      </c>
      <c r="BS248">
        <f t="shared" si="29"/>
        <v>0</v>
      </c>
      <c r="BT248">
        <f t="shared" si="30"/>
        <v>0</v>
      </c>
    </row>
    <row r="249" spans="1:72" x14ac:dyDescent="0.35">
      <c r="A249">
        <v>2017</v>
      </c>
      <c r="B249" t="s">
        <v>25</v>
      </c>
      <c r="C249" t="s">
        <v>26</v>
      </c>
      <c r="D249" s="2">
        <v>433722.2</v>
      </c>
      <c r="J249">
        <v>73</v>
      </c>
      <c r="Q249">
        <v>33</v>
      </c>
      <c r="R249">
        <v>15</v>
      </c>
      <c r="BM249" s="11">
        <f t="shared" si="31"/>
        <v>0</v>
      </c>
      <c r="BN249" s="11">
        <f t="shared" si="24"/>
        <v>0</v>
      </c>
      <c r="BO249" s="11">
        <f t="shared" si="25"/>
        <v>0</v>
      </c>
      <c r="BP249" s="11">
        <f t="shared" si="26"/>
        <v>0</v>
      </c>
      <c r="BQ249">
        <f t="shared" si="27"/>
        <v>106</v>
      </c>
      <c r="BR249">
        <f t="shared" si="28"/>
        <v>0</v>
      </c>
      <c r="BS249">
        <f t="shared" si="29"/>
        <v>0</v>
      </c>
      <c r="BT249">
        <f t="shared" si="30"/>
        <v>0</v>
      </c>
    </row>
    <row r="250" spans="1:72" x14ac:dyDescent="0.35">
      <c r="A250">
        <v>2017</v>
      </c>
      <c r="B250" t="s">
        <v>27</v>
      </c>
      <c r="C250" t="s">
        <v>28</v>
      </c>
      <c r="D250" s="2">
        <v>62008.2</v>
      </c>
      <c r="BM250" s="11">
        <f t="shared" si="31"/>
        <v>0</v>
      </c>
      <c r="BN250" s="11">
        <f t="shared" si="24"/>
        <v>0</v>
      </c>
      <c r="BO250" s="11">
        <f t="shared" si="25"/>
        <v>0</v>
      </c>
      <c r="BP250" s="11">
        <f t="shared" si="26"/>
        <v>0</v>
      </c>
      <c r="BQ250">
        <f t="shared" si="27"/>
        <v>0</v>
      </c>
      <c r="BR250">
        <f t="shared" si="28"/>
        <v>0</v>
      </c>
      <c r="BS250">
        <f t="shared" si="29"/>
        <v>0</v>
      </c>
      <c r="BT250">
        <f t="shared" si="30"/>
        <v>0</v>
      </c>
    </row>
    <row r="251" spans="1:72" x14ac:dyDescent="0.35">
      <c r="A251">
        <v>2017</v>
      </c>
      <c r="B251" t="s">
        <v>29</v>
      </c>
      <c r="C251" t="s">
        <v>30</v>
      </c>
      <c r="D251" s="2">
        <v>423373</v>
      </c>
      <c r="E251">
        <v>0</v>
      </c>
      <c r="H251">
        <v>9071</v>
      </c>
      <c r="I251">
        <v>160</v>
      </c>
      <c r="W251">
        <v>363</v>
      </c>
      <c r="AF251">
        <v>1073</v>
      </c>
      <c r="AL251">
        <v>160</v>
      </c>
      <c r="AP251">
        <v>9071</v>
      </c>
      <c r="AW251">
        <v>2946</v>
      </c>
      <c r="AX251">
        <v>9003</v>
      </c>
      <c r="BF251">
        <v>93</v>
      </c>
      <c r="BM251" s="11">
        <f t="shared" si="31"/>
        <v>0</v>
      </c>
      <c r="BN251" s="11">
        <f t="shared" si="24"/>
        <v>18142</v>
      </c>
      <c r="BO251" s="11">
        <f t="shared" si="25"/>
        <v>320</v>
      </c>
      <c r="BP251" s="11">
        <f t="shared" si="26"/>
        <v>0</v>
      </c>
      <c r="BQ251">
        <f t="shared" si="27"/>
        <v>0</v>
      </c>
      <c r="BR251">
        <f t="shared" si="28"/>
        <v>0</v>
      </c>
      <c r="BS251">
        <f t="shared" si="29"/>
        <v>0</v>
      </c>
      <c r="BT251">
        <f t="shared" si="30"/>
        <v>363</v>
      </c>
    </row>
    <row r="252" spans="1:72" x14ac:dyDescent="0.35">
      <c r="A252">
        <v>2017</v>
      </c>
      <c r="B252" t="s">
        <v>31</v>
      </c>
      <c r="C252" t="s">
        <v>32</v>
      </c>
      <c r="D252" s="2">
        <v>11160.3</v>
      </c>
      <c r="H252">
        <v>688</v>
      </c>
      <c r="AN252">
        <v>688</v>
      </c>
      <c r="BM252" s="11">
        <f t="shared" si="31"/>
        <v>0</v>
      </c>
      <c r="BN252" s="11">
        <f t="shared" si="24"/>
        <v>1376</v>
      </c>
      <c r="BO252" s="11">
        <f t="shared" si="25"/>
        <v>0</v>
      </c>
      <c r="BP252" s="11">
        <f t="shared" si="26"/>
        <v>0</v>
      </c>
      <c r="BQ252">
        <f t="shared" si="27"/>
        <v>0</v>
      </c>
      <c r="BR252">
        <f t="shared" si="28"/>
        <v>0</v>
      </c>
      <c r="BS252">
        <f t="shared" si="29"/>
        <v>0</v>
      </c>
      <c r="BT252">
        <f t="shared" si="30"/>
        <v>0</v>
      </c>
    </row>
    <row r="253" spans="1:72" x14ac:dyDescent="0.35">
      <c r="A253">
        <v>2017</v>
      </c>
      <c r="B253" t="s">
        <v>33</v>
      </c>
      <c r="C253" t="s">
        <v>34</v>
      </c>
      <c r="D253" s="2">
        <v>889229.5</v>
      </c>
      <c r="BM253" s="11">
        <f t="shared" si="31"/>
        <v>0</v>
      </c>
      <c r="BN253" s="11">
        <f t="shared" si="24"/>
        <v>0</v>
      </c>
      <c r="BO253" s="11">
        <f t="shared" si="25"/>
        <v>0</v>
      </c>
      <c r="BP253" s="11">
        <f t="shared" si="26"/>
        <v>0</v>
      </c>
      <c r="BQ253">
        <f t="shared" si="27"/>
        <v>0</v>
      </c>
      <c r="BR253">
        <f t="shared" si="28"/>
        <v>0</v>
      </c>
      <c r="BS253">
        <f t="shared" si="29"/>
        <v>0</v>
      </c>
      <c r="BT253">
        <f t="shared" si="30"/>
        <v>0</v>
      </c>
    </row>
    <row r="254" spans="1:72" x14ac:dyDescent="0.35">
      <c r="A254">
        <v>2017</v>
      </c>
      <c r="B254" t="s">
        <v>35</v>
      </c>
      <c r="C254" t="s">
        <v>36</v>
      </c>
      <c r="D254" s="2">
        <v>646467.9</v>
      </c>
      <c r="E254">
        <v>651</v>
      </c>
      <c r="H254">
        <v>3487</v>
      </c>
      <c r="K254">
        <v>71</v>
      </c>
      <c r="AI254">
        <v>651</v>
      </c>
      <c r="AN254">
        <v>3487</v>
      </c>
      <c r="BM254" s="11">
        <f t="shared" si="31"/>
        <v>1302</v>
      </c>
      <c r="BN254" s="11">
        <f t="shared" si="24"/>
        <v>6974</v>
      </c>
      <c r="BO254" s="11">
        <f t="shared" si="25"/>
        <v>0</v>
      </c>
      <c r="BP254" s="11">
        <f t="shared" si="26"/>
        <v>0</v>
      </c>
      <c r="BQ254">
        <f t="shared" si="27"/>
        <v>0</v>
      </c>
      <c r="BR254">
        <f t="shared" si="28"/>
        <v>71</v>
      </c>
      <c r="BS254">
        <f t="shared" si="29"/>
        <v>0</v>
      </c>
      <c r="BT254">
        <f t="shared" si="30"/>
        <v>0</v>
      </c>
    </row>
    <row r="255" spans="1:72" x14ac:dyDescent="0.35">
      <c r="A255">
        <v>2017</v>
      </c>
      <c r="B255" t="s">
        <v>37</v>
      </c>
      <c r="C255" t="s">
        <v>38</v>
      </c>
      <c r="D255" s="2">
        <v>863980</v>
      </c>
      <c r="H255">
        <v>13583</v>
      </c>
      <c r="AO255">
        <v>2770</v>
      </c>
      <c r="AP255">
        <v>10813</v>
      </c>
      <c r="BM255" s="11">
        <f t="shared" si="31"/>
        <v>0</v>
      </c>
      <c r="BN255" s="11">
        <f t="shared" si="24"/>
        <v>27166</v>
      </c>
      <c r="BO255" s="11">
        <f t="shared" si="25"/>
        <v>0</v>
      </c>
      <c r="BP255" s="11">
        <f t="shared" si="26"/>
        <v>0</v>
      </c>
      <c r="BQ255">
        <f t="shared" si="27"/>
        <v>0</v>
      </c>
      <c r="BR255">
        <f t="shared" si="28"/>
        <v>0</v>
      </c>
      <c r="BS255">
        <f t="shared" si="29"/>
        <v>0</v>
      </c>
      <c r="BT255">
        <f t="shared" si="30"/>
        <v>0</v>
      </c>
    </row>
    <row r="256" spans="1:72" x14ac:dyDescent="0.35">
      <c r="A256">
        <v>2017</v>
      </c>
      <c r="B256" t="s">
        <v>39</v>
      </c>
      <c r="C256" t="s">
        <v>40</v>
      </c>
      <c r="D256" s="2">
        <v>47406.7</v>
      </c>
      <c r="E256">
        <v>507</v>
      </c>
      <c r="H256">
        <v>634</v>
      </c>
      <c r="AI256">
        <v>507</v>
      </c>
      <c r="AN256">
        <v>634</v>
      </c>
      <c r="BM256" s="11">
        <f t="shared" si="31"/>
        <v>1014</v>
      </c>
      <c r="BN256" s="11">
        <f t="shared" si="24"/>
        <v>1268</v>
      </c>
      <c r="BO256" s="11">
        <f t="shared" si="25"/>
        <v>0</v>
      </c>
      <c r="BP256" s="11">
        <f t="shared" si="26"/>
        <v>0</v>
      </c>
      <c r="BQ256">
        <f t="shared" si="27"/>
        <v>0</v>
      </c>
      <c r="BR256">
        <f t="shared" si="28"/>
        <v>0</v>
      </c>
      <c r="BS256">
        <f t="shared" si="29"/>
        <v>0</v>
      </c>
      <c r="BT256">
        <f t="shared" si="30"/>
        <v>0</v>
      </c>
    </row>
    <row r="257" spans="1:72" x14ac:dyDescent="0.35">
      <c r="A257">
        <v>2017</v>
      </c>
      <c r="B257" t="s">
        <v>41</v>
      </c>
      <c r="C257" t="s">
        <v>42</v>
      </c>
      <c r="D257" s="2">
        <v>84719.8</v>
      </c>
      <c r="E257">
        <v>232</v>
      </c>
      <c r="F257">
        <v>152</v>
      </c>
      <c r="H257">
        <v>1127</v>
      </c>
      <c r="I257">
        <v>422</v>
      </c>
      <c r="AK257">
        <v>341</v>
      </c>
      <c r="AL257">
        <v>81</v>
      </c>
      <c r="AO257">
        <v>879</v>
      </c>
      <c r="AP257">
        <v>248</v>
      </c>
      <c r="AQ257">
        <v>68</v>
      </c>
      <c r="AR257">
        <v>326</v>
      </c>
      <c r="BB257">
        <v>74</v>
      </c>
      <c r="BI257">
        <v>80</v>
      </c>
      <c r="BM257" s="11">
        <f t="shared" si="31"/>
        <v>464</v>
      </c>
      <c r="BN257" s="11">
        <f t="shared" si="24"/>
        <v>2648</v>
      </c>
      <c r="BO257" s="11">
        <f t="shared" si="25"/>
        <v>844</v>
      </c>
      <c r="BP257" s="11">
        <f t="shared" si="26"/>
        <v>0</v>
      </c>
      <c r="BQ257">
        <f t="shared" si="27"/>
        <v>0</v>
      </c>
      <c r="BR257">
        <f t="shared" si="28"/>
        <v>74</v>
      </c>
      <c r="BS257">
        <f t="shared" si="29"/>
        <v>0</v>
      </c>
      <c r="BT257">
        <f t="shared" si="30"/>
        <v>0</v>
      </c>
    </row>
    <row r="258" spans="1:72" x14ac:dyDescent="0.35">
      <c r="A258">
        <v>2017</v>
      </c>
      <c r="B258" t="s">
        <v>43</v>
      </c>
      <c r="C258" t="s">
        <v>44</v>
      </c>
      <c r="D258" s="2">
        <v>890481.1</v>
      </c>
      <c r="E258">
        <v>2679</v>
      </c>
      <c r="F258">
        <v>1757</v>
      </c>
      <c r="H258">
        <v>58608</v>
      </c>
      <c r="I258">
        <v>9554</v>
      </c>
      <c r="K258">
        <v>718</v>
      </c>
      <c r="P258">
        <v>15456</v>
      </c>
      <c r="Q258">
        <v>46</v>
      </c>
      <c r="R258">
        <v>167</v>
      </c>
      <c r="S258">
        <v>34</v>
      </c>
      <c r="AD258">
        <v>240</v>
      </c>
      <c r="AI258">
        <v>61</v>
      </c>
      <c r="AL258">
        <v>9554</v>
      </c>
      <c r="AO258">
        <v>36681</v>
      </c>
      <c r="AP258">
        <v>21927</v>
      </c>
      <c r="AS258">
        <v>462</v>
      </c>
      <c r="AU258">
        <v>133</v>
      </c>
      <c r="BB258">
        <v>821</v>
      </c>
      <c r="BC258">
        <v>324</v>
      </c>
      <c r="BI258">
        <v>861</v>
      </c>
      <c r="BM258" s="11">
        <f t="shared" si="31"/>
        <v>5358</v>
      </c>
      <c r="BN258" s="11">
        <f t="shared" si="24"/>
        <v>117216</v>
      </c>
      <c r="BO258" s="11">
        <f t="shared" si="25"/>
        <v>19108</v>
      </c>
      <c r="BP258" s="11">
        <f t="shared" si="26"/>
        <v>0</v>
      </c>
      <c r="BQ258">
        <f t="shared" si="27"/>
        <v>46</v>
      </c>
      <c r="BR258">
        <f t="shared" si="28"/>
        <v>1539</v>
      </c>
      <c r="BS258">
        <f t="shared" si="29"/>
        <v>496</v>
      </c>
      <c r="BT258">
        <f t="shared" si="30"/>
        <v>0</v>
      </c>
    </row>
    <row r="259" spans="1:72" x14ac:dyDescent="0.35">
      <c r="A259">
        <v>2017</v>
      </c>
      <c r="B259" t="s">
        <v>45</v>
      </c>
      <c r="C259" t="s">
        <v>46</v>
      </c>
      <c r="D259" s="2">
        <v>435595</v>
      </c>
      <c r="BM259" s="11">
        <f t="shared" si="31"/>
        <v>0</v>
      </c>
      <c r="BN259" s="11">
        <f t="shared" ref="BN259:BN322" si="32">H259+AP259+AO259+AN259+AQ259+AR259</f>
        <v>0</v>
      </c>
      <c r="BO259" s="11">
        <f t="shared" ref="BO259:BO322" si="33">I259+AK259+AL259+AM259</f>
        <v>0</v>
      </c>
      <c r="BP259" s="11">
        <f t="shared" ref="BP259:BP322" si="34">AZ259+Y259+AA259+BA259</f>
        <v>0</v>
      </c>
      <c r="BQ259">
        <f t="shared" ref="BQ259:BQ322" si="35">J259+Q259</f>
        <v>0</v>
      </c>
      <c r="BR259">
        <f t="shared" ref="BR259:BR322" si="36">K259+BB259</f>
        <v>0</v>
      </c>
      <c r="BS259">
        <f t="shared" ref="BS259:BS322" si="37">S259+AS259</f>
        <v>0</v>
      </c>
      <c r="BT259">
        <f t="shared" ref="BT259:BT322" si="38">V259+W259</f>
        <v>0</v>
      </c>
    </row>
    <row r="260" spans="1:72" x14ac:dyDescent="0.35">
      <c r="A260">
        <v>2017</v>
      </c>
      <c r="B260" t="s">
        <v>47</v>
      </c>
      <c r="C260" t="s">
        <v>48</v>
      </c>
      <c r="D260" s="2">
        <v>61977.7</v>
      </c>
      <c r="BM260" s="11">
        <f t="shared" ref="BM260:BM323" si="39">E260+F260+BI260+X260+AT260+BE260+G260+BJ260+AV260+AI260</f>
        <v>0</v>
      </c>
      <c r="BN260" s="11">
        <f t="shared" si="32"/>
        <v>0</v>
      </c>
      <c r="BO260" s="11">
        <f t="shared" si="33"/>
        <v>0</v>
      </c>
      <c r="BP260" s="11">
        <f t="shared" si="34"/>
        <v>0</v>
      </c>
      <c r="BQ260">
        <f t="shared" si="35"/>
        <v>0</v>
      </c>
      <c r="BR260">
        <f t="shared" si="36"/>
        <v>0</v>
      </c>
      <c r="BS260">
        <f t="shared" si="37"/>
        <v>0</v>
      </c>
      <c r="BT260">
        <f t="shared" si="38"/>
        <v>0</v>
      </c>
    </row>
    <row r="261" spans="1:72" x14ac:dyDescent="0.35">
      <c r="A261">
        <v>2017</v>
      </c>
      <c r="B261" t="s">
        <v>49</v>
      </c>
      <c r="C261" t="s">
        <v>50</v>
      </c>
      <c r="D261" s="2">
        <v>1446540.2</v>
      </c>
      <c r="H261">
        <v>53168</v>
      </c>
      <c r="AO261">
        <v>11585</v>
      </c>
      <c r="AP261">
        <v>41583</v>
      </c>
      <c r="BM261" s="11">
        <f t="shared" si="39"/>
        <v>0</v>
      </c>
      <c r="BN261" s="11">
        <f t="shared" si="32"/>
        <v>106336</v>
      </c>
      <c r="BO261" s="11">
        <f t="shared" si="33"/>
        <v>0</v>
      </c>
      <c r="BP261" s="11">
        <f t="shared" si="34"/>
        <v>0</v>
      </c>
      <c r="BQ261">
        <f t="shared" si="35"/>
        <v>0</v>
      </c>
      <c r="BR261">
        <f t="shared" si="36"/>
        <v>0</v>
      </c>
      <c r="BS261">
        <f t="shared" si="37"/>
        <v>0</v>
      </c>
      <c r="BT261">
        <f t="shared" si="38"/>
        <v>0</v>
      </c>
    </row>
    <row r="262" spans="1:72" x14ac:dyDescent="0.35">
      <c r="A262">
        <v>2017</v>
      </c>
      <c r="B262" t="s">
        <v>51</v>
      </c>
      <c r="C262" t="s">
        <v>52</v>
      </c>
      <c r="D262" s="2">
        <v>156073.20000000001</v>
      </c>
      <c r="E262">
        <v>248</v>
      </c>
      <c r="AI262">
        <v>248</v>
      </c>
      <c r="BM262" s="11">
        <f t="shared" si="39"/>
        <v>496</v>
      </c>
      <c r="BN262" s="11">
        <f t="shared" si="32"/>
        <v>0</v>
      </c>
      <c r="BO262" s="11">
        <f t="shared" si="33"/>
        <v>0</v>
      </c>
      <c r="BP262" s="11">
        <f t="shared" si="34"/>
        <v>0</v>
      </c>
      <c r="BQ262">
        <f t="shared" si="35"/>
        <v>0</v>
      </c>
      <c r="BR262">
        <f t="shared" si="36"/>
        <v>0</v>
      </c>
      <c r="BS262">
        <f t="shared" si="37"/>
        <v>0</v>
      </c>
      <c r="BT262">
        <f t="shared" si="38"/>
        <v>0</v>
      </c>
    </row>
    <row r="263" spans="1:72" x14ac:dyDescent="0.35">
      <c r="A263">
        <v>2017</v>
      </c>
      <c r="B263" t="s">
        <v>53</v>
      </c>
      <c r="C263" t="s">
        <v>54</v>
      </c>
      <c r="D263" s="2">
        <v>840158.7</v>
      </c>
      <c r="I263">
        <v>2931</v>
      </c>
      <c r="AL263">
        <v>2931</v>
      </c>
      <c r="BM263" s="11">
        <f t="shared" si="39"/>
        <v>0</v>
      </c>
      <c r="BN263" s="11">
        <f t="shared" si="32"/>
        <v>0</v>
      </c>
      <c r="BO263" s="11">
        <f t="shared" si="33"/>
        <v>5862</v>
      </c>
      <c r="BP263" s="11">
        <f t="shared" si="34"/>
        <v>0</v>
      </c>
      <c r="BQ263">
        <f t="shared" si="35"/>
        <v>0</v>
      </c>
      <c r="BR263">
        <f t="shared" si="36"/>
        <v>0</v>
      </c>
      <c r="BS263">
        <f t="shared" si="37"/>
        <v>0</v>
      </c>
      <c r="BT263">
        <f t="shared" si="38"/>
        <v>0</v>
      </c>
    </row>
    <row r="264" spans="1:72" x14ac:dyDescent="0.35">
      <c r="A264">
        <v>2017</v>
      </c>
      <c r="B264" t="s">
        <v>55</v>
      </c>
      <c r="C264" t="s">
        <v>56</v>
      </c>
      <c r="D264" s="2">
        <v>609708.69999999995</v>
      </c>
      <c r="AV264">
        <v>11</v>
      </c>
      <c r="BM264" s="11">
        <f t="shared" si="39"/>
        <v>11</v>
      </c>
      <c r="BN264" s="11">
        <f t="shared" si="32"/>
        <v>0</v>
      </c>
      <c r="BO264" s="11">
        <f t="shared" si="33"/>
        <v>0</v>
      </c>
      <c r="BP264" s="11">
        <f t="shared" si="34"/>
        <v>0</v>
      </c>
      <c r="BQ264">
        <f t="shared" si="35"/>
        <v>0</v>
      </c>
      <c r="BR264">
        <f t="shared" si="36"/>
        <v>0</v>
      </c>
      <c r="BS264">
        <f t="shared" si="37"/>
        <v>0</v>
      </c>
      <c r="BT264">
        <f t="shared" si="38"/>
        <v>0</v>
      </c>
    </row>
    <row r="265" spans="1:72" x14ac:dyDescent="0.35">
      <c r="A265">
        <v>2017</v>
      </c>
      <c r="B265" t="s">
        <v>57</v>
      </c>
      <c r="C265" t="s">
        <v>58</v>
      </c>
      <c r="D265" s="2">
        <v>807286.6</v>
      </c>
      <c r="E265">
        <v>2247</v>
      </c>
      <c r="Q265">
        <v>53</v>
      </c>
      <c r="AI265">
        <v>2247</v>
      </c>
      <c r="BE265">
        <v>10</v>
      </c>
      <c r="BJ265">
        <v>72</v>
      </c>
      <c r="BM265" s="11">
        <f t="shared" si="39"/>
        <v>4576</v>
      </c>
      <c r="BN265" s="11">
        <f t="shared" si="32"/>
        <v>0</v>
      </c>
      <c r="BO265" s="11">
        <f t="shared" si="33"/>
        <v>0</v>
      </c>
      <c r="BP265" s="11">
        <f t="shared" si="34"/>
        <v>0</v>
      </c>
      <c r="BQ265">
        <f t="shared" si="35"/>
        <v>53</v>
      </c>
      <c r="BR265">
        <f t="shared" si="36"/>
        <v>0</v>
      </c>
      <c r="BS265">
        <f t="shared" si="37"/>
        <v>0</v>
      </c>
      <c r="BT265">
        <f t="shared" si="38"/>
        <v>0</v>
      </c>
    </row>
    <row r="266" spans="1:72" x14ac:dyDescent="0.35">
      <c r="A266">
        <v>2017</v>
      </c>
      <c r="B266" t="s">
        <v>59</v>
      </c>
      <c r="C266" t="s">
        <v>60</v>
      </c>
      <c r="D266" s="2">
        <v>14729.3</v>
      </c>
      <c r="E266">
        <v>2927</v>
      </c>
      <c r="H266">
        <v>4445</v>
      </c>
      <c r="J266">
        <v>401</v>
      </c>
      <c r="K266">
        <v>531</v>
      </c>
      <c r="AI266">
        <v>2927</v>
      </c>
      <c r="AN266">
        <v>4445</v>
      </c>
      <c r="BM266" s="11">
        <f t="shared" si="39"/>
        <v>5854</v>
      </c>
      <c r="BN266" s="11">
        <f t="shared" si="32"/>
        <v>8890</v>
      </c>
      <c r="BO266" s="11">
        <f t="shared" si="33"/>
        <v>0</v>
      </c>
      <c r="BP266" s="11">
        <f t="shared" si="34"/>
        <v>0</v>
      </c>
      <c r="BQ266">
        <f t="shared" si="35"/>
        <v>401</v>
      </c>
      <c r="BR266">
        <f t="shared" si="36"/>
        <v>531</v>
      </c>
      <c r="BS266">
        <f t="shared" si="37"/>
        <v>0</v>
      </c>
      <c r="BT266">
        <f t="shared" si="38"/>
        <v>0</v>
      </c>
    </row>
    <row r="267" spans="1:72" x14ac:dyDescent="0.35">
      <c r="A267">
        <v>2017</v>
      </c>
      <c r="B267" t="s">
        <v>61</v>
      </c>
      <c r="C267" t="s">
        <v>62</v>
      </c>
      <c r="D267" s="2">
        <v>1056956</v>
      </c>
      <c r="E267">
        <v>2180</v>
      </c>
      <c r="F267">
        <v>1555</v>
      </c>
      <c r="H267">
        <v>7961</v>
      </c>
      <c r="I267">
        <v>5820</v>
      </c>
      <c r="J267">
        <v>217</v>
      </c>
      <c r="K267">
        <v>255</v>
      </c>
      <c r="L267">
        <v>7242</v>
      </c>
      <c r="N267">
        <v>2</v>
      </c>
      <c r="P267">
        <v>1991</v>
      </c>
      <c r="Q267">
        <v>319</v>
      </c>
      <c r="U267">
        <v>103</v>
      </c>
      <c r="X267">
        <v>68</v>
      </c>
      <c r="Z267">
        <v>452</v>
      </c>
      <c r="AB267">
        <v>290</v>
      </c>
      <c r="AC267">
        <v>2466</v>
      </c>
      <c r="AE267">
        <v>1958</v>
      </c>
      <c r="AG267">
        <v>29</v>
      </c>
      <c r="AK267">
        <v>436</v>
      </c>
      <c r="AL267">
        <v>5384</v>
      </c>
      <c r="AN267">
        <v>7961</v>
      </c>
      <c r="AS267">
        <v>211</v>
      </c>
      <c r="AT267">
        <v>57</v>
      </c>
      <c r="AU267">
        <v>147</v>
      </c>
      <c r="AV267">
        <v>424</v>
      </c>
      <c r="AW267">
        <v>34992</v>
      </c>
      <c r="AX267">
        <v>26735</v>
      </c>
      <c r="AY267">
        <v>6281</v>
      </c>
      <c r="BB267">
        <v>2055</v>
      </c>
      <c r="BC267">
        <v>52</v>
      </c>
      <c r="BD267">
        <v>325</v>
      </c>
      <c r="BE267">
        <v>17</v>
      </c>
      <c r="BF267">
        <v>219</v>
      </c>
      <c r="BG267">
        <v>8</v>
      </c>
      <c r="BH267">
        <v>279</v>
      </c>
      <c r="BI267">
        <v>625</v>
      </c>
      <c r="BJ267">
        <v>59</v>
      </c>
      <c r="BM267" s="11">
        <f t="shared" si="39"/>
        <v>4985</v>
      </c>
      <c r="BN267" s="11">
        <f t="shared" si="32"/>
        <v>15922</v>
      </c>
      <c r="BO267" s="11">
        <f t="shared" si="33"/>
        <v>11640</v>
      </c>
      <c r="BP267" s="11">
        <f t="shared" si="34"/>
        <v>0</v>
      </c>
      <c r="BQ267">
        <f t="shared" si="35"/>
        <v>536</v>
      </c>
      <c r="BR267">
        <f t="shared" si="36"/>
        <v>2310</v>
      </c>
      <c r="BS267">
        <f t="shared" si="37"/>
        <v>211</v>
      </c>
      <c r="BT267">
        <f t="shared" si="38"/>
        <v>0</v>
      </c>
    </row>
    <row r="268" spans="1:72" x14ac:dyDescent="0.35">
      <c r="A268">
        <v>2017</v>
      </c>
      <c r="B268" t="s">
        <v>63</v>
      </c>
      <c r="C268" t="s">
        <v>64</v>
      </c>
      <c r="D268" s="2">
        <v>70261.600000000006</v>
      </c>
      <c r="E268">
        <v>1421</v>
      </c>
      <c r="H268">
        <v>4853</v>
      </c>
      <c r="AI268">
        <v>1421</v>
      </c>
      <c r="AO268">
        <v>2539</v>
      </c>
      <c r="AP268">
        <v>2314</v>
      </c>
      <c r="BM268" s="11">
        <f t="shared" si="39"/>
        <v>2842</v>
      </c>
      <c r="BN268" s="11">
        <f t="shared" si="32"/>
        <v>9706</v>
      </c>
      <c r="BO268" s="11">
        <f t="shared" si="33"/>
        <v>0</v>
      </c>
      <c r="BP268" s="11">
        <f t="shared" si="34"/>
        <v>0</v>
      </c>
      <c r="BQ268">
        <f t="shared" si="35"/>
        <v>0</v>
      </c>
      <c r="BR268">
        <f t="shared" si="36"/>
        <v>0</v>
      </c>
      <c r="BS268">
        <f t="shared" si="37"/>
        <v>0</v>
      </c>
      <c r="BT268">
        <f t="shared" si="38"/>
        <v>0</v>
      </c>
    </row>
    <row r="269" spans="1:72" x14ac:dyDescent="0.35">
      <c r="A269">
        <v>2017</v>
      </c>
      <c r="B269" t="s">
        <v>65</v>
      </c>
      <c r="C269" t="s">
        <v>66</v>
      </c>
      <c r="D269" s="2">
        <v>382138</v>
      </c>
      <c r="E269">
        <v>1648</v>
      </c>
      <c r="F269">
        <v>1114</v>
      </c>
      <c r="I269">
        <v>2144</v>
      </c>
      <c r="J269">
        <v>236</v>
      </c>
      <c r="K269">
        <v>879</v>
      </c>
      <c r="W269">
        <v>201</v>
      </c>
      <c r="X269">
        <v>76</v>
      </c>
      <c r="AE269">
        <v>1990</v>
      </c>
      <c r="AK269">
        <v>879</v>
      </c>
      <c r="AM269">
        <v>1265</v>
      </c>
      <c r="AQ269">
        <v>1290</v>
      </c>
      <c r="AT269">
        <v>83</v>
      </c>
      <c r="AV269">
        <v>309</v>
      </c>
      <c r="BB269">
        <v>201</v>
      </c>
      <c r="BC269">
        <v>182</v>
      </c>
      <c r="BE269">
        <v>10</v>
      </c>
      <c r="BI269">
        <v>534</v>
      </c>
      <c r="BJ269">
        <v>56</v>
      </c>
      <c r="BM269" s="11">
        <f t="shared" si="39"/>
        <v>3830</v>
      </c>
      <c r="BN269" s="11">
        <f t="shared" si="32"/>
        <v>1290</v>
      </c>
      <c r="BO269" s="11">
        <f t="shared" si="33"/>
        <v>4288</v>
      </c>
      <c r="BP269" s="11">
        <f t="shared" si="34"/>
        <v>0</v>
      </c>
      <c r="BQ269">
        <f t="shared" si="35"/>
        <v>236</v>
      </c>
      <c r="BR269">
        <f t="shared" si="36"/>
        <v>1080</v>
      </c>
      <c r="BS269">
        <f t="shared" si="37"/>
        <v>0</v>
      </c>
      <c r="BT269">
        <f t="shared" si="38"/>
        <v>201</v>
      </c>
    </row>
    <row r="270" spans="1:72" x14ac:dyDescent="0.35">
      <c r="A270">
        <v>2017</v>
      </c>
      <c r="B270" t="s">
        <v>67</v>
      </c>
      <c r="C270" t="s">
        <v>68</v>
      </c>
      <c r="D270" s="2">
        <v>516925.5</v>
      </c>
      <c r="E270">
        <v>1066</v>
      </c>
      <c r="H270">
        <v>2820</v>
      </c>
      <c r="I270">
        <v>2002</v>
      </c>
      <c r="J270">
        <v>121</v>
      </c>
      <c r="K270">
        <v>170</v>
      </c>
      <c r="P270">
        <v>5</v>
      </c>
      <c r="Q270">
        <v>57</v>
      </c>
      <c r="W270">
        <v>146</v>
      </c>
      <c r="AF270">
        <v>37</v>
      </c>
      <c r="AI270">
        <v>1066</v>
      </c>
      <c r="AM270">
        <v>2002</v>
      </c>
      <c r="AO270">
        <v>1093</v>
      </c>
      <c r="AP270">
        <v>1727</v>
      </c>
      <c r="BM270" s="11">
        <f t="shared" si="39"/>
        <v>2132</v>
      </c>
      <c r="BN270" s="11">
        <f t="shared" si="32"/>
        <v>5640</v>
      </c>
      <c r="BO270" s="11">
        <f t="shared" si="33"/>
        <v>4004</v>
      </c>
      <c r="BP270" s="11">
        <f t="shared" si="34"/>
        <v>0</v>
      </c>
      <c r="BQ270">
        <f t="shared" si="35"/>
        <v>178</v>
      </c>
      <c r="BR270">
        <f t="shared" si="36"/>
        <v>170</v>
      </c>
      <c r="BS270">
        <f t="shared" si="37"/>
        <v>0</v>
      </c>
      <c r="BT270">
        <f t="shared" si="38"/>
        <v>146</v>
      </c>
    </row>
    <row r="271" spans="1:72" x14ac:dyDescent="0.35">
      <c r="A271">
        <v>2017</v>
      </c>
      <c r="B271" t="s">
        <v>69</v>
      </c>
      <c r="C271" t="s">
        <v>70</v>
      </c>
      <c r="D271" s="2">
        <v>1837.1</v>
      </c>
      <c r="BE271">
        <v>4</v>
      </c>
      <c r="BJ271">
        <v>35</v>
      </c>
      <c r="BM271" s="11">
        <f t="shared" si="39"/>
        <v>39</v>
      </c>
      <c r="BN271" s="11">
        <f t="shared" si="32"/>
        <v>0</v>
      </c>
      <c r="BO271" s="11">
        <f t="shared" si="33"/>
        <v>0</v>
      </c>
      <c r="BP271" s="11">
        <f t="shared" si="34"/>
        <v>0</v>
      </c>
      <c r="BQ271">
        <f t="shared" si="35"/>
        <v>0</v>
      </c>
      <c r="BR271">
        <f t="shared" si="36"/>
        <v>0</v>
      </c>
      <c r="BS271">
        <f t="shared" si="37"/>
        <v>0</v>
      </c>
      <c r="BT271">
        <f t="shared" si="38"/>
        <v>0</v>
      </c>
    </row>
    <row r="272" spans="1:72" x14ac:dyDescent="0.35">
      <c r="A272">
        <v>2017</v>
      </c>
      <c r="B272" t="s">
        <v>71</v>
      </c>
      <c r="C272" t="s">
        <v>72</v>
      </c>
      <c r="D272" s="2">
        <v>248976</v>
      </c>
      <c r="H272">
        <v>5980</v>
      </c>
      <c r="AN272">
        <v>2326</v>
      </c>
      <c r="AO272">
        <v>2690</v>
      </c>
      <c r="AP272">
        <v>964</v>
      </c>
      <c r="BM272" s="11">
        <f t="shared" si="39"/>
        <v>0</v>
      </c>
      <c r="BN272" s="11">
        <f t="shared" si="32"/>
        <v>11960</v>
      </c>
      <c r="BO272" s="11">
        <f t="shared" si="33"/>
        <v>0</v>
      </c>
      <c r="BP272" s="11">
        <f t="shared" si="34"/>
        <v>0</v>
      </c>
      <c r="BQ272">
        <f t="shared" si="35"/>
        <v>0</v>
      </c>
      <c r="BR272">
        <f t="shared" si="36"/>
        <v>0</v>
      </c>
      <c r="BS272">
        <f t="shared" si="37"/>
        <v>0</v>
      </c>
      <c r="BT272">
        <f t="shared" si="38"/>
        <v>0</v>
      </c>
    </row>
    <row r="273" spans="1:72" x14ac:dyDescent="0.35">
      <c r="A273">
        <v>2017</v>
      </c>
      <c r="B273" t="s">
        <v>73</v>
      </c>
      <c r="C273" t="s">
        <v>74</v>
      </c>
      <c r="D273" s="2">
        <v>1185951.8</v>
      </c>
      <c r="E273">
        <v>44653</v>
      </c>
      <c r="J273">
        <v>6314</v>
      </c>
      <c r="N273">
        <v>3323</v>
      </c>
      <c r="O273">
        <v>2</v>
      </c>
      <c r="Q273">
        <v>6948</v>
      </c>
      <c r="R273">
        <v>3330</v>
      </c>
      <c r="S273">
        <v>3658</v>
      </c>
      <c r="T273">
        <v>152</v>
      </c>
      <c r="W273">
        <v>3730</v>
      </c>
      <c r="AB273">
        <v>8681</v>
      </c>
      <c r="AE273">
        <v>5525</v>
      </c>
      <c r="AF273">
        <v>5267</v>
      </c>
      <c r="AI273">
        <v>44653</v>
      </c>
      <c r="AS273">
        <v>219</v>
      </c>
      <c r="AU273">
        <v>3790</v>
      </c>
      <c r="AY273">
        <v>8919</v>
      </c>
      <c r="BB273">
        <v>11741</v>
      </c>
      <c r="BC273">
        <v>7476</v>
      </c>
      <c r="BD273">
        <v>228</v>
      </c>
      <c r="BF273">
        <v>8453</v>
      </c>
      <c r="BG273">
        <v>12683</v>
      </c>
      <c r="BH273">
        <v>15011</v>
      </c>
      <c r="BL273" s="10">
        <v>49732</v>
      </c>
      <c r="BM273" s="11">
        <f t="shared" si="39"/>
        <v>89306</v>
      </c>
      <c r="BN273" s="11">
        <f t="shared" si="32"/>
        <v>0</v>
      </c>
      <c r="BO273" s="11">
        <f t="shared" si="33"/>
        <v>0</v>
      </c>
      <c r="BP273" s="11">
        <f t="shared" si="34"/>
        <v>0</v>
      </c>
      <c r="BQ273">
        <f t="shared" si="35"/>
        <v>13262</v>
      </c>
      <c r="BR273">
        <f t="shared" si="36"/>
        <v>11741</v>
      </c>
      <c r="BS273">
        <f t="shared" si="37"/>
        <v>3877</v>
      </c>
      <c r="BT273">
        <f t="shared" si="38"/>
        <v>3730</v>
      </c>
    </row>
    <row r="274" spans="1:72" x14ac:dyDescent="0.35">
      <c r="A274">
        <v>2017</v>
      </c>
      <c r="B274" t="s">
        <v>75</v>
      </c>
      <c r="C274" t="s">
        <v>76</v>
      </c>
      <c r="D274" s="2">
        <v>360673.9</v>
      </c>
      <c r="AV274">
        <v>1</v>
      </c>
      <c r="BM274" s="11">
        <f t="shared" si="39"/>
        <v>1</v>
      </c>
      <c r="BN274" s="11">
        <f t="shared" si="32"/>
        <v>0</v>
      </c>
      <c r="BO274" s="11">
        <f t="shared" si="33"/>
        <v>0</v>
      </c>
      <c r="BP274" s="11">
        <f t="shared" si="34"/>
        <v>0</v>
      </c>
      <c r="BQ274">
        <f t="shared" si="35"/>
        <v>0</v>
      </c>
      <c r="BR274">
        <f t="shared" si="36"/>
        <v>0</v>
      </c>
      <c r="BS274">
        <f t="shared" si="37"/>
        <v>0</v>
      </c>
      <c r="BT274">
        <f t="shared" si="38"/>
        <v>0</v>
      </c>
    </row>
    <row r="275" spans="1:72" x14ac:dyDescent="0.35">
      <c r="A275">
        <v>2017</v>
      </c>
      <c r="B275" t="s">
        <v>77</v>
      </c>
      <c r="C275" t="s">
        <v>78</v>
      </c>
      <c r="D275" s="2">
        <v>175040.4</v>
      </c>
      <c r="BM275" s="11">
        <f t="shared" si="39"/>
        <v>0</v>
      </c>
      <c r="BN275" s="11">
        <f t="shared" si="32"/>
        <v>0</v>
      </c>
      <c r="BO275" s="11">
        <f t="shared" si="33"/>
        <v>0</v>
      </c>
      <c r="BP275" s="11">
        <f t="shared" si="34"/>
        <v>0</v>
      </c>
      <c r="BQ275">
        <f t="shared" si="35"/>
        <v>0</v>
      </c>
      <c r="BR275">
        <f t="shared" si="36"/>
        <v>0</v>
      </c>
      <c r="BS275">
        <f t="shared" si="37"/>
        <v>0</v>
      </c>
      <c r="BT275">
        <f t="shared" si="38"/>
        <v>0</v>
      </c>
    </row>
    <row r="276" spans="1:72" x14ac:dyDescent="0.35">
      <c r="A276">
        <v>2017</v>
      </c>
      <c r="B276" t="s">
        <v>79</v>
      </c>
      <c r="C276" t="s">
        <v>80</v>
      </c>
      <c r="D276" s="2">
        <v>973023.7</v>
      </c>
      <c r="E276">
        <v>472</v>
      </c>
      <c r="AI276">
        <v>472</v>
      </c>
      <c r="AV276">
        <v>6</v>
      </c>
      <c r="BM276" s="11">
        <f t="shared" si="39"/>
        <v>950</v>
      </c>
      <c r="BN276" s="11">
        <f t="shared" si="32"/>
        <v>0</v>
      </c>
      <c r="BO276" s="11">
        <f t="shared" si="33"/>
        <v>0</v>
      </c>
      <c r="BP276" s="11">
        <f t="shared" si="34"/>
        <v>0</v>
      </c>
      <c r="BQ276">
        <f t="shared" si="35"/>
        <v>0</v>
      </c>
      <c r="BR276">
        <f t="shared" si="36"/>
        <v>0</v>
      </c>
      <c r="BS276">
        <f t="shared" si="37"/>
        <v>0</v>
      </c>
      <c r="BT276">
        <f t="shared" si="38"/>
        <v>0</v>
      </c>
    </row>
    <row r="277" spans="1:72" x14ac:dyDescent="0.35">
      <c r="A277">
        <v>2017</v>
      </c>
      <c r="B277" t="s">
        <v>81</v>
      </c>
      <c r="C277" t="s">
        <v>82</v>
      </c>
      <c r="D277" s="2">
        <v>1511805.9</v>
      </c>
      <c r="E277">
        <v>6918</v>
      </c>
      <c r="H277">
        <v>60456</v>
      </c>
      <c r="AI277">
        <v>6918</v>
      </c>
      <c r="AO277">
        <v>45008</v>
      </c>
      <c r="AP277">
        <v>15448</v>
      </c>
      <c r="BM277" s="11">
        <f t="shared" si="39"/>
        <v>13836</v>
      </c>
      <c r="BN277" s="11">
        <f t="shared" si="32"/>
        <v>120912</v>
      </c>
      <c r="BO277" s="11">
        <f t="shared" si="33"/>
        <v>0</v>
      </c>
      <c r="BP277" s="11">
        <f t="shared" si="34"/>
        <v>0</v>
      </c>
      <c r="BQ277">
        <f t="shared" si="35"/>
        <v>0</v>
      </c>
      <c r="BR277">
        <f t="shared" si="36"/>
        <v>0</v>
      </c>
      <c r="BS277">
        <f t="shared" si="37"/>
        <v>0</v>
      </c>
      <c r="BT277">
        <f t="shared" si="38"/>
        <v>0</v>
      </c>
    </row>
    <row r="278" spans="1:72" x14ac:dyDescent="0.35">
      <c r="A278">
        <v>2017</v>
      </c>
      <c r="B278" t="s">
        <v>83</v>
      </c>
      <c r="C278" t="s">
        <v>84</v>
      </c>
      <c r="D278" s="2">
        <v>622980.80000000005</v>
      </c>
      <c r="H278">
        <v>15691</v>
      </c>
      <c r="AP278">
        <v>15691</v>
      </c>
      <c r="BM278" s="11">
        <f t="shared" si="39"/>
        <v>0</v>
      </c>
      <c r="BN278" s="11">
        <f t="shared" si="32"/>
        <v>31382</v>
      </c>
      <c r="BO278" s="11">
        <f t="shared" si="33"/>
        <v>0</v>
      </c>
      <c r="BP278" s="11">
        <f t="shared" si="34"/>
        <v>0</v>
      </c>
      <c r="BQ278">
        <f t="shared" si="35"/>
        <v>0</v>
      </c>
      <c r="BR278">
        <f t="shared" si="36"/>
        <v>0</v>
      </c>
      <c r="BS278">
        <f t="shared" si="37"/>
        <v>0</v>
      </c>
      <c r="BT278">
        <f t="shared" si="38"/>
        <v>0</v>
      </c>
    </row>
    <row r="279" spans="1:72" x14ac:dyDescent="0.35">
      <c r="A279">
        <v>2017</v>
      </c>
      <c r="B279" t="s">
        <v>85</v>
      </c>
      <c r="C279" t="s">
        <v>86</v>
      </c>
      <c r="D279" s="2">
        <v>478807.6</v>
      </c>
      <c r="E279">
        <v>2646</v>
      </c>
      <c r="F279">
        <v>1754</v>
      </c>
      <c r="G279">
        <v>84</v>
      </c>
      <c r="H279">
        <v>28170</v>
      </c>
      <c r="I279">
        <v>8806</v>
      </c>
      <c r="J279">
        <v>109</v>
      </c>
      <c r="K279">
        <v>272</v>
      </c>
      <c r="L279">
        <v>11460</v>
      </c>
      <c r="P279">
        <v>15000</v>
      </c>
      <c r="Q279">
        <v>276</v>
      </c>
      <c r="W279">
        <v>2036</v>
      </c>
      <c r="X279">
        <v>41</v>
      </c>
      <c r="AB279">
        <v>417</v>
      </c>
      <c r="AC279">
        <v>451</v>
      </c>
      <c r="AE279">
        <v>781</v>
      </c>
      <c r="AH279">
        <v>605</v>
      </c>
      <c r="AI279">
        <v>446</v>
      </c>
      <c r="AM279">
        <v>8806</v>
      </c>
      <c r="AO279">
        <v>9360</v>
      </c>
      <c r="AP279">
        <v>18810</v>
      </c>
      <c r="AQ279">
        <v>3586</v>
      </c>
      <c r="AR279">
        <v>39</v>
      </c>
      <c r="AT279">
        <v>69</v>
      </c>
      <c r="AU279">
        <v>20</v>
      </c>
      <c r="AV279">
        <v>154</v>
      </c>
      <c r="AW279">
        <v>1733</v>
      </c>
      <c r="AY279">
        <v>174</v>
      </c>
      <c r="AZ279">
        <v>607</v>
      </c>
      <c r="BB279">
        <v>726</v>
      </c>
      <c r="BC279">
        <v>503</v>
      </c>
      <c r="BE279">
        <v>15</v>
      </c>
      <c r="BI279">
        <v>446</v>
      </c>
      <c r="BJ279">
        <v>79</v>
      </c>
      <c r="BL279" s="10">
        <v>596</v>
      </c>
      <c r="BM279" s="11">
        <f t="shared" si="39"/>
        <v>5734</v>
      </c>
      <c r="BN279" s="11">
        <f t="shared" si="32"/>
        <v>59965</v>
      </c>
      <c r="BO279" s="11">
        <f t="shared" si="33"/>
        <v>17612</v>
      </c>
      <c r="BP279" s="11">
        <f t="shared" si="34"/>
        <v>607</v>
      </c>
      <c r="BQ279">
        <f t="shared" si="35"/>
        <v>385</v>
      </c>
      <c r="BR279">
        <f t="shared" si="36"/>
        <v>998</v>
      </c>
      <c r="BS279">
        <f t="shared" si="37"/>
        <v>0</v>
      </c>
      <c r="BT279">
        <f t="shared" si="38"/>
        <v>2036</v>
      </c>
    </row>
    <row r="280" spans="1:72" x14ac:dyDescent="0.35">
      <c r="A280">
        <v>2017</v>
      </c>
      <c r="B280" t="s">
        <v>87</v>
      </c>
      <c r="C280" t="s">
        <v>88</v>
      </c>
      <c r="D280" s="2">
        <v>100718.5</v>
      </c>
      <c r="E280">
        <v>224</v>
      </c>
      <c r="H280">
        <v>4528</v>
      </c>
      <c r="AI280">
        <v>224</v>
      </c>
      <c r="AO280">
        <v>2899</v>
      </c>
      <c r="AP280">
        <v>1629</v>
      </c>
      <c r="BE280">
        <v>33</v>
      </c>
      <c r="BJ280">
        <v>48</v>
      </c>
      <c r="BM280" s="11">
        <f t="shared" si="39"/>
        <v>529</v>
      </c>
      <c r="BN280" s="11">
        <f t="shared" si="32"/>
        <v>9056</v>
      </c>
      <c r="BO280" s="11">
        <f t="shared" si="33"/>
        <v>0</v>
      </c>
      <c r="BP280" s="11">
        <f t="shared" si="34"/>
        <v>0</v>
      </c>
      <c r="BQ280">
        <f t="shared" si="35"/>
        <v>0</v>
      </c>
      <c r="BR280">
        <f t="shared" si="36"/>
        <v>0</v>
      </c>
      <c r="BS280">
        <f t="shared" si="37"/>
        <v>0</v>
      </c>
      <c r="BT280">
        <f t="shared" si="38"/>
        <v>0</v>
      </c>
    </row>
    <row r="281" spans="1:72" x14ac:dyDescent="0.35">
      <c r="A281">
        <v>2017</v>
      </c>
      <c r="B281" t="s">
        <v>89</v>
      </c>
      <c r="C281" t="s">
        <v>90</v>
      </c>
      <c r="D281" s="2">
        <v>259750.6</v>
      </c>
      <c r="E281">
        <v>583</v>
      </c>
      <c r="F281">
        <v>230</v>
      </c>
      <c r="H281">
        <v>1966</v>
      </c>
      <c r="I281">
        <v>1268</v>
      </c>
      <c r="J281">
        <v>57</v>
      </c>
      <c r="K281">
        <v>218</v>
      </c>
      <c r="L281">
        <v>1431</v>
      </c>
      <c r="N281">
        <v>21</v>
      </c>
      <c r="O281">
        <v>22</v>
      </c>
      <c r="P281">
        <v>7545</v>
      </c>
      <c r="R281">
        <v>6</v>
      </c>
      <c r="S281">
        <v>1</v>
      </c>
      <c r="U281">
        <v>11</v>
      </c>
      <c r="V281">
        <v>35</v>
      </c>
      <c r="W281">
        <v>309</v>
      </c>
      <c r="X281">
        <v>43</v>
      </c>
      <c r="Y281">
        <v>3474</v>
      </c>
      <c r="AB281">
        <v>151</v>
      </c>
      <c r="AE281">
        <v>201</v>
      </c>
      <c r="AF281">
        <v>454</v>
      </c>
      <c r="AG281">
        <v>58</v>
      </c>
      <c r="AK281">
        <v>614</v>
      </c>
      <c r="AL281">
        <v>654</v>
      </c>
      <c r="AO281">
        <v>762</v>
      </c>
      <c r="AP281">
        <v>1204</v>
      </c>
      <c r="AS281">
        <v>7</v>
      </c>
      <c r="AT281">
        <v>47</v>
      </c>
      <c r="AU281">
        <v>6</v>
      </c>
      <c r="AV281">
        <v>229</v>
      </c>
      <c r="AW281">
        <v>1364</v>
      </c>
      <c r="AX281">
        <v>1806</v>
      </c>
      <c r="AY281">
        <v>945</v>
      </c>
      <c r="BB281">
        <v>3</v>
      </c>
      <c r="BC281">
        <v>174</v>
      </c>
      <c r="BE281">
        <v>5</v>
      </c>
      <c r="BF281">
        <v>57</v>
      </c>
      <c r="BG281">
        <v>41</v>
      </c>
      <c r="BH281">
        <v>21</v>
      </c>
      <c r="BI281">
        <v>353</v>
      </c>
      <c r="BM281" s="11">
        <f t="shared" si="39"/>
        <v>1490</v>
      </c>
      <c r="BN281" s="11">
        <f t="shared" si="32"/>
        <v>3932</v>
      </c>
      <c r="BO281" s="11">
        <f t="shared" si="33"/>
        <v>2536</v>
      </c>
      <c r="BP281" s="11">
        <f t="shared" si="34"/>
        <v>3474</v>
      </c>
      <c r="BQ281">
        <f t="shared" si="35"/>
        <v>57</v>
      </c>
      <c r="BR281">
        <f t="shared" si="36"/>
        <v>221</v>
      </c>
      <c r="BS281">
        <f t="shared" si="37"/>
        <v>8</v>
      </c>
      <c r="BT281">
        <f t="shared" si="38"/>
        <v>344</v>
      </c>
    </row>
    <row r="282" spans="1:72" x14ac:dyDescent="0.35">
      <c r="A282">
        <v>2017</v>
      </c>
      <c r="B282" t="s">
        <v>91</v>
      </c>
      <c r="C282" t="s">
        <v>92</v>
      </c>
      <c r="D282" s="2">
        <v>23590.799999999999</v>
      </c>
      <c r="BM282" s="11">
        <f t="shared" si="39"/>
        <v>0</v>
      </c>
      <c r="BN282" s="11">
        <f t="shared" si="32"/>
        <v>0</v>
      </c>
      <c r="BO282" s="11">
        <f t="shared" si="33"/>
        <v>0</v>
      </c>
      <c r="BP282" s="11">
        <f t="shared" si="34"/>
        <v>0</v>
      </c>
      <c r="BQ282">
        <f t="shared" si="35"/>
        <v>0</v>
      </c>
      <c r="BR282">
        <f t="shared" si="36"/>
        <v>0</v>
      </c>
      <c r="BS282">
        <f t="shared" si="37"/>
        <v>0</v>
      </c>
      <c r="BT282">
        <f t="shared" si="38"/>
        <v>0</v>
      </c>
    </row>
    <row r="283" spans="1:72" x14ac:dyDescent="0.35">
      <c r="A283">
        <v>2017</v>
      </c>
      <c r="B283" t="s">
        <v>93</v>
      </c>
      <c r="C283" t="s">
        <v>94</v>
      </c>
      <c r="D283" s="2">
        <v>2100281</v>
      </c>
      <c r="H283">
        <v>31940</v>
      </c>
      <c r="AO283">
        <v>21351</v>
      </c>
      <c r="AP283">
        <v>10589</v>
      </c>
      <c r="BM283" s="11">
        <f t="shared" si="39"/>
        <v>0</v>
      </c>
      <c r="BN283" s="11">
        <f t="shared" si="32"/>
        <v>63880</v>
      </c>
      <c r="BO283" s="11">
        <f t="shared" si="33"/>
        <v>0</v>
      </c>
      <c r="BP283" s="11">
        <f t="shared" si="34"/>
        <v>0</v>
      </c>
      <c r="BQ283">
        <f t="shared" si="35"/>
        <v>0</v>
      </c>
      <c r="BR283">
        <f t="shared" si="36"/>
        <v>0</v>
      </c>
      <c r="BS283">
        <f t="shared" si="37"/>
        <v>0</v>
      </c>
      <c r="BT283">
        <f t="shared" si="38"/>
        <v>0</v>
      </c>
    </row>
    <row r="284" spans="1:72" x14ac:dyDescent="0.35">
      <c r="A284">
        <v>2016</v>
      </c>
      <c r="B284" t="s">
        <v>1</v>
      </c>
      <c r="C284" t="s">
        <v>2</v>
      </c>
      <c r="D284" s="2">
        <v>735658.4</v>
      </c>
      <c r="E284">
        <v>1202</v>
      </c>
      <c r="H284">
        <v>9701</v>
      </c>
      <c r="I284">
        <v>2580</v>
      </c>
      <c r="K284">
        <v>235</v>
      </c>
      <c r="AI284">
        <v>1202</v>
      </c>
      <c r="AM284">
        <v>2580</v>
      </c>
      <c r="AO284">
        <v>2337</v>
      </c>
      <c r="AP284">
        <v>7364</v>
      </c>
      <c r="BM284" s="11">
        <f t="shared" si="39"/>
        <v>2404</v>
      </c>
      <c r="BN284" s="11">
        <f t="shared" si="32"/>
        <v>19402</v>
      </c>
      <c r="BO284" s="11">
        <f t="shared" si="33"/>
        <v>5160</v>
      </c>
      <c r="BP284" s="11">
        <f t="shared" si="34"/>
        <v>0</v>
      </c>
      <c r="BQ284">
        <f t="shared" si="35"/>
        <v>0</v>
      </c>
      <c r="BR284">
        <f t="shared" si="36"/>
        <v>235</v>
      </c>
      <c r="BS284">
        <f t="shared" si="37"/>
        <v>0</v>
      </c>
      <c r="BT284">
        <f t="shared" si="38"/>
        <v>0</v>
      </c>
    </row>
    <row r="285" spans="1:72" x14ac:dyDescent="0.35">
      <c r="A285">
        <v>2016</v>
      </c>
      <c r="B285" t="s">
        <v>3</v>
      </c>
      <c r="C285" t="s">
        <v>4</v>
      </c>
      <c r="D285" s="2">
        <v>193339.6</v>
      </c>
      <c r="BM285" s="11">
        <f t="shared" si="39"/>
        <v>0</v>
      </c>
      <c r="BN285" s="11">
        <f t="shared" si="32"/>
        <v>0</v>
      </c>
      <c r="BO285" s="11">
        <f t="shared" si="33"/>
        <v>0</v>
      </c>
      <c r="BP285" s="11">
        <f t="shared" si="34"/>
        <v>0</v>
      </c>
      <c r="BQ285">
        <f t="shared" si="35"/>
        <v>0</v>
      </c>
      <c r="BR285">
        <f t="shared" si="36"/>
        <v>0</v>
      </c>
      <c r="BS285">
        <f t="shared" si="37"/>
        <v>0</v>
      </c>
      <c r="BT285">
        <f t="shared" si="38"/>
        <v>0</v>
      </c>
    </row>
    <row r="286" spans="1:72" x14ac:dyDescent="0.35">
      <c r="A286">
        <v>2016</v>
      </c>
      <c r="B286" t="s">
        <v>5</v>
      </c>
      <c r="C286" t="s">
        <v>6</v>
      </c>
      <c r="D286" s="2">
        <v>6608.2</v>
      </c>
      <c r="BM286" s="11">
        <f t="shared" si="39"/>
        <v>0</v>
      </c>
      <c r="BN286" s="11">
        <f t="shared" si="32"/>
        <v>0</v>
      </c>
      <c r="BO286" s="11">
        <f t="shared" si="33"/>
        <v>0</v>
      </c>
      <c r="BP286" s="11">
        <f t="shared" si="34"/>
        <v>0</v>
      </c>
      <c r="BQ286">
        <f t="shared" si="35"/>
        <v>0</v>
      </c>
      <c r="BR286">
        <f t="shared" si="36"/>
        <v>0</v>
      </c>
      <c r="BS286">
        <f t="shared" si="37"/>
        <v>0</v>
      </c>
      <c r="BT286">
        <f t="shared" si="38"/>
        <v>0</v>
      </c>
    </row>
    <row r="287" spans="1:72" x14ac:dyDescent="0.35">
      <c r="A287">
        <v>2016</v>
      </c>
      <c r="B287" t="s">
        <v>7</v>
      </c>
      <c r="C287" t="s">
        <v>8</v>
      </c>
      <c r="D287" s="2">
        <v>3397335.8</v>
      </c>
      <c r="H287">
        <v>44897</v>
      </c>
      <c r="I287">
        <v>1793</v>
      </c>
      <c r="J287">
        <v>147</v>
      </c>
      <c r="K287">
        <v>404</v>
      </c>
      <c r="AK287">
        <v>1753</v>
      </c>
      <c r="AL287">
        <v>40</v>
      </c>
      <c r="AN287">
        <v>44897</v>
      </c>
      <c r="AT287">
        <v>200</v>
      </c>
      <c r="BM287" s="11">
        <f t="shared" si="39"/>
        <v>200</v>
      </c>
      <c r="BN287" s="11">
        <f t="shared" si="32"/>
        <v>89794</v>
      </c>
      <c r="BO287" s="11">
        <f t="shared" si="33"/>
        <v>3586</v>
      </c>
      <c r="BP287" s="11">
        <f t="shared" si="34"/>
        <v>0</v>
      </c>
      <c r="BQ287">
        <f t="shared" si="35"/>
        <v>147</v>
      </c>
      <c r="BR287">
        <f t="shared" si="36"/>
        <v>404</v>
      </c>
      <c r="BS287">
        <f t="shared" si="37"/>
        <v>0</v>
      </c>
      <c r="BT287">
        <f t="shared" si="38"/>
        <v>0</v>
      </c>
    </row>
    <row r="288" spans="1:72" x14ac:dyDescent="0.35">
      <c r="A288">
        <v>2016</v>
      </c>
      <c r="B288" t="s">
        <v>9</v>
      </c>
      <c r="C288" t="s">
        <v>10</v>
      </c>
      <c r="D288" s="2">
        <v>3447899.3</v>
      </c>
      <c r="I288">
        <v>12069</v>
      </c>
      <c r="AL288">
        <v>12069</v>
      </c>
      <c r="AT288">
        <v>296</v>
      </c>
      <c r="BM288" s="11">
        <f t="shared" si="39"/>
        <v>296</v>
      </c>
      <c r="BN288" s="11">
        <f t="shared" si="32"/>
        <v>0</v>
      </c>
      <c r="BO288" s="11">
        <f t="shared" si="33"/>
        <v>24138</v>
      </c>
      <c r="BP288" s="11">
        <f t="shared" si="34"/>
        <v>0</v>
      </c>
      <c r="BQ288">
        <f t="shared" si="35"/>
        <v>0</v>
      </c>
      <c r="BR288">
        <f t="shared" si="36"/>
        <v>0</v>
      </c>
      <c r="BS288">
        <f t="shared" si="37"/>
        <v>0</v>
      </c>
      <c r="BT288">
        <f t="shared" si="38"/>
        <v>0</v>
      </c>
    </row>
    <row r="289" spans="1:72" x14ac:dyDescent="0.35">
      <c r="A289">
        <v>2016</v>
      </c>
      <c r="B289" t="s">
        <v>11</v>
      </c>
      <c r="C289" t="s">
        <v>12</v>
      </c>
      <c r="D289" s="2">
        <v>7083326.4000000004</v>
      </c>
      <c r="E289">
        <v>83565</v>
      </c>
      <c r="H289">
        <v>185101</v>
      </c>
      <c r="I289">
        <v>141275</v>
      </c>
      <c r="J289">
        <v>4081</v>
      </c>
      <c r="AI289">
        <v>83565</v>
      </c>
      <c r="AM289">
        <v>141275</v>
      </c>
      <c r="AN289">
        <v>185101</v>
      </c>
      <c r="BM289" s="11">
        <f t="shared" si="39"/>
        <v>167130</v>
      </c>
      <c r="BN289" s="11">
        <f t="shared" si="32"/>
        <v>370202</v>
      </c>
      <c r="BO289" s="11">
        <f t="shared" si="33"/>
        <v>282550</v>
      </c>
      <c r="BP289" s="11">
        <f t="shared" si="34"/>
        <v>0</v>
      </c>
      <c r="BQ289">
        <f t="shared" si="35"/>
        <v>4081</v>
      </c>
      <c r="BR289">
        <f t="shared" si="36"/>
        <v>0</v>
      </c>
      <c r="BS289">
        <f t="shared" si="37"/>
        <v>0</v>
      </c>
      <c r="BT289">
        <f t="shared" si="38"/>
        <v>0</v>
      </c>
    </row>
    <row r="290" spans="1:72" x14ac:dyDescent="0.35">
      <c r="A290">
        <v>2016</v>
      </c>
      <c r="B290" t="s">
        <v>13</v>
      </c>
      <c r="C290" t="s">
        <v>14</v>
      </c>
      <c r="D290" s="2">
        <v>63306.9</v>
      </c>
      <c r="E290">
        <v>715</v>
      </c>
      <c r="H290">
        <v>4596</v>
      </c>
      <c r="I290">
        <v>513</v>
      </c>
      <c r="K290">
        <v>46</v>
      </c>
      <c r="R290">
        <v>33</v>
      </c>
      <c r="W290">
        <v>174</v>
      </c>
      <c r="AB290">
        <v>66</v>
      </c>
      <c r="AE290">
        <v>287</v>
      </c>
      <c r="AI290">
        <v>715</v>
      </c>
      <c r="AM290">
        <v>513</v>
      </c>
      <c r="AN290">
        <v>4596</v>
      </c>
      <c r="BB290">
        <v>72</v>
      </c>
      <c r="BM290" s="11">
        <f t="shared" si="39"/>
        <v>1430</v>
      </c>
      <c r="BN290" s="11">
        <f t="shared" si="32"/>
        <v>9192</v>
      </c>
      <c r="BO290" s="11">
        <f t="shared" si="33"/>
        <v>1026</v>
      </c>
      <c r="BP290" s="11">
        <f t="shared" si="34"/>
        <v>0</v>
      </c>
      <c r="BQ290">
        <f t="shared" si="35"/>
        <v>0</v>
      </c>
      <c r="BR290">
        <f t="shared" si="36"/>
        <v>118</v>
      </c>
      <c r="BS290">
        <f t="shared" si="37"/>
        <v>0</v>
      </c>
      <c r="BT290">
        <f t="shared" si="38"/>
        <v>174</v>
      </c>
    </row>
    <row r="291" spans="1:72" x14ac:dyDescent="0.35">
      <c r="A291">
        <v>2016</v>
      </c>
      <c r="B291" t="s">
        <v>15</v>
      </c>
      <c r="C291" t="s">
        <v>16</v>
      </c>
      <c r="D291" s="2">
        <v>138275.5</v>
      </c>
      <c r="BM291" s="11">
        <f t="shared" si="39"/>
        <v>0</v>
      </c>
      <c r="BN291" s="11">
        <f t="shared" si="32"/>
        <v>0</v>
      </c>
      <c r="BO291" s="11">
        <f t="shared" si="33"/>
        <v>0</v>
      </c>
      <c r="BP291" s="11">
        <f t="shared" si="34"/>
        <v>0</v>
      </c>
      <c r="BQ291">
        <f t="shared" si="35"/>
        <v>0</v>
      </c>
      <c r="BR291">
        <f t="shared" si="36"/>
        <v>0</v>
      </c>
      <c r="BS291">
        <f t="shared" si="37"/>
        <v>0</v>
      </c>
      <c r="BT291">
        <f t="shared" si="38"/>
        <v>0</v>
      </c>
    </row>
    <row r="292" spans="1:72" x14ac:dyDescent="0.35">
      <c r="A292">
        <v>2016</v>
      </c>
      <c r="B292" t="s">
        <v>17</v>
      </c>
      <c r="C292" t="s">
        <v>18</v>
      </c>
      <c r="D292" s="2">
        <v>31320.3</v>
      </c>
      <c r="E292">
        <v>107</v>
      </c>
      <c r="H292">
        <v>4200</v>
      </c>
      <c r="AI292">
        <v>107</v>
      </c>
      <c r="AO292">
        <v>943</v>
      </c>
      <c r="AP292">
        <v>3257</v>
      </c>
      <c r="AT292">
        <v>6</v>
      </c>
      <c r="BM292" s="11">
        <f t="shared" si="39"/>
        <v>220</v>
      </c>
      <c r="BN292" s="11">
        <f t="shared" si="32"/>
        <v>8400</v>
      </c>
      <c r="BO292" s="11">
        <f t="shared" si="33"/>
        <v>0</v>
      </c>
      <c r="BP292" s="11">
        <f t="shared" si="34"/>
        <v>0</v>
      </c>
      <c r="BQ292">
        <f t="shared" si="35"/>
        <v>0</v>
      </c>
      <c r="BR292">
        <f t="shared" si="36"/>
        <v>0</v>
      </c>
      <c r="BS292">
        <f t="shared" si="37"/>
        <v>0</v>
      </c>
      <c r="BT292">
        <f t="shared" si="38"/>
        <v>0</v>
      </c>
    </row>
    <row r="293" spans="1:72" x14ac:dyDescent="0.35">
      <c r="A293">
        <v>2016</v>
      </c>
      <c r="B293" t="s">
        <v>19</v>
      </c>
      <c r="C293" t="s">
        <v>20</v>
      </c>
      <c r="D293" s="2">
        <v>59260.7</v>
      </c>
      <c r="BM293" s="11">
        <f t="shared" si="39"/>
        <v>0</v>
      </c>
      <c r="BN293" s="11">
        <f t="shared" si="32"/>
        <v>0</v>
      </c>
      <c r="BO293" s="11">
        <f t="shared" si="33"/>
        <v>0</v>
      </c>
      <c r="BP293" s="11">
        <f t="shared" si="34"/>
        <v>0</v>
      </c>
      <c r="BQ293">
        <f t="shared" si="35"/>
        <v>0</v>
      </c>
      <c r="BR293">
        <f t="shared" si="36"/>
        <v>0</v>
      </c>
      <c r="BS293">
        <f t="shared" si="37"/>
        <v>0</v>
      </c>
      <c r="BT293">
        <f t="shared" si="38"/>
        <v>0</v>
      </c>
    </row>
    <row r="294" spans="1:72" x14ac:dyDescent="0.35">
      <c r="A294">
        <v>2016</v>
      </c>
      <c r="B294" t="s">
        <v>21</v>
      </c>
      <c r="C294" t="s">
        <v>22</v>
      </c>
      <c r="D294" s="2">
        <v>1030448.2</v>
      </c>
      <c r="E294">
        <v>74309</v>
      </c>
      <c r="H294">
        <v>90958</v>
      </c>
      <c r="AI294">
        <v>74309</v>
      </c>
      <c r="AN294">
        <v>90958</v>
      </c>
      <c r="BM294" s="11">
        <f t="shared" si="39"/>
        <v>148618</v>
      </c>
      <c r="BN294" s="11">
        <f t="shared" si="32"/>
        <v>181916</v>
      </c>
      <c r="BO294" s="11">
        <f t="shared" si="33"/>
        <v>0</v>
      </c>
      <c r="BP294" s="11">
        <f t="shared" si="34"/>
        <v>0</v>
      </c>
      <c r="BQ294">
        <f t="shared" si="35"/>
        <v>0</v>
      </c>
      <c r="BR294">
        <f t="shared" si="36"/>
        <v>0</v>
      </c>
      <c r="BS294">
        <f t="shared" si="37"/>
        <v>0</v>
      </c>
      <c r="BT294">
        <f t="shared" si="38"/>
        <v>0</v>
      </c>
    </row>
    <row r="295" spans="1:72" x14ac:dyDescent="0.35">
      <c r="A295">
        <v>2016</v>
      </c>
      <c r="B295" t="s">
        <v>23</v>
      </c>
      <c r="C295" t="s">
        <v>24</v>
      </c>
      <c r="D295" s="2">
        <v>1170060.7</v>
      </c>
      <c r="BM295" s="11">
        <f t="shared" si="39"/>
        <v>0</v>
      </c>
      <c r="BN295" s="11">
        <f t="shared" si="32"/>
        <v>0</v>
      </c>
      <c r="BO295" s="11">
        <f t="shared" si="33"/>
        <v>0</v>
      </c>
      <c r="BP295" s="11">
        <f t="shared" si="34"/>
        <v>0</v>
      </c>
      <c r="BQ295">
        <f t="shared" si="35"/>
        <v>0</v>
      </c>
      <c r="BR295">
        <f t="shared" si="36"/>
        <v>0</v>
      </c>
      <c r="BS295">
        <f t="shared" si="37"/>
        <v>0</v>
      </c>
      <c r="BT295">
        <f t="shared" si="38"/>
        <v>0</v>
      </c>
    </row>
    <row r="296" spans="1:72" x14ac:dyDescent="0.35">
      <c r="A296">
        <v>2016</v>
      </c>
      <c r="B296" t="s">
        <v>25</v>
      </c>
      <c r="C296" t="s">
        <v>26</v>
      </c>
      <c r="D296" s="2">
        <v>422641.3</v>
      </c>
      <c r="E296">
        <v>523</v>
      </c>
      <c r="H296">
        <v>7224</v>
      </c>
      <c r="I296">
        <v>1034</v>
      </c>
      <c r="J296">
        <v>9</v>
      </c>
      <c r="K296">
        <v>13</v>
      </c>
      <c r="W296">
        <v>254</v>
      </c>
      <c r="AB296">
        <v>234</v>
      </c>
      <c r="AE296">
        <v>1166</v>
      </c>
      <c r="AI296">
        <v>523</v>
      </c>
      <c r="AM296">
        <v>1034</v>
      </c>
      <c r="AN296">
        <v>5647</v>
      </c>
      <c r="AP296">
        <v>1577</v>
      </c>
      <c r="BM296" s="11">
        <f t="shared" si="39"/>
        <v>1046</v>
      </c>
      <c r="BN296" s="11">
        <f t="shared" si="32"/>
        <v>14448</v>
      </c>
      <c r="BO296" s="11">
        <f t="shared" si="33"/>
        <v>2068</v>
      </c>
      <c r="BP296" s="11">
        <f t="shared" si="34"/>
        <v>0</v>
      </c>
      <c r="BQ296">
        <f t="shared" si="35"/>
        <v>9</v>
      </c>
      <c r="BR296">
        <f t="shared" si="36"/>
        <v>13</v>
      </c>
      <c r="BS296">
        <f t="shared" si="37"/>
        <v>0</v>
      </c>
      <c r="BT296">
        <f t="shared" si="38"/>
        <v>254</v>
      </c>
    </row>
    <row r="297" spans="1:72" x14ac:dyDescent="0.35">
      <c r="A297">
        <v>2016</v>
      </c>
      <c r="B297" t="s">
        <v>27</v>
      </c>
      <c r="C297" t="s">
        <v>28</v>
      </c>
      <c r="D297" s="2">
        <v>61561.1</v>
      </c>
      <c r="E297">
        <v>830</v>
      </c>
      <c r="H297">
        <v>7427</v>
      </c>
      <c r="I297">
        <v>1461</v>
      </c>
      <c r="J297">
        <v>91</v>
      </c>
      <c r="AI297">
        <v>830</v>
      </c>
      <c r="AL297">
        <v>1461</v>
      </c>
      <c r="AN297">
        <v>7427</v>
      </c>
      <c r="AT297">
        <v>11</v>
      </c>
      <c r="BM297" s="11">
        <f t="shared" si="39"/>
        <v>1671</v>
      </c>
      <c r="BN297" s="11">
        <f t="shared" si="32"/>
        <v>14854</v>
      </c>
      <c r="BO297" s="11">
        <f t="shared" si="33"/>
        <v>2922</v>
      </c>
      <c r="BP297" s="11">
        <f t="shared" si="34"/>
        <v>0</v>
      </c>
      <c r="BQ297">
        <f t="shared" si="35"/>
        <v>91</v>
      </c>
      <c r="BR297">
        <f t="shared" si="36"/>
        <v>0</v>
      </c>
      <c r="BS297">
        <f t="shared" si="37"/>
        <v>0</v>
      </c>
      <c r="BT297">
        <f t="shared" si="38"/>
        <v>0</v>
      </c>
    </row>
    <row r="298" spans="1:72" x14ac:dyDescent="0.35">
      <c r="A298">
        <v>2016</v>
      </c>
      <c r="B298" t="s">
        <v>29</v>
      </c>
      <c r="C298" t="s">
        <v>30</v>
      </c>
      <c r="D298" s="2">
        <v>431656.2</v>
      </c>
      <c r="BM298" s="11">
        <f t="shared" si="39"/>
        <v>0</v>
      </c>
      <c r="BN298" s="11">
        <f t="shared" si="32"/>
        <v>0</v>
      </c>
      <c r="BO298" s="11">
        <f t="shared" si="33"/>
        <v>0</v>
      </c>
      <c r="BP298" s="11">
        <f t="shared" si="34"/>
        <v>0</v>
      </c>
      <c r="BQ298">
        <f t="shared" si="35"/>
        <v>0</v>
      </c>
      <c r="BR298">
        <f t="shared" si="36"/>
        <v>0</v>
      </c>
      <c r="BS298">
        <f t="shared" si="37"/>
        <v>0</v>
      </c>
      <c r="BT298">
        <f t="shared" si="38"/>
        <v>0</v>
      </c>
    </row>
    <row r="299" spans="1:72" x14ac:dyDescent="0.35">
      <c r="A299">
        <v>2016</v>
      </c>
      <c r="B299" t="s">
        <v>31</v>
      </c>
      <c r="C299" t="s">
        <v>32</v>
      </c>
      <c r="D299" s="2">
        <v>11070.9</v>
      </c>
      <c r="E299">
        <v>408</v>
      </c>
      <c r="H299">
        <v>612</v>
      </c>
      <c r="J299">
        <v>4</v>
      </c>
      <c r="K299">
        <v>4</v>
      </c>
      <c r="AI299">
        <v>408</v>
      </c>
      <c r="AN299">
        <v>612</v>
      </c>
      <c r="BM299" s="11">
        <f t="shared" si="39"/>
        <v>816</v>
      </c>
      <c r="BN299" s="11">
        <f t="shared" si="32"/>
        <v>1224</v>
      </c>
      <c r="BO299" s="11">
        <f t="shared" si="33"/>
        <v>0</v>
      </c>
      <c r="BP299" s="11">
        <f t="shared" si="34"/>
        <v>0</v>
      </c>
      <c r="BQ299">
        <f t="shared" si="35"/>
        <v>4</v>
      </c>
      <c r="BR299">
        <f t="shared" si="36"/>
        <v>4</v>
      </c>
      <c r="BS299">
        <f t="shared" si="37"/>
        <v>0</v>
      </c>
      <c r="BT299">
        <f t="shared" si="38"/>
        <v>0</v>
      </c>
    </row>
    <row r="300" spans="1:72" x14ac:dyDescent="0.35">
      <c r="A300">
        <v>2016</v>
      </c>
      <c r="B300" t="s">
        <v>33</v>
      </c>
      <c r="C300" t="s">
        <v>34</v>
      </c>
      <c r="D300" s="2">
        <v>867237.3</v>
      </c>
      <c r="J300">
        <v>88</v>
      </c>
      <c r="K300">
        <v>199</v>
      </c>
      <c r="BM300" s="11">
        <f t="shared" si="39"/>
        <v>0</v>
      </c>
      <c r="BN300" s="11">
        <f t="shared" si="32"/>
        <v>0</v>
      </c>
      <c r="BO300" s="11">
        <f t="shared" si="33"/>
        <v>0</v>
      </c>
      <c r="BP300" s="11">
        <f t="shared" si="34"/>
        <v>0</v>
      </c>
      <c r="BQ300">
        <f t="shared" si="35"/>
        <v>88</v>
      </c>
      <c r="BR300">
        <f t="shared" si="36"/>
        <v>199</v>
      </c>
      <c r="BS300">
        <f t="shared" si="37"/>
        <v>0</v>
      </c>
      <c r="BT300">
        <f t="shared" si="38"/>
        <v>0</v>
      </c>
    </row>
    <row r="301" spans="1:72" x14ac:dyDescent="0.35">
      <c r="A301">
        <v>2016</v>
      </c>
      <c r="B301" t="s">
        <v>35</v>
      </c>
      <c r="C301" t="s">
        <v>36</v>
      </c>
      <c r="D301" s="2">
        <v>635851.69999999995</v>
      </c>
      <c r="E301">
        <v>540</v>
      </c>
      <c r="H301">
        <v>3106</v>
      </c>
      <c r="AI301">
        <v>540</v>
      </c>
      <c r="AN301">
        <v>3106</v>
      </c>
      <c r="BM301" s="11">
        <f t="shared" si="39"/>
        <v>1080</v>
      </c>
      <c r="BN301" s="11">
        <f t="shared" si="32"/>
        <v>6212</v>
      </c>
      <c r="BO301" s="11">
        <f t="shared" si="33"/>
        <v>0</v>
      </c>
      <c r="BP301" s="11">
        <f t="shared" si="34"/>
        <v>0</v>
      </c>
      <c r="BQ301">
        <f t="shared" si="35"/>
        <v>0</v>
      </c>
      <c r="BR301">
        <f t="shared" si="36"/>
        <v>0</v>
      </c>
      <c r="BS301">
        <f t="shared" si="37"/>
        <v>0</v>
      </c>
      <c r="BT301">
        <f t="shared" si="38"/>
        <v>0</v>
      </c>
    </row>
    <row r="302" spans="1:72" x14ac:dyDescent="0.35">
      <c r="A302">
        <v>2016</v>
      </c>
      <c r="B302" t="s">
        <v>37</v>
      </c>
      <c r="C302" t="s">
        <v>38</v>
      </c>
      <c r="D302" s="2">
        <v>846051</v>
      </c>
      <c r="H302">
        <v>12132</v>
      </c>
      <c r="AO302">
        <v>2327</v>
      </c>
      <c r="AP302">
        <v>9805</v>
      </c>
      <c r="BM302" s="11">
        <f t="shared" si="39"/>
        <v>0</v>
      </c>
      <c r="BN302" s="11">
        <f t="shared" si="32"/>
        <v>24264</v>
      </c>
      <c r="BO302" s="11">
        <f t="shared" si="33"/>
        <v>0</v>
      </c>
      <c r="BP302" s="11">
        <f t="shared" si="34"/>
        <v>0</v>
      </c>
      <c r="BQ302">
        <f t="shared" si="35"/>
        <v>0</v>
      </c>
      <c r="BR302">
        <f t="shared" si="36"/>
        <v>0</v>
      </c>
      <c r="BS302">
        <f t="shared" si="37"/>
        <v>0</v>
      </c>
      <c r="BT302">
        <f t="shared" si="38"/>
        <v>0</v>
      </c>
    </row>
    <row r="303" spans="1:72" x14ac:dyDescent="0.35">
      <c r="A303">
        <v>2016</v>
      </c>
      <c r="B303" t="s">
        <v>39</v>
      </c>
      <c r="C303" t="s">
        <v>40</v>
      </c>
      <c r="D303" s="2">
        <v>46750.5</v>
      </c>
      <c r="BM303" s="11">
        <f t="shared" si="39"/>
        <v>0</v>
      </c>
      <c r="BN303" s="11">
        <f t="shared" si="32"/>
        <v>0</v>
      </c>
      <c r="BO303" s="11">
        <f t="shared" si="33"/>
        <v>0</v>
      </c>
      <c r="BP303" s="11">
        <f t="shared" si="34"/>
        <v>0</v>
      </c>
      <c r="BQ303">
        <f t="shared" si="35"/>
        <v>0</v>
      </c>
      <c r="BR303">
        <f t="shared" si="36"/>
        <v>0</v>
      </c>
      <c r="BS303">
        <f t="shared" si="37"/>
        <v>0</v>
      </c>
      <c r="BT303">
        <f t="shared" si="38"/>
        <v>0</v>
      </c>
    </row>
    <row r="304" spans="1:72" x14ac:dyDescent="0.35">
      <c r="A304">
        <v>2016</v>
      </c>
      <c r="B304" t="s">
        <v>41</v>
      </c>
      <c r="C304" t="s">
        <v>42</v>
      </c>
      <c r="D304" s="2">
        <v>84366.1</v>
      </c>
      <c r="AV304">
        <v>1</v>
      </c>
      <c r="BM304" s="11">
        <f t="shared" si="39"/>
        <v>1</v>
      </c>
      <c r="BN304" s="11">
        <f t="shared" si="32"/>
        <v>0</v>
      </c>
      <c r="BO304" s="11">
        <f t="shared" si="33"/>
        <v>0</v>
      </c>
      <c r="BP304" s="11">
        <f t="shared" si="34"/>
        <v>0</v>
      </c>
      <c r="BQ304">
        <f t="shared" si="35"/>
        <v>0</v>
      </c>
      <c r="BR304">
        <f t="shared" si="36"/>
        <v>0</v>
      </c>
      <c r="BS304">
        <f t="shared" si="37"/>
        <v>0</v>
      </c>
      <c r="BT304">
        <f t="shared" si="38"/>
        <v>0</v>
      </c>
    </row>
    <row r="305" spans="1:72" x14ac:dyDescent="0.35">
      <c r="A305">
        <v>2016</v>
      </c>
      <c r="B305" t="s">
        <v>43</v>
      </c>
      <c r="C305" t="s">
        <v>44</v>
      </c>
      <c r="D305" s="2">
        <v>908452.5</v>
      </c>
      <c r="E305">
        <v>3618</v>
      </c>
      <c r="H305">
        <v>52605</v>
      </c>
      <c r="I305">
        <v>7662</v>
      </c>
      <c r="J305">
        <v>400</v>
      </c>
      <c r="K305">
        <v>570</v>
      </c>
      <c r="Q305">
        <v>516</v>
      </c>
      <c r="R305">
        <v>30</v>
      </c>
      <c r="AI305">
        <v>3618</v>
      </c>
      <c r="AM305">
        <v>7662</v>
      </c>
      <c r="AN305">
        <v>52605</v>
      </c>
      <c r="BM305" s="11">
        <f t="shared" si="39"/>
        <v>7236</v>
      </c>
      <c r="BN305" s="11">
        <f t="shared" si="32"/>
        <v>105210</v>
      </c>
      <c r="BO305" s="11">
        <f t="shared" si="33"/>
        <v>15324</v>
      </c>
      <c r="BP305" s="11">
        <f t="shared" si="34"/>
        <v>0</v>
      </c>
      <c r="BQ305">
        <f t="shared" si="35"/>
        <v>916</v>
      </c>
      <c r="BR305">
        <f t="shared" si="36"/>
        <v>570</v>
      </c>
      <c r="BS305">
        <f t="shared" si="37"/>
        <v>0</v>
      </c>
      <c r="BT305">
        <f t="shared" si="38"/>
        <v>0</v>
      </c>
    </row>
    <row r="306" spans="1:72" x14ac:dyDescent="0.35">
      <c r="A306">
        <v>2016</v>
      </c>
      <c r="B306" t="s">
        <v>45</v>
      </c>
      <c r="C306" t="s">
        <v>46</v>
      </c>
      <c r="D306" s="2">
        <v>431325.2</v>
      </c>
      <c r="E306">
        <v>977</v>
      </c>
      <c r="H306">
        <v>1010</v>
      </c>
      <c r="I306">
        <v>443</v>
      </c>
      <c r="J306">
        <v>50</v>
      </c>
      <c r="K306">
        <v>107</v>
      </c>
      <c r="P306">
        <v>6700</v>
      </c>
      <c r="AB306">
        <v>8</v>
      </c>
      <c r="AE306">
        <v>209</v>
      </c>
      <c r="AI306">
        <v>977</v>
      </c>
      <c r="AM306">
        <v>443</v>
      </c>
      <c r="AN306">
        <v>1010</v>
      </c>
      <c r="BM306" s="11">
        <f t="shared" si="39"/>
        <v>1954</v>
      </c>
      <c r="BN306" s="11">
        <f t="shared" si="32"/>
        <v>2020</v>
      </c>
      <c r="BO306" s="11">
        <f t="shared" si="33"/>
        <v>886</v>
      </c>
      <c r="BP306" s="11">
        <f t="shared" si="34"/>
        <v>0</v>
      </c>
      <c r="BQ306">
        <f t="shared" si="35"/>
        <v>50</v>
      </c>
      <c r="BR306">
        <f t="shared" si="36"/>
        <v>107</v>
      </c>
      <c r="BS306">
        <f t="shared" si="37"/>
        <v>0</v>
      </c>
      <c r="BT306">
        <f t="shared" si="38"/>
        <v>0</v>
      </c>
    </row>
    <row r="307" spans="1:72" x14ac:dyDescent="0.35">
      <c r="A307">
        <v>2016</v>
      </c>
      <c r="B307" t="s">
        <v>47</v>
      </c>
      <c r="C307" t="s">
        <v>48</v>
      </c>
      <c r="D307" s="2">
        <v>62337</v>
      </c>
      <c r="E307">
        <v>183</v>
      </c>
      <c r="F307">
        <v>169</v>
      </c>
      <c r="H307">
        <v>918</v>
      </c>
      <c r="I307">
        <v>125</v>
      </c>
      <c r="J307">
        <v>7</v>
      </c>
      <c r="K307">
        <v>5</v>
      </c>
      <c r="Q307">
        <v>8</v>
      </c>
      <c r="R307">
        <v>4</v>
      </c>
      <c r="S307">
        <v>4</v>
      </c>
      <c r="X307">
        <v>2</v>
      </c>
      <c r="AE307">
        <v>16</v>
      </c>
      <c r="AF307">
        <v>158</v>
      </c>
      <c r="AL307">
        <v>125</v>
      </c>
      <c r="AO307">
        <v>53</v>
      </c>
      <c r="AP307">
        <v>865</v>
      </c>
      <c r="AQ307">
        <v>170</v>
      </c>
      <c r="AS307">
        <v>5</v>
      </c>
      <c r="AT307">
        <v>1</v>
      </c>
      <c r="AV307">
        <v>19</v>
      </c>
      <c r="AY307">
        <v>11</v>
      </c>
      <c r="BB307">
        <v>35</v>
      </c>
      <c r="BI307">
        <v>14</v>
      </c>
      <c r="BM307" s="11">
        <f t="shared" si="39"/>
        <v>388</v>
      </c>
      <c r="BN307" s="11">
        <f t="shared" si="32"/>
        <v>2006</v>
      </c>
      <c r="BO307" s="11">
        <f t="shared" si="33"/>
        <v>250</v>
      </c>
      <c r="BP307" s="11">
        <f t="shared" si="34"/>
        <v>0</v>
      </c>
      <c r="BQ307">
        <f t="shared" si="35"/>
        <v>15</v>
      </c>
      <c r="BR307">
        <f t="shared" si="36"/>
        <v>40</v>
      </c>
      <c r="BS307">
        <f t="shared" si="37"/>
        <v>9</v>
      </c>
      <c r="BT307">
        <f t="shared" si="38"/>
        <v>0</v>
      </c>
    </row>
    <row r="308" spans="1:72" x14ac:dyDescent="0.35">
      <c r="A308">
        <v>2016</v>
      </c>
      <c r="B308" t="s">
        <v>49</v>
      </c>
      <c r="C308" t="s">
        <v>50</v>
      </c>
      <c r="D308" s="2">
        <v>1439435.7</v>
      </c>
      <c r="H308">
        <v>48737</v>
      </c>
      <c r="I308">
        <v>2092</v>
      </c>
      <c r="AL308">
        <v>2092</v>
      </c>
      <c r="AO308">
        <v>10437</v>
      </c>
      <c r="AP308">
        <v>38300</v>
      </c>
      <c r="AT308">
        <v>380</v>
      </c>
      <c r="BM308" s="11">
        <f t="shared" si="39"/>
        <v>380</v>
      </c>
      <c r="BN308" s="11">
        <f t="shared" si="32"/>
        <v>97474</v>
      </c>
      <c r="BO308" s="11">
        <f t="shared" si="33"/>
        <v>4184</v>
      </c>
      <c r="BP308" s="11">
        <f t="shared" si="34"/>
        <v>0</v>
      </c>
      <c r="BQ308">
        <f t="shared" si="35"/>
        <v>0</v>
      </c>
      <c r="BR308">
        <f t="shared" si="36"/>
        <v>0</v>
      </c>
      <c r="BS308">
        <f t="shared" si="37"/>
        <v>0</v>
      </c>
      <c r="BT308">
        <f t="shared" si="38"/>
        <v>0</v>
      </c>
    </row>
    <row r="309" spans="1:72" x14ac:dyDescent="0.35">
      <c r="A309">
        <v>2016</v>
      </c>
      <c r="B309" t="s">
        <v>51</v>
      </c>
      <c r="C309" t="s">
        <v>52</v>
      </c>
      <c r="D309" s="2">
        <v>155266.4</v>
      </c>
      <c r="E309">
        <v>234</v>
      </c>
      <c r="AI309">
        <v>234</v>
      </c>
      <c r="BM309" s="11">
        <f t="shared" si="39"/>
        <v>468</v>
      </c>
      <c r="BN309" s="11">
        <f t="shared" si="32"/>
        <v>0</v>
      </c>
      <c r="BO309" s="11">
        <f t="shared" si="33"/>
        <v>0</v>
      </c>
      <c r="BP309" s="11">
        <f t="shared" si="34"/>
        <v>0</v>
      </c>
      <c r="BQ309">
        <f t="shared" si="35"/>
        <v>0</v>
      </c>
      <c r="BR309">
        <f t="shared" si="36"/>
        <v>0</v>
      </c>
      <c r="BS309">
        <f t="shared" si="37"/>
        <v>0</v>
      </c>
      <c r="BT309">
        <f t="shared" si="38"/>
        <v>0</v>
      </c>
    </row>
    <row r="310" spans="1:72" x14ac:dyDescent="0.35">
      <c r="A310">
        <v>2016</v>
      </c>
      <c r="B310" t="s">
        <v>53</v>
      </c>
      <c r="C310" t="s">
        <v>54</v>
      </c>
      <c r="D310" s="2">
        <v>821643</v>
      </c>
      <c r="I310">
        <v>1583</v>
      </c>
      <c r="K310">
        <v>4</v>
      </c>
      <c r="AL310">
        <v>1583</v>
      </c>
      <c r="AT310">
        <v>35</v>
      </c>
      <c r="BM310" s="11">
        <f t="shared" si="39"/>
        <v>35</v>
      </c>
      <c r="BN310" s="11">
        <f t="shared" si="32"/>
        <v>0</v>
      </c>
      <c r="BO310" s="11">
        <f t="shared" si="33"/>
        <v>3166</v>
      </c>
      <c r="BP310" s="11">
        <f t="shared" si="34"/>
        <v>0</v>
      </c>
      <c r="BQ310">
        <f t="shared" si="35"/>
        <v>0</v>
      </c>
      <c r="BR310">
        <f t="shared" si="36"/>
        <v>4</v>
      </c>
      <c r="BS310">
        <f t="shared" si="37"/>
        <v>0</v>
      </c>
      <c r="BT310">
        <f t="shared" si="38"/>
        <v>0</v>
      </c>
    </row>
    <row r="311" spans="1:72" x14ac:dyDescent="0.35">
      <c r="A311">
        <v>2016</v>
      </c>
      <c r="B311" t="s">
        <v>55</v>
      </c>
      <c r="C311" t="s">
        <v>56</v>
      </c>
      <c r="D311" s="2">
        <v>604185.30000000005</v>
      </c>
      <c r="E311">
        <v>539</v>
      </c>
      <c r="F311">
        <v>255</v>
      </c>
      <c r="H311">
        <v>4573</v>
      </c>
      <c r="I311">
        <v>568</v>
      </c>
      <c r="AE311">
        <v>397</v>
      </c>
      <c r="AI311">
        <v>284</v>
      </c>
      <c r="AK311">
        <v>568</v>
      </c>
      <c r="AN311">
        <v>4573</v>
      </c>
      <c r="AT311">
        <v>15</v>
      </c>
      <c r="AY311">
        <v>1159</v>
      </c>
      <c r="BB311">
        <v>218</v>
      </c>
      <c r="BM311" s="11">
        <f t="shared" si="39"/>
        <v>1093</v>
      </c>
      <c r="BN311" s="11">
        <f t="shared" si="32"/>
        <v>9146</v>
      </c>
      <c r="BO311" s="11">
        <f t="shared" si="33"/>
        <v>1136</v>
      </c>
      <c r="BP311" s="11">
        <f t="shared" si="34"/>
        <v>0</v>
      </c>
      <c r="BQ311">
        <f t="shared" si="35"/>
        <v>0</v>
      </c>
      <c r="BR311">
        <f t="shared" si="36"/>
        <v>218</v>
      </c>
      <c r="BS311">
        <f t="shared" si="37"/>
        <v>0</v>
      </c>
      <c r="BT311">
        <f t="shared" si="38"/>
        <v>0</v>
      </c>
    </row>
    <row r="312" spans="1:72" x14ac:dyDescent="0.35">
      <c r="A312">
        <v>2016</v>
      </c>
      <c r="B312" t="s">
        <v>57</v>
      </c>
      <c r="C312" t="s">
        <v>58</v>
      </c>
      <c r="D312" s="2">
        <v>789423.6</v>
      </c>
      <c r="E312">
        <v>2247</v>
      </c>
      <c r="H312">
        <v>4765</v>
      </c>
      <c r="I312">
        <v>2657</v>
      </c>
      <c r="J312">
        <v>107</v>
      </c>
      <c r="K312">
        <v>194</v>
      </c>
      <c r="AI312">
        <v>2247</v>
      </c>
      <c r="AL312">
        <v>2657</v>
      </c>
      <c r="AP312">
        <v>4765</v>
      </c>
      <c r="BE312">
        <v>9</v>
      </c>
      <c r="BJ312">
        <v>67</v>
      </c>
      <c r="BM312" s="11">
        <f t="shared" si="39"/>
        <v>4570</v>
      </c>
      <c r="BN312" s="11">
        <f t="shared" si="32"/>
        <v>9530</v>
      </c>
      <c r="BO312" s="11">
        <f t="shared" si="33"/>
        <v>5314</v>
      </c>
      <c r="BP312" s="11">
        <f t="shared" si="34"/>
        <v>0</v>
      </c>
      <c r="BQ312">
        <f t="shared" si="35"/>
        <v>107</v>
      </c>
      <c r="BR312">
        <f t="shared" si="36"/>
        <v>194</v>
      </c>
      <c r="BS312">
        <f t="shared" si="37"/>
        <v>0</v>
      </c>
      <c r="BT312">
        <f t="shared" si="38"/>
        <v>0</v>
      </c>
    </row>
    <row r="313" spans="1:72" x14ac:dyDescent="0.35">
      <c r="A313">
        <v>2016</v>
      </c>
      <c r="B313" t="s">
        <v>59</v>
      </c>
      <c r="C313" t="s">
        <v>60</v>
      </c>
      <c r="D313" s="2">
        <v>14486.7</v>
      </c>
      <c r="E313">
        <v>2769</v>
      </c>
      <c r="H313">
        <v>4134</v>
      </c>
      <c r="J313">
        <v>385</v>
      </c>
      <c r="K313">
        <v>514</v>
      </c>
      <c r="AI313">
        <v>2769</v>
      </c>
      <c r="AN313">
        <v>4134</v>
      </c>
      <c r="BM313" s="11">
        <f t="shared" si="39"/>
        <v>5538</v>
      </c>
      <c r="BN313" s="11">
        <f t="shared" si="32"/>
        <v>8268</v>
      </c>
      <c r="BO313" s="11">
        <f t="shared" si="33"/>
        <v>0</v>
      </c>
      <c r="BP313" s="11">
        <f t="shared" si="34"/>
        <v>0</v>
      </c>
      <c r="BQ313">
        <f t="shared" si="35"/>
        <v>385</v>
      </c>
      <c r="BR313">
        <f t="shared" si="36"/>
        <v>514</v>
      </c>
      <c r="BS313">
        <f t="shared" si="37"/>
        <v>0</v>
      </c>
      <c r="BT313">
        <f t="shared" si="38"/>
        <v>0</v>
      </c>
    </row>
    <row r="314" spans="1:72" x14ac:dyDescent="0.35">
      <c r="A314">
        <v>2016</v>
      </c>
      <c r="B314" t="s">
        <v>61</v>
      </c>
      <c r="C314" t="s">
        <v>62</v>
      </c>
      <c r="D314" s="2">
        <v>1032089.1</v>
      </c>
      <c r="H314">
        <v>7660</v>
      </c>
      <c r="I314">
        <v>5705</v>
      </c>
      <c r="AK314">
        <v>557</v>
      </c>
      <c r="AL314">
        <v>5148</v>
      </c>
      <c r="AN314">
        <v>7660</v>
      </c>
      <c r="AT314">
        <v>57</v>
      </c>
      <c r="BM314" s="11">
        <f t="shared" si="39"/>
        <v>57</v>
      </c>
      <c r="BN314" s="11">
        <f t="shared" si="32"/>
        <v>15320</v>
      </c>
      <c r="BO314" s="11">
        <f t="shared" si="33"/>
        <v>11410</v>
      </c>
      <c r="BP314" s="11">
        <f t="shared" si="34"/>
        <v>0</v>
      </c>
      <c r="BQ314">
        <f t="shared" si="35"/>
        <v>0</v>
      </c>
      <c r="BR314">
        <f t="shared" si="36"/>
        <v>0</v>
      </c>
      <c r="BS314">
        <f t="shared" si="37"/>
        <v>0</v>
      </c>
      <c r="BT314">
        <f t="shared" si="38"/>
        <v>0</v>
      </c>
    </row>
    <row r="315" spans="1:72" x14ac:dyDescent="0.35">
      <c r="A315">
        <v>2016</v>
      </c>
      <c r="B315" t="s">
        <v>63</v>
      </c>
      <c r="C315" t="s">
        <v>64</v>
      </c>
      <c r="D315" s="2">
        <v>69993.600000000006</v>
      </c>
      <c r="H315">
        <v>4816</v>
      </c>
      <c r="AO315">
        <v>2458</v>
      </c>
      <c r="AP315">
        <v>2358</v>
      </c>
      <c r="BM315" s="11">
        <f t="shared" si="39"/>
        <v>0</v>
      </c>
      <c r="BN315" s="11">
        <f t="shared" si="32"/>
        <v>9632</v>
      </c>
      <c r="BO315" s="11">
        <f t="shared" si="33"/>
        <v>0</v>
      </c>
      <c r="BP315" s="11">
        <f t="shared" si="34"/>
        <v>0</v>
      </c>
      <c r="BQ315">
        <f t="shared" si="35"/>
        <v>0</v>
      </c>
      <c r="BR315">
        <f t="shared" si="36"/>
        <v>0</v>
      </c>
      <c r="BS315">
        <f t="shared" si="37"/>
        <v>0</v>
      </c>
      <c r="BT315">
        <f t="shared" si="38"/>
        <v>0</v>
      </c>
    </row>
    <row r="316" spans="1:72" x14ac:dyDescent="0.35">
      <c r="A316">
        <v>2016</v>
      </c>
      <c r="B316" t="s">
        <v>65</v>
      </c>
      <c r="C316" t="s">
        <v>66</v>
      </c>
      <c r="D316" s="2">
        <v>375065.4</v>
      </c>
      <c r="E316">
        <v>1431</v>
      </c>
      <c r="F316">
        <v>1107</v>
      </c>
      <c r="H316">
        <v>11281</v>
      </c>
      <c r="I316">
        <v>1070</v>
      </c>
      <c r="AM316">
        <v>1070</v>
      </c>
      <c r="AN316">
        <v>11281</v>
      </c>
      <c r="AT316">
        <v>56</v>
      </c>
      <c r="BI316">
        <v>324</v>
      </c>
      <c r="BM316" s="11">
        <f t="shared" si="39"/>
        <v>2918</v>
      </c>
      <c r="BN316" s="11">
        <f t="shared" si="32"/>
        <v>22562</v>
      </c>
      <c r="BO316" s="11">
        <f t="shared" si="33"/>
        <v>2140</v>
      </c>
      <c r="BP316" s="11">
        <f t="shared" si="34"/>
        <v>0</v>
      </c>
      <c r="BQ316">
        <f t="shared" si="35"/>
        <v>0</v>
      </c>
      <c r="BR316">
        <f t="shared" si="36"/>
        <v>0</v>
      </c>
      <c r="BS316">
        <f t="shared" si="37"/>
        <v>0</v>
      </c>
      <c r="BT316">
        <f t="shared" si="38"/>
        <v>0</v>
      </c>
    </row>
    <row r="317" spans="1:72" x14ac:dyDescent="0.35">
      <c r="A317">
        <v>2016</v>
      </c>
      <c r="B317" t="s">
        <v>67</v>
      </c>
      <c r="C317" t="s">
        <v>68</v>
      </c>
      <c r="D317" s="2">
        <v>510487.1</v>
      </c>
      <c r="E317">
        <v>1154</v>
      </c>
      <c r="F317">
        <v>267</v>
      </c>
      <c r="H317">
        <v>2490</v>
      </c>
      <c r="I317">
        <v>2002</v>
      </c>
      <c r="J317">
        <v>121</v>
      </c>
      <c r="K317">
        <v>170</v>
      </c>
      <c r="P317">
        <v>5</v>
      </c>
      <c r="R317">
        <v>57</v>
      </c>
      <c r="W317">
        <v>146</v>
      </c>
      <c r="X317">
        <v>84</v>
      </c>
      <c r="AB317">
        <v>78</v>
      </c>
      <c r="AE317">
        <v>37</v>
      </c>
      <c r="AM317">
        <v>2002</v>
      </c>
      <c r="AO317">
        <v>1045</v>
      </c>
      <c r="AP317">
        <v>1445</v>
      </c>
      <c r="AT317">
        <v>91</v>
      </c>
      <c r="AV317">
        <v>456</v>
      </c>
      <c r="BE317">
        <v>20</v>
      </c>
      <c r="BI317">
        <v>887</v>
      </c>
      <c r="BJ317">
        <v>236</v>
      </c>
      <c r="BM317" s="11">
        <f t="shared" si="39"/>
        <v>3195</v>
      </c>
      <c r="BN317" s="11">
        <f t="shared" si="32"/>
        <v>4980</v>
      </c>
      <c r="BO317" s="11">
        <f t="shared" si="33"/>
        <v>4004</v>
      </c>
      <c r="BP317" s="11">
        <f t="shared" si="34"/>
        <v>0</v>
      </c>
      <c r="BQ317">
        <f t="shared" si="35"/>
        <v>121</v>
      </c>
      <c r="BR317">
        <f t="shared" si="36"/>
        <v>170</v>
      </c>
      <c r="BS317">
        <f t="shared" si="37"/>
        <v>0</v>
      </c>
      <c r="BT317">
        <f t="shared" si="38"/>
        <v>146</v>
      </c>
    </row>
    <row r="318" spans="1:72" x14ac:dyDescent="0.35">
      <c r="A318">
        <v>2016</v>
      </c>
      <c r="B318" t="s">
        <v>69</v>
      </c>
      <c r="C318" t="s">
        <v>70</v>
      </c>
      <c r="D318" s="2">
        <v>1795.8</v>
      </c>
      <c r="E318">
        <v>203</v>
      </c>
      <c r="F318">
        <v>82</v>
      </c>
      <c r="H318">
        <v>684</v>
      </c>
      <c r="I318">
        <v>89</v>
      </c>
      <c r="J318">
        <v>34</v>
      </c>
      <c r="K318">
        <v>45</v>
      </c>
      <c r="AM318">
        <v>89</v>
      </c>
      <c r="AN318">
        <v>684</v>
      </c>
      <c r="BB318">
        <v>64</v>
      </c>
      <c r="BE318">
        <v>4</v>
      </c>
      <c r="BI318">
        <v>121</v>
      </c>
      <c r="BM318" s="11">
        <f t="shared" si="39"/>
        <v>410</v>
      </c>
      <c r="BN318" s="11">
        <f t="shared" si="32"/>
        <v>1368</v>
      </c>
      <c r="BO318" s="11">
        <f t="shared" si="33"/>
        <v>178</v>
      </c>
      <c r="BP318" s="11">
        <f t="shared" si="34"/>
        <v>0</v>
      </c>
      <c r="BQ318">
        <f t="shared" si="35"/>
        <v>34</v>
      </c>
      <c r="BR318">
        <f t="shared" si="36"/>
        <v>109</v>
      </c>
      <c r="BS318">
        <f t="shared" si="37"/>
        <v>0</v>
      </c>
      <c r="BT318">
        <f t="shared" si="38"/>
        <v>0</v>
      </c>
    </row>
    <row r="319" spans="1:72" x14ac:dyDescent="0.35">
      <c r="A319">
        <v>2016</v>
      </c>
      <c r="B319" t="s">
        <v>71</v>
      </c>
      <c r="C319" t="s">
        <v>72</v>
      </c>
      <c r="D319" s="2">
        <v>245921.2</v>
      </c>
      <c r="H319">
        <v>5160</v>
      </c>
      <c r="I319">
        <v>313</v>
      </c>
      <c r="J319">
        <v>53</v>
      </c>
      <c r="K319">
        <v>82</v>
      </c>
      <c r="P319">
        <v>14622</v>
      </c>
      <c r="AM319">
        <v>313</v>
      </c>
      <c r="AN319">
        <v>2315</v>
      </c>
      <c r="AO319">
        <v>2090</v>
      </c>
      <c r="AP319">
        <v>755</v>
      </c>
      <c r="BM319" s="11">
        <f t="shared" si="39"/>
        <v>0</v>
      </c>
      <c r="BN319" s="11">
        <f t="shared" si="32"/>
        <v>10320</v>
      </c>
      <c r="BO319" s="11">
        <f t="shared" si="33"/>
        <v>626</v>
      </c>
      <c r="BP319" s="11">
        <f t="shared" si="34"/>
        <v>0</v>
      </c>
      <c r="BQ319">
        <f t="shared" si="35"/>
        <v>53</v>
      </c>
      <c r="BR319">
        <f t="shared" si="36"/>
        <v>82</v>
      </c>
      <c r="BS319">
        <f t="shared" si="37"/>
        <v>0</v>
      </c>
      <c r="BT319">
        <f t="shared" si="38"/>
        <v>0</v>
      </c>
    </row>
    <row r="320" spans="1:72" x14ac:dyDescent="0.35">
      <c r="A320">
        <v>2016</v>
      </c>
      <c r="B320" t="s">
        <v>73</v>
      </c>
      <c r="C320" t="s">
        <v>74</v>
      </c>
      <c r="D320" s="2">
        <v>1193987.6000000001</v>
      </c>
      <c r="E320">
        <v>43141</v>
      </c>
      <c r="I320">
        <v>1284</v>
      </c>
      <c r="J320">
        <v>6158</v>
      </c>
      <c r="K320">
        <v>15267</v>
      </c>
      <c r="N320">
        <v>3140</v>
      </c>
      <c r="O320">
        <v>2</v>
      </c>
      <c r="Q320">
        <v>5484</v>
      </c>
      <c r="S320">
        <v>3145</v>
      </c>
      <c r="T320">
        <v>156</v>
      </c>
      <c r="W320">
        <v>3642</v>
      </c>
      <c r="AB320">
        <v>8484</v>
      </c>
      <c r="AE320">
        <v>5377</v>
      </c>
      <c r="AF320">
        <v>4802</v>
      </c>
      <c r="AI320">
        <v>43141</v>
      </c>
      <c r="AL320">
        <v>1284</v>
      </c>
      <c r="AS320">
        <v>197</v>
      </c>
      <c r="AT320">
        <v>1247</v>
      </c>
      <c r="AU320">
        <v>3725</v>
      </c>
      <c r="BB320">
        <v>21713</v>
      </c>
      <c r="BC320">
        <v>7199</v>
      </c>
      <c r="BD320">
        <v>252</v>
      </c>
      <c r="BF320">
        <v>8190</v>
      </c>
      <c r="BM320" s="11">
        <f t="shared" si="39"/>
        <v>87529</v>
      </c>
      <c r="BN320" s="11">
        <f t="shared" si="32"/>
        <v>0</v>
      </c>
      <c r="BO320" s="11">
        <f t="shared" si="33"/>
        <v>2568</v>
      </c>
      <c r="BP320" s="11">
        <f t="shared" si="34"/>
        <v>0</v>
      </c>
      <c r="BQ320">
        <f t="shared" si="35"/>
        <v>11642</v>
      </c>
      <c r="BR320">
        <f t="shared" si="36"/>
        <v>36980</v>
      </c>
      <c r="BS320">
        <f t="shared" si="37"/>
        <v>3342</v>
      </c>
      <c r="BT320">
        <f t="shared" si="38"/>
        <v>3642</v>
      </c>
    </row>
    <row r="321" spans="1:72" x14ac:dyDescent="0.35">
      <c r="A321">
        <v>2016</v>
      </c>
      <c r="B321" t="s">
        <v>75</v>
      </c>
      <c r="C321" t="s">
        <v>76</v>
      </c>
      <c r="D321" s="2">
        <v>389229.6</v>
      </c>
      <c r="BM321" s="11">
        <f t="shared" si="39"/>
        <v>0</v>
      </c>
      <c r="BN321" s="11">
        <f t="shared" si="32"/>
        <v>0</v>
      </c>
      <c r="BO321" s="11">
        <f t="shared" si="33"/>
        <v>0</v>
      </c>
      <c r="BP321" s="11">
        <f t="shared" si="34"/>
        <v>0</v>
      </c>
      <c r="BQ321">
        <f t="shared" si="35"/>
        <v>0</v>
      </c>
      <c r="BR321">
        <f t="shared" si="36"/>
        <v>0</v>
      </c>
      <c r="BS321">
        <f t="shared" si="37"/>
        <v>0</v>
      </c>
      <c r="BT321">
        <f t="shared" si="38"/>
        <v>0</v>
      </c>
    </row>
    <row r="322" spans="1:72" x14ac:dyDescent="0.35">
      <c r="A322">
        <v>2016</v>
      </c>
      <c r="B322" t="s">
        <v>77</v>
      </c>
      <c r="C322" t="s">
        <v>78</v>
      </c>
      <c r="D322" s="2">
        <v>174800</v>
      </c>
      <c r="E322">
        <v>530</v>
      </c>
      <c r="F322">
        <v>269</v>
      </c>
      <c r="H322">
        <v>3717</v>
      </c>
      <c r="I322">
        <v>921</v>
      </c>
      <c r="J322">
        <v>27</v>
      </c>
      <c r="K322">
        <v>73</v>
      </c>
      <c r="AM322">
        <v>921</v>
      </c>
      <c r="AO322">
        <v>1847</v>
      </c>
      <c r="AP322">
        <v>1870</v>
      </c>
      <c r="AZ322">
        <v>565</v>
      </c>
      <c r="BF322">
        <v>67</v>
      </c>
      <c r="BI322">
        <v>261</v>
      </c>
      <c r="BM322" s="11">
        <f t="shared" si="39"/>
        <v>1060</v>
      </c>
      <c r="BN322" s="11">
        <f t="shared" si="32"/>
        <v>7434</v>
      </c>
      <c r="BO322" s="11">
        <f t="shared" si="33"/>
        <v>1842</v>
      </c>
      <c r="BP322" s="11">
        <f t="shared" si="34"/>
        <v>565</v>
      </c>
      <c r="BQ322">
        <f t="shared" si="35"/>
        <v>27</v>
      </c>
      <c r="BR322">
        <f t="shared" si="36"/>
        <v>73</v>
      </c>
      <c r="BS322">
        <f t="shared" si="37"/>
        <v>0</v>
      </c>
      <c r="BT322">
        <f t="shared" si="38"/>
        <v>0</v>
      </c>
    </row>
    <row r="323" spans="1:72" x14ac:dyDescent="0.35">
      <c r="A323">
        <v>2016</v>
      </c>
      <c r="B323" t="s">
        <v>79</v>
      </c>
      <c r="C323" t="s">
        <v>80</v>
      </c>
      <c r="D323" s="2">
        <v>937299.4</v>
      </c>
      <c r="E323">
        <v>681</v>
      </c>
      <c r="H323">
        <v>4746</v>
      </c>
      <c r="I323">
        <v>856</v>
      </c>
      <c r="J323">
        <v>18</v>
      </c>
      <c r="K323">
        <v>24</v>
      </c>
      <c r="AI323">
        <v>681</v>
      </c>
      <c r="AK323">
        <v>5</v>
      </c>
      <c r="AL323">
        <v>851</v>
      </c>
      <c r="AN323">
        <v>4746</v>
      </c>
      <c r="BM323" s="11">
        <f t="shared" si="39"/>
        <v>1362</v>
      </c>
      <c r="BN323" s="11">
        <f t="shared" ref="BN323:BN386" si="40">H323+AP323+AO323+AN323+AQ323+AR323</f>
        <v>9492</v>
      </c>
      <c r="BO323" s="11">
        <f t="shared" ref="BO323:BO386" si="41">I323+AK323+AL323+AM323</f>
        <v>1712</v>
      </c>
      <c r="BP323" s="11">
        <f t="shared" ref="BP323:BP386" si="42">AZ323+Y323+AA323+BA323</f>
        <v>0</v>
      </c>
      <c r="BQ323">
        <f t="shared" ref="BQ323:BQ386" si="43">J323+Q323</f>
        <v>18</v>
      </c>
      <c r="BR323">
        <f t="shared" ref="BR323:BR386" si="44">K323+BB323</f>
        <v>24</v>
      </c>
      <c r="BS323">
        <f t="shared" ref="BS323:BS386" si="45">S323+AS323</f>
        <v>0</v>
      </c>
      <c r="BT323">
        <f t="shared" ref="BT323:BT386" si="46">V323+W323</f>
        <v>0</v>
      </c>
    </row>
    <row r="324" spans="1:72" x14ac:dyDescent="0.35">
      <c r="A324">
        <v>2016</v>
      </c>
      <c r="B324" t="s">
        <v>81</v>
      </c>
      <c r="C324" t="s">
        <v>82</v>
      </c>
      <c r="D324" s="2">
        <v>1479060.5</v>
      </c>
      <c r="H324">
        <v>55228</v>
      </c>
      <c r="I324">
        <v>9802</v>
      </c>
      <c r="AL324">
        <v>9802</v>
      </c>
      <c r="AO324">
        <v>39631</v>
      </c>
      <c r="AP324">
        <v>15597</v>
      </c>
      <c r="AT324">
        <v>42</v>
      </c>
      <c r="BM324" s="11">
        <f t="shared" ref="BM324:BM387" si="47">E324+F324+BI324+X324+AT324+BE324+G324+BJ324+AV324+AI324</f>
        <v>42</v>
      </c>
      <c r="BN324" s="11">
        <f t="shared" si="40"/>
        <v>110456</v>
      </c>
      <c r="BO324" s="11">
        <f t="shared" si="41"/>
        <v>19604</v>
      </c>
      <c r="BP324" s="11">
        <f t="shared" si="42"/>
        <v>0</v>
      </c>
      <c r="BQ324">
        <f t="shared" si="43"/>
        <v>0</v>
      </c>
      <c r="BR324">
        <f t="shared" si="44"/>
        <v>0</v>
      </c>
      <c r="BS324">
        <f t="shared" si="45"/>
        <v>0</v>
      </c>
      <c r="BT324">
        <f t="shared" si="46"/>
        <v>0</v>
      </c>
    </row>
    <row r="325" spans="1:72" x14ac:dyDescent="0.35">
      <c r="A325">
        <v>2016</v>
      </c>
      <c r="B325" t="s">
        <v>83</v>
      </c>
      <c r="C325" t="s">
        <v>84</v>
      </c>
      <c r="D325" s="2">
        <v>613228.69999999995</v>
      </c>
      <c r="E325">
        <v>1514</v>
      </c>
      <c r="I325">
        <v>3333</v>
      </c>
      <c r="J325">
        <v>312</v>
      </c>
      <c r="K325">
        <v>1159</v>
      </c>
      <c r="L325">
        <v>19254</v>
      </c>
      <c r="W325">
        <v>1796</v>
      </c>
      <c r="AB325">
        <v>419</v>
      </c>
      <c r="AF325">
        <v>921</v>
      </c>
      <c r="AI325">
        <v>1514</v>
      </c>
      <c r="AL325">
        <v>192</v>
      </c>
      <c r="AM325">
        <v>3141</v>
      </c>
      <c r="AS325">
        <v>202</v>
      </c>
      <c r="AT325">
        <v>46</v>
      </c>
      <c r="AY325">
        <v>1814</v>
      </c>
      <c r="BD325">
        <v>432</v>
      </c>
      <c r="BM325" s="11">
        <f t="shared" si="47"/>
        <v>3074</v>
      </c>
      <c r="BN325" s="11">
        <f t="shared" si="40"/>
        <v>0</v>
      </c>
      <c r="BO325" s="11">
        <f t="shared" si="41"/>
        <v>6666</v>
      </c>
      <c r="BP325" s="11">
        <f t="shared" si="42"/>
        <v>0</v>
      </c>
      <c r="BQ325">
        <f t="shared" si="43"/>
        <v>312</v>
      </c>
      <c r="BR325">
        <f t="shared" si="44"/>
        <v>1159</v>
      </c>
      <c r="BS325">
        <f t="shared" si="45"/>
        <v>202</v>
      </c>
      <c r="BT325">
        <f t="shared" si="46"/>
        <v>1796</v>
      </c>
    </row>
    <row r="326" spans="1:72" x14ac:dyDescent="0.35">
      <c r="A326">
        <v>2016</v>
      </c>
      <c r="B326" t="s">
        <v>85</v>
      </c>
      <c r="C326" t="s">
        <v>86</v>
      </c>
      <c r="D326" s="2">
        <v>478618.1</v>
      </c>
      <c r="E326">
        <v>2508</v>
      </c>
      <c r="F326">
        <v>1754</v>
      </c>
      <c r="G326">
        <v>84</v>
      </c>
      <c r="H326">
        <v>19642</v>
      </c>
      <c r="J326">
        <v>136</v>
      </c>
      <c r="K326">
        <v>219</v>
      </c>
      <c r="L326">
        <v>9368</v>
      </c>
      <c r="Q326">
        <v>157</v>
      </c>
      <c r="S326">
        <v>3</v>
      </c>
      <c r="U326">
        <v>117</v>
      </c>
      <c r="W326">
        <v>1843</v>
      </c>
      <c r="X326">
        <v>41</v>
      </c>
      <c r="Z326">
        <v>52</v>
      </c>
      <c r="AB326">
        <v>320</v>
      </c>
      <c r="AC326">
        <v>257</v>
      </c>
      <c r="AE326">
        <v>600</v>
      </c>
      <c r="AG326">
        <v>17</v>
      </c>
      <c r="AH326">
        <v>678</v>
      </c>
      <c r="AI326">
        <v>308</v>
      </c>
      <c r="AO326">
        <v>2588</v>
      </c>
      <c r="AP326">
        <v>17054</v>
      </c>
      <c r="AQ326">
        <v>3434</v>
      </c>
      <c r="AR326">
        <v>29</v>
      </c>
      <c r="AS326">
        <v>58</v>
      </c>
      <c r="AT326">
        <v>69</v>
      </c>
      <c r="AU326">
        <v>13</v>
      </c>
      <c r="AV326">
        <v>154</v>
      </c>
      <c r="AY326">
        <v>130</v>
      </c>
      <c r="AZ326">
        <v>551</v>
      </c>
      <c r="BB326">
        <v>540</v>
      </c>
      <c r="BC326">
        <v>432</v>
      </c>
      <c r="BE326">
        <v>15</v>
      </c>
      <c r="BI326">
        <v>446</v>
      </c>
      <c r="BJ326">
        <v>79</v>
      </c>
      <c r="BM326" s="11">
        <f t="shared" si="47"/>
        <v>5458</v>
      </c>
      <c r="BN326" s="11">
        <f t="shared" si="40"/>
        <v>42747</v>
      </c>
      <c r="BO326" s="11">
        <f t="shared" si="41"/>
        <v>0</v>
      </c>
      <c r="BP326" s="11">
        <f t="shared" si="42"/>
        <v>551</v>
      </c>
      <c r="BQ326">
        <f t="shared" si="43"/>
        <v>293</v>
      </c>
      <c r="BR326">
        <f t="shared" si="44"/>
        <v>759</v>
      </c>
      <c r="BS326">
        <f t="shared" si="45"/>
        <v>61</v>
      </c>
      <c r="BT326">
        <f t="shared" si="46"/>
        <v>1843</v>
      </c>
    </row>
    <row r="327" spans="1:72" x14ac:dyDescent="0.35">
      <c r="A327">
        <v>2016</v>
      </c>
      <c r="B327" t="s">
        <v>87</v>
      </c>
      <c r="C327" t="s">
        <v>88</v>
      </c>
      <c r="D327" s="2">
        <v>101415.1</v>
      </c>
      <c r="E327">
        <v>226</v>
      </c>
      <c r="H327">
        <v>4484</v>
      </c>
      <c r="I327">
        <v>376</v>
      </c>
      <c r="AI327">
        <v>226</v>
      </c>
      <c r="AL327">
        <v>376</v>
      </c>
      <c r="AO327">
        <v>2979</v>
      </c>
      <c r="AP327">
        <v>1505</v>
      </c>
      <c r="AT327">
        <v>11</v>
      </c>
      <c r="BE327">
        <v>24</v>
      </c>
      <c r="BJ327">
        <v>50</v>
      </c>
      <c r="BM327" s="11">
        <f t="shared" si="47"/>
        <v>537</v>
      </c>
      <c r="BN327" s="11">
        <f t="shared" si="40"/>
        <v>8968</v>
      </c>
      <c r="BO327" s="11">
        <f t="shared" si="41"/>
        <v>752</v>
      </c>
      <c r="BP327" s="11">
        <f t="shared" si="42"/>
        <v>0</v>
      </c>
      <c r="BQ327">
        <f t="shared" si="43"/>
        <v>0</v>
      </c>
      <c r="BR327">
        <f t="shared" si="44"/>
        <v>0</v>
      </c>
      <c r="BS327">
        <f t="shared" si="45"/>
        <v>0</v>
      </c>
      <c r="BT327">
        <f t="shared" si="46"/>
        <v>0</v>
      </c>
    </row>
    <row r="328" spans="1:72" x14ac:dyDescent="0.35">
      <c r="A328">
        <v>2016</v>
      </c>
      <c r="B328" t="s">
        <v>89</v>
      </c>
      <c r="C328" t="s">
        <v>90</v>
      </c>
      <c r="D328" s="2">
        <v>255832.9</v>
      </c>
      <c r="E328">
        <v>347</v>
      </c>
      <c r="H328">
        <v>1419</v>
      </c>
      <c r="I328">
        <v>961</v>
      </c>
      <c r="K328">
        <v>13</v>
      </c>
      <c r="L328">
        <v>688</v>
      </c>
      <c r="N328">
        <v>9</v>
      </c>
      <c r="O328">
        <v>9</v>
      </c>
      <c r="R328">
        <v>2</v>
      </c>
      <c r="U328">
        <v>19</v>
      </c>
      <c r="V328">
        <v>18</v>
      </c>
      <c r="W328">
        <v>293</v>
      </c>
      <c r="X328">
        <v>29</v>
      </c>
      <c r="Y328">
        <v>2249</v>
      </c>
      <c r="AB328">
        <v>112</v>
      </c>
      <c r="AE328">
        <v>129</v>
      </c>
      <c r="AF328">
        <v>276</v>
      </c>
      <c r="AG328">
        <v>48</v>
      </c>
      <c r="AI328">
        <v>347</v>
      </c>
      <c r="AK328">
        <v>502</v>
      </c>
      <c r="AL328">
        <v>459</v>
      </c>
      <c r="AO328">
        <v>499</v>
      </c>
      <c r="AP328">
        <v>920</v>
      </c>
      <c r="AS328">
        <v>1</v>
      </c>
      <c r="AT328">
        <v>35</v>
      </c>
      <c r="AU328">
        <v>2</v>
      </c>
      <c r="AV328">
        <v>144</v>
      </c>
      <c r="AW328">
        <v>1340</v>
      </c>
      <c r="AX328">
        <v>1264</v>
      </c>
      <c r="AY328">
        <v>638</v>
      </c>
      <c r="BB328">
        <v>1</v>
      </c>
      <c r="BC328">
        <v>152</v>
      </c>
      <c r="BE328">
        <v>2</v>
      </c>
      <c r="BF328">
        <v>33</v>
      </c>
      <c r="BH328">
        <v>14</v>
      </c>
      <c r="BJ328">
        <v>60</v>
      </c>
      <c r="BM328" s="11">
        <f t="shared" si="47"/>
        <v>964</v>
      </c>
      <c r="BN328" s="11">
        <f t="shared" si="40"/>
        <v>2838</v>
      </c>
      <c r="BO328" s="11">
        <f t="shared" si="41"/>
        <v>1922</v>
      </c>
      <c r="BP328" s="11">
        <f t="shared" si="42"/>
        <v>2249</v>
      </c>
      <c r="BQ328">
        <f t="shared" si="43"/>
        <v>0</v>
      </c>
      <c r="BR328">
        <f t="shared" si="44"/>
        <v>14</v>
      </c>
      <c r="BS328">
        <f t="shared" si="45"/>
        <v>1</v>
      </c>
      <c r="BT328">
        <f t="shared" si="46"/>
        <v>311</v>
      </c>
    </row>
    <row r="329" spans="1:72" x14ac:dyDescent="0.35">
      <c r="A329">
        <v>2016</v>
      </c>
      <c r="B329" t="s">
        <v>91</v>
      </c>
      <c r="C329" t="s">
        <v>92</v>
      </c>
      <c r="D329" s="2">
        <v>23359.599999999999</v>
      </c>
      <c r="E329">
        <v>216</v>
      </c>
      <c r="F329">
        <v>216</v>
      </c>
      <c r="I329">
        <v>500</v>
      </c>
      <c r="AK329">
        <v>25</v>
      </c>
      <c r="AL329">
        <v>475</v>
      </c>
      <c r="AT329">
        <v>8</v>
      </c>
      <c r="BM329" s="11">
        <f t="shared" si="47"/>
        <v>440</v>
      </c>
      <c r="BN329" s="11">
        <f t="shared" si="40"/>
        <v>0</v>
      </c>
      <c r="BO329" s="11">
        <f t="shared" si="41"/>
        <v>1000</v>
      </c>
      <c r="BP329" s="11">
        <f t="shared" si="42"/>
        <v>0</v>
      </c>
      <c r="BQ329">
        <f t="shared" si="43"/>
        <v>0</v>
      </c>
      <c r="BR329">
        <f t="shared" si="44"/>
        <v>0</v>
      </c>
      <c r="BS329">
        <f t="shared" si="45"/>
        <v>0</v>
      </c>
      <c r="BT329">
        <f t="shared" si="46"/>
        <v>0</v>
      </c>
    </row>
    <row r="330" spans="1:72" x14ac:dyDescent="0.35">
      <c r="A330">
        <v>2016</v>
      </c>
      <c r="B330" t="s">
        <v>93</v>
      </c>
      <c r="C330" t="s">
        <v>94</v>
      </c>
      <c r="D330" s="2">
        <v>2044971.2</v>
      </c>
      <c r="AT330">
        <v>67</v>
      </c>
      <c r="BM330" s="11">
        <f t="shared" si="47"/>
        <v>67</v>
      </c>
      <c r="BN330" s="11">
        <f t="shared" si="40"/>
        <v>0</v>
      </c>
      <c r="BO330" s="11">
        <f t="shared" si="41"/>
        <v>0</v>
      </c>
      <c r="BP330" s="11">
        <f t="shared" si="42"/>
        <v>0</v>
      </c>
      <c r="BQ330">
        <f t="shared" si="43"/>
        <v>0</v>
      </c>
      <c r="BR330">
        <f t="shared" si="44"/>
        <v>0</v>
      </c>
      <c r="BS330">
        <f t="shared" si="45"/>
        <v>0</v>
      </c>
      <c r="BT330">
        <f t="shared" si="46"/>
        <v>0</v>
      </c>
    </row>
    <row r="331" spans="1:72" x14ac:dyDescent="0.35">
      <c r="A331">
        <v>2015</v>
      </c>
      <c r="B331" t="s">
        <v>1</v>
      </c>
      <c r="C331" t="s">
        <v>2</v>
      </c>
      <c r="D331" s="2">
        <v>731106.9</v>
      </c>
      <c r="E331">
        <v>1189</v>
      </c>
      <c r="H331">
        <v>9748</v>
      </c>
      <c r="I331">
        <v>2383</v>
      </c>
      <c r="K331">
        <v>258</v>
      </c>
      <c r="AI331">
        <v>1189</v>
      </c>
      <c r="AM331">
        <v>2383</v>
      </c>
      <c r="AO331">
        <v>2652</v>
      </c>
      <c r="AP331">
        <v>7096</v>
      </c>
      <c r="BM331" s="11">
        <f t="shared" si="47"/>
        <v>2378</v>
      </c>
      <c r="BN331" s="11">
        <f t="shared" si="40"/>
        <v>19496</v>
      </c>
      <c r="BO331" s="11">
        <f t="shared" si="41"/>
        <v>4766</v>
      </c>
      <c r="BP331" s="11">
        <f t="shared" si="42"/>
        <v>0</v>
      </c>
      <c r="BQ331">
        <f t="shared" si="43"/>
        <v>0</v>
      </c>
      <c r="BR331">
        <f t="shared" si="44"/>
        <v>258</v>
      </c>
      <c r="BS331">
        <f t="shared" si="45"/>
        <v>0</v>
      </c>
      <c r="BT331">
        <f t="shared" si="46"/>
        <v>0</v>
      </c>
    </row>
    <row r="332" spans="1:72" x14ac:dyDescent="0.35">
      <c r="A332">
        <v>2015</v>
      </c>
      <c r="B332" t="s">
        <v>3</v>
      </c>
      <c r="C332" t="s">
        <v>4</v>
      </c>
      <c r="D332" s="2">
        <v>192500.5</v>
      </c>
      <c r="E332">
        <v>324</v>
      </c>
      <c r="H332">
        <v>322</v>
      </c>
      <c r="I332">
        <v>605</v>
      </c>
      <c r="K332">
        <v>20</v>
      </c>
      <c r="L332">
        <v>734</v>
      </c>
      <c r="O332">
        <v>109</v>
      </c>
      <c r="V332">
        <v>85</v>
      </c>
      <c r="AI332">
        <v>286</v>
      </c>
      <c r="AM332">
        <v>605</v>
      </c>
      <c r="AN332">
        <v>322</v>
      </c>
      <c r="BH332">
        <v>83</v>
      </c>
      <c r="BI332">
        <v>38</v>
      </c>
      <c r="BM332" s="11">
        <f t="shared" si="47"/>
        <v>648</v>
      </c>
      <c r="BN332" s="11">
        <f t="shared" si="40"/>
        <v>644</v>
      </c>
      <c r="BO332" s="11">
        <f t="shared" si="41"/>
        <v>1210</v>
      </c>
      <c r="BP332" s="11">
        <f t="shared" si="42"/>
        <v>0</v>
      </c>
      <c r="BQ332">
        <f t="shared" si="43"/>
        <v>0</v>
      </c>
      <c r="BR332">
        <f t="shared" si="44"/>
        <v>20</v>
      </c>
      <c r="BS332">
        <f t="shared" si="45"/>
        <v>0</v>
      </c>
      <c r="BT332">
        <f t="shared" si="46"/>
        <v>85</v>
      </c>
    </row>
    <row r="333" spans="1:72" x14ac:dyDescent="0.35">
      <c r="A333">
        <v>2015</v>
      </c>
      <c r="B333" t="s">
        <v>5</v>
      </c>
      <c r="C333" t="s">
        <v>6</v>
      </c>
      <c r="D333" s="2">
        <v>6722.6</v>
      </c>
      <c r="E333">
        <v>63</v>
      </c>
      <c r="H333">
        <v>442</v>
      </c>
      <c r="AI333">
        <v>63</v>
      </c>
      <c r="AN333">
        <v>442</v>
      </c>
      <c r="BM333" s="11">
        <f t="shared" si="47"/>
        <v>126</v>
      </c>
      <c r="BN333" s="11">
        <f t="shared" si="40"/>
        <v>884</v>
      </c>
      <c r="BO333" s="11">
        <f t="shared" si="41"/>
        <v>0</v>
      </c>
      <c r="BP333" s="11">
        <f t="shared" si="42"/>
        <v>0</v>
      </c>
      <c r="BQ333">
        <f t="shared" si="43"/>
        <v>0</v>
      </c>
      <c r="BR333">
        <f t="shared" si="44"/>
        <v>0</v>
      </c>
      <c r="BS333">
        <f t="shared" si="45"/>
        <v>0</v>
      </c>
      <c r="BT333">
        <f t="shared" si="46"/>
        <v>0</v>
      </c>
    </row>
    <row r="334" spans="1:72" x14ac:dyDescent="0.35">
      <c r="A334">
        <v>2015</v>
      </c>
      <c r="B334" t="s">
        <v>7</v>
      </c>
      <c r="C334" t="s">
        <v>8</v>
      </c>
      <c r="D334" s="2">
        <v>3300775.6</v>
      </c>
      <c r="H334">
        <v>72270</v>
      </c>
      <c r="AN334">
        <v>27286</v>
      </c>
      <c r="AO334">
        <v>17611</v>
      </c>
      <c r="AP334">
        <v>27373</v>
      </c>
      <c r="BM334" s="11">
        <f t="shared" si="47"/>
        <v>0</v>
      </c>
      <c r="BN334" s="11">
        <f t="shared" si="40"/>
        <v>144540</v>
      </c>
      <c r="BO334" s="11">
        <f t="shared" si="41"/>
        <v>0</v>
      </c>
      <c r="BP334" s="11">
        <f t="shared" si="42"/>
        <v>0</v>
      </c>
      <c r="BQ334">
        <f t="shared" si="43"/>
        <v>0</v>
      </c>
      <c r="BR334">
        <f t="shared" si="44"/>
        <v>0</v>
      </c>
      <c r="BS334">
        <f t="shared" si="45"/>
        <v>0</v>
      </c>
      <c r="BT334">
        <f t="shared" si="46"/>
        <v>0</v>
      </c>
    </row>
    <row r="335" spans="1:72" x14ac:dyDescent="0.35">
      <c r="A335">
        <v>2015</v>
      </c>
      <c r="B335" t="s">
        <v>9</v>
      </c>
      <c r="C335" t="s">
        <v>10</v>
      </c>
      <c r="D335" s="2">
        <v>3362812.3</v>
      </c>
      <c r="BM335" s="11">
        <f t="shared" si="47"/>
        <v>0</v>
      </c>
      <c r="BN335" s="11">
        <f t="shared" si="40"/>
        <v>0</v>
      </c>
      <c r="BO335" s="11">
        <f t="shared" si="41"/>
        <v>0</v>
      </c>
      <c r="BP335" s="11">
        <f t="shared" si="42"/>
        <v>0</v>
      </c>
      <c r="BQ335">
        <f t="shared" si="43"/>
        <v>0</v>
      </c>
      <c r="BR335">
        <f t="shared" si="44"/>
        <v>0</v>
      </c>
      <c r="BS335">
        <f t="shared" si="45"/>
        <v>0</v>
      </c>
      <c r="BT335">
        <f t="shared" si="46"/>
        <v>0</v>
      </c>
    </row>
    <row r="336" spans="1:72" x14ac:dyDescent="0.35">
      <c r="A336">
        <v>2015</v>
      </c>
      <c r="B336" t="s">
        <v>11</v>
      </c>
      <c r="C336" t="s">
        <v>12</v>
      </c>
      <c r="D336" s="2">
        <v>6983906.0999999996</v>
      </c>
      <c r="K336">
        <v>20035</v>
      </c>
      <c r="BM336" s="11">
        <f t="shared" si="47"/>
        <v>0</v>
      </c>
      <c r="BN336" s="11">
        <f t="shared" si="40"/>
        <v>0</v>
      </c>
      <c r="BO336" s="11">
        <f t="shared" si="41"/>
        <v>0</v>
      </c>
      <c r="BP336" s="11">
        <f t="shared" si="42"/>
        <v>0</v>
      </c>
      <c r="BQ336">
        <f t="shared" si="43"/>
        <v>0</v>
      </c>
      <c r="BR336">
        <f t="shared" si="44"/>
        <v>20035</v>
      </c>
      <c r="BS336">
        <f t="shared" si="45"/>
        <v>0</v>
      </c>
      <c r="BT336">
        <f t="shared" si="46"/>
        <v>0</v>
      </c>
    </row>
    <row r="337" spans="1:72" x14ac:dyDescent="0.35">
      <c r="A337">
        <v>2015</v>
      </c>
      <c r="B337" t="s">
        <v>13</v>
      </c>
      <c r="C337" t="s">
        <v>14</v>
      </c>
      <c r="D337" s="2">
        <v>62601.9</v>
      </c>
      <c r="BM337" s="11">
        <f t="shared" si="47"/>
        <v>0</v>
      </c>
      <c r="BN337" s="11">
        <f t="shared" si="40"/>
        <v>0</v>
      </c>
      <c r="BO337" s="11">
        <f t="shared" si="41"/>
        <v>0</v>
      </c>
      <c r="BP337" s="11">
        <f t="shared" si="42"/>
        <v>0</v>
      </c>
      <c r="BQ337">
        <f t="shared" si="43"/>
        <v>0</v>
      </c>
      <c r="BR337">
        <f t="shared" si="44"/>
        <v>0</v>
      </c>
      <c r="BS337">
        <f t="shared" si="45"/>
        <v>0</v>
      </c>
      <c r="BT337">
        <f t="shared" si="46"/>
        <v>0</v>
      </c>
    </row>
    <row r="338" spans="1:72" x14ac:dyDescent="0.35">
      <c r="A338">
        <v>2015</v>
      </c>
      <c r="B338" t="s">
        <v>15</v>
      </c>
      <c r="C338" t="s">
        <v>16</v>
      </c>
      <c r="D338" s="2">
        <v>135862.20000000001</v>
      </c>
      <c r="E338">
        <v>692</v>
      </c>
      <c r="H338">
        <v>4137</v>
      </c>
      <c r="AI338">
        <v>692</v>
      </c>
      <c r="AN338">
        <v>4137</v>
      </c>
      <c r="BM338" s="11">
        <f t="shared" si="47"/>
        <v>1384</v>
      </c>
      <c r="BN338" s="11">
        <f t="shared" si="40"/>
        <v>8274</v>
      </c>
      <c r="BO338" s="11">
        <f t="shared" si="41"/>
        <v>0</v>
      </c>
      <c r="BP338" s="11">
        <f t="shared" si="42"/>
        <v>0</v>
      </c>
      <c r="BQ338">
        <f t="shared" si="43"/>
        <v>0</v>
      </c>
      <c r="BR338">
        <f t="shared" si="44"/>
        <v>0</v>
      </c>
      <c r="BS338">
        <f t="shared" si="45"/>
        <v>0</v>
      </c>
      <c r="BT338">
        <f t="shared" si="46"/>
        <v>0</v>
      </c>
    </row>
    <row r="339" spans="1:72" x14ac:dyDescent="0.35">
      <c r="A339">
        <v>2015</v>
      </c>
      <c r="B339" t="s">
        <v>17</v>
      </c>
      <c r="C339" t="s">
        <v>18</v>
      </c>
      <c r="D339" s="2">
        <v>31767.3</v>
      </c>
      <c r="H339">
        <v>3976</v>
      </c>
      <c r="AO339">
        <v>895</v>
      </c>
      <c r="AP339">
        <v>3081</v>
      </c>
      <c r="BM339" s="11">
        <f t="shared" si="47"/>
        <v>0</v>
      </c>
      <c r="BN339" s="11">
        <f t="shared" si="40"/>
        <v>7952</v>
      </c>
      <c r="BO339" s="11">
        <f t="shared" si="41"/>
        <v>0</v>
      </c>
      <c r="BP339" s="11">
        <f t="shared" si="42"/>
        <v>0</v>
      </c>
      <c r="BQ339">
        <f t="shared" si="43"/>
        <v>0</v>
      </c>
      <c r="BR339">
        <f t="shared" si="44"/>
        <v>0</v>
      </c>
      <c r="BS339">
        <f t="shared" si="45"/>
        <v>0</v>
      </c>
      <c r="BT339">
        <f t="shared" si="46"/>
        <v>0</v>
      </c>
    </row>
    <row r="340" spans="1:72" x14ac:dyDescent="0.35">
      <c r="A340">
        <v>2015</v>
      </c>
      <c r="B340" t="s">
        <v>19</v>
      </c>
      <c r="C340" t="s">
        <v>20</v>
      </c>
      <c r="D340" s="2">
        <v>59058.5</v>
      </c>
      <c r="BM340" s="11">
        <f t="shared" si="47"/>
        <v>0</v>
      </c>
      <c r="BN340" s="11">
        <f t="shared" si="40"/>
        <v>0</v>
      </c>
      <c r="BO340" s="11">
        <f t="shared" si="41"/>
        <v>0</v>
      </c>
      <c r="BP340" s="11">
        <f t="shared" si="42"/>
        <v>0</v>
      </c>
      <c r="BQ340">
        <f t="shared" si="43"/>
        <v>0</v>
      </c>
      <c r="BR340">
        <f t="shared" si="44"/>
        <v>0</v>
      </c>
      <c r="BS340">
        <f t="shared" si="45"/>
        <v>0</v>
      </c>
      <c r="BT340">
        <f t="shared" si="46"/>
        <v>0</v>
      </c>
    </row>
    <row r="341" spans="1:72" x14ac:dyDescent="0.35">
      <c r="A341">
        <v>2015</v>
      </c>
      <c r="B341" t="s">
        <v>21</v>
      </c>
      <c r="C341" t="s">
        <v>22</v>
      </c>
      <c r="D341" s="2">
        <v>1014537.2</v>
      </c>
      <c r="BM341" s="11">
        <f t="shared" si="47"/>
        <v>0</v>
      </c>
      <c r="BN341" s="11">
        <f t="shared" si="40"/>
        <v>0</v>
      </c>
      <c r="BO341" s="11">
        <f t="shared" si="41"/>
        <v>0</v>
      </c>
      <c r="BP341" s="11">
        <f t="shared" si="42"/>
        <v>0</v>
      </c>
      <c r="BQ341">
        <f t="shared" si="43"/>
        <v>0</v>
      </c>
      <c r="BR341">
        <f t="shared" si="44"/>
        <v>0</v>
      </c>
      <c r="BS341">
        <f t="shared" si="45"/>
        <v>0</v>
      </c>
      <c r="BT341">
        <f t="shared" si="46"/>
        <v>0</v>
      </c>
    </row>
    <row r="342" spans="1:72" x14ac:dyDescent="0.35">
      <c r="A342">
        <v>2015</v>
      </c>
      <c r="B342" t="s">
        <v>23</v>
      </c>
      <c r="C342" t="s">
        <v>24</v>
      </c>
      <c r="D342" s="2">
        <v>1144292.3999999999</v>
      </c>
      <c r="BM342" s="11">
        <f t="shared" si="47"/>
        <v>0</v>
      </c>
      <c r="BN342" s="11">
        <f t="shared" si="40"/>
        <v>0</v>
      </c>
      <c r="BO342" s="11">
        <f t="shared" si="41"/>
        <v>0</v>
      </c>
      <c r="BP342" s="11">
        <f t="shared" si="42"/>
        <v>0</v>
      </c>
      <c r="BQ342">
        <f t="shared" si="43"/>
        <v>0</v>
      </c>
      <c r="BR342">
        <f t="shared" si="44"/>
        <v>0</v>
      </c>
      <c r="BS342">
        <f t="shared" si="45"/>
        <v>0</v>
      </c>
      <c r="BT342">
        <f t="shared" si="46"/>
        <v>0</v>
      </c>
    </row>
    <row r="343" spans="1:72" x14ac:dyDescent="0.35">
      <c r="A343">
        <v>2015</v>
      </c>
      <c r="B343" t="s">
        <v>25</v>
      </c>
      <c r="C343" t="s">
        <v>26</v>
      </c>
      <c r="D343" s="2">
        <v>411367.9</v>
      </c>
      <c r="BM343" s="11">
        <f t="shared" si="47"/>
        <v>0</v>
      </c>
      <c r="BN343" s="11">
        <f t="shared" si="40"/>
        <v>0</v>
      </c>
      <c r="BO343" s="11">
        <f t="shared" si="41"/>
        <v>0</v>
      </c>
      <c r="BP343" s="11">
        <f t="shared" si="42"/>
        <v>0</v>
      </c>
      <c r="BQ343">
        <f t="shared" si="43"/>
        <v>0</v>
      </c>
      <c r="BR343">
        <f t="shared" si="44"/>
        <v>0</v>
      </c>
      <c r="BS343">
        <f t="shared" si="45"/>
        <v>0</v>
      </c>
      <c r="BT343">
        <f t="shared" si="46"/>
        <v>0</v>
      </c>
    </row>
    <row r="344" spans="1:72" x14ac:dyDescent="0.35">
      <c r="A344">
        <v>2015</v>
      </c>
      <c r="B344" t="s">
        <v>27</v>
      </c>
      <c r="C344" t="s">
        <v>28</v>
      </c>
      <c r="D344" s="2">
        <v>61044.4</v>
      </c>
      <c r="BM344" s="11">
        <f t="shared" si="47"/>
        <v>0</v>
      </c>
      <c r="BN344" s="11">
        <f t="shared" si="40"/>
        <v>0</v>
      </c>
      <c r="BO344" s="11">
        <f t="shared" si="41"/>
        <v>0</v>
      </c>
      <c r="BP344" s="11">
        <f t="shared" si="42"/>
        <v>0</v>
      </c>
      <c r="BQ344">
        <f t="shared" si="43"/>
        <v>0</v>
      </c>
      <c r="BR344">
        <f t="shared" si="44"/>
        <v>0</v>
      </c>
      <c r="BS344">
        <f t="shared" si="45"/>
        <v>0</v>
      </c>
      <c r="BT344">
        <f t="shared" si="46"/>
        <v>0</v>
      </c>
    </row>
    <row r="345" spans="1:72" x14ac:dyDescent="0.35">
      <c r="A345">
        <v>2015</v>
      </c>
      <c r="B345" t="s">
        <v>29</v>
      </c>
      <c r="C345" t="s">
        <v>30</v>
      </c>
      <c r="D345" s="2">
        <v>437619.8</v>
      </c>
      <c r="E345">
        <v>508</v>
      </c>
      <c r="F345">
        <v>467</v>
      </c>
      <c r="H345">
        <v>6688</v>
      </c>
      <c r="I345">
        <v>79</v>
      </c>
      <c r="AL345">
        <v>79</v>
      </c>
      <c r="AO345">
        <v>4072</v>
      </c>
      <c r="AP345">
        <v>2616</v>
      </c>
      <c r="BI345">
        <v>41</v>
      </c>
      <c r="BM345" s="11">
        <f t="shared" si="47"/>
        <v>1016</v>
      </c>
      <c r="BN345" s="11">
        <f t="shared" si="40"/>
        <v>13376</v>
      </c>
      <c r="BO345" s="11">
        <f t="shared" si="41"/>
        <v>158</v>
      </c>
      <c r="BP345" s="11">
        <f t="shared" si="42"/>
        <v>0</v>
      </c>
      <c r="BQ345">
        <f t="shared" si="43"/>
        <v>0</v>
      </c>
      <c r="BR345">
        <f t="shared" si="44"/>
        <v>0</v>
      </c>
      <c r="BS345">
        <f t="shared" si="45"/>
        <v>0</v>
      </c>
      <c r="BT345">
        <f t="shared" si="46"/>
        <v>0</v>
      </c>
    </row>
    <row r="346" spans="1:72" x14ac:dyDescent="0.35">
      <c r="A346">
        <v>2015</v>
      </c>
      <c r="B346" t="s">
        <v>31</v>
      </c>
      <c r="C346" t="s">
        <v>32</v>
      </c>
      <c r="D346" s="2">
        <v>11002.7</v>
      </c>
      <c r="E346">
        <v>410</v>
      </c>
      <c r="H346">
        <v>498</v>
      </c>
      <c r="AI346">
        <v>410</v>
      </c>
      <c r="AN346">
        <v>498</v>
      </c>
      <c r="BM346" s="11">
        <f t="shared" si="47"/>
        <v>820</v>
      </c>
      <c r="BN346" s="11">
        <f t="shared" si="40"/>
        <v>996</v>
      </c>
      <c r="BO346" s="11">
        <f t="shared" si="41"/>
        <v>0</v>
      </c>
      <c r="BP346" s="11">
        <f t="shared" si="42"/>
        <v>0</v>
      </c>
      <c r="BQ346">
        <f t="shared" si="43"/>
        <v>0</v>
      </c>
      <c r="BR346">
        <f t="shared" si="44"/>
        <v>0</v>
      </c>
      <c r="BS346">
        <f t="shared" si="45"/>
        <v>0</v>
      </c>
      <c r="BT346">
        <f t="shared" si="46"/>
        <v>0</v>
      </c>
    </row>
    <row r="347" spans="1:72" x14ac:dyDescent="0.35">
      <c r="A347">
        <v>2015</v>
      </c>
      <c r="B347" t="s">
        <v>33</v>
      </c>
      <c r="C347" t="s">
        <v>34</v>
      </c>
      <c r="D347" s="2">
        <v>840650.2</v>
      </c>
      <c r="BM347" s="11">
        <f t="shared" si="47"/>
        <v>0</v>
      </c>
      <c r="BN347" s="11">
        <f t="shared" si="40"/>
        <v>0</v>
      </c>
      <c r="BO347" s="11">
        <f t="shared" si="41"/>
        <v>0</v>
      </c>
      <c r="BP347" s="11">
        <f t="shared" si="42"/>
        <v>0</v>
      </c>
      <c r="BQ347">
        <f t="shared" si="43"/>
        <v>0</v>
      </c>
      <c r="BR347">
        <f t="shared" si="44"/>
        <v>0</v>
      </c>
      <c r="BS347">
        <f t="shared" si="45"/>
        <v>0</v>
      </c>
      <c r="BT347">
        <f t="shared" si="46"/>
        <v>0</v>
      </c>
    </row>
    <row r="348" spans="1:72" x14ac:dyDescent="0.35">
      <c r="A348">
        <v>2015</v>
      </c>
      <c r="B348" t="s">
        <v>35</v>
      </c>
      <c r="C348" t="s">
        <v>36</v>
      </c>
      <c r="D348" s="2">
        <v>625581.19999999995</v>
      </c>
      <c r="E348">
        <v>696</v>
      </c>
      <c r="H348">
        <v>3563</v>
      </c>
      <c r="K348">
        <v>79</v>
      </c>
      <c r="AI348">
        <v>696</v>
      </c>
      <c r="AN348">
        <v>3563</v>
      </c>
      <c r="BM348" s="11">
        <f t="shared" si="47"/>
        <v>1392</v>
      </c>
      <c r="BN348" s="11">
        <f t="shared" si="40"/>
        <v>7126</v>
      </c>
      <c r="BO348" s="11">
        <f t="shared" si="41"/>
        <v>0</v>
      </c>
      <c r="BP348" s="11">
        <f t="shared" si="42"/>
        <v>0</v>
      </c>
      <c r="BQ348">
        <f t="shared" si="43"/>
        <v>0</v>
      </c>
      <c r="BR348">
        <f t="shared" si="44"/>
        <v>79</v>
      </c>
      <c r="BS348">
        <f t="shared" si="45"/>
        <v>0</v>
      </c>
      <c r="BT348">
        <f t="shared" si="46"/>
        <v>0</v>
      </c>
    </row>
    <row r="349" spans="1:72" x14ac:dyDescent="0.35">
      <c r="A349">
        <v>2015</v>
      </c>
      <c r="B349" t="s">
        <v>37</v>
      </c>
      <c r="C349" t="s">
        <v>38</v>
      </c>
      <c r="D349" s="2">
        <v>830910.6</v>
      </c>
      <c r="H349">
        <v>10891</v>
      </c>
      <c r="AO349">
        <v>1987</v>
      </c>
      <c r="AP349">
        <v>8904</v>
      </c>
      <c r="BM349" s="11">
        <f t="shared" si="47"/>
        <v>0</v>
      </c>
      <c r="BN349" s="11">
        <f t="shared" si="40"/>
        <v>21782</v>
      </c>
      <c r="BO349" s="11">
        <f t="shared" si="41"/>
        <v>0</v>
      </c>
      <c r="BP349" s="11">
        <f t="shared" si="42"/>
        <v>0</v>
      </c>
      <c r="BQ349">
        <f t="shared" si="43"/>
        <v>0</v>
      </c>
      <c r="BR349">
        <f t="shared" si="44"/>
        <v>0</v>
      </c>
      <c r="BS349">
        <f t="shared" si="45"/>
        <v>0</v>
      </c>
      <c r="BT349">
        <f t="shared" si="46"/>
        <v>0</v>
      </c>
    </row>
    <row r="350" spans="1:72" x14ac:dyDescent="0.35">
      <c r="A350">
        <v>2015</v>
      </c>
      <c r="B350" t="s">
        <v>39</v>
      </c>
      <c r="C350" t="s">
        <v>40</v>
      </c>
      <c r="D350" s="2">
        <v>45967.3</v>
      </c>
      <c r="BM350" s="11">
        <f t="shared" si="47"/>
        <v>0</v>
      </c>
      <c r="BN350" s="11">
        <f t="shared" si="40"/>
        <v>0</v>
      </c>
      <c r="BO350" s="11">
        <f t="shared" si="41"/>
        <v>0</v>
      </c>
      <c r="BP350" s="11">
        <f t="shared" si="42"/>
        <v>0</v>
      </c>
      <c r="BQ350">
        <f t="shared" si="43"/>
        <v>0</v>
      </c>
      <c r="BR350">
        <f t="shared" si="44"/>
        <v>0</v>
      </c>
      <c r="BS350">
        <f t="shared" si="45"/>
        <v>0</v>
      </c>
      <c r="BT350">
        <f t="shared" si="46"/>
        <v>0</v>
      </c>
    </row>
    <row r="351" spans="1:72" x14ac:dyDescent="0.35">
      <c r="A351">
        <v>2015</v>
      </c>
      <c r="B351" t="s">
        <v>41</v>
      </c>
      <c r="C351" t="s">
        <v>42</v>
      </c>
      <c r="D351" s="2">
        <v>83965.3</v>
      </c>
      <c r="E351">
        <v>213</v>
      </c>
      <c r="H351">
        <v>2372</v>
      </c>
      <c r="I351">
        <v>850</v>
      </c>
      <c r="J351">
        <v>17</v>
      </c>
      <c r="K351">
        <v>5</v>
      </c>
      <c r="R351">
        <v>3</v>
      </c>
      <c r="W351">
        <v>172</v>
      </c>
      <c r="AB351">
        <v>32</v>
      </c>
      <c r="AE351">
        <v>141</v>
      </c>
      <c r="AF351">
        <v>11</v>
      </c>
      <c r="AI351">
        <v>213</v>
      </c>
      <c r="AM351">
        <v>850</v>
      </c>
      <c r="AN351">
        <v>2372</v>
      </c>
      <c r="AU351">
        <v>17</v>
      </c>
      <c r="BB351">
        <v>99</v>
      </c>
      <c r="BC351">
        <v>5</v>
      </c>
      <c r="BD351">
        <v>15</v>
      </c>
      <c r="BM351" s="11">
        <f t="shared" si="47"/>
        <v>426</v>
      </c>
      <c r="BN351" s="11">
        <f t="shared" si="40"/>
        <v>4744</v>
      </c>
      <c r="BO351" s="11">
        <f t="shared" si="41"/>
        <v>1700</v>
      </c>
      <c r="BP351" s="11">
        <f t="shared" si="42"/>
        <v>0</v>
      </c>
      <c r="BQ351">
        <f t="shared" si="43"/>
        <v>17</v>
      </c>
      <c r="BR351">
        <f t="shared" si="44"/>
        <v>104</v>
      </c>
      <c r="BS351">
        <f t="shared" si="45"/>
        <v>0</v>
      </c>
      <c r="BT351">
        <f t="shared" si="46"/>
        <v>172</v>
      </c>
    </row>
    <row r="352" spans="1:72" x14ac:dyDescent="0.35">
      <c r="A352">
        <v>2015</v>
      </c>
      <c r="B352" t="s">
        <v>43</v>
      </c>
      <c r="C352" t="s">
        <v>44</v>
      </c>
      <c r="D352" s="2">
        <v>904717.2</v>
      </c>
      <c r="E352">
        <v>3263</v>
      </c>
      <c r="H352">
        <v>48939</v>
      </c>
      <c r="I352">
        <v>6808</v>
      </c>
      <c r="AI352">
        <v>3263</v>
      </c>
      <c r="AM352">
        <v>6808</v>
      </c>
      <c r="AN352">
        <v>48939</v>
      </c>
      <c r="BM352" s="11">
        <f t="shared" si="47"/>
        <v>6526</v>
      </c>
      <c r="BN352" s="11">
        <f t="shared" si="40"/>
        <v>97878</v>
      </c>
      <c r="BO352" s="11">
        <f t="shared" si="41"/>
        <v>13616</v>
      </c>
      <c r="BP352" s="11">
        <f t="shared" si="42"/>
        <v>0</v>
      </c>
      <c r="BQ352">
        <f t="shared" si="43"/>
        <v>0</v>
      </c>
      <c r="BR352">
        <f t="shared" si="44"/>
        <v>0</v>
      </c>
      <c r="BS352">
        <f t="shared" si="45"/>
        <v>0</v>
      </c>
      <c r="BT352">
        <f t="shared" si="46"/>
        <v>0</v>
      </c>
    </row>
    <row r="353" spans="1:72" x14ac:dyDescent="0.35">
      <c r="A353">
        <v>2015</v>
      </c>
      <c r="B353" t="s">
        <v>45</v>
      </c>
      <c r="C353" t="s">
        <v>46</v>
      </c>
      <c r="D353" s="2">
        <v>422845.4</v>
      </c>
      <c r="E353">
        <v>977</v>
      </c>
      <c r="H353">
        <v>4389</v>
      </c>
      <c r="I353">
        <v>376</v>
      </c>
      <c r="K353">
        <v>142</v>
      </c>
      <c r="P353">
        <v>6700</v>
      </c>
      <c r="AI353">
        <v>977</v>
      </c>
      <c r="AL353">
        <v>376</v>
      </c>
      <c r="AO353">
        <v>3476</v>
      </c>
      <c r="AP353">
        <v>913</v>
      </c>
      <c r="BM353" s="11">
        <f t="shared" si="47"/>
        <v>1954</v>
      </c>
      <c r="BN353" s="11">
        <f t="shared" si="40"/>
        <v>8778</v>
      </c>
      <c r="BO353" s="11">
        <f t="shared" si="41"/>
        <v>752</v>
      </c>
      <c r="BP353" s="11">
        <f t="shared" si="42"/>
        <v>0</v>
      </c>
      <c r="BQ353">
        <f t="shared" si="43"/>
        <v>0</v>
      </c>
      <c r="BR353">
        <f t="shared" si="44"/>
        <v>142</v>
      </c>
      <c r="BS353">
        <f t="shared" si="45"/>
        <v>0</v>
      </c>
      <c r="BT353">
        <f t="shared" si="46"/>
        <v>0</v>
      </c>
    </row>
    <row r="354" spans="1:72" x14ac:dyDescent="0.35">
      <c r="A354">
        <v>2015</v>
      </c>
      <c r="B354" t="s">
        <v>47</v>
      </c>
      <c r="C354" t="s">
        <v>48</v>
      </c>
      <c r="D354" s="2">
        <v>62364.3</v>
      </c>
      <c r="E354">
        <v>354</v>
      </c>
      <c r="H354">
        <v>964</v>
      </c>
      <c r="AI354">
        <v>354</v>
      </c>
      <c r="AO354">
        <v>112</v>
      </c>
      <c r="AP354">
        <v>852</v>
      </c>
      <c r="AQ354">
        <v>170</v>
      </c>
      <c r="BM354" s="11">
        <f t="shared" si="47"/>
        <v>708</v>
      </c>
      <c r="BN354" s="11">
        <f t="shared" si="40"/>
        <v>2098</v>
      </c>
      <c r="BO354" s="11">
        <f t="shared" si="41"/>
        <v>0</v>
      </c>
      <c r="BP354" s="11">
        <f t="shared" si="42"/>
        <v>0</v>
      </c>
      <c r="BQ354">
        <f t="shared" si="43"/>
        <v>0</v>
      </c>
      <c r="BR354">
        <f t="shared" si="44"/>
        <v>0</v>
      </c>
      <c r="BS354">
        <f t="shared" si="45"/>
        <v>0</v>
      </c>
      <c r="BT354">
        <f t="shared" si="46"/>
        <v>0</v>
      </c>
    </row>
    <row r="355" spans="1:72" x14ac:dyDescent="0.35">
      <c r="A355">
        <v>2015</v>
      </c>
      <c r="B355" t="s">
        <v>49</v>
      </c>
      <c r="C355" t="s">
        <v>50</v>
      </c>
      <c r="D355" s="2">
        <v>1423217.7</v>
      </c>
      <c r="H355">
        <v>41413</v>
      </c>
      <c r="AO355">
        <v>8899</v>
      </c>
      <c r="AP355">
        <v>32514</v>
      </c>
      <c r="BM355" s="11">
        <f t="shared" si="47"/>
        <v>0</v>
      </c>
      <c r="BN355" s="11">
        <f t="shared" si="40"/>
        <v>82826</v>
      </c>
      <c r="BO355" s="11">
        <f t="shared" si="41"/>
        <v>0</v>
      </c>
      <c r="BP355" s="11">
        <f t="shared" si="42"/>
        <v>0</v>
      </c>
      <c r="BQ355">
        <f t="shared" si="43"/>
        <v>0</v>
      </c>
      <c r="BR355">
        <f t="shared" si="44"/>
        <v>0</v>
      </c>
      <c r="BS355">
        <f t="shared" si="45"/>
        <v>0</v>
      </c>
      <c r="BT355">
        <f t="shared" si="46"/>
        <v>0</v>
      </c>
    </row>
    <row r="356" spans="1:72" x14ac:dyDescent="0.35">
      <c r="A356">
        <v>2015</v>
      </c>
      <c r="B356" t="s">
        <v>51</v>
      </c>
      <c r="C356" t="s">
        <v>52</v>
      </c>
      <c r="D356" s="2">
        <v>154970.79999999999</v>
      </c>
      <c r="E356">
        <v>168</v>
      </c>
      <c r="AI356">
        <v>168</v>
      </c>
      <c r="BM356" s="11">
        <f t="shared" si="47"/>
        <v>336</v>
      </c>
      <c r="BN356" s="11">
        <f t="shared" si="40"/>
        <v>0</v>
      </c>
      <c r="BO356" s="11">
        <f t="shared" si="41"/>
        <v>0</v>
      </c>
      <c r="BP356" s="11">
        <f t="shared" si="42"/>
        <v>0</v>
      </c>
      <c r="BQ356">
        <f t="shared" si="43"/>
        <v>0</v>
      </c>
      <c r="BR356">
        <f t="shared" si="44"/>
        <v>0</v>
      </c>
      <c r="BS356">
        <f t="shared" si="45"/>
        <v>0</v>
      </c>
      <c r="BT356">
        <f t="shared" si="46"/>
        <v>0</v>
      </c>
    </row>
    <row r="357" spans="1:72" x14ac:dyDescent="0.35">
      <c r="A357">
        <v>2015</v>
      </c>
      <c r="B357" t="s">
        <v>53</v>
      </c>
      <c r="C357" t="s">
        <v>54</v>
      </c>
      <c r="D357" s="2">
        <v>803737.2</v>
      </c>
      <c r="BM357" s="11">
        <f t="shared" si="47"/>
        <v>0</v>
      </c>
      <c r="BN357" s="11">
        <f t="shared" si="40"/>
        <v>0</v>
      </c>
      <c r="BO357" s="11">
        <f t="shared" si="41"/>
        <v>0</v>
      </c>
      <c r="BP357" s="11">
        <f t="shared" si="42"/>
        <v>0</v>
      </c>
      <c r="BQ357">
        <f t="shared" si="43"/>
        <v>0</v>
      </c>
      <c r="BR357">
        <f t="shared" si="44"/>
        <v>0</v>
      </c>
      <c r="BS357">
        <f t="shared" si="45"/>
        <v>0</v>
      </c>
      <c r="BT357">
        <f t="shared" si="46"/>
        <v>0</v>
      </c>
    </row>
    <row r="358" spans="1:72" x14ac:dyDescent="0.35">
      <c r="A358">
        <v>2015</v>
      </c>
      <c r="B358" t="s">
        <v>55</v>
      </c>
      <c r="C358" t="s">
        <v>56</v>
      </c>
      <c r="D358" s="2">
        <v>602721.6</v>
      </c>
      <c r="BM358" s="11">
        <f t="shared" si="47"/>
        <v>0</v>
      </c>
      <c r="BN358" s="11">
        <f t="shared" si="40"/>
        <v>0</v>
      </c>
      <c r="BO358" s="11">
        <f t="shared" si="41"/>
        <v>0</v>
      </c>
      <c r="BP358" s="11">
        <f t="shared" si="42"/>
        <v>0</v>
      </c>
      <c r="BQ358">
        <f t="shared" si="43"/>
        <v>0</v>
      </c>
      <c r="BR358">
        <f t="shared" si="44"/>
        <v>0</v>
      </c>
      <c r="BS358">
        <f t="shared" si="45"/>
        <v>0</v>
      </c>
      <c r="BT358">
        <f t="shared" si="46"/>
        <v>0</v>
      </c>
    </row>
    <row r="359" spans="1:72" x14ac:dyDescent="0.35">
      <c r="A359">
        <v>2015</v>
      </c>
      <c r="B359" t="s">
        <v>57</v>
      </c>
      <c r="C359" t="s">
        <v>58</v>
      </c>
      <c r="D359" s="2">
        <v>772249</v>
      </c>
      <c r="E359">
        <v>1750</v>
      </c>
      <c r="AI359">
        <v>1750</v>
      </c>
      <c r="BE359">
        <v>11</v>
      </c>
      <c r="BJ359">
        <v>72</v>
      </c>
      <c r="BM359" s="11">
        <f t="shared" si="47"/>
        <v>3583</v>
      </c>
      <c r="BN359" s="11">
        <f t="shared" si="40"/>
        <v>0</v>
      </c>
      <c r="BO359" s="11">
        <f t="shared" si="41"/>
        <v>0</v>
      </c>
      <c r="BP359" s="11">
        <f t="shared" si="42"/>
        <v>0</v>
      </c>
      <c r="BQ359">
        <f t="shared" si="43"/>
        <v>0</v>
      </c>
      <c r="BR359">
        <f t="shared" si="44"/>
        <v>0</v>
      </c>
      <c r="BS359">
        <f t="shared" si="45"/>
        <v>0</v>
      </c>
      <c r="BT359">
        <f t="shared" si="46"/>
        <v>0</v>
      </c>
    </row>
    <row r="360" spans="1:72" x14ac:dyDescent="0.35">
      <c r="A360">
        <v>2015</v>
      </c>
      <c r="B360" t="s">
        <v>59</v>
      </c>
      <c r="C360" t="s">
        <v>60</v>
      </c>
      <c r="D360" s="2">
        <v>14693.7</v>
      </c>
      <c r="E360">
        <v>2550</v>
      </c>
      <c r="H360">
        <v>4261</v>
      </c>
      <c r="J360">
        <v>380</v>
      </c>
      <c r="K360">
        <v>497</v>
      </c>
      <c r="AI360">
        <v>2550</v>
      </c>
      <c r="AN360">
        <v>4261</v>
      </c>
      <c r="BM360" s="11">
        <f t="shared" si="47"/>
        <v>5100</v>
      </c>
      <c r="BN360" s="11">
        <f t="shared" si="40"/>
        <v>8522</v>
      </c>
      <c r="BO360" s="11">
        <f t="shared" si="41"/>
        <v>0</v>
      </c>
      <c r="BP360" s="11">
        <f t="shared" si="42"/>
        <v>0</v>
      </c>
      <c r="BQ360">
        <f t="shared" si="43"/>
        <v>380</v>
      </c>
      <c r="BR360">
        <f t="shared" si="44"/>
        <v>497</v>
      </c>
      <c r="BS360">
        <f t="shared" si="45"/>
        <v>0</v>
      </c>
      <c r="BT360">
        <f t="shared" si="46"/>
        <v>0</v>
      </c>
    </row>
    <row r="361" spans="1:72" x14ac:dyDescent="0.35">
      <c r="A361">
        <v>2015</v>
      </c>
      <c r="B361" t="s">
        <v>61</v>
      </c>
      <c r="C361" t="s">
        <v>62</v>
      </c>
      <c r="D361" s="2">
        <v>1009693.4</v>
      </c>
      <c r="H361">
        <v>6927</v>
      </c>
      <c r="I361">
        <v>5158</v>
      </c>
      <c r="J361">
        <v>189</v>
      </c>
      <c r="K361">
        <v>194</v>
      </c>
      <c r="Q361">
        <v>45</v>
      </c>
      <c r="R361">
        <v>212</v>
      </c>
      <c r="AM361">
        <v>5158</v>
      </c>
      <c r="AN361">
        <v>6927</v>
      </c>
      <c r="AV361">
        <v>38</v>
      </c>
      <c r="BM361" s="11">
        <f t="shared" si="47"/>
        <v>38</v>
      </c>
      <c r="BN361" s="11">
        <f t="shared" si="40"/>
        <v>13854</v>
      </c>
      <c r="BO361" s="11">
        <f t="shared" si="41"/>
        <v>10316</v>
      </c>
      <c r="BP361" s="11">
        <f t="shared" si="42"/>
        <v>0</v>
      </c>
      <c r="BQ361">
        <f t="shared" si="43"/>
        <v>234</v>
      </c>
      <c r="BR361">
        <f t="shared" si="44"/>
        <v>194</v>
      </c>
      <c r="BS361">
        <f t="shared" si="45"/>
        <v>0</v>
      </c>
      <c r="BT361">
        <f t="shared" si="46"/>
        <v>0</v>
      </c>
    </row>
    <row r="362" spans="1:72" x14ac:dyDescent="0.35">
      <c r="A362">
        <v>2015</v>
      </c>
      <c r="B362" t="s">
        <v>63</v>
      </c>
      <c r="C362" t="s">
        <v>64</v>
      </c>
      <c r="D362" s="2">
        <v>69483.399999999994</v>
      </c>
      <c r="H362">
        <v>4365</v>
      </c>
      <c r="AO362">
        <v>2189</v>
      </c>
      <c r="AP362">
        <v>2176</v>
      </c>
      <c r="BM362" s="11">
        <f t="shared" si="47"/>
        <v>0</v>
      </c>
      <c r="BN362" s="11">
        <f t="shared" si="40"/>
        <v>8730</v>
      </c>
      <c r="BO362" s="11">
        <f t="shared" si="41"/>
        <v>0</v>
      </c>
      <c r="BP362" s="11">
        <f t="shared" si="42"/>
        <v>0</v>
      </c>
      <c r="BQ362">
        <f t="shared" si="43"/>
        <v>0</v>
      </c>
      <c r="BR362">
        <f t="shared" si="44"/>
        <v>0</v>
      </c>
      <c r="BS362">
        <f t="shared" si="45"/>
        <v>0</v>
      </c>
      <c r="BT362">
        <f t="shared" si="46"/>
        <v>0</v>
      </c>
    </row>
    <row r="363" spans="1:72" x14ac:dyDescent="0.35">
      <c r="A363">
        <v>2015</v>
      </c>
      <c r="B363" t="s">
        <v>65</v>
      </c>
      <c r="C363" t="s">
        <v>66</v>
      </c>
      <c r="D363" s="2">
        <v>368170.1</v>
      </c>
      <c r="E363">
        <v>1284</v>
      </c>
      <c r="F363">
        <v>1042</v>
      </c>
      <c r="H363">
        <v>10367</v>
      </c>
      <c r="I363">
        <v>868</v>
      </c>
      <c r="J363">
        <v>127</v>
      </c>
      <c r="K363">
        <v>114</v>
      </c>
      <c r="L363">
        <v>4006</v>
      </c>
      <c r="W363">
        <v>226</v>
      </c>
      <c r="AB363">
        <v>116</v>
      </c>
      <c r="AE363">
        <v>1545</v>
      </c>
      <c r="AG363">
        <v>23</v>
      </c>
      <c r="AM363">
        <v>868</v>
      </c>
      <c r="AN363">
        <v>10367</v>
      </c>
      <c r="AS363">
        <v>207</v>
      </c>
      <c r="BC363">
        <v>125</v>
      </c>
      <c r="BH363">
        <v>886</v>
      </c>
      <c r="BI363">
        <v>242</v>
      </c>
      <c r="BM363" s="11">
        <f t="shared" si="47"/>
        <v>2568</v>
      </c>
      <c r="BN363" s="11">
        <f t="shared" si="40"/>
        <v>20734</v>
      </c>
      <c r="BO363" s="11">
        <f t="shared" si="41"/>
        <v>1736</v>
      </c>
      <c r="BP363" s="11">
        <f t="shared" si="42"/>
        <v>0</v>
      </c>
      <c r="BQ363">
        <f t="shared" si="43"/>
        <v>127</v>
      </c>
      <c r="BR363">
        <f t="shared" si="44"/>
        <v>114</v>
      </c>
      <c r="BS363">
        <f t="shared" si="45"/>
        <v>207</v>
      </c>
      <c r="BT363">
        <f t="shared" si="46"/>
        <v>226</v>
      </c>
    </row>
    <row r="364" spans="1:72" x14ac:dyDescent="0.35">
      <c r="A364">
        <v>2015</v>
      </c>
      <c r="B364" t="s">
        <v>67</v>
      </c>
      <c r="C364" t="s">
        <v>68</v>
      </c>
      <c r="D364" s="2">
        <v>507578.5</v>
      </c>
      <c r="H364">
        <v>1682</v>
      </c>
      <c r="I364">
        <v>1116</v>
      </c>
      <c r="K364">
        <v>143</v>
      </c>
      <c r="P364">
        <v>770</v>
      </c>
      <c r="X364">
        <v>34</v>
      </c>
      <c r="AM364">
        <v>1116</v>
      </c>
      <c r="AO364">
        <v>662</v>
      </c>
      <c r="AP364">
        <v>1020</v>
      </c>
      <c r="AT364">
        <v>38</v>
      </c>
      <c r="BM364" s="11">
        <f t="shared" si="47"/>
        <v>72</v>
      </c>
      <c r="BN364" s="11">
        <f t="shared" si="40"/>
        <v>3364</v>
      </c>
      <c r="BO364" s="11">
        <f t="shared" si="41"/>
        <v>2232</v>
      </c>
      <c r="BP364" s="11">
        <f t="shared" si="42"/>
        <v>0</v>
      </c>
      <c r="BQ364">
        <f t="shared" si="43"/>
        <v>0</v>
      </c>
      <c r="BR364">
        <f t="shared" si="44"/>
        <v>143</v>
      </c>
      <c r="BS364">
        <f t="shared" si="45"/>
        <v>0</v>
      </c>
      <c r="BT364">
        <f t="shared" si="46"/>
        <v>0</v>
      </c>
    </row>
    <row r="365" spans="1:72" x14ac:dyDescent="0.35">
      <c r="A365">
        <v>2015</v>
      </c>
      <c r="B365" t="s">
        <v>69</v>
      </c>
      <c r="C365" t="s">
        <v>70</v>
      </c>
      <c r="D365" s="2">
        <v>1743.6</v>
      </c>
      <c r="BE365">
        <v>4</v>
      </c>
      <c r="BM365" s="11">
        <f t="shared" si="47"/>
        <v>4</v>
      </c>
      <c r="BN365" s="11">
        <f t="shared" si="40"/>
        <v>0</v>
      </c>
      <c r="BO365" s="11">
        <f t="shared" si="41"/>
        <v>0</v>
      </c>
      <c r="BP365" s="11">
        <f t="shared" si="42"/>
        <v>0</v>
      </c>
      <c r="BQ365">
        <f t="shared" si="43"/>
        <v>0</v>
      </c>
      <c r="BR365">
        <f t="shared" si="44"/>
        <v>0</v>
      </c>
      <c r="BS365">
        <f t="shared" si="45"/>
        <v>0</v>
      </c>
      <c r="BT365">
        <f t="shared" si="46"/>
        <v>0</v>
      </c>
    </row>
    <row r="366" spans="1:72" x14ac:dyDescent="0.35">
      <c r="A366">
        <v>2015</v>
      </c>
      <c r="B366" t="s">
        <v>71</v>
      </c>
      <c r="C366" t="s">
        <v>72</v>
      </c>
      <c r="D366" s="2">
        <v>244577.3</v>
      </c>
      <c r="H366">
        <v>5873</v>
      </c>
      <c r="AN366">
        <v>2502</v>
      </c>
      <c r="AO366">
        <v>2605</v>
      </c>
      <c r="AP366">
        <v>766</v>
      </c>
      <c r="BM366" s="11">
        <f t="shared" si="47"/>
        <v>0</v>
      </c>
      <c r="BN366" s="11">
        <f t="shared" si="40"/>
        <v>11746</v>
      </c>
      <c r="BO366" s="11">
        <f t="shared" si="41"/>
        <v>0</v>
      </c>
      <c r="BP366" s="11">
        <f t="shared" si="42"/>
        <v>0</v>
      </c>
      <c r="BQ366">
        <f t="shared" si="43"/>
        <v>0</v>
      </c>
      <c r="BR366">
        <f t="shared" si="44"/>
        <v>0</v>
      </c>
      <c r="BS366">
        <f t="shared" si="45"/>
        <v>0</v>
      </c>
      <c r="BT366">
        <f t="shared" si="46"/>
        <v>0</v>
      </c>
    </row>
    <row r="367" spans="1:72" x14ac:dyDescent="0.35">
      <c r="A367">
        <v>2015</v>
      </c>
      <c r="B367" t="s">
        <v>73</v>
      </c>
      <c r="C367" t="s">
        <v>74</v>
      </c>
      <c r="D367" s="2">
        <v>1224304.8999999999</v>
      </c>
      <c r="J367">
        <v>5985</v>
      </c>
      <c r="K367">
        <v>15784</v>
      </c>
      <c r="M367">
        <v>69276</v>
      </c>
      <c r="N367">
        <v>2913</v>
      </c>
      <c r="O367">
        <v>2</v>
      </c>
      <c r="Q367">
        <v>4785</v>
      </c>
      <c r="W367">
        <v>3518</v>
      </c>
      <c r="AB367">
        <v>9175</v>
      </c>
      <c r="AE367">
        <v>453</v>
      </c>
      <c r="AF367">
        <v>149</v>
      </c>
      <c r="AU367">
        <v>3783</v>
      </c>
      <c r="AV367">
        <v>1143</v>
      </c>
      <c r="AY367">
        <v>474</v>
      </c>
      <c r="BB367">
        <v>18477</v>
      </c>
      <c r="BD367">
        <v>9289</v>
      </c>
      <c r="BM367" s="11">
        <f t="shared" si="47"/>
        <v>1143</v>
      </c>
      <c r="BN367" s="11">
        <f t="shared" si="40"/>
        <v>0</v>
      </c>
      <c r="BO367" s="11">
        <f t="shared" si="41"/>
        <v>0</v>
      </c>
      <c r="BP367" s="11">
        <f t="shared" si="42"/>
        <v>0</v>
      </c>
      <c r="BQ367">
        <f t="shared" si="43"/>
        <v>10770</v>
      </c>
      <c r="BR367">
        <f t="shared" si="44"/>
        <v>34261</v>
      </c>
      <c r="BS367">
        <f t="shared" si="45"/>
        <v>0</v>
      </c>
      <c r="BT367">
        <f t="shared" si="46"/>
        <v>3518</v>
      </c>
    </row>
    <row r="368" spans="1:72" x14ac:dyDescent="0.35">
      <c r="A368">
        <v>2015</v>
      </c>
      <c r="B368" t="s">
        <v>75</v>
      </c>
      <c r="C368" t="s">
        <v>76</v>
      </c>
      <c r="D368" s="2">
        <v>409891.2</v>
      </c>
      <c r="BM368" s="11">
        <f t="shared" si="47"/>
        <v>0</v>
      </c>
      <c r="BN368" s="11">
        <f t="shared" si="40"/>
        <v>0</v>
      </c>
      <c r="BO368" s="11">
        <f t="shared" si="41"/>
        <v>0</v>
      </c>
      <c r="BP368" s="11">
        <f t="shared" si="42"/>
        <v>0</v>
      </c>
      <c r="BQ368">
        <f t="shared" si="43"/>
        <v>0</v>
      </c>
      <c r="BR368">
        <f t="shared" si="44"/>
        <v>0</v>
      </c>
      <c r="BS368">
        <f t="shared" si="45"/>
        <v>0</v>
      </c>
      <c r="BT368">
        <f t="shared" si="46"/>
        <v>0</v>
      </c>
    </row>
    <row r="369" spans="1:72" x14ac:dyDescent="0.35">
      <c r="A369">
        <v>2015</v>
      </c>
      <c r="B369" t="s">
        <v>77</v>
      </c>
      <c r="C369" t="s">
        <v>78</v>
      </c>
      <c r="D369" s="2">
        <v>174962.3</v>
      </c>
      <c r="H369">
        <v>3852</v>
      </c>
      <c r="AO369">
        <v>1918</v>
      </c>
      <c r="AP369">
        <v>1934</v>
      </c>
      <c r="BM369" s="11">
        <f t="shared" si="47"/>
        <v>0</v>
      </c>
      <c r="BN369" s="11">
        <f t="shared" si="40"/>
        <v>7704</v>
      </c>
      <c r="BO369" s="11">
        <f t="shared" si="41"/>
        <v>0</v>
      </c>
      <c r="BP369" s="11">
        <f t="shared" si="42"/>
        <v>0</v>
      </c>
      <c r="BQ369">
        <f t="shared" si="43"/>
        <v>0</v>
      </c>
      <c r="BR369">
        <f t="shared" si="44"/>
        <v>0</v>
      </c>
      <c r="BS369">
        <f t="shared" si="45"/>
        <v>0</v>
      </c>
      <c r="BT369">
        <f t="shared" si="46"/>
        <v>0</v>
      </c>
    </row>
    <row r="370" spans="1:72" x14ac:dyDescent="0.35">
      <c r="A370">
        <v>2015</v>
      </c>
      <c r="B370" t="s">
        <v>79</v>
      </c>
      <c r="C370" t="s">
        <v>80</v>
      </c>
      <c r="D370" s="2">
        <v>903031.3</v>
      </c>
      <c r="E370">
        <v>634</v>
      </c>
      <c r="H370">
        <v>3253</v>
      </c>
      <c r="I370">
        <v>824</v>
      </c>
      <c r="J370">
        <v>30</v>
      </c>
      <c r="K370">
        <v>50</v>
      </c>
      <c r="AI370">
        <v>634</v>
      </c>
      <c r="AK370">
        <v>7</v>
      </c>
      <c r="AL370">
        <v>817</v>
      </c>
      <c r="AN370">
        <v>3253</v>
      </c>
      <c r="BM370" s="11">
        <f t="shared" si="47"/>
        <v>1268</v>
      </c>
      <c r="BN370" s="11">
        <f t="shared" si="40"/>
        <v>6506</v>
      </c>
      <c r="BO370" s="11">
        <f t="shared" si="41"/>
        <v>1648</v>
      </c>
      <c r="BP370" s="11">
        <f t="shared" si="42"/>
        <v>0</v>
      </c>
      <c r="BQ370">
        <f t="shared" si="43"/>
        <v>30</v>
      </c>
      <c r="BR370">
        <f t="shared" si="44"/>
        <v>50</v>
      </c>
      <c r="BS370">
        <f t="shared" si="45"/>
        <v>0</v>
      </c>
      <c r="BT370">
        <f t="shared" si="46"/>
        <v>0</v>
      </c>
    </row>
    <row r="371" spans="1:72" x14ac:dyDescent="0.35">
      <c r="A371">
        <v>2015</v>
      </c>
      <c r="B371" t="s">
        <v>81</v>
      </c>
      <c r="C371" t="s">
        <v>82</v>
      </c>
      <c r="D371" s="2">
        <v>1456401</v>
      </c>
      <c r="E371">
        <v>3645</v>
      </c>
      <c r="H371">
        <v>50681</v>
      </c>
      <c r="I371">
        <v>8815</v>
      </c>
      <c r="J371">
        <v>276</v>
      </c>
      <c r="K371">
        <v>45</v>
      </c>
      <c r="P371">
        <v>179175</v>
      </c>
      <c r="W371">
        <v>1925</v>
      </c>
      <c r="AB371">
        <v>121</v>
      </c>
      <c r="AE371">
        <v>2447</v>
      </c>
      <c r="AG371">
        <v>227</v>
      </c>
      <c r="AI371">
        <v>3645</v>
      </c>
      <c r="AM371">
        <v>8815</v>
      </c>
      <c r="AO371">
        <v>33980</v>
      </c>
      <c r="AP371">
        <v>16701</v>
      </c>
      <c r="BC371">
        <v>114</v>
      </c>
      <c r="BM371" s="11">
        <f t="shared" si="47"/>
        <v>7290</v>
      </c>
      <c r="BN371" s="11">
        <f t="shared" si="40"/>
        <v>101362</v>
      </c>
      <c r="BO371" s="11">
        <f t="shared" si="41"/>
        <v>17630</v>
      </c>
      <c r="BP371" s="11">
        <f t="shared" si="42"/>
        <v>0</v>
      </c>
      <c r="BQ371">
        <f t="shared" si="43"/>
        <v>276</v>
      </c>
      <c r="BR371">
        <f t="shared" si="44"/>
        <v>45</v>
      </c>
      <c r="BS371">
        <f t="shared" si="45"/>
        <v>0</v>
      </c>
      <c r="BT371">
        <f t="shared" si="46"/>
        <v>1925</v>
      </c>
    </row>
    <row r="372" spans="1:72" x14ac:dyDescent="0.35">
      <c r="A372">
        <v>2015</v>
      </c>
      <c r="B372" t="s">
        <v>83</v>
      </c>
      <c r="C372" t="s">
        <v>84</v>
      </c>
      <c r="D372" s="2">
        <v>604047.80000000005</v>
      </c>
      <c r="BM372" s="11">
        <f t="shared" si="47"/>
        <v>0</v>
      </c>
      <c r="BN372" s="11">
        <f t="shared" si="40"/>
        <v>0</v>
      </c>
      <c r="BO372" s="11">
        <f t="shared" si="41"/>
        <v>0</v>
      </c>
      <c r="BP372" s="11">
        <f t="shared" si="42"/>
        <v>0</v>
      </c>
      <c r="BQ372">
        <f t="shared" si="43"/>
        <v>0</v>
      </c>
      <c r="BR372">
        <f t="shared" si="44"/>
        <v>0</v>
      </c>
      <c r="BS372">
        <f t="shared" si="45"/>
        <v>0</v>
      </c>
      <c r="BT372">
        <f t="shared" si="46"/>
        <v>0</v>
      </c>
    </row>
    <row r="373" spans="1:72" x14ac:dyDescent="0.35">
      <c r="A373">
        <v>2015</v>
      </c>
      <c r="B373" t="s">
        <v>85</v>
      </c>
      <c r="C373" t="s">
        <v>86</v>
      </c>
      <c r="D373" s="2">
        <v>481447.2</v>
      </c>
      <c r="E373">
        <v>2508</v>
      </c>
      <c r="F373">
        <v>1754</v>
      </c>
      <c r="G373">
        <v>83</v>
      </c>
      <c r="H373">
        <v>19099</v>
      </c>
      <c r="J373">
        <v>66</v>
      </c>
      <c r="K373">
        <v>141</v>
      </c>
      <c r="L373">
        <v>8424</v>
      </c>
      <c r="P373">
        <v>11200</v>
      </c>
      <c r="Q373">
        <v>261</v>
      </c>
      <c r="W373">
        <v>2494</v>
      </c>
      <c r="X373">
        <v>41</v>
      </c>
      <c r="Z373">
        <v>418</v>
      </c>
      <c r="AB373">
        <v>511</v>
      </c>
      <c r="AC373">
        <v>270</v>
      </c>
      <c r="AE373">
        <v>644</v>
      </c>
      <c r="AI373">
        <v>308</v>
      </c>
      <c r="AO373">
        <v>2318</v>
      </c>
      <c r="AP373">
        <v>16781</v>
      </c>
      <c r="AQ373">
        <v>3334</v>
      </c>
      <c r="AT373">
        <v>69</v>
      </c>
      <c r="AV373">
        <v>165</v>
      </c>
      <c r="BB373">
        <v>443</v>
      </c>
      <c r="BC373">
        <v>472</v>
      </c>
      <c r="BE373">
        <v>15</v>
      </c>
      <c r="BI373">
        <v>446</v>
      </c>
      <c r="BJ373">
        <v>73</v>
      </c>
      <c r="BM373" s="11">
        <f t="shared" si="47"/>
        <v>5462</v>
      </c>
      <c r="BN373" s="11">
        <f t="shared" si="40"/>
        <v>41532</v>
      </c>
      <c r="BO373" s="11">
        <f t="shared" si="41"/>
        <v>0</v>
      </c>
      <c r="BP373" s="11">
        <f t="shared" si="42"/>
        <v>0</v>
      </c>
      <c r="BQ373">
        <f t="shared" si="43"/>
        <v>327</v>
      </c>
      <c r="BR373">
        <f t="shared" si="44"/>
        <v>584</v>
      </c>
      <c r="BS373">
        <f t="shared" si="45"/>
        <v>0</v>
      </c>
      <c r="BT373">
        <f t="shared" si="46"/>
        <v>2494</v>
      </c>
    </row>
    <row r="374" spans="1:72" x14ac:dyDescent="0.35">
      <c r="A374">
        <v>2015</v>
      </c>
      <c r="B374" t="s">
        <v>87</v>
      </c>
      <c r="C374" t="s">
        <v>88</v>
      </c>
      <c r="D374" s="2">
        <v>102828.4</v>
      </c>
      <c r="E374">
        <v>212</v>
      </c>
      <c r="H374">
        <v>3962</v>
      </c>
      <c r="AI374">
        <v>212</v>
      </c>
      <c r="AO374">
        <v>2658</v>
      </c>
      <c r="AP374">
        <v>1304</v>
      </c>
      <c r="BE374">
        <v>23</v>
      </c>
      <c r="BJ374">
        <v>50</v>
      </c>
      <c r="BM374" s="11">
        <f t="shared" si="47"/>
        <v>497</v>
      </c>
      <c r="BN374" s="11">
        <f t="shared" si="40"/>
        <v>7924</v>
      </c>
      <c r="BO374" s="11">
        <f t="shared" si="41"/>
        <v>0</v>
      </c>
      <c r="BP374" s="11">
        <f t="shared" si="42"/>
        <v>0</v>
      </c>
      <c r="BQ374">
        <f t="shared" si="43"/>
        <v>0</v>
      </c>
      <c r="BR374">
        <f t="shared" si="44"/>
        <v>0</v>
      </c>
      <c r="BS374">
        <f t="shared" si="45"/>
        <v>0</v>
      </c>
      <c r="BT374">
        <f t="shared" si="46"/>
        <v>0</v>
      </c>
    </row>
    <row r="375" spans="1:72" x14ac:dyDescent="0.35">
      <c r="A375">
        <v>2015</v>
      </c>
      <c r="B375" t="s">
        <v>89</v>
      </c>
      <c r="C375" t="s">
        <v>90</v>
      </c>
      <c r="D375" s="2">
        <v>251850.6</v>
      </c>
      <c r="E375">
        <v>361</v>
      </c>
      <c r="F375">
        <v>97</v>
      </c>
      <c r="H375">
        <v>1341</v>
      </c>
      <c r="I375">
        <v>869</v>
      </c>
      <c r="J375">
        <v>18</v>
      </c>
      <c r="K375">
        <v>17</v>
      </c>
      <c r="L375">
        <v>1107</v>
      </c>
      <c r="AF375">
        <v>407</v>
      </c>
      <c r="AM375">
        <v>869</v>
      </c>
      <c r="AN375">
        <v>1341</v>
      </c>
      <c r="BD375">
        <v>231</v>
      </c>
      <c r="BI375">
        <v>264</v>
      </c>
      <c r="BM375" s="11">
        <f t="shared" si="47"/>
        <v>722</v>
      </c>
      <c r="BN375" s="11">
        <f t="shared" si="40"/>
        <v>2682</v>
      </c>
      <c r="BO375" s="11">
        <f t="shared" si="41"/>
        <v>1738</v>
      </c>
      <c r="BP375" s="11">
        <f t="shared" si="42"/>
        <v>0</v>
      </c>
      <c r="BQ375">
        <f t="shared" si="43"/>
        <v>18</v>
      </c>
      <c r="BR375">
        <f t="shared" si="44"/>
        <v>17</v>
      </c>
      <c r="BS375">
        <f t="shared" si="45"/>
        <v>0</v>
      </c>
      <c r="BT375">
        <f t="shared" si="46"/>
        <v>0</v>
      </c>
    </row>
    <row r="376" spans="1:72" x14ac:dyDescent="0.35">
      <c r="A376">
        <v>2015</v>
      </c>
      <c r="B376" t="s">
        <v>91</v>
      </c>
      <c r="C376" t="s">
        <v>92</v>
      </c>
      <c r="D376" s="2">
        <v>23131.8</v>
      </c>
      <c r="BM376" s="11">
        <f t="shared" si="47"/>
        <v>0</v>
      </c>
      <c r="BN376" s="11">
        <f t="shared" si="40"/>
        <v>0</v>
      </c>
      <c r="BO376" s="11">
        <f t="shared" si="41"/>
        <v>0</v>
      </c>
      <c r="BP376" s="11">
        <f t="shared" si="42"/>
        <v>0</v>
      </c>
      <c r="BQ376">
        <f t="shared" si="43"/>
        <v>0</v>
      </c>
      <c r="BR376">
        <f t="shared" si="44"/>
        <v>0</v>
      </c>
      <c r="BS376">
        <f t="shared" si="45"/>
        <v>0</v>
      </c>
      <c r="BT376">
        <f t="shared" si="46"/>
        <v>0</v>
      </c>
    </row>
    <row r="377" spans="1:72" x14ac:dyDescent="0.35">
      <c r="A377">
        <v>2015</v>
      </c>
      <c r="B377" t="s">
        <v>93</v>
      </c>
      <c r="C377" t="s">
        <v>94</v>
      </c>
      <c r="D377" s="2">
        <v>1988487.9</v>
      </c>
      <c r="BM377" s="11">
        <f t="shared" si="47"/>
        <v>0</v>
      </c>
      <c r="BN377" s="11">
        <f t="shared" si="40"/>
        <v>0</v>
      </c>
      <c r="BO377" s="11">
        <f t="shared" si="41"/>
        <v>0</v>
      </c>
      <c r="BP377" s="11">
        <f t="shared" si="42"/>
        <v>0</v>
      </c>
      <c r="BQ377">
        <f t="shared" si="43"/>
        <v>0</v>
      </c>
      <c r="BR377">
        <f t="shared" si="44"/>
        <v>0</v>
      </c>
      <c r="BS377">
        <f t="shared" si="45"/>
        <v>0</v>
      </c>
      <c r="BT377">
        <f t="shared" si="46"/>
        <v>0</v>
      </c>
    </row>
    <row r="378" spans="1:72" x14ac:dyDescent="0.35">
      <c r="A378">
        <v>2014</v>
      </c>
      <c r="B378" t="s">
        <v>1</v>
      </c>
      <c r="C378" t="s">
        <v>2</v>
      </c>
      <c r="D378" s="2">
        <v>722847.5</v>
      </c>
      <c r="E378">
        <v>857</v>
      </c>
      <c r="H378">
        <v>6358</v>
      </c>
      <c r="I378">
        <v>1744</v>
      </c>
      <c r="K378">
        <v>217</v>
      </c>
      <c r="AI378">
        <v>857</v>
      </c>
      <c r="AM378">
        <v>1744</v>
      </c>
      <c r="AO378">
        <v>2640</v>
      </c>
      <c r="AP378">
        <v>3718</v>
      </c>
      <c r="AT378">
        <v>10</v>
      </c>
      <c r="AV378">
        <v>58</v>
      </c>
      <c r="BJ378">
        <v>36</v>
      </c>
      <c r="BM378" s="11">
        <f t="shared" si="47"/>
        <v>1818</v>
      </c>
      <c r="BN378" s="11">
        <f t="shared" si="40"/>
        <v>12716</v>
      </c>
      <c r="BO378" s="11">
        <f t="shared" si="41"/>
        <v>3488</v>
      </c>
      <c r="BP378" s="11">
        <f t="shared" si="42"/>
        <v>0</v>
      </c>
      <c r="BQ378">
        <f t="shared" si="43"/>
        <v>0</v>
      </c>
      <c r="BR378">
        <f t="shared" si="44"/>
        <v>217</v>
      </c>
      <c r="BS378">
        <f t="shared" si="45"/>
        <v>0</v>
      </c>
      <c r="BT378">
        <f t="shared" si="46"/>
        <v>0</v>
      </c>
    </row>
    <row r="379" spans="1:72" x14ac:dyDescent="0.35">
      <c r="A379">
        <v>2014</v>
      </c>
      <c r="B379" t="s">
        <v>3</v>
      </c>
      <c r="C379" t="s">
        <v>4</v>
      </c>
      <c r="D379" s="2">
        <v>194995.3</v>
      </c>
      <c r="AT379">
        <v>8</v>
      </c>
      <c r="BJ379">
        <v>9</v>
      </c>
      <c r="BM379" s="11">
        <f t="shared" si="47"/>
        <v>17</v>
      </c>
      <c r="BN379" s="11">
        <f t="shared" si="40"/>
        <v>0</v>
      </c>
      <c r="BO379" s="11">
        <f t="shared" si="41"/>
        <v>0</v>
      </c>
      <c r="BP379" s="11">
        <f t="shared" si="42"/>
        <v>0</v>
      </c>
      <c r="BQ379">
        <f t="shared" si="43"/>
        <v>0</v>
      </c>
      <c r="BR379">
        <f t="shared" si="44"/>
        <v>0</v>
      </c>
      <c r="BS379">
        <f t="shared" si="45"/>
        <v>0</v>
      </c>
      <c r="BT379">
        <f t="shared" si="46"/>
        <v>0</v>
      </c>
    </row>
    <row r="380" spans="1:72" x14ac:dyDescent="0.35">
      <c r="A380">
        <v>2014</v>
      </c>
      <c r="B380" t="s">
        <v>5</v>
      </c>
      <c r="C380" t="s">
        <v>6</v>
      </c>
      <c r="D380" s="2">
        <v>6820.9</v>
      </c>
      <c r="BM380" s="11">
        <f t="shared" si="47"/>
        <v>0</v>
      </c>
      <c r="BN380" s="11">
        <f t="shared" si="40"/>
        <v>0</v>
      </c>
      <c r="BO380" s="11">
        <f t="shared" si="41"/>
        <v>0</v>
      </c>
      <c r="BP380" s="11">
        <f t="shared" si="42"/>
        <v>0</v>
      </c>
      <c r="BQ380">
        <f t="shared" si="43"/>
        <v>0</v>
      </c>
      <c r="BR380">
        <f t="shared" si="44"/>
        <v>0</v>
      </c>
      <c r="BS380">
        <f t="shared" si="45"/>
        <v>0</v>
      </c>
      <c r="BT380">
        <f t="shared" si="46"/>
        <v>0</v>
      </c>
    </row>
    <row r="381" spans="1:72" x14ac:dyDescent="0.35">
      <c r="A381">
        <v>2014</v>
      </c>
      <c r="B381" t="s">
        <v>7</v>
      </c>
      <c r="C381" t="s">
        <v>8</v>
      </c>
      <c r="D381" s="2">
        <v>3207143.3</v>
      </c>
      <c r="BM381" s="11">
        <f t="shared" si="47"/>
        <v>0</v>
      </c>
      <c r="BN381" s="11">
        <f t="shared" si="40"/>
        <v>0</v>
      </c>
      <c r="BO381" s="11">
        <f t="shared" si="41"/>
        <v>0</v>
      </c>
      <c r="BP381" s="11">
        <f t="shared" si="42"/>
        <v>0</v>
      </c>
      <c r="BQ381">
        <f t="shared" si="43"/>
        <v>0</v>
      </c>
      <c r="BR381">
        <f t="shared" si="44"/>
        <v>0</v>
      </c>
      <c r="BS381">
        <f t="shared" si="45"/>
        <v>0</v>
      </c>
      <c r="BT381">
        <f t="shared" si="46"/>
        <v>0</v>
      </c>
    </row>
    <row r="382" spans="1:72" x14ac:dyDescent="0.35">
      <c r="A382">
        <v>2014</v>
      </c>
      <c r="B382" t="s">
        <v>9</v>
      </c>
      <c r="C382" t="s">
        <v>10</v>
      </c>
      <c r="D382" s="2">
        <v>3292126.2</v>
      </c>
      <c r="BM382" s="11">
        <f t="shared" si="47"/>
        <v>0</v>
      </c>
      <c r="BN382" s="11">
        <f t="shared" si="40"/>
        <v>0</v>
      </c>
      <c r="BO382" s="11">
        <f t="shared" si="41"/>
        <v>0</v>
      </c>
      <c r="BP382" s="11">
        <f t="shared" si="42"/>
        <v>0</v>
      </c>
      <c r="BQ382">
        <f t="shared" si="43"/>
        <v>0</v>
      </c>
      <c r="BR382">
        <f t="shared" si="44"/>
        <v>0</v>
      </c>
      <c r="BS382">
        <f t="shared" si="45"/>
        <v>0</v>
      </c>
      <c r="BT382">
        <f t="shared" si="46"/>
        <v>0</v>
      </c>
    </row>
    <row r="383" spans="1:72" x14ac:dyDescent="0.35">
      <c r="A383">
        <v>2014</v>
      </c>
      <c r="B383" t="s">
        <v>11</v>
      </c>
      <c r="C383" t="s">
        <v>12</v>
      </c>
      <c r="D383" s="2">
        <v>6894101.5999999996</v>
      </c>
      <c r="AT383">
        <v>454</v>
      </c>
      <c r="BJ383">
        <v>1827</v>
      </c>
      <c r="BM383" s="11">
        <f t="shared" si="47"/>
        <v>2281</v>
      </c>
      <c r="BN383" s="11">
        <f t="shared" si="40"/>
        <v>0</v>
      </c>
      <c r="BO383" s="11">
        <f t="shared" si="41"/>
        <v>0</v>
      </c>
      <c r="BP383" s="11">
        <f t="shared" si="42"/>
        <v>0</v>
      </c>
      <c r="BQ383">
        <f t="shared" si="43"/>
        <v>0</v>
      </c>
      <c r="BR383">
        <f t="shared" si="44"/>
        <v>0</v>
      </c>
      <c r="BS383">
        <f t="shared" si="45"/>
        <v>0</v>
      </c>
      <c r="BT383">
        <f t="shared" si="46"/>
        <v>0</v>
      </c>
    </row>
    <row r="384" spans="1:72" x14ac:dyDescent="0.35">
      <c r="A384">
        <v>2014</v>
      </c>
      <c r="B384" t="s">
        <v>13</v>
      </c>
      <c r="C384" t="s">
        <v>14</v>
      </c>
      <c r="D384" s="2">
        <v>61619.1</v>
      </c>
      <c r="BM384" s="11">
        <f t="shared" si="47"/>
        <v>0</v>
      </c>
      <c r="BN384" s="11">
        <f t="shared" si="40"/>
        <v>0</v>
      </c>
      <c r="BO384" s="11">
        <f t="shared" si="41"/>
        <v>0</v>
      </c>
      <c r="BP384" s="11">
        <f t="shared" si="42"/>
        <v>0</v>
      </c>
      <c r="BQ384">
        <f t="shared" si="43"/>
        <v>0</v>
      </c>
      <c r="BR384">
        <f t="shared" si="44"/>
        <v>0</v>
      </c>
      <c r="BS384">
        <f t="shared" si="45"/>
        <v>0</v>
      </c>
      <c r="BT384">
        <f t="shared" si="46"/>
        <v>0</v>
      </c>
    </row>
    <row r="385" spans="1:72" x14ac:dyDescent="0.35">
      <c r="A385">
        <v>2014</v>
      </c>
      <c r="B385" t="s">
        <v>15</v>
      </c>
      <c r="C385" t="s">
        <v>16</v>
      </c>
      <c r="D385" s="2">
        <v>133349.5</v>
      </c>
      <c r="E385">
        <v>622</v>
      </c>
      <c r="H385">
        <v>3846</v>
      </c>
      <c r="AI385">
        <v>622</v>
      </c>
      <c r="AN385">
        <v>3846</v>
      </c>
      <c r="BM385" s="11">
        <f t="shared" si="47"/>
        <v>1244</v>
      </c>
      <c r="BN385" s="11">
        <f t="shared" si="40"/>
        <v>7692</v>
      </c>
      <c r="BO385" s="11">
        <f t="shared" si="41"/>
        <v>0</v>
      </c>
      <c r="BP385" s="11">
        <f t="shared" si="42"/>
        <v>0</v>
      </c>
      <c r="BQ385">
        <f t="shared" si="43"/>
        <v>0</v>
      </c>
      <c r="BR385">
        <f t="shared" si="44"/>
        <v>0</v>
      </c>
      <c r="BS385">
        <f t="shared" si="45"/>
        <v>0</v>
      </c>
      <c r="BT385">
        <f t="shared" si="46"/>
        <v>0</v>
      </c>
    </row>
    <row r="386" spans="1:72" x14ac:dyDescent="0.35">
      <c r="A386">
        <v>2014</v>
      </c>
      <c r="B386" t="s">
        <v>17</v>
      </c>
      <c r="C386" t="s">
        <v>18</v>
      </c>
      <c r="D386" s="2">
        <v>32210.7</v>
      </c>
      <c r="H386">
        <v>3847</v>
      </c>
      <c r="AO386">
        <v>845</v>
      </c>
      <c r="AP386">
        <v>3002</v>
      </c>
      <c r="BM386" s="11">
        <f t="shared" si="47"/>
        <v>0</v>
      </c>
      <c r="BN386" s="11">
        <f t="shared" si="40"/>
        <v>7694</v>
      </c>
      <c r="BO386" s="11">
        <f t="shared" si="41"/>
        <v>0</v>
      </c>
      <c r="BP386" s="11">
        <f t="shared" si="42"/>
        <v>0</v>
      </c>
      <c r="BQ386">
        <f t="shared" si="43"/>
        <v>0</v>
      </c>
      <c r="BR386">
        <f t="shared" si="44"/>
        <v>0</v>
      </c>
      <c r="BS386">
        <f t="shared" si="45"/>
        <v>0</v>
      </c>
      <c r="BT386">
        <f t="shared" si="46"/>
        <v>0</v>
      </c>
    </row>
    <row r="387" spans="1:72" x14ac:dyDescent="0.35">
      <c r="A387">
        <v>2014</v>
      </c>
      <c r="B387" t="s">
        <v>19</v>
      </c>
      <c r="C387" t="s">
        <v>20</v>
      </c>
      <c r="D387" s="2">
        <v>59339.9</v>
      </c>
      <c r="BM387" s="11">
        <f t="shared" si="47"/>
        <v>0</v>
      </c>
      <c r="BN387" s="11">
        <f t="shared" ref="BN387:BN450" si="48">H387+AP387+AO387+AN387+AQ387+AR387</f>
        <v>0</v>
      </c>
      <c r="BO387" s="11">
        <f t="shared" ref="BO387:BO450" si="49">I387+AK387+AL387+AM387</f>
        <v>0</v>
      </c>
      <c r="BP387" s="11">
        <f t="shared" ref="BP387:BP450" si="50">AZ387+Y387+AA387+BA387</f>
        <v>0</v>
      </c>
      <c r="BQ387">
        <f t="shared" ref="BQ387:BQ450" si="51">J387+Q387</f>
        <v>0</v>
      </c>
      <c r="BR387">
        <f t="shared" ref="BR387:BR450" si="52">K387+BB387</f>
        <v>0</v>
      </c>
      <c r="BS387">
        <f t="shared" ref="BS387:BS450" si="53">S387+AS387</f>
        <v>0</v>
      </c>
      <c r="BT387">
        <f t="shared" ref="BT387:BT450" si="54">V387+W387</f>
        <v>0</v>
      </c>
    </row>
    <row r="388" spans="1:72" x14ac:dyDescent="0.35">
      <c r="A388">
        <v>2014</v>
      </c>
      <c r="B388" t="s">
        <v>21</v>
      </c>
      <c r="C388" t="s">
        <v>22</v>
      </c>
      <c r="D388" s="2">
        <v>991164.8</v>
      </c>
      <c r="I388">
        <v>11139</v>
      </c>
      <c r="AK388">
        <v>1735</v>
      </c>
      <c r="AL388">
        <v>9404</v>
      </c>
      <c r="AT388">
        <v>612</v>
      </c>
      <c r="BM388" s="11">
        <f t="shared" ref="BM388:BM451" si="55">E388+F388+BI388+X388+AT388+BE388+G388+BJ388+AV388+AI388</f>
        <v>612</v>
      </c>
      <c r="BN388" s="11">
        <f t="shared" si="48"/>
        <v>0</v>
      </c>
      <c r="BO388" s="11">
        <f t="shared" si="49"/>
        <v>22278</v>
      </c>
      <c r="BP388" s="11">
        <f t="shared" si="50"/>
        <v>0</v>
      </c>
      <c r="BQ388">
        <f t="shared" si="51"/>
        <v>0</v>
      </c>
      <c r="BR388">
        <f t="shared" si="52"/>
        <v>0</v>
      </c>
      <c r="BS388">
        <f t="shared" si="53"/>
        <v>0</v>
      </c>
      <c r="BT388">
        <f t="shared" si="54"/>
        <v>0</v>
      </c>
    </row>
    <row r="389" spans="1:72" x14ac:dyDescent="0.35">
      <c r="A389">
        <v>2014</v>
      </c>
      <c r="B389" t="s">
        <v>23</v>
      </c>
      <c r="C389" t="s">
        <v>24</v>
      </c>
      <c r="D389" s="2">
        <v>1117632.7</v>
      </c>
      <c r="BM389" s="11">
        <f t="shared" si="55"/>
        <v>0</v>
      </c>
      <c r="BN389" s="11">
        <f t="shared" si="48"/>
        <v>0</v>
      </c>
      <c r="BO389" s="11">
        <f t="shared" si="49"/>
        <v>0</v>
      </c>
      <c r="BP389" s="11">
        <f t="shared" si="50"/>
        <v>0</v>
      </c>
      <c r="BQ389">
        <f t="shared" si="51"/>
        <v>0</v>
      </c>
      <c r="BR389">
        <f t="shared" si="52"/>
        <v>0</v>
      </c>
      <c r="BS389">
        <f t="shared" si="53"/>
        <v>0</v>
      </c>
      <c r="BT389">
        <f t="shared" si="54"/>
        <v>0</v>
      </c>
    </row>
    <row r="390" spans="1:72" x14ac:dyDescent="0.35">
      <c r="A390">
        <v>2014</v>
      </c>
      <c r="B390" t="s">
        <v>25</v>
      </c>
      <c r="C390" t="s">
        <v>26</v>
      </c>
      <c r="D390" s="2">
        <v>399718.40000000002</v>
      </c>
      <c r="AT390">
        <v>90</v>
      </c>
      <c r="AV390">
        <v>20</v>
      </c>
      <c r="BJ390">
        <v>81</v>
      </c>
      <c r="BM390" s="11">
        <f t="shared" si="55"/>
        <v>191</v>
      </c>
      <c r="BN390" s="11">
        <f t="shared" si="48"/>
        <v>0</v>
      </c>
      <c r="BO390" s="11">
        <f t="shared" si="49"/>
        <v>0</v>
      </c>
      <c r="BP390" s="11">
        <f t="shared" si="50"/>
        <v>0</v>
      </c>
      <c r="BQ390">
        <f t="shared" si="51"/>
        <v>0</v>
      </c>
      <c r="BR390">
        <f t="shared" si="52"/>
        <v>0</v>
      </c>
      <c r="BS390">
        <f t="shared" si="53"/>
        <v>0</v>
      </c>
      <c r="BT390">
        <f t="shared" si="54"/>
        <v>0</v>
      </c>
    </row>
    <row r="391" spans="1:72" x14ac:dyDescent="0.35">
      <c r="A391">
        <v>2014</v>
      </c>
      <c r="B391" t="s">
        <v>27</v>
      </c>
      <c r="C391" t="s">
        <v>28</v>
      </c>
      <c r="D391" s="2">
        <v>60621.9</v>
      </c>
      <c r="AT391">
        <v>18</v>
      </c>
      <c r="AV391">
        <v>18</v>
      </c>
      <c r="BJ391">
        <v>40</v>
      </c>
      <c r="BM391" s="11">
        <f t="shared" si="55"/>
        <v>76</v>
      </c>
      <c r="BN391" s="11">
        <f t="shared" si="48"/>
        <v>0</v>
      </c>
      <c r="BO391" s="11">
        <f t="shared" si="49"/>
        <v>0</v>
      </c>
      <c r="BP391" s="11">
        <f t="shared" si="50"/>
        <v>0</v>
      </c>
      <c r="BQ391">
        <f t="shared" si="51"/>
        <v>0</v>
      </c>
      <c r="BR391">
        <f t="shared" si="52"/>
        <v>0</v>
      </c>
      <c r="BS391">
        <f t="shared" si="53"/>
        <v>0</v>
      </c>
      <c r="BT391">
        <f t="shared" si="54"/>
        <v>0</v>
      </c>
    </row>
    <row r="392" spans="1:72" x14ac:dyDescent="0.35">
      <c r="A392">
        <v>2014</v>
      </c>
      <c r="B392" t="s">
        <v>29</v>
      </c>
      <c r="C392" t="s">
        <v>30</v>
      </c>
      <c r="D392" s="2">
        <v>435003</v>
      </c>
      <c r="E392">
        <v>609</v>
      </c>
      <c r="F392">
        <v>556</v>
      </c>
      <c r="H392">
        <v>6819</v>
      </c>
      <c r="I392">
        <v>24</v>
      </c>
      <c r="AL392">
        <v>24</v>
      </c>
      <c r="AO392">
        <v>4072</v>
      </c>
      <c r="AP392">
        <v>2747</v>
      </c>
      <c r="BI392">
        <v>53</v>
      </c>
      <c r="BM392" s="11">
        <f t="shared" si="55"/>
        <v>1218</v>
      </c>
      <c r="BN392" s="11">
        <f t="shared" si="48"/>
        <v>13638</v>
      </c>
      <c r="BO392" s="11">
        <f t="shared" si="49"/>
        <v>48</v>
      </c>
      <c r="BP392" s="11">
        <f t="shared" si="50"/>
        <v>0</v>
      </c>
      <c r="BQ392">
        <f t="shared" si="51"/>
        <v>0</v>
      </c>
      <c r="BR392">
        <f t="shared" si="52"/>
        <v>0</v>
      </c>
      <c r="BS392">
        <f t="shared" si="53"/>
        <v>0</v>
      </c>
      <c r="BT392">
        <f t="shared" si="54"/>
        <v>0</v>
      </c>
    </row>
    <row r="393" spans="1:72" x14ac:dyDescent="0.35">
      <c r="A393">
        <v>2014</v>
      </c>
      <c r="B393" t="s">
        <v>31</v>
      </c>
      <c r="C393" t="s">
        <v>32</v>
      </c>
      <c r="D393" s="2">
        <v>10993.6</v>
      </c>
      <c r="H393">
        <v>476</v>
      </c>
      <c r="AN393">
        <v>476</v>
      </c>
      <c r="BM393" s="11">
        <f t="shared" si="55"/>
        <v>0</v>
      </c>
      <c r="BN393" s="11">
        <f t="shared" si="48"/>
        <v>952</v>
      </c>
      <c r="BO393" s="11">
        <f t="shared" si="49"/>
        <v>0</v>
      </c>
      <c r="BP393" s="11">
        <f t="shared" si="50"/>
        <v>0</v>
      </c>
      <c r="BQ393">
        <f t="shared" si="51"/>
        <v>0</v>
      </c>
      <c r="BR393">
        <f t="shared" si="52"/>
        <v>0</v>
      </c>
      <c r="BS393">
        <f t="shared" si="53"/>
        <v>0</v>
      </c>
      <c r="BT393">
        <f t="shared" si="54"/>
        <v>0</v>
      </c>
    </row>
    <row r="394" spans="1:72" x14ac:dyDescent="0.35">
      <c r="A394">
        <v>2014</v>
      </c>
      <c r="B394" t="s">
        <v>33</v>
      </c>
      <c r="C394" t="s">
        <v>34</v>
      </c>
      <c r="D394" s="2">
        <v>818448.6</v>
      </c>
      <c r="BM394" s="11">
        <f t="shared" si="55"/>
        <v>0</v>
      </c>
      <c r="BN394" s="11">
        <f t="shared" si="48"/>
        <v>0</v>
      </c>
      <c r="BO394" s="11">
        <f t="shared" si="49"/>
        <v>0</v>
      </c>
      <c r="BP394" s="11">
        <f t="shared" si="50"/>
        <v>0</v>
      </c>
      <c r="BQ394">
        <f t="shared" si="51"/>
        <v>0</v>
      </c>
      <c r="BR394">
        <f t="shared" si="52"/>
        <v>0</v>
      </c>
      <c r="BS394">
        <f t="shared" si="53"/>
        <v>0</v>
      </c>
      <c r="BT394">
        <f t="shared" si="54"/>
        <v>0</v>
      </c>
    </row>
    <row r="395" spans="1:72" x14ac:dyDescent="0.35">
      <c r="A395">
        <v>2014</v>
      </c>
      <c r="B395" t="s">
        <v>35</v>
      </c>
      <c r="C395" t="s">
        <v>36</v>
      </c>
      <c r="D395" s="2">
        <v>610899.30000000005</v>
      </c>
      <c r="E395">
        <v>608</v>
      </c>
      <c r="H395">
        <v>3606</v>
      </c>
      <c r="K395">
        <v>78</v>
      </c>
      <c r="AI395">
        <v>608</v>
      </c>
      <c r="AN395">
        <v>3606</v>
      </c>
      <c r="BM395" s="11">
        <f t="shared" si="55"/>
        <v>1216</v>
      </c>
      <c r="BN395" s="11">
        <f t="shared" si="48"/>
        <v>7212</v>
      </c>
      <c r="BO395" s="11">
        <f t="shared" si="49"/>
        <v>0</v>
      </c>
      <c r="BP395" s="11">
        <f t="shared" si="50"/>
        <v>0</v>
      </c>
      <c r="BQ395">
        <f t="shared" si="51"/>
        <v>0</v>
      </c>
      <c r="BR395">
        <f t="shared" si="52"/>
        <v>78</v>
      </c>
      <c r="BS395">
        <f t="shared" si="53"/>
        <v>0</v>
      </c>
      <c r="BT395">
        <f t="shared" si="54"/>
        <v>0</v>
      </c>
    </row>
    <row r="396" spans="1:72" x14ac:dyDescent="0.35">
      <c r="A396">
        <v>2014</v>
      </c>
      <c r="B396" t="s">
        <v>37</v>
      </c>
      <c r="C396" t="s">
        <v>38</v>
      </c>
      <c r="D396" s="2">
        <v>819320.4</v>
      </c>
      <c r="E396">
        <v>5240</v>
      </c>
      <c r="H396">
        <v>8868</v>
      </c>
      <c r="I396">
        <v>5300</v>
      </c>
      <c r="J396">
        <v>490</v>
      </c>
      <c r="K396">
        <v>2430</v>
      </c>
      <c r="Q396">
        <v>120</v>
      </c>
      <c r="R396">
        <v>190</v>
      </c>
      <c r="S396">
        <v>50</v>
      </c>
      <c r="W396">
        <v>790</v>
      </c>
      <c r="AB396">
        <v>820</v>
      </c>
      <c r="AE396">
        <v>1600</v>
      </c>
      <c r="AF396">
        <v>2380</v>
      </c>
      <c r="AI396">
        <v>5240</v>
      </c>
      <c r="AM396">
        <v>5300</v>
      </c>
      <c r="AO396">
        <v>1623</v>
      </c>
      <c r="AP396">
        <v>7245</v>
      </c>
      <c r="AS396">
        <v>70</v>
      </c>
      <c r="AT396">
        <v>238</v>
      </c>
      <c r="AU396">
        <v>70</v>
      </c>
      <c r="BB396">
        <v>2310</v>
      </c>
      <c r="BC396">
        <v>60</v>
      </c>
      <c r="BJ396">
        <v>318</v>
      </c>
      <c r="BM396" s="11">
        <f t="shared" si="55"/>
        <v>11036</v>
      </c>
      <c r="BN396" s="11">
        <f t="shared" si="48"/>
        <v>17736</v>
      </c>
      <c r="BO396" s="11">
        <f t="shared" si="49"/>
        <v>10600</v>
      </c>
      <c r="BP396" s="11">
        <f t="shared" si="50"/>
        <v>0</v>
      </c>
      <c r="BQ396">
        <f t="shared" si="51"/>
        <v>610</v>
      </c>
      <c r="BR396">
        <f t="shared" si="52"/>
        <v>4740</v>
      </c>
      <c r="BS396">
        <f t="shared" si="53"/>
        <v>120</v>
      </c>
      <c r="BT396">
        <f t="shared" si="54"/>
        <v>790</v>
      </c>
    </row>
    <row r="397" spans="1:72" x14ac:dyDescent="0.35">
      <c r="A397">
        <v>2014</v>
      </c>
      <c r="B397" t="s">
        <v>39</v>
      </c>
      <c r="C397" t="s">
        <v>40</v>
      </c>
      <c r="D397" s="2">
        <v>45062.400000000001</v>
      </c>
      <c r="BM397" s="11">
        <f t="shared" si="55"/>
        <v>0</v>
      </c>
      <c r="BN397" s="11">
        <f t="shared" si="48"/>
        <v>0</v>
      </c>
      <c r="BO397" s="11">
        <f t="shared" si="49"/>
        <v>0</v>
      </c>
      <c r="BP397" s="11">
        <f t="shared" si="50"/>
        <v>0</v>
      </c>
      <c r="BQ397">
        <f t="shared" si="51"/>
        <v>0</v>
      </c>
      <c r="BR397">
        <f t="shared" si="52"/>
        <v>0</v>
      </c>
      <c r="BS397">
        <f t="shared" si="53"/>
        <v>0</v>
      </c>
      <c r="BT397">
        <f t="shared" si="54"/>
        <v>0</v>
      </c>
    </row>
    <row r="398" spans="1:72" x14ac:dyDescent="0.35">
      <c r="A398">
        <v>2014</v>
      </c>
      <c r="B398" t="s">
        <v>41</v>
      </c>
      <c r="C398" t="s">
        <v>42</v>
      </c>
      <c r="D398" s="2">
        <v>83366.8</v>
      </c>
      <c r="BM398" s="11">
        <f t="shared" si="55"/>
        <v>0</v>
      </c>
      <c r="BN398" s="11">
        <f t="shared" si="48"/>
        <v>0</v>
      </c>
      <c r="BO398" s="11">
        <f t="shared" si="49"/>
        <v>0</v>
      </c>
      <c r="BP398" s="11">
        <f t="shared" si="50"/>
        <v>0</v>
      </c>
      <c r="BQ398">
        <f t="shared" si="51"/>
        <v>0</v>
      </c>
      <c r="BR398">
        <f t="shared" si="52"/>
        <v>0</v>
      </c>
      <c r="BS398">
        <f t="shared" si="53"/>
        <v>0</v>
      </c>
      <c r="BT398">
        <f t="shared" si="54"/>
        <v>0</v>
      </c>
    </row>
    <row r="399" spans="1:72" x14ac:dyDescent="0.35">
      <c r="A399">
        <v>2014</v>
      </c>
      <c r="B399" t="s">
        <v>43</v>
      </c>
      <c r="C399" t="s">
        <v>44</v>
      </c>
      <c r="D399" s="2">
        <v>893372.3</v>
      </c>
      <c r="E399">
        <v>3016</v>
      </c>
      <c r="H399">
        <v>37404</v>
      </c>
      <c r="AI399">
        <v>3016</v>
      </c>
      <c r="AO399">
        <v>21992</v>
      </c>
      <c r="AP399">
        <v>15412</v>
      </c>
      <c r="BM399" s="11">
        <f t="shared" si="55"/>
        <v>6032</v>
      </c>
      <c r="BN399" s="11">
        <f t="shared" si="48"/>
        <v>74808</v>
      </c>
      <c r="BO399" s="11">
        <f t="shared" si="49"/>
        <v>0</v>
      </c>
      <c r="BP399" s="11">
        <f t="shared" si="50"/>
        <v>0</v>
      </c>
      <c r="BQ399">
        <f t="shared" si="51"/>
        <v>0</v>
      </c>
      <c r="BR399">
        <f t="shared" si="52"/>
        <v>0</v>
      </c>
      <c r="BS399">
        <f t="shared" si="53"/>
        <v>0</v>
      </c>
      <c r="BT399">
        <f t="shared" si="54"/>
        <v>0</v>
      </c>
    </row>
    <row r="400" spans="1:72" x14ac:dyDescent="0.35">
      <c r="A400">
        <v>2014</v>
      </c>
      <c r="B400" t="s">
        <v>45</v>
      </c>
      <c r="C400" t="s">
        <v>46</v>
      </c>
      <c r="D400" s="2">
        <v>413410.9</v>
      </c>
      <c r="E400">
        <v>1844</v>
      </c>
      <c r="H400">
        <v>5789</v>
      </c>
      <c r="I400">
        <v>500</v>
      </c>
      <c r="AI400">
        <v>1844</v>
      </c>
      <c r="AM400">
        <v>500</v>
      </c>
      <c r="AO400">
        <v>4284</v>
      </c>
      <c r="AP400">
        <v>1505</v>
      </c>
      <c r="BM400" s="11">
        <f t="shared" si="55"/>
        <v>3688</v>
      </c>
      <c r="BN400" s="11">
        <f t="shared" si="48"/>
        <v>11578</v>
      </c>
      <c r="BO400" s="11">
        <f t="shared" si="49"/>
        <v>1000</v>
      </c>
      <c r="BP400" s="11">
        <f t="shared" si="50"/>
        <v>0</v>
      </c>
      <c r="BQ400">
        <f t="shared" si="51"/>
        <v>0</v>
      </c>
      <c r="BR400">
        <f t="shared" si="52"/>
        <v>0</v>
      </c>
      <c r="BS400">
        <f t="shared" si="53"/>
        <v>0</v>
      </c>
      <c r="BT400">
        <f t="shared" si="54"/>
        <v>0</v>
      </c>
    </row>
    <row r="401" spans="1:72" x14ac:dyDescent="0.35">
      <c r="A401">
        <v>2014</v>
      </c>
      <c r="B401" t="s">
        <v>47</v>
      </c>
      <c r="C401" t="s">
        <v>48</v>
      </c>
      <c r="D401" s="2">
        <v>62283.7</v>
      </c>
      <c r="H401">
        <v>885</v>
      </c>
      <c r="AO401">
        <v>178</v>
      </c>
      <c r="AP401">
        <v>707</v>
      </c>
      <c r="AQ401">
        <v>129</v>
      </c>
      <c r="BM401" s="11">
        <f t="shared" si="55"/>
        <v>0</v>
      </c>
      <c r="BN401" s="11">
        <f t="shared" si="48"/>
        <v>1899</v>
      </c>
      <c r="BO401" s="11">
        <f t="shared" si="49"/>
        <v>0</v>
      </c>
      <c r="BP401" s="11">
        <f t="shared" si="50"/>
        <v>0</v>
      </c>
      <c r="BQ401">
        <f t="shared" si="51"/>
        <v>0</v>
      </c>
      <c r="BR401">
        <f t="shared" si="52"/>
        <v>0</v>
      </c>
      <c r="BS401">
        <f t="shared" si="53"/>
        <v>0</v>
      </c>
      <c r="BT401">
        <f t="shared" si="54"/>
        <v>0</v>
      </c>
    </row>
    <row r="402" spans="1:72" x14ac:dyDescent="0.35">
      <c r="A402">
        <v>2014</v>
      </c>
      <c r="B402" t="s">
        <v>49</v>
      </c>
      <c r="C402" t="s">
        <v>50</v>
      </c>
      <c r="D402" s="2">
        <v>1418695.6</v>
      </c>
      <c r="E402">
        <v>9149</v>
      </c>
      <c r="H402">
        <v>43311</v>
      </c>
      <c r="J402">
        <v>1090</v>
      </c>
      <c r="K402">
        <v>2355</v>
      </c>
      <c r="AI402">
        <v>9149</v>
      </c>
      <c r="AO402">
        <v>12144</v>
      </c>
      <c r="AP402">
        <v>31167</v>
      </c>
      <c r="AT402">
        <v>357</v>
      </c>
      <c r="BJ402">
        <v>316</v>
      </c>
      <c r="BM402" s="11">
        <f t="shared" si="55"/>
        <v>18971</v>
      </c>
      <c r="BN402" s="11">
        <f t="shared" si="48"/>
        <v>86622</v>
      </c>
      <c r="BO402" s="11">
        <f t="shared" si="49"/>
        <v>0</v>
      </c>
      <c r="BP402" s="11">
        <f t="shared" si="50"/>
        <v>0</v>
      </c>
      <c r="BQ402">
        <f t="shared" si="51"/>
        <v>1090</v>
      </c>
      <c r="BR402">
        <f t="shared" si="52"/>
        <v>2355</v>
      </c>
      <c r="BS402">
        <f t="shared" si="53"/>
        <v>0</v>
      </c>
      <c r="BT402">
        <f t="shared" si="54"/>
        <v>0</v>
      </c>
    </row>
    <row r="403" spans="1:72" x14ac:dyDescent="0.35">
      <c r="A403">
        <v>2014</v>
      </c>
      <c r="B403" t="s">
        <v>51</v>
      </c>
      <c r="C403" t="s">
        <v>52</v>
      </c>
      <c r="D403" s="2">
        <v>155883.9</v>
      </c>
      <c r="BM403" s="11">
        <f t="shared" si="55"/>
        <v>0</v>
      </c>
      <c r="BN403" s="11">
        <f t="shared" si="48"/>
        <v>0</v>
      </c>
      <c r="BO403" s="11">
        <f t="shared" si="49"/>
        <v>0</v>
      </c>
      <c r="BP403" s="11">
        <f t="shared" si="50"/>
        <v>0</v>
      </c>
      <c r="BQ403">
        <f t="shared" si="51"/>
        <v>0</v>
      </c>
      <c r="BR403">
        <f t="shared" si="52"/>
        <v>0</v>
      </c>
      <c r="BS403">
        <f t="shared" si="53"/>
        <v>0</v>
      </c>
      <c r="BT403">
        <f t="shared" si="54"/>
        <v>0</v>
      </c>
    </row>
    <row r="404" spans="1:72" x14ac:dyDescent="0.35">
      <c r="A404">
        <v>2014</v>
      </c>
      <c r="B404" t="s">
        <v>53</v>
      </c>
      <c r="C404" t="s">
        <v>54</v>
      </c>
      <c r="D404" s="2">
        <v>793162.3</v>
      </c>
      <c r="E404">
        <v>4275</v>
      </c>
      <c r="L404">
        <v>2510</v>
      </c>
      <c r="AI404">
        <v>4275</v>
      </c>
      <c r="BM404" s="11">
        <f t="shared" si="55"/>
        <v>8550</v>
      </c>
      <c r="BN404" s="11">
        <f t="shared" si="48"/>
        <v>0</v>
      </c>
      <c r="BO404" s="11">
        <f t="shared" si="49"/>
        <v>0</v>
      </c>
      <c r="BP404" s="11">
        <f t="shared" si="50"/>
        <v>0</v>
      </c>
      <c r="BQ404">
        <f t="shared" si="51"/>
        <v>0</v>
      </c>
      <c r="BR404">
        <f t="shared" si="52"/>
        <v>0</v>
      </c>
      <c r="BS404">
        <f t="shared" si="53"/>
        <v>0</v>
      </c>
      <c r="BT404">
        <f t="shared" si="54"/>
        <v>0</v>
      </c>
    </row>
    <row r="405" spans="1:72" x14ac:dyDescent="0.35">
      <c r="A405">
        <v>2014</v>
      </c>
      <c r="B405" t="s">
        <v>55</v>
      </c>
      <c r="C405" t="s">
        <v>56</v>
      </c>
      <c r="D405" s="2">
        <v>601396.5</v>
      </c>
      <c r="AT405">
        <v>7</v>
      </c>
      <c r="BJ405">
        <v>61</v>
      </c>
      <c r="BM405" s="11">
        <f t="shared" si="55"/>
        <v>68</v>
      </c>
      <c r="BN405" s="11">
        <f t="shared" si="48"/>
        <v>0</v>
      </c>
      <c r="BO405" s="11">
        <f t="shared" si="49"/>
        <v>0</v>
      </c>
      <c r="BP405" s="11">
        <f t="shared" si="50"/>
        <v>0</v>
      </c>
      <c r="BQ405">
        <f t="shared" si="51"/>
        <v>0</v>
      </c>
      <c r="BR405">
        <f t="shared" si="52"/>
        <v>0</v>
      </c>
      <c r="BS405">
        <f t="shared" si="53"/>
        <v>0</v>
      </c>
      <c r="BT405">
        <f t="shared" si="54"/>
        <v>0</v>
      </c>
    </row>
    <row r="406" spans="1:72" x14ac:dyDescent="0.35">
      <c r="A406">
        <v>2014</v>
      </c>
      <c r="B406" t="s">
        <v>57</v>
      </c>
      <c r="C406" t="s">
        <v>58</v>
      </c>
      <c r="D406" s="2">
        <v>754923.7</v>
      </c>
      <c r="E406">
        <v>1750</v>
      </c>
      <c r="AI406">
        <v>1750</v>
      </c>
      <c r="BE406">
        <v>9</v>
      </c>
      <c r="BJ406">
        <v>67</v>
      </c>
      <c r="BM406" s="11">
        <f t="shared" si="55"/>
        <v>3576</v>
      </c>
      <c r="BN406" s="11">
        <f t="shared" si="48"/>
        <v>0</v>
      </c>
      <c r="BO406" s="11">
        <f t="shared" si="49"/>
        <v>0</v>
      </c>
      <c r="BP406" s="11">
        <f t="shared" si="50"/>
        <v>0</v>
      </c>
      <c r="BQ406">
        <f t="shared" si="51"/>
        <v>0</v>
      </c>
      <c r="BR406">
        <f t="shared" si="52"/>
        <v>0</v>
      </c>
      <c r="BS406">
        <f t="shared" si="53"/>
        <v>0</v>
      </c>
      <c r="BT406">
        <f t="shared" si="54"/>
        <v>0</v>
      </c>
    </row>
    <row r="407" spans="1:72" x14ac:dyDescent="0.35">
      <c r="A407">
        <v>2014</v>
      </c>
      <c r="B407" t="s">
        <v>59</v>
      </c>
      <c r="C407" t="s">
        <v>60</v>
      </c>
      <c r="D407" s="2">
        <v>15026.4</v>
      </c>
      <c r="E407">
        <v>2429</v>
      </c>
      <c r="H407">
        <v>4125</v>
      </c>
      <c r="J407">
        <v>366</v>
      </c>
      <c r="K407">
        <v>494</v>
      </c>
      <c r="AI407">
        <v>2429</v>
      </c>
      <c r="AN407">
        <v>4125</v>
      </c>
      <c r="BM407" s="11">
        <f t="shared" si="55"/>
        <v>4858</v>
      </c>
      <c r="BN407" s="11">
        <f t="shared" si="48"/>
        <v>8250</v>
      </c>
      <c r="BO407" s="11">
        <f t="shared" si="49"/>
        <v>0</v>
      </c>
      <c r="BP407" s="11">
        <f t="shared" si="50"/>
        <v>0</v>
      </c>
      <c r="BQ407">
        <f t="shared" si="51"/>
        <v>366</v>
      </c>
      <c r="BR407">
        <f t="shared" si="52"/>
        <v>494</v>
      </c>
      <c r="BS407">
        <f t="shared" si="53"/>
        <v>0</v>
      </c>
      <c r="BT407">
        <f t="shared" si="54"/>
        <v>0</v>
      </c>
    </row>
    <row r="408" spans="1:72" x14ac:dyDescent="0.35">
      <c r="A408">
        <v>2014</v>
      </c>
      <c r="B408" t="s">
        <v>61</v>
      </c>
      <c r="C408" t="s">
        <v>62</v>
      </c>
      <c r="D408" s="2">
        <v>999254.5</v>
      </c>
      <c r="H408">
        <v>6348</v>
      </c>
      <c r="I408">
        <v>4649</v>
      </c>
      <c r="AM408">
        <v>4649</v>
      </c>
      <c r="AN408">
        <v>6348</v>
      </c>
      <c r="BM408" s="11">
        <f t="shared" si="55"/>
        <v>0</v>
      </c>
      <c r="BN408" s="11">
        <f t="shared" si="48"/>
        <v>12696</v>
      </c>
      <c r="BO408" s="11">
        <f t="shared" si="49"/>
        <v>9298</v>
      </c>
      <c r="BP408" s="11">
        <f t="shared" si="50"/>
        <v>0</v>
      </c>
      <c r="BQ408">
        <f t="shared" si="51"/>
        <v>0</v>
      </c>
      <c r="BR408">
        <f t="shared" si="52"/>
        <v>0</v>
      </c>
      <c r="BS408">
        <f t="shared" si="53"/>
        <v>0</v>
      </c>
      <c r="BT408">
        <f t="shared" si="54"/>
        <v>0</v>
      </c>
    </row>
    <row r="409" spans="1:72" x14ac:dyDescent="0.35">
      <c r="A409">
        <v>2014</v>
      </c>
      <c r="B409" t="s">
        <v>63</v>
      </c>
      <c r="C409" t="s">
        <v>64</v>
      </c>
      <c r="D409" s="2">
        <v>68792.399999999994</v>
      </c>
      <c r="H409">
        <v>4212</v>
      </c>
      <c r="J409">
        <v>68</v>
      </c>
      <c r="AO409">
        <v>2118</v>
      </c>
      <c r="AP409">
        <v>2094</v>
      </c>
      <c r="AV409">
        <v>24</v>
      </c>
      <c r="BM409" s="11">
        <f t="shared" si="55"/>
        <v>24</v>
      </c>
      <c r="BN409" s="11">
        <f t="shared" si="48"/>
        <v>8424</v>
      </c>
      <c r="BO409" s="11">
        <f t="shared" si="49"/>
        <v>0</v>
      </c>
      <c r="BP409" s="11">
        <f t="shared" si="50"/>
        <v>0</v>
      </c>
      <c r="BQ409">
        <f t="shared" si="51"/>
        <v>68</v>
      </c>
      <c r="BR409">
        <f t="shared" si="52"/>
        <v>0</v>
      </c>
      <c r="BS409">
        <f t="shared" si="53"/>
        <v>0</v>
      </c>
      <c r="BT409">
        <f t="shared" si="54"/>
        <v>0</v>
      </c>
    </row>
    <row r="410" spans="1:72" x14ac:dyDescent="0.35">
      <c r="A410">
        <v>2014</v>
      </c>
      <c r="B410" t="s">
        <v>65</v>
      </c>
      <c r="C410" t="s">
        <v>66</v>
      </c>
      <c r="D410" s="2">
        <v>362267.2</v>
      </c>
      <c r="E410">
        <v>1008</v>
      </c>
      <c r="F410">
        <v>834</v>
      </c>
      <c r="H410">
        <v>9625</v>
      </c>
      <c r="I410">
        <v>692</v>
      </c>
      <c r="AM410">
        <v>692</v>
      </c>
      <c r="AN410">
        <v>9625</v>
      </c>
      <c r="AT410">
        <v>25</v>
      </c>
      <c r="AV410">
        <v>15</v>
      </c>
      <c r="BI410">
        <v>174</v>
      </c>
      <c r="BJ410">
        <v>42</v>
      </c>
      <c r="BM410" s="11">
        <f t="shared" si="55"/>
        <v>2098</v>
      </c>
      <c r="BN410" s="11">
        <f t="shared" si="48"/>
        <v>19250</v>
      </c>
      <c r="BO410" s="11">
        <f t="shared" si="49"/>
        <v>1384</v>
      </c>
      <c r="BP410" s="11">
        <f t="shared" si="50"/>
        <v>0</v>
      </c>
      <c r="BQ410">
        <f t="shared" si="51"/>
        <v>0</v>
      </c>
      <c r="BR410">
        <f t="shared" si="52"/>
        <v>0</v>
      </c>
      <c r="BS410">
        <f t="shared" si="53"/>
        <v>0</v>
      </c>
      <c r="BT410">
        <f t="shared" si="54"/>
        <v>0</v>
      </c>
    </row>
    <row r="411" spans="1:72" x14ac:dyDescent="0.35">
      <c r="A411">
        <v>2014</v>
      </c>
      <c r="B411" t="s">
        <v>67</v>
      </c>
      <c r="C411" t="s">
        <v>68</v>
      </c>
      <c r="D411" s="2">
        <v>503266.5</v>
      </c>
      <c r="BM411" s="11">
        <f t="shared" si="55"/>
        <v>0</v>
      </c>
      <c r="BN411" s="11">
        <f t="shared" si="48"/>
        <v>0</v>
      </c>
      <c r="BO411" s="11">
        <f t="shared" si="49"/>
        <v>0</v>
      </c>
      <c r="BP411" s="11">
        <f t="shared" si="50"/>
        <v>0</v>
      </c>
      <c r="BQ411">
        <f t="shared" si="51"/>
        <v>0</v>
      </c>
      <c r="BR411">
        <f t="shared" si="52"/>
        <v>0</v>
      </c>
      <c r="BS411">
        <f t="shared" si="53"/>
        <v>0</v>
      </c>
      <c r="BT411">
        <f t="shared" si="54"/>
        <v>0</v>
      </c>
    </row>
    <row r="412" spans="1:72" x14ac:dyDescent="0.35">
      <c r="A412">
        <v>2014</v>
      </c>
      <c r="B412" t="s">
        <v>69</v>
      </c>
      <c r="C412" t="s">
        <v>70</v>
      </c>
      <c r="D412" s="2">
        <v>1726.4</v>
      </c>
      <c r="BM412" s="11">
        <f t="shared" si="55"/>
        <v>0</v>
      </c>
      <c r="BN412" s="11">
        <f t="shared" si="48"/>
        <v>0</v>
      </c>
      <c r="BO412" s="11">
        <f t="shared" si="49"/>
        <v>0</v>
      </c>
      <c r="BP412" s="11">
        <f t="shared" si="50"/>
        <v>0</v>
      </c>
      <c r="BQ412">
        <f t="shared" si="51"/>
        <v>0</v>
      </c>
      <c r="BR412">
        <f t="shared" si="52"/>
        <v>0</v>
      </c>
      <c r="BS412">
        <f t="shared" si="53"/>
        <v>0</v>
      </c>
      <c r="BT412">
        <f t="shared" si="54"/>
        <v>0</v>
      </c>
    </row>
    <row r="413" spans="1:72" x14ac:dyDescent="0.35">
      <c r="A413">
        <v>2014</v>
      </c>
      <c r="B413" t="s">
        <v>71</v>
      </c>
      <c r="C413" t="s">
        <v>72</v>
      </c>
      <c r="D413" s="2">
        <v>244533.1</v>
      </c>
      <c r="H413">
        <v>6108</v>
      </c>
      <c r="I413">
        <v>585</v>
      </c>
      <c r="AM413">
        <v>585</v>
      </c>
      <c r="AN413">
        <v>2767</v>
      </c>
      <c r="AO413">
        <v>2707</v>
      </c>
      <c r="AP413">
        <v>634</v>
      </c>
      <c r="AV413">
        <v>1</v>
      </c>
      <c r="BG413">
        <v>1511</v>
      </c>
      <c r="BK413">
        <v>3046</v>
      </c>
      <c r="BM413" s="11">
        <f t="shared" si="55"/>
        <v>1</v>
      </c>
      <c r="BN413" s="11">
        <f t="shared" si="48"/>
        <v>12216</v>
      </c>
      <c r="BO413" s="11">
        <f t="shared" si="49"/>
        <v>1170</v>
      </c>
      <c r="BP413" s="11">
        <f t="shared" si="50"/>
        <v>0</v>
      </c>
      <c r="BQ413">
        <f t="shared" si="51"/>
        <v>0</v>
      </c>
      <c r="BR413">
        <f t="shared" si="52"/>
        <v>0</v>
      </c>
      <c r="BS413">
        <f t="shared" si="53"/>
        <v>0</v>
      </c>
      <c r="BT413">
        <f t="shared" si="54"/>
        <v>0</v>
      </c>
    </row>
    <row r="414" spans="1:72" x14ac:dyDescent="0.35">
      <c r="A414">
        <v>2014</v>
      </c>
      <c r="B414" t="s">
        <v>73</v>
      </c>
      <c r="C414" t="s">
        <v>74</v>
      </c>
      <c r="D414" s="2">
        <v>1224226.8999999999</v>
      </c>
      <c r="J414">
        <v>5817</v>
      </c>
      <c r="K414">
        <v>14994</v>
      </c>
      <c r="M414">
        <v>67335</v>
      </c>
      <c r="N414">
        <v>2746</v>
      </c>
      <c r="O414">
        <v>2</v>
      </c>
      <c r="Q414">
        <v>4687</v>
      </c>
      <c r="W414">
        <v>3435</v>
      </c>
      <c r="AB414">
        <v>8924</v>
      </c>
      <c r="AE414">
        <v>326</v>
      </c>
      <c r="AF414">
        <v>145</v>
      </c>
      <c r="AT414">
        <v>1631</v>
      </c>
      <c r="AU414">
        <v>3705</v>
      </c>
      <c r="AY414">
        <v>362</v>
      </c>
      <c r="BB414">
        <v>17491</v>
      </c>
      <c r="BD414">
        <v>8781</v>
      </c>
      <c r="BJ414">
        <v>3453</v>
      </c>
      <c r="BM414" s="11">
        <f t="shared" si="55"/>
        <v>5084</v>
      </c>
      <c r="BN414" s="11">
        <f t="shared" si="48"/>
        <v>0</v>
      </c>
      <c r="BO414" s="11">
        <f t="shared" si="49"/>
        <v>0</v>
      </c>
      <c r="BP414" s="11">
        <f t="shared" si="50"/>
        <v>0</v>
      </c>
      <c r="BQ414">
        <f t="shared" si="51"/>
        <v>10504</v>
      </c>
      <c r="BR414">
        <f t="shared" si="52"/>
        <v>32485</v>
      </c>
      <c r="BS414">
        <f t="shared" si="53"/>
        <v>0</v>
      </c>
      <c r="BT414">
        <f t="shared" si="54"/>
        <v>3435</v>
      </c>
    </row>
    <row r="415" spans="1:72" x14ac:dyDescent="0.35">
      <c r="A415">
        <v>2014</v>
      </c>
      <c r="B415" t="s">
        <v>75</v>
      </c>
      <c r="C415" t="s">
        <v>76</v>
      </c>
      <c r="D415" s="2">
        <v>423842.2</v>
      </c>
      <c r="BM415" s="11">
        <f t="shared" si="55"/>
        <v>0</v>
      </c>
      <c r="BN415" s="11">
        <f t="shared" si="48"/>
        <v>0</v>
      </c>
      <c r="BO415" s="11">
        <f t="shared" si="49"/>
        <v>0</v>
      </c>
      <c r="BP415" s="11">
        <f t="shared" si="50"/>
        <v>0</v>
      </c>
      <c r="BQ415">
        <f t="shared" si="51"/>
        <v>0</v>
      </c>
      <c r="BR415">
        <f t="shared" si="52"/>
        <v>0</v>
      </c>
      <c r="BS415">
        <f t="shared" si="53"/>
        <v>0</v>
      </c>
      <c r="BT415">
        <f t="shared" si="54"/>
        <v>0</v>
      </c>
    </row>
    <row r="416" spans="1:72" x14ac:dyDescent="0.35">
      <c r="A416">
        <v>2014</v>
      </c>
      <c r="B416" t="s">
        <v>77</v>
      </c>
      <c r="C416" t="s">
        <v>78</v>
      </c>
      <c r="D416" s="2">
        <v>175074.6</v>
      </c>
      <c r="H416">
        <v>3458</v>
      </c>
      <c r="AN416">
        <v>3458</v>
      </c>
      <c r="BM416" s="11">
        <f t="shared" si="55"/>
        <v>0</v>
      </c>
      <c r="BN416" s="11">
        <f t="shared" si="48"/>
        <v>6916</v>
      </c>
      <c r="BO416" s="11">
        <f t="shared" si="49"/>
        <v>0</v>
      </c>
      <c r="BP416" s="11">
        <f t="shared" si="50"/>
        <v>0</v>
      </c>
      <c r="BQ416">
        <f t="shared" si="51"/>
        <v>0</v>
      </c>
      <c r="BR416">
        <f t="shared" si="52"/>
        <v>0</v>
      </c>
      <c r="BS416">
        <f t="shared" si="53"/>
        <v>0</v>
      </c>
      <c r="BT416">
        <f t="shared" si="54"/>
        <v>0</v>
      </c>
    </row>
    <row r="417" spans="1:72" x14ac:dyDescent="0.35">
      <c r="A417">
        <v>2014</v>
      </c>
      <c r="B417" t="s">
        <v>79</v>
      </c>
      <c r="C417" t="s">
        <v>80</v>
      </c>
      <c r="D417" s="2">
        <v>873411.1</v>
      </c>
      <c r="E417">
        <v>523</v>
      </c>
      <c r="H417">
        <v>4940</v>
      </c>
      <c r="I417">
        <v>959</v>
      </c>
      <c r="J417">
        <v>21</v>
      </c>
      <c r="AI417">
        <v>523</v>
      </c>
      <c r="AK417">
        <v>12</v>
      </c>
      <c r="AL417">
        <v>947</v>
      </c>
      <c r="AN417">
        <v>4940</v>
      </c>
      <c r="AT417">
        <v>42</v>
      </c>
      <c r="BJ417">
        <v>31</v>
      </c>
      <c r="BM417" s="11">
        <f t="shared" si="55"/>
        <v>1119</v>
      </c>
      <c r="BN417" s="11">
        <f t="shared" si="48"/>
        <v>9880</v>
      </c>
      <c r="BO417" s="11">
        <f t="shared" si="49"/>
        <v>1918</v>
      </c>
      <c r="BP417" s="11">
        <f t="shared" si="50"/>
        <v>0</v>
      </c>
      <c r="BQ417">
        <f t="shared" si="51"/>
        <v>21</v>
      </c>
      <c r="BR417">
        <f t="shared" si="52"/>
        <v>0</v>
      </c>
      <c r="BS417">
        <f t="shared" si="53"/>
        <v>0</v>
      </c>
      <c r="BT417">
        <f t="shared" si="54"/>
        <v>0</v>
      </c>
    </row>
    <row r="418" spans="1:72" x14ac:dyDescent="0.35">
      <c r="A418">
        <v>2014</v>
      </c>
      <c r="B418" t="s">
        <v>81</v>
      </c>
      <c r="C418" t="s">
        <v>82</v>
      </c>
      <c r="D418" s="2">
        <v>1437486</v>
      </c>
      <c r="H418">
        <v>45388</v>
      </c>
      <c r="AO418">
        <v>29982</v>
      </c>
      <c r="AP418">
        <v>15406</v>
      </c>
      <c r="BM418" s="11">
        <f t="shared" si="55"/>
        <v>0</v>
      </c>
      <c r="BN418" s="11">
        <f t="shared" si="48"/>
        <v>90776</v>
      </c>
      <c r="BO418" s="11">
        <f t="shared" si="49"/>
        <v>0</v>
      </c>
      <c r="BP418" s="11">
        <f t="shared" si="50"/>
        <v>0</v>
      </c>
      <c r="BQ418">
        <f t="shared" si="51"/>
        <v>0</v>
      </c>
      <c r="BR418">
        <f t="shared" si="52"/>
        <v>0</v>
      </c>
      <c r="BS418">
        <f t="shared" si="53"/>
        <v>0</v>
      </c>
      <c r="BT418">
        <f t="shared" si="54"/>
        <v>0</v>
      </c>
    </row>
    <row r="419" spans="1:72" x14ac:dyDescent="0.35">
      <c r="A419">
        <v>2014</v>
      </c>
      <c r="B419" t="s">
        <v>83</v>
      </c>
      <c r="C419" t="s">
        <v>84</v>
      </c>
      <c r="D419" s="2">
        <v>597001.9</v>
      </c>
      <c r="BM419" s="11">
        <f t="shared" si="55"/>
        <v>0</v>
      </c>
      <c r="BN419" s="11">
        <f t="shared" si="48"/>
        <v>0</v>
      </c>
      <c r="BO419" s="11">
        <f t="shared" si="49"/>
        <v>0</v>
      </c>
      <c r="BP419" s="11">
        <f t="shared" si="50"/>
        <v>0</v>
      </c>
      <c r="BQ419">
        <f t="shared" si="51"/>
        <v>0</v>
      </c>
      <c r="BR419">
        <f t="shared" si="52"/>
        <v>0</v>
      </c>
      <c r="BS419">
        <f t="shared" si="53"/>
        <v>0</v>
      </c>
      <c r="BT419">
        <f t="shared" si="54"/>
        <v>0</v>
      </c>
    </row>
    <row r="420" spans="1:72" x14ac:dyDescent="0.35">
      <c r="A420">
        <v>2014</v>
      </c>
      <c r="B420" t="s">
        <v>85</v>
      </c>
      <c r="C420" t="s">
        <v>86</v>
      </c>
      <c r="D420" s="2">
        <v>485908.2</v>
      </c>
      <c r="E420">
        <v>1685</v>
      </c>
      <c r="F420">
        <v>1458</v>
      </c>
      <c r="H420">
        <v>20885</v>
      </c>
      <c r="J420">
        <v>107</v>
      </c>
      <c r="K420">
        <v>193</v>
      </c>
      <c r="L420">
        <v>5218</v>
      </c>
      <c r="Q420">
        <v>171</v>
      </c>
      <c r="U420">
        <v>111</v>
      </c>
      <c r="V420">
        <v>2052</v>
      </c>
      <c r="W420">
        <v>2052</v>
      </c>
      <c r="Z420">
        <v>190</v>
      </c>
      <c r="AB420">
        <v>312</v>
      </c>
      <c r="AC420">
        <v>229</v>
      </c>
      <c r="AE420">
        <v>519</v>
      </c>
      <c r="AG420">
        <v>26</v>
      </c>
      <c r="AO420">
        <v>2570</v>
      </c>
      <c r="AP420">
        <v>18315</v>
      </c>
      <c r="AQ420">
        <v>3000</v>
      </c>
      <c r="AR420">
        <v>40</v>
      </c>
      <c r="AS420">
        <v>819</v>
      </c>
      <c r="AT420">
        <v>63</v>
      </c>
      <c r="AV420">
        <v>48</v>
      </c>
      <c r="AY420">
        <v>145</v>
      </c>
      <c r="BB420">
        <v>511</v>
      </c>
      <c r="BC420">
        <v>413</v>
      </c>
      <c r="BI420">
        <v>227</v>
      </c>
      <c r="BJ420">
        <v>80</v>
      </c>
      <c r="BM420" s="11">
        <f t="shared" si="55"/>
        <v>3561</v>
      </c>
      <c r="BN420" s="11">
        <f t="shared" si="48"/>
        <v>44810</v>
      </c>
      <c r="BO420" s="11">
        <f t="shared" si="49"/>
        <v>0</v>
      </c>
      <c r="BP420" s="11">
        <f t="shared" si="50"/>
        <v>0</v>
      </c>
      <c r="BQ420">
        <f t="shared" si="51"/>
        <v>278</v>
      </c>
      <c r="BR420">
        <f t="shared" si="52"/>
        <v>704</v>
      </c>
      <c r="BS420">
        <f t="shared" si="53"/>
        <v>819</v>
      </c>
      <c r="BT420">
        <f t="shared" si="54"/>
        <v>4104</v>
      </c>
    </row>
    <row r="421" spans="1:72" x14ac:dyDescent="0.35">
      <c r="A421">
        <v>2014</v>
      </c>
      <c r="B421" t="s">
        <v>87</v>
      </c>
      <c r="C421" t="s">
        <v>88</v>
      </c>
      <c r="D421" s="2">
        <v>104202.4</v>
      </c>
      <c r="E421">
        <v>204</v>
      </c>
      <c r="H421">
        <v>4132</v>
      </c>
      <c r="AI421">
        <v>204</v>
      </c>
      <c r="AO421">
        <v>2735</v>
      </c>
      <c r="AP421">
        <v>1397</v>
      </c>
      <c r="BE421">
        <v>23</v>
      </c>
      <c r="BJ421">
        <v>53</v>
      </c>
      <c r="BM421" s="11">
        <f t="shared" si="55"/>
        <v>484</v>
      </c>
      <c r="BN421" s="11">
        <f t="shared" si="48"/>
        <v>8264</v>
      </c>
      <c r="BO421" s="11">
        <f t="shared" si="49"/>
        <v>0</v>
      </c>
      <c r="BP421" s="11">
        <f t="shared" si="50"/>
        <v>0</v>
      </c>
      <c r="BQ421">
        <f t="shared" si="51"/>
        <v>0</v>
      </c>
      <c r="BR421">
        <f t="shared" si="52"/>
        <v>0</v>
      </c>
      <c r="BS421">
        <f t="shared" si="53"/>
        <v>0</v>
      </c>
      <c r="BT421">
        <f t="shared" si="54"/>
        <v>0</v>
      </c>
    </row>
    <row r="422" spans="1:72" x14ac:dyDescent="0.35">
      <c r="A422">
        <v>2014</v>
      </c>
      <c r="B422" t="s">
        <v>89</v>
      </c>
      <c r="C422" t="s">
        <v>90</v>
      </c>
      <c r="D422" s="2">
        <v>248497.9</v>
      </c>
      <c r="BM422" s="11">
        <f t="shared" si="55"/>
        <v>0</v>
      </c>
      <c r="BN422" s="11">
        <f t="shared" si="48"/>
        <v>0</v>
      </c>
      <c r="BO422" s="11">
        <f t="shared" si="49"/>
        <v>0</v>
      </c>
      <c r="BP422" s="11">
        <f t="shared" si="50"/>
        <v>0</v>
      </c>
      <c r="BQ422">
        <f t="shared" si="51"/>
        <v>0</v>
      </c>
      <c r="BR422">
        <f t="shared" si="52"/>
        <v>0</v>
      </c>
      <c r="BS422">
        <f t="shared" si="53"/>
        <v>0</v>
      </c>
      <c r="BT422">
        <f t="shared" si="54"/>
        <v>0</v>
      </c>
    </row>
    <row r="423" spans="1:72" x14ac:dyDescent="0.35">
      <c r="A423">
        <v>2014</v>
      </c>
      <c r="B423" t="s">
        <v>91</v>
      </c>
      <c r="C423" t="s">
        <v>92</v>
      </c>
      <c r="D423" s="2">
        <v>22908.400000000001</v>
      </c>
      <c r="BM423" s="11">
        <f t="shared" si="55"/>
        <v>0</v>
      </c>
      <c r="BN423" s="11">
        <f t="shared" si="48"/>
        <v>0</v>
      </c>
      <c r="BO423" s="11">
        <f t="shared" si="49"/>
        <v>0</v>
      </c>
      <c r="BP423" s="11">
        <f t="shared" si="50"/>
        <v>0</v>
      </c>
      <c r="BQ423">
        <f t="shared" si="51"/>
        <v>0</v>
      </c>
      <c r="BR423">
        <f t="shared" si="52"/>
        <v>0</v>
      </c>
      <c r="BS423">
        <f t="shared" si="53"/>
        <v>0</v>
      </c>
      <c r="BT423">
        <f t="shared" si="54"/>
        <v>0</v>
      </c>
    </row>
    <row r="424" spans="1:72" x14ac:dyDescent="0.35">
      <c r="A424">
        <v>2014</v>
      </c>
      <c r="B424" t="s">
        <v>93</v>
      </c>
      <c r="C424" t="s">
        <v>94</v>
      </c>
      <c r="D424" s="2">
        <v>1924245.2</v>
      </c>
      <c r="E424">
        <v>3015</v>
      </c>
      <c r="H424">
        <v>21552</v>
      </c>
      <c r="J424">
        <v>104</v>
      </c>
      <c r="K424">
        <v>707</v>
      </c>
      <c r="Q424">
        <v>933</v>
      </c>
      <c r="V424">
        <v>1119</v>
      </c>
      <c r="W424">
        <v>1205</v>
      </c>
      <c r="AE424">
        <v>2508</v>
      </c>
      <c r="AF424">
        <v>93</v>
      </c>
      <c r="AI424">
        <v>2086</v>
      </c>
      <c r="AN424">
        <v>21552</v>
      </c>
      <c r="AV424">
        <v>6</v>
      </c>
      <c r="AY424">
        <v>10536</v>
      </c>
      <c r="BB424">
        <v>1132</v>
      </c>
      <c r="BI424">
        <v>929</v>
      </c>
      <c r="BM424" s="11">
        <f t="shared" si="55"/>
        <v>6036</v>
      </c>
      <c r="BN424" s="11">
        <f t="shared" si="48"/>
        <v>43104</v>
      </c>
      <c r="BO424" s="11">
        <f t="shared" si="49"/>
        <v>0</v>
      </c>
      <c r="BP424" s="11">
        <f t="shared" si="50"/>
        <v>0</v>
      </c>
      <c r="BQ424">
        <f t="shared" si="51"/>
        <v>1037</v>
      </c>
      <c r="BR424">
        <f t="shared" si="52"/>
        <v>1839</v>
      </c>
      <c r="BS424">
        <f t="shared" si="53"/>
        <v>0</v>
      </c>
      <c r="BT424">
        <f t="shared" si="54"/>
        <v>2324</v>
      </c>
    </row>
    <row r="425" spans="1:72" x14ac:dyDescent="0.35">
      <c r="A425">
        <v>2013</v>
      </c>
      <c r="B425" t="s">
        <v>1</v>
      </c>
      <c r="C425" t="s">
        <v>2</v>
      </c>
      <c r="D425" s="2">
        <v>712157.2</v>
      </c>
      <c r="E425">
        <v>803</v>
      </c>
      <c r="H425">
        <v>6196</v>
      </c>
      <c r="I425">
        <v>1591</v>
      </c>
      <c r="K425">
        <v>207</v>
      </c>
      <c r="AI425">
        <v>803</v>
      </c>
      <c r="AM425">
        <v>1591</v>
      </c>
      <c r="AO425">
        <v>2707</v>
      </c>
      <c r="AP425">
        <v>3489</v>
      </c>
      <c r="BM425" s="11">
        <f t="shared" si="55"/>
        <v>1606</v>
      </c>
      <c r="BN425" s="11">
        <f t="shared" si="48"/>
        <v>12392</v>
      </c>
      <c r="BO425" s="11">
        <f t="shared" si="49"/>
        <v>3182</v>
      </c>
      <c r="BP425" s="11">
        <f t="shared" si="50"/>
        <v>0</v>
      </c>
      <c r="BQ425">
        <f t="shared" si="51"/>
        <v>0</v>
      </c>
      <c r="BR425">
        <f t="shared" si="52"/>
        <v>207</v>
      </c>
      <c r="BS425">
        <f t="shared" si="53"/>
        <v>0</v>
      </c>
      <c r="BT425">
        <f t="shared" si="54"/>
        <v>0</v>
      </c>
    </row>
    <row r="426" spans="1:72" x14ac:dyDescent="0.35">
      <c r="A426">
        <v>2013</v>
      </c>
      <c r="B426" t="s">
        <v>3</v>
      </c>
      <c r="C426" t="s">
        <v>4</v>
      </c>
      <c r="D426" s="2">
        <v>196632.4</v>
      </c>
      <c r="I426">
        <v>514</v>
      </c>
      <c r="AK426">
        <v>273</v>
      </c>
      <c r="AL426">
        <v>241</v>
      </c>
      <c r="BM426" s="11">
        <f t="shared" si="55"/>
        <v>0</v>
      </c>
      <c r="BN426" s="11">
        <f t="shared" si="48"/>
        <v>0</v>
      </c>
      <c r="BO426" s="11">
        <f t="shared" si="49"/>
        <v>1028</v>
      </c>
      <c r="BP426" s="11">
        <f t="shared" si="50"/>
        <v>0</v>
      </c>
      <c r="BQ426">
        <f t="shared" si="51"/>
        <v>0</v>
      </c>
      <c r="BR426">
        <f t="shared" si="52"/>
        <v>0</v>
      </c>
      <c r="BS426">
        <f t="shared" si="53"/>
        <v>0</v>
      </c>
      <c r="BT426">
        <f t="shared" si="54"/>
        <v>0</v>
      </c>
    </row>
    <row r="427" spans="1:72" x14ac:dyDescent="0.35">
      <c r="A427">
        <v>2013</v>
      </c>
      <c r="B427" t="s">
        <v>5</v>
      </c>
      <c r="C427" t="s">
        <v>6</v>
      </c>
      <c r="D427" s="2">
        <v>6883.1</v>
      </c>
      <c r="I427">
        <v>31</v>
      </c>
      <c r="AL427">
        <v>31</v>
      </c>
      <c r="BM427" s="11">
        <f t="shared" si="55"/>
        <v>0</v>
      </c>
      <c r="BN427" s="11">
        <f t="shared" si="48"/>
        <v>0</v>
      </c>
      <c r="BO427" s="11">
        <f t="shared" si="49"/>
        <v>62</v>
      </c>
      <c r="BP427" s="11">
        <f t="shared" si="50"/>
        <v>0</v>
      </c>
      <c r="BQ427">
        <f t="shared" si="51"/>
        <v>0</v>
      </c>
      <c r="BR427">
        <f t="shared" si="52"/>
        <v>0</v>
      </c>
      <c r="BS427">
        <f t="shared" si="53"/>
        <v>0</v>
      </c>
      <c r="BT427">
        <f t="shared" si="54"/>
        <v>0</v>
      </c>
    </row>
    <row r="428" spans="1:72" x14ac:dyDescent="0.35">
      <c r="A428">
        <v>2013</v>
      </c>
      <c r="B428" t="s">
        <v>7</v>
      </c>
      <c r="C428" t="s">
        <v>8</v>
      </c>
      <c r="D428" s="2">
        <v>3118004.4</v>
      </c>
      <c r="E428">
        <v>6418</v>
      </c>
      <c r="H428">
        <v>59813</v>
      </c>
      <c r="I428">
        <v>1555</v>
      </c>
      <c r="K428">
        <v>283</v>
      </c>
      <c r="AB428">
        <v>287</v>
      </c>
      <c r="AF428">
        <v>2126</v>
      </c>
      <c r="AI428">
        <v>6418</v>
      </c>
      <c r="AK428">
        <v>1555</v>
      </c>
      <c r="AN428">
        <v>59813</v>
      </c>
      <c r="AS428">
        <v>582</v>
      </c>
      <c r="BM428" s="11">
        <f t="shared" si="55"/>
        <v>12836</v>
      </c>
      <c r="BN428" s="11">
        <f t="shared" si="48"/>
        <v>119626</v>
      </c>
      <c r="BO428" s="11">
        <f t="shared" si="49"/>
        <v>3110</v>
      </c>
      <c r="BP428" s="11">
        <f t="shared" si="50"/>
        <v>0</v>
      </c>
      <c r="BQ428">
        <f t="shared" si="51"/>
        <v>0</v>
      </c>
      <c r="BR428">
        <f t="shared" si="52"/>
        <v>283</v>
      </c>
      <c r="BS428">
        <f t="shared" si="53"/>
        <v>582</v>
      </c>
      <c r="BT428">
        <f t="shared" si="54"/>
        <v>0</v>
      </c>
    </row>
    <row r="429" spans="1:72" x14ac:dyDescent="0.35">
      <c r="A429">
        <v>2013</v>
      </c>
      <c r="B429" t="s">
        <v>9</v>
      </c>
      <c r="C429" t="s">
        <v>10</v>
      </c>
      <c r="D429" s="2">
        <v>3257516.8</v>
      </c>
      <c r="I429">
        <v>6925</v>
      </c>
      <c r="AL429">
        <v>6925</v>
      </c>
      <c r="BM429" s="11">
        <f t="shared" si="55"/>
        <v>0</v>
      </c>
      <c r="BN429" s="11">
        <f t="shared" si="48"/>
        <v>0</v>
      </c>
      <c r="BO429" s="11">
        <f t="shared" si="49"/>
        <v>13850</v>
      </c>
      <c r="BP429" s="11">
        <f t="shared" si="50"/>
        <v>0</v>
      </c>
      <c r="BQ429">
        <f t="shared" si="51"/>
        <v>0</v>
      </c>
      <c r="BR429">
        <f t="shared" si="52"/>
        <v>0</v>
      </c>
      <c r="BS429">
        <f t="shared" si="53"/>
        <v>0</v>
      </c>
      <c r="BT429">
        <f t="shared" si="54"/>
        <v>0</v>
      </c>
    </row>
    <row r="430" spans="1:72" x14ac:dyDescent="0.35">
      <c r="A430">
        <v>2013</v>
      </c>
      <c r="B430" t="s">
        <v>11</v>
      </c>
      <c r="C430" t="s">
        <v>12</v>
      </c>
      <c r="D430" s="2">
        <v>6805083.0999999996</v>
      </c>
      <c r="E430">
        <v>65759</v>
      </c>
      <c r="H430">
        <v>74920</v>
      </c>
      <c r="I430">
        <v>101275</v>
      </c>
      <c r="AI430">
        <v>65759</v>
      </c>
      <c r="AL430">
        <v>101275</v>
      </c>
      <c r="AN430">
        <v>74920</v>
      </c>
      <c r="BG430">
        <v>68565</v>
      </c>
      <c r="BL430" s="10">
        <v>262512</v>
      </c>
      <c r="BM430" s="11">
        <f t="shared" si="55"/>
        <v>131518</v>
      </c>
      <c r="BN430" s="11">
        <f t="shared" si="48"/>
        <v>149840</v>
      </c>
      <c r="BO430" s="11">
        <f t="shared" si="49"/>
        <v>202550</v>
      </c>
      <c r="BP430" s="11">
        <f t="shared" si="50"/>
        <v>0</v>
      </c>
      <c r="BQ430">
        <f t="shared" si="51"/>
        <v>0</v>
      </c>
      <c r="BR430">
        <f t="shared" si="52"/>
        <v>0</v>
      </c>
      <c r="BS430">
        <f t="shared" si="53"/>
        <v>0</v>
      </c>
      <c r="BT430">
        <f t="shared" si="54"/>
        <v>0</v>
      </c>
    </row>
    <row r="431" spans="1:72" x14ac:dyDescent="0.35">
      <c r="A431">
        <v>2013</v>
      </c>
      <c r="B431" t="s">
        <v>13</v>
      </c>
      <c r="C431" t="s">
        <v>14</v>
      </c>
      <c r="D431" s="2">
        <v>60469.599999999999</v>
      </c>
      <c r="I431">
        <v>437</v>
      </c>
      <c r="AL431">
        <v>437</v>
      </c>
      <c r="BM431" s="11">
        <f t="shared" si="55"/>
        <v>0</v>
      </c>
      <c r="BN431" s="11">
        <f t="shared" si="48"/>
        <v>0</v>
      </c>
      <c r="BO431" s="11">
        <f t="shared" si="49"/>
        <v>874</v>
      </c>
      <c r="BP431" s="11">
        <f t="shared" si="50"/>
        <v>0</v>
      </c>
      <c r="BQ431">
        <f t="shared" si="51"/>
        <v>0</v>
      </c>
      <c r="BR431">
        <f t="shared" si="52"/>
        <v>0</v>
      </c>
      <c r="BS431">
        <f t="shared" si="53"/>
        <v>0</v>
      </c>
      <c r="BT431">
        <f t="shared" si="54"/>
        <v>0</v>
      </c>
    </row>
    <row r="432" spans="1:72" x14ac:dyDescent="0.35">
      <c r="A432">
        <v>2013</v>
      </c>
      <c r="B432" t="s">
        <v>15</v>
      </c>
      <c r="C432" t="s">
        <v>16</v>
      </c>
      <c r="D432" s="2">
        <v>137079.5</v>
      </c>
      <c r="I432">
        <v>368</v>
      </c>
      <c r="AL432">
        <v>368</v>
      </c>
      <c r="BM432" s="11">
        <f t="shared" si="55"/>
        <v>0</v>
      </c>
      <c r="BN432" s="11">
        <f t="shared" si="48"/>
        <v>0</v>
      </c>
      <c r="BO432" s="11">
        <f t="shared" si="49"/>
        <v>736</v>
      </c>
      <c r="BP432" s="11">
        <f t="shared" si="50"/>
        <v>0</v>
      </c>
      <c r="BQ432">
        <f t="shared" si="51"/>
        <v>0</v>
      </c>
      <c r="BR432">
        <f t="shared" si="52"/>
        <v>0</v>
      </c>
      <c r="BS432">
        <f t="shared" si="53"/>
        <v>0</v>
      </c>
      <c r="BT432">
        <f t="shared" si="54"/>
        <v>0</v>
      </c>
    </row>
    <row r="433" spans="1:72" x14ac:dyDescent="0.35">
      <c r="A433">
        <v>2013</v>
      </c>
      <c r="B433" t="s">
        <v>17</v>
      </c>
      <c r="C433" t="s">
        <v>18</v>
      </c>
      <c r="D433" s="2">
        <v>32451</v>
      </c>
      <c r="H433">
        <v>3735</v>
      </c>
      <c r="AO433">
        <v>809</v>
      </c>
      <c r="AP433">
        <v>2926</v>
      </c>
      <c r="BM433" s="11">
        <f t="shared" si="55"/>
        <v>0</v>
      </c>
      <c r="BN433" s="11">
        <f t="shared" si="48"/>
        <v>7470</v>
      </c>
      <c r="BO433" s="11">
        <f t="shared" si="49"/>
        <v>0</v>
      </c>
      <c r="BP433" s="11">
        <f t="shared" si="50"/>
        <v>0</v>
      </c>
      <c r="BQ433">
        <f t="shared" si="51"/>
        <v>0</v>
      </c>
      <c r="BR433">
        <f t="shared" si="52"/>
        <v>0</v>
      </c>
      <c r="BS433">
        <f t="shared" si="53"/>
        <v>0</v>
      </c>
      <c r="BT433">
        <f t="shared" si="54"/>
        <v>0</v>
      </c>
    </row>
    <row r="434" spans="1:72" x14ac:dyDescent="0.35">
      <c r="A434">
        <v>2013</v>
      </c>
      <c r="B434" t="s">
        <v>19</v>
      </c>
      <c r="C434" t="s">
        <v>20</v>
      </c>
      <c r="D434" s="2">
        <v>59174.8</v>
      </c>
      <c r="BM434" s="11">
        <f t="shared" si="55"/>
        <v>0</v>
      </c>
      <c r="BN434" s="11">
        <f t="shared" si="48"/>
        <v>0</v>
      </c>
      <c r="BO434" s="11">
        <f t="shared" si="49"/>
        <v>0</v>
      </c>
      <c r="BP434" s="11">
        <f t="shared" si="50"/>
        <v>0</v>
      </c>
      <c r="BQ434">
        <f t="shared" si="51"/>
        <v>0</v>
      </c>
      <c r="BR434">
        <f t="shared" si="52"/>
        <v>0</v>
      </c>
      <c r="BS434">
        <f t="shared" si="53"/>
        <v>0</v>
      </c>
      <c r="BT434">
        <f t="shared" si="54"/>
        <v>0</v>
      </c>
    </row>
    <row r="435" spans="1:72" x14ac:dyDescent="0.35">
      <c r="A435">
        <v>2013</v>
      </c>
      <c r="B435" t="s">
        <v>21</v>
      </c>
      <c r="C435" t="s">
        <v>22</v>
      </c>
      <c r="D435" s="2">
        <v>971174.5</v>
      </c>
      <c r="AT435">
        <v>599</v>
      </c>
      <c r="AV435">
        <v>825</v>
      </c>
      <c r="BJ435">
        <v>3204</v>
      </c>
      <c r="BM435" s="11">
        <f t="shared" si="55"/>
        <v>4628</v>
      </c>
      <c r="BN435" s="11">
        <f t="shared" si="48"/>
        <v>0</v>
      </c>
      <c r="BO435" s="11">
        <f t="shared" si="49"/>
        <v>0</v>
      </c>
      <c r="BP435" s="11">
        <f t="shared" si="50"/>
        <v>0</v>
      </c>
      <c r="BQ435">
        <f t="shared" si="51"/>
        <v>0</v>
      </c>
      <c r="BR435">
        <f t="shared" si="52"/>
        <v>0</v>
      </c>
      <c r="BS435">
        <f t="shared" si="53"/>
        <v>0</v>
      </c>
      <c r="BT435">
        <f t="shared" si="54"/>
        <v>0</v>
      </c>
    </row>
    <row r="436" spans="1:72" x14ac:dyDescent="0.35">
      <c r="A436">
        <v>2013</v>
      </c>
      <c r="B436" t="s">
        <v>23</v>
      </c>
      <c r="C436" t="s">
        <v>24</v>
      </c>
      <c r="D436" s="2">
        <v>1089608.5</v>
      </c>
      <c r="I436">
        <v>30</v>
      </c>
      <c r="AL436">
        <v>30</v>
      </c>
      <c r="BM436" s="11">
        <f t="shared" si="55"/>
        <v>0</v>
      </c>
      <c r="BN436" s="11">
        <f t="shared" si="48"/>
        <v>0</v>
      </c>
      <c r="BO436" s="11">
        <f t="shared" si="49"/>
        <v>60</v>
      </c>
      <c r="BP436" s="11">
        <f t="shared" si="50"/>
        <v>0</v>
      </c>
      <c r="BQ436">
        <f t="shared" si="51"/>
        <v>0</v>
      </c>
      <c r="BR436">
        <f t="shared" si="52"/>
        <v>0</v>
      </c>
      <c r="BS436">
        <f t="shared" si="53"/>
        <v>0</v>
      </c>
      <c r="BT436">
        <f t="shared" si="54"/>
        <v>0</v>
      </c>
    </row>
    <row r="437" spans="1:72" x14ac:dyDescent="0.35">
      <c r="A437">
        <v>2013</v>
      </c>
      <c r="B437" t="s">
        <v>25</v>
      </c>
      <c r="C437" t="s">
        <v>26</v>
      </c>
      <c r="D437" s="2">
        <v>387605.1</v>
      </c>
      <c r="H437">
        <v>4880</v>
      </c>
      <c r="I437">
        <v>943</v>
      </c>
      <c r="K437">
        <v>1330</v>
      </c>
      <c r="AB437">
        <v>206</v>
      </c>
      <c r="AE437">
        <v>830</v>
      </c>
      <c r="AL437">
        <v>943</v>
      </c>
      <c r="AN437">
        <v>4880</v>
      </c>
      <c r="BB437">
        <v>770</v>
      </c>
      <c r="BL437" s="10">
        <v>10200</v>
      </c>
      <c r="BM437" s="11">
        <f t="shared" si="55"/>
        <v>0</v>
      </c>
      <c r="BN437" s="11">
        <f t="shared" si="48"/>
        <v>9760</v>
      </c>
      <c r="BO437" s="11">
        <f t="shared" si="49"/>
        <v>1886</v>
      </c>
      <c r="BP437" s="11">
        <f t="shared" si="50"/>
        <v>0</v>
      </c>
      <c r="BQ437">
        <f t="shared" si="51"/>
        <v>0</v>
      </c>
      <c r="BR437">
        <f t="shared" si="52"/>
        <v>2100</v>
      </c>
      <c r="BS437">
        <f t="shared" si="53"/>
        <v>0</v>
      </c>
      <c r="BT437">
        <f t="shared" si="54"/>
        <v>0</v>
      </c>
    </row>
    <row r="438" spans="1:72" x14ac:dyDescent="0.35">
      <c r="A438">
        <v>2013</v>
      </c>
      <c r="B438" t="s">
        <v>27</v>
      </c>
      <c r="C438" t="s">
        <v>28</v>
      </c>
      <c r="D438" s="2">
        <v>60143.3</v>
      </c>
      <c r="I438">
        <v>1501</v>
      </c>
      <c r="AL438">
        <v>1501</v>
      </c>
      <c r="BM438" s="11">
        <f t="shared" si="55"/>
        <v>0</v>
      </c>
      <c r="BN438" s="11">
        <f t="shared" si="48"/>
        <v>0</v>
      </c>
      <c r="BO438" s="11">
        <f t="shared" si="49"/>
        <v>3002</v>
      </c>
      <c r="BP438" s="11">
        <f t="shared" si="50"/>
        <v>0</v>
      </c>
      <c r="BQ438">
        <f t="shared" si="51"/>
        <v>0</v>
      </c>
      <c r="BR438">
        <f t="shared" si="52"/>
        <v>0</v>
      </c>
      <c r="BS438">
        <f t="shared" si="53"/>
        <v>0</v>
      </c>
      <c r="BT438">
        <f t="shared" si="54"/>
        <v>0</v>
      </c>
    </row>
    <row r="439" spans="1:72" x14ac:dyDescent="0.35">
      <c r="A439">
        <v>2013</v>
      </c>
      <c r="B439" t="s">
        <v>29</v>
      </c>
      <c r="C439" t="s">
        <v>30</v>
      </c>
      <c r="D439" s="2">
        <v>429312</v>
      </c>
      <c r="E439">
        <v>554</v>
      </c>
      <c r="F439">
        <v>486</v>
      </c>
      <c r="H439">
        <v>6573</v>
      </c>
      <c r="I439">
        <v>35</v>
      </c>
      <c r="J439">
        <v>4</v>
      </c>
      <c r="AL439">
        <v>35</v>
      </c>
      <c r="AO439">
        <v>4005</v>
      </c>
      <c r="AP439">
        <v>2568</v>
      </c>
      <c r="BI439">
        <v>68</v>
      </c>
      <c r="BM439" s="11">
        <f t="shared" si="55"/>
        <v>1108</v>
      </c>
      <c r="BN439" s="11">
        <f t="shared" si="48"/>
        <v>13146</v>
      </c>
      <c r="BO439" s="11">
        <f t="shared" si="49"/>
        <v>70</v>
      </c>
      <c r="BP439" s="11">
        <f t="shared" si="50"/>
        <v>0</v>
      </c>
      <c r="BQ439">
        <f t="shared" si="51"/>
        <v>4</v>
      </c>
      <c r="BR439">
        <f t="shared" si="52"/>
        <v>0</v>
      </c>
      <c r="BS439">
        <f t="shared" si="53"/>
        <v>0</v>
      </c>
      <c r="BT439">
        <f t="shared" si="54"/>
        <v>0</v>
      </c>
    </row>
    <row r="440" spans="1:72" x14ac:dyDescent="0.35">
      <c r="A440">
        <v>2013</v>
      </c>
      <c r="B440" t="s">
        <v>31</v>
      </c>
      <c r="C440" t="s">
        <v>32</v>
      </c>
      <c r="D440" s="2">
        <v>11037.4</v>
      </c>
      <c r="E440">
        <v>308</v>
      </c>
      <c r="H440">
        <v>403</v>
      </c>
      <c r="AI440">
        <v>308</v>
      </c>
      <c r="AN440">
        <v>403</v>
      </c>
      <c r="BM440" s="11">
        <f t="shared" si="55"/>
        <v>616</v>
      </c>
      <c r="BN440" s="11">
        <f t="shared" si="48"/>
        <v>806</v>
      </c>
      <c r="BO440" s="11">
        <f t="shared" si="49"/>
        <v>0</v>
      </c>
      <c r="BP440" s="11">
        <f t="shared" si="50"/>
        <v>0</v>
      </c>
      <c r="BQ440">
        <f t="shared" si="51"/>
        <v>0</v>
      </c>
      <c r="BR440">
        <f t="shared" si="52"/>
        <v>0</v>
      </c>
      <c r="BS440">
        <f t="shared" si="53"/>
        <v>0</v>
      </c>
      <c r="BT440">
        <f t="shared" si="54"/>
        <v>0</v>
      </c>
    </row>
    <row r="441" spans="1:72" x14ac:dyDescent="0.35">
      <c r="A441">
        <v>2013</v>
      </c>
      <c r="B441" t="s">
        <v>33</v>
      </c>
      <c r="C441" t="s">
        <v>34</v>
      </c>
      <c r="D441" s="2">
        <v>803500.2</v>
      </c>
      <c r="I441">
        <v>127</v>
      </c>
      <c r="AL441">
        <v>127</v>
      </c>
      <c r="BM441" s="11">
        <f t="shared" si="55"/>
        <v>0</v>
      </c>
      <c r="BN441" s="11">
        <f t="shared" si="48"/>
        <v>0</v>
      </c>
      <c r="BO441" s="11">
        <f t="shared" si="49"/>
        <v>254</v>
      </c>
      <c r="BP441" s="11">
        <f t="shared" si="50"/>
        <v>0</v>
      </c>
      <c r="BQ441">
        <f t="shared" si="51"/>
        <v>0</v>
      </c>
      <c r="BR441">
        <f t="shared" si="52"/>
        <v>0</v>
      </c>
      <c r="BS441">
        <f t="shared" si="53"/>
        <v>0</v>
      </c>
      <c r="BT441">
        <f t="shared" si="54"/>
        <v>0</v>
      </c>
    </row>
    <row r="442" spans="1:72" x14ac:dyDescent="0.35">
      <c r="A442">
        <v>2013</v>
      </c>
      <c r="B442" t="s">
        <v>35</v>
      </c>
      <c r="C442" t="s">
        <v>36</v>
      </c>
      <c r="D442" s="2">
        <v>595182.19999999995</v>
      </c>
      <c r="E442">
        <v>573</v>
      </c>
      <c r="H442">
        <v>3606</v>
      </c>
      <c r="I442">
        <v>451</v>
      </c>
      <c r="K442">
        <v>72</v>
      </c>
      <c r="AI442">
        <v>573</v>
      </c>
      <c r="AM442">
        <v>451</v>
      </c>
      <c r="AN442">
        <v>3606</v>
      </c>
      <c r="BM442" s="11">
        <f t="shared" si="55"/>
        <v>1146</v>
      </c>
      <c r="BN442" s="11">
        <f t="shared" si="48"/>
        <v>7212</v>
      </c>
      <c r="BO442" s="11">
        <f t="shared" si="49"/>
        <v>902</v>
      </c>
      <c r="BP442" s="11">
        <f t="shared" si="50"/>
        <v>0</v>
      </c>
      <c r="BQ442">
        <f t="shared" si="51"/>
        <v>0</v>
      </c>
      <c r="BR442">
        <f t="shared" si="52"/>
        <v>72</v>
      </c>
      <c r="BS442">
        <f t="shared" si="53"/>
        <v>0</v>
      </c>
      <c r="BT442">
        <f t="shared" si="54"/>
        <v>0</v>
      </c>
    </row>
    <row r="443" spans="1:72" x14ac:dyDescent="0.35">
      <c r="A443">
        <v>2013</v>
      </c>
      <c r="B443" t="s">
        <v>37</v>
      </c>
      <c r="C443" t="s">
        <v>38</v>
      </c>
      <c r="D443" s="2">
        <v>812933</v>
      </c>
      <c r="H443">
        <v>8780</v>
      </c>
      <c r="I443">
        <v>3851</v>
      </c>
      <c r="AK443">
        <v>1224</v>
      </c>
      <c r="AL443">
        <v>2627</v>
      </c>
      <c r="AO443">
        <v>1608</v>
      </c>
      <c r="AP443">
        <v>7172</v>
      </c>
      <c r="BM443" s="11">
        <f t="shared" si="55"/>
        <v>0</v>
      </c>
      <c r="BN443" s="11">
        <f t="shared" si="48"/>
        <v>17560</v>
      </c>
      <c r="BO443" s="11">
        <f t="shared" si="49"/>
        <v>7702</v>
      </c>
      <c r="BP443" s="11">
        <f t="shared" si="50"/>
        <v>0</v>
      </c>
      <c r="BQ443">
        <f t="shared" si="51"/>
        <v>0</v>
      </c>
      <c r="BR443">
        <f t="shared" si="52"/>
        <v>0</v>
      </c>
      <c r="BS443">
        <f t="shared" si="53"/>
        <v>0</v>
      </c>
      <c r="BT443">
        <f t="shared" si="54"/>
        <v>0</v>
      </c>
    </row>
    <row r="444" spans="1:72" x14ac:dyDescent="0.35">
      <c r="A444">
        <v>2013</v>
      </c>
      <c r="B444" t="s">
        <v>39</v>
      </c>
      <c r="C444" t="s">
        <v>40</v>
      </c>
      <c r="D444" s="2">
        <v>44010.1</v>
      </c>
      <c r="BM444" s="11">
        <f t="shared" si="55"/>
        <v>0</v>
      </c>
      <c r="BN444" s="11">
        <f t="shared" si="48"/>
        <v>0</v>
      </c>
      <c r="BO444" s="11">
        <f t="shared" si="49"/>
        <v>0</v>
      </c>
      <c r="BP444" s="11">
        <f t="shared" si="50"/>
        <v>0</v>
      </c>
      <c r="BQ444">
        <f t="shared" si="51"/>
        <v>0</v>
      </c>
      <c r="BR444">
        <f t="shared" si="52"/>
        <v>0</v>
      </c>
      <c r="BS444">
        <f t="shared" si="53"/>
        <v>0</v>
      </c>
      <c r="BT444">
        <f t="shared" si="54"/>
        <v>0</v>
      </c>
    </row>
    <row r="445" spans="1:72" x14ac:dyDescent="0.35">
      <c r="A445">
        <v>2013</v>
      </c>
      <c r="B445" t="s">
        <v>41</v>
      </c>
      <c r="C445" t="s">
        <v>42</v>
      </c>
      <c r="D445" s="2">
        <v>82489.399999999994</v>
      </c>
      <c r="I445">
        <v>259</v>
      </c>
      <c r="AK445">
        <v>180</v>
      </c>
      <c r="AL445">
        <v>79</v>
      </c>
      <c r="BM445" s="11">
        <f t="shared" si="55"/>
        <v>0</v>
      </c>
      <c r="BN445" s="11">
        <f t="shared" si="48"/>
        <v>0</v>
      </c>
      <c r="BO445" s="11">
        <f t="shared" si="49"/>
        <v>518</v>
      </c>
      <c r="BP445" s="11">
        <f t="shared" si="50"/>
        <v>0</v>
      </c>
      <c r="BQ445">
        <f t="shared" si="51"/>
        <v>0</v>
      </c>
      <c r="BR445">
        <f t="shared" si="52"/>
        <v>0</v>
      </c>
      <c r="BS445">
        <f t="shared" si="53"/>
        <v>0</v>
      </c>
      <c r="BT445">
        <f t="shared" si="54"/>
        <v>0</v>
      </c>
    </row>
    <row r="446" spans="1:72" x14ac:dyDescent="0.35">
      <c r="A446">
        <v>2013</v>
      </c>
      <c r="B446" t="s">
        <v>43</v>
      </c>
      <c r="C446" t="s">
        <v>44</v>
      </c>
      <c r="D446" s="2">
        <v>884877.4</v>
      </c>
      <c r="E446">
        <v>2730</v>
      </c>
      <c r="I446">
        <v>11287</v>
      </c>
      <c r="P446">
        <v>5293</v>
      </c>
      <c r="V446">
        <v>1473</v>
      </c>
      <c r="W446">
        <v>3639</v>
      </c>
      <c r="AE446">
        <v>3987</v>
      </c>
      <c r="AI446">
        <v>2730</v>
      </c>
      <c r="AL446">
        <v>4185</v>
      </c>
      <c r="AM446">
        <v>7102</v>
      </c>
      <c r="BG446">
        <v>3482</v>
      </c>
      <c r="BH446">
        <v>2636</v>
      </c>
      <c r="BK446">
        <v>4472</v>
      </c>
      <c r="BL446" s="10">
        <v>4166</v>
      </c>
      <c r="BM446" s="11">
        <f t="shared" si="55"/>
        <v>5460</v>
      </c>
      <c r="BN446" s="11">
        <f t="shared" si="48"/>
        <v>0</v>
      </c>
      <c r="BO446" s="11">
        <f t="shared" si="49"/>
        <v>22574</v>
      </c>
      <c r="BP446" s="11">
        <f t="shared" si="50"/>
        <v>0</v>
      </c>
      <c r="BQ446">
        <f t="shared" si="51"/>
        <v>0</v>
      </c>
      <c r="BR446">
        <f t="shared" si="52"/>
        <v>0</v>
      </c>
      <c r="BS446">
        <f t="shared" si="53"/>
        <v>0</v>
      </c>
      <c r="BT446">
        <f t="shared" si="54"/>
        <v>5112</v>
      </c>
    </row>
    <row r="447" spans="1:72" x14ac:dyDescent="0.35">
      <c r="A447">
        <v>2013</v>
      </c>
      <c r="B447" t="s">
        <v>45</v>
      </c>
      <c r="C447" t="s">
        <v>46</v>
      </c>
      <c r="D447" s="2">
        <v>405974.1</v>
      </c>
      <c r="I447">
        <v>500</v>
      </c>
      <c r="AL447">
        <v>500</v>
      </c>
      <c r="BM447" s="11">
        <f t="shared" si="55"/>
        <v>0</v>
      </c>
      <c r="BN447" s="11">
        <f t="shared" si="48"/>
        <v>0</v>
      </c>
      <c r="BO447" s="11">
        <f t="shared" si="49"/>
        <v>1000</v>
      </c>
      <c r="BP447" s="11">
        <f t="shared" si="50"/>
        <v>0</v>
      </c>
      <c r="BQ447">
        <f t="shared" si="51"/>
        <v>0</v>
      </c>
      <c r="BR447">
        <f t="shared" si="52"/>
        <v>0</v>
      </c>
      <c r="BS447">
        <f t="shared" si="53"/>
        <v>0</v>
      </c>
      <c r="BT447">
        <f t="shared" si="54"/>
        <v>0</v>
      </c>
    </row>
    <row r="448" spans="1:72" x14ac:dyDescent="0.35">
      <c r="A448">
        <v>2013</v>
      </c>
      <c r="B448" t="s">
        <v>47</v>
      </c>
      <c r="C448" t="s">
        <v>48</v>
      </c>
      <c r="D448" s="2">
        <v>61757.599999999999</v>
      </c>
      <c r="H448">
        <v>727</v>
      </c>
      <c r="I448">
        <v>153</v>
      </c>
      <c r="AK448">
        <v>5</v>
      </c>
      <c r="AL448">
        <v>148</v>
      </c>
      <c r="AO448">
        <v>253</v>
      </c>
      <c r="AP448">
        <v>474</v>
      </c>
      <c r="AQ448">
        <v>14</v>
      </c>
      <c r="BM448" s="11">
        <f t="shared" si="55"/>
        <v>0</v>
      </c>
      <c r="BN448" s="11">
        <f t="shared" si="48"/>
        <v>1468</v>
      </c>
      <c r="BO448" s="11">
        <f t="shared" si="49"/>
        <v>306</v>
      </c>
      <c r="BP448" s="11">
        <f t="shared" si="50"/>
        <v>0</v>
      </c>
      <c r="BQ448">
        <f t="shared" si="51"/>
        <v>0</v>
      </c>
      <c r="BR448">
        <f t="shared" si="52"/>
        <v>0</v>
      </c>
      <c r="BS448">
        <f t="shared" si="53"/>
        <v>0</v>
      </c>
      <c r="BT448">
        <f t="shared" si="54"/>
        <v>0</v>
      </c>
    </row>
    <row r="449" spans="1:72" x14ac:dyDescent="0.35">
      <c r="A449">
        <v>2013</v>
      </c>
      <c r="B449" t="s">
        <v>49</v>
      </c>
      <c r="C449" t="s">
        <v>50</v>
      </c>
      <c r="D449" s="2">
        <v>1427073.7</v>
      </c>
      <c r="E449">
        <v>8682</v>
      </c>
      <c r="H449">
        <v>40292</v>
      </c>
      <c r="J449">
        <v>1045</v>
      </c>
      <c r="K449">
        <v>2202</v>
      </c>
      <c r="AI449">
        <v>8682</v>
      </c>
      <c r="AO449">
        <v>11992</v>
      </c>
      <c r="AP449">
        <v>28300</v>
      </c>
      <c r="AV449">
        <v>129</v>
      </c>
      <c r="BM449" s="11">
        <f t="shared" si="55"/>
        <v>17493</v>
      </c>
      <c r="BN449" s="11">
        <f t="shared" si="48"/>
        <v>80584</v>
      </c>
      <c r="BO449" s="11">
        <f t="shared" si="49"/>
        <v>0</v>
      </c>
      <c r="BP449" s="11">
        <f t="shared" si="50"/>
        <v>0</v>
      </c>
      <c r="BQ449">
        <f t="shared" si="51"/>
        <v>1045</v>
      </c>
      <c r="BR449">
        <f t="shared" si="52"/>
        <v>2202</v>
      </c>
      <c r="BS449">
        <f t="shared" si="53"/>
        <v>0</v>
      </c>
      <c r="BT449">
        <f t="shared" si="54"/>
        <v>0</v>
      </c>
    </row>
    <row r="450" spans="1:72" x14ac:dyDescent="0.35">
      <c r="A450">
        <v>2013</v>
      </c>
      <c r="B450" t="s">
        <v>51</v>
      </c>
      <c r="C450" t="s">
        <v>52</v>
      </c>
      <c r="D450" s="2">
        <v>157241.29999999999</v>
      </c>
      <c r="I450">
        <v>806</v>
      </c>
      <c r="AL450">
        <v>806</v>
      </c>
      <c r="BM450" s="11">
        <f t="shared" si="55"/>
        <v>0</v>
      </c>
      <c r="BN450" s="11">
        <f t="shared" si="48"/>
        <v>0</v>
      </c>
      <c r="BO450" s="11">
        <f t="shared" si="49"/>
        <v>1612</v>
      </c>
      <c r="BP450" s="11">
        <f t="shared" si="50"/>
        <v>0</v>
      </c>
      <c r="BQ450">
        <f t="shared" si="51"/>
        <v>0</v>
      </c>
      <c r="BR450">
        <f t="shared" si="52"/>
        <v>0</v>
      </c>
      <c r="BS450">
        <f t="shared" si="53"/>
        <v>0</v>
      </c>
      <c r="BT450">
        <f t="shared" si="54"/>
        <v>0</v>
      </c>
    </row>
    <row r="451" spans="1:72" x14ac:dyDescent="0.35">
      <c r="A451">
        <v>2013</v>
      </c>
      <c r="B451" t="s">
        <v>53</v>
      </c>
      <c r="C451" t="s">
        <v>54</v>
      </c>
      <c r="D451" s="2">
        <v>785163.7</v>
      </c>
      <c r="E451">
        <v>3523</v>
      </c>
      <c r="F451">
        <v>3028</v>
      </c>
      <c r="H451">
        <v>3438</v>
      </c>
      <c r="I451">
        <v>3400</v>
      </c>
      <c r="J451">
        <v>111</v>
      </c>
      <c r="K451">
        <v>17</v>
      </c>
      <c r="AL451">
        <v>3400</v>
      </c>
      <c r="AN451">
        <v>3438</v>
      </c>
      <c r="BI451">
        <v>495</v>
      </c>
      <c r="BM451" s="11">
        <f t="shared" si="55"/>
        <v>7046</v>
      </c>
      <c r="BN451" s="11">
        <f t="shared" ref="BN451:BN514" si="56">H451+AP451+AO451+AN451+AQ451+AR451</f>
        <v>6876</v>
      </c>
      <c r="BO451" s="11">
        <f t="shared" ref="BO451:BO514" si="57">I451+AK451+AL451+AM451</f>
        <v>6800</v>
      </c>
      <c r="BP451" s="11">
        <f t="shared" ref="BP451:BP514" si="58">AZ451+Y451+AA451+BA451</f>
        <v>0</v>
      </c>
      <c r="BQ451">
        <f t="shared" ref="BQ451:BQ514" si="59">J451+Q451</f>
        <v>111</v>
      </c>
      <c r="BR451">
        <f t="shared" ref="BR451:BR514" si="60">K451+BB451</f>
        <v>17</v>
      </c>
      <c r="BS451">
        <f t="shared" ref="BS451:BS514" si="61">S451+AS451</f>
        <v>0</v>
      </c>
      <c r="BT451">
        <f t="shared" ref="BT451:BT514" si="62">V451+W451</f>
        <v>0</v>
      </c>
    </row>
    <row r="452" spans="1:72" x14ac:dyDescent="0.35">
      <c r="A452">
        <v>2013</v>
      </c>
      <c r="B452" t="s">
        <v>55</v>
      </c>
      <c r="C452" t="s">
        <v>56</v>
      </c>
      <c r="D452" s="2">
        <v>598581.6</v>
      </c>
      <c r="E452">
        <v>200</v>
      </c>
      <c r="H452">
        <v>3545</v>
      </c>
      <c r="I452">
        <v>48</v>
      </c>
      <c r="K452">
        <v>170</v>
      </c>
      <c r="AI452">
        <v>168</v>
      </c>
      <c r="AK452">
        <v>48</v>
      </c>
      <c r="AN452">
        <v>3545</v>
      </c>
      <c r="BI452">
        <v>32</v>
      </c>
      <c r="BM452" s="11">
        <f t="shared" ref="BM452:BM515" si="63">E452+F452+BI452+X452+AT452+BE452+G452+BJ452+AV452+AI452</f>
        <v>400</v>
      </c>
      <c r="BN452" s="11">
        <f t="shared" si="56"/>
        <v>7090</v>
      </c>
      <c r="BO452" s="11">
        <f t="shared" si="57"/>
        <v>96</v>
      </c>
      <c r="BP452" s="11">
        <f t="shared" si="58"/>
        <v>0</v>
      </c>
      <c r="BQ452">
        <f t="shared" si="59"/>
        <v>0</v>
      </c>
      <c r="BR452">
        <f t="shared" si="60"/>
        <v>170</v>
      </c>
      <c r="BS452">
        <f t="shared" si="61"/>
        <v>0</v>
      </c>
      <c r="BT452">
        <f t="shared" si="62"/>
        <v>0</v>
      </c>
    </row>
    <row r="453" spans="1:72" x14ac:dyDescent="0.35">
      <c r="A453">
        <v>2013</v>
      </c>
      <c r="B453" t="s">
        <v>57</v>
      </c>
      <c r="C453" t="s">
        <v>58</v>
      </c>
      <c r="D453" s="2">
        <v>740567.7</v>
      </c>
      <c r="E453">
        <v>1971</v>
      </c>
      <c r="I453">
        <v>1961</v>
      </c>
      <c r="AI453">
        <v>1971</v>
      </c>
      <c r="AK453">
        <v>1275</v>
      </c>
      <c r="AL453">
        <v>686</v>
      </c>
      <c r="BE453">
        <v>8</v>
      </c>
      <c r="BJ453">
        <v>113</v>
      </c>
      <c r="BM453" s="11">
        <f t="shared" si="63"/>
        <v>4063</v>
      </c>
      <c r="BN453" s="11">
        <f t="shared" si="56"/>
        <v>0</v>
      </c>
      <c r="BO453" s="11">
        <f t="shared" si="57"/>
        <v>3922</v>
      </c>
      <c r="BP453" s="11">
        <f t="shared" si="58"/>
        <v>0</v>
      </c>
      <c r="BQ453">
        <f t="shared" si="59"/>
        <v>0</v>
      </c>
      <c r="BR453">
        <f t="shared" si="60"/>
        <v>0</v>
      </c>
      <c r="BS453">
        <f t="shared" si="61"/>
        <v>0</v>
      </c>
      <c r="BT453">
        <f t="shared" si="62"/>
        <v>0</v>
      </c>
    </row>
    <row r="454" spans="1:72" x14ac:dyDescent="0.35">
      <c r="A454">
        <v>2013</v>
      </c>
      <c r="B454" t="s">
        <v>59</v>
      </c>
      <c r="C454" t="s">
        <v>60</v>
      </c>
      <c r="D454" s="2">
        <v>15623.3</v>
      </c>
      <c r="E454">
        <v>2046</v>
      </c>
      <c r="H454">
        <v>3963</v>
      </c>
      <c r="J454">
        <v>351</v>
      </c>
      <c r="K454">
        <v>460</v>
      </c>
      <c r="AI454">
        <v>2046</v>
      </c>
      <c r="AN454">
        <v>3963</v>
      </c>
      <c r="BM454" s="11">
        <f t="shared" si="63"/>
        <v>4092</v>
      </c>
      <c r="BN454" s="11">
        <f t="shared" si="56"/>
        <v>7926</v>
      </c>
      <c r="BO454" s="11">
        <f t="shared" si="57"/>
        <v>0</v>
      </c>
      <c r="BP454" s="11">
        <f t="shared" si="58"/>
        <v>0</v>
      </c>
      <c r="BQ454">
        <f t="shared" si="59"/>
        <v>351</v>
      </c>
      <c r="BR454">
        <f t="shared" si="60"/>
        <v>460</v>
      </c>
      <c r="BS454">
        <f t="shared" si="61"/>
        <v>0</v>
      </c>
      <c r="BT454">
        <f t="shared" si="62"/>
        <v>0</v>
      </c>
    </row>
    <row r="455" spans="1:72" x14ac:dyDescent="0.35">
      <c r="A455">
        <v>2013</v>
      </c>
      <c r="B455" t="s">
        <v>61</v>
      </c>
      <c r="C455" t="s">
        <v>62</v>
      </c>
      <c r="D455" s="2">
        <v>989682.3</v>
      </c>
      <c r="E455">
        <v>1452</v>
      </c>
      <c r="H455">
        <v>6432</v>
      </c>
      <c r="I455">
        <v>4265</v>
      </c>
      <c r="J455">
        <v>136</v>
      </c>
      <c r="K455">
        <v>103</v>
      </c>
      <c r="P455">
        <v>1204</v>
      </c>
      <c r="Q455">
        <v>238</v>
      </c>
      <c r="R455">
        <v>44</v>
      </c>
      <c r="AB455">
        <v>238</v>
      </c>
      <c r="AE455">
        <v>1465</v>
      </c>
      <c r="AI455">
        <v>1452</v>
      </c>
      <c r="AK455">
        <v>720</v>
      </c>
      <c r="AL455">
        <v>3545</v>
      </c>
      <c r="AN455">
        <v>6432</v>
      </c>
      <c r="AU455">
        <v>115</v>
      </c>
      <c r="BB455">
        <v>1388</v>
      </c>
      <c r="BC455">
        <v>287</v>
      </c>
      <c r="BM455" s="11">
        <f t="shared" si="63"/>
        <v>2904</v>
      </c>
      <c r="BN455" s="11">
        <f t="shared" si="56"/>
        <v>12864</v>
      </c>
      <c r="BO455" s="11">
        <f t="shared" si="57"/>
        <v>8530</v>
      </c>
      <c r="BP455" s="11">
        <f t="shared" si="58"/>
        <v>0</v>
      </c>
      <c r="BQ455">
        <f t="shared" si="59"/>
        <v>374</v>
      </c>
      <c r="BR455">
        <f t="shared" si="60"/>
        <v>1491</v>
      </c>
      <c r="BS455">
        <f t="shared" si="61"/>
        <v>0</v>
      </c>
      <c r="BT455">
        <f t="shared" si="62"/>
        <v>0</v>
      </c>
    </row>
    <row r="456" spans="1:72" x14ac:dyDescent="0.35">
      <c r="A456">
        <v>2013</v>
      </c>
      <c r="B456" t="s">
        <v>63</v>
      </c>
      <c r="C456" t="s">
        <v>64</v>
      </c>
      <c r="D456" s="2">
        <v>67950.7</v>
      </c>
      <c r="H456">
        <v>4110</v>
      </c>
      <c r="AO456">
        <v>2068</v>
      </c>
      <c r="AP456">
        <v>2042</v>
      </c>
      <c r="AT456">
        <v>30</v>
      </c>
      <c r="BJ456">
        <v>83</v>
      </c>
      <c r="BM456" s="11">
        <f t="shared" si="63"/>
        <v>113</v>
      </c>
      <c r="BN456" s="11">
        <f t="shared" si="56"/>
        <v>8220</v>
      </c>
      <c r="BO456" s="11">
        <f t="shared" si="57"/>
        <v>0</v>
      </c>
      <c r="BP456" s="11">
        <f t="shared" si="58"/>
        <v>0</v>
      </c>
      <c r="BQ456">
        <f t="shared" si="59"/>
        <v>0</v>
      </c>
      <c r="BR456">
        <f t="shared" si="60"/>
        <v>0</v>
      </c>
      <c r="BS456">
        <f t="shared" si="61"/>
        <v>0</v>
      </c>
      <c r="BT456">
        <f t="shared" si="62"/>
        <v>0</v>
      </c>
    </row>
    <row r="457" spans="1:72" x14ac:dyDescent="0.35">
      <c r="A457">
        <v>2013</v>
      </c>
      <c r="B457" t="s">
        <v>65</v>
      </c>
      <c r="C457" t="s">
        <v>66</v>
      </c>
      <c r="D457" s="2">
        <v>357235.9</v>
      </c>
      <c r="E457">
        <v>1104</v>
      </c>
      <c r="F457">
        <v>609</v>
      </c>
      <c r="I457">
        <v>622</v>
      </c>
      <c r="AL457">
        <v>622</v>
      </c>
      <c r="BI457">
        <v>495</v>
      </c>
      <c r="BM457" s="11">
        <f t="shared" si="63"/>
        <v>2208</v>
      </c>
      <c r="BN457" s="11">
        <f t="shared" si="56"/>
        <v>0</v>
      </c>
      <c r="BO457" s="11">
        <f t="shared" si="57"/>
        <v>1244</v>
      </c>
      <c r="BP457" s="11">
        <f t="shared" si="58"/>
        <v>0</v>
      </c>
      <c r="BQ457">
        <f t="shared" si="59"/>
        <v>0</v>
      </c>
      <c r="BR457">
        <f t="shared" si="60"/>
        <v>0</v>
      </c>
      <c r="BS457">
        <f t="shared" si="61"/>
        <v>0</v>
      </c>
      <c r="BT457">
        <f t="shared" si="62"/>
        <v>0</v>
      </c>
    </row>
    <row r="458" spans="1:72" x14ac:dyDescent="0.35">
      <c r="A458">
        <v>2013</v>
      </c>
      <c r="B458" t="s">
        <v>67</v>
      </c>
      <c r="C458" t="s">
        <v>68</v>
      </c>
      <c r="D458" s="2">
        <v>494983.7</v>
      </c>
      <c r="I458">
        <v>3946</v>
      </c>
      <c r="J458">
        <v>54</v>
      </c>
      <c r="S458">
        <v>66</v>
      </c>
      <c r="T458">
        <v>22</v>
      </c>
      <c r="AB458">
        <v>22</v>
      </c>
      <c r="AE458">
        <v>546</v>
      </c>
      <c r="AL458">
        <v>3946</v>
      </c>
      <c r="AV458">
        <v>42</v>
      </c>
      <c r="AY458">
        <v>11</v>
      </c>
      <c r="BB458">
        <v>371</v>
      </c>
      <c r="BC458">
        <v>11</v>
      </c>
      <c r="BK458">
        <v>22</v>
      </c>
      <c r="BL458" s="10">
        <v>32</v>
      </c>
      <c r="BM458" s="11">
        <f t="shared" si="63"/>
        <v>42</v>
      </c>
      <c r="BN458" s="11">
        <f t="shared" si="56"/>
        <v>0</v>
      </c>
      <c r="BO458" s="11">
        <f t="shared" si="57"/>
        <v>7892</v>
      </c>
      <c r="BP458" s="11">
        <f t="shared" si="58"/>
        <v>0</v>
      </c>
      <c r="BQ458">
        <f t="shared" si="59"/>
        <v>54</v>
      </c>
      <c r="BR458">
        <f t="shared" si="60"/>
        <v>371</v>
      </c>
      <c r="BS458">
        <f t="shared" si="61"/>
        <v>66</v>
      </c>
      <c r="BT458">
        <f t="shared" si="62"/>
        <v>0</v>
      </c>
    </row>
    <row r="459" spans="1:72" x14ac:dyDescent="0.35">
      <c r="A459">
        <v>2013</v>
      </c>
      <c r="B459" t="s">
        <v>69</v>
      </c>
      <c r="C459" t="s">
        <v>70</v>
      </c>
      <c r="D459" s="2">
        <v>1775</v>
      </c>
      <c r="BM459" s="11">
        <f t="shared" si="63"/>
        <v>0</v>
      </c>
      <c r="BN459" s="11">
        <f t="shared" si="56"/>
        <v>0</v>
      </c>
      <c r="BO459" s="11">
        <f t="shared" si="57"/>
        <v>0</v>
      </c>
      <c r="BP459" s="11">
        <f t="shared" si="58"/>
        <v>0</v>
      </c>
      <c r="BQ459">
        <f t="shared" si="59"/>
        <v>0</v>
      </c>
      <c r="BR459">
        <f t="shared" si="60"/>
        <v>0</v>
      </c>
      <c r="BS459">
        <f t="shared" si="61"/>
        <v>0</v>
      </c>
      <c r="BT459">
        <f t="shared" si="62"/>
        <v>0</v>
      </c>
    </row>
    <row r="460" spans="1:72" x14ac:dyDescent="0.35">
      <c r="A460">
        <v>2013</v>
      </c>
      <c r="B460" t="s">
        <v>71</v>
      </c>
      <c r="C460" t="s">
        <v>72</v>
      </c>
      <c r="D460" s="2">
        <v>244461.1</v>
      </c>
      <c r="H460">
        <v>6106</v>
      </c>
      <c r="I460">
        <v>2187</v>
      </c>
      <c r="AK460">
        <v>1901</v>
      </c>
      <c r="AL460">
        <v>286</v>
      </c>
      <c r="AN460">
        <v>2765</v>
      </c>
      <c r="AO460">
        <v>2707</v>
      </c>
      <c r="AP460">
        <v>634</v>
      </c>
      <c r="BM460" s="11">
        <f t="shared" si="63"/>
        <v>0</v>
      </c>
      <c r="BN460" s="11">
        <f t="shared" si="56"/>
        <v>12212</v>
      </c>
      <c r="BO460" s="11">
        <f t="shared" si="57"/>
        <v>4374</v>
      </c>
      <c r="BP460" s="11">
        <f t="shared" si="58"/>
        <v>0</v>
      </c>
      <c r="BQ460">
        <f t="shared" si="59"/>
        <v>0</v>
      </c>
      <c r="BR460">
        <f t="shared" si="60"/>
        <v>0</v>
      </c>
      <c r="BS460">
        <f t="shared" si="61"/>
        <v>0</v>
      </c>
      <c r="BT460">
        <f t="shared" si="62"/>
        <v>0</v>
      </c>
    </row>
    <row r="461" spans="1:72" x14ac:dyDescent="0.35">
      <c r="A461">
        <v>2013</v>
      </c>
      <c r="B461" t="s">
        <v>73</v>
      </c>
      <c r="C461" t="s">
        <v>74</v>
      </c>
      <c r="D461" s="2">
        <v>1214423.8999999999</v>
      </c>
      <c r="J461">
        <v>5770</v>
      </c>
      <c r="M461">
        <v>64876</v>
      </c>
      <c r="N461">
        <v>2586</v>
      </c>
      <c r="O461">
        <v>2</v>
      </c>
      <c r="Q461">
        <v>4625</v>
      </c>
      <c r="W461">
        <v>3330</v>
      </c>
      <c r="AB461">
        <v>8476</v>
      </c>
      <c r="AE461">
        <v>273</v>
      </c>
      <c r="AF461">
        <v>144</v>
      </c>
      <c r="AU461">
        <v>3588</v>
      </c>
      <c r="AY461">
        <v>217</v>
      </c>
      <c r="BD461">
        <v>8185</v>
      </c>
      <c r="BM461" s="11">
        <f t="shared" si="63"/>
        <v>0</v>
      </c>
      <c r="BN461" s="11">
        <f t="shared" si="56"/>
        <v>0</v>
      </c>
      <c r="BO461" s="11">
        <f t="shared" si="57"/>
        <v>0</v>
      </c>
      <c r="BP461" s="11">
        <f t="shared" si="58"/>
        <v>0</v>
      </c>
      <c r="BQ461">
        <f t="shared" si="59"/>
        <v>10395</v>
      </c>
      <c r="BR461">
        <f t="shared" si="60"/>
        <v>0</v>
      </c>
      <c r="BS461">
        <f t="shared" si="61"/>
        <v>0</v>
      </c>
      <c r="BT461">
        <f t="shared" si="62"/>
        <v>3330</v>
      </c>
    </row>
    <row r="462" spans="1:72" x14ac:dyDescent="0.35">
      <c r="A462">
        <v>2013</v>
      </c>
      <c r="B462" t="s">
        <v>75</v>
      </c>
      <c r="C462" t="s">
        <v>76</v>
      </c>
      <c r="D462" s="2">
        <v>420676</v>
      </c>
      <c r="AT462">
        <v>17</v>
      </c>
      <c r="BJ462">
        <v>15</v>
      </c>
      <c r="BM462" s="11">
        <f t="shared" si="63"/>
        <v>32</v>
      </c>
      <c r="BN462" s="11">
        <f t="shared" si="56"/>
        <v>0</v>
      </c>
      <c r="BO462" s="11">
        <f t="shared" si="57"/>
        <v>0</v>
      </c>
      <c r="BP462" s="11">
        <f t="shared" si="58"/>
        <v>0</v>
      </c>
      <c r="BQ462">
        <f t="shared" si="59"/>
        <v>0</v>
      </c>
      <c r="BR462">
        <f t="shared" si="60"/>
        <v>0</v>
      </c>
      <c r="BS462">
        <f t="shared" si="61"/>
        <v>0</v>
      </c>
      <c r="BT462">
        <f t="shared" si="62"/>
        <v>0</v>
      </c>
    </row>
    <row r="463" spans="1:72" x14ac:dyDescent="0.35">
      <c r="A463">
        <v>2013</v>
      </c>
      <c r="B463" t="s">
        <v>77</v>
      </c>
      <c r="C463" t="s">
        <v>78</v>
      </c>
      <c r="D463" s="2">
        <v>175389.3</v>
      </c>
      <c r="H463">
        <v>3289</v>
      </c>
      <c r="I463">
        <v>1282</v>
      </c>
      <c r="AK463">
        <v>67</v>
      </c>
      <c r="AL463">
        <v>1215</v>
      </c>
      <c r="AN463">
        <v>3289</v>
      </c>
      <c r="BM463" s="11">
        <f t="shared" si="63"/>
        <v>0</v>
      </c>
      <c r="BN463" s="11">
        <f t="shared" si="56"/>
        <v>6578</v>
      </c>
      <c r="BO463" s="11">
        <f t="shared" si="57"/>
        <v>2564</v>
      </c>
      <c r="BP463" s="11">
        <f t="shared" si="58"/>
        <v>0</v>
      </c>
      <c r="BQ463">
        <f t="shared" si="59"/>
        <v>0</v>
      </c>
      <c r="BR463">
        <f t="shared" si="60"/>
        <v>0</v>
      </c>
      <c r="BS463">
        <f t="shared" si="61"/>
        <v>0</v>
      </c>
      <c r="BT463">
        <f t="shared" si="62"/>
        <v>0</v>
      </c>
    </row>
    <row r="464" spans="1:72" x14ac:dyDescent="0.35">
      <c r="A464">
        <v>2013</v>
      </c>
      <c r="B464" t="s">
        <v>79</v>
      </c>
      <c r="C464" t="s">
        <v>80</v>
      </c>
      <c r="D464" s="2">
        <v>845295.7</v>
      </c>
      <c r="E464">
        <v>946</v>
      </c>
      <c r="H464">
        <v>3289</v>
      </c>
      <c r="I464">
        <v>836</v>
      </c>
      <c r="J464">
        <v>30</v>
      </c>
      <c r="K464">
        <v>51</v>
      </c>
      <c r="P464">
        <v>6560</v>
      </c>
      <c r="AI464">
        <v>946</v>
      </c>
      <c r="AL464">
        <v>829</v>
      </c>
      <c r="AM464">
        <v>7</v>
      </c>
      <c r="AN464">
        <v>3289</v>
      </c>
      <c r="BM464" s="11">
        <f t="shared" si="63"/>
        <v>1892</v>
      </c>
      <c r="BN464" s="11">
        <f t="shared" si="56"/>
        <v>6578</v>
      </c>
      <c r="BO464" s="11">
        <f t="shared" si="57"/>
        <v>1672</v>
      </c>
      <c r="BP464" s="11">
        <f t="shared" si="58"/>
        <v>0</v>
      </c>
      <c r="BQ464">
        <f t="shared" si="59"/>
        <v>30</v>
      </c>
      <c r="BR464">
        <f t="shared" si="60"/>
        <v>51</v>
      </c>
      <c r="BS464">
        <f t="shared" si="61"/>
        <v>0</v>
      </c>
      <c r="BT464">
        <f t="shared" si="62"/>
        <v>0</v>
      </c>
    </row>
    <row r="465" spans="1:72" x14ac:dyDescent="0.35">
      <c r="A465">
        <v>2013</v>
      </c>
      <c r="B465" t="s">
        <v>81</v>
      </c>
      <c r="C465" t="s">
        <v>82</v>
      </c>
      <c r="D465" s="2">
        <v>1420776.7</v>
      </c>
      <c r="H465">
        <v>40149</v>
      </c>
      <c r="I465">
        <v>7000</v>
      </c>
      <c r="AL465">
        <v>7000</v>
      </c>
      <c r="AO465">
        <v>25846</v>
      </c>
      <c r="AP465">
        <v>14303</v>
      </c>
      <c r="BM465" s="11">
        <f t="shared" si="63"/>
        <v>0</v>
      </c>
      <c r="BN465" s="11">
        <f t="shared" si="56"/>
        <v>80298</v>
      </c>
      <c r="BO465" s="11">
        <f t="shared" si="57"/>
        <v>14000</v>
      </c>
      <c r="BP465" s="11">
        <f t="shared" si="58"/>
        <v>0</v>
      </c>
      <c r="BQ465">
        <f t="shared" si="59"/>
        <v>0</v>
      </c>
      <c r="BR465">
        <f t="shared" si="60"/>
        <v>0</v>
      </c>
      <c r="BS465">
        <f t="shared" si="61"/>
        <v>0</v>
      </c>
      <c r="BT465">
        <f t="shared" si="62"/>
        <v>0</v>
      </c>
    </row>
    <row r="466" spans="1:72" x14ac:dyDescent="0.35">
      <c r="A466">
        <v>2013</v>
      </c>
      <c r="B466" t="s">
        <v>83</v>
      </c>
      <c r="C466" t="s">
        <v>84</v>
      </c>
      <c r="D466" s="2">
        <v>589977.69999999995</v>
      </c>
      <c r="I466">
        <v>2773</v>
      </c>
      <c r="AL466">
        <v>2773</v>
      </c>
      <c r="BM466" s="11">
        <f t="shared" si="63"/>
        <v>0</v>
      </c>
      <c r="BN466" s="11">
        <f t="shared" si="56"/>
        <v>0</v>
      </c>
      <c r="BO466" s="11">
        <f t="shared" si="57"/>
        <v>5546</v>
      </c>
      <c r="BP466" s="11">
        <f t="shared" si="58"/>
        <v>0</v>
      </c>
      <c r="BQ466">
        <f t="shared" si="59"/>
        <v>0</v>
      </c>
      <c r="BR466">
        <f t="shared" si="60"/>
        <v>0</v>
      </c>
      <c r="BS466">
        <f t="shared" si="61"/>
        <v>0</v>
      </c>
      <c r="BT466">
        <f t="shared" si="62"/>
        <v>0</v>
      </c>
    </row>
    <row r="467" spans="1:72" x14ac:dyDescent="0.35">
      <c r="A467">
        <v>2013</v>
      </c>
      <c r="B467" t="s">
        <v>85</v>
      </c>
      <c r="C467" t="s">
        <v>86</v>
      </c>
      <c r="D467" s="2">
        <v>485648.9</v>
      </c>
      <c r="E467">
        <v>1114</v>
      </c>
      <c r="H467">
        <v>18722</v>
      </c>
      <c r="J467">
        <v>236</v>
      </c>
      <c r="K467">
        <v>394</v>
      </c>
      <c r="L467">
        <v>5334</v>
      </c>
      <c r="W467">
        <v>1885</v>
      </c>
      <c r="AB467">
        <v>239</v>
      </c>
      <c r="AF467">
        <v>343</v>
      </c>
      <c r="AG467">
        <v>26</v>
      </c>
      <c r="AI467">
        <v>1114</v>
      </c>
      <c r="AN467">
        <v>18722</v>
      </c>
      <c r="AS467">
        <v>845</v>
      </c>
      <c r="BC467">
        <v>419</v>
      </c>
      <c r="BM467" s="11">
        <f t="shared" si="63"/>
        <v>2228</v>
      </c>
      <c r="BN467" s="11">
        <f t="shared" si="56"/>
        <v>37444</v>
      </c>
      <c r="BO467" s="11">
        <f t="shared" si="57"/>
        <v>0</v>
      </c>
      <c r="BP467" s="11">
        <f t="shared" si="58"/>
        <v>0</v>
      </c>
      <c r="BQ467">
        <f t="shared" si="59"/>
        <v>236</v>
      </c>
      <c r="BR467">
        <f t="shared" si="60"/>
        <v>394</v>
      </c>
      <c r="BS467">
        <f t="shared" si="61"/>
        <v>845</v>
      </c>
      <c r="BT467">
        <f t="shared" si="62"/>
        <v>1885</v>
      </c>
    </row>
    <row r="468" spans="1:72" x14ac:dyDescent="0.35">
      <c r="A468">
        <v>2013</v>
      </c>
      <c r="B468" t="s">
        <v>87</v>
      </c>
      <c r="C468" t="s">
        <v>88</v>
      </c>
      <c r="D468" s="2">
        <v>104956.6</v>
      </c>
      <c r="E468">
        <v>172</v>
      </c>
      <c r="H468">
        <v>4262</v>
      </c>
      <c r="AI468">
        <v>172</v>
      </c>
      <c r="AO468">
        <v>2867</v>
      </c>
      <c r="AP468">
        <v>1395</v>
      </c>
      <c r="BE468">
        <v>23</v>
      </c>
      <c r="BJ468">
        <v>60</v>
      </c>
      <c r="BM468" s="11">
        <f t="shared" si="63"/>
        <v>427</v>
      </c>
      <c r="BN468" s="11">
        <f t="shared" si="56"/>
        <v>8524</v>
      </c>
      <c r="BO468" s="11">
        <f t="shared" si="57"/>
        <v>0</v>
      </c>
      <c r="BP468" s="11">
        <f t="shared" si="58"/>
        <v>0</v>
      </c>
      <c r="BQ468">
        <f t="shared" si="59"/>
        <v>0</v>
      </c>
      <c r="BR468">
        <f t="shared" si="60"/>
        <v>0</v>
      </c>
      <c r="BS468">
        <f t="shared" si="61"/>
        <v>0</v>
      </c>
      <c r="BT468">
        <f t="shared" si="62"/>
        <v>0</v>
      </c>
    </row>
    <row r="469" spans="1:72" x14ac:dyDescent="0.35">
      <c r="A469">
        <v>2013</v>
      </c>
      <c r="B469" t="s">
        <v>89</v>
      </c>
      <c r="C469" t="s">
        <v>90</v>
      </c>
      <c r="D469" s="2">
        <v>245420.7</v>
      </c>
      <c r="I469">
        <v>795</v>
      </c>
      <c r="AK469">
        <v>399</v>
      </c>
      <c r="AL469">
        <v>396</v>
      </c>
      <c r="BE469">
        <v>2</v>
      </c>
      <c r="BJ469">
        <v>51</v>
      </c>
      <c r="BM469" s="11">
        <f t="shared" si="63"/>
        <v>53</v>
      </c>
      <c r="BN469" s="11">
        <f t="shared" si="56"/>
        <v>0</v>
      </c>
      <c r="BO469" s="11">
        <f t="shared" si="57"/>
        <v>1590</v>
      </c>
      <c r="BP469" s="11">
        <f t="shared" si="58"/>
        <v>0</v>
      </c>
      <c r="BQ469">
        <f t="shared" si="59"/>
        <v>0</v>
      </c>
      <c r="BR469">
        <f t="shared" si="60"/>
        <v>0</v>
      </c>
      <c r="BS469">
        <f t="shared" si="61"/>
        <v>0</v>
      </c>
      <c r="BT469">
        <f t="shared" si="62"/>
        <v>0</v>
      </c>
    </row>
    <row r="470" spans="1:72" x14ac:dyDescent="0.35">
      <c r="A470">
        <v>2013</v>
      </c>
      <c r="B470" t="s">
        <v>91</v>
      </c>
      <c r="C470" t="s">
        <v>92</v>
      </c>
      <c r="D470" s="2">
        <v>22675.4</v>
      </c>
      <c r="I470">
        <v>295</v>
      </c>
      <c r="AK470">
        <v>11</v>
      </c>
      <c r="AL470">
        <v>284</v>
      </c>
      <c r="BM470" s="11">
        <f t="shared" si="63"/>
        <v>0</v>
      </c>
      <c r="BN470" s="11">
        <f t="shared" si="56"/>
        <v>0</v>
      </c>
      <c r="BO470" s="11">
        <f t="shared" si="57"/>
        <v>590</v>
      </c>
      <c r="BP470" s="11">
        <f t="shared" si="58"/>
        <v>0</v>
      </c>
      <c r="BQ470">
        <f t="shared" si="59"/>
        <v>0</v>
      </c>
      <c r="BR470">
        <f t="shared" si="60"/>
        <v>0</v>
      </c>
      <c r="BS470">
        <f t="shared" si="61"/>
        <v>0</v>
      </c>
      <c r="BT470">
        <f t="shared" si="62"/>
        <v>0</v>
      </c>
    </row>
    <row r="471" spans="1:72" x14ac:dyDescent="0.35">
      <c r="A471">
        <v>2013</v>
      </c>
      <c r="B471" t="s">
        <v>93</v>
      </c>
      <c r="C471" t="s">
        <v>94</v>
      </c>
      <c r="D471" s="2">
        <v>1850826.3</v>
      </c>
      <c r="BM471" s="11">
        <f t="shared" si="63"/>
        <v>0</v>
      </c>
      <c r="BN471" s="11">
        <f t="shared" si="56"/>
        <v>0</v>
      </c>
      <c r="BO471" s="11">
        <f t="shared" si="57"/>
        <v>0</v>
      </c>
      <c r="BP471" s="11">
        <f t="shared" si="58"/>
        <v>0</v>
      </c>
      <c r="BQ471">
        <f t="shared" si="59"/>
        <v>0</v>
      </c>
      <c r="BR471">
        <f t="shared" si="60"/>
        <v>0</v>
      </c>
      <c r="BS471">
        <f t="shared" si="61"/>
        <v>0</v>
      </c>
      <c r="BT471">
        <f t="shared" si="62"/>
        <v>0</v>
      </c>
    </row>
    <row r="472" spans="1:72" x14ac:dyDescent="0.35">
      <c r="A472">
        <v>2012</v>
      </c>
      <c r="B472" t="s">
        <v>1</v>
      </c>
      <c r="C472" t="s">
        <v>2</v>
      </c>
      <c r="D472" s="2">
        <v>699018.1</v>
      </c>
      <c r="E472">
        <v>787</v>
      </c>
      <c r="H472">
        <v>6008</v>
      </c>
      <c r="I472">
        <v>4451</v>
      </c>
      <c r="J472">
        <v>38</v>
      </c>
      <c r="K472">
        <v>203</v>
      </c>
      <c r="P472">
        <v>2099</v>
      </c>
      <c r="V472">
        <v>91</v>
      </c>
      <c r="AB472">
        <v>109</v>
      </c>
      <c r="AE472">
        <v>458</v>
      </c>
      <c r="AI472">
        <v>787</v>
      </c>
      <c r="AM472">
        <v>4451</v>
      </c>
      <c r="AN472">
        <v>6008</v>
      </c>
      <c r="BB472">
        <v>148</v>
      </c>
      <c r="BM472" s="11">
        <f t="shared" si="63"/>
        <v>1574</v>
      </c>
      <c r="BN472" s="11">
        <f t="shared" si="56"/>
        <v>12016</v>
      </c>
      <c r="BO472" s="11">
        <f t="shared" si="57"/>
        <v>8902</v>
      </c>
      <c r="BP472" s="11">
        <f t="shared" si="58"/>
        <v>0</v>
      </c>
      <c r="BQ472">
        <f t="shared" si="59"/>
        <v>38</v>
      </c>
      <c r="BR472">
        <f t="shared" si="60"/>
        <v>351</v>
      </c>
      <c r="BS472">
        <f t="shared" si="61"/>
        <v>0</v>
      </c>
      <c r="BT472">
        <f t="shared" si="62"/>
        <v>91</v>
      </c>
    </row>
    <row r="473" spans="1:72" x14ac:dyDescent="0.35">
      <c r="A473">
        <v>2012</v>
      </c>
      <c r="B473" t="s">
        <v>3</v>
      </c>
      <c r="C473" t="s">
        <v>4</v>
      </c>
      <c r="D473" s="2">
        <v>196643.20000000001</v>
      </c>
      <c r="BM473" s="11">
        <f t="shared" si="63"/>
        <v>0</v>
      </c>
      <c r="BN473" s="11">
        <f t="shared" si="56"/>
        <v>0</v>
      </c>
      <c r="BO473" s="11">
        <f t="shared" si="57"/>
        <v>0</v>
      </c>
      <c r="BP473" s="11">
        <f t="shared" si="58"/>
        <v>0</v>
      </c>
      <c r="BQ473">
        <f t="shared" si="59"/>
        <v>0</v>
      </c>
      <c r="BR473">
        <f t="shared" si="60"/>
        <v>0</v>
      </c>
      <c r="BS473">
        <f t="shared" si="61"/>
        <v>0</v>
      </c>
      <c r="BT473">
        <f t="shared" si="62"/>
        <v>0</v>
      </c>
    </row>
    <row r="474" spans="1:72" x14ac:dyDescent="0.35">
      <c r="A474">
        <v>2012</v>
      </c>
      <c r="B474" t="s">
        <v>5</v>
      </c>
      <c r="C474" t="s">
        <v>6</v>
      </c>
      <c r="D474" s="2">
        <v>6575.5</v>
      </c>
      <c r="BM474" s="11">
        <f t="shared" si="63"/>
        <v>0</v>
      </c>
      <c r="BN474" s="11">
        <f t="shared" si="56"/>
        <v>0</v>
      </c>
      <c r="BO474" s="11">
        <f t="shared" si="57"/>
        <v>0</v>
      </c>
      <c r="BP474" s="11">
        <f t="shared" si="58"/>
        <v>0</v>
      </c>
      <c r="BQ474">
        <f t="shared" si="59"/>
        <v>0</v>
      </c>
      <c r="BR474">
        <f t="shared" si="60"/>
        <v>0</v>
      </c>
      <c r="BS474">
        <f t="shared" si="61"/>
        <v>0</v>
      </c>
      <c r="BT474">
        <f t="shared" si="62"/>
        <v>0</v>
      </c>
    </row>
    <row r="475" spans="1:72" x14ac:dyDescent="0.35">
      <c r="A475">
        <v>2012</v>
      </c>
      <c r="B475" t="s">
        <v>7</v>
      </c>
      <c r="C475" t="s">
        <v>8</v>
      </c>
      <c r="D475" s="2">
        <v>3026941</v>
      </c>
      <c r="BM475" s="11">
        <f t="shared" si="63"/>
        <v>0</v>
      </c>
      <c r="BN475" s="11">
        <f t="shared" si="56"/>
        <v>0</v>
      </c>
      <c r="BO475" s="11">
        <f t="shared" si="57"/>
        <v>0</v>
      </c>
      <c r="BP475" s="11">
        <f t="shared" si="58"/>
        <v>0</v>
      </c>
      <c r="BQ475">
        <f t="shared" si="59"/>
        <v>0</v>
      </c>
      <c r="BR475">
        <f t="shared" si="60"/>
        <v>0</v>
      </c>
      <c r="BS475">
        <f t="shared" si="61"/>
        <v>0</v>
      </c>
      <c r="BT475">
        <f t="shared" si="62"/>
        <v>0</v>
      </c>
    </row>
    <row r="476" spans="1:72" x14ac:dyDescent="0.35">
      <c r="A476">
        <v>2012</v>
      </c>
      <c r="B476" t="s">
        <v>9</v>
      </c>
      <c r="C476" t="s">
        <v>10</v>
      </c>
      <c r="D476" s="2">
        <v>3248329.2</v>
      </c>
      <c r="BM476" s="11">
        <f t="shared" si="63"/>
        <v>0</v>
      </c>
      <c r="BN476" s="11">
        <f t="shared" si="56"/>
        <v>0</v>
      </c>
      <c r="BO476" s="11">
        <f t="shared" si="57"/>
        <v>0</v>
      </c>
      <c r="BP476" s="11">
        <f t="shared" si="58"/>
        <v>0</v>
      </c>
      <c r="BQ476">
        <f t="shared" si="59"/>
        <v>0</v>
      </c>
      <c r="BR476">
        <f t="shared" si="60"/>
        <v>0</v>
      </c>
      <c r="BS476">
        <f t="shared" si="61"/>
        <v>0</v>
      </c>
      <c r="BT476">
        <f t="shared" si="62"/>
        <v>0</v>
      </c>
    </row>
    <row r="477" spans="1:72" x14ac:dyDescent="0.35">
      <c r="A477">
        <v>2012</v>
      </c>
      <c r="B477" t="s">
        <v>11</v>
      </c>
      <c r="C477" t="s">
        <v>12</v>
      </c>
      <c r="D477" s="2">
        <v>6713643.7999999998</v>
      </c>
      <c r="AV477">
        <v>144</v>
      </c>
      <c r="BM477" s="11">
        <f t="shared" si="63"/>
        <v>144</v>
      </c>
      <c r="BN477" s="11">
        <f t="shared" si="56"/>
        <v>0</v>
      </c>
      <c r="BO477" s="11">
        <f t="shared" si="57"/>
        <v>0</v>
      </c>
      <c r="BP477" s="11">
        <f t="shared" si="58"/>
        <v>0</v>
      </c>
      <c r="BQ477">
        <f t="shared" si="59"/>
        <v>0</v>
      </c>
      <c r="BR477">
        <f t="shared" si="60"/>
        <v>0</v>
      </c>
      <c r="BS477">
        <f t="shared" si="61"/>
        <v>0</v>
      </c>
      <c r="BT477">
        <f t="shared" si="62"/>
        <v>0</v>
      </c>
    </row>
    <row r="478" spans="1:72" x14ac:dyDescent="0.35">
      <c r="A478">
        <v>2012</v>
      </c>
      <c r="B478" t="s">
        <v>13</v>
      </c>
      <c r="C478" t="s">
        <v>14</v>
      </c>
      <c r="D478" s="2">
        <v>59226.3</v>
      </c>
      <c r="BM478" s="11">
        <f t="shared" si="63"/>
        <v>0</v>
      </c>
      <c r="BN478" s="11">
        <f t="shared" si="56"/>
        <v>0</v>
      </c>
      <c r="BO478" s="11">
        <f t="shared" si="57"/>
        <v>0</v>
      </c>
      <c r="BP478" s="11">
        <f t="shared" si="58"/>
        <v>0</v>
      </c>
      <c r="BQ478">
        <f t="shared" si="59"/>
        <v>0</v>
      </c>
      <c r="BR478">
        <f t="shared" si="60"/>
        <v>0</v>
      </c>
      <c r="BS478">
        <f t="shared" si="61"/>
        <v>0</v>
      </c>
      <c r="BT478">
        <f t="shared" si="62"/>
        <v>0</v>
      </c>
    </row>
    <row r="479" spans="1:72" x14ac:dyDescent="0.35">
      <c r="A479">
        <v>2012</v>
      </c>
      <c r="B479" t="s">
        <v>15</v>
      </c>
      <c r="C479" t="s">
        <v>16</v>
      </c>
      <c r="D479" s="2">
        <v>140118.5</v>
      </c>
      <c r="BM479" s="11">
        <f t="shared" si="63"/>
        <v>0</v>
      </c>
      <c r="BN479" s="11">
        <f t="shared" si="56"/>
        <v>0</v>
      </c>
      <c r="BO479" s="11">
        <f t="shared" si="57"/>
        <v>0</v>
      </c>
      <c r="BP479" s="11">
        <f t="shared" si="58"/>
        <v>0</v>
      </c>
      <c r="BQ479">
        <f t="shared" si="59"/>
        <v>0</v>
      </c>
      <c r="BR479">
        <f t="shared" si="60"/>
        <v>0</v>
      </c>
      <c r="BS479">
        <f t="shared" si="61"/>
        <v>0</v>
      </c>
      <c r="BT479">
        <f t="shared" si="62"/>
        <v>0</v>
      </c>
    </row>
    <row r="480" spans="1:72" x14ac:dyDescent="0.35">
      <c r="A480">
        <v>2012</v>
      </c>
      <c r="B480" t="s">
        <v>17</v>
      </c>
      <c r="C480" t="s">
        <v>18</v>
      </c>
      <c r="D480" s="2">
        <v>32540</v>
      </c>
      <c r="BM480" s="11">
        <f t="shared" si="63"/>
        <v>0</v>
      </c>
      <c r="BN480" s="11">
        <f t="shared" si="56"/>
        <v>0</v>
      </c>
      <c r="BO480" s="11">
        <f t="shared" si="57"/>
        <v>0</v>
      </c>
      <c r="BP480" s="11">
        <f t="shared" si="58"/>
        <v>0</v>
      </c>
      <c r="BQ480">
        <f t="shared" si="59"/>
        <v>0</v>
      </c>
      <c r="BR480">
        <f t="shared" si="60"/>
        <v>0</v>
      </c>
      <c r="BS480">
        <f t="shared" si="61"/>
        <v>0</v>
      </c>
      <c r="BT480">
        <f t="shared" si="62"/>
        <v>0</v>
      </c>
    </row>
    <row r="481" spans="1:72" x14ac:dyDescent="0.35">
      <c r="A481">
        <v>2012</v>
      </c>
      <c r="B481" t="s">
        <v>19</v>
      </c>
      <c r="C481" t="s">
        <v>20</v>
      </c>
      <c r="D481" s="2">
        <v>58544.2</v>
      </c>
      <c r="BM481" s="11">
        <f t="shared" si="63"/>
        <v>0</v>
      </c>
      <c r="BN481" s="11">
        <f t="shared" si="56"/>
        <v>0</v>
      </c>
      <c r="BO481" s="11">
        <f t="shared" si="57"/>
        <v>0</v>
      </c>
      <c r="BP481" s="11">
        <f t="shared" si="58"/>
        <v>0</v>
      </c>
      <c r="BQ481">
        <f t="shared" si="59"/>
        <v>0</v>
      </c>
      <c r="BR481">
        <f t="shared" si="60"/>
        <v>0</v>
      </c>
      <c r="BS481">
        <f t="shared" si="61"/>
        <v>0</v>
      </c>
      <c r="BT481">
        <f t="shared" si="62"/>
        <v>0</v>
      </c>
    </row>
    <row r="482" spans="1:72" x14ac:dyDescent="0.35">
      <c r="A482">
        <v>2012</v>
      </c>
      <c r="B482" t="s">
        <v>21</v>
      </c>
      <c r="C482" t="s">
        <v>22</v>
      </c>
      <c r="D482" s="2">
        <v>944686.2</v>
      </c>
      <c r="BM482" s="11">
        <f t="shared" si="63"/>
        <v>0</v>
      </c>
      <c r="BN482" s="11">
        <f t="shared" si="56"/>
        <v>0</v>
      </c>
      <c r="BO482" s="11">
        <f t="shared" si="57"/>
        <v>0</v>
      </c>
      <c r="BP482" s="11">
        <f t="shared" si="58"/>
        <v>0</v>
      </c>
      <c r="BQ482">
        <f t="shared" si="59"/>
        <v>0</v>
      </c>
      <c r="BR482">
        <f t="shared" si="60"/>
        <v>0</v>
      </c>
      <c r="BS482">
        <f t="shared" si="61"/>
        <v>0</v>
      </c>
      <c r="BT482">
        <f t="shared" si="62"/>
        <v>0</v>
      </c>
    </row>
    <row r="483" spans="1:72" x14ac:dyDescent="0.35">
      <c r="A483">
        <v>2012</v>
      </c>
      <c r="B483" t="s">
        <v>23</v>
      </c>
      <c r="C483" t="s">
        <v>24</v>
      </c>
      <c r="D483" s="2">
        <v>1060133.3</v>
      </c>
      <c r="BM483" s="11">
        <f t="shared" si="63"/>
        <v>0</v>
      </c>
      <c r="BN483" s="11">
        <f t="shared" si="56"/>
        <v>0</v>
      </c>
      <c r="BO483" s="11">
        <f t="shared" si="57"/>
        <v>0</v>
      </c>
      <c r="BP483" s="11">
        <f t="shared" si="58"/>
        <v>0</v>
      </c>
      <c r="BQ483">
        <f t="shared" si="59"/>
        <v>0</v>
      </c>
      <c r="BR483">
        <f t="shared" si="60"/>
        <v>0</v>
      </c>
      <c r="BS483">
        <f t="shared" si="61"/>
        <v>0</v>
      </c>
      <c r="BT483">
        <f t="shared" si="62"/>
        <v>0</v>
      </c>
    </row>
    <row r="484" spans="1:72" x14ac:dyDescent="0.35">
      <c r="A484">
        <v>2012</v>
      </c>
      <c r="B484" t="s">
        <v>25</v>
      </c>
      <c r="C484" t="s">
        <v>26</v>
      </c>
      <c r="D484" s="2">
        <v>376547.2</v>
      </c>
      <c r="H484">
        <v>5138</v>
      </c>
      <c r="I484">
        <v>1480</v>
      </c>
      <c r="AB484">
        <v>241</v>
      </c>
      <c r="AE484">
        <v>845</v>
      </c>
      <c r="AM484">
        <v>1480</v>
      </c>
      <c r="AN484">
        <v>5138</v>
      </c>
      <c r="AT484">
        <v>26</v>
      </c>
      <c r="BM484" s="11">
        <f t="shared" si="63"/>
        <v>26</v>
      </c>
      <c r="BN484" s="11">
        <f t="shared" si="56"/>
        <v>10276</v>
      </c>
      <c r="BO484" s="11">
        <f t="shared" si="57"/>
        <v>2960</v>
      </c>
      <c r="BP484" s="11">
        <f t="shared" si="58"/>
        <v>0</v>
      </c>
      <c r="BQ484">
        <f t="shared" si="59"/>
        <v>0</v>
      </c>
      <c r="BR484">
        <f t="shared" si="60"/>
        <v>0</v>
      </c>
      <c r="BS484">
        <f t="shared" si="61"/>
        <v>0</v>
      </c>
      <c r="BT484">
        <f t="shared" si="62"/>
        <v>0</v>
      </c>
    </row>
    <row r="485" spans="1:72" x14ac:dyDescent="0.35">
      <c r="A485">
        <v>2012</v>
      </c>
      <c r="B485" t="s">
        <v>27</v>
      </c>
      <c r="C485" t="s">
        <v>28</v>
      </c>
      <c r="D485" s="2">
        <v>59490.1</v>
      </c>
      <c r="E485">
        <v>819</v>
      </c>
      <c r="H485">
        <v>5816</v>
      </c>
      <c r="J485">
        <v>55</v>
      </c>
      <c r="P485">
        <v>166</v>
      </c>
      <c r="AI485">
        <v>819</v>
      </c>
      <c r="AN485">
        <v>5816</v>
      </c>
      <c r="BM485" s="11">
        <f t="shared" si="63"/>
        <v>1638</v>
      </c>
      <c r="BN485" s="11">
        <f t="shared" si="56"/>
        <v>11632</v>
      </c>
      <c r="BO485" s="11">
        <f t="shared" si="57"/>
        <v>0</v>
      </c>
      <c r="BP485" s="11">
        <f t="shared" si="58"/>
        <v>0</v>
      </c>
      <c r="BQ485">
        <f t="shared" si="59"/>
        <v>55</v>
      </c>
      <c r="BR485">
        <f t="shared" si="60"/>
        <v>0</v>
      </c>
      <c r="BS485">
        <f t="shared" si="61"/>
        <v>0</v>
      </c>
      <c r="BT485">
        <f t="shared" si="62"/>
        <v>0</v>
      </c>
    </row>
    <row r="486" spans="1:72" x14ac:dyDescent="0.35">
      <c r="A486">
        <v>2012</v>
      </c>
      <c r="B486" t="s">
        <v>29</v>
      </c>
      <c r="C486" t="s">
        <v>30</v>
      </c>
      <c r="D486" s="2">
        <v>423678.2</v>
      </c>
      <c r="E486">
        <v>498</v>
      </c>
      <c r="F486">
        <v>475</v>
      </c>
      <c r="H486">
        <v>6486</v>
      </c>
      <c r="I486">
        <v>16</v>
      </c>
      <c r="K486">
        <v>4</v>
      </c>
      <c r="AL486">
        <v>16</v>
      </c>
      <c r="AO486">
        <v>3643</v>
      </c>
      <c r="AP486">
        <v>2843</v>
      </c>
      <c r="BI486">
        <v>23</v>
      </c>
      <c r="BM486" s="11">
        <f t="shared" si="63"/>
        <v>996</v>
      </c>
      <c r="BN486" s="11">
        <f t="shared" si="56"/>
        <v>12972</v>
      </c>
      <c r="BO486" s="11">
        <f t="shared" si="57"/>
        <v>32</v>
      </c>
      <c r="BP486" s="11">
        <f t="shared" si="58"/>
        <v>0</v>
      </c>
      <c r="BQ486">
        <f t="shared" si="59"/>
        <v>0</v>
      </c>
      <c r="BR486">
        <f t="shared" si="60"/>
        <v>4</v>
      </c>
      <c r="BS486">
        <f t="shared" si="61"/>
        <v>0</v>
      </c>
      <c r="BT486">
        <f t="shared" si="62"/>
        <v>0</v>
      </c>
    </row>
    <row r="487" spans="1:72" x14ac:dyDescent="0.35">
      <c r="A487">
        <v>2012</v>
      </c>
      <c r="B487" t="s">
        <v>31</v>
      </c>
      <c r="C487" t="s">
        <v>32</v>
      </c>
      <c r="D487" s="2">
        <v>11441.9</v>
      </c>
      <c r="E487">
        <v>260</v>
      </c>
      <c r="H487">
        <v>551</v>
      </c>
      <c r="AI487">
        <v>260</v>
      </c>
      <c r="AN487">
        <v>551</v>
      </c>
      <c r="BM487" s="11">
        <f t="shared" si="63"/>
        <v>520</v>
      </c>
      <c r="BN487" s="11">
        <f t="shared" si="56"/>
        <v>1102</v>
      </c>
      <c r="BO487" s="11">
        <f t="shared" si="57"/>
        <v>0</v>
      </c>
      <c r="BP487" s="11">
        <f t="shared" si="58"/>
        <v>0</v>
      </c>
      <c r="BQ487">
        <f t="shared" si="59"/>
        <v>0</v>
      </c>
      <c r="BR487">
        <f t="shared" si="60"/>
        <v>0</v>
      </c>
      <c r="BS487">
        <f t="shared" si="61"/>
        <v>0</v>
      </c>
      <c r="BT487">
        <f t="shared" si="62"/>
        <v>0</v>
      </c>
    </row>
    <row r="488" spans="1:72" x14ac:dyDescent="0.35">
      <c r="A488">
        <v>2012</v>
      </c>
      <c r="B488" t="s">
        <v>33</v>
      </c>
      <c r="C488" t="s">
        <v>34</v>
      </c>
      <c r="D488" s="2">
        <v>791411.5</v>
      </c>
      <c r="BM488" s="11">
        <f t="shared" si="63"/>
        <v>0</v>
      </c>
      <c r="BN488" s="11">
        <f t="shared" si="56"/>
        <v>0</v>
      </c>
      <c r="BO488" s="11">
        <f t="shared" si="57"/>
        <v>0</v>
      </c>
      <c r="BP488" s="11">
        <f t="shared" si="58"/>
        <v>0</v>
      </c>
      <c r="BQ488">
        <f t="shared" si="59"/>
        <v>0</v>
      </c>
      <c r="BR488">
        <f t="shared" si="60"/>
        <v>0</v>
      </c>
      <c r="BS488">
        <f t="shared" si="61"/>
        <v>0</v>
      </c>
      <c r="BT488">
        <f t="shared" si="62"/>
        <v>0</v>
      </c>
    </row>
    <row r="489" spans="1:72" x14ac:dyDescent="0.35">
      <c r="A489">
        <v>2012</v>
      </c>
      <c r="B489" t="s">
        <v>35</v>
      </c>
      <c r="C489" t="s">
        <v>36</v>
      </c>
      <c r="D489" s="2">
        <v>579359.69999999995</v>
      </c>
      <c r="E489">
        <v>528</v>
      </c>
      <c r="H489">
        <v>3141</v>
      </c>
      <c r="I489">
        <v>416</v>
      </c>
      <c r="K489">
        <v>68</v>
      </c>
      <c r="AI489">
        <v>528</v>
      </c>
      <c r="AM489">
        <v>416</v>
      </c>
      <c r="AN489">
        <v>3141</v>
      </c>
      <c r="BM489" s="11">
        <f t="shared" si="63"/>
        <v>1056</v>
      </c>
      <c r="BN489" s="11">
        <f t="shared" si="56"/>
        <v>6282</v>
      </c>
      <c r="BO489" s="11">
        <f t="shared" si="57"/>
        <v>832</v>
      </c>
      <c r="BP489" s="11">
        <f t="shared" si="58"/>
        <v>0</v>
      </c>
      <c r="BQ489">
        <f t="shared" si="59"/>
        <v>0</v>
      </c>
      <c r="BR489">
        <f t="shared" si="60"/>
        <v>68</v>
      </c>
      <c r="BS489">
        <f t="shared" si="61"/>
        <v>0</v>
      </c>
      <c r="BT489">
        <f t="shared" si="62"/>
        <v>0</v>
      </c>
    </row>
    <row r="490" spans="1:72" x14ac:dyDescent="0.35">
      <c r="A490">
        <v>2012</v>
      </c>
      <c r="B490" t="s">
        <v>37</v>
      </c>
      <c r="C490" t="s">
        <v>38</v>
      </c>
      <c r="D490" s="2">
        <v>808861.1</v>
      </c>
      <c r="BM490" s="11">
        <f t="shared" si="63"/>
        <v>0</v>
      </c>
      <c r="BN490" s="11">
        <f t="shared" si="56"/>
        <v>0</v>
      </c>
      <c r="BO490" s="11">
        <f t="shared" si="57"/>
        <v>0</v>
      </c>
      <c r="BP490" s="11">
        <f t="shared" si="58"/>
        <v>0</v>
      </c>
      <c r="BQ490">
        <f t="shared" si="59"/>
        <v>0</v>
      </c>
      <c r="BR490">
        <f t="shared" si="60"/>
        <v>0</v>
      </c>
      <c r="BS490">
        <f t="shared" si="61"/>
        <v>0</v>
      </c>
      <c r="BT490">
        <f t="shared" si="62"/>
        <v>0</v>
      </c>
    </row>
    <row r="491" spans="1:72" x14ac:dyDescent="0.35">
      <c r="A491">
        <v>2012</v>
      </c>
      <c r="B491" t="s">
        <v>39</v>
      </c>
      <c r="C491" t="s">
        <v>40</v>
      </c>
      <c r="D491" s="2">
        <v>42828</v>
      </c>
      <c r="BM491" s="11">
        <f t="shared" si="63"/>
        <v>0</v>
      </c>
      <c r="BN491" s="11">
        <f t="shared" si="56"/>
        <v>0</v>
      </c>
      <c r="BO491" s="11">
        <f t="shared" si="57"/>
        <v>0</v>
      </c>
      <c r="BP491" s="11">
        <f t="shared" si="58"/>
        <v>0</v>
      </c>
      <c r="BQ491">
        <f t="shared" si="59"/>
        <v>0</v>
      </c>
      <c r="BR491">
        <f t="shared" si="60"/>
        <v>0</v>
      </c>
      <c r="BS491">
        <f t="shared" si="61"/>
        <v>0</v>
      </c>
      <c r="BT491">
        <f t="shared" si="62"/>
        <v>0</v>
      </c>
    </row>
    <row r="492" spans="1:72" x14ac:dyDescent="0.35">
      <c r="A492">
        <v>2012</v>
      </c>
      <c r="B492" t="s">
        <v>41</v>
      </c>
      <c r="C492" t="s">
        <v>42</v>
      </c>
      <c r="D492" s="2">
        <v>81185.8</v>
      </c>
      <c r="H492">
        <v>2386</v>
      </c>
      <c r="AN492">
        <v>2386</v>
      </c>
      <c r="BH492">
        <v>127</v>
      </c>
      <c r="BK492">
        <v>656</v>
      </c>
      <c r="BM492" s="11">
        <f t="shared" si="63"/>
        <v>0</v>
      </c>
      <c r="BN492" s="11">
        <f t="shared" si="56"/>
        <v>4772</v>
      </c>
      <c r="BO492" s="11">
        <f t="shared" si="57"/>
        <v>0</v>
      </c>
      <c r="BP492" s="11">
        <f t="shared" si="58"/>
        <v>0</v>
      </c>
      <c r="BQ492">
        <f t="shared" si="59"/>
        <v>0</v>
      </c>
      <c r="BR492">
        <f t="shared" si="60"/>
        <v>0</v>
      </c>
      <c r="BS492">
        <f t="shared" si="61"/>
        <v>0</v>
      </c>
      <c r="BT492">
        <f t="shared" si="62"/>
        <v>0</v>
      </c>
    </row>
    <row r="493" spans="1:72" x14ac:dyDescent="0.35">
      <c r="A493">
        <v>2012</v>
      </c>
      <c r="B493" t="s">
        <v>43</v>
      </c>
      <c r="C493" t="s">
        <v>44</v>
      </c>
      <c r="D493" s="2">
        <v>867829</v>
      </c>
      <c r="E493">
        <v>2486</v>
      </c>
      <c r="AI493">
        <v>2486</v>
      </c>
      <c r="BM493" s="11">
        <f t="shared" si="63"/>
        <v>4972</v>
      </c>
      <c r="BN493" s="11">
        <f t="shared" si="56"/>
        <v>0</v>
      </c>
      <c r="BO493" s="11">
        <f t="shared" si="57"/>
        <v>0</v>
      </c>
      <c r="BP493" s="11">
        <f t="shared" si="58"/>
        <v>0</v>
      </c>
      <c r="BQ493">
        <f t="shared" si="59"/>
        <v>0</v>
      </c>
      <c r="BR493">
        <f t="shared" si="60"/>
        <v>0</v>
      </c>
      <c r="BS493">
        <f t="shared" si="61"/>
        <v>0</v>
      </c>
      <c r="BT493">
        <f t="shared" si="62"/>
        <v>0</v>
      </c>
    </row>
    <row r="494" spans="1:72" x14ac:dyDescent="0.35">
      <c r="A494">
        <v>2012</v>
      </c>
      <c r="B494" t="s">
        <v>45</v>
      </c>
      <c r="C494" t="s">
        <v>46</v>
      </c>
      <c r="D494" s="2">
        <v>399755.3</v>
      </c>
      <c r="BM494" s="11">
        <f t="shared" si="63"/>
        <v>0</v>
      </c>
      <c r="BN494" s="11">
        <f t="shared" si="56"/>
        <v>0</v>
      </c>
      <c r="BO494" s="11">
        <f t="shared" si="57"/>
        <v>0</v>
      </c>
      <c r="BP494" s="11">
        <f t="shared" si="58"/>
        <v>0</v>
      </c>
      <c r="BQ494">
        <f t="shared" si="59"/>
        <v>0</v>
      </c>
      <c r="BR494">
        <f t="shared" si="60"/>
        <v>0</v>
      </c>
      <c r="BS494">
        <f t="shared" si="61"/>
        <v>0</v>
      </c>
      <c r="BT494">
        <f t="shared" si="62"/>
        <v>0</v>
      </c>
    </row>
    <row r="495" spans="1:72" x14ac:dyDescent="0.35">
      <c r="A495">
        <v>2012</v>
      </c>
      <c r="B495" t="s">
        <v>47</v>
      </c>
      <c r="C495" t="s">
        <v>48</v>
      </c>
      <c r="D495" s="2">
        <v>60700.6</v>
      </c>
      <c r="BM495" s="11">
        <f t="shared" si="63"/>
        <v>0</v>
      </c>
      <c r="BN495" s="11">
        <f t="shared" si="56"/>
        <v>0</v>
      </c>
      <c r="BO495" s="11">
        <f t="shared" si="57"/>
        <v>0</v>
      </c>
      <c r="BP495" s="11">
        <f t="shared" si="58"/>
        <v>0</v>
      </c>
      <c r="BQ495">
        <f t="shared" si="59"/>
        <v>0</v>
      </c>
      <c r="BR495">
        <f t="shared" si="60"/>
        <v>0</v>
      </c>
      <c r="BS495">
        <f t="shared" si="61"/>
        <v>0</v>
      </c>
      <c r="BT495">
        <f t="shared" si="62"/>
        <v>0</v>
      </c>
    </row>
    <row r="496" spans="1:72" x14ac:dyDescent="0.35">
      <c r="A496">
        <v>2012</v>
      </c>
      <c r="B496" t="s">
        <v>49</v>
      </c>
      <c r="C496" t="s">
        <v>50</v>
      </c>
      <c r="D496" s="2">
        <v>1436441.7</v>
      </c>
      <c r="E496">
        <v>8092</v>
      </c>
      <c r="H496">
        <v>61769</v>
      </c>
      <c r="J496">
        <v>985</v>
      </c>
      <c r="K496">
        <v>2076</v>
      </c>
      <c r="AI496">
        <v>8092</v>
      </c>
      <c r="AN496">
        <v>61769</v>
      </c>
      <c r="BM496" s="11">
        <f t="shared" si="63"/>
        <v>16184</v>
      </c>
      <c r="BN496" s="11">
        <f t="shared" si="56"/>
        <v>123538</v>
      </c>
      <c r="BO496" s="11">
        <f t="shared" si="57"/>
        <v>0</v>
      </c>
      <c r="BP496" s="11">
        <f t="shared" si="58"/>
        <v>0</v>
      </c>
      <c r="BQ496">
        <f t="shared" si="59"/>
        <v>985</v>
      </c>
      <c r="BR496">
        <f t="shared" si="60"/>
        <v>2076</v>
      </c>
      <c r="BS496">
        <f t="shared" si="61"/>
        <v>0</v>
      </c>
      <c r="BT496">
        <f t="shared" si="62"/>
        <v>0</v>
      </c>
    </row>
    <row r="497" spans="1:72" x14ac:dyDescent="0.35">
      <c r="A497">
        <v>2012</v>
      </c>
      <c r="B497" t="s">
        <v>51</v>
      </c>
      <c r="C497" t="s">
        <v>52</v>
      </c>
      <c r="D497" s="2">
        <v>155206.70000000001</v>
      </c>
      <c r="BM497" s="11">
        <f t="shared" si="63"/>
        <v>0</v>
      </c>
      <c r="BN497" s="11">
        <f t="shared" si="56"/>
        <v>0</v>
      </c>
      <c r="BO497" s="11">
        <f t="shared" si="57"/>
        <v>0</v>
      </c>
      <c r="BP497" s="11">
        <f t="shared" si="58"/>
        <v>0</v>
      </c>
      <c r="BQ497">
        <f t="shared" si="59"/>
        <v>0</v>
      </c>
      <c r="BR497">
        <f t="shared" si="60"/>
        <v>0</v>
      </c>
      <c r="BS497">
        <f t="shared" si="61"/>
        <v>0</v>
      </c>
      <c r="BT497">
        <f t="shared" si="62"/>
        <v>0</v>
      </c>
    </row>
    <row r="498" spans="1:72" x14ac:dyDescent="0.35">
      <c r="A498">
        <v>2012</v>
      </c>
      <c r="B498" t="s">
        <v>53</v>
      </c>
      <c r="C498" t="s">
        <v>54</v>
      </c>
      <c r="D498" s="2">
        <v>778427</v>
      </c>
      <c r="E498">
        <v>3188</v>
      </c>
      <c r="H498">
        <v>3383</v>
      </c>
      <c r="I498">
        <v>1475</v>
      </c>
      <c r="J498">
        <v>181</v>
      </c>
      <c r="K498">
        <v>6</v>
      </c>
      <c r="V498">
        <v>755</v>
      </c>
      <c r="AI498">
        <v>3188</v>
      </c>
      <c r="AM498">
        <v>1475</v>
      </c>
      <c r="AN498">
        <v>3383</v>
      </c>
      <c r="BM498" s="11">
        <f t="shared" si="63"/>
        <v>6376</v>
      </c>
      <c r="BN498" s="11">
        <f t="shared" si="56"/>
        <v>6766</v>
      </c>
      <c r="BO498" s="11">
        <f t="shared" si="57"/>
        <v>2950</v>
      </c>
      <c r="BP498" s="11">
        <f t="shared" si="58"/>
        <v>0</v>
      </c>
      <c r="BQ498">
        <f t="shared" si="59"/>
        <v>181</v>
      </c>
      <c r="BR498">
        <f t="shared" si="60"/>
        <v>6</v>
      </c>
      <c r="BS498">
        <f t="shared" si="61"/>
        <v>0</v>
      </c>
      <c r="BT498">
        <f t="shared" si="62"/>
        <v>755</v>
      </c>
    </row>
    <row r="499" spans="1:72" x14ac:dyDescent="0.35">
      <c r="A499">
        <v>2012</v>
      </c>
      <c r="B499" t="s">
        <v>55</v>
      </c>
      <c r="C499" t="s">
        <v>56</v>
      </c>
      <c r="D499" s="2">
        <v>595474.80000000005</v>
      </c>
      <c r="BM499" s="11">
        <f t="shared" si="63"/>
        <v>0</v>
      </c>
      <c r="BN499" s="11">
        <f t="shared" si="56"/>
        <v>0</v>
      </c>
      <c r="BO499" s="11">
        <f t="shared" si="57"/>
        <v>0</v>
      </c>
      <c r="BP499" s="11">
        <f t="shared" si="58"/>
        <v>0</v>
      </c>
      <c r="BQ499">
        <f t="shared" si="59"/>
        <v>0</v>
      </c>
      <c r="BR499">
        <f t="shared" si="60"/>
        <v>0</v>
      </c>
      <c r="BS499">
        <f t="shared" si="61"/>
        <v>0</v>
      </c>
      <c r="BT499">
        <f t="shared" si="62"/>
        <v>0</v>
      </c>
    </row>
    <row r="500" spans="1:72" x14ac:dyDescent="0.35">
      <c r="A500">
        <v>2012</v>
      </c>
      <c r="B500" t="s">
        <v>57</v>
      </c>
      <c r="C500" t="s">
        <v>58</v>
      </c>
      <c r="D500" s="2">
        <v>725926.6</v>
      </c>
      <c r="E500">
        <v>1704</v>
      </c>
      <c r="H500">
        <v>4257</v>
      </c>
      <c r="I500">
        <v>1770</v>
      </c>
      <c r="AI500">
        <v>1704</v>
      </c>
      <c r="AM500">
        <v>1770</v>
      </c>
      <c r="AN500">
        <v>4257</v>
      </c>
      <c r="BE500">
        <v>7</v>
      </c>
      <c r="BJ500">
        <v>110</v>
      </c>
      <c r="BM500" s="11">
        <f t="shared" si="63"/>
        <v>3525</v>
      </c>
      <c r="BN500" s="11">
        <f t="shared" si="56"/>
        <v>8514</v>
      </c>
      <c r="BO500" s="11">
        <f t="shared" si="57"/>
        <v>3540</v>
      </c>
      <c r="BP500" s="11">
        <f t="shared" si="58"/>
        <v>0</v>
      </c>
      <c r="BQ500">
        <f t="shared" si="59"/>
        <v>0</v>
      </c>
      <c r="BR500">
        <f t="shared" si="60"/>
        <v>0</v>
      </c>
      <c r="BS500">
        <f t="shared" si="61"/>
        <v>0</v>
      </c>
      <c r="BT500">
        <f t="shared" si="62"/>
        <v>0</v>
      </c>
    </row>
    <row r="501" spans="1:72" x14ac:dyDescent="0.35">
      <c r="A501">
        <v>2012</v>
      </c>
      <c r="B501" t="s">
        <v>59</v>
      </c>
      <c r="C501" t="s">
        <v>60</v>
      </c>
      <c r="D501" s="2">
        <v>16273.7</v>
      </c>
      <c r="E501">
        <v>1722</v>
      </c>
      <c r="H501">
        <v>3737</v>
      </c>
      <c r="J501">
        <v>301</v>
      </c>
      <c r="K501">
        <v>432</v>
      </c>
      <c r="AI501">
        <v>1722</v>
      </c>
      <c r="AN501">
        <v>3737</v>
      </c>
      <c r="BM501" s="11">
        <f t="shared" si="63"/>
        <v>3444</v>
      </c>
      <c r="BN501" s="11">
        <f t="shared" si="56"/>
        <v>7474</v>
      </c>
      <c r="BO501" s="11">
        <f t="shared" si="57"/>
        <v>0</v>
      </c>
      <c r="BP501" s="11">
        <f t="shared" si="58"/>
        <v>0</v>
      </c>
      <c r="BQ501">
        <f t="shared" si="59"/>
        <v>301</v>
      </c>
      <c r="BR501">
        <f t="shared" si="60"/>
        <v>432</v>
      </c>
      <c r="BS501">
        <f t="shared" si="61"/>
        <v>0</v>
      </c>
      <c r="BT501">
        <f t="shared" si="62"/>
        <v>0</v>
      </c>
    </row>
    <row r="502" spans="1:72" x14ac:dyDescent="0.35">
      <c r="A502">
        <v>2012</v>
      </c>
      <c r="B502" t="s">
        <v>61</v>
      </c>
      <c r="C502" t="s">
        <v>62</v>
      </c>
      <c r="D502" s="2">
        <v>970830.3</v>
      </c>
      <c r="E502">
        <v>1358</v>
      </c>
      <c r="H502">
        <v>5826</v>
      </c>
      <c r="I502">
        <v>4261</v>
      </c>
      <c r="J502">
        <v>69</v>
      </c>
      <c r="K502">
        <v>72</v>
      </c>
      <c r="P502">
        <v>1213</v>
      </c>
      <c r="Q502">
        <v>305</v>
      </c>
      <c r="R502">
        <v>33</v>
      </c>
      <c r="AB502">
        <v>267</v>
      </c>
      <c r="AE502">
        <v>1425</v>
      </c>
      <c r="AI502">
        <v>1358</v>
      </c>
      <c r="AM502">
        <v>4261</v>
      </c>
      <c r="AN502">
        <v>5826</v>
      </c>
      <c r="AU502">
        <v>76</v>
      </c>
      <c r="BB502">
        <v>1390</v>
      </c>
      <c r="BC502">
        <v>281</v>
      </c>
      <c r="BM502" s="11">
        <f t="shared" si="63"/>
        <v>2716</v>
      </c>
      <c r="BN502" s="11">
        <f t="shared" si="56"/>
        <v>11652</v>
      </c>
      <c r="BO502" s="11">
        <f t="shared" si="57"/>
        <v>8522</v>
      </c>
      <c r="BP502" s="11">
        <f t="shared" si="58"/>
        <v>0</v>
      </c>
      <c r="BQ502">
        <f t="shared" si="59"/>
        <v>374</v>
      </c>
      <c r="BR502">
        <f t="shared" si="60"/>
        <v>1462</v>
      </c>
      <c r="BS502">
        <f t="shared" si="61"/>
        <v>0</v>
      </c>
      <c r="BT502">
        <f t="shared" si="62"/>
        <v>0</v>
      </c>
    </row>
    <row r="503" spans="1:72" x14ac:dyDescent="0.35">
      <c r="A503">
        <v>2012</v>
      </c>
      <c r="B503" t="s">
        <v>63</v>
      </c>
      <c r="C503" t="s">
        <v>64</v>
      </c>
      <c r="D503" s="2">
        <v>66722.8</v>
      </c>
      <c r="BM503" s="11">
        <f t="shared" si="63"/>
        <v>0</v>
      </c>
      <c r="BN503" s="11">
        <f t="shared" si="56"/>
        <v>0</v>
      </c>
      <c r="BO503" s="11">
        <f t="shared" si="57"/>
        <v>0</v>
      </c>
      <c r="BP503" s="11">
        <f t="shared" si="58"/>
        <v>0</v>
      </c>
      <c r="BQ503">
        <f t="shared" si="59"/>
        <v>0</v>
      </c>
      <c r="BR503">
        <f t="shared" si="60"/>
        <v>0</v>
      </c>
      <c r="BS503">
        <f t="shared" si="61"/>
        <v>0</v>
      </c>
      <c r="BT503">
        <f t="shared" si="62"/>
        <v>0</v>
      </c>
    </row>
    <row r="504" spans="1:72" x14ac:dyDescent="0.35">
      <c r="A504">
        <v>2012</v>
      </c>
      <c r="B504" t="s">
        <v>65</v>
      </c>
      <c r="C504" t="s">
        <v>66</v>
      </c>
      <c r="D504" s="2">
        <v>352562.3</v>
      </c>
      <c r="BM504" s="11">
        <f t="shared" si="63"/>
        <v>0</v>
      </c>
      <c r="BN504" s="11">
        <f t="shared" si="56"/>
        <v>0</v>
      </c>
      <c r="BO504" s="11">
        <f t="shared" si="57"/>
        <v>0</v>
      </c>
      <c r="BP504" s="11">
        <f t="shared" si="58"/>
        <v>0</v>
      </c>
      <c r="BQ504">
        <f t="shared" si="59"/>
        <v>0</v>
      </c>
      <c r="BR504">
        <f t="shared" si="60"/>
        <v>0</v>
      </c>
      <c r="BS504">
        <f t="shared" si="61"/>
        <v>0</v>
      </c>
      <c r="BT504">
        <f t="shared" si="62"/>
        <v>0</v>
      </c>
    </row>
    <row r="505" spans="1:72" x14ac:dyDescent="0.35">
      <c r="A505">
        <v>2012</v>
      </c>
      <c r="B505" t="s">
        <v>67</v>
      </c>
      <c r="C505" t="s">
        <v>68</v>
      </c>
      <c r="D505" s="2">
        <v>485442.2</v>
      </c>
      <c r="BM505" s="11">
        <f t="shared" si="63"/>
        <v>0</v>
      </c>
      <c r="BN505" s="11">
        <f t="shared" si="56"/>
        <v>0</v>
      </c>
      <c r="BO505" s="11">
        <f t="shared" si="57"/>
        <v>0</v>
      </c>
      <c r="BP505" s="11">
        <f t="shared" si="58"/>
        <v>0</v>
      </c>
      <c r="BQ505">
        <f t="shared" si="59"/>
        <v>0</v>
      </c>
      <c r="BR505">
        <f t="shared" si="60"/>
        <v>0</v>
      </c>
      <c r="BS505">
        <f t="shared" si="61"/>
        <v>0</v>
      </c>
      <c r="BT505">
        <f t="shared" si="62"/>
        <v>0</v>
      </c>
    </row>
    <row r="506" spans="1:72" x14ac:dyDescent="0.35">
      <c r="A506">
        <v>2012</v>
      </c>
      <c r="B506" t="s">
        <v>69</v>
      </c>
      <c r="C506" t="s">
        <v>70</v>
      </c>
      <c r="D506" s="2">
        <v>1803.6</v>
      </c>
      <c r="E506">
        <v>93</v>
      </c>
      <c r="H506">
        <v>419</v>
      </c>
      <c r="J506">
        <v>14</v>
      </c>
      <c r="K506">
        <v>4</v>
      </c>
      <c r="AI506">
        <v>93</v>
      </c>
      <c r="AN506">
        <v>419</v>
      </c>
      <c r="BM506" s="11">
        <f t="shared" si="63"/>
        <v>186</v>
      </c>
      <c r="BN506" s="11">
        <f t="shared" si="56"/>
        <v>838</v>
      </c>
      <c r="BO506" s="11">
        <f t="shared" si="57"/>
        <v>0</v>
      </c>
      <c r="BP506" s="11">
        <f t="shared" si="58"/>
        <v>0</v>
      </c>
      <c r="BQ506">
        <f t="shared" si="59"/>
        <v>14</v>
      </c>
      <c r="BR506">
        <f t="shared" si="60"/>
        <v>4</v>
      </c>
      <c r="BS506">
        <f t="shared" si="61"/>
        <v>0</v>
      </c>
      <c r="BT506">
        <f t="shared" si="62"/>
        <v>0</v>
      </c>
    </row>
    <row r="507" spans="1:72" x14ac:dyDescent="0.35">
      <c r="A507">
        <v>2012</v>
      </c>
      <c r="B507" t="s">
        <v>71</v>
      </c>
      <c r="C507" t="s">
        <v>72</v>
      </c>
      <c r="D507" s="2">
        <v>243297.8</v>
      </c>
      <c r="AT507">
        <v>3</v>
      </c>
      <c r="BJ507">
        <v>5</v>
      </c>
      <c r="BM507" s="11">
        <f t="shared" si="63"/>
        <v>8</v>
      </c>
      <c r="BN507" s="11">
        <f t="shared" si="56"/>
        <v>0</v>
      </c>
      <c r="BO507" s="11">
        <f t="shared" si="57"/>
        <v>0</v>
      </c>
      <c r="BP507" s="11">
        <f t="shared" si="58"/>
        <v>0</v>
      </c>
      <c r="BQ507">
        <f t="shared" si="59"/>
        <v>0</v>
      </c>
      <c r="BR507">
        <f t="shared" si="60"/>
        <v>0</v>
      </c>
      <c r="BS507">
        <f t="shared" si="61"/>
        <v>0</v>
      </c>
      <c r="BT507">
        <f t="shared" si="62"/>
        <v>0</v>
      </c>
    </row>
    <row r="508" spans="1:72" x14ac:dyDescent="0.35">
      <c r="A508">
        <v>2012</v>
      </c>
      <c r="B508" t="s">
        <v>73</v>
      </c>
      <c r="C508" t="s">
        <v>74</v>
      </c>
      <c r="D508" s="2">
        <v>1201525.5</v>
      </c>
      <c r="H508">
        <v>58722</v>
      </c>
      <c r="J508">
        <v>5554</v>
      </c>
      <c r="K508">
        <v>13642</v>
      </c>
      <c r="M508">
        <v>61920</v>
      </c>
      <c r="N508">
        <v>2285</v>
      </c>
      <c r="O508">
        <v>1</v>
      </c>
      <c r="Q508">
        <v>4104</v>
      </c>
      <c r="W508">
        <v>3255</v>
      </c>
      <c r="AB508">
        <v>8095</v>
      </c>
      <c r="AE508">
        <v>171</v>
      </c>
      <c r="AF508">
        <v>133</v>
      </c>
      <c r="AN508">
        <v>58722</v>
      </c>
      <c r="AU508">
        <v>3453</v>
      </c>
      <c r="AY508">
        <v>90</v>
      </c>
      <c r="BB508">
        <v>7320</v>
      </c>
      <c r="BD508">
        <v>7791</v>
      </c>
      <c r="BM508" s="11">
        <f t="shared" si="63"/>
        <v>0</v>
      </c>
      <c r="BN508" s="11">
        <f t="shared" si="56"/>
        <v>117444</v>
      </c>
      <c r="BO508" s="11">
        <f t="shared" si="57"/>
        <v>0</v>
      </c>
      <c r="BP508" s="11">
        <f t="shared" si="58"/>
        <v>0</v>
      </c>
      <c r="BQ508">
        <f t="shared" si="59"/>
        <v>9658</v>
      </c>
      <c r="BR508">
        <f t="shared" si="60"/>
        <v>20962</v>
      </c>
      <c r="BS508">
        <f t="shared" si="61"/>
        <v>0</v>
      </c>
      <c r="BT508">
        <f t="shared" si="62"/>
        <v>3255</v>
      </c>
    </row>
    <row r="509" spans="1:72" x14ac:dyDescent="0.35">
      <c r="A509">
        <v>2012</v>
      </c>
      <c r="B509" t="s">
        <v>75</v>
      </c>
      <c r="C509" t="s">
        <v>76</v>
      </c>
      <c r="D509" s="2">
        <v>408449.5</v>
      </c>
      <c r="BM509" s="11">
        <f t="shared" si="63"/>
        <v>0</v>
      </c>
      <c r="BN509" s="11">
        <f t="shared" si="56"/>
        <v>0</v>
      </c>
      <c r="BO509" s="11">
        <f t="shared" si="57"/>
        <v>0</v>
      </c>
      <c r="BP509" s="11">
        <f t="shared" si="58"/>
        <v>0</v>
      </c>
      <c r="BQ509">
        <f t="shared" si="59"/>
        <v>0</v>
      </c>
      <c r="BR509">
        <f t="shared" si="60"/>
        <v>0</v>
      </c>
      <c r="BS509">
        <f t="shared" si="61"/>
        <v>0</v>
      </c>
      <c r="BT509">
        <f t="shared" si="62"/>
        <v>0</v>
      </c>
    </row>
    <row r="510" spans="1:72" x14ac:dyDescent="0.35">
      <c r="A510">
        <v>2012</v>
      </c>
      <c r="B510" t="s">
        <v>77</v>
      </c>
      <c r="C510" t="s">
        <v>78</v>
      </c>
      <c r="D510" s="2">
        <v>174681.1</v>
      </c>
      <c r="BM510" s="11">
        <f t="shared" si="63"/>
        <v>0</v>
      </c>
      <c r="BN510" s="11">
        <f t="shared" si="56"/>
        <v>0</v>
      </c>
      <c r="BO510" s="11">
        <f t="shared" si="57"/>
        <v>0</v>
      </c>
      <c r="BP510" s="11">
        <f t="shared" si="58"/>
        <v>0</v>
      </c>
      <c r="BQ510">
        <f t="shared" si="59"/>
        <v>0</v>
      </c>
      <c r="BR510">
        <f t="shared" si="60"/>
        <v>0</v>
      </c>
      <c r="BS510">
        <f t="shared" si="61"/>
        <v>0</v>
      </c>
      <c r="BT510">
        <f t="shared" si="62"/>
        <v>0</v>
      </c>
    </row>
    <row r="511" spans="1:72" x14ac:dyDescent="0.35">
      <c r="A511">
        <v>2012</v>
      </c>
      <c r="B511" t="s">
        <v>79</v>
      </c>
      <c r="C511" t="s">
        <v>80</v>
      </c>
      <c r="D511" s="2">
        <v>819636.9</v>
      </c>
      <c r="E511">
        <v>952</v>
      </c>
      <c r="I511">
        <v>894</v>
      </c>
      <c r="K511">
        <v>53</v>
      </c>
      <c r="AI511">
        <v>952</v>
      </c>
      <c r="AM511">
        <v>894</v>
      </c>
      <c r="BM511" s="11">
        <f t="shared" si="63"/>
        <v>1904</v>
      </c>
      <c r="BN511" s="11">
        <f t="shared" si="56"/>
        <v>0</v>
      </c>
      <c r="BO511" s="11">
        <f t="shared" si="57"/>
        <v>1788</v>
      </c>
      <c r="BP511" s="11">
        <f t="shared" si="58"/>
        <v>0</v>
      </c>
      <c r="BQ511">
        <f t="shared" si="59"/>
        <v>0</v>
      </c>
      <c r="BR511">
        <f t="shared" si="60"/>
        <v>53</v>
      </c>
      <c r="BS511">
        <f t="shared" si="61"/>
        <v>0</v>
      </c>
      <c r="BT511">
        <f t="shared" si="62"/>
        <v>0</v>
      </c>
    </row>
    <row r="512" spans="1:72" x14ac:dyDescent="0.35">
      <c r="A512">
        <v>2012</v>
      </c>
      <c r="B512" t="s">
        <v>81</v>
      </c>
      <c r="C512" t="s">
        <v>82</v>
      </c>
      <c r="D512" s="2">
        <v>1402343.9</v>
      </c>
      <c r="E512">
        <v>3370</v>
      </c>
      <c r="H512">
        <v>40816</v>
      </c>
      <c r="K512">
        <v>550</v>
      </c>
      <c r="AI512">
        <v>3370</v>
      </c>
      <c r="AN512">
        <v>40816</v>
      </c>
      <c r="BB512">
        <v>650</v>
      </c>
      <c r="BG512">
        <v>6046</v>
      </c>
      <c r="BK512">
        <v>19791</v>
      </c>
      <c r="BM512" s="11">
        <f t="shared" si="63"/>
        <v>6740</v>
      </c>
      <c r="BN512" s="11">
        <f t="shared" si="56"/>
        <v>81632</v>
      </c>
      <c r="BO512" s="11">
        <f t="shared" si="57"/>
        <v>0</v>
      </c>
      <c r="BP512" s="11">
        <f t="shared" si="58"/>
        <v>0</v>
      </c>
      <c r="BQ512">
        <f t="shared" si="59"/>
        <v>0</v>
      </c>
      <c r="BR512">
        <f t="shared" si="60"/>
        <v>1200</v>
      </c>
      <c r="BS512">
        <f t="shared" si="61"/>
        <v>0</v>
      </c>
      <c r="BT512">
        <f t="shared" si="62"/>
        <v>0</v>
      </c>
    </row>
    <row r="513" spans="1:72" x14ac:dyDescent="0.35">
      <c r="A513">
        <v>2012</v>
      </c>
      <c r="B513" t="s">
        <v>83</v>
      </c>
      <c r="C513" t="s">
        <v>84</v>
      </c>
      <c r="D513" s="2">
        <v>581879</v>
      </c>
      <c r="K513">
        <v>409</v>
      </c>
      <c r="M513">
        <v>17</v>
      </c>
      <c r="Q513">
        <v>282</v>
      </c>
      <c r="R513">
        <v>42</v>
      </c>
      <c r="W513">
        <v>566</v>
      </c>
      <c r="AB513">
        <v>500</v>
      </c>
      <c r="AE513">
        <v>1126</v>
      </c>
      <c r="AF513">
        <v>184</v>
      </c>
      <c r="AG513">
        <v>11</v>
      </c>
      <c r="AS513">
        <v>49</v>
      </c>
      <c r="AT513">
        <v>46</v>
      </c>
      <c r="AU513">
        <v>18</v>
      </c>
      <c r="AV513">
        <v>13</v>
      </c>
      <c r="AY513">
        <v>3141</v>
      </c>
      <c r="BB513">
        <v>814</v>
      </c>
      <c r="BC513">
        <v>70</v>
      </c>
      <c r="BD513">
        <v>415</v>
      </c>
      <c r="BJ513">
        <v>97</v>
      </c>
      <c r="BM513" s="11">
        <f t="shared" si="63"/>
        <v>156</v>
      </c>
      <c r="BN513" s="11">
        <f t="shared" si="56"/>
        <v>0</v>
      </c>
      <c r="BO513" s="11">
        <f t="shared" si="57"/>
        <v>0</v>
      </c>
      <c r="BP513" s="11">
        <f t="shared" si="58"/>
        <v>0</v>
      </c>
      <c r="BQ513">
        <f t="shared" si="59"/>
        <v>282</v>
      </c>
      <c r="BR513">
        <f t="shared" si="60"/>
        <v>1223</v>
      </c>
      <c r="BS513">
        <f t="shared" si="61"/>
        <v>49</v>
      </c>
      <c r="BT513">
        <f t="shared" si="62"/>
        <v>566</v>
      </c>
    </row>
    <row r="514" spans="1:72" x14ac:dyDescent="0.35">
      <c r="A514">
        <v>2012</v>
      </c>
      <c r="B514" t="s">
        <v>85</v>
      </c>
      <c r="C514" t="s">
        <v>86</v>
      </c>
      <c r="D514" s="2">
        <v>481316.8</v>
      </c>
      <c r="E514">
        <v>1059</v>
      </c>
      <c r="H514">
        <v>15536</v>
      </c>
      <c r="J514">
        <v>233</v>
      </c>
      <c r="K514">
        <v>378</v>
      </c>
      <c r="L514">
        <v>5226</v>
      </c>
      <c r="W514">
        <v>1905</v>
      </c>
      <c r="AB514">
        <v>233</v>
      </c>
      <c r="AF514">
        <v>352</v>
      </c>
      <c r="AG514">
        <v>27</v>
      </c>
      <c r="AI514">
        <v>1059</v>
      </c>
      <c r="AN514">
        <v>15536</v>
      </c>
      <c r="AS514">
        <v>855</v>
      </c>
      <c r="BC514">
        <v>377</v>
      </c>
      <c r="BM514" s="11">
        <f t="shared" si="63"/>
        <v>2118</v>
      </c>
      <c r="BN514" s="11">
        <f t="shared" si="56"/>
        <v>31072</v>
      </c>
      <c r="BO514" s="11">
        <f t="shared" si="57"/>
        <v>0</v>
      </c>
      <c r="BP514" s="11">
        <f t="shared" si="58"/>
        <v>0</v>
      </c>
      <c r="BQ514">
        <f t="shared" si="59"/>
        <v>233</v>
      </c>
      <c r="BR514">
        <f t="shared" si="60"/>
        <v>378</v>
      </c>
      <c r="BS514">
        <f t="shared" si="61"/>
        <v>855</v>
      </c>
      <c r="BT514">
        <f t="shared" si="62"/>
        <v>1905</v>
      </c>
    </row>
    <row r="515" spans="1:72" x14ac:dyDescent="0.35">
      <c r="A515">
        <v>2012</v>
      </c>
      <c r="B515" t="s">
        <v>87</v>
      </c>
      <c r="C515" t="s">
        <v>88</v>
      </c>
      <c r="D515" s="2">
        <v>105648.1</v>
      </c>
      <c r="E515">
        <v>153</v>
      </c>
      <c r="AI515">
        <v>153</v>
      </c>
      <c r="BE515">
        <v>21</v>
      </c>
      <c r="BJ515">
        <v>62</v>
      </c>
      <c r="BM515" s="11">
        <f t="shared" si="63"/>
        <v>389</v>
      </c>
      <c r="BN515" s="11">
        <f>H515+AP515+AO515+AN515+AQ515+AR515</f>
        <v>0</v>
      </c>
      <c r="BO515" s="11">
        <f>I515+AK515+AL515+AM515</f>
        <v>0</v>
      </c>
      <c r="BP515" s="11">
        <f>AZ515+Y515+AA515+BA515</f>
        <v>0</v>
      </c>
      <c r="BQ515">
        <f>J515+Q515</f>
        <v>0</v>
      </c>
      <c r="BR515">
        <f>K515+BB515</f>
        <v>0</v>
      </c>
      <c r="BS515">
        <f>S515+AS515</f>
        <v>0</v>
      </c>
      <c r="BT515">
        <f>V515+W515</f>
        <v>0</v>
      </c>
    </row>
    <row r="516" spans="1:72" x14ac:dyDescent="0.35">
      <c r="A516">
        <v>2012</v>
      </c>
      <c r="B516" t="s">
        <v>89</v>
      </c>
      <c r="C516" t="s">
        <v>90</v>
      </c>
      <c r="D516" s="2">
        <v>243236.1</v>
      </c>
      <c r="BE516">
        <v>3</v>
      </c>
      <c r="BJ516">
        <v>46</v>
      </c>
      <c r="BM516" s="11">
        <f>E516+F516+BI516+X516+AT516+BE516+G516+BJ516+AV516+AI516</f>
        <v>49</v>
      </c>
      <c r="BN516" s="11">
        <f>H516+AP516+AO516+AN516+AQ516+AR516</f>
        <v>0</v>
      </c>
      <c r="BO516" s="11">
        <f>I516+AK516+AL516+AM516</f>
        <v>0</v>
      </c>
      <c r="BP516" s="11">
        <f>AZ516+Y516+AA516+BA516</f>
        <v>0</v>
      </c>
      <c r="BQ516">
        <f>J516+Q516</f>
        <v>0</v>
      </c>
      <c r="BR516">
        <f>K516+BB516</f>
        <v>0</v>
      </c>
      <c r="BS516">
        <f>S516+AS516</f>
        <v>0</v>
      </c>
      <c r="BT516">
        <f>V516+W516</f>
        <v>0</v>
      </c>
    </row>
    <row r="517" spans="1:72" x14ac:dyDescent="0.35">
      <c r="A517">
        <v>2012</v>
      </c>
      <c r="B517" t="s">
        <v>91</v>
      </c>
      <c r="C517" t="s">
        <v>92</v>
      </c>
      <c r="D517" s="2">
        <v>22453.8</v>
      </c>
      <c r="E517">
        <v>123</v>
      </c>
      <c r="I517">
        <v>667</v>
      </c>
      <c r="J517">
        <v>18</v>
      </c>
      <c r="K517">
        <v>16</v>
      </c>
      <c r="AE517">
        <v>86</v>
      </c>
      <c r="AI517">
        <v>123</v>
      </c>
      <c r="AM517">
        <v>667</v>
      </c>
      <c r="BM517" s="11">
        <f>E517+F517+BI517+X517+AT517+BE517+G517+BJ517+AV517+AI517</f>
        <v>246</v>
      </c>
      <c r="BN517" s="11">
        <f>H517+AP517+AO517+AN517+AQ517+AR517</f>
        <v>0</v>
      </c>
      <c r="BO517" s="11">
        <f>I517+AK517+AL517+AM517</f>
        <v>1334</v>
      </c>
      <c r="BP517" s="11">
        <f>AZ517+Y517+AA517+BA517</f>
        <v>0</v>
      </c>
      <c r="BQ517">
        <f>J517+Q517</f>
        <v>18</v>
      </c>
      <c r="BR517">
        <f>K517+BB517</f>
        <v>16</v>
      </c>
      <c r="BS517">
        <f>S517+AS517</f>
        <v>0</v>
      </c>
      <c r="BT517">
        <f>V517+W517</f>
        <v>0</v>
      </c>
    </row>
    <row r="518" spans="1:72" x14ac:dyDescent="0.35">
      <c r="A518">
        <v>2012</v>
      </c>
      <c r="B518" t="s">
        <v>93</v>
      </c>
      <c r="C518" t="s">
        <v>94</v>
      </c>
      <c r="D518" s="2">
        <v>1802575.6</v>
      </c>
      <c r="E518">
        <v>1481</v>
      </c>
      <c r="H518">
        <v>20800</v>
      </c>
      <c r="J518">
        <v>99</v>
      </c>
      <c r="K518">
        <v>339</v>
      </c>
      <c r="L518">
        <v>317</v>
      </c>
      <c r="O518">
        <v>28</v>
      </c>
      <c r="Q518">
        <v>366</v>
      </c>
      <c r="R518">
        <v>44</v>
      </c>
      <c r="W518">
        <v>929</v>
      </c>
      <c r="AB518">
        <v>223</v>
      </c>
      <c r="AE518">
        <v>1997</v>
      </c>
      <c r="AF518">
        <v>89</v>
      </c>
      <c r="AG518">
        <v>16</v>
      </c>
      <c r="AH518">
        <v>470</v>
      </c>
      <c r="AI518">
        <v>1481</v>
      </c>
      <c r="AN518">
        <v>20800</v>
      </c>
      <c r="AS518">
        <v>65</v>
      </c>
      <c r="AU518">
        <v>82</v>
      </c>
      <c r="AY518">
        <v>8787</v>
      </c>
      <c r="BB518">
        <v>317</v>
      </c>
      <c r="BC518">
        <v>118</v>
      </c>
      <c r="BD518">
        <v>12</v>
      </c>
      <c r="BM518" s="11">
        <f>E518+F518+BI518+X518+AT518+BE518+G518+BJ518+AV518+AI518</f>
        <v>2962</v>
      </c>
      <c r="BN518" s="11">
        <f>H518+AP518+AO518+AN518+AQ518+AR518</f>
        <v>41600</v>
      </c>
      <c r="BO518" s="11">
        <f>I518+AK518+AL518+AM518</f>
        <v>0</v>
      </c>
      <c r="BP518" s="11">
        <f>AZ518+Y518+AA518+BA518</f>
        <v>0</v>
      </c>
      <c r="BQ518">
        <f>J518+Q518</f>
        <v>465</v>
      </c>
      <c r="BR518">
        <f>K518+BB518</f>
        <v>656</v>
      </c>
      <c r="BS518">
        <f>S518+AS518</f>
        <v>65</v>
      </c>
      <c r="BT518">
        <f>V518+W518</f>
        <v>929</v>
      </c>
    </row>
  </sheetData>
  <autoFilter ref="A1:BP518" xr:uid="{7788D211-9774-4E05-AB37-F4B5A05E8AE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1647-4EA5-49B5-87DA-1343935CF787}">
  <dimension ref="A1:Z51"/>
  <sheetViews>
    <sheetView tabSelected="1" topLeftCell="X1" workbookViewId="0">
      <selection activeCell="Y3" sqref="Y3:Y51"/>
    </sheetView>
  </sheetViews>
  <sheetFormatPr defaultRowHeight="14.5" x14ac:dyDescent="0.35"/>
  <cols>
    <col min="1" max="1" width="12.36328125" bestFit="1" customWidth="1"/>
    <col min="2" max="2" width="20.90625" bestFit="1" customWidth="1"/>
    <col min="3" max="3" width="20.81640625" bestFit="1" customWidth="1"/>
    <col min="4" max="4" width="22.54296875" bestFit="1" customWidth="1"/>
    <col min="5" max="5" width="24.6328125" bestFit="1" customWidth="1"/>
    <col min="6" max="6" width="17.453125" bestFit="1" customWidth="1"/>
    <col min="7" max="7" width="14.08984375" bestFit="1" customWidth="1"/>
    <col min="8" max="8" width="31.36328125" bestFit="1" customWidth="1"/>
    <col min="9" max="9" width="30" bestFit="1" customWidth="1"/>
    <col min="10" max="10" width="57.08984375" bestFit="1" customWidth="1"/>
    <col min="11" max="11" width="40.26953125" bestFit="1" customWidth="1"/>
    <col min="12" max="12" width="21.453125" bestFit="1" customWidth="1"/>
    <col min="13" max="13" width="43.36328125" bestFit="1" customWidth="1"/>
    <col min="14" max="14" width="45.08984375" bestFit="1" customWidth="1"/>
    <col min="15" max="15" width="23.26953125" bestFit="1" customWidth="1"/>
    <col min="16" max="16" width="55.90625" bestFit="1" customWidth="1"/>
    <col min="17" max="17" width="52.36328125" bestFit="1" customWidth="1"/>
    <col min="18" max="18" width="41.54296875" bestFit="1" customWidth="1"/>
    <col min="19" max="19" width="38.90625" bestFit="1" customWidth="1"/>
    <col min="20" max="20" width="35.1796875" bestFit="1" customWidth="1"/>
    <col min="21" max="21" width="47.08984375" bestFit="1" customWidth="1"/>
    <col min="22" max="22" width="29.453125" bestFit="1" customWidth="1"/>
    <col min="23" max="23" width="46.6328125" bestFit="1" customWidth="1"/>
    <col min="24" max="24" width="19.26953125" bestFit="1" customWidth="1"/>
    <col min="25" max="25" width="37.54296875" bestFit="1" customWidth="1"/>
    <col min="26" max="26" width="53.54296875" bestFit="1" customWidth="1"/>
  </cols>
  <sheetData>
    <row r="1" spans="1:26" x14ac:dyDescent="0.35">
      <c r="A1" s="26" t="s">
        <v>97</v>
      </c>
      <c r="B1" s="27">
        <v>2021</v>
      </c>
    </row>
    <row r="3" spans="1:26" x14ac:dyDescent="0.35">
      <c r="A3" s="26" t="s">
        <v>234</v>
      </c>
      <c r="B3" t="s">
        <v>250</v>
      </c>
      <c r="C3" t="s">
        <v>236</v>
      </c>
      <c r="D3" t="s">
        <v>237</v>
      </c>
      <c r="E3" t="s">
        <v>238</v>
      </c>
      <c r="F3" t="s">
        <v>251</v>
      </c>
      <c r="G3" t="s">
        <v>252</v>
      </c>
      <c r="H3" t="s">
        <v>243</v>
      </c>
      <c r="I3" t="s">
        <v>253</v>
      </c>
      <c r="J3" t="s">
        <v>254</v>
      </c>
      <c r="K3" t="s">
        <v>255</v>
      </c>
      <c r="L3" t="s">
        <v>256</v>
      </c>
      <c r="M3" t="s">
        <v>258</v>
      </c>
      <c r="N3" t="s">
        <v>240</v>
      </c>
      <c r="O3" t="s">
        <v>259</v>
      </c>
      <c r="P3" t="s">
        <v>241</v>
      </c>
      <c r="Q3" t="s">
        <v>260</v>
      </c>
      <c r="R3" t="s">
        <v>245</v>
      </c>
      <c r="S3" t="s">
        <v>261</v>
      </c>
      <c r="T3" t="s">
        <v>262</v>
      </c>
      <c r="U3" t="s">
        <v>242</v>
      </c>
      <c r="V3" t="s">
        <v>239</v>
      </c>
      <c r="W3" t="s">
        <v>264</v>
      </c>
      <c r="X3" t="s">
        <v>267</v>
      </c>
      <c r="Y3" t="s">
        <v>244</v>
      </c>
      <c r="Z3" t="s">
        <v>268</v>
      </c>
    </row>
    <row r="4" spans="1:26" x14ac:dyDescent="0.35">
      <c r="A4" s="27" t="s">
        <v>24</v>
      </c>
      <c r="B4">
        <v>34503773.49999997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W4">
        <v>0</v>
      </c>
      <c r="X4">
        <v>0</v>
      </c>
      <c r="Z4">
        <v>0</v>
      </c>
    </row>
    <row r="5" spans="1:26" x14ac:dyDescent="0.35">
      <c r="A5" s="27" t="s">
        <v>30</v>
      </c>
      <c r="B5">
        <v>12551212.999999998</v>
      </c>
      <c r="C5">
        <v>1816</v>
      </c>
      <c r="D5">
        <v>18744</v>
      </c>
      <c r="E5">
        <v>286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P5">
        <v>81</v>
      </c>
      <c r="S5">
        <v>7805</v>
      </c>
      <c r="U5">
        <v>729</v>
      </c>
      <c r="W5">
        <v>0</v>
      </c>
      <c r="X5">
        <v>0</v>
      </c>
      <c r="Y5">
        <v>5</v>
      </c>
      <c r="Z5">
        <v>0</v>
      </c>
    </row>
    <row r="6" spans="1:26" x14ac:dyDescent="0.35">
      <c r="A6" s="27" t="s">
        <v>26</v>
      </c>
      <c r="B6">
        <v>12996895</v>
      </c>
      <c r="C6">
        <v>5861</v>
      </c>
      <c r="D6">
        <v>10968</v>
      </c>
      <c r="E6">
        <v>4172</v>
      </c>
      <c r="F6">
        <v>505</v>
      </c>
      <c r="G6">
        <v>195</v>
      </c>
      <c r="H6">
        <v>21</v>
      </c>
      <c r="I6">
        <v>21</v>
      </c>
      <c r="J6">
        <v>1570</v>
      </c>
      <c r="K6">
        <v>6809</v>
      </c>
      <c r="M6">
        <v>0</v>
      </c>
      <c r="P6">
        <v>352</v>
      </c>
      <c r="U6">
        <v>1744</v>
      </c>
      <c r="V6">
        <v>382</v>
      </c>
      <c r="W6">
        <v>187</v>
      </c>
      <c r="X6">
        <v>0</v>
      </c>
      <c r="Z6">
        <v>0</v>
      </c>
    </row>
    <row r="7" spans="1:26" x14ac:dyDescent="0.35">
      <c r="A7" s="27" t="s">
        <v>2</v>
      </c>
      <c r="B7">
        <v>22100683.499999989</v>
      </c>
      <c r="C7">
        <v>4684</v>
      </c>
      <c r="D7">
        <v>24378</v>
      </c>
      <c r="E7">
        <v>16104</v>
      </c>
      <c r="F7">
        <v>232</v>
      </c>
      <c r="G7">
        <v>80</v>
      </c>
      <c r="H7">
        <v>2947</v>
      </c>
      <c r="I7">
        <v>15</v>
      </c>
      <c r="J7">
        <v>31</v>
      </c>
      <c r="K7">
        <v>0</v>
      </c>
      <c r="M7">
        <v>0</v>
      </c>
      <c r="N7">
        <v>899</v>
      </c>
      <c r="O7">
        <v>8</v>
      </c>
      <c r="P7">
        <v>209</v>
      </c>
      <c r="R7">
        <v>3</v>
      </c>
      <c r="W7">
        <v>47</v>
      </c>
      <c r="X7">
        <v>0</v>
      </c>
      <c r="Z7">
        <v>50</v>
      </c>
    </row>
    <row r="8" spans="1:26" x14ac:dyDescent="0.35">
      <c r="A8" s="27" t="s">
        <v>28</v>
      </c>
      <c r="B8">
        <v>2588422.9999999981</v>
      </c>
      <c r="C8">
        <v>2028</v>
      </c>
      <c r="D8">
        <v>15772</v>
      </c>
      <c r="E8">
        <v>0</v>
      </c>
      <c r="F8">
        <v>0</v>
      </c>
      <c r="G8">
        <v>0</v>
      </c>
      <c r="I8">
        <v>0</v>
      </c>
      <c r="J8">
        <v>0</v>
      </c>
      <c r="K8">
        <v>1519</v>
      </c>
      <c r="L8">
        <v>147</v>
      </c>
      <c r="M8">
        <v>35</v>
      </c>
      <c r="N8">
        <v>161</v>
      </c>
      <c r="O8">
        <v>66</v>
      </c>
      <c r="P8">
        <v>123</v>
      </c>
      <c r="Q8">
        <v>62</v>
      </c>
      <c r="R8">
        <v>6</v>
      </c>
      <c r="S8">
        <v>1355</v>
      </c>
      <c r="T8">
        <v>3629</v>
      </c>
      <c r="U8">
        <v>337</v>
      </c>
      <c r="V8">
        <v>11</v>
      </c>
      <c r="W8">
        <v>42</v>
      </c>
      <c r="X8">
        <v>0</v>
      </c>
      <c r="Y8">
        <v>8</v>
      </c>
      <c r="Z8">
        <v>0</v>
      </c>
    </row>
    <row r="9" spans="1:26" x14ac:dyDescent="0.35">
      <c r="A9" s="27" t="s">
        <v>4</v>
      </c>
      <c r="B9">
        <v>5457154.4999999991</v>
      </c>
      <c r="C9">
        <v>561</v>
      </c>
      <c r="D9">
        <v>1010</v>
      </c>
      <c r="E9">
        <v>1074</v>
      </c>
      <c r="F9">
        <v>0</v>
      </c>
      <c r="G9">
        <v>0</v>
      </c>
      <c r="H9">
        <v>1595</v>
      </c>
      <c r="I9">
        <v>0</v>
      </c>
      <c r="J9">
        <v>0</v>
      </c>
      <c r="K9">
        <v>308</v>
      </c>
      <c r="M9">
        <v>0</v>
      </c>
      <c r="U9">
        <v>47</v>
      </c>
      <c r="W9">
        <v>155</v>
      </c>
      <c r="X9">
        <v>0</v>
      </c>
      <c r="Z9">
        <v>0</v>
      </c>
    </row>
    <row r="10" spans="1:26" x14ac:dyDescent="0.35">
      <c r="A10" s="27" t="s">
        <v>38</v>
      </c>
      <c r="B10">
        <v>27478249.000000004</v>
      </c>
      <c r="C10">
        <v>9902</v>
      </c>
      <c r="D10">
        <v>25774</v>
      </c>
      <c r="E10">
        <v>14148</v>
      </c>
      <c r="F10">
        <v>233</v>
      </c>
      <c r="G10">
        <v>219</v>
      </c>
      <c r="I10">
        <v>7</v>
      </c>
      <c r="J10">
        <v>835</v>
      </c>
      <c r="K10">
        <v>4221</v>
      </c>
      <c r="M10">
        <v>0</v>
      </c>
      <c r="V10">
        <v>3480</v>
      </c>
      <c r="W10">
        <v>97</v>
      </c>
      <c r="X10">
        <v>0</v>
      </c>
      <c r="Z10">
        <v>0</v>
      </c>
    </row>
    <row r="11" spans="1:26" x14ac:dyDescent="0.35">
      <c r="A11" s="27" t="s">
        <v>34</v>
      </c>
      <c r="B11">
        <v>27198627.999999985</v>
      </c>
      <c r="C11">
        <v>7653</v>
      </c>
      <c r="D11">
        <v>9254</v>
      </c>
      <c r="E11">
        <v>1408</v>
      </c>
      <c r="F11">
        <v>281</v>
      </c>
      <c r="G11">
        <v>74</v>
      </c>
      <c r="I11">
        <v>0</v>
      </c>
      <c r="J11">
        <v>0</v>
      </c>
      <c r="K11">
        <v>0</v>
      </c>
      <c r="L11">
        <v>4216</v>
      </c>
      <c r="M11">
        <v>3</v>
      </c>
      <c r="N11">
        <v>2247</v>
      </c>
      <c r="P11">
        <v>267</v>
      </c>
      <c r="U11">
        <v>249</v>
      </c>
      <c r="W11">
        <v>21</v>
      </c>
      <c r="X11">
        <v>584</v>
      </c>
      <c r="Z11">
        <v>0</v>
      </c>
    </row>
    <row r="12" spans="1:26" x14ac:dyDescent="0.35">
      <c r="A12" s="27" t="s">
        <v>8</v>
      </c>
      <c r="B12">
        <v>95894118.499999985</v>
      </c>
      <c r="C12">
        <v>33978</v>
      </c>
      <c r="D12">
        <v>203504</v>
      </c>
      <c r="E12">
        <v>4186</v>
      </c>
      <c r="F12">
        <v>2490</v>
      </c>
      <c r="G12">
        <v>2881</v>
      </c>
      <c r="I12">
        <v>91</v>
      </c>
      <c r="J12">
        <v>2684</v>
      </c>
      <c r="K12">
        <v>0</v>
      </c>
      <c r="L12">
        <v>3724</v>
      </c>
      <c r="M12">
        <v>0</v>
      </c>
      <c r="P12">
        <v>439</v>
      </c>
      <c r="S12">
        <v>1785</v>
      </c>
      <c r="W12">
        <v>680</v>
      </c>
      <c r="X12">
        <v>0</v>
      </c>
      <c r="Z12">
        <v>0</v>
      </c>
    </row>
    <row r="13" spans="1:26" x14ac:dyDescent="0.35">
      <c r="A13" s="27" t="s">
        <v>78</v>
      </c>
      <c r="B13">
        <v>5835806.0000000009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W13">
        <v>0</v>
      </c>
      <c r="X13">
        <v>0</v>
      </c>
      <c r="Z13">
        <v>0</v>
      </c>
    </row>
    <row r="14" spans="1:26" x14ac:dyDescent="0.35">
      <c r="A14" s="27" t="s">
        <v>92</v>
      </c>
      <c r="B14">
        <v>821625.49999999988</v>
      </c>
      <c r="C14">
        <v>0</v>
      </c>
      <c r="D14">
        <v>0</v>
      </c>
      <c r="E14">
        <v>0</v>
      </c>
      <c r="F14">
        <v>4</v>
      </c>
      <c r="G14">
        <v>14</v>
      </c>
      <c r="I14">
        <v>0</v>
      </c>
      <c r="J14">
        <v>0</v>
      </c>
      <c r="K14">
        <v>0</v>
      </c>
      <c r="M14">
        <v>0</v>
      </c>
      <c r="W14">
        <v>0</v>
      </c>
      <c r="X14">
        <v>0</v>
      </c>
      <c r="Z14">
        <v>0</v>
      </c>
    </row>
    <row r="15" spans="1:26" x14ac:dyDescent="0.35">
      <c r="A15" s="27" t="s">
        <v>32</v>
      </c>
      <c r="B15">
        <v>587925</v>
      </c>
      <c r="C15">
        <v>0</v>
      </c>
      <c r="D15">
        <v>0</v>
      </c>
      <c r="E15">
        <v>0</v>
      </c>
      <c r="F15">
        <v>254</v>
      </c>
      <c r="G15">
        <v>25</v>
      </c>
      <c r="I15">
        <v>6</v>
      </c>
      <c r="J15">
        <v>353</v>
      </c>
      <c r="K15">
        <v>0</v>
      </c>
      <c r="M15">
        <v>0</v>
      </c>
      <c r="W15">
        <v>0</v>
      </c>
      <c r="X15">
        <v>0</v>
      </c>
      <c r="Z15">
        <v>0</v>
      </c>
    </row>
    <row r="16" spans="1:26" x14ac:dyDescent="0.35">
      <c r="A16" s="27" t="s">
        <v>22</v>
      </c>
      <c r="B16">
        <v>44177968.500000007</v>
      </c>
      <c r="C16">
        <v>0</v>
      </c>
      <c r="D16">
        <v>0</v>
      </c>
      <c r="E16">
        <v>0</v>
      </c>
      <c r="F16">
        <v>613</v>
      </c>
      <c r="G16">
        <v>6</v>
      </c>
      <c r="I16">
        <v>0</v>
      </c>
      <c r="J16">
        <v>0</v>
      </c>
      <c r="K16">
        <v>0</v>
      </c>
      <c r="M16">
        <v>0</v>
      </c>
      <c r="W16">
        <v>0</v>
      </c>
      <c r="X16">
        <v>0</v>
      </c>
      <c r="Z16">
        <v>0</v>
      </c>
    </row>
    <row r="17" spans="1:26" x14ac:dyDescent="0.35">
      <c r="A17" s="27" t="s">
        <v>88</v>
      </c>
      <c r="B17">
        <v>3620312.0000000023</v>
      </c>
      <c r="C17">
        <v>636</v>
      </c>
      <c r="D17">
        <v>9362</v>
      </c>
      <c r="E17">
        <v>134</v>
      </c>
      <c r="F17">
        <v>0</v>
      </c>
      <c r="G17">
        <v>0</v>
      </c>
      <c r="H17">
        <v>2626</v>
      </c>
      <c r="I17">
        <v>0</v>
      </c>
      <c r="J17">
        <v>0</v>
      </c>
      <c r="K17">
        <v>0</v>
      </c>
      <c r="M17">
        <v>0</v>
      </c>
      <c r="N17">
        <v>298</v>
      </c>
      <c r="P17">
        <v>137</v>
      </c>
      <c r="R17">
        <v>99</v>
      </c>
      <c r="U17">
        <v>267</v>
      </c>
      <c r="W17">
        <v>131</v>
      </c>
      <c r="X17">
        <v>6</v>
      </c>
      <c r="Z17">
        <v>0</v>
      </c>
    </row>
    <row r="18" spans="1:26" x14ac:dyDescent="0.35">
      <c r="A18" s="27" t="s">
        <v>10</v>
      </c>
      <c r="B18">
        <v>120283026.00000006</v>
      </c>
      <c r="C18">
        <v>25424</v>
      </c>
      <c r="D18">
        <v>139648</v>
      </c>
      <c r="E18">
        <v>40710</v>
      </c>
      <c r="F18">
        <v>0</v>
      </c>
      <c r="G18">
        <v>0</v>
      </c>
      <c r="H18">
        <v>42630</v>
      </c>
      <c r="I18">
        <v>0</v>
      </c>
      <c r="J18">
        <v>0</v>
      </c>
      <c r="K18">
        <v>0</v>
      </c>
      <c r="M18">
        <v>17</v>
      </c>
      <c r="R18">
        <v>567</v>
      </c>
      <c r="W18">
        <v>0</v>
      </c>
      <c r="X18">
        <v>0</v>
      </c>
      <c r="Z18">
        <v>0</v>
      </c>
    </row>
    <row r="19" spans="1:26" x14ac:dyDescent="0.35">
      <c r="A19" s="27" t="s">
        <v>14</v>
      </c>
      <c r="B19">
        <v>2341178.9999999986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W19">
        <v>0</v>
      </c>
      <c r="X19">
        <v>0</v>
      </c>
      <c r="Z19">
        <v>0</v>
      </c>
    </row>
    <row r="20" spans="1:26" x14ac:dyDescent="0.35">
      <c r="A20" s="27" t="s">
        <v>44</v>
      </c>
      <c r="B20">
        <v>32833031.499999996</v>
      </c>
      <c r="C20">
        <v>8338</v>
      </c>
      <c r="D20">
        <v>186288</v>
      </c>
      <c r="E20">
        <v>38282</v>
      </c>
      <c r="F20">
        <v>0</v>
      </c>
      <c r="G20">
        <v>0</v>
      </c>
      <c r="H20">
        <v>0</v>
      </c>
      <c r="I20">
        <v>0</v>
      </c>
      <c r="J20">
        <v>0</v>
      </c>
      <c r="K20">
        <v>3453</v>
      </c>
      <c r="L20">
        <v>0</v>
      </c>
      <c r="M20">
        <v>0</v>
      </c>
      <c r="N20">
        <v>1759</v>
      </c>
      <c r="O20">
        <v>2352</v>
      </c>
      <c r="P20">
        <v>1673</v>
      </c>
      <c r="Q20">
        <v>3238</v>
      </c>
      <c r="R20">
        <v>235</v>
      </c>
      <c r="S20">
        <v>0</v>
      </c>
      <c r="T20">
        <v>0</v>
      </c>
      <c r="U20">
        <v>6276</v>
      </c>
      <c r="V20">
        <v>0</v>
      </c>
      <c r="W20">
        <v>308</v>
      </c>
      <c r="X20">
        <v>0</v>
      </c>
      <c r="Y20">
        <v>9</v>
      </c>
      <c r="Z20">
        <v>7</v>
      </c>
    </row>
    <row r="21" spans="1:26" x14ac:dyDescent="0.35">
      <c r="A21" s="27" t="s">
        <v>46</v>
      </c>
      <c r="B21">
        <v>13531906.000000004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W21">
        <v>0</v>
      </c>
      <c r="X21">
        <v>0</v>
      </c>
      <c r="Z21">
        <v>0</v>
      </c>
    </row>
    <row r="22" spans="1:26" x14ac:dyDescent="0.35">
      <c r="A22" s="27" t="s">
        <v>42</v>
      </c>
      <c r="B22">
        <v>2639915.5000000005</v>
      </c>
      <c r="C22">
        <v>651</v>
      </c>
      <c r="D22">
        <v>2808</v>
      </c>
      <c r="E22">
        <v>758</v>
      </c>
      <c r="F22">
        <v>1859</v>
      </c>
      <c r="G22">
        <v>513</v>
      </c>
      <c r="H22">
        <v>0</v>
      </c>
      <c r="I22">
        <v>1</v>
      </c>
      <c r="J22">
        <v>2742</v>
      </c>
      <c r="K22">
        <v>0</v>
      </c>
      <c r="L22">
        <v>522</v>
      </c>
      <c r="M22">
        <v>6</v>
      </c>
      <c r="N22">
        <v>18</v>
      </c>
      <c r="O22">
        <v>0</v>
      </c>
      <c r="P22">
        <v>172</v>
      </c>
      <c r="Q22">
        <v>0</v>
      </c>
      <c r="R22">
        <v>18</v>
      </c>
      <c r="S22">
        <v>0</v>
      </c>
      <c r="T22">
        <v>2193</v>
      </c>
      <c r="U22">
        <v>0</v>
      </c>
      <c r="V22">
        <v>0</v>
      </c>
      <c r="W22">
        <v>24</v>
      </c>
      <c r="X22">
        <v>0</v>
      </c>
      <c r="Y22">
        <v>0</v>
      </c>
      <c r="Z22">
        <v>0</v>
      </c>
    </row>
    <row r="23" spans="1:26" x14ac:dyDescent="0.35">
      <c r="A23" s="27" t="s">
        <v>48</v>
      </c>
      <c r="B23">
        <v>2060720.9999999991</v>
      </c>
      <c r="C23">
        <v>916</v>
      </c>
      <c r="D23">
        <v>3912</v>
      </c>
      <c r="E23">
        <v>426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200</v>
      </c>
      <c r="O23">
        <v>0</v>
      </c>
      <c r="P23">
        <v>2</v>
      </c>
      <c r="Q23">
        <v>0</v>
      </c>
      <c r="R23">
        <v>10</v>
      </c>
      <c r="S23">
        <v>0</v>
      </c>
      <c r="T23">
        <v>86</v>
      </c>
      <c r="U23">
        <v>1</v>
      </c>
      <c r="V23">
        <v>0</v>
      </c>
      <c r="W23">
        <v>6</v>
      </c>
      <c r="X23">
        <v>16</v>
      </c>
      <c r="Y23">
        <v>0</v>
      </c>
      <c r="Z23">
        <v>0</v>
      </c>
    </row>
    <row r="24" spans="1:26" x14ac:dyDescent="0.35">
      <c r="A24" s="27" t="s">
        <v>40</v>
      </c>
      <c r="B24">
        <v>1634465.5000000002</v>
      </c>
      <c r="C24">
        <v>0</v>
      </c>
      <c r="D24">
        <v>0</v>
      </c>
      <c r="E24">
        <v>0</v>
      </c>
      <c r="F24">
        <v>2192</v>
      </c>
      <c r="G24">
        <v>294</v>
      </c>
      <c r="I24">
        <v>620</v>
      </c>
      <c r="J24">
        <v>0</v>
      </c>
      <c r="K24">
        <v>0</v>
      </c>
      <c r="M24">
        <v>0</v>
      </c>
      <c r="W24">
        <v>0</v>
      </c>
      <c r="X24">
        <v>0</v>
      </c>
      <c r="Z24">
        <v>0</v>
      </c>
    </row>
    <row r="25" spans="1:26" x14ac:dyDescent="0.35">
      <c r="A25" s="27" t="s">
        <v>50</v>
      </c>
      <c r="B25">
        <v>53005614.000000022</v>
      </c>
      <c r="C25">
        <v>12377</v>
      </c>
      <c r="D25">
        <v>69176</v>
      </c>
      <c r="E25">
        <v>0</v>
      </c>
      <c r="F25">
        <v>0</v>
      </c>
      <c r="G25">
        <v>0</v>
      </c>
      <c r="H25">
        <v>86490</v>
      </c>
      <c r="I25">
        <v>0</v>
      </c>
      <c r="J25">
        <v>0</v>
      </c>
      <c r="K25">
        <v>0</v>
      </c>
      <c r="M25">
        <v>261</v>
      </c>
      <c r="N25">
        <v>5019</v>
      </c>
      <c r="P25">
        <v>717</v>
      </c>
      <c r="S25">
        <v>3295</v>
      </c>
      <c r="T25">
        <v>11129</v>
      </c>
      <c r="V25">
        <v>8087</v>
      </c>
      <c r="W25">
        <v>718</v>
      </c>
      <c r="X25">
        <v>749</v>
      </c>
      <c r="Z25">
        <v>0</v>
      </c>
    </row>
    <row r="26" spans="1:26" x14ac:dyDescent="0.35">
      <c r="A26" s="27" t="s">
        <v>52</v>
      </c>
      <c r="B26">
        <v>5193415.5000000019</v>
      </c>
      <c r="C26">
        <v>1861</v>
      </c>
      <c r="D26">
        <v>3522</v>
      </c>
      <c r="E26">
        <v>1590</v>
      </c>
      <c r="F26">
        <v>0</v>
      </c>
      <c r="G26">
        <v>0</v>
      </c>
      <c r="I26">
        <v>0</v>
      </c>
      <c r="J26">
        <v>0</v>
      </c>
      <c r="K26">
        <v>0</v>
      </c>
      <c r="M26">
        <v>0</v>
      </c>
      <c r="W26">
        <v>0</v>
      </c>
      <c r="X26">
        <v>0</v>
      </c>
      <c r="Z26">
        <v>0</v>
      </c>
    </row>
    <row r="27" spans="1:26" x14ac:dyDescent="0.35">
      <c r="A27" s="27" t="s">
        <v>20</v>
      </c>
      <c r="B27">
        <v>2281454.5000000014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M27">
        <v>0</v>
      </c>
      <c r="W27">
        <v>0</v>
      </c>
      <c r="X27">
        <v>0</v>
      </c>
      <c r="Z27">
        <v>0</v>
      </c>
    </row>
    <row r="28" spans="1:26" x14ac:dyDescent="0.35">
      <c r="A28" s="27" t="s">
        <v>54</v>
      </c>
      <c r="B28">
        <v>28915652.500000004</v>
      </c>
      <c r="C28">
        <v>0</v>
      </c>
      <c r="D28">
        <v>0</v>
      </c>
      <c r="E28">
        <v>0</v>
      </c>
      <c r="F28">
        <v>0</v>
      </c>
      <c r="G28">
        <v>91</v>
      </c>
      <c r="H28">
        <v>41616</v>
      </c>
      <c r="I28">
        <v>0</v>
      </c>
      <c r="J28">
        <v>0</v>
      </c>
      <c r="K28">
        <v>0</v>
      </c>
      <c r="M28">
        <v>0</v>
      </c>
      <c r="W28">
        <v>0</v>
      </c>
      <c r="X28">
        <v>0</v>
      </c>
      <c r="Z28">
        <v>0</v>
      </c>
    </row>
    <row r="29" spans="1:26" x14ac:dyDescent="0.35">
      <c r="A29" s="27" t="s">
        <v>58</v>
      </c>
      <c r="B29">
        <v>21904982.999999996</v>
      </c>
      <c r="C29">
        <v>0</v>
      </c>
      <c r="D29">
        <v>0</v>
      </c>
      <c r="E29">
        <v>0</v>
      </c>
      <c r="F29">
        <v>82</v>
      </c>
      <c r="G29">
        <v>53</v>
      </c>
      <c r="I29">
        <v>0</v>
      </c>
      <c r="J29">
        <v>0</v>
      </c>
      <c r="K29">
        <v>0</v>
      </c>
      <c r="M29">
        <v>0</v>
      </c>
      <c r="W29">
        <v>0</v>
      </c>
      <c r="X29">
        <v>0</v>
      </c>
      <c r="Z29">
        <v>0</v>
      </c>
    </row>
    <row r="30" spans="1:26" x14ac:dyDescent="0.35">
      <c r="A30" s="27" t="s">
        <v>62</v>
      </c>
      <c r="B30">
        <v>32077072.000000011</v>
      </c>
      <c r="C30">
        <v>6016</v>
      </c>
      <c r="D30">
        <v>21856</v>
      </c>
      <c r="E30">
        <v>14556</v>
      </c>
      <c r="F30">
        <v>0</v>
      </c>
      <c r="G30">
        <v>0</v>
      </c>
      <c r="H30">
        <v>7329</v>
      </c>
      <c r="I30">
        <v>0</v>
      </c>
      <c r="J30">
        <v>0</v>
      </c>
      <c r="K30">
        <v>0</v>
      </c>
      <c r="L30">
        <v>3318</v>
      </c>
      <c r="M30">
        <v>0</v>
      </c>
      <c r="N30">
        <v>1912</v>
      </c>
      <c r="P30">
        <v>264</v>
      </c>
      <c r="R30">
        <v>151</v>
      </c>
      <c r="S30">
        <v>3530</v>
      </c>
      <c r="T30">
        <v>10717</v>
      </c>
      <c r="U30">
        <v>301</v>
      </c>
      <c r="W30">
        <v>535</v>
      </c>
      <c r="X30">
        <v>552</v>
      </c>
      <c r="Z30">
        <v>0</v>
      </c>
    </row>
    <row r="31" spans="1:26" x14ac:dyDescent="0.35">
      <c r="A31" s="27" t="s">
        <v>16</v>
      </c>
      <c r="B31">
        <v>4614974</v>
      </c>
      <c r="C31">
        <v>2070</v>
      </c>
      <c r="D31">
        <v>12312</v>
      </c>
      <c r="E31">
        <v>2504</v>
      </c>
      <c r="F31">
        <v>0</v>
      </c>
      <c r="G31">
        <v>0</v>
      </c>
      <c r="I31">
        <v>0</v>
      </c>
      <c r="J31">
        <v>0</v>
      </c>
      <c r="K31">
        <v>0</v>
      </c>
      <c r="M31">
        <v>0</v>
      </c>
      <c r="W31">
        <v>0</v>
      </c>
      <c r="X31">
        <v>0</v>
      </c>
      <c r="Z31">
        <v>0</v>
      </c>
    </row>
    <row r="32" spans="1:26" x14ac:dyDescent="0.35">
      <c r="A32" s="27" t="s">
        <v>60</v>
      </c>
      <c r="B32">
        <v>1298914.4999999995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M32">
        <v>0</v>
      </c>
      <c r="W32">
        <v>0</v>
      </c>
      <c r="X32">
        <v>0</v>
      </c>
      <c r="Z32">
        <v>0</v>
      </c>
    </row>
    <row r="33" spans="1:26" x14ac:dyDescent="0.35">
      <c r="A33" s="27" t="s">
        <v>56</v>
      </c>
      <c r="B33">
        <v>19889742.000000011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M33">
        <v>0</v>
      </c>
      <c r="W33">
        <v>0</v>
      </c>
      <c r="X33">
        <v>0</v>
      </c>
      <c r="Z33">
        <v>0</v>
      </c>
    </row>
    <row r="34" spans="1:26" x14ac:dyDescent="0.35">
      <c r="A34" s="27" t="s">
        <v>64</v>
      </c>
      <c r="B34">
        <v>2530150.5000000014</v>
      </c>
      <c r="C34">
        <v>2549</v>
      </c>
      <c r="D34">
        <v>14332</v>
      </c>
      <c r="E34">
        <v>12</v>
      </c>
      <c r="F34">
        <v>0</v>
      </c>
      <c r="G34">
        <v>0</v>
      </c>
      <c r="I34">
        <v>0</v>
      </c>
      <c r="J34">
        <v>0</v>
      </c>
      <c r="K34">
        <v>0</v>
      </c>
      <c r="M34">
        <v>0</v>
      </c>
      <c r="O34">
        <v>3</v>
      </c>
      <c r="R34">
        <v>99</v>
      </c>
      <c r="U34">
        <v>99</v>
      </c>
      <c r="V34">
        <v>63</v>
      </c>
      <c r="W34">
        <v>140</v>
      </c>
      <c r="X34">
        <v>0</v>
      </c>
      <c r="Z34">
        <v>0</v>
      </c>
    </row>
    <row r="35" spans="1:26" x14ac:dyDescent="0.35">
      <c r="A35" s="27" t="s">
        <v>80</v>
      </c>
      <c r="B35">
        <v>25252721.999999989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M35">
        <v>0</v>
      </c>
      <c r="W35">
        <v>0</v>
      </c>
      <c r="X35">
        <v>0</v>
      </c>
      <c r="Z35">
        <v>0</v>
      </c>
    </row>
    <row r="36" spans="1:26" x14ac:dyDescent="0.35">
      <c r="A36" s="27" t="s">
        <v>12</v>
      </c>
      <c r="B36">
        <v>213401322.49999997</v>
      </c>
      <c r="C36">
        <v>168695</v>
      </c>
      <c r="D36">
        <v>535392</v>
      </c>
      <c r="E36">
        <v>263844</v>
      </c>
      <c r="F36">
        <v>419</v>
      </c>
      <c r="G36">
        <v>30</v>
      </c>
      <c r="H36">
        <v>7912</v>
      </c>
      <c r="I36">
        <v>77</v>
      </c>
      <c r="J36">
        <v>0</v>
      </c>
      <c r="K36">
        <v>0</v>
      </c>
      <c r="M36">
        <v>48589</v>
      </c>
      <c r="N36">
        <v>37181</v>
      </c>
      <c r="R36">
        <v>5485</v>
      </c>
      <c r="U36">
        <v>34554</v>
      </c>
      <c r="W36">
        <v>0</v>
      </c>
      <c r="X36">
        <v>0</v>
      </c>
      <c r="Z36">
        <v>0</v>
      </c>
    </row>
    <row r="37" spans="1:26" x14ac:dyDescent="0.35">
      <c r="A37" s="27" t="s">
        <v>66</v>
      </c>
      <c r="B37">
        <v>13461887.499999998</v>
      </c>
      <c r="C37">
        <v>0</v>
      </c>
      <c r="D37">
        <v>0</v>
      </c>
      <c r="E37">
        <v>0</v>
      </c>
      <c r="F37">
        <v>114</v>
      </c>
      <c r="G37">
        <v>127</v>
      </c>
      <c r="I37">
        <v>207</v>
      </c>
      <c r="J37">
        <v>226</v>
      </c>
      <c r="K37">
        <v>0</v>
      </c>
      <c r="M37">
        <v>0</v>
      </c>
      <c r="W37">
        <v>0</v>
      </c>
      <c r="X37">
        <v>0</v>
      </c>
      <c r="Z37">
        <v>0</v>
      </c>
    </row>
    <row r="38" spans="1:26" x14ac:dyDescent="0.35">
      <c r="A38" s="27" t="s">
        <v>68</v>
      </c>
      <c r="B38">
        <v>16876719.999999996</v>
      </c>
      <c r="C38">
        <v>4634</v>
      </c>
      <c r="D38">
        <v>12954</v>
      </c>
      <c r="E38">
        <v>5478</v>
      </c>
      <c r="F38">
        <v>0</v>
      </c>
      <c r="G38">
        <v>0</v>
      </c>
      <c r="H38">
        <v>16443</v>
      </c>
      <c r="I38">
        <v>0</v>
      </c>
      <c r="J38">
        <v>0</v>
      </c>
      <c r="K38">
        <v>949</v>
      </c>
      <c r="L38">
        <v>188</v>
      </c>
      <c r="M38">
        <v>98</v>
      </c>
      <c r="N38">
        <v>434</v>
      </c>
      <c r="P38">
        <v>123</v>
      </c>
      <c r="Q38">
        <v>2</v>
      </c>
      <c r="R38">
        <v>107</v>
      </c>
      <c r="S38">
        <v>16</v>
      </c>
      <c r="T38">
        <v>344</v>
      </c>
      <c r="U38">
        <v>14</v>
      </c>
      <c r="V38">
        <v>917</v>
      </c>
      <c r="W38">
        <v>0</v>
      </c>
      <c r="X38">
        <v>173</v>
      </c>
      <c r="Z38">
        <v>0</v>
      </c>
    </row>
    <row r="39" spans="1:26" x14ac:dyDescent="0.35">
      <c r="A39" s="27" t="s">
        <v>72</v>
      </c>
      <c r="B39">
        <v>8420641.0000000037</v>
      </c>
      <c r="C39">
        <v>0</v>
      </c>
      <c r="D39">
        <v>0</v>
      </c>
      <c r="E39">
        <v>0</v>
      </c>
      <c r="F39">
        <v>4740</v>
      </c>
      <c r="G39">
        <v>610</v>
      </c>
      <c r="I39">
        <v>120</v>
      </c>
      <c r="J39">
        <v>790</v>
      </c>
      <c r="K39">
        <v>0</v>
      </c>
      <c r="M39">
        <v>0</v>
      </c>
      <c r="W39">
        <v>0</v>
      </c>
      <c r="X39">
        <v>0</v>
      </c>
      <c r="Z39">
        <v>0</v>
      </c>
    </row>
    <row r="40" spans="1:26" x14ac:dyDescent="0.35">
      <c r="A40" s="27" t="s">
        <v>76</v>
      </c>
      <c r="B40">
        <v>10748272.499999998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M40">
        <v>0</v>
      </c>
      <c r="W40">
        <v>0</v>
      </c>
      <c r="X40">
        <v>0</v>
      </c>
      <c r="Z40">
        <v>0</v>
      </c>
    </row>
    <row r="41" spans="1:26" x14ac:dyDescent="0.35">
      <c r="A41" s="27" t="s">
        <v>6</v>
      </c>
      <c r="B41">
        <v>223107.49999999991</v>
      </c>
      <c r="C41">
        <v>0</v>
      </c>
      <c r="D41">
        <v>0</v>
      </c>
      <c r="E41">
        <v>0</v>
      </c>
      <c r="F41">
        <v>1057</v>
      </c>
      <c r="G41">
        <v>256</v>
      </c>
      <c r="I41">
        <v>44</v>
      </c>
      <c r="J41">
        <v>245</v>
      </c>
      <c r="K41">
        <v>0</v>
      </c>
      <c r="M41">
        <v>0</v>
      </c>
      <c r="W41">
        <v>0</v>
      </c>
      <c r="X41">
        <v>0</v>
      </c>
      <c r="Z41">
        <v>0</v>
      </c>
    </row>
    <row r="42" spans="1:26" x14ac:dyDescent="0.35">
      <c r="A42" s="27" t="s">
        <v>18</v>
      </c>
      <c r="B42">
        <v>1192271.0000000002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M42">
        <v>0</v>
      </c>
      <c r="W42">
        <v>0</v>
      </c>
      <c r="X42">
        <v>0</v>
      </c>
      <c r="Z42">
        <v>0</v>
      </c>
    </row>
    <row r="43" spans="1:26" x14ac:dyDescent="0.35">
      <c r="A43" s="27" t="s">
        <v>70</v>
      </c>
      <c r="B43">
        <v>106470.49999999996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22</v>
      </c>
      <c r="S43">
        <v>0</v>
      </c>
      <c r="T43">
        <v>0</v>
      </c>
      <c r="U43">
        <v>0</v>
      </c>
      <c r="V43">
        <v>0</v>
      </c>
      <c r="W43">
        <v>60</v>
      </c>
      <c r="X43">
        <v>2</v>
      </c>
      <c r="Y43">
        <v>5</v>
      </c>
      <c r="Z43">
        <v>2</v>
      </c>
    </row>
    <row r="44" spans="1:26" x14ac:dyDescent="0.35">
      <c r="A44" s="27" t="s">
        <v>36</v>
      </c>
      <c r="B44">
        <v>17179739.999999996</v>
      </c>
      <c r="C44">
        <v>2260</v>
      </c>
      <c r="D44">
        <v>5354</v>
      </c>
      <c r="E44">
        <v>1442</v>
      </c>
      <c r="F44">
        <v>10</v>
      </c>
      <c r="G44">
        <v>0</v>
      </c>
      <c r="H44">
        <v>8077</v>
      </c>
      <c r="I44">
        <v>0</v>
      </c>
      <c r="J44">
        <v>0</v>
      </c>
      <c r="K44">
        <v>0</v>
      </c>
      <c r="L44">
        <v>371</v>
      </c>
      <c r="M44">
        <v>4</v>
      </c>
      <c r="N44">
        <v>848</v>
      </c>
      <c r="O44">
        <v>104</v>
      </c>
      <c r="U44">
        <v>848</v>
      </c>
      <c r="W44">
        <v>0</v>
      </c>
      <c r="X44">
        <v>0</v>
      </c>
      <c r="Z44">
        <v>0</v>
      </c>
    </row>
    <row r="45" spans="1:26" x14ac:dyDescent="0.35">
      <c r="A45" s="27" t="s">
        <v>90</v>
      </c>
      <c r="B45">
        <v>8644828.9999999981</v>
      </c>
      <c r="C45">
        <v>1369</v>
      </c>
      <c r="D45">
        <v>3892</v>
      </c>
      <c r="E45">
        <v>2964</v>
      </c>
      <c r="F45">
        <v>0</v>
      </c>
      <c r="G45">
        <v>0</v>
      </c>
      <c r="H45">
        <v>7500</v>
      </c>
      <c r="I45">
        <v>0</v>
      </c>
      <c r="J45">
        <v>0</v>
      </c>
      <c r="K45">
        <v>2974</v>
      </c>
      <c r="M45">
        <v>19</v>
      </c>
      <c r="N45">
        <v>446</v>
      </c>
      <c r="P45">
        <v>95</v>
      </c>
      <c r="R45">
        <v>1</v>
      </c>
      <c r="S45">
        <v>2139</v>
      </c>
      <c r="U45">
        <v>149</v>
      </c>
      <c r="V45">
        <v>813</v>
      </c>
      <c r="W45">
        <v>161</v>
      </c>
      <c r="X45">
        <v>56</v>
      </c>
      <c r="Y45">
        <v>33</v>
      </c>
      <c r="Z45">
        <v>0</v>
      </c>
    </row>
    <row r="46" spans="1:26" x14ac:dyDescent="0.35">
      <c r="A46" s="27" t="s">
        <v>94</v>
      </c>
      <c r="B46">
        <v>63588333.999999993</v>
      </c>
      <c r="C46">
        <v>0</v>
      </c>
      <c r="D46">
        <v>0</v>
      </c>
      <c r="E46">
        <v>0</v>
      </c>
      <c r="F46">
        <v>16</v>
      </c>
      <c r="G46">
        <v>18</v>
      </c>
      <c r="I46">
        <v>0</v>
      </c>
      <c r="J46">
        <v>0</v>
      </c>
      <c r="K46">
        <v>0</v>
      </c>
      <c r="M46">
        <v>0</v>
      </c>
      <c r="W46">
        <v>0</v>
      </c>
      <c r="X46">
        <v>0</v>
      </c>
      <c r="Z46">
        <v>0</v>
      </c>
    </row>
    <row r="47" spans="1:26" x14ac:dyDescent="0.35">
      <c r="A47" s="27" t="s">
        <v>82</v>
      </c>
      <c r="B47">
        <v>45853778.000000022</v>
      </c>
      <c r="C47">
        <v>0</v>
      </c>
      <c r="D47">
        <v>0</v>
      </c>
      <c r="E47">
        <v>0</v>
      </c>
      <c r="F47">
        <v>17</v>
      </c>
      <c r="G47">
        <v>111</v>
      </c>
      <c r="I47">
        <v>0</v>
      </c>
      <c r="J47">
        <v>0</v>
      </c>
      <c r="K47">
        <v>0</v>
      </c>
      <c r="M47">
        <v>0</v>
      </c>
      <c r="W47">
        <v>0</v>
      </c>
      <c r="X47">
        <v>0</v>
      </c>
      <c r="Z47">
        <v>0</v>
      </c>
    </row>
    <row r="48" spans="1:26" x14ac:dyDescent="0.35">
      <c r="A48" s="27" t="s">
        <v>74</v>
      </c>
      <c r="B48">
        <v>59392255</v>
      </c>
      <c r="C48">
        <v>99093</v>
      </c>
      <c r="D48">
        <v>0</v>
      </c>
      <c r="E48">
        <v>0</v>
      </c>
      <c r="F48">
        <v>494</v>
      </c>
      <c r="G48">
        <v>366</v>
      </c>
      <c r="I48">
        <v>0</v>
      </c>
      <c r="J48">
        <v>0</v>
      </c>
      <c r="K48">
        <v>0</v>
      </c>
      <c r="M48">
        <v>0</v>
      </c>
      <c r="N48">
        <v>6166</v>
      </c>
      <c r="P48">
        <v>9281</v>
      </c>
      <c r="R48">
        <v>4012</v>
      </c>
      <c r="U48">
        <v>6353</v>
      </c>
      <c r="V48">
        <v>3870</v>
      </c>
      <c r="W48">
        <v>8509</v>
      </c>
      <c r="X48">
        <v>0</v>
      </c>
      <c r="Y48">
        <v>4037</v>
      </c>
      <c r="Z48">
        <v>0</v>
      </c>
    </row>
    <row r="49" spans="1:26" x14ac:dyDescent="0.35">
      <c r="A49" s="27" t="s">
        <v>84</v>
      </c>
      <c r="B49">
        <v>19473124.999999996</v>
      </c>
      <c r="C49">
        <v>11546</v>
      </c>
      <c r="D49">
        <v>65084</v>
      </c>
      <c r="E49">
        <v>7492</v>
      </c>
      <c r="F49">
        <v>0</v>
      </c>
      <c r="G49">
        <v>0</v>
      </c>
      <c r="I49">
        <v>0</v>
      </c>
      <c r="J49">
        <v>0</v>
      </c>
      <c r="K49">
        <v>0</v>
      </c>
      <c r="M49">
        <v>0</v>
      </c>
      <c r="N49">
        <v>19</v>
      </c>
      <c r="P49">
        <v>1375</v>
      </c>
      <c r="U49">
        <v>3182</v>
      </c>
      <c r="V49">
        <v>8281</v>
      </c>
      <c r="W49">
        <v>1324</v>
      </c>
      <c r="X49">
        <v>0</v>
      </c>
      <c r="Z49">
        <v>0</v>
      </c>
    </row>
    <row r="50" spans="1:26" x14ac:dyDescent="0.35">
      <c r="A50" s="27" t="s">
        <v>86</v>
      </c>
      <c r="B50">
        <v>15993524.000000002</v>
      </c>
      <c r="C50">
        <v>0</v>
      </c>
      <c r="D50">
        <v>0</v>
      </c>
      <c r="E50">
        <v>0</v>
      </c>
      <c r="F50">
        <v>0</v>
      </c>
      <c r="G50">
        <v>0</v>
      </c>
      <c r="I50">
        <v>0</v>
      </c>
      <c r="J50">
        <v>0</v>
      </c>
      <c r="K50">
        <v>0</v>
      </c>
      <c r="M50">
        <v>0</v>
      </c>
      <c r="W50">
        <v>0</v>
      </c>
      <c r="X50">
        <v>0</v>
      </c>
      <c r="Z50">
        <v>0</v>
      </c>
    </row>
    <row r="51" spans="1:26" x14ac:dyDescent="0.35">
      <c r="A51" s="27" t="s">
        <v>235</v>
      </c>
      <c r="B51">
        <v>1162657991.5</v>
      </c>
      <c r="C51">
        <v>414918</v>
      </c>
      <c r="D51">
        <v>1395296</v>
      </c>
      <c r="E51">
        <v>421570</v>
      </c>
      <c r="F51">
        <v>15612</v>
      </c>
      <c r="G51">
        <v>5963</v>
      </c>
      <c r="H51">
        <v>225186</v>
      </c>
      <c r="I51">
        <v>1209</v>
      </c>
      <c r="J51">
        <v>9476</v>
      </c>
      <c r="K51">
        <v>20233</v>
      </c>
      <c r="L51">
        <v>12486</v>
      </c>
      <c r="M51">
        <v>49039</v>
      </c>
      <c r="N51">
        <v>57607</v>
      </c>
      <c r="O51">
        <v>2533</v>
      </c>
      <c r="P51">
        <v>15310</v>
      </c>
      <c r="Q51">
        <v>3302</v>
      </c>
      <c r="R51">
        <v>10815</v>
      </c>
      <c r="S51">
        <v>19925</v>
      </c>
      <c r="T51">
        <v>28098</v>
      </c>
      <c r="U51">
        <v>55150</v>
      </c>
      <c r="V51">
        <v>25904</v>
      </c>
      <c r="W51">
        <v>13145</v>
      </c>
      <c r="X51">
        <v>2138</v>
      </c>
      <c r="Y51">
        <v>4097</v>
      </c>
      <c r="Z5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EF52-B308-4734-8636-879DF74C148C}">
  <dimension ref="A1:CU519"/>
  <sheetViews>
    <sheetView topLeftCell="B208" workbookViewId="0">
      <selection activeCell="K1" sqref="K1:K1048576"/>
    </sheetView>
  </sheetViews>
  <sheetFormatPr defaultRowHeight="14" x14ac:dyDescent="0.3"/>
  <cols>
    <col min="1" max="1" width="8.7265625" style="14"/>
    <col min="2" max="2" width="35.81640625" style="14" bestFit="1" customWidth="1"/>
    <col min="3" max="3" width="8.7265625" style="14"/>
    <col min="4" max="4" width="12.54296875" style="14" bestFit="1" customWidth="1"/>
    <col min="5" max="5" width="16.36328125" style="14" customWidth="1"/>
    <col min="6" max="6" width="12.54296875" style="14" customWidth="1"/>
    <col min="7" max="7" width="8.7265625" style="14"/>
    <col min="8" max="8" width="13" style="14" customWidth="1"/>
    <col min="9" max="9" width="8.7265625" style="14"/>
    <col min="10" max="10" width="10" style="14" customWidth="1"/>
    <col min="11" max="12" width="8.7265625" style="14"/>
    <col min="13" max="13" width="12.90625" style="14" customWidth="1"/>
    <col min="14" max="14" width="8.7265625" style="14"/>
    <col min="15" max="15" width="11.26953125" style="14" customWidth="1"/>
    <col min="16" max="16" width="8.7265625" style="14"/>
    <col min="17" max="17" width="10.08984375" style="14" customWidth="1"/>
    <col min="18" max="18" width="8.7265625" style="14"/>
    <col min="19" max="19" width="16.36328125" style="14" customWidth="1"/>
    <col min="20" max="20" width="16.90625" style="14" customWidth="1"/>
    <col min="21" max="21" width="10.81640625" style="14" customWidth="1"/>
    <col min="22" max="22" width="12.1796875" style="14" customWidth="1"/>
    <col min="23" max="23" width="11.81640625" style="14" customWidth="1"/>
    <col min="24" max="24" width="9.6328125" style="14" customWidth="1"/>
    <col min="25" max="25" width="11.1796875" style="14" customWidth="1"/>
    <col min="26" max="26" width="12.7265625" style="14" customWidth="1"/>
    <col min="27" max="28" width="10.08984375" style="14" customWidth="1"/>
    <col min="29" max="29" width="13.26953125" style="14" customWidth="1"/>
    <col min="30" max="43" width="8.7265625" style="14"/>
    <col min="44" max="44" width="10.26953125" style="14" customWidth="1"/>
    <col min="45" max="46" width="10.54296875" style="14" customWidth="1"/>
    <col min="47" max="50" width="8.7265625" style="14"/>
    <col min="51" max="51" width="8.7265625" style="19"/>
    <col min="52" max="90" width="8.7265625" style="14"/>
    <col min="91" max="91" width="11.453125" style="14" customWidth="1"/>
    <col min="92" max="92" width="8.7265625" style="14"/>
    <col min="93" max="93" width="12.453125" style="14" customWidth="1"/>
    <col min="94" max="96" width="8.7265625" style="14"/>
    <col min="97" max="97" width="10.26953125" style="14" customWidth="1"/>
    <col min="98" max="98" width="11.453125" style="14" customWidth="1"/>
    <col min="99" max="99" width="10.36328125" style="14" customWidth="1"/>
    <col min="100" max="16384" width="8.7265625" style="14"/>
  </cols>
  <sheetData>
    <row r="1" spans="1:99" s="22" customFormat="1" ht="98" customHeight="1" x14ac:dyDescent="0.35">
      <c r="A1" s="22" t="s">
        <v>97</v>
      </c>
      <c r="B1" s="22" t="s">
        <v>95</v>
      </c>
      <c r="C1" s="22" t="s">
        <v>96</v>
      </c>
      <c r="D1" s="23" t="s">
        <v>233</v>
      </c>
      <c r="E1" s="22" t="s">
        <v>226</v>
      </c>
      <c r="F1" s="22" t="s">
        <v>227</v>
      </c>
      <c r="G1" s="22" t="s">
        <v>246</v>
      </c>
      <c r="H1" s="22" t="s">
        <v>247</v>
      </c>
      <c r="I1" s="22" t="s">
        <v>107</v>
      </c>
      <c r="J1" s="22" t="s">
        <v>108</v>
      </c>
      <c r="K1" s="22" t="s">
        <v>109</v>
      </c>
      <c r="L1" s="22" t="s">
        <v>110</v>
      </c>
      <c r="M1" s="22" t="s">
        <v>111</v>
      </c>
      <c r="N1" s="22" t="s">
        <v>112</v>
      </c>
      <c r="O1" s="22" t="s">
        <v>113</v>
      </c>
      <c r="P1" s="22" t="s">
        <v>114</v>
      </c>
      <c r="Q1" s="22" t="s">
        <v>115</v>
      </c>
      <c r="R1" s="22" t="s">
        <v>116</v>
      </c>
      <c r="S1" s="22" t="s">
        <v>117</v>
      </c>
      <c r="T1" s="22" t="s">
        <v>118</v>
      </c>
      <c r="U1" s="22" t="s">
        <v>121</v>
      </c>
      <c r="V1" s="22" t="s">
        <v>123</v>
      </c>
      <c r="W1" s="22" t="s">
        <v>124</v>
      </c>
      <c r="X1" s="22" t="s">
        <v>125</v>
      </c>
      <c r="Y1" s="22" t="s">
        <v>126</v>
      </c>
      <c r="Z1" s="22" t="s">
        <v>127</v>
      </c>
      <c r="AA1" s="22" t="s">
        <v>128</v>
      </c>
      <c r="AB1" s="30" t="s">
        <v>257</v>
      </c>
      <c r="AC1" s="22" t="s">
        <v>129</v>
      </c>
      <c r="AD1" s="22" t="s">
        <v>131</v>
      </c>
      <c r="AE1" s="22" t="s">
        <v>138</v>
      </c>
      <c r="AF1" s="22" t="s">
        <v>140</v>
      </c>
      <c r="AG1" s="22" t="s">
        <v>142</v>
      </c>
      <c r="AH1" s="22" t="s">
        <v>143</v>
      </c>
      <c r="AI1" s="22" t="s">
        <v>144</v>
      </c>
      <c r="AJ1" s="22" t="s">
        <v>147</v>
      </c>
      <c r="AK1" s="22" t="s">
        <v>148</v>
      </c>
      <c r="AL1" s="22" t="s">
        <v>149</v>
      </c>
      <c r="AM1" s="30" t="s">
        <v>263</v>
      </c>
      <c r="AN1" s="22" t="s">
        <v>151</v>
      </c>
      <c r="AO1" s="22" t="s">
        <v>152</v>
      </c>
      <c r="AP1" s="22" t="s">
        <v>153</v>
      </c>
      <c r="AQ1" s="30" t="s">
        <v>265</v>
      </c>
      <c r="AR1" s="22" t="s">
        <v>156</v>
      </c>
      <c r="AS1" s="22" t="s">
        <v>157</v>
      </c>
      <c r="AT1" s="30" t="s">
        <v>266</v>
      </c>
      <c r="AU1" s="22" t="s">
        <v>160</v>
      </c>
      <c r="AV1" s="22" t="s">
        <v>176</v>
      </c>
      <c r="AW1" s="22" t="s">
        <v>180</v>
      </c>
      <c r="AX1" s="22" t="s">
        <v>198</v>
      </c>
      <c r="AY1" s="24" t="s">
        <v>160</v>
      </c>
      <c r="AZ1" s="22" t="s">
        <v>176</v>
      </c>
      <c r="BA1" s="22" t="s">
        <v>180</v>
      </c>
      <c r="BB1" s="22" t="s">
        <v>198</v>
      </c>
      <c r="BC1" s="22" t="s">
        <v>105</v>
      </c>
      <c r="BD1" s="22" t="s">
        <v>106</v>
      </c>
      <c r="BE1" s="22" t="s">
        <v>107</v>
      </c>
      <c r="BF1" s="22" t="s">
        <v>108</v>
      </c>
      <c r="BG1" s="22" t="s">
        <v>109</v>
      </c>
      <c r="BH1" s="22" t="s">
        <v>110</v>
      </c>
      <c r="BI1" s="22" t="s">
        <v>111</v>
      </c>
      <c r="BJ1" s="22" t="s">
        <v>112</v>
      </c>
      <c r="BK1" s="22" t="s">
        <v>113</v>
      </c>
      <c r="BL1" s="22" t="s">
        <v>114</v>
      </c>
      <c r="BM1" s="22" t="s">
        <v>115</v>
      </c>
      <c r="BN1" s="22" t="s">
        <v>116</v>
      </c>
      <c r="BO1" s="22" t="s">
        <v>117</v>
      </c>
      <c r="BP1" s="22" t="s">
        <v>118</v>
      </c>
      <c r="BQ1" s="22" t="s">
        <v>121</v>
      </c>
      <c r="BR1" s="22" t="s">
        <v>123</v>
      </c>
      <c r="BS1" s="22" t="s">
        <v>124</v>
      </c>
      <c r="BT1" s="22" t="s">
        <v>125</v>
      </c>
      <c r="BU1" s="22" t="s">
        <v>126</v>
      </c>
      <c r="BV1" s="22" t="s">
        <v>127</v>
      </c>
      <c r="BW1" s="22" t="s">
        <v>128</v>
      </c>
      <c r="BX1" s="22" t="s">
        <v>129</v>
      </c>
      <c r="BY1" s="22" t="s">
        <v>131</v>
      </c>
      <c r="BZ1" s="22" t="s">
        <v>138</v>
      </c>
      <c r="CA1" s="22" t="s">
        <v>140</v>
      </c>
      <c r="CB1" s="22" t="s">
        <v>142</v>
      </c>
      <c r="CC1" s="22" t="s">
        <v>143</v>
      </c>
      <c r="CD1" s="22" t="s">
        <v>144</v>
      </c>
      <c r="CE1" s="22" t="s">
        <v>147</v>
      </c>
      <c r="CF1" s="22" t="s">
        <v>148</v>
      </c>
      <c r="CG1" s="22" t="s">
        <v>149</v>
      </c>
      <c r="CH1" s="22" t="s">
        <v>151</v>
      </c>
      <c r="CI1" s="22" t="s">
        <v>152</v>
      </c>
      <c r="CJ1" s="22" t="s">
        <v>153</v>
      </c>
      <c r="CK1" s="22" t="s">
        <v>156</v>
      </c>
      <c r="CL1" s="22" t="s">
        <v>157</v>
      </c>
      <c r="CM1" s="22" t="s">
        <v>228</v>
      </c>
      <c r="CN1" s="22" t="s">
        <v>229</v>
      </c>
      <c r="CO1" s="22" t="s">
        <v>230</v>
      </c>
      <c r="CP1" s="22" t="s">
        <v>231</v>
      </c>
      <c r="CQ1" s="22" t="s">
        <v>232</v>
      </c>
      <c r="CR1" s="29" t="s">
        <v>184</v>
      </c>
      <c r="CS1" s="29" t="s">
        <v>187</v>
      </c>
      <c r="CT1" s="29" t="s">
        <v>248</v>
      </c>
      <c r="CU1" s="29" t="s">
        <v>249</v>
      </c>
    </row>
    <row r="2" spans="1:99" x14ac:dyDescent="0.3">
      <c r="A2" s="14">
        <v>2012</v>
      </c>
      <c r="B2" s="14" t="s">
        <v>1</v>
      </c>
      <c r="C2" s="14" t="s">
        <v>2</v>
      </c>
      <c r="D2" s="15">
        <v>699018.1</v>
      </c>
      <c r="E2" s="15">
        <v>17113732.499999996</v>
      </c>
      <c r="F2" s="15">
        <f>E2/D2</f>
        <v>24.482531282094122</v>
      </c>
      <c r="G2" s="14">
        <v>38</v>
      </c>
      <c r="H2" s="14">
        <v>203</v>
      </c>
      <c r="M2" s="14">
        <v>2099</v>
      </c>
      <c r="S2" s="14">
        <v>91</v>
      </c>
      <c r="V2" s="14">
        <v>109</v>
      </c>
      <c r="Y2" s="14">
        <v>458</v>
      </c>
      <c r="AB2" s="14">
        <f>AA2+O2</f>
        <v>0</v>
      </c>
      <c r="AJ2" s="14">
        <v>148</v>
      </c>
      <c r="AM2" s="14">
        <f>AK2+AL2</f>
        <v>0</v>
      </c>
      <c r="AQ2" s="14">
        <f>AO2+AP2</f>
        <v>0</v>
      </c>
      <c r="AT2" s="14">
        <f>AR2+AS2</f>
        <v>0</v>
      </c>
      <c r="AU2" s="16">
        <v>1574</v>
      </c>
      <c r="AV2" s="16">
        <v>12016</v>
      </c>
      <c r="AW2" s="16">
        <v>8902</v>
      </c>
      <c r="AX2" s="16">
        <v>0</v>
      </c>
      <c r="AY2" s="18">
        <f>(AU2*10000)/$E2</f>
        <v>0.91972922914390554</v>
      </c>
      <c r="AZ2" s="17">
        <f>(AV2*10000)/$E2</f>
        <v>7.0212620186741859</v>
      </c>
      <c r="BA2" s="17">
        <f>(AW2*10000)/$E2</f>
        <v>5.2016706466575906</v>
      </c>
      <c r="BB2" s="17">
        <f>(AX2*10000)/$E2</f>
        <v>0</v>
      </c>
      <c r="BC2" s="17">
        <f t="shared" ref="BC2:BC65" si="0">(G2*10000)/$E2</f>
        <v>2.2204390538417034E-2</v>
      </c>
      <c r="BD2" s="17">
        <f t="shared" ref="BD2:BD65" si="1">(H2*10000)/$E2</f>
        <v>0.118618191560491</v>
      </c>
      <c r="BE2" s="17">
        <f t="shared" ref="BE2:BE65" si="2">(I2*10000)/$E2</f>
        <v>0</v>
      </c>
      <c r="BF2" s="17">
        <f t="shared" ref="BF2:BF65" si="3">(J2*10000)/$E2</f>
        <v>0</v>
      </c>
      <c r="BG2" s="17">
        <f t="shared" ref="BG2:BG65" si="4">(K2*10000)/$E2</f>
        <v>0</v>
      </c>
      <c r="BH2" s="17">
        <f t="shared" ref="BH2:BH65" si="5">(L2*10000)/$E2</f>
        <v>0</v>
      </c>
      <c r="BI2" s="17">
        <f t="shared" ref="BI2:BI65" si="6">(M2*10000)/$E2</f>
        <v>1.2265004142141409</v>
      </c>
      <c r="BJ2" s="17">
        <f t="shared" ref="BJ2:BJ65" si="7">(N2*10000)/$E2</f>
        <v>0</v>
      </c>
      <c r="BK2" s="17">
        <f t="shared" ref="BK2:BK65" si="8">(O2*10000)/$E2</f>
        <v>0</v>
      </c>
      <c r="BL2" s="17">
        <f t="shared" ref="BL2:BL65" si="9">(P2*10000)/$E2</f>
        <v>0</v>
      </c>
      <c r="BM2" s="17">
        <f t="shared" ref="BM2:BM65" si="10">(Q2*10000)/$E2</f>
        <v>0</v>
      </c>
      <c r="BN2" s="17">
        <f t="shared" ref="BN2:BN65" si="11">(R2*10000)/$E2</f>
        <v>0</v>
      </c>
      <c r="BO2" s="17">
        <f t="shared" ref="BO2:BO65" si="12">(S2*10000)/$E2</f>
        <v>5.3173672078840793E-2</v>
      </c>
      <c r="BP2" s="17">
        <f t="shared" ref="BP2:BP65" si="13">(T2*10000)/$E2</f>
        <v>0</v>
      </c>
      <c r="BQ2" s="17">
        <f t="shared" ref="BQ2:BQ65" si="14">(U2*10000)/$E2</f>
        <v>0</v>
      </c>
      <c r="BR2" s="17">
        <f t="shared" ref="BR2:BR65" si="15">(V2*10000)/$E2</f>
        <v>6.3691541281248862E-2</v>
      </c>
      <c r="BS2" s="17">
        <f t="shared" ref="BS2:BS65" si="16">(W2*10000)/$E2</f>
        <v>0</v>
      </c>
      <c r="BT2" s="17">
        <f t="shared" ref="BT2:BT65" si="17">(X2*10000)/$E2</f>
        <v>0</v>
      </c>
      <c r="BU2" s="17">
        <f t="shared" ref="BU2:BU65" si="18">(Y2*10000)/$E2</f>
        <v>0.2676213385946053</v>
      </c>
      <c r="BV2" s="17">
        <f t="shared" ref="BV2:BV65" si="19">(Z2*10000)/$E2</f>
        <v>0</v>
      </c>
      <c r="BW2" s="17">
        <f t="shared" ref="BW2:BW65" si="20">(AA2*10000)/$E2</f>
        <v>0</v>
      </c>
      <c r="BX2" s="17">
        <f t="shared" ref="BX2:BX65" si="21">(AC2*10000)/$E2</f>
        <v>0</v>
      </c>
      <c r="BY2" s="17">
        <f t="shared" ref="BY2:BY65" si="22">(AD2*10000)/$E2</f>
        <v>0</v>
      </c>
      <c r="BZ2" s="17">
        <f>(AE2*10000)/$E2</f>
        <v>0</v>
      </c>
      <c r="CA2" s="17">
        <f>(AF2*10000)/$E2</f>
        <v>0</v>
      </c>
      <c r="CB2" s="17">
        <f>(AG2*10000)/$E2</f>
        <v>0</v>
      </c>
      <c r="CC2" s="17">
        <f>(AH2*10000)/$E2</f>
        <v>0</v>
      </c>
      <c r="CD2" s="17">
        <f>(AI2*10000)/$E2</f>
        <v>0</v>
      </c>
      <c r="CE2" s="17">
        <f t="shared" ref="CE2:CE33" si="23">(AJ2*10000)/$E2</f>
        <v>8.6480257886466336E-2</v>
      </c>
      <c r="CF2" s="17">
        <f>(AK2*10000)/$E2</f>
        <v>0</v>
      </c>
      <c r="CG2" s="17">
        <f>(AL2*10000)/$E2</f>
        <v>0</v>
      </c>
      <c r="CH2" s="17">
        <f>(AN2*10000)/$E2</f>
        <v>0</v>
      </c>
      <c r="CI2" s="17">
        <f>(AO2*10000)/$E2</f>
        <v>0</v>
      </c>
      <c r="CJ2" s="17">
        <f>(AP2*10000)/$E2</f>
        <v>0</v>
      </c>
      <c r="CK2" s="17">
        <f>(AR2*10000)/$E2</f>
        <v>0</v>
      </c>
      <c r="CL2" s="17">
        <f>(AS2*10000)/$E2</f>
        <v>0</v>
      </c>
      <c r="CM2" s="14">
        <f>AV2+AW2</f>
        <v>20918</v>
      </c>
      <c r="CN2" s="17">
        <f>(CM2*10000)/$E2</f>
        <v>12.222932665331776</v>
      </c>
      <c r="CO2" s="14">
        <f>AU2+AV2+AW2</f>
        <v>22492</v>
      </c>
      <c r="CP2" s="17">
        <f>(CO2*10000)/$E2</f>
        <v>13.142661894475681</v>
      </c>
      <c r="CQ2" s="14">
        <f t="shared" ref="CQ2:CQ65" si="24">SUM(G2:AX2)</f>
        <v>25638</v>
      </c>
      <c r="CR2" s="14">
        <v>39</v>
      </c>
      <c r="CS2" s="14">
        <v>785</v>
      </c>
      <c r="CT2" s="14">
        <v>128</v>
      </c>
      <c r="CU2" s="14">
        <v>1791</v>
      </c>
    </row>
    <row r="3" spans="1:99" x14ac:dyDescent="0.3">
      <c r="A3" s="14">
        <v>2013</v>
      </c>
      <c r="B3" s="14" t="s">
        <v>1</v>
      </c>
      <c r="C3" s="14" t="s">
        <v>2</v>
      </c>
      <c r="D3" s="15">
        <v>712157.2</v>
      </c>
      <c r="E3" s="15">
        <v>17636407.5</v>
      </c>
      <c r="F3" s="15">
        <f t="shared" ref="F3:F66" si="25">E3/D3</f>
        <v>24.764767526046217</v>
      </c>
      <c r="H3" s="14">
        <v>207</v>
      </c>
      <c r="AB3" s="14">
        <f t="shared" ref="AB3:AB66" si="26">AA3+O3</f>
        <v>0</v>
      </c>
      <c r="AM3" s="14">
        <f t="shared" ref="AM3:AM66" si="27">AK3+AL3</f>
        <v>0</v>
      </c>
      <c r="AQ3" s="14">
        <f t="shared" ref="AQ3:AQ66" si="28">AO3+AP3</f>
        <v>0</v>
      </c>
      <c r="AT3" s="14">
        <f t="shared" ref="AT3:AT66" si="29">AR3+AS3</f>
        <v>0</v>
      </c>
      <c r="AU3" s="16">
        <v>1606</v>
      </c>
      <c r="AV3" s="16">
        <v>12392</v>
      </c>
      <c r="AW3" s="16">
        <v>3182</v>
      </c>
      <c r="AX3" s="16">
        <v>0</v>
      </c>
      <c r="AY3" s="18">
        <f t="shared" ref="AY3:AY66" si="30">(AU3*10000)/$E3</f>
        <v>0.91061629189504723</v>
      </c>
      <c r="AZ3" s="17">
        <f t="shared" ref="AZ3:AZ66" si="31">(AV3*10000)/$E3</f>
        <v>7.0263742771876867</v>
      </c>
      <c r="BA3" s="17">
        <f t="shared" ref="BA3:BA66" si="32">(AW3*10000)/$E3</f>
        <v>1.8042223168182068</v>
      </c>
      <c r="BB3" s="17">
        <f t="shared" ref="BB3:BB66" si="33">(AX3*10000)/$E3</f>
        <v>0</v>
      </c>
      <c r="BC3" s="17">
        <f t="shared" si="0"/>
        <v>0</v>
      </c>
      <c r="BD3" s="17">
        <f t="shared" si="1"/>
        <v>0.11737084210602414</v>
      </c>
      <c r="BE3" s="17">
        <f t="shared" si="2"/>
        <v>0</v>
      </c>
      <c r="BF3" s="17">
        <f t="shared" si="3"/>
        <v>0</v>
      </c>
      <c r="BG3" s="17">
        <f t="shared" si="4"/>
        <v>0</v>
      </c>
      <c r="BH3" s="17">
        <f t="shared" si="5"/>
        <v>0</v>
      </c>
      <c r="BI3" s="17">
        <f t="shared" si="6"/>
        <v>0</v>
      </c>
      <c r="BJ3" s="17">
        <f t="shared" si="7"/>
        <v>0</v>
      </c>
      <c r="BK3" s="17">
        <f t="shared" si="8"/>
        <v>0</v>
      </c>
      <c r="BL3" s="17">
        <f t="shared" si="9"/>
        <v>0</v>
      </c>
      <c r="BM3" s="17">
        <f t="shared" si="10"/>
        <v>0</v>
      </c>
      <c r="BN3" s="17">
        <f t="shared" si="11"/>
        <v>0</v>
      </c>
      <c r="BO3" s="17">
        <f t="shared" si="12"/>
        <v>0</v>
      </c>
      <c r="BP3" s="17">
        <f t="shared" si="13"/>
        <v>0</v>
      </c>
      <c r="BQ3" s="17">
        <f t="shared" si="14"/>
        <v>0</v>
      </c>
      <c r="BR3" s="17">
        <f t="shared" si="15"/>
        <v>0</v>
      </c>
      <c r="BS3" s="17">
        <f t="shared" si="16"/>
        <v>0</v>
      </c>
      <c r="BT3" s="17">
        <f t="shared" si="17"/>
        <v>0</v>
      </c>
      <c r="BU3" s="17">
        <f t="shared" si="18"/>
        <v>0</v>
      </c>
      <c r="BV3" s="17">
        <f t="shared" si="19"/>
        <v>0</v>
      </c>
      <c r="BW3" s="17">
        <f t="shared" si="20"/>
        <v>0</v>
      </c>
      <c r="BX3" s="17">
        <f t="shared" si="21"/>
        <v>0</v>
      </c>
      <c r="BY3" s="17">
        <f t="shared" si="22"/>
        <v>0</v>
      </c>
      <c r="BZ3" s="17">
        <f t="shared" ref="BZ3:BZ66" si="34">(AE3*10000)/$E3</f>
        <v>0</v>
      </c>
      <c r="CA3" s="17">
        <f t="shared" ref="CA3:CA66" si="35">(AF3*10000)/$E3</f>
        <v>0</v>
      </c>
      <c r="CB3" s="17">
        <f t="shared" ref="CB3:CB66" si="36">(AG3*10000)/$E3</f>
        <v>0</v>
      </c>
      <c r="CC3" s="17">
        <f t="shared" ref="CC3:CC66" si="37">(AH3*10000)/$E3</f>
        <v>0</v>
      </c>
      <c r="CD3" s="17">
        <f t="shared" ref="CD3:CD66" si="38">(AI3*10000)/$E3</f>
        <v>0</v>
      </c>
      <c r="CE3" s="17">
        <f t="shared" si="23"/>
        <v>0</v>
      </c>
      <c r="CF3" s="17">
        <f t="shared" ref="CF3:CF66" si="39">(AK3*10000)/$E3</f>
        <v>0</v>
      </c>
      <c r="CG3" s="17">
        <f t="shared" ref="CG3:CG66" si="40">(AL3*10000)/$E3</f>
        <v>0</v>
      </c>
      <c r="CH3" s="17">
        <f t="shared" ref="CH3:CH66" si="41">(AN3*10000)/$E3</f>
        <v>0</v>
      </c>
      <c r="CI3" s="17">
        <f t="shared" ref="CI3:CI66" si="42">(AO3*10000)/$E3</f>
        <v>0</v>
      </c>
      <c r="CJ3" s="17">
        <f t="shared" ref="CJ3:CJ66" si="43">(AP3*10000)/$E3</f>
        <v>0</v>
      </c>
      <c r="CK3" s="17">
        <f t="shared" ref="CK3:CK66" si="44">(AR3*10000)/$E3</f>
        <v>0</v>
      </c>
      <c r="CL3" s="17">
        <f t="shared" ref="CL3:CL66" si="45">(AS3*10000)/$E3</f>
        <v>0</v>
      </c>
      <c r="CM3" s="14">
        <f t="shared" ref="CM3:CM66" si="46">AV3+AW3</f>
        <v>15574</v>
      </c>
      <c r="CN3" s="17">
        <f t="shared" ref="CN3:CN66" si="47">(CM3*10000)/$E3</f>
        <v>8.8305965940058933</v>
      </c>
      <c r="CO3" s="14">
        <f t="shared" ref="CO3:CO66" si="48">AU3+AV3+AW3</f>
        <v>17180</v>
      </c>
      <c r="CP3" s="17">
        <f t="shared" ref="CP3:CP66" si="49">(CO3*10000)/$E3</f>
        <v>9.741212885900941</v>
      </c>
      <c r="CQ3" s="14">
        <f t="shared" si="24"/>
        <v>17387</v>
      </c>
      <c r="CR3" s="14">
        <v>0</v>
      </c>
      <c r="CS3" s="14">
        <v>0</v>
      </c>
      <c r="CT3" s="14">
        <v>0</v>
      </c>
      <c r="CU3" s="14">
        <v>0</v>
      </c>
    </row>
    <row r="4" spans="1:99" x14ac:dyDescent="0.3">
      <c r="A4" s="14">
        <v>2014</v>
      </c>
      <c r="B4" s="14" t="s">
        <v>1</v>
      </c>
      <c r="C4" s="14" t="s">
        <v>2</v>
      </c>
      <c r="D4" s="15">
        <v>722847.5</v>
      </c>
      <c r="E4" s="15">
        <v>18169842.499999996</v>
      </c>
      <c r="F4" s="15">
        <f t="shared" si="25"/>
        <v>25.136481069658533</v>
      </c>
      <c r="H4" s="14">
        <v>217</v>
      </c>
      <c r="AB4" s="14">
        <f t="shared" si="26"/>
        <v>0</v>
      </c>
      <c r="AM4" s="14">
        <f t="shared" si="27"/>
        <v>0</v>
      </c>
      <c r="AQ4" s="14">
        <f t="shared" si="28"/>
        <v>0</v>
      </c>
      <c r="AT4" s="14">
        <f t="shared" si="29"/>
        <v>0</v>
      </c>
      <c r="AU4" s="16">
        <v>1818</v>
      </c>
      <c r="AV4" s="16">
        <v>12716</v>
      </c>
      <c r="AW4" s="16">
        <v>3488</v>
      </c>
      <c r="AX4" s="16">
        <v>0</v>
      </c>
      <c r="AY4" s="18">
        <f t="shared" si="30"/>
        <v>1.0005590307125669</v>
      </c>
      <c r="AZ4" s="17">
        <f t="shared" si="31"/>
        <v>6.9984095899565464</v>
      </c>
      <c r="BA4" s="17">
        <f t="shared" si="32"/>
        <v>1.9196644109600844</v>
      </c>
      <c r="BB4" s="17">
        <f t="shared" si="33"/>
        <v>0</v>
      </c>
      <c r="BC4" s="17">
        <f t="shared" si="0"/>
        <v>0</v>
      </c>
      <c r="BD4" s="17">
        <f t="shared" si="1"/>
        <v>0.11942866318186304</v>
      </c>
      <c r="BE4" s="17">
        <f t="shared" si="2"/>
        <v>0</v>
      </c>
      <c r="BF4" s="17">
        <f t="shared" si="3"/>
        <v>0</v>
      </c>
      <c r="BG4" s="17">
        <f t="shared" si="4"/>
        <v>0</v>
      </c>
      <c r="BH4" s="17">
        <f t="shared" si="5"/>
        <v>0</v>
      </c>
      <c r="BI4" s="17">
        <f t="shared" si="6"/>
        <v>0</v>
      </c>
      <c r="BJ4" s="17">
        <f t="shared" si="7"/>
        <v>0</v>
      </c>
      <c r="BK4" s="17">
        <f t="shared" si="8"/>
        <v>0</v>
      </c>
      <c r="BL4" s="17">
        <f t="shared" si="9"/>
        <v>0</v>
      </c>
      <c r="BM4" s="17">
        <f t="shared" si="10"/>
        <v>0</v>
      </c>
      <c r="BN4" s="17">
        <f t="shared" si="11"/>
        <v>0</v>
      </c>
      <c r="BO4" s="17">
        <f t="shared" si="12"/>
        <v>0</v>
      </c>
      <c r="BP4" s="17">
        <f t="shared" si="13"/>
        <v>0</v>
      </c>
      <c r="BQ4" s="17">
        <f t="shared" si="14"/>
        <v>0</v>
      </c>
      <c r="BR4" s="17">
        <f t="shared" si="15"/>
        <v>0</v>
      </c>
      <c r="BS4" s="17">
        <f t="shared" si="16"/>
        <v>0</v>
      </c>
      <c r="BT4" s="17">
        <f t="shared" si="17"/>
        <v>0</v>
      </c>
      <c r="BU4" s="17">
        <f t="shared" si="18"/>
        <v>0</v>
      </c>
      <c r="BV4" s="17">
        <f t="shared" si="19"/>
        <v>0</v>
      </c>
      <c r="BW4" s="17">
        <f t="shared" si="20"/>
        <v>0</v>
      </c>
      <c r="BX4" s="17">
        <f t="shared" si="21"/>
        <v>0</v>
      </c>
      <c r="BY4" s="17">
        <f t="shared" si="22"/>
        <v>0</v>
      </c>
      <c r="BZ4" s="17">
        <f t="shared" si="34"/>
        <v>0</v>
      </c>
      <c r="CA4" s="17">
        <f t="shared" si="35"/>
        <v>0</v>
      </c>
      <c r="CB4" s="17">
        <f t="shared" si="36"/>
        <v>0</v>
      </c>
      <c r="CC4" s="17">
        <f t="shared" si="37"/>
        <v>0</v>
      </c>
      <c r="CD4" s="17">
        <f t="shared" si="38"/>
        <v>0</v>
      </c>
      <c r="CE4" s="17">
        <f t="shared" si="23"/>
        <v>0</v>
      </c>
      <c r="CF4" s="17">
        <f t="shared" si="39"/>
        <v>0</v>
      </c>
      <c r="CG4" s="17">
        <f t="shared" si="40"/>
        <v>0</v>
      </c>
      <c r="CH4" s="17">
        <f t="shared" si="41"/>
        <v>0</v>
      </c>
      <c r="CI4" s="17">
        <f t="shared" si="42"/>
        <v>0</v>
      </c>
      <c r="CJ4" s="17">
        <f t="shared" si="43"/>
        <v>0</v>
      </c>
      <c r="CK4" s="17">
        <f t="shared" si="44"/>
        <v>0</v>
      </c>
      <c r="CL4" s="17">
        <f t="shared" si="45"/>
        <v>0</v>
      </c>
      <c r="CM4" s="14">
        <f t="shared" si="46"/>
        <v>16204</v>
      </c>
      <c r="CN4" s="17">
        <f t="shared" si="47"/>
        <v>8.9180740009166311</v>
      </c>
      <c r="CO4" s="14">
        <f t="shared" si="48"/>
        <v>18022</v>
      </c>
      <c r="CP4" s="17">
        <f t="shared" si="49"/>
        <v>9.9186330316291969</v>
      </c>
      <c r="CQ4" s="14">
        <f t="shared" si="24"/>
        <v>18239</v>
      </c>
      <c r="CR4" s="14">
        <v>0</v>
      </c>
      <c r="CS4" s="14">
        <v>0</v>
      </c>
      <c r="CT4" s="14">
        <v>0</v>
      </c>
      <c r="CU4" s="14">
        <v>0</v>
      </c>
    </row>
    <row r="5" spans="1:99" x14ac:dyDescent="0.3">
      <c r="A5" s="14">
        <v>2015</v>
      </c>
      <c r="B5" s="14" t="s">
        <v>1</v>
      </c>
      <c r="C5" s="14" t="s">
        <v>2</v>
      </c>
      <c r="D5" s="15">
        <v>731106.9</v>
      </c>
      <c r="E5" s="15">
        <v>18718019.499999996</v>
      </c>
      <c r="F5" s="15">
        <f t="shared" si="25"/>
        <v>25.602301797452597</v>
      </c>
      <c r="H5" s="14">
        <v>258</v>
      </c>
      <c r="AB5" s="14">
        <f t="shared" si="26"/>
        <v>0</v>
      </c>
      <c r="AM5" s="14">
        <f t="shared" si="27"/>
        <v>0</v>
      </c>
      <c r="AQ5" s="14">
        <f t="shared" si="28"/>
        <v>0</v>
      </c>
      <c r="AT5" s="14">
        <f t="shared" si="29"/>
        <v>0</v>
      </c>
      <c r="AU5" s="16">
        <v>2378</v>
      </c>
      <c r="AV5" s="16">
        <v>19496</v>
      </c>
      <c r="AW5" s="16">
        <v>4766</v>
      </c>
      <c r="AX5" s="16">
        <v>0</v>
      </c>
      <c r="AY5" s="18">
        <f t="shared" si="30"/>
        <v>1.2704335520112053</v>
      </c>
      <c r="AZ5" s="17">
        <f t="shared" si="31"/>
        <v>10.415631846093548</v>
      </c>
      <c r="BA5" s="17">
        <f t="shared" si="32"/>
        <v>2.5462095495733408</v>
      </c>
      <c r="BB5" s="17">
        <f t="shared" si="33"/>
        <v>0</v>
      </c>
      <c r="BC5" s="17">
        <f t="shared" si="0"/>
        <v>0</v>
      </c>
      <c r="BD5" s="17">
        <f t="shared" si="1"/>
        <v>0.13783509521399956</v>
      </c>
      <c r="BE5" s="17">
        <f t="shared" si="2"/>
        <v>0</v>
      </c>
      <c r="BF5" s="17">
        <f t="shared" si="3"/>
        <v>0</v>
      </c>
      <c r="BG5" s="17">
        <f t="shared" si="4"/>
        <v>0</v>
      </c>
      <c r="BH5" s="17">
        <f t="shared" si="5"/>
        <v>0</v>
      </c>
      <c r="BI5" s="17">
        <f t="shared" si="6"/>
        <v>0</v>
      </c>
      <c r="BJ5" s="17">
        <f t="shared" si="7"/>
        <v>0</v>
      </c>
      <c r="BK5" s="17">
        <f t="shared" si="8"/>
        <v>0</v>
      </c>
      <c r="BL5" s="17">
        <f t="shared" si="9"/>
        <v>0</v>
      </c>
      <c r="BM5" s="17">
        <f t="shared" si="10"/>
        <v>0</v>
      </c>
      <c r="BN5" s="17">
        <f t="shared" si="11"/>
        <v>0</v>
      </c>
      <c r="BO5" s="17">
        <f t="shared" si="12"/>
        <v>0</v>
      </c>
      <c r="BP5" s="17">
        <f t="shared" si="13"/>
        <v>0</v>
      </c>
      <c r="BQ5" s="17">
        <f t="shared" si="14"/>
        <v>0</v>
      </c>
      <c r="BR5" s="17">
        <f t="shared" si="15"/>
        <v>0</v>
      </c>
      <c r="BS5" s="17">
        <f t="shared" si="16"/>
        <v>0</v>
      </c>
      <c r="BT5" s="17">
        <f t="shared" si="17"/>
        <v>0</v>
      </c>
      <c r="BU5" s="17">
        <f t="shared" si="18"/>
        <v>0</v>
      </c>
      <c r="BV5" s="17">
        <f t="shared" si="19"/>
        <v>0</v>
      </c>
      <c r="BW5" s="17">
        <f t="shared" si="20"/>
        <v>0</v>
      </c>
      <c r="BX5" s="17">
        <f t="shared" si="21"/>
        <v>0</v>
      </c>
      <c r="BY5" s="17">
        <f t="shared" si="22"/>
        <v>0</v>
      </c>
      <c r="BZ5" s="17">
        <f t="shared" si="34"/>
        <v>0</v>
      </c>
      <c r="CA5" s="17">
        <f t="shared" si="35"/>
        <v>0</v>
      </c>
      <c r="CB5" s="17">
        <f t="shared" si="36"/>
        <v>0</v>
      </c>
      <c r="CC5" s="17">
        <f t="shared" si="37"/>
        <v>0</v>
      </c>
      <c r="CD5" s="17">
        <f t="shared" si="38"/>
        <v>0</v>
      </c>
      <c r="CE5" s="17">
        <f t="shared" si="23"/>
        <v>0</v>
      </c>
      <c r="CF5" s="17">
        <f t="shared" si="39"/>
        <v>0</v>
      </c>
      <c r="CG5" s="17">
        <f t="shared" si="40"/>
        <v>0</v>
      </c>
      <c r="CH5" s="17">
        <f t="shared" si="41"/>
        <v>0</v>
      </c>
      <c r="CI5" s="17">
        <f t="shared" si="42"/>
        <v>0</v>
      </c>
      <c r="CJ5" s="17">
        <f t="shared" si="43"/>
        <v>0</v>
      </c>
      <c r="CK5" s="17">
        <f t="shared" si="44"/>
        <v>0</v>
      </c>
      <c r="CL5" s="17">
        <f t="shared" si="45"/>
        <v>0</v>
      </c>
      <c r="CM5" s="14">
        <f t="shared" si="46"/>
        <v>24262</v>
      </c>
      <c r="CN5" s="17">
        <f t="shared" si="47"/>
        <v>12.961841395666889</v>
      </c>
      <c r="CO5" s="14">
        <f t="shared" si="48"/>
        <v>26640</v>
      </c>
      <c r="CP5" s="17">
        <f t="shared" si="49"/>
        <v>14.232274947678095</v>
      </c>
      <c r="CQ5" s="14">
        <f t="shared" si="24"/>
        <v>26898</v>
      </c>
      <c r="CR5" s="14">
        <v>392</v>
      </c>
      <c r="CS5" s="14">
        <v>1184</v>
      </c>
      <c r="CT5" s="14">
        <v>1688</v>
      </c>
      <c r="CU5" s="14">
        <v>718</v>
      </c>
    </row>
    <row r="6" spans="1:99" x14ac:dyDescent="0.3">
      <c r="A6" s="14">
        <v>2016</v>
      </c>
      <c r="B6" s="14" t="s">
        <v>1</v>
      </c>
      <c r="C6" s="14" t="s">
        <v>2</v>
      </c>
      <c r="D6" s="15">
        <v>735658.4</v>
      </c>
      <c r="E6" s="15">
        <v>19275497.999999981</v>
      </c>
      <c r="F6" s="15">
        <f t="shared" si="25"/>
        <v>26.201696330796985</v>
      </c>
      <c r="H6" s="14">
        <v>235</v>
      </c>
      <c r="AB6" s="14">
        <f t="shared" si="26"/>
        <v>0</v>
      </c>
      <c r="AM6" s="14">
        <f t="shared" si="27"/>
        <v>0</v>
      </c>
      <c r="AQ6" s="14">
        <f t="shared" si="28"/>
        <v>0</v>
      </c>
      <c r="AT6" s="14">
        <f t="shared" si="29"/>
        <v>0</v>
      </c>
      <c r="AU6" s="16">
        <v>2404</v>
      </c>
      <c r="AV6" s="16">
        <v>19402</v>
      </c>
      <c r="AW6" s="16">
        <v>5160</v>
      </c>
      <c r="AX6" s="16">
        <v>0</v>
      </c>
      <c r="AY6" s="18">
        <f t="shared" si="30"/>
        <v>1.2471791909085836</v>
      </c>
      <c r="AZ6" s="17">
        <f t="shared" si="31"/>
        <v>10.065628395178178</v>
      </c>
      <c r="BA6" s="17">
        <f t="shared" si="32"/>
        <v>2.6769736377239153</v>
      </c>
      <c r="BB6" s="17">
        <f t="shared" si="33"/>
        <v>0</v>
      </c>
      <c r="BC6" s="17">
        <f t="shared" si="0"/>
        <v>0</v>
      </c>
      <c r="BD6" s="17">
        <f t="shared" si="1"/>
        <v>0.12191643505137985</v>
      </c>
      <c r="BE6" s="17">
        <f t="shared" si="2"/>
        <v>0</v>
      </c>
      <c r="BF6" s="17">
        <f t="shared" si="3"/>
        <v>0</v>
      </c>
      <c r="BG6" s="17">
        <f t="shared" si="4"/>
        <v>0</v>
      </c>
      <c r="BH6" s="17">
        <f t="shared" si="5"/>
        <v>0</v>
      </c>
      <c r="BI6" s="17">
        <f t="shared" si="6"/>
        <v>0</v>
      </c>
      <c r="BJ6" s="17">
        <f t="shared" si="7"/>
        <v>0</v>
      </c>
      <c r="BK6" s="17">
        <f t="shared" si="8"/>
        <v>0</v>
      </c>
      <c r="BL6" s="17">
        <f t="shared" si="9"/>
        <v>0</v>
      </c>
      <c r="BM6" s="17">
        <f t="shared" si="10"/>
        <v>0</v>
      </c>
      <c r="BN6" s="17">
        <f t="shared" si="11"/>
        <v>0</v>
      </c>
      <c r="BO6" s="17">
        <f t="shared" si="12"/>
        <v>0</v>
      </c>
      <c r="BP6" s="17">
        <f t="shared" si="13"/>
        <v>0</v>
      </c>
      <c r="BQ6" s="17">
        <f t="shared" si="14"/>
        <v>0</v>
      </c>
      <c r="BR6" s="17">
        <f t="shared" si="15"/>
        <v>0</v>
      </c>
      <c r="BS6" s="17">
        <f t="shared" si="16"/>
        <v>0</v>
      </c>
      <c r="BT6" s="17">
        <f t="shared" si="17"/>
        <v>0</v>
      </c>
      <c r="BU6" s="17">
        <f t="shared" si="18"/>
        <v>0</v>
      </c>
      <c r="BV6" s="17">
        <f t="shared" si="19"/>
        <v>0</v>
      </c>
      <c r="BW6" s="17">
        <f t="shared" si="20"/>
        <v>0</v>
      </c>
      <c r="BX6" s="17">
        <f t="shared" si="21"/>
        <v>0</v>
      </c>
      <c r="BY6" s="17">
        <f t="shared" si="22"/>
        <v>0</v>
      </c>
      <c r="BZ6" s="17">
        <f t="shared" si="34"/>
        <v>0</v>
      </c>
      <c r="CA6" s="17">
        <f t="shared" si="35"/>
        <v>0</v>
      </c>
      <c r="CB6" s="17">
        <f t="shared" si="36"/>
        <v>0</v>
      </c>
      <c r="CC6" s="17">
        <f t="shared" si="37"/>
        <v>0</v>
      </c>
      <c r="CD6" s="17">
        <f t="shared" si="38"/>
        <v>0</v>
      </c>
      <c r="CE6" s="17">
        <f t="shared" si="23"/>
        <v>0</v>
      </c>
      <c r="CF6" s="17">
        <f t="shared" si="39"/>
        <v>0</v>
      </c>
      <c r="CG6" s="17">
        <f t="shared" si="40"/>
        <v>0</v>
      </c>
      <c r="CH6" s="17">
        <f t="shared" si="41"/>
        <v>0</v>
      </c>
      <c r="CI6" s="17">
        <f t="shared" si="42"/>
        <v>0</v>
      </c>
      <c r="CJ6" s="17">
        <f t="shared" si="43"/>
        <v>0</v>
      </c>
      <c r="CK6" s="17">
        <f t="shared" si="44"/>
        <v>0</v>
      </c>
      <c r="CL6" s="17">
        <f t="shared" si="45"/>
        <v>0</v>
      </c>
      <c r="CM6" s="14">
        <f t="shared" si="46"/>
        <v>24562</v>
      </c>
      <c r="CN6" s="17">
        <f t="shared" si="47"/>
        <v>12.742602032902093</v>
      </c>
      <c r="CO6" s="14">
        <f t="shared" si="48"/>
        <v>26966</v>
      </c>
      <c r="CP6" s="17">
        <f t="shared" si="49"/>
        <v>13.989781223810677</v>
      </c>
      <c r="CQ6" s="14">
        <f t="shared" si="24"/>
        <v>27201</v>
      </c>
      <c r="CR6" s="14">
        <v>466</v>
      </c>
      <c r="CS6" s="14">
        <v>17091</v>
      </c>
      <c r="CT6" s="14">
        <v>940</v>
      </c>
      <c r="CU6" s="14">
        <v>2367</v>
      </c>
    </row>
    <row r="7" spans="1:99" x14ac:dyDescent="0.3">
      <c r="A7" s="14">
        <v>2017</v>
      </c>
      <c r="B7" s="14" t="s">
        <v>1</v>
      </c>
      <c r="C7" s="14" t="s">
        <v>2</v>
      </c>
      <c r="D7" s="15">
        <v>737568.4</v>
      </c>
      <c r="E7" s="15">
        <v>19835858.500000007</v>
      </c>
      <c r="F7" s="15">
        <f t="shared" si="25"/>
        <v>26.893585055975834</v>
      </c>
      <c r="G7" s="14">
        <v>80</v>
      </c>
      <c r="H7" s="14">
        <v>284</v>
      </c>
      <c r="M7" s="14">
        <v>2749</v>
      </c>
      <c r="T7" s="14">
        <v>160</v>
      </c>
      <c r="Z7" s="14">
        <v>699</v>
      </c>
      <c r="AA7" s="14">
        <v>3</v>
      </c>
      <c r="AB7" s="14">
        <f t="shared" si="26"/>
        <v>3</v>
      </c>
      <c r="AD7" s="14">
        <v>4</v>
      </c>
      <c r="AE7" s="14">
        <v>19</v>
      </c>
      <c r="AF7" s="14">
        <v>3</v>
      </c>
      <c r="AJ7" s="14">
        <v>156</v>
      </c>
      <c r="AK7" s="14">
        <v>18</v>
      </c>
      <c r="AM7" s="14">
        <f t="shared" si="27"/>
        <v>18</v>
      </c>
      <c r="AQ7" s="14">
        <f t="shared" si="28"/>
        <v>0</v>
      </c>
      <c r="AS7" s="14">
        <v>336</v>
      </c>
      <c r="AT7" s="14">
        <f t="shared" si="29"/>
        <v>336</v>
      </c>
      <c r="AU7" s="16">
        <v>3990</v>
      </c>
      <c r="AV7" s="16">
        <v>20752</v>
      </c>
      <c r="AW7" s="16">
        <v>13138</v>
      </c>
      <c r="AX7" s="16">
        <v>0</v>
      </c>
      <c r="AY7" s="18">
        <f t="shared" si="30"/>
        <v>2.0115086019594255</v>
      </c>
      <c r="AZ7" s="17">
        <f t="shared" si="31"/>
        <v>10.461861280165914</v>
      </c>
      <c r="BA7" s="17">
        <f t="shared" si="32"/>
        <v>6.6233583991335667</v>
      </c>
      <c r="BB7" s="17">
        <f t="shared" si="33"/>
        <v>0</v>
      </c>
      <c r="BC7" s="17">
        <f t="shared" si="0"/>
        <v>4.0330999538033589E-2</v>
      </c>
      <c r="BD7" s="17">
        <f t="shared" si="1"/>
        <v>0.14317504836001926</v>
      </c>
      <c r="BE7" s="17">
        <f t="shared" si="2"/>
        <v>0</v>
      </c>
      <c r="BF7" s="17">
        <f t="shared" si="3"/>
        <v>0</v>
      </c>
      <c r="BG7" s="17">
        <f t="shared" si="4"/>
        <v>0</v>
      </c>
      <c r="BH7" s="17">
        <f t="shared" si="5"/>
        <v>0</v>
      </c>
      <c r="BI7" s="17">
        <f t="shared" si="6"/>
        <v>1.3858739716256794</v>
      </c>
      <c r="BJ7" s="17">
        <f t="shared" si="7"/>
        <v>0</v>
      </c>
      <c r="BK7" s="17">
        <f t="shared" si="8"/>
        <v>0</v>
      </c>
      <c r="BL7" s="17">
        <f t="shared" si="9"/>
        <v>0</v>
      </c>
      <c r="BM7" s="17">
        <f t="shared" si="10"/>
        <v>0</v>
      </c>
      <c r="BN7" s="17">
        <f t="shared" si="11"/>
        <v>0</v>
      </c>
      <c r="BO7" s="17">
        <f t="shared" si="12"/>
        <v>0</v>
      </c>
      <c r="BP7" s="17">
        <f t="shared" si="13"/>
        <v>8.0661999076067178E-2</v>
      </c>
      <c r="BQ7" s="17">
        <f t="shared" si="14"/>
        <v>0</v>
      </c>
      <c r="BR7" s="17">
        <f t="shared" si="15"/>
        <v>0</v>
      </c>
      <c r="BS7" s="17">
        <f t="shared" si="16"/>
        <v>0</v>
      </c>
      <c r="BT7" s="17">
        <f t="shared" si="17"/>
        <v>0</v>
      </c>
      <c r="BU7" s="17">
        <f t="shared" si="18"/>
        <v>0</v>
      </c>
      <c r="BV7" s="17">
        <f t="shared" si="19"/>
        <v>0.3523921084635685</v>
      </c>
      <c r="BW7" s="17">
        <f t="shared" si="20"/>
        <v>1.5124124826762597E-3</v>
      </c>
      <c r="BX7" s="17">
        <f t="shared" si="21"/>
        <v>0</v>
      </c>
      <c r="BY7" s="17">
        <f t="shared" si="22"/>
        <v>2.0165499769016796E-3</v>
      </c>
      <c r="BZ7" s="17">
        <f t="shared" si="34"/>
        <v>9.578612390282978E-3</v>
      </c>
      <c r="CA7" s="17">
        <f t="shared" si="35"/>
        <v>1.5124124826762597E-3</v>
      </c>
      <c r="CB7" s="17">
        <f t="shared" si="36"/>
        <v>0</v>
      </c>
      <c r="CC7" s="17">
        <f t="shared" si="37"/>
        <v>0</v>
      </c>
      <c r="CD7" s="17">
        <f t="shared" si="38"/>
        <v>0</v>
      </c>
      <c r="CE7" s="17">
        <f t="shared" si="23"/>
        <v>7.8645449099165501E-2</v>
      </c>
      <c r="CF7" s="17">
        <f t="shared" si="39"/>
        <v>9.0744748960575588E-3</v>
      </c>
      <c r="CG7" s="17">
        <f t="shared" si="40"/>
        <v>0</v>
      </c>
      <c r="CH7" s="17">
        <f t="shared" si="41"/>
        <v>0</v>
      </c>
      <c r="CI7" s="17">
        <f t="shared" si="42"/>
        <v>0</v>
      </c>
      <c r="CJ7" s="17">
        <f t="shared" si="43"/>
        <v>0</v>
      </c>
      <c r="CK7" s="17">
        <f t="shared" si="44"/>
        <v>0</v>
      </c>
      <c r="CL7" s="17">
        <f>(AS7*10000)/$E7</f>
        <v>0.16939019805974109</v>
      </c>
      <c r="CM7" s="14">
        <f t="shared" si="46"/>
        <v>33890</v>
      </c>
      <c r="CN7" s="17">
        <f t="shared" si="47"/>
        <v>17.085219679299481</v>
      </c>
      <c r="CO7" s="14">
        <f t="shared" si="48"/>
        <v>37880</v>
      </c>
      <c r="CP7" s="17">
        <f t="shared" si="49"/>
        <v>19.096728281258905</v>
      </c>
      <c r="CQ7" s="14">
        <f t="shared" si="24"/>
        <v>42748</v>
      </c>
      <c r="CR7" s="14">
        <v>5048</v>
      </c>
      <c r="CS7" s="14">
        <v>20603</v>
      </c>
      <c r="CT7" s="14">
        <v>0</v>
      </c>
      <c r="CU7" s="14">
        <v>20392</v>
      </c>
    </row>
    <row r="8" spans="1:99" x14ac:dyDescent="0.3">
      <c r="A8" s="14">
        <v>2018</v>
      </c>
      <c r="B8" s="14" t="s">
        <v>1</v>
      </c>
      <c r="C8" s="14" t="s">
        <v>2</v>
      </c>
      <c r="D8" s="15">
        <v>743373</v>
      </c>
      <c r="E8" s="15">
        <v>20392723</v>
      </c>
      <c r="F8" s="15">
        <f t="shared" si="25"/>
        <v>27.432692605192816</v>
      </c>
      <c r="G8" s="14">
        <v>91</v>
      </c>
      <c r="H8" s="14">
        <v>239</v>
      </c>
      <c r="N8" s="14">
        <v>185</v>
      </c>
      <c r="O8" s="14">
        <v>2</v>
      </c>
      <c r="Z8" s="14">
        <v>648</v>
      </c>
      <c r="AB8" s="14">
        <f t="shared" si="26"/>
        <v>2</v>
      </c>
      <c r="AM8" s="14">
        <f t="shared" si="27"/>
        <v>0</v>
      </c>
      <c r="AQ8" s="14">
        <f t="shared" si="28"/>
        <v>0</v>
      </c>
      <c r="AT8" s="14">
        <f t="shared" si="29"/>
        <v>0</v>
      </c>
      <c r="AU8" s="16">
        <v>3368</v>
      </c>
      <c r="AV8" s="16">
        <v>0</v>
      </c>
      <c r="AW8" s="16">
        <v>0</v>
      </c>
      <c r="AX8" s="16">
        <v>0</v>
      </c>
      <c r="AY8" s="18">
        <f t="shared" si="30"/>
        <v>1.651569532916227</v>
      </c>
      <c r="AZ8" s="17">
        <f t="shared" si="31"/>
        <v>0</v>
      </c>
      <c r="BA8" s="17">
        <f t="shared" si="32"/>
        <v>0</v>
      </c>
      <c r="BB8" s="17">
        <f t="shared" si="33"/>
        <v>0</v>
      </c>
      <c r="BC8" s="17">
        <f t="shared" si="0"/>
        <v>4.4623761132831549E-2</v>
      </c>
      <c r="BD8" s="17">
        <f t="shared" si="1"/>
        <v>0.11719866934886528</v>
      </c>
      <c r="BE8" s="17">
        <f t="shared" si="2"/>
        <v>0</v>
      </c>
      <c r="BF8" s="17">
        <f t="shared" si="3"/>
        <v>0</v>
      </c>
      <c r="BG8" s="17">
        <f t="shared" si="4"/>
        <v>0</v>
      </c>
      <c r="BH8" s="17">
        <f t="shared" si="5"/>
        <v>0</v>
      </c>
      <c r="BI8" s="17">
        <f t="shared" si="6"/>
        <v>0</v>
      </c>
      <c r="BJ8" s="17">
        <f t="shared" si="7"/>
        <v>9.0718635270042161E-2</v>
      </c>
      <c r="BK8" s="17">
        <f t="shared" si="8"/>
        <v>9.8074200291937475E-4</v>
      </c>
      <c r="BL8" s="17">
        <f t="shared" si="9"/>
        <v>0</v>
      </c>
      <c r="BM8" s="17">
        <f t="shared" si="10"/>
        <v>0</v>
      </c>
      <c r="BN8" s="17">
        <f t="shared" si="11"/>
        <v>0</v>
      </c>
      <c r="BO8" s="17">
        <f t="shared" si="12"/>
        <v>0</v>
      </c>
      <c r="BP8" s="17">
        <f t="shared" si="13"/>
        <v>0</v>
      </c>
      <c r="BQ8" s="17">
        <f t="shared" si="14"/>
        <v>0</v>
      </c>
      <c r="BR8" s="17">
        <f t="shared" si="15"/>
        <v>0</v>
      </c>
      <c r="BS8" s="17">
        <f t="shared" si="16"/>
        <v>0</v>
      </c>
      <c r="BT8" s="17">
        <f t="shared" si="17"/>
        <v>0</v>
      </c>
      <c r="BU8" s="17">
        <f t="shared" si="18"/>
        <v>0</v>
      </c>
      <c r="BV8" s="17">
        <f t="shared" si="19"/>
        <v>0.31776040894587743</v>
      </c>
      <c r="BW8" s="17">
        <f t="shared" si="20"/>
        <v>0</v>
      </c>
      <c r="BX8" s="17">
        <f t="shared" si="21"/>
        <v>0</v>
      </c>
      <c r="BY8" s="17">
        <f t="shared" si="22"/>
        <v>0</v>
      </c>
      <c r="BZ8" s="17">
        <f t="shared" si="34"/>
        <v>0</v>
      </c>
      <c r="CA8" s="17">
        <f t="shared" si="35"/>
        <v>0</v>
      </c>
      <c r="CB8" s="17">
        <f t="shared" si="36"/>
        <v>0</v>
      </c>
      <c r="CC8" s="17">
        <f t="shared" si="37"/>
        <v>0</v>
      </c>
      <c r="CD8" s="17">
        <f t="shared" si="38"/>
        <v>0</v>
      </c>
      <c r="CE8" s="17">
        <f t="shared" si="23"/>
        <v>0</v>
      </c>
      <c r="CF8" s="17">
        <f t="shared" si="39"/>
        <v>0</v>
      </c>
      <c r="CG8" s="17">
        <f t="shared" si="40"/>
        <v>0</v>
      </c>
      <c r="CH8" s="17">
        <f t="shared" si="41"/>
        <v>0</v>
      </c>
      <c r="CI8" s="17">
        <f t="shared" si="42"/>
        <v>0</v>
      </c>
      <c r="CJ8" s="17">
        <f t="shared" si="43"/>
        <v>0</v>
      </c>
      <c r="CK8" s="17">
        <f t="shared" si="44"/>
        <v>0</v>
      </c>
      <c r="CL8" s="17">
        <f t="shared" si="45"/>
        <v>0</v>
      </c>
      <c r="CM8" s="14">
        <f t="shared" si="46"/>
        <v>0</v>
      </c>
      <c r="CN8" s="17">
        <f t="shared" si="47"/>
        <v>0</v>
      </c>
      <c r="CO8" s="14">
        <f t="shared" si="48"/>
        <v>3368</v>
      </c>
      <c r="CP8" s="17"/>
      <c r="CQ8" s="14">
        <f t="shared" si="24"/>
        <v>4535</v>
      </c>
      <c r="CR8" s="14">
        <v>111</v>
      </c>
      <c r="CS8" s="14">
        <v>401</v>
      </c>
      <c r="CT8" s="14">
        <v>0</v>
      </c>
      <c r="CU8" s="14">
        <v>157</v>
      </c>
    </row>
    <row r="9" spans="1:99" x14ac:dyDescent="0.3">
      <c r="A9" s="14">
        <v>2019</v>
      </c>
      <c r="B9" s="14" t="s">
        <v>1</v>
      </c>
      <c r="C9" s="14" t="s">
        <v>2</v>
      </c>
      <c r="D9" s="15">
        <v>752782.1</v>
      </c>
      <c r="E9" s="15">
        <v>20951638.999999996</v>
      </c>
      <c r="F9" s="15">
        <f t="shared" si="25"/>
        <v>27.832275767449833</v>
      </c>
      <c r="G9" s="14">
        <v>52</v>
      </c>
      <c r="H9" s="14">
        <v>313</v>
      </c>
      <c r="I9" s="14">
        <v>811</v>
      </c>
      <c r="J9" s="14">
        <v>200</v>
      </c>
      <c r="L9" s="14">
        <v>7</v>
      </c>
      <c r="M9" s="14">
        <v>2979</v>
      </c>
      <c r="N9" s="14">
        <v>143</v>
      </c>
      <c r="R9" s="14">
        <v>6</v>
      </c>
      <c r="S9" s="14">
        <v>1348</v>
      </c>
      <c r="T9" s="14">
        <v>222</v>
      </c>
      <c r="U9" s="14">
        <v>174</v>
      </c>
      <c r="V9" s="14">
        <v>191</v>
      </c>
      <c r="Z9" s="14">
        <v>800</v>
      </c>
      <c r="AA9" s="14">
        <v>143</v>
      </c>
      <c r="AB9" s="14">
        <f t="shared" si="26"/>
        <v>143</v>
      </c>
      <c r="AD9" s="14">
        <v>15</v>
      </c>
      <c r="AE9" s="14">
        <v>21</v>
      </c>
      <c r="AG9" s="14">
        <v>22</v>
      </c>
      <c r="AH9" s="14">
        <v>2079</v>
      </c>
      <c r="AJ9" s="14">
        <v>192</v>
      </c>
      <c r="AM9" s="14">
        <f t="shared" si="27"/>
        <v>0</v>
      </c>
      <c r="AN9" s="14">
        <v>8</v>
      </c>
      <c r="AO9" s="14">
        <v>6</v>
      </c>
      <c r="AP9" s="14">
        <v>28</v>
      </c>
      <c r="AQ9" s="14">
        <f t="shared" si="28"/>
        <v>34</v>
      </c>
      <c r="AR9" s="14">
        <v>335</v>
      </c>
      <c r="AS9" s="14">
        <v>1</v>
      </c>
      <c r="AT9" s="14">
        <f t="shared" si="29"/>
        <v>336</v>
      </c>
      <c r="AU9" s="16">
        <v>5397</v>
      </c>
      <c r="AV9" s="16">
        <v>22728</v>
      </c>
      <c r="AW9" s="16">
        <v>14954</v>
      </c>
      <c r="AX9" s="16">
        <v>0</v>
      </c>
      <c r="AY9" s="18">
        <f t="shared" si="30"/>
        <v>2.5759321263601387</v>
      </c>
      <c r="AZ9" s="17">
        <f t="shared" si="31"/>
        <v>10.847838682214793</v>
      </c>
      <c r="BA9" s="17">
        <f t="shared" si="32"/>
        <v>7.1373891083174934</v>
      </c>
      <c r="BB9" s="17">
        <f t="shared" si="33"/>
        <v>0</v>
      </c>
      <c r="BC9" s="17">
        <f t="shared" si="0"/>
        <v>2.4819060694965204E-2</v>
      </c>
      <c r="BD9" s="17">
        <f t="shared" si="1"/>
        <v>0.14939165379854055</v>
      </c>
      <c r="BE9" s="17">
        <f t="shared" si="2"/>
        <v>0.38708188891570733</v>
      </c>
      <c r="BF9" s="17">
        <f t="shared" si="3"/>
        <v>9.5457925749866168E-2</v>
      </c>
      <c r="BG9" s="17">
        <f t="shared" si="4"/>
        <v>0</v>
      </c>
      <c r="BH9" s="17">
        <f t="shared" si="5"/>
        <v>3.3410274012453159E-3</v>
      </c>
      <c r="BI9" s="17">
        <f t="shared" si="6"/>
        <v>1.4218458040442568</v>
      </c>
      <c r="BJ9" s="17">
        <f t="shared" si="7"/>
        <v>6.8252416911154315E-2</v>
      </c>
      <c r="BK9" s="17">
        <f t="shared" si="8"/>
        <v>0</v>
      </c>
      <c r="BL9" s="17">
        <f t="shared" si="9"/>
        <v>0</v>
      </c>
      <c r="BM9" s="17">
        <f t="shared" si="10"/>
        <v>0</v>
      </c>
      <c r="BN9" s="17">
        <f t="shared" si="11"/>
        <v>2.863737772495985E-3</v>
      </c>
      <c r="BO9" s="17">
        <f t="shared" si="12"/>
        <v>0.64338641955409803</v>
      </c>
      <c r="BP9" s="17">
        <f t="shared" si="13"/>
        <v>0.10595829758235145</v>
      </c>
      <c r="BQ9" s="17">
        <f t="shared" si="14"/>
        <v>8.3048395402383568E-2</v>
      </c>
      <c r="BR9" s="17">
        <f t="shared" si="15"/>
        <v>9.1162319091122199E-2</v>
      </c>
      <c r="BS9" s="17">
        <f t="shared" si="16"/>
        <v>0</v>
      </c>
      <c r="BT9" s="17">
        <f t="shared" si="17"/>
        <v>0</v>
      </c>
      <c r="BU9" s="17">
        <f t="shared" si="18"/>
        <v>0</v>
      </c>
      <c r="BV9" s="17">
        <f t="shared" si="19"/>
        <v>0.38183170299946467</v>
      </c>
      <c r="BW9" s="17">
        <f t="shared" si="20"/>
        <v>6.8252416911154315E-2</v>
      </c>
      <c r="BX9" s="17">
        <f t="shared" si="21"/>
        <v>0</v>
      </c>
      <c r="BY9" s="17">
        <f t="shared" si="22"/>
        <v>7.1593444312399628E-3</v>
      </c>
      <c r="BZ9" s="17">
        <f t="shared" si="34"/>
        <v>1.0023082203735947E-2</v>
      </c>
      <c r="CA9" s="17">
        <f t="shared" si="35"/>
        <v>0</v>
      </c>
      <c r="CB9" s="17">
        <f t="shared" si="36"/>
        <v>1.0500371832485278E-2</v>
      </c>
      <c r="CC9" s="17">
        <f t="shared" si="37"/>
        <v>0.99228513816985886</v>
      </c>
      <c r="CD9" s="17">
        <f t="shared" si="38"/>
        <v>0</v>
      </c>
      <c r="CE9" s="17">
        <f t="shared" si="23"/>
        <v>9.1639608719871521E-2</v>
      </c>
      <c r="CF9" s="17">
        <f t="shared" si="39"/>
        <v>0</v>
      </c>
      <c r="CG9" s="17">
        <f t="shared" si="40"/>
        <v>0</v>
      </c>
      <c r="CH9" s="17">
        <f t="shared" si="41"/>
        <v>3.8183170299946468E-3</v>
      </c>
      <c r="CI9" s="17">
        <f t="shared" si="42"/>
        <v>2.863737772495985E-3</v>
      </c>
      <c r="CJ9" s="17">
        <f t="shared" si="43"/>
        <v>1.3364109604981264E-2</v>
      </c>
      <c r="CK9" s="17">
        <f t="shared" si="44"/>
        <v>0.15989202563102584</v>
      </c>
      <c r="CL9" s="17">
        <f t="shared" si="45"/>
        <v>4.7728962874933086E-4</v>
      </c>
      <c r="CM9" s="14">
        <f t="shared" si="46"/>
        <v>37682</v>
      </c>
      <c r="CN9" s="17">
        <f t="shared" si="47"/>
        <v>17.985227790532285</v>
      </c>
      <c r="CO9" s="14">
        <f t="shared" si="48"/>
        <v>43079</v>
      </c>
      <c r="CP9" s="17">
        <f t="shared" si="49"/>
        <v>20.561159916892425</v>
      </c>
      <c r="CQ9" s="14">
        <f t="shared" si="24"/>
        <v>53688</v>
      </c>
      <c r="CR9" s="14">
        <v>131</v>
      </c>
      <c r="CS9" s="14">
        <v>85</v>
      </c>
      <c r="CT9" s="14">
        <v>0</v>
      </c>
      <c r="CU9" s="14">
        <v>0</v>
      </c>
    </row>
    <row r="10" spans="1:99" x14ac:dyDescent="0.3">
      <c r="A10" s="14">
        <v>2020</v>
      </c>
      <c r="B10" s="14" t="s">
        <v>1</v>
      </c>
      <c r="C10" s="14" t="s">
        <v>2</v>
      </c>
      <c r="D10" s="15">
        <v>761670.7</v>
      </c>
      <c r="E10" s="15">
        <v>21522625.999999993</v>
      </c>
      <c r="F10" s="15">
        <f t="shared" si="25"/>
        <v>28.257127391141598</v>
      </c>
      <c r="G10" s="14">
        <v>103</v>
      </c>
      <c r="H10" s="14">
        <v>718</v>
      </c>
      <c r="L10" s="14">
        <v>8</v>
      </c>
      <c r="M10" s="14">
        <v>2923</v>
      </c>
      <c r="N10" s="14">
        <v>172</v>
      </c>
      <c r="T10" s="14">
        <v>275</v>
      </c>
      <c r="V10" s="14">
        <v>274</v>
      </c>
      <c r="Z10" s="14">
        <v>906</v>
      </c>
      <c r="AB10" s="14">
        <f t="shared" si="26"/>
        <v>0</v>
      </c>
      <c r="AD10" s="14">
        <v>16</v>
      </c>
      <c r="AE10" s="14">
        <v>31</v>
      </c>
      <c r="AF10" s="14">
        <v>3</v>
      </c>
      <c r="AJ10" s="14">
        <v>203</v>
      </c>
      <c r="AK10" s="14">
        <v>22</v>
      </c>
      <c r="AM10" s="14">
        <f t="shared" si="27"/>
        <v>22</v>
      </c>
      <c r="AN10" s="14">
        <v>8</v>
      </c>
      <c r="AQ10" s="14">
        <f t="shared" si="28"/>
        <v>0</v>
      </c>
      <c r="AT10" s="14">
        <f t="shared" si="29"/>
        <v>0</v>
      </c>
      <c r="AU10" s="16">
        <v>4360</v>
      </c>
      <c r="AV10" s="16">
        <v>23748</v>
      </c>
      <c r="AW10" s="16">
        <v>15608</v>
      </c>
      <c r="AX10" s="16">
        <v>68</v>
      </c>
      <c r="AY10" s="18">
        <f t="shared" si="30"/>
        <v>2.0257751075542556</v>
      </c>
      <c r="AZ10" s="17">
        <f>(AV10*10000)/$E10</f>
        <v>11.033969553715243</v>
      </c>
      <c r="BA10" s="17">
        <f t="shared" si="32"/>
        <v>7.2519031831896372</v>
      </c>
      <c r="BB10" s="17">
        <f t="shared" si="33"/>
        <v>3.1594657640754441E-2</v>
      </c>
      <c r="BC10" s="17">
        <f t="shared" si="0"/>
        <v>4.7856613779378054E-2</v>
      </c>
      <c r="BD10" s="17">
        <f t="shared" si="1"/>
        <v>0.33360241450090722</v>
      </c>
      <c r="BE10" s="17">
        <f t="shared" si="2"/>
        <v>0</v>
      </c>
      <c r="BF10" s="17">
        <f t="shared" si="3"/>
        <v>0</v>
      </c>
      <c r="BG10" s="17">
        <f t="shared" si="4"/>
        <v>0</v>
      </c>
      <c r="BH10" s="17">
        <f t="shared" si="5"/>
        <v>3.7170185459711111E-3</v>
      </c>
      <c r="BI10" s="17">
        <f t="shared" si="6"/>
        <v>1.3581056512341947</v>
      </c>
      <c r="BJ10" s="17">
        <f t="shared" si="7"/>
        <v>7.9915898738378885E-2</v>
      </c>
      <c r="BK10" s="17">
        <f t="shared" si="8"/>
        <v>0</v>
      </c>
      <c r="BL10" s="17">
        <f t="shared" si="9"/>
        <v>0</v>
      </c>
      <c r="BM10" s="17">
        <f t="shared" si="10"/>
        <v>0</v>
      </c>
      <c r="BN10" s="17">
        <f t="shared" si="11"/>
        <v>0</v>
      </c>
      <c r="BO10" s="17">
        <f t="shared" si="12"/>
        <v>0</v>
      </c>
      <c r="BP10" s="17">
        <f t="shared" si="13"/>
        <v>0.12777251251775693</v>
      </c>
      <c r="BQ10" s="17">
        <f t="shared" si="14"/>
        <v>0</v>
      </c>
      <c r="BR10" s="17">
        <f t="shared" si="15"/>
        <v>0.12730788519951056</v>
      </c>
      <c r="BS10" s="17">
        <f t="shared" si="16"/>
        <v>0</v>
      </c>
      <c r="BT10" s="17">
        <f t="shared" si="17"/>
        <v>0</v>
      </c>
      <c r="BU10" s="17">
        <f t="shared" si="18"/>
        <v>0</v>
      </c>
      <c r="BV10" s="17">
        <f t="shared" si="19"/>
        <v>0.4209523503312283</v>
      </c>
      <c r="BW10" s="17">
        <f t="shared" si="20"/>
        <v>0</v>
      </c>
      <c r="BX10" s="17">
        <f t="shared" si="21"/>
        <v>0</v>
      </c>
      <c r="BY10" s="17">
        <f t="shared" si="22"/>
        <v>7.4340370919422222E-3</v>
      </c>
      <c r="BZ10" s="17">
        <f t="shared" si="34"/>
        <v>1.4403446865638055E-2</v>
      </c>
      <c r="CA10" s="17">
        <f t="shared" si="35"/>
        <v>1.3938819547391667E-3</v>
      </c>
      <c r="CB10" s="17">
        <f t="shared" si="36"/>
        <v>0</v>
      </c>
      <c r="CC10" s="17">
        <f t="shared" si="37"/>
        <v>0</v>
      </c>
      <c r="CD10" s="17">
        <f t="shared" si="38"/>
        <v>0</v>
      </c>
      <c r="CE10" s="17">
        <f t="shared" si="23"/>
        <v>9.4319345604016946E-2</v>
      </c>
      <c r="CF10" s="17">
        <f t="shared" si="39"/>
        <v>1.0221801001420555E-2</v>
      </c>
      <c r="CG10" s="17">
        <f t="shared" si="40"/>
        <v>0</v>
      </c>
      <c r="CH10" s="17">
        <f t="shared" si="41"/>
        <v>3.7170185459711111E-3</v>
      </c>
      <c r="CI10" s="17">
        <f t="shared" si="42"/>
        <v>0</v>
      </c>
      <c r="CJ10" s="17">
        <f t="shared" si="43"/>
        <v>0</v>
      </c>
      <c r="CK10" s="17">
        <f t="shared" si="44"/>
        <v>0</v>
      </c>
      <c r="CL10" s="17">
        <f t="shared" si="45"/>
        <v>0</v>
      </c>
      <c r="CM10" s="14">
        <f t="shared" si="46"/>
        <v>39356</v>
      </c>
      <c r="CN10" s="17">
        <f t="shared" si="47"/>
        <v>18.285872736904881</v>
      </c>
      <c r="CO10" s="14">
        <f t="shared" si="48"/>
        <v>43716</v>
      </c>
      <c r="CP10" s="17">
        <f t="shared" si="49"/>
        <v>20.311647844459134</v>
      </c>
      <c r="CQ10" s="14">
        <f t="shared" si="24"/>
        <v>49468</v>
      </c>
      <c r="CR10" s="14">
        <v>0</v>
      </c>
      <c r="CS10" s="14">
        <v>0</v>
      </c>
      <c r="CT10" s="14">
        <v>0</v>
      </c>
      <c r="CU10" s="14">
        <v>0</v>
      </c>
    </row>
    <row r="11" spans="1:99" x14ac:dyDescent="0.3">
      <c r="A11" s="14">
        <v>2021</v>
      </c>
      <c r="B11" s="14" t="s">
        <v>1</v>
      </c>
      <c r="C11" s="14" t="s">
        <v>2</v>
      </c>
      <c r="D11" s="15">
        <v>770961.1</v>
      </c>
      <c r="E11" s="15">
        <v>22100683.499999989</v>
      </c>
      <c r="F11" s="15">
        <f t="shared" si="25"/>
        <v>28.666405477526673</v>
      </c>
      <c r="G11" s="14">
        <v>107</v>
      </c>
      <c r="H11" s="14">
        <v>691</v>
      </c>
      <c r="M11" s="14">
        <v>2947</v>
      </c>
      <c r="N11" s="14">
        <v>168</v>
      </c>
      <c r="R11" s="14">
        <v>19</v>
      </c>
      <c r="V11" s="14">
        <v>209</v>
      </c>
      <c r="X11" s="14">
        <v>8</v>
      </c>
      <c r="Z11" s="14">
        <v>899</v>
      </c>
      <c r="AB11" s="14">
        <f t="shared" si="26"/>
        <v>0</v>
      </c>
      <c r="AD11" s="14">
        <v>16</v>
      </c>
      <c r="AE11" s="14">
        <v>35</v>
      </c>
      <c r="AF11" s="14">
        <v>3</v>
      </c>
      <c r="AJ11" s="14">
        <v>203</v>
      </c>
      <c r="AL11" s="14">
        <v>47</v>
      </c>
      <c r="AM11" s="14">
        <f t="shared" si="27"/>
        <v>47</v>
      </c>
      <c r="AN11" s="14">
        <v>8</v>
      </c>
      <c r="AQ11" s="14">
        <f t="shared" si="28"/>
        <v>0</v>
      </c>
      <c r="AS11" s="14">
        <v>50</v>
      </c>
      <c r="AT11" s="14">
        <f t="shared" si="29"/>
        <v>50</v>
      </c>
      <c r="AU11" s="16">
        <v>4684</v>
      </c>
      <c r="AV11" s="16">
        <v>24378</v>
      </c>
      <c r="AW11" s="16">
        <v>16104</v>
      </c>
      <c r="AX11" s="16">
        <v>0</v>
      </c>
      <c r="AY11" s="18">
        <f>(AU11*10000)/$E11</f>
        <v>2.1193914658793256</v>
      </c>
      <c r="AZ11" s="17">
        <f t="shared" si="31"/>
        <v>11.030428086081598</v>
      </c>
      <c r="BA11" s="17">
        <f t="shared" si="32"/>
        <v>7.2866524693682022</v>
      </c>
      <c r="BB11" s="17">
        <f t="shared" si="33"/>
        <v>0</v>
      </c>
      <c r="BC11" s="17">
        <f t="shared" si="0"/>
        <v>4.8414792239344112E-2</v>
      </c>
      <c r="BD11" s="17">
        <f t="shared" si="1"/>
        <v>0.31266001343352134</v>
      </c>
      <c r="BE11" s="17">
        <f t="shared" si="2"/>
        <v>0</v>
      </c>
      <c r="BF11" s="17">
        <f t="shared" si="3"/>
        <v>0</v>
      </c>
      <c r="BG11" s="17">
        <f t="shared" si="4"/>
        <v>0</v>
      </c>
      <c r="BH11" s="17">
        <f t="shared" si="5"/>
        <v>0</v>
      </c>
      <c r="BI11" s="17">
        <f t="shared" si="6"/>
        <v>1.3334429227041786</v>
      </c>
      <c r="BJ11" s="17">
        <f t="shared" si="7"/>
        <v>7.6015748562708513E-2</v>
      </c>
      <c r="BK11" s="17">
        <f t="shared" si="8"/>
        <v>0</v>
      </c>
      <c r="BL11" s="17">
        <f t="shared" si="9"/>
        <v>0</v>
      </c>
      <c r="BM11" s="17">
        <f t="shared" si="10"/>
        <v>0</v>
      </c>
      <c r="BN11" s="17">
        <f t="shared" si="11"/>
        <v>8.5970191826872724E-3</v>
      </c>
      <c r="BO11" s="17">
        <f t="shared" si="12"/>
        <v>0</v>
      </c>
      <c r="BP11" s="17">
        <f t="shared" si="13"/>
        <v>0</v>
      </c>
      <c r="BQ11" s="17">
        <f t="shared" si="14"/>
        <v>0</v>
      </c>
      <c r="BR11" s="17">
        <f t="shared" si="15"/>
        <v>9.4567211009560004E-2</v>
      </c>
      <c r="BS11" s="17">
        <f t="shared" si="16"/>
        <v>0</v>
      </c>
      <c r="BT11" s="17">
        <f t="shared" si="17"/>
        <v>3.6197975506051675E-3</v>
      </c>
      <c r="BU11" s="17">
        <f t="shared" si="18"/>
        <v>0</v>
      </c>
      <c r="BV11" s="17">
        <f t="shared" si="19"/>
        <v>0.4067747497492557</v>
      </c>
      <c r="BW11" s="17">
        <f t="shared" si="20"/>
        <v>0</v>
      </c>
      <c r="BX11" s="17">
        <f t="shared" si="21"/>
        <v>0</v>
      </c>
      <c r="BY11" s="17">
        <f t="shared" si="22"/>
        <v>7.239595101210335E-3</v>
      </c>
      <c r="BZ11" s="17">
        <f t="shared" si="34"/>
        <v>1.5836614283897609E-2</v>
      </c>
      <c r="CA11" s="17">
        <f t="shared" si="35"/>
        <v>1.3574240814769379E-3</v>
      </c>
      <c r="CB11" s="17">
        <f t="shared" si="36"/>
        <v>0</v>
      </c>
      <c r="CC11" s="17">
        <f t="shared" si="37"/>
        <v>0</v>
      </c>
      <c r="CD11" s="17">
        <f t="shared" si="38"/>
        <v>0</v>
      </c>
      <c r="CE11" s="17">
        <f t="shared" si="23"/>
        <v>9.1852362846606125E-2</v>
      </c>
      <c r="CF11" s="17">
        <f t="shared" si="39"/>
        <v>0</v>
      </c>
      <c r="CG11" s="17">
        <f t="shared" si="40"/>
        <v>2.1266310609805359E-2</v>
      </c>
      <c r="CH11" s="17">
        <f t="shared" si="41"/>
        <v>3.6197975506051675E-3</v>
      </c>
      <c r="CI11" s="17">
        <f t="shared" si="42"/>
        <v>0</v>
      </c>
      <c r="CJ11" s="17">
        <f t="shared" si="43"/>
        <v>0</v>
      </c>
      <c r="CK11" s="17">
        <f t="shared" si="44"/>
        <v>0</v>
      </c>
      <c r="CL11" s="17">
        <f t="shared" si="45"/>
        <v>2.2623734691282298E-2</v>
      </c>
      <c r="CM11" s="14">
        <f t="shared" si="46"/>
        <v>40482</v>
      </c>
      <c r="CN11" s="17">
        <f t="shared" si="47"/>
        <v>18.317080555449799</v>
      </c>
      <c r="CO11" s="14">
        <f t="shared" si="48"/>
        <v>45166</v>
      </c>
      <c r="CP11" s="17">
        <f t="shared" si="49"/>
        <v>20.436472021329124</v>
      </c>
      <c r="CQ11" s="14">
        <f t="shared" si="24"/>
        <v>50673</v>
      </c>
      <c r="CR11" s="14">
        <v>80</v>
      </c>
      <c r="CS11" s="14">
        <v>232</v>
      </c>
      <c r="CT11" s="14">
        <v>15</v>
      </c>
      <c r="CU11" s="14">
        <v>31</v>
      </c>
    </row>
    <row r="12" spans="1:99" x14ac:dyDescent="0.3">
      <c r="A12" s="14">
        <v>2022</v>
      </c>
      <c r="B12" s="14" t="s">
        <v>1</v>
      </c>
      <c r="C12" s="14" t="s">
        <v>2</v>
      </c>
      <c r="D12" s="15">
        <v>780085.6</v>
      </c>
      <c r="E12" s="15">
        <v>22673762.000000007</v>
      </c>
      <c r="F12" s="15">
        <f t="shared" si="25"/>
        <v>29.065735862833524</v>
      </c>
      <c r="G12" s="14">
        <v>39</v>
      </c>
      <c r="H12" s="14">
        <v>575</v>
      </c>
      <c r="J12" s="14">
        <v>275</v>
      </c>
      <c r="L12" s="14">
        <v>18</v>
      </c>
      <c r="M12" s="14">
        <v>3145</v>
      </c>
      <c r="O12" s="14">
        <v>7</v>
      </c>
      <c r="P12" s="14">
        <v>57</v>
      </c>
      <c r="T12" s="14">
        <v>1791</v>
      </c>
      <c r="AA12" s="14">
        <v>7</v>
      </c>
      <c r="AB12" s="14">
        <f t="shared" si="26"/>
        <v>14</v>
      </c>
      <c r="AC12" s="14">
        <v>44</v>
      </c>
      <c r="AD12" s="14">
        <v>2</v>
      </c>
      <c r="AE12" s="14">
        <v>71</v>
      </c>
      <c r="AF12" s="14">
        <v>2</v>
      </c>
      <c r="AI12" s="14">
        <v>1698</v>
      </c>
      <c r="AJ12" s="14">
        <v>210</v>
      </c>
      <c r="AM12" s="14">
        <f t="shared" si="27"/>
        <v>0</v>
      </c>
      <c r="AN12" s="14">
        <v>9</v>
      </c>
      <c r="AP12" s="14">
        <v>39</v>
      </c>
      <c r="AQ12" s="14">
        <f t="shared" si="28"/>
        <v>39</v>
      </c>
      <c r="AT12" s="14">
        <f t="shared" si="29"/>
        <v>0</v>
      </c>
      <c r="AU12" s="16">
        <v>7587</v>
      </c>
      <c r="AV12" s="16">
        <v>27922</v>
      </c>
      <c r="AW12" s="16">
        <v>18588</v>
      </c>
      <c r="AX12" s="16">
        <v>886</v>
      </c>
      <c r="AY12" s="18">
        <f t="shared" si="30"/>
        <v>3.3461584363459393</v>
      </c>
      <c r="AZ12" s="17">
        <f t="shared" si="31"/>
        <v>12.314674556432228</v>
      </c>
      <c r="BA12" s="17">
        <f t="shared" si="32"/>
        <v>8.1980220132856623</v>
      </c>
      <c r="BB12" s="17">
        <f t="shared" si="33"/>
        <v>0.39076003355773059</v>
      </c>
      <c r="BC12" s="17">
        <f t="shared" si="0"/>
        <v>1.7200498091141641E-2</v>
      </c>
      <c r="BD12" s="17">
        <f t="shared" si="1"/>
        <v>0.25359708724119084</v>
      </c>
      <c r="BE12" s="17">
        <f t="shared" si="2"/>
        <v>0</v>
      </c>
      <c r="BF12" s="17">
        <f t="shared" si="3"/>
        <v>0.12128556346317823</v>
      </c>
      <c r="BG12" s="17">
        <f t="shared" si="4"/>
        <v>0</v>
      </c>
      <c r="BH12" s="17">
        <f t="shared" si="5"/>
        <v>7.9386914266807579E-3</v>
      </c>
      <c r="BI12" s="17">
        <f t="shared" si="6"/>
        <v>1.3870658076061657</v>
      </c>
      <c r="BJ12" s="17">
        <f t="shared" si="7"/>
        <v>0</v>
      </c>
      <c r="BK12" s="17">
        <f t="shared" si="8"/>
        <v>3.0872688881536277E-3</v>
      </c>
      <c r="BL12" s="17">
        <f t="shared" si="9"/>
        <v>2.5139189517822399E-2</v>
      </c>
      <c r="BM12" s="17">
        <f t="shared" si="10"/>
        <v>0</v>
      </c>
      <c r="BN12" s="17">
        <f t="shared" si="11"/>
        <v>0</v>
      </c>
      <c r="BO12" s="17">
        <f t="shared" si="12"/>
        <v>0</v>
      </c>
      <c r="BP12" s="17">
        <f t="shared" si="13"/>
        <v>0.78989979695473533</v>
      </c>
      <c r="BQ12" s="17">
        <f t="shared" si="14"/>
        <v>0</v>
      </c>
      <c r="BR12" s="17">
        <f t="shared" si="15"/>
        <v>0</v>
      </c>
      <c r="BS12" s="17">
        <f t="shared" si="16"/>
        <v>0</v>
      </c>
      <c r="BT12" s="17">
        <f t="shared" si="17"/>
        <v>0</v>
      </c>
      <c r="BU12" s="17">
        <f t="shared" si="18"/>
        <v>0</v>
      </c>
      <c r="BV12" s="17">
        <f t="shared" si="19"/>
        <v>0</v>
      </c>
      <c r="BW12" s="17">
        <f t="shared" si="20"/>
        <v>3.0872688881536277E-3</v>
      </c>
      <c r="BX12" s="17">
        <f t="shared" si="21"/>
        <v>1.9405690154108517E-2</v>
      </c>
      <c r="BY12" s="17">
        <f t="shared" si="22"/>
        <v>8.8207682518675083E-4</v>
      </c>
      <c r="BZ12" s="17">
        <f t="shared" si="34"/>
        <v>3.1313727294129651E-2</v>
      </c>
      <c r="CA12" s="17">
        <f t="shared" si="35"/>
        <v>8.8207682518675083E-4</v>
      </c>
      <c r="CB12" s="17">
        <f t="shared" si="36"/>
        <v>0</v>
      </c>
      <c r="CC12" s="17">
        <f t="shared" si="37"/>
        <v>0</v>
      </c>
      <c r="CD12" s="17">
        <f t="shared" si="38"/>
        <v>0.74888322458355139</v>
      </c>
      <c r="CE12" s="17">
        <f t="shared" si="23"/>
        <v>9.2618066644608837E-2</v>
      </c>
      <c r="CF12" s="17">
        <f t="shared" si="39"/>
        <v>0</v>
      </c>
      <c r="CG12" s="17">
        <f t="shared" si="40"/>
        <v>0</v>
      </c>
      <c r="CH12" s="17">
        <f t="shared" si="41"/>
        <v>3.9693457133403789E-3</v>
      </c>
      <c r="CI12" s="17">
        <f t="shared" si="42"/>
        <v>0</v>
      </c>
      <c r="CJ12" s="17">
        <f t="shared" si="43"/>
        <v>1.7200498091141641E-2</v>
      </c>
      <c r="CK12" s="17">
        <f t="shared" si="44"/>
        <v>0</v>
      </c>
      <c r="CL12" s="17">
        <f t="shared" si="45"/>
        <v>0</v>
      </c>
      <c r="CM12" s="14">
        <f t="shared" si="46"/>
        <v>46510</v>
      </c>
      <c r="CN12" s="17">
        <f t="shared" si="47"/>
        <v>20.512696569717889</v>
      </c>
      <c r="CO12" s="14">
        <f t="shared" si="48"/>
        <v>54097</v>
      </c>
      <c r="CP12" s="17">
        <f t="shared" si="49"/>
        <v>23.85885500606383</v>
      </c>
      <c r="CQ12" s="14">
        <f t="shared" si="24"/>
        <v>63025</v>
      </c>
      <c r="CR12" s="14">
        <v>0</v>
      </c>
      <c r="CS12" s="14">
        <v>0</v>
      </c>
      <c r="CT12" s="14">
        <v>0</v>
      </c>
      <c r="CU12" s="14">
        <v>0</v>
      </c>
    </row>
    <row r="13" spans="1:99" x14ac:dyDescent="0.3">
      <c r="A13" s="14">
        <v>2012</v>
      </c>
      <c r="B13" s="14" t="s">
        <v>3</v>
      </c>
      <c r="C13" s="14" t="s">
        <v>4</v>
      </c>
      <c r="D13" s="15">
        <v>196643.20000000001</v>
      </c>
      <c r="E13" s="15">
        <v>4773305.4999999991</v>
      </c>
      <c r="F13" s="15">
        <f t="shared" si="25"/>
        <v>24.273941331304609</v>
      </c>
      <c r="AB13" s="14">
        <f t="shared" si="26"/>
        <v>0</v>
      </c>
      <c r="AM13" s="14">
        <f t="shared" si="27"/>
        <v>0</v>
      </c>
      <c r="AQ13" s="14">
        <f t="shared" si="28"/>
        <v>0</v>
      </c>
      <c r="AT13" s="14">
        <f t="shared" si="29"/>
        <v>0</v>
      </c>
      <c r="AU13" s="16">
        <v>0</v>
      </c>
      <c r="AV13" s="16">
        <v>0</v>
      </c>
      <c r="AW13" s="16">
        <v>0</v>
      </c>
      <c r="AX13" s="16">
        <v>0</v>
      </c>
      <c r="AY13" s="18">
        <f t="shared" si="30"/>
        <v>0</v>
      </c>
      <c r="AZ13" s="17">
        <f t="shared" si="31"/>
        <v>0</v>
      </c>
      <c r="BA13" s="17">
        <f t="shared" si="32"/>
        <v>0</v>
      </c>
      <c r="BB13" s="17">
        <f t="shared" si="33"/>
        <v>0</v>
      </c>
      <c r="BC13" s="17">
        <f t="shared" si="0"/>
        <v>0</v>
      </c>
      <c r="BD13" s="17">
        <f t="shared" si="1"/>
        <v>0</v>
      </c>
      <c r="BE13" s="17">
        <f t="shared" si="2"/>
        <v>0</v>
      </c>
      <c r="BF13" s="17">
        <f t="shared" si="3"/>
        <v>0</v>
      </c>
      <c r="BG13" s="17">
        <f t="shared" si="4"/>
        <v>0</v>
      </c>
      <c r="BH13" s="17">
        <f t="shared" si="5"/>
        <v>0</v>
      </c>
      <c r="BI13" s="17">
        <f t="shared" si="6"/>
        <v>0</v>
      </c>
      <c r="BJ13" s="17">
        <f t="shared" si="7"/>
        <v>0</v>
      </c>
      <c r="BK13" s="17">
        <f t="shared" si="8"/>
        <v>0</v>
      </c>
      <c r="BL13" s="17">
        <f t="shared" si="9"/>
        <v>0</v>
      </c>
      <c r="BM13" s="17">
        <f t="shared" si="10"/>
        <v>0</v>
      </c>
      <c r="BN13" s="17">
        <f t="shared" si="11"/>
        <v>0</v>
      </c>
      <c r="BO13" s="17">
        <f t="shared" si="12"/>
        <v>0</v>
      </c>
      <c r="BP13" s="17">
        <f t="shared" si="13"/>
        <v>0</v>
      </c>
      <c r="BQ13" s="17">
        <f t="shared" si="14"/>
        <v>0</v>
      </c>
      <c r="BR13" s="17">
        <f t="shared" si="15"/>
        <v>0</v>
      </c>
      <c r="BS13" s="17">
        <f t="shared" si="16"/>
        <v>0</v>
      </c>
      <c r="BT13" s="17">
        <f t="shared" si="17"/>
        <v>0</v>
      </c>
      <c r="BU13" s="17">
        <f t="shared" si="18"/>
        <v>0</v>
      </c>
      <c r="BV13" s="17">
        <f t="shared" si="19"/>
        <v>0</v>
      </c>
      <c r="BW13" s="17">
        <f t="shared" si="20"/>
        <v>0</v>
      </c>
      <c r="BX13" s="17">
        <f t="shared" si="21"/>
        <v>0</v>
      </c>
      <c r="BY13" s="17">
        <f t="shared" si="22"/>
        <v>0</v>
      </c>
      <c r="BZ13" s="17">
        <f t="shared" si="34"/>
        <v>0</v>
      </c>
      <c r="CA13" s="17">
        <f t="shared" si="35"/>
        <v>0</v>
      </c>
      <c r="CB13" s="17">
        <f t="shared" si="36"/>
        <v>0</v>
      </c>
      <c r="CC13" s="17">
        <f t="shared" si="37"/>
        <v>0</v>
      </c>
      <c r="CD13" s="17">
        <f t="shared" si="38"/>
        <v>0</v>
      </c>
      <c r="CE13" s="17">
        <f t="shared" si="23"/>
        <v>0</v>
      </c>
      <c r="CF13" s="17">
        <f t="shared" si="39"/>
        <v>0</v>
      </c>
      <c r="CG13" s="17">
        <f t="shared" si="40"/>
        <v>0</v>
      </c>
      <c r="CH13" s="17">
        <f t="shared" si="41"/>
        <v>0</v>
      </c>
      <c r="CI13" s="17">
        <f t="shared" si="42"/>
        <v>0</v>
      </c>
      <c r="CJ13" s="17">
        <f t="shared" si="43"/>
        <v>0</v>
      </c>
      <c r="CK13" s="17">
        <f t="shared" si="44"/>
        <v>0</v>
      </c>
      <c r="CL13" s="17">
        <f t="shared" si="45"/>
        <v>0</v>
      </c>
      <c r="CM13" s="14">
        <f t="shared" si="46"/>
        <v>0</v>
      </c>
      <c r="CN13" s="17">
        <f t="shared" si="47"/>
        <v>0</v>
      </c>
      <c r="CO13" s="14">
        <f t="shared" si="48"/>
        <v>0</v>
      </c>
      <c r="CP13" s="17">
        <f t="shared" si="49"/>
        <v>0</v>
      </c>
      <c r="CQ13" s="14">
        <f t="shared" si="24"/>
        <v>0</v>
      </c>
      <c r="CR13" s="14">
        <v>171</v>
      </c>
      <c r="CS13" s="14">
        <v>1603</v>
      </c>
      <c r="CT13" s="14">
        <v>15</v>
      </c>
      <c r="CU13" s="14">
        <v>11</v>
      </c>
    </row>
    <row r="14" spans="1:99" x14ac:dyDescent="0.3">
      <c r="A14" s="14">
        <v>2013</v>
      </c>
      <c r="B14" s="14" t="s">
        <v>3</v>
      </c>
      <c r="C14" s="14" t="s">
        <v>4</v>
      </c>
      <c r="D14" s="15">
        <v>196632.4</v>
      </c>
      <c r="E14" s="15">
        <v>4802428.5000000065</v>
      </c>
      <c r="F14" s="15">
        <f t="shared" si="25"/>
        <v>24.423383430197703</v>
      </c>
      <c r="AB14" s="14">
        <f t="shared" si="26"/>
        <v>0</v>
      </c>
      <c r="AM14" s="14">
        <f t="shared" si="27"/>
        <v>0</v>
      </c>
      <c r="AQ14" s="14">
        <f t="shared" si="28"/>
        <v>0</v>
      </c>
      <c r="AT14" s="14">
        <f t="shared" si="29"/>
        <v>0</v>
      </c>
      <c r="AU14" s="16">
        <v>0</v>
      </c>
      <c r="AV14" s="16">
        <v>0</v>
      </c>
      <c r="AW14" s="16">
        <v>1028</v>
      </c>
      <c r="AX14" s="16">
        <v>0</v>
      </c>
      <c r="AY14" s="18">
        <f t="shared" si="30"/>
        <v>0</v>
      </c>
      <c r="AZ14" s="17">
        <f t="shared" si="31"/>
        <v>0</v>
      </c>
      <c r="BA14" s="17">
        <f t="shared" si="32"/>
        <v>2.140583665118593</v>
      </c>
      <c r="BB14" s="17">
        <f t="shared" si="33"/>
        <v>0</v>
      </c>
      <c r="BC14" s="17">
        <f t="shared" si="0"/>
        <v>0</v>
      </c>
      <c r="BD14" s="17">
        <f t="shared" si="1"/>
        <v>0</v>
      </c>
      <c r="BE14" s="17">
        <f t="shared" si="2"/>
        <v>0</v>
      </c>
      <c r="BF14" s="17">
        <f t="shared" si="3"/>
        <v>0</v>
      </c>
      <c r="BG14" s="17">
        <f t="shared" si="4"/>
        <v>0</v>
      </c>
      <c r="BH14" s="17">
        <f t="shared" si="5"/>
        <v>0</v>
      </c>
      <c r="BI14" s="17">
        <f t="shared" si="6"/>
        <v>0</v>
      </c>
      <c r="BJ14" s="17">
        <f t="shared" si="7"/>
        <v>0</v>
      </c>
      <c r="BK14" s="17">
        <f t="shared" si="8"/>
        <v>0</v>
      </c>
      <c r="BL14" s="17">
        <f t="shared" si="9"/>
        <v>0</v>
      </c>
      <c r="BM14" s="17">
        <f t="shared" si="10"/>
        <v>0</v>
      </c>
      <c r="BN14" s="17">
        <f t="shared" si="11"/>
        <v>0</v>
      </c>
      <c r="BO14" s="17">
        <f t="shared" si="12"/>
        <v>0</v>
      </c>
      <c r="BP14" s="17">
        <f t="shared" si="13"/>
        <v>0</v>
      </c>
      <c r="BQ14" s="17">
        <f t="shared" si="14"/>
        <v>0</v>
      </c>
      <c r="BR14" s="17">
        <f t="shared" si="15"/>
        <v>0</v>
      </c>
      <c r="BS14" s="17">
        <f t="shared" si="16"/>
        <v>0</v>
      </c>
      <c r="BT14" s="17">
        <f t="shared" si="17"/>
        <v>0</v>
      </c>
      <c r="BU14" s="17">
        <f t="shared" si="18"/>
        <v>0</v>
      </c>
      <c r="BV14" s="17">
        <f t="shared" si="19"/>
        <v>0</v>
      </c>
      <c r="BW14" s="17">
        <f t="shared" si="20"/>
        <v>0</v>
      </c>
      <c r="BX14" s="17">
        <f t="shared" si="21"/>
        <v>0</v>
      </c>
      <c r="BY14" s="17">
        <f t="shared" si="22"/>
        <v>0</v>
      </c>
      <c r="BZ14" s="17">
        <f t="shared" si="34"/>
        <v>0</v>
      </c>
      <c r="CA14" s="17">
        <f t="shared" si="35"/>
        <v>0</v>
      </c>
      <c r="CB14" s="17">
        <f t="shared" si="36"/>
        <v>0</v>
      </c>
      <c r="CC14" s="17">
        <f t="shared" si="37"/>
        <v>0</v>
      </c>
      <c r="CD14" s="17">
        <f t="shared" si="38"/>
        <v>0</v>
      </c>
      <c r="CE14" s="17">
        <f t="shared" si="23"/>
        <v>0</v>
      </c>
      <c r="CF14" s="17">
        <f t="shared" si="39"/>
        <v>0</v>
      </c>
      <c r="CG14" s="17">
        <f t="shared" si="40"/>
        <v>0</v>
      </c>
      <c r="CH14" s="17">
        <f t="shared" si="41"/>
        <v>0</v>
      </c>
      <c r="CI14" s="17">
        <f t="shared" si="42"/>
        <v>0</v>
      </c>
      <c r="CJ14" s="17">
        <f t="shared" si="43"/>
        <v>0</v>
      </c>
      <c r="CK14" s="17">
        <f t="shared" si="44"/>
        <v>0</v>
      </c>
      <c r="CL14" s="17">
        <f t="shared" si="45"/>
        <v>0</v>
      </c>
      <c r="CM14" s="14">
        <f t="shared" si="46"/>
        <v>1028</v>
      </c>
      <c r="CN14" s="17">
        <f t="shared" si="47"/>
        <v>2.140583665118593</v>
      </c>
      <c r="CO14" s="14">
        <f t="shared" si="48"/>
        <v>1028</v>
      </c>
      <c r="CP14" s="17">
        <f t="shared" si="49"/>
        <v>2.140583665118593</v>
      </c>
      <c r="CQ14" s="14">
        <f t="shared" si="24"/>
        <v>1028</v>
      </c>
      <c r="CR14" s="14">
        <v>50</v>
      </c>
      <c r="CS14" s="14">
        <v>382</v>
      </c>
      <c r="CT14" s="14">
        <v>44</v>
      </c>
      <c r="CU14" s="14">
        <v>257</v>
      </c>
    </row>
    <row r="15" spans="1:99" x14ac:dyDescent="0.3">
      <c r="A15" s="14">
        <v>2014</v>
      </c>
      <c r="B15" s="14" t="s">
        <v>3</v>
      </c>
      <c r="C15" s="14" t="s">
        <v>4</v>
      </c>
      <c r="D15" s="15">
        <v>194995.3</v>
      </c>
      <c r="E15" s="15">
        <v>4798734.5</v>
      </c>
      <c r="F15" s="15">
        <f t="shared" si="25"/>
        <v>24.609488023557493</v>
      </c>
      <c r="AB15" s="14">
        <f t="shared" si="26"/>
        <v>0</v>
      </c>
      <c r="AM15" s="14">
        <f t="shared" si="27"/>
        <v>0</v>
      </c>
      <c r="AQ15" s="14">
        <f t="shared" si="28"/>
        <v>0</v>
      </c>
      <c r="AT15" s="14">
        <f t="shared" si="29"/>
        <v>0</v>
      </c>
      <c r="AU15" s="16">
        <v>17</v>
      </c>
      <c r="AV15" s="16">
        <v>0</v>
      </c>
      <c r="AW15" s="16">
        <v>0</v>
      </c>
      <c r="AX15" s="16">
        <v>0</v>
      </c>
      <c r="AY15" s="18">
        <f t="shared" si="30"/>
        <v>3.5426006585694628E-2</v>
      </c>
      <c r="AZ15" s="17">
        <f t="shared" si="31"/>
        <v>0</v>
      </c>
      <c r="BA15" s="17">
        <f t="shared" si="32"/>
        <v>0</v>
      </c>
      <c r="BB15" s="17">
        <f t="shared" si="33"/>
        <v>0</v>
      </c>
      <c r="BC15" s="17">
        <f t="shared" si="0"/>
        <v>0</v>
      </c>
      <c r="BD15" s="17">
        <f t="shared" si="1"/>
        <v>0</v>
      </c>
      <c r="BE15" s="17">
        <f t="shared" si="2"/>
        <v>0</v>
      </c>
      <c r="BF15" s="17">
        <f t="shared" si="3"/>
        <v>0</v>
      </c>
      <c r="BG15" s="17">
        <f t="shared" si="4"/>
        <v>0</v>
      </c>
      <c r="BH15" s="17">
        <f t="shared" si="5"/>
        <v>0</v>
      </c>
      <c r="BI15" s="17">
        <f t="shared" si="6"/>
        <v>0</v>
      </c>
      <c r="BJ15" s="17">
        <f t="shared" si="7"/>
        <v>0</v>
      </c>
      <c r="BK15" s="17">
        <f t="shared" si="8"/>
        <v>0</v>
      </c>
      <c r="BL15" s="17">
        <f t="shared" si="9"/>
        <v>0</v>
      </c>
      <c r="BM15" s="17">
        <f t="shared" si="10"/>
        <v>0</v>
      </c>
      <c r="BN15" s="17">
        <f t="shared" si="11"/>
        <v>0</v>
      </c>
      <c r="BO15" s="17">
        <f t="shared" si="12"/>
        <v>0</v>
      </c>
      <c r="BP15" s="17">
        <f t="shared" si="13"/>
        <v>0</v>
      </c>
      <c r="BQ15" s="17">
        <f t="shared" si="14"/>
        <v>0</v>
      </c>
      <c r="BR15" s="17">
        <f t="shared" si="15"/>
        <v>0</v>
      </c>
      <c r="BS15" s="17">
        <f t="shared" si="16"/>
        <v>0</v>
      </c>
      <c r="BT15" s="17">
        <f t="shared" si="17"/>
        <v>0</v>
      </c>
      <c r="BU15" s="17">
        <f t="shared" si="18"/>
        <v>0</v>
      </c>
      <c r="BV15" s="17">
        <f t="shared" si="19"/>
        <v>0</v>
      </c>
      <c r="BW15" s="17">
        <f t="shared" si="20"/>
        <v>0</v>
      </c>
      <c r="BX15" s="17">
        <f t="shared" si="21"/>
        <v>0</v>
      </c>
      <c r="BY15" s="17">
        <f t="shared" si="22"/>
        <v>0</v>
      </c>
      <c r="BZ15" s="17">
        <f t="shared" si="34"/>
        <v>0</v>
      </c>
      <c r="CA15" s="17">
        <f t="shared" si="35"/>
        <v>0</v>
      </c>
      <c r="CB15" s="17">
        <f t="shared" si="36"/>
        <v>0</v>
      </c>
      <c r="CC15" s="17">
        <f t="shared" si="37"/>
        <v>0</v>
      </c>
      <c r="CD15" s="17">
        <f t="shared" si="38"/>
        <v>0</v>
      </c>
      <c r="CE15" s="17">
        <f t="shared" si="23"/>
        <v>0</v>
      </c>
      <c r="CF15" s="17">
        <f t="shared" si="39"/>
        <v>0</v>
      </c>
      <c r="CG15" s="17">
        <f t="shared" si="40"/>
        <v>0</v>
      </c>
      <c r="CH15" s="17">
        <f t="shared" si="41"/>
        <v>0</v>
      </c>
      <c r="CI15" s="17">
        <f t="shared" si="42"/>
        <v>0</v>
      </c>
      <c r="CJ15" s="17">
        <f t="shared" si="43"/>
        <v>0</v>
      </c>
      <c r="CK15" s="17">
        <f t="shared" si="44"/>
        <v>0</v>
      </c>
      <c r="CL15" s="17">
        <f t="shared" si="45"/>
        <v>0</v>
      </c>
      <c r="CM15" s="14">
        <f t="shared" si="46"/>
        <v>0</v>
      </c>
      <c r="CN15" s="17">
        <f t="shared" si="47"/>
        <v>0</v>
      </c>
      <c r="CO15" s="14">
        <f t="shared" si="48"/>
        <v>17</v>
      </c>
      <c r="CP15" s="17"/>
      <c r="CQ15" s="14">
        <f t="shared" si="24"/>
        <v>17</v>
      </c>
      <c r="CR15" s="14">
        <v>110</v>
      </c>
      <c r="CS15" s="14">
        <v>574</v>
      </c>
      <c r="CT15" s="14">
        <v>44</v>
      </c>
      <c r="CU15" s="14">
        <v>0</v>
      </c>
    </row>
    <row r="16" spans="1:99" x14ac:dyDescent="0.3">
      <c r="A16" s="14">
        <v>2015</v>
      </c>
      <c r="B16" s="14" t="s">
        <v>3</v>
      </c>
      <c r="C16" s="14" t="s">
        <v>4</v>
      </c>
      <c r="D16" s="15">
        <v>192500.5</v>
      </c>
      <c r="E16" s="15">
        <v>4819332.9999999991</v>
      </c>
      <c r="F16" s="15">
        <f t="shared" si="25"/>
        <v>25.035431076802393</v>
      </c>
      <c r="H16" s="14">
        <v>20</v>
      </c>
      <c r="I16" s="14">
        <v>734</v>
      </c>
      <c r="L16" s="14">
        <v>109</v>
      </c>
      <c r="S16" s="14">
        <v>85</v>
      </c>
      <c r="AB16" s="14">
        <f t="shared" si="26"/>
        <v>0</v>
      </c>
      <c r="AM16" s="14">
        <f t="shared" si="27"/>
        <v>0</v>
      </c>
      <c r="AP16" s="14">
        <v>83</v>
      </c>
      <c r="AQ16" s="14">
        <f t="shared" si="28"/>
        <v>83</v>
      </c>
      <c r="AT16" s="14">
        <f t="shared" si="29"/>
        <v>0</v>
      </c>
      <c r="AU16" s="16">
        <v>648</v>
      </c>
      <c r="AV16" s="16">
        <v>644</v>
      </c>
      <c r="AW16" s="16">
        <v>1210</v>
      </c>
      <c r="AX16" s="16">
        <v>0</v>
      </c>
      <c r="AY16" s="18">
        <f t="shared" si="30"/>
        <v>1.3445844061823495</v>
      </c>
      <c r="AZ16" s="17">
        <f t="shared" si="31"/>
        <v>1.3362845024404832</v>
      </c>
      <c r="BA16" s="17">
        <f t="shared" si="32"/>
        <v>2.5107208819145725</v>
      </c>
      <c r="BB16" s="17">
        <f t="shared" si="33"/>
        <v>0</v>
      </c>
      <c r="BC16" s="17">
        <f t="shared" si="0"/>
        <v>0</v>
      </c>
      <c r="BD16" s="17">
        <f t="shared" si="1"/>
        <v>4.149951870933178E-2</v>
      </c>
      <c r="BE16" s="17">
        <f t="shared" si="2"/>
        <v>1.5230323366324763</v>
      </c>
      <c r="BF16" s="17">
        <f t="shared" si="3"/>
        <v>0</v>
      </c>
      <c r="BG16" s="17">
        <f t="shared" si="4"/>
        <v>0</v>
      </c>
      <c r="BH16" s="17">
        <f t="shared" si="5"/>
        <v>0.22617237696585818</v>
      </c>
      <c r="BI16" s="17">
        <f t="shared" si="6"/>
        <v>0</v>
      </c>
      <c r="BJ16" s="17">
        <f t="shared" si="7"/>
        <v>0</v>
      </c>
      <c r="BK16" s="17">
        <f t="shared" si="8"/>
        <v>0</v>
      </c>
      <c r="BL16" s="17">
        <f t="shared" si="9"/>
        <v>0</v>
      </c>
      <c r="BM16" s="17">
        <f t="shared" si="10"/>
        <v>0</v>
      </c>
      <c r="BN16" s="17">
        <f t="shared" si="11"/>
        <v>0</v>
      </c>
      <c r="BO16" s="17">
        <f t="shared" si="12"/>
        <v>0.17637295451466006</v>
      </c>
      <c r="BP16" s="17">
        <f t="shared" si="13"/>
        <v>0</v>
      </c>
      <c r="BQ16" s="17">
        <f t="shared" si="14"/>
        <v>0</v>
      </c>
      <c r="BR16" s="17">
        <f t="shared" si="15"/>
        <v>0</v>
      </c>
      <c r="BS16" s="17">
        <f t="shared" si="16"/>
        <v>0</v>
      </c>
      <c r="BT16" s="17">
        <f t="shared" si="17"/>
        <v>0</v>
      </c>
      <c r="BU16" s="17">
        <f t="shared" si="18"/>
        <v>0</v>
      </c>
      <c r="BV16" s="17">
        <f t="shared" si="19"/>
        <v>0</v>
      </c>
      <c r="BW16" s="17">
        <f t="shared" si="20"/>
        <v>0</v>
      </c>
      <c r="BX16" s="17">
        <f t="shared" si="21"/>
        <v>0</v>
      </c>
      <c r="BY16" s="17">
        <f t="shared" si="22"/>
        <v>0</v>
      </c>
      <c r="BZ16" s="17">
        <f t="shared" si="34"/>
        <v>0</v>
      </c>
      <c r="CA16" s="17">
        <f t="shared" si="35"/>
        <v>0</v>
      </c>
      <c r="CB16" s="17">
        <f t="shared" si="36"/>
        <v>0</v>
      </c>
      <c r="CC16" s="17">
        <f t="shared" si="37"/>
        <v>0</v>
      </c>
      <c r="CD16" s="17">
        <f t="shared" si="38"/>
        <v>0</v>
      </c>
      <c r="CE16" s="17">
        <f t="shared" si="23"/>
        <v>0</v>
      </c>
      <c r="CF16" s="17">
        <f t="shared" si="39"/>
        <v>0</v>
      </c>
      <c r="CG16" s="17">
        <f t="shared" si="40"/>
        <v>0</v>
      </c>
      <c r="CH16" s="17">
        <f t="shared" si="41"/>
        <v>0</v>
      </c>
      <c r="CI16" s="17">
        <f t="shared" si="42"/>
        <v>0</v>
      </c>
      <c r="CJ16" s="17">
        <f t="shared" si="43"/>
        <v>0.17222300264372686</v>
      </c>
      <c r="CK16" s="17">
        <f t="shared" si="44"/>
        <v>0</v>
      </c>
      <c r="CL16" s="17">
        <f t="shared" si="45"/>
        <v>0</v>
      </c>
      <c r="CM16" s="14">
        <f t="shared" si="46"/>
        <v>1854</v>
      </c>
      <c r="CN16" s="17">
        <f t="shared" si="47"/>
        <v>3.8470053843550556</v>
      </c>
      <c r="CO16" s="14">
        <f t="shared" si="48"/>
        <v>2502</v>
      </c>
      <c r="CP16" s="17">
        <f t="shared" si="49"/>
        <v>5.1915897905374049</v>
      </c>
      <c r="CQ16" s="14">
        <f t="shared" si="24"/>
        <v>3616</v>
      </c>
      <c r="CR16" s="14">
        <v>0</v>
      </c>
      <c r="CS16" s="14">
        <v>0</v>
      </c>
      <c r="CT16" s="14">
        <v>0</v>
      </c>
      <c r="CU16" s="14">
        <v>0</v>
      </c>
    </row>
    <row r="17" spans="1:99" x14ac:dyDescent="0.3">
      <c r="A17" s="14">
        <v>2016</v>
      </c>
      <c r="B17" s="14" t="s">
        <v>3</v>
      </c>
      <c r="C17" s="14" t="s">
        <v>4</v>
      </c>
      <c r="D17" s="15">
        <v>193339.6</v>
      </c>
      <c r="E17" s="15">
        <v>4904177.5000000019</v>
      </c>
      <c r="F17" s="15">
        <f t="shared" si="25"/>
        <v>25.36561314909104</v>
      </c>
      <c r="AB17" s="14">
        <f t="shared" si="26"/>
        <v>0</v>
      </c>
      <c r="AM17" s="14">
        <f t="shared" si="27"/>
        <v>0</v>
      </c>
      <c r="AQ17" s="14">
        <f t="shared" si="28"/>
        <v>0</v>
      </c>
      <c r="AT17" s="14">
        <f t="shared" si="29"/>
        <v>0</v>
      </c>
      <c r="AU17" s="16">
        <v>0</v>
      </c>
      <c r="AV17" s="16">
        <v>0</v>
      </c>
      <c r="AW17" s="16">
        <v>0</v>
      </c>
      <c r="AX17" s="16">
        <v>0</v>
      </c>
      <c r="AY17" s="18">
        <f t="shared" si="30"/>
        <v>0</v>
      </c>
      <c r="AZ17" s="17">
        <f t="shared" si="31"/>
        <v>0</v>
      </c>
      <c r="BA17" s="17">
        <f t="shared" si="32"/>
        <v>0</v>
      </c>
      <c r="BB17" s="17">
        <f t="shared" si="33"/>
        <v>0</v>
      </c>
      <c r="BC17" s="17">
        <f t="shared" si="0"/>
        <v>0</v>
      </c>
      <c r="BD17" s="17">
        <f t="shared" si="1"/>
        <v>0</v>
      </c>
      <c r="BE17" s="17">
        <f t="shared" si="2"/>
        <v>0</v>
      </c>
      <c r="BF17" s="17">
        <f t="shared" si="3"/>
        <v>0</v>
      </c>
      <c r="BG17" s="17">
        <f t="shared" si="4"/>
        <v>0</v>
      </c>
      <c r="BH17" s="17">
        <f t="shared" si="5"/>
        <v>0</v>
      </c>
      <c r="BI17" s="17">
        <f t="shared" si="6"/>
        <v>0</v>
      </c>
      <c r="BJ17" s="17">
        <f t="shared" si="7"/>
        <v>0</v>
      </c>
      <c r="BK17" s="17">
        <f t="shared" si="8"/>
        <v>0</v>
      </c>
      <c r="BL17" s="17">
        <f t="shared" si="9"/>
        <v>0</v>
      </c>
      <c r="BM17" s="17">
        <f t="shared" si="10"/>
        <v>0</v>
      </c>
      <c r="BN17" s="17">
        <f t="shared" si="11"/>
        <v>0</v>
      </c>
      <c r="BO17" s="17">
        <f t="shared" si="12"/>
        <v>0</v>
      </c>
      <c r="BP17" s="17">
        <f t="shared" si="13"/>
        <v>0</v>
      </c>
      <c r="BQ17" s="17">
        <f t="shared" si="14"/>
        <v>0</v>
      </c>
      <c r="BR17" s="17">
        <f t="shared" si="15"/>
        <v>0</v>
      </c>
      <c r="BS17" s="17">
        <f t="shared" si="16"/>
        <v>0</v>
      </c>
      <c r="BT17" s="17">
        <f t="shared" si="17"/>
        <v>0</v>
      </c>
      <c r="BU17" s="17">
        <f t="shared" si="18"/>
        <v>0</v>
      </c>
      <c r="BV17" s="17">
        <f t="shared" si="19"/>
        <v>0</v>
      </c>
      <c r="BW17" s="17">
        <f t="shared" si="20"/>
        <v>0</v>
      </c>
      <c r="BX17" s="17">
        <f t="shared" si="21"/>
        <v>0</v>
      </c>
      <c r="BY17" s="17">
        <f t="shared" si="22"/>
        <v>0</v>
      </c>
      <c r="BZ17" s="17">
        <f t="shared" si="34"/>
        <v>0</v>
      </c>
      <c r="CA17" s="17">
        <f t="shared" si="35"/>
        <v>0</v>
      </c>
      <c r="CB17" s="17">
        <f t="shared" si="36"/>
        <v>0</v>
      </c>
      <c r="CC17" s="17">
        <f t="shared" si="37"/>
        <v>0</v>
      </c>
      <c r="CD17" s="17">
        <f t="shared" si="38"/>
        <v>0</v>
      </c>
      <c r="CE17" s="17">
        <f t="shared" si="23"/>
        <v>0</v>
      </c>
      <c r="CF17" s="17">
        <f t="shared" si="39"/>
        <v>0</v>
      </c>
      <c r="CG17" s="17">
        <f t="shared" si="40"/>
        <v>0</v>
      </c>
      <c r="CH17" s="17">
        <f t="shared" si="41"/>
        <v>0</v>
      </c>
      <c r="CI17" s="17">
        <f t="shared" si="42"/>
        <v>0</v>
      </c>
      <c r="CJ17" s="17">
        <f t="shared" si="43"/>
        <v>0</v>
      </c>
      <c r="CK17" s="17">
        <f t="shared" si="44"/>
        <v>0</v>
      </c>
      <c r="CL17" s="17">
        <f t="shared" si="45"/>
        <v>0</v>
      </c>
      <c r="CM17" s="14">
        <f t="shared" si="46"/>
        <v>0</v>
      </c>
      <c r="CN17" s="17">
        <f t="shared" si="47"/>
        <v>0</v>
      </c>
      <c r="CO17" s="14">
        <f t="shared" si="48"/>
        <v>0</v>
      </c>
      <c r="CP17" s="17">
        <f t="shared" si="49"/>
        <v>0</v>
      </c>
      <c r="CQ17" s="14">
        <f t="shared" si="24"/>
        <v>0</v>
      </c>
      <c r="CR17" s="14">
        <v>10</v>
      </c>
      <c r="CS17" s="14">
        <v>29</v>
      </c>
      <c r="CT17" s="14">
        <v>11</v>
      </c>
      <c r="CU17" s="14">
        <v>0</v>
      </c>
    </row>
    <row r="18" spans="1:99" x14ac:dyDescent="0.3">
      <c r="A18" s="14">
        <v>2017</v>
      </c>
      <c r="B18" s="14" t="s">
        <v>3</v>
      </c>
      <c r="C18" s="14" t="s">
        <v>4</v>
      </c>
      <c r="D18" s="15">
        <v>198589</v>
      </c>
      <c r="E18" s="15">
        <v>4996741.0000000009</v>
      </c>
      <c r="F18" s="15">
        <f t="shared" si="25"/>
        <v>25.161217388677123</v>
      </c>
      <c r="AB18" s="14">
        <f t="shared" si="26"/>
        <v>0</v>
      </c>
      <c r="AM18" s="14">
        <f t="shared" si="27"/>
        <v>0</v>
      </c>
      <c r="AQ18" s="14">
        <f t="shared" si="28"/>
        <v>0</v>
      </c>
      <c r="AT18" s="14">
        <f t="shared" si="29"/>
        <v>0</v>
      </c>
      <c r="AU18" s="16">
        <v>0</v>
      </c>
      <c r="AV18" s="16">
        <v>0</v>
      </c>
      <c r="AW18" s="16">
        <v>0</v>
      </c>
      <c r="AX18" s="16">
        <v>0</v>
      </c>
      <c r="AY18" s="18">
        <f t="shared" si="30"/>
        <v>0</v>
      </c>
      <c r="AZ18" s="17">
        <f t="shared" si="31"/>
        <v>0</v>
      </c>
      <c r="BA18" s="17">
        <f t="shared" si="32"/>
        <v>0</v>
      </c>
      <c r="BB18" s="17">
        <f t="shared" si="33"/>
        <v>0</v>
      </c>
      <c r="BC18" s="17">
        <f t="shared" si="0"/>
        <v>0</v>
      </c>
      <c r="BD18" s="17">
        <f t="shared" si="1"/>
        <v>0</v>
      </c>
      <c r="BE18" s="17">
        <f t="shared" si="2"/>
        <v>0</v>
      </c>
      <c r="BF18" s="17">
        <f t="shared" si="3"/>
        <v>0</v>
      </c>
      <c r="BG18" s="17">
        <f t="shared" si="4"/>
        <v>0</v>
      </c>
      <c r="BH18" s="17">
        <f t="shared" si="5"/>
        <v>0</v>
      </c>
      <c r="BI18" s="17">
        <f t="shared" si="6"/>
        <v>0</v>
      </c>
      <c r="BJ18" s="17">
        <f t="shared" si="7"/>
        <v>0</v>
      </c>
      <c r="BK18" s="17">
        <f t="shared" si="8"/>
        <v>0</v>
      </c>
      <c r="BL18" s="17">
        <f t="shared" si="9"/>
        <v>0</v>
      </c>
      <c r="BM18" s="17">
        <f t="shared" si="10"/>
        <v>0</v>
      </c>
      <c r="BN18" s="17">
        <f t="shared" si="11"/>
        <v>0</v>
      </c>
      <c r="BO18" s="17">
        <f t="shared" si="12"/>
        <v>0</v>
      </c>
      <c r="BP18" s="17">
        <f t="shared" si="13"/>
        <v>0</v>
      </c>
      <c r="BQ18" s="17">
        <f t="shared" si="14"/>
        <v>0</v>
      </c>
      <c r="BR18" s="17">
        <f t="shared" si="15"/>
        <v>0</v>
      </c>
      <c r="BS18" s="17">
        <f t="shared" si="16"/>
        <v>0</v>
      </c>
      <c r="BT18" s="17">
        <f t="shared" si="17"/>
        <v>0</v>
      </c>
      <c r="BU18" s="17">
        <f t="shared" si="18"/>
        <v>0</v>
      </c>
      <c r="BV18" s="17">
        <f t="shared" si="19"/>
        <v>0</v>
      </c>
      <c r="BW18" s="17">
        <f t="shared" si="20"/>
        <v>0</v>
      </c>
      <c r="BX18" s="17">
        <f t="shared" si="21"/>
        <v>0</v>
      </c>
      <c r="BY18" s="17">
        <f t="shared" si="22"/>
        <v>0</v>
      </c>
      <c r="BZ18" s="17">
        <f t="shared" si="34"/>
        <v>0</v>
      </c>
      <c r="CA18" s="17">
        <f t="shared" si="35"/>
        <v>0</v>
      </c>
      <c r="CB18" s="17">
        <f t="shared" si="36"/>
        <v>0</v>
      </c>
      <c r="CC18" s="17">
        <f t="shared" si="37"/>
        <v>0</v>
      </c>
      <c r="CD18" s="17">
        <f t="shared" si="38"/>
        <v>0</v>
      </c>
      <c r="CE18" s="17">
        <f t="shared" si="23"/>
        <v>0</v>
      </c>
      <c r="CF18" s="17">
        <f t="shared" si="39"/>
        <v>0</v>
      </c>
      <c r="CG18" s="17">
        <f t="shared" si="40"/>
        <v>0</v>
      </c>
      <c r="CH18" s="17">
        <f t="shared" si="41"/>
        <v>0</v>
      </c>
      <c r="CI18" s="17">
        <f t="shared" si="42"/>
        <v>0</v>
      </c>
      <c r="CJ18" s="17">
        <f t="shared" si="43"/>
        <v>0</v>
      </c>
      <c r="CK18" s="17">
        <f t="shared" si="44"/>
        <v>0</v>
      </c>
      <c r="CL18" s="17">
        <f t="shared" si="45"/>
        <v>0</v>
      </c>
      <c r="CM18" s="14">
        <f t="shared" si="46"/>
        <v>0</v>
      </c>
      <c r="CN18" s="17">
        <f t="shared" si="47"/>
        <v>0</v>
      </c>
      <c r="CO18" s="14">
        <f t="shared" si="48"/>
        <v>0</v>
      </c>
      <c r="CP18" s="17">
        <f t="shared" si="49"/>
        <v>0</v>
      </c>
      <c r="CQ18" s="14">
        <f t="shared" si="24"/>
        <v>0</v>
      </c>
      <c r="CR18" s="14">
        <v>405</v>
      </c>
      <c r="CS18" s="14">
        <v>971</v>
      </c>
      <c r="CT18" s="14">
        <v>55</v>
      </c>
      <c r="CU18" s="14">
        <v>669</v>
      </c>
    </row>
    <row r="19" spans="1:99" x14ac:dyDescent="0.3">
      <c r="A19" s="14">
        <v>2018</v>
      </c>
      <c r="B19" s="14" t="s">
        <v>3</v>
      </c>
      <c r="C19" s="14" t="s">
        <v>4</v>
      </c>
      <c r="D19" s="15">
        <v>204196.5</v>
      </c>
      <c r="E19" s="15">
        <v>5094779.9999999991</v>
      </c>
      <c r="F19" s="15">
        <f t="shared" si="25"/>
        <v>24.950378679360316</v>
      </c>
      <c r="G19" s="14">
        <v>10</v>
      </c>
      <c r="H19" s="14">
        <v>36</v>
      </c>
      <c r="M19" s="14">
        <v>115</v>
      </c>
      <c r="O19" s="14">
        <v>1</v>
      </c>
      <c r="Z19" s="14">
        <v>112</v>
      </c>
      <c r="AB19" s="14">
        <f t="shared" si="26"/>
        <v>1</v>
      </c>
      <c r="AM19" s="14">
        <f t="shared" si="27"/>
        <v>0</v>
      </c>
      <c r="AQ19" s="14">
        <f t="shared" si="28"/>
        <v>0</v>
      </c>
      <c r="AT19" s="14">
        <f t="shared" si="29"/>
        <v>0</v>
      </c>
      <c r="AU19" s="16">
        <v>670</v>
      </c>
      <c r="AV19" s="16">
        <v>2390</v>
      </c>
      <c r="AW19" s="16">
        <v>0</v>
      </c>
      <c r="AX19" s="16">
        <v>0</v>
      </c>
      <c r="AY19" s="18">
        <f t="shared" si="30"/>
        <v>1.3150715045595691</v>
      </c>
      <c r="AZ19" s="17">
        <f t="shared" si="31"/>
        <v>4.6910759640259254</v>
      </c>
      <c r="BA19" s="17">
        <f t="shared" si="32"/>
        <v>0</v>
      </c>
      <c r="BB19" s="17">
        <f t="shared" si="33"/>
        <v>0</v>
      </c>
      <c r="BC19" s="17">
        <f t="shared" si="0"/>
        <v>1.9627932903874164E-2</v>
      </c>
      <c r="BD19" s="17">
        <f t="shared" si="1"/>
        <v>7.0660558453946989E-2</v>
      </c>
      <c r="BE19" s="17">
        <f t="shared" si="2"/>
        <v>0</v>
      </c>
      <c r="BF19" s="17">
        <f t="shared" si="3"/>
        <v>0</v>
      </c>
      <c r="BG19" s="17">
        <f t="shared" si="4"/>
        <v>0</v>
      </c>
      <c r="BH19" s="17">
        <f t="shared" si="5"/>
        <v>0</v>
      </c>
      <c r="BI19" s="17">
        <f t="shared" si="6"/>
        <v>0.22572122839455289</v>
      </c>
      <c r="BJ19" s="17">
        <f t="shared" si="7"/>
        <v>0</v>
      </c>
      <c r="BK19" s="17">
        <f t="shared" si="8"/>
        <v>1.9627932903874164E-3</v>
      </c>
      <c r="BL19" s="17">
        <f t="shared" si="9"/>
        <v>0</v>
      </c>
      <c r="BM19" s="17">
        <f t="shared" si="10"/>
        <v>0</v>
      </c>
      <c r="BN19" s="17">
        <f t="shared" si="11"/>
        <v>0</v>
      </c>
      <c r="BO19" s="17">
        <f t="shared" si="12"/>
        <v>0</v>
      </c>
      <c r="BP19" s="17">
        <f t="shared" si="13"/>
        <v>0</v>
      </c>
      <c r="BQ19" s="17">
        <f t="shared" si="14"/>
        <v>0</v>
      </c>
      <c r="BR19" s="17">
        <f t="shared" si="15"/>
        <v>0</v>
      </c>
      <c r="BS19" s="17">
        <f t="shared" si="16"/>
        <v>0</v>
      </c>
      <c r="BT19" s="17">
        <f t="shared" si="17"/>
        <v>0</v>
      </c>
      <c r="BU19" s="17">
        <f t="shared" si="18"/>
        <v>0</v>
      </c>
      <c r="BV19" s="17">
        <f t="shared" si="19"/>
        <v>0.21983284852339066</v>
      </c>
      <c r="BW19" s="17">
        <f t="shared" si="20"/>
        <v>0</v>
      </c>
      <c r="BX19" s="17">
        <f t="shared" si="21"/>
        <v>0</v>
      </c>
      <c r="BY19" s="17">
        <f t="shared" si="22"/>
        <v>0</v>
      </c>
      <c r="BZ19" s="17">
        <f t="shared" si="34"/>
        <v>0</v>
      </c>
      <c r="CA19" s="17">
        <f t="shared" si="35"/>
        <v>0</v>
      </c>
      <c r="CB19" s="17">
        <f t="shared" si="36"/>
        <v>0</v>
      </c>
      <c r="CC19" s="17">
        <f t="shared" si="37"/>
        <v>0</v>
      </c>
      <c r="CD19" s="17">
        <f t="shared" si="38"/>
        <v>0</v>
      </c>
      <c r="CE19" s="17">
        <f t="shared" si="23"/>
        <v>0</v>
      </c>
      <c r="CF19" s="17">
        <f t="shared" si="39"/>
        <v>0</v>
      </c>
      <c r="CG19" s="17">
        <f t="shared" si="40"/>
        <v>0</v>
      </c>
      <c r="CH19" s="17">
        <f t="shared" si="41"/>
        <v>0</v>
      </c>
      <c r="CI19" s="17">
        <f t="shared" si="42"/>
        <v>0</v>
      </c>
      <c r="CJ19" s="17">
        <f t="shared" si="43"/>
        <v>0</v>
      </c>
      <c r="CK19" s="17">
        <f t="shared" si="44"/>
        <v>0</v>
      </c>
      <c r="CL19" s="17">
        <f t="shared" si="45"/>
        <v>0</v>
      </c>
      <c r="CM19" s="14">
        <f t="shared" si="46"/>
        <v>2390</v>
      </c>
      <c r="CN19" s="17">
        <f t="shared" si="47"/>
        <v>4.6910759640259254</v>
      </c>
      <c r="CO19" s="14">
        <f t="shared" si="48"/>
        <v>3060</v>
      </c>
      <c r="CP19" s="17">
        <f t="shared" si="49"/>
        <v>6.0061474685854943</v>
      </c>
      <c r="CQ19" s="14">
        <f t="shared" si="24"/>
        <v>3335</v>
      </c>
      <c r="CR19" s="14">
        <v>21</v>
      </c>
      <c r="CS19" s="14">
        <v>483</v>
      </c>
      <c r="CT19" s="14">
        <v>77</v>
      </c>
      <c r="CU19" s="14">
        <v>0</v>
      </c>
    </row>
    <row r="20" spans="1:99" x14ac:dyDescent="0.3">
      <c r="A20" s="14">
        <v>2019</v>
      </c>
      <c r="B20" s="14" t="s">
        <v>3</v>
      </c>
      <c r="C20" s="14" t="s">
        <v>4</v>
      </c>
      <c r="D20" s="15">
        <v>209572.8</v>
      </c>
      <c r="E20" s="15">
        <v>5209324.4999999963</v>
      </c>
      <c r="F20" s="15">
        <f t="shared" si="25"/>
        <v>24.856873124756632</v>
      </c>
      <c r="AB20" s="14">
        <f t="shared" si="26"/>
        <v>0</v>
      </c>
      <c r="AM20" s="14">
        <f t="shared" si="27"/>
        <v>0</v>
      </c>
      <c r="AQ20" s="14">
        <f t="shared" si="28"/>
        <v>0</v>
      </c>
      <c r="AT20" s="14">
        <f t="shared" si="29"/>
        <v>0</v>
      </c>
      <c r="AU20" s="16">
        <v>0</v>
      </c>
      <c r="AV20" s="16">
        <v>0</v>
      </c>
      <c r="AW20" s="16">
        <v>0</v>
      </c>
      <c r="AX20" s="16">
        <v>0</v>
      </c>
      <c r="AY20" s="18">
        <f t="shared" si="30"/>
        <v>0</v>
      </c>
      <c r="AZ20" s="17">
        <f t="shared" si="31"/>
        <v>0</v>
      </c>
      <c r="BA20" s="17">
        <f t="shared" si="32"/>
        <v>0</v>
      </c>
      <c r="BB20" s="17">
        <f t="shared" si="33"/>
        <v>0</v>
      </c>
      <c r="BC20" s="17">
        <f t="shared" si="0"/>
        <v>0</v>
      </c>
      <c r="BD20" s="17">
        <f t="shared" si="1"/>
        <v>0</v>
      </c>
      <c r="BE20" s="17">
        <f t="shared" si="2"/>
        <v>0</v>
      </c>
      <c r="BF20" s="17">
        <f t="shared" si="3"/>
        <v>0</v>
      </c>
      <c r="BG20" s="17">
        <f t="shared" si="4"/>
        <v>0</v>
      </c>
      <c r="BH20" s="17">
        <f t="shared" si="5"/>
        <v>0</v>
      </c>
      <c r="BI20" s="17">
        <f t="shared" si="6"/>
        <v>0</v>
      </c>
      <c r="BJ20" s="17">
        <f t="shared" si="7"/>
        <v>0</v>
      </c>
      <c r="BK20" s="17">
        <f t="shared" si="8"/>
        <v>0</v>
      </c>
      <c r="BL20" s="17">
        <f t="shared" si="9"/>
        <v>0</v>
      </c>
      <c r="BM20" s="17">
        <f t="shared" si="10"/>
        <v>0</v>
      </c>
      <c r="BN20" s="17">
        <f t="shared" si="11"/>
        <v>0</v>
      </c>
      <c r="BO20" s="17">
        <f t="shared" si="12"/>
        <v>0</v>
      </c>
      <c r="BP20" s="17">
        <f t="shared" si="13"/>
        <v>0</v>
      </c>
      <c r="BQ20" s="17">
        <f t="shared" si="14"/>
        <v>0</v>
      </c>
      <c r="BR20" s="17">
        <f t="shared" si="15"/>
        <v>0</v>
      </c>
      <c r="BS20" s="17">
        <f t="shared" si="16"/>
        <v>0</v>
      </c>
      <c r="BT20" s="17">
        <f t="shared" si="17"/>
        <v>0</v>
      </c>
      <c r="BU20" s="17">
        <f t="shared" si="18"/>
        <v>0</v>
      </c>
      <c r="BV20" s="17">
        <f t="shared" si="19"/>
        <v>0</v>
      </c>
      <c r="BW20" s="17">
        <f t="shared" si="20"/>
        <v>0</v>
      </c>
      <c r="BX20" s="17">
        <f t="shared" si="21"/>
        <v>0</v>
      </c>
      <c r="BY20" s="17">
        <f t="shared" si="22"/>
        <v>0</v>
      </c>
      <c r="BZ20" s="17">
        <f t="shared" si="34"/>
        <v>0</v>
      </c>
      <c r="CA20" s="17">
        <f t="shared" si="35"/>
        <v>0</v>
      </c>
      <c r="CB20" s="17">
        <f t="shared" si="36"/>
        <v>0</v>
      </c>
      <c r="CC20" s="17">
        <f t="shared" si="37"/>
        <v>0</v>
      </c>
      <c r="CD20" s="17">
        <f t="shared" si="38"/>
        <v>0</v>
      </c>
      <c r="CE20" s="17">
        <f t="shared" si="23"/>
        <v>0</v>
      </c>
      <c r="CF20" s="17">
        <f t="shared" si="39"/>
        <v>0</v>
      </c>
      <c r="CG20" s="17">
        <f t="shared" si="40"/>
        <v>0</v>
      </c>
      <c r="CH20" s="17">
        <f t="shared" si="41"/>
        <v>0</v>
      </c>
      <c r="CI20" s="17">
        <f t="shared" si="42"/>
        <v>0</v>
      </c>
      <c r="CJ20" s="17">
        <f t="shared" si="43"/>
        <v>0</v>
      </c>
      <c r="CK20" s="17">
        <f t="shared" si="44"/>
        <v>0</v>
      </c>
      <c r="CL20" s="17">
        <f t="shared" si="45"/>
        <v>0</v>
      </c>
      <c r="CM20" s="14">
        <f t="shared" si="46"/>
        <v>0</v>
      </c>
      <c r="CN20" s="17">
        <f t="shared" si="47"/>
        <v>0</v>
      </c>
      <c r="CO20" s="14">
        <f t="shared" si="48"/>
        <v>0</v>
      </c>
      <c r="CP20" s="17">
        <f t="shared" si="49"/>
        <v>0</v>
      </c>
      <c r="CQ20" s="14">
        <f t="shared" si="24"/>
        <v>0</v>
      </c>
      <c r="CR20" s="14">
        <v>446</v>
      </c>
      <c r="CS20" s="14">
        <v>1362</v>
      </c>
      <c r="CT20" s="14">
        <v>0</v>
      </c>
      <c r="CU20" s="14">
        <v>0</v>
      </c>
    </row>
    <row r="21" spans="1:99" x14ac:dyDescent="0.3">
      <c r="A21" s="14">
        <v>2020</v>
      </c>
      <c r="B21" s="14" t="s">
        <v>3</v>
      </c>
      <c r="C21" s="14" t="s">
        <v>4</v>
      </c>
      <c r="D21" s="15">
        <v>215791.4</v>
      </c>
      <c r="E21" s="15">
        <v>5343019.9999999991</v>
      </c>
      <c r="F21" s="15">
        <f t="shared" si="25"/>
        <v>24.760115556041619</v>
      </c>
      <c r="AB21" s="14">
        <f t="shared" si="26"/>
        <v>0</v>
      </c>
      <c r="AM21" s="14">
        <f t="shared" si="27"/>
        <v>0</v>
      </c>
      <c r="AQ21" s="14">
        <f t="shared" si="28"/>
        <v>0</v>
      </c>
      <c r="AT21" s="14">
        <f t="shared" si="29"/>
        <v>0</v>
      </c>
      <c r="AU21" s="16">
        <v>0</v>
      </c>
      <c r="AV21" s="16">
        <v>0</v>
      </c>
      <c r="AW21" s="16">
        <v>0</v>
      </c>
      <c r="AX21" s="16">
        <v>0</v>
      </c>
      <c r="AY21" s="18">
        <f t="shared" si="30"/>
        <v>0</v>
      </c>
      <c r="AZ21" s="17">
        <f t="shared" si="31"/>
        <v>0</v>
      </c>
      <c r="BA21" s="17">
        <f t="shared" si="32"/>
        <v>0</v>
      </c>
      <c r="BB21" s="17">
        <f t="shared" si="33"/>
        <v>0</v>
      </c>
      <c r="BC21" s="17">
        <f t="shared" si="0"/>
        <v>0</v>
      </c>
      <c r="BD21" s="17">
        <f t="shared" si="1"/>
        <v>0</v>
      </c>
      <c r="BE21" s="17">
        <f t="shared" si="2"/>
        <v>0</v>
      </c>
      <c r="BF21" s="17">
        <f t="shared" si="3"/>
        <v>0</v>
      </c>
      <c r="BG21" s="17">
        <f t="shared" si="4"/>
        <v>0</v>
      </c>
      <c r="BH21" s="17">
        <f t="shared" si="5"/>
        <v>0</v>
      </c>
      <c r="BI21" s="17">
        <f t="shared" si="6"/>
        <v>0</v>
      </c>
      <c r="BJ21" s="17">
        <f t="shared" si="7"/>
        <v>0</v>
      </c>
      <c r="BK21" s="17">
        <f t="shared" si="8"/>
        <v>0</v>
      </c>
      <c r="BL21" s="17">
        <f t="shared" si="9"/>
        <v>0</v>
      </c>
      <c r="BM21" s="17">
        <f t="shared" si="10"/>
        <v>0</v>
      </c>
      <c r="BN21" s="17">
        <f t="shared" si="11"/>
        <v>0</v>
      </c>
      <c r="BO21" s="17">
        <f t="shared" si="12"/>
        <v>0</v>
      </c>
      <c r="BP21" s="17">
        <f t="shared" si="13"/>
        <v>0</v>
      </c>
      <c r="BQ21" s="17">
        <f t="shared" si="14"/>
        <v>0</v>
      </c>
      <c r="BR21" s="17">
        <f t="shared" si="15"/>
        <v>0</v>
      </c>
      <c r="BS21" s="17">
        <f t="shared" si="16"/>
        <v>0</v>
      </c>
      <c r="BT21" s="17">
        <f t="shared" si="17"/>
        <v>0</v>
      </c>
      <c r="BU21" s="17">
        <f t="shared" si="18"/>
        <v>0</v>
      </c>
      <c r="BV21" s="17">
        <f t="shared" si="19"/>
        <v>0</v>
      </c>
      <c r="BW21" s="17">
        <f t="shared" si="20"/>
        <v>0</v>
      </c>
      <c r="BX21" s="17">
        <f t="shared" si="21"/>
        <v>0</v>
      </c>
      <c r="BY21" s="17">
        <f t="shared" si="22"/>
        <v>0</v>
      </c>
      <c r="BZ21" s="17">
        <f t="shared" si="34"/>
        <v>0</v>
      </c>
      <c r="CA21" s="17">
        <f t="shared" si="35"/>
        <v>0</v>
      </c>
      <c r="CB21" s="17">
        <f t="shared" si="36"/>
        <v>0</v>
      </c>
      <c r="CC21" s="17">
        <f t="shared" si="37"/>
        <v>0</v>
      </c>
      <c r="CD21" s="17">
        <f t="shared" si="38"/>
        <v>0</v>
      </c>
      <c r="CE21" s="17">
        <f t="shared" si="23"/>
        <v>0</v>
      </c>
      <c r="CF21" s="17">
        <f t="shared" si="39"/>
        <v>0</v>
      </c>
      <c r="CG21" s="17">
        <f t="shared" si="40"/>
        <v>0</v>
      </c>
      <c r="CH21" s="17">
        <f t="shared" si="41"/>
        <v>0</v>
      </c>
      <c r="CI21" s="17">
        <f t="shared" si="42"/>
        <v>0</v>
      </c>
      <c r="CJ21" s="17">
        <f t="shared" si="43"/>
        <v>0</v>
      </c>
      <c r="CK21" s="17">
        <f t="shared" si="44"/>
        <v>0</v>
      </c>
      <c r="CL21" s="17">
        <f t="shared" si="45"/>
        <v>0</v>
      </c>
      <c r="CM21" s="14">
        <f t="shared" si="46"/>
        <v>0</v>
      </c>
      <c r="CN21" s="17">
        <f t="shared" si="47"/>
        <v>0</v>
      </c>
      <c r="CO21" s="14">
        <f t="shared" si="48"/>
        <v>0</v>
      </c>
      <c r="CP21" s="17">
        <f t="shared" si="49"/>
        <v>0</v>
      </c>
      <c r="CQ21" s="14">
        <f t="shared" si="24"/>
        <v>0</v>
      </c>
      <c r="CR21" s="14">
        <v>0</v>
      </c>
      <c r="CS21" s="14">
        <v>105</v>
      </c>
      <c r="CT21" s="14">
        <v>0</v>
      </c>
      <c r="CU21" s="14">
        <v>0</v>
      </c>
    </row>
    <row r="22" spans="1:99" x14ac:dyDescent="0.3">
      <c r="A22" s="14">
        <v>2021</v>
      </c>
      <c r="B22" s="14" t="s">
        <v>3</v>
      </c>
      <c r="C22" s="14" t="s">
        <v>4</v>
      </c>
      <c r="D22" s="15">
        <v>223125.3</v>
      </c>
      <c r="E22" s="15">
        <v>5457154.4999999991</v>
      </c>
      <c r="F22" s="15">
        <f t="shared" si="25"/>
        <v>24.457802409677431</v>
      </c>
      <c r="G22" s="14">
        <v>2</v>
      </c>
      <c r="H22" s="14">
        <v>2</v>
      </c>
      <c r="I22" s="14">
        <v>12</v>
      </c>
      <c r="M22" s="14">
        <v>1595</v>
      </c>
      <c r="S22" s="14">
        <v>39</v>
      </c>
      <c r="T22" s="14">
        <v>25</v>
      </c>
      <c r="Y22" s="14">
        <v>47</v>
      </c>
      <c r="AB22" s="14">
        <f t="shared" si="26"/>
        <v>0</v>
      </c>
      <c r="AL22" s="14">
        <v>155</v>
      </c>
      <c r="AM22" s="14">
        <f t="shared" si="27"/>
        <v>155</v>
      </c>
      <c r="AQ22" s="14">
        <f t="shared" si="28"/>
        <v>0</v>
      </c>
      <c r="AT22" s="14">
        <f t="shared" si="29"/>
        <v>0</v>
      </c>
      <c r="AU22" s="16">
        <v>561</v>
      </c>
      <c r="AV22" s="16">
        <v>1010</v>
      </c>
      <c r="AW22" s="16">
        <v>1074</v>
      </c>
      <c r="AX22" s="16">
        <v>308</v>
      </c>
      <c r="AY22" s="18">
        <f t="shared" si="30"/>
        <v>1.0280082779404542</v>
      </c>
      <c r="AZ22" s="17">
        <f t="shared" si="31"/>
        <v>1.8507813916575024</v>
      </c>
      <c r="BA22" s="17">
        <f t="shared" si="32"/>
        <v>1.9680586283565917</v>
      </c>
      <c r="BB22" s="17">
        <f t="shared" si="33"/>
        <v>0.56439670161436706</v>
      </c>
      <c r="BC22" s="17">
        <f t="shared" si="0"/>
        <v>3.6649136468465396E-3</v>
      </c>
      <c r="BD22" s="17">
        <f t="shared" si="1"/>
        <v>3.6649136468465396E-3</v>
      </c>
      <c r="BE22" s="17">
        <f t="shared" si="2"/>
        <v>2.1989481881079236E-2</v>
      </c>
      <c r="BF22" s="17">
        <f t="shared" si="3"/>
        <v>0</v>
      </c>
      <c r="BG22" s="17">
        <f t="shared" si="4"/>
        <v>0</v>
      </c>
      <c r="BH22" s="17">
        <f t="shared" si="5"/>
        <v>0</v>
      </c>
      <c r="BI22" s="17">
        <f t="shared" si="6"/>
        <v>2.9227686333601151</v>
      </c>
      <c r="BJ22" s="17">
        <f t="shared" si="7"/>
        <v>0</v>
      </c>
      <c r="BK22" s="17">
        <f t="shared" si="8"/>
        <v>0</v>
      </c>
      <c r="BL22" s="17">
        <f t="shared" si="9"/>
        <v>0</v>
      </c>
      <c r="BM22" s="17">
        <f t="shared" si="10"/>
        <v>0</v>
      </c>
      <c r="BN22" s="17">
        <f t="shared" si="11"/>
        <v>0</v>
      </c>
      <c r="BO22" s="17">
        <f t="shared" si="12"/>
        <v>7.1465816113507524E-2</v>
      </c>
      <c r="BP22" s="17">
        <f t="shared" si="13"/>
        <v>4.5811420585581741E-2</v>
      </c>
      <c r="BQ22" s="17">
        <f t="shared" si="14"/>
        <v>0</v>
      </c>
      <c r="BR22" s="17">
        <f t="shared" si="15"/>
        <v>0</v>
      </c>
      <c r="BS22" s="17">
        <f t="shared" si="16"/>
        <v>0</v>
      </c>
      <c r="BT22" s="17">
        <f t="shared" si="17"/>
        <v>0</v>
      </c>
      <c r="BU22" s="17">
        <f t="shared" si="18"/>
        <v>8.6125470700893672E-2</v>
      </c>
      <c r="BV22" s="17">
        <f t="shared" si="19"/>
        <v>0</v>
      </c>
      <c r="BW22" s="17">
        <f t="shared" si="20"/>
        <v>0</v>
      </c>
      <c r="BX22" s="17">
        <f t="shared" si="21"/>
        <v>0</v>
      </c>
      <c r="BY22" s="17">
        <f t="shared" si="22"/>
        <v>0</v>
      </c>
      <c r="BZ22" s="17">
        <f t="shared" si="34"/>
        <v>0</v>
      </c>
      <c r="CA22" s="17">
        <f t="shared" si="35"/>
        <v>0</v>
      </c>
      <c r="CB22" s="17">
        <f t="shared" si="36"/>
        <v>0</v>
      </c>
      <c r="CC22" s="17">
        <f t="shared" si="37"/>
        <v>0</v>
      </c>
      <c r="CD22" s="17">
        <f t="shared" si="38"/>
        <v>0</v>
      </c>
      <c r="CE22" s="17">
        <f t="shared" si="23"/>
        <v>0</v>
      </c>
      <c r="CF22" s="17">
        <f t="shared" si="39"/>
        <v>0</v>
      </c>
      <c r="CG22" s="17">
        <f t="shared" si="40"/>
        <v>0.28403080763060679</v>
      </c>
      <c r="CH22" s="17">
        <f t="shared" si="41"/>
        <v>0</v>
      </c>
      <c r="CI22" s="17">
        <f t="shared" si="42"/>
        <v>0</v>
      </c>
      <c r="CJ22" s="17">
        <f t="shared" si="43"/>
        <v>0</v>
      </c>
      <c r="CK22" s="17">
        <f t="shared" si="44"/>
        <v>0</v>
      </c>
      <c r="CL22" s="17">
        <f t="shared" si="45"/>
        <v>0</v>
      </c>
      <c r="CM22" s="14">
        <f t="shared" si="46"/>
        <v>2084</v>
      </c>
      <c r="CN22" s="17">
        <f t="shared" si="47"/>
        <v>3.8188400200140942</v>
      </c>
      <c r="CO22" s="14">
        <f t="shared" si="48"/>
        <v>2645</v>
      </c>
      <c r="CP22" s="17">
        <f t="shared" si="49"/>
        <v>4.8468482979545486</v>
      </c>
      <c r="CQ22" s="14">
        <f t="shared" si="24"/>
        <v>4985</v>
      </c>
      <c r="CR22" s="14">
        <v>0</v>
      </c>
      <c r="CS22" s="14">
        <v>0</v>
      </c>
      <c r="CT22" s="14">
        <v>0</v>
      </c>
      <c r="CU22" s="14">
        <v>0</v>
      </c>
    </row>
    <row r="23" spans="1:99" x14ac:dyDescent="0.3">
      <c r="A23" s="14">
        <v>2022</v>
      </c>
      <c r="B23" s="14" t="s">
        <v>3</v>
      </c>
      <c r="C23" s="14" t="s">
        <v>4</v>
      </c>
      <c r="D23" s="15">
        <v>228677.8</v>
      </c>
      <c r="E23" s="15">
        <v>5579143.5000000047</v>
      </c>
      <c r="F23" s="15">
        <f t="shared" si="25"/>
        <v>24.397398872999499</v>
      </c>
      <c r="AB23" s="14">
        <f t="shared" si="26"/>
        <v>0</v>
      </c>
      <c r="AM23" s="14">
        <f t="shared" si="27"/>
        <v>0</v>
      </c>
      <c r="AQ23" s="14">
        <f t="shared" si="28"/>
        <v>0</v>
      </c>
      <c r="AT23" s="14">
        <f t="shared" si="29"/>
        <v>0</v>
      </c>
      <c r="AU23" s="16">
        <v>0</v>
      </c>
      <c r="AV23" s="16">
        <v>0</v>
      </c>
      <c r="AW23" s="16">
        <v>0</v>
      </c>
      <c r="AX23" s="16">
        <v>0</v>
      </c>
      <c r="AY23" s="18">
        <f t="shared" si="30"/>
        <v>0</v>
      </c>
      <c r="AZ23" s="17">
        <f t="shared" si="31"/>
        <v>0</v>
      </c>
      <c r="BA23" s="17">
        <f t="shared" si="32"/>
        <v>0</v>
      </c>
      <c r="BB23" s="17">
        <f t="shared" si="33"/>
        <v>0</v>
      </c>
      <c r="BC23" s="17">
        <f t="shared" si="0"/>
        <v>0</v>
      </c>
      <c r="BD23" s="17">
        <f t="shared" si="1"/>
        <v>0</v>
      </c>
      <c r="BE23" s="17">
        <f t="shared" si="2"/>
        <v>0</v>
      </c>
      <c r="BF23" s="17">
        <f t="shared" si="3"/>
        <v>0</v>
      </c>
      <c r="BG23" s="17">
        <f t="shared" si="4"/>
        <v>0</v>
      </c>
      <c r="BH23" s="17">
        <f t="shared" si="5"/>
        <v>0</v>
      </c>
      <c r="BI23" s="17">
        <f t="shared" si="6"/>
        <v>0</v>
      </c>
      <c r="BJ23" s="17">
        <f t="shared" si="7"/>
        <v>0</v>
      </c>
      <c r="BK23" s="17">
        <f t="shared" si="8"/>
        <v>0</v>
      </c>
      <c r="BL23" s="17">
        <f t="shared" si="9"/>
        <v>0</v>
      </c>
      <c r="BM23" s="17">
        <f t="shared" si="10"/>
        <v>0</v>
      </c>
      <c r="BN23" s="17">
        <f t="shared" si="11"/>
        <v>0</v>
      </c>
      <c r="BO23" s="17">
        <f t="shared" si="12"/>
        <v>0</v>
      </c>
      <c r="BP23" s="17">
        <f t="shared" si="13"/>
        <v>0</v>
      </c>
      <c r="BQ23" s="17">
        <f t="shared" si="14"/>
        <v>0</v>
      </c>
      <c r="BR23" s="17">
        <f t="shared" si="15"/>
        <v>0</v>
      </c>
      <c r="BS23" s="17">
        <f t="shared" si="16"/>
        <v>0</v>
      </c>
      <c r="BT23" s="17">
        <f t="shared" si="17"/>
        <v>0</v>
      </c>
      <c r="BU23" s="17">
        <f t="shared" si="18"/>
        <v>0</v>
      </c>
      <c r="BV23" s="17">
        <f t="shared" si="19"/>
        <v>0</v>
      </c>
      <c r="BW23" s="17">
        <f t="shared" si="20"/>
        <v>0</v>
      </c>
      <c r="BX23" s="17">
        <f t="shared" si="21"/>
        <v>0</v>
      </c>
      <c r="BY23" s="17">
        <f t="shared" si="22"/>
        <v>0</v>
      </c>
      <c r="BZ23" s="17">
        <f t="shared" si="34"/>
        <v>0</v>
      </c>
      <c r="CA23" s="17">
        <f t="shared" si="35"/>
        <v>0</v>
      </c>
      <c r="CB23" s="17">
        <f t="shared" si="36"/>
        <v>0</v>
      </c>
      <c r="CC23" s="17">
        <f t="shared" si="37"/>
        <v>0</v>
      </c>
      <c r="CD23" s="17">
        <f t="shared" si="38"/>
        <v>0</v>
      </c>
      <c r="CE23" s="17">
        <f t="shared" si="23"/>
        <v>0</v>
      </c>
      <c r="CF23" s="17">
        <f t="shared" si="39"/>
        <v>0</v>
      </c>
      <c r="CG23" s="17">
        <f t="shared" si="40"/>
        <v>0</v>
      </c>
      <c r="CH23" s="17">
        <f t="shared" si="41"/>
        <v>0</v>
      </c>
      <c r="CI23" s="17">
        <f t="shared" si="42"/>
        <v>0</v>
      </c>
      <c r="CJ23" s="17">
        <f t="shared" si="43"/>
        <v>0</v>
      </c>
      <c r="CK23" s="17">
        <f t="shared" si="44"/>
        <v>0</v>
      </c>
      <c r="CL23" s="17">
        <f t="shared" si="45"/>
        <v>0</v>
      </c>
      <c r="CM23" s="14">
        <f t="shared" si="46"/>
        <v>0</v>
      </c>
      <c r="CN23" s="17">
        <f t="shared" si="47"/>
        <v>0</v>
      </c>
      <c r="CO23" s="14">
        <f t="shared" si="48"/>
        <v>0</v>
      </c>
      <c r="CP23" s="17">
        <f t="shared" si="49"/>
        <v>0</v>
      </c>
      <c r="CQ23" s="14">
        <f t="shared" si="24"/>
        <v>0</v>
      </c>
      <c r="CR23" s="14">
        <v>488</v>
      </c>
      <c r="CS23" s="14">
        <v>2695</v>
      </c>
      <c r="CT23" s="14">
        <v>1634</v>
      </c>
      <c r="CU23" s="14">
        <v>47</v>
      </c>
    </row>
    <row r="24" spans="1:99" x14ac:dyDescent="0.3">
      <c r="A24" s="14">
        <v>2012</v>
      </c>
      <c r="B24" s="14" t="s">
        <v>5</v>
      </c>
      <c r="C24" s="14" t="s">
        <v>6</v>
      </c>
      <c r="D24" s="15">
        <v>6575.5</v>
      </c>
      <c r="E24" s="15">
        <v>189924.5</v>
      </c>
      <c r="F24" s="15">
        <f t="shared" si="25"/>
        <v>28.883659037335566</v>
      </c>
      <c r="AB24" s="14">
        <f t="shared" si="26"/>
        <v>0</v>
      </c>
      <c r="AM24" s="14">
        <f t="shared" si="27"/>
        <v>0</v>
      </c>
      <c r="AQ24" s="14">
        <f t="shared" si="28"/>
        <v>0</v>
      </c>
      <c r="AT24" s="14">
        <f t="shared" si="29"/>
        <v>0</v>
      </c>
      <c r="AU24" s="16">
        <v>0</v>
      </c>
      <c r="AV24" s="16">
        <v>0</v>
      </c>
      <c r="AW24" s="16">
        <v>0</v>
      </c>
      <c r="AX24" s="16">
        <v>0</v>
      </c>
      <c r="AY24" s="18">
        <f t="shared" si="30"/>
        <v>0</v>
      </c>
      <c r="AZ24" s="17">
        <f t="shared" si="31"/>
        <v>0</v>
      </c>
      <c r="BA24" s="17">
        <f t="shared" si="32"/>
        <v>0</v>
      </c>
      <c r="BB24" s="17">
        <f t="shared" si="33"/>
        <v>0</v>
      </c>
      <c r="BC24" s="17">
        <f t="shared" si="0"/>
        <v>0</v>
      </c>
      <c r="BD24" s="17">
        <f t="shared" si="1"/>
        <v>0</v>
      </c>
      <c r="BE24" s="17">
        <f t="shared" si="2"/>
        <v>0</v>
      </c>
      <c r="BF24" s="17">
        <f t="shared" si="3"/>
        <v>0</v>
      </c>
      <c r="BG24" s="17">
        <f t="shared" si="4"/>
        <v>0</v>
      </c>
      <c r="BH24" s="17">
        <f t="shared" si="5"/>
        <v>0</v>
      </c>
      <c r="BI24" s="17">
        <f t="shared" si="6"/>
        <v>0</v>
      </c>
      <c r="BJ24" s="17">
        <f t="shared" si="7"/>
        <v>0</v>
      </c>
      <c r="BK24" s="17">
        <f t="shared" si="8"/>
        <v>0</v>
      </c>
      <c r="BL24" s="17">
        <f t="shared" si="9"/>
        <v>0</v>
      </c>
      <c r="BM24" s="17">
        <f t="shared" si="10"/>
        <v>0</v>
      </c>
      <c r="BN24" s="17">
        <f t="shared" si="11"/>
        <v>0</v>
      </c>
      <c r="BO24" s="17">
        <f t="shared" si="12"/>
        <v>0</v>
      </c>
      <c r="BP24" s="17">
        <f t="shared" si="13"/>
        <v>0</v>
      </c>
      <c r="BQ24" s="17">
        <f t="shared" si="14"/>
        <v>0</v>
      </c>
      <c r="BR24" s="17">
        <f t="shared" si="15"/>
        <v>0</v>
      </c>
      <c r="BS24" s="17">
        <f t="shared" si="16"/>
        <v>0</v>
      </c>
      <c r="BT24" s="17">
        <f t="shared" si="17"/>
        <v>0</v>
      </c>
      <c r="BU24" s="17">
        <f t="shared" si="18"/>
        <v>0</v>
      </c>
      <c r="BV24" s="17">
        <f t="shared" si="19"/>
        <v>0</v>
      </c>
      <c r="BW24" s="17">
        <f t="shared" si="20"/>
        <v>0</v>
      </c>
      <c r="BX24" s="17">
        <f t="shared" si="21"/>
        <v>0</v>
      </c>
      <c r="BY24" s="17">
        <f t="shared" si="22"/>
        <v>0</v>
      </c>
      <c r="BZ24" s="17">
        <f t="shared" si="34"/>
        <v>0</v>
      </c>
      <c r="CA24" s="17">
        <f t="shared" si="35"/>
        <v>0</v>
      </c>
      <c r="CB24" s="17">
        <f t="shared" si="36"/>
        <v>0</v>
      </c>
      <c r="CC24" s="17">
        <f t="shared" si="37"/>
        <v>0</v>
      </c>
      <c r="CD24" s="17">
        <f t="shared" si="38"/>
        <v>0</v>
      </c>
      <c r="CE24" s="17">
        <f t="shared" si="23"/>
        <v>0</v>
      </c>
      <c r="CF24" s="17">
        <f t="shared" si="39"/>
        <v>0</v>
      </c>
      <c r="CG24" s="17">
        <f t="shared" si="40"/>
        <v>0</v>
      </c>
      <c r="CH24" s="17">
        <f t="shared" si="41"/>
        <v>0</v>
      </c>
      <c r="CI24" s="17">
        <f t="shared" si="42"/>
        <v>0</v>
      </c>
      <c r="CJ24" s="17">
        <f t="shared" si="43"/>
        <v>0</v>
      </c>
      <c r="CK24" s="17">
        <f t="shared" si="44"/>
        <v>0</v>
      </c>
      <c r="CL24" s="17">
        <f t="shared" si="45"/>
        <v>0</v>
      </c>
      <c r="CM24" s="14">
        <f t="shared" si="46"/>
        <v>0</v>
      </c>
      <c r="CN24" s="17">
        <f t="shared" si="47"/>
        <v>0</v>
      </c>
      <c r="CO24" s="14">
        <f t="shared" si="48"/>
        <v>0</v>
      </c>
      <c r="CP24" s="17">
        <f t="shared" si="49"/>
        <v>0</v>
      </c>
      <c r="CQ24" s="14">
        <f t="shared" si="24"/>
        <v>0</v>
      </c>
      <c r="CR24" s="14">
        <v>84</v>
      </c>
      <c r="CS24" s="14">
        <v>0</v>
      </c>
      <c r="CT24" s="14">
        <v>0</v>
      </c>
      <c r="CU24" s="14">
        <v>0</v>
      </c>
    </row>
    <row r="25" spans="1:99" x14ac:dyDescent="0.3">
      <c r="A25" s="14">
        <v>2013</v>
      </c>
      <c r="B25" s="14" t="s">
        <v>5</v>
      </c>
      <c r="C25" s="14" t="s">
        <v>6</v>
      </c>
      <c r="D25" s="15">
        <v>6883.1</v>
      </c>
      <c r="E25" s="15">
        <v>193756.99999999997</v>
      </c>
      <c r="F25" s="15">
        <f t="shared" si="25"/>
        <v>28.149670933155114</v>
      </c>
      <c r="AB25" s="14">
        <f t="shared" si="26"/>
        <v>0</v>
      </c>
      <c r="AM25" s="14">
        <f t="shared" si="27"/>
        <v>0</v>
      </c>
      <c r="AQ25" s="14">
        <f t="shared" si="28"/>
        <v>0</v>
      </c>
      <c r="AT25" s="14">
        <f t="shared" si="29"/>
        <v>0</v>
      </c>
      <c r="AU25" s="16">
        <v>0</v>
      </c>
      <c r="AV25" s="16">
        <v>0</v>
      </c>
      <c r="AW25" s="16">
        <v>62</v>
      </c>
      <c r="AX25" s="16">
        <v>0</v>
      </c>
      <c r="AY25" s="18">
        <f t="shared" si="30"/>
        <v>0</v>
      </c>
      <c r="AZ25" s="17">
        <f t="shared" si="31"/>
        <v>0</v>
      </c>
      <c r="BA25" s="17">
        <f t="shared" si="32"/>
        <v>3.1998843912736059</v>
      </c>
      <c r="BB25" s="17">
        <f t="shared" si="33"/>
        <v>0</v>
      </c>
      <c r="BC25" s="17">
        <f t="shared" si="0"/>
        <v>0</v>
      </c>
      <c r="BD25" s="17">
        <f t="shared" si="1"/>
        <v>0</v>
      </c>
      <c r="BE25" s="17">
        <f t="shared" si="2"/>
        <v>0</v>
      </c>
      <c r="BF25" s="17">
        <f t="shared" si="3"/>
        <v>0</v>
      </c>
      <c r="BG25" s="17">
        <f t="shared" si="4"/>
        <v>0</v>
      </c>
      <c r="BH25" s="17">
        <f t="shared" si="5"/>
        <v>0</v>
      </c>
      <c r="BI25" s="17">
        <f t="shared" si="6"/>
        <v>0</v>
      </c>
      <c r="BJ25" s="17">
        <f t="shared" si="7"/>
        <v>0</v>
      </c>
      <c r="BK25" s="17">
        <f t="shared" si="8"/>
        <v>0</v>
      </c>
      <c r="BL25" s="17">
        <f t="shared" si="9"/>
        <v>0</v>
      </c>
      <c r="BM25" s="17">
        <f t="shared" si="10"/>
        <v>0</v>
      </c>
      <c r="BN25" s="17">
        <f t="shared" si="11"/>
        <v>0</v>
      </c>
      <c r="BO25" s="17">
        <f t="shared" si="12"/>
        <v>0</v>
      </c>
      <c r="BP25" s="17">
        <f t="shared" si="13"/>
        <v>0</v>
      </c>
      <c r="BQ25" s="17">
        <f t="shared" si="14"/>
        <v>0</v>
      </c>
      <c r="BR25" s="17">
        <f t="shared" si="15"/>
        <v>0</v>
      </c>
      <c r="BS25" s="17">
        <f t="shared" si="16"/>
        <v>0</v>
      </c>
      <c r="BT25" s="17">
        <f t="shared" si="17"/>
        <v>0</v>
      </c>
      <c r="BU25" s="17">
        <f t="shared" si="18"/>
        <v>0</v>
      </c>
      <c r="BV25" s="17">
        <f t="shared" si="19"/>
        <v>0</v>
      </c>
      <c r="BW25" s="17">
        <f t="shared" si="20"/>
        <v>0</v>
      </c>
      <c r="BX25" s="17">
        <f t="shared" si="21"/>
        <v>0</v>
      </c>
      <c r="BY25" s="17">
        <f t="shared" si="22"/>
        <v>0</v>
      </c>
      <c r="BZ25" s="17">
        <f t="shared" si="34"/>
        <v>0</v>
      </c>
      <c r="CA25" s="17">
        <f t="shared" si="35"/>
        <v>0</v>
      </c>
      <c r="CB25" s="17">
        <f t="shared" si="36"/>
        <v>0</v>
      </c>
      <c r="CC25" s="17">
        <f t="shared" si="37"/>
        <v>0</v>
      </c>
      <c r="CD25" s="17">
        <f t="shared" si="38"/>
        <v>0</v>
      </c>
      <c r="CE25" s="17">
        <f t="shared" si="23"/>
        <v>0</v>
      </c>
      <c r="CF25" s="17">
        <f t="shared" si="39"/>
        <v>0</v>
      </c>
      <c r="CG25" s="17">
        <f t="shared" si="40"/>
        <v>0</v>
      </c>
      <c r="CH25" s="17">
        <f t="shared" si="41"/>
        <v>0</v>
      </c>
      <c r="CI25" s="17">
        <f t="shared" si="42"/>
        <v>0</v>
      </c>
      <c r="CJ25" s="17">
        <f t="shared" si="43"/>
        <v>0</v>
      </c>
      <c r="CK25" s="17">
        <f t="shared" si="44"/>
        <v>0</v>
      </c>
      <c r="CL25" s="17">
        <f t="shared" si="45"/>
        <v>0</v>
      </c>
      <c r="CM25" s="14">
        <f t="shared" si="46"/>
        <v>62</v>
      </c>
      <c r="CN25" s="17">
        <f t="shared" si="47"/>
        <v>3.1998843912736059</v>
      </c>
      <c r="CO25" s="14">
        <f t="shared" si="48"/>
        <v>62</v>
      </c>
      <c r="CP25" s="17">
        <f t="shared" si="49"/>
        <v>3.1998843912736059</v>
      </c>
      <c r="CQ25" s="14">
        <f t="shared" si="24"/>
        <v>62</v>
      </c>
      <c r="CR25" s="14">
        <v>22</v>
      </c>
      <c r="CS25" s="14">
        <v>82</v>
      </c>
      <c r="CT25" s="14">
        <v>4</v>
      </c>
      <c r="CU25" s="14">
        <v>24</v>
      </c>
    </row>
    <row r="26" spans="1:99" x14ac:dyDescent="0.3">
      <c r="A26" s="14">
        <v>2014</v>
      </c>
      <c r="B26" s="14" t="s">
        <v>5</v>
      </c>
      <c r="C26" s="14" t="s">
        <v>6</v>
      </c>
      <c r="D26" s="15">
        <v>6820.9</v>
      </c>
      <c r="E26" s="15">
        <v>197496.99999999994</v>
      </c>
      <c r="F26" s="15">
        <f t="shared" si="25"/>
        <v>28.954683399551371</v>
      </c>
      <c r="AB26" s="14">
        <f t="shared" si="26"/>
        <v>0</v>
      </c>
      <c r="AM26" s="14">
        <f t="shared" si="27"/>
        <v>0</v>
      </c>
      <c r="AQ26" s="14">
        <f t="shared" si="28"/>
        <v>0</v>
      </c>
      <c r="AT26" s="14">
        <f t="shared" si="29"/>
        <v>0</v>
      </c>
      <c r="AU26" s="16">
        <v>0</v>
      </c>
      <c r="AV26" s="16">
        <v>0</v>
      </c>
      <c r="AW26" s="16">
        <v>0</v>
      </c>
      <c r="AX26" s="16">
        <v>0</v>
      </c>
      <c r="AY26" s="18">
        <f t="shared" si="30"/>
        <v>0</v>
      </c>
      <c r="AZ26" s="17">
        <f t="shared" si="31"/>
        <v>0</v>
      </c>
      <c r="BA26" s="17">
        <f t="shared" si="32"/>
        <v>0</v>
      </c>
      <c r="BB26" s="17">
        <f t="shared" si="33"/>
        <v>0</v>
      </c>
      <c r="BC26" s="17">
        <f t="shared" si="0"/>
        <v>0</v>
      </c>
      <c r="BD26" s="17">
        <f t="shared" si="1"/>
        <v>0</v>
      </c>
      <c r="BE26" s="17">
        <f t="shared" si="2"/>
        <v>0</v>
      </c>
      <c r="BF26" s="17">
        <f t="shared" si="3"/>
        <v>0</v>
      </c>
      <c r="BG26" s="17">
        <f t="shared" si="4"/>
        <v>0</v>
      </c>
      <c r="BH26" s="17">
        <f t="shared" si="5"/>
        <v>0</v>
      </c>
      <c r="BI26" s="17">
        <f t="shared" si="6"/>
        <v>0</v>
      </c>
      <c r="BJ26" s="17">
        <f t="shared" si="7"/>
        <v>0</v>
      </c>
      <c r="BK26" s="17">
        <f t="shared" si="8"/>
        <v>0</v>
      </c>
      <c r="BL26" s="17">
        <f t="shared" si="9"/>
        <v>0</v>
      </c>
      <c r="BM26" s="17">
        <f t="shared" si="10"/>
        <v>0</v>
      </c>
      <c r="BN26" s="17">
        <f t="shared" si="11"/>
        <v>0</v>
      </c>
      <c r="BO26" s="17">
        <f t="shared" si="12"/>
        <v>0</v>
      </c>
      <c r="BP26" s="17">
        <f t="shared" si="13"/>
        <v>0</v>
      </c>
      <c r="BQ26" s="17">
        <f t="shared" si="14"/>
        <v>0</v>
      </c>
      <c r="BR26" s="17">
        <f t="shared" si="15"/>
        <v>0</v>
      </c>
      <c r="BS26" s="17">
        <f t="shared" si="16"/>
        <v>0</v>
      </c>
      <c r="BT26" s="17">
        <f t="shared" si="17"/>
        <v>0</v>
      </c>
      <c r="BU26" s="17">
        <f t="shared" si="18"/>
        <v>0</v>
      </c>
      <c r="BV26" s="17">
        <f t="shared" si="19"/>
        <v>0</v>
      </c>
      <c r="BW26" s="17">
        <f t="shared" si="20"/>
        <v>0</v>
      </c>
      <c r="BX26" s="17">
        <f t="shared" si="21"/>
        <v>0</v>
      </c>
      <c r="BY26" s="17">
        <f t="shared" si="22"/>
        <v>0</v>
      </c>
      <c r="BZ26" s="17">
        <f t="shared" si="34"/>
        <v>0</v>
      </c>
      <c r="CA26" s="17">
        <f t="shared" si="35"/>
        <v>0</v>
      </c>
      <c r="CB26" s="17">
        <f t="shared" si="36"/>
        <v>0</v>
      </c>
      <c r="CC26" s="17">
        <f t="shared" si="37"/>
        <v>0</v>
      </c>
      <c r="CD26" s="17">
        <f t="shared" si="38"/>
        <v>0</v>
      </c>
      <c r="CE26" s="17">
        <f t="shared" si="23"/>
        <v>0</v>
      </c>
      <c r="CF26" s="17">
        <f t="shared" si="39"/>
        <v>0</v>
      </c>
      <c r="CG26" s="17">
        <f t="shared" si="40"/>
        <v>0</v>
      </c>
      <c r="CH26" s="17">
        <f t="shared" si="41"/>
        <v>0</v>
      </c>
      <c r="CI26" s="17">
        <f t="shared" si="42"/>
        <v>0</v>
      </c>
      <c r="CJ26" s="17">
        <f t="shared" si="43"/>
        <v>0</v>
      </c>
      <c r="CK26" s="17">
        <f t="shared" si="44"/>
        <v>0</v>
      </c>
      <c r="CL26" s="17">
        <f t="shared" si="45"/>
        <v>0</v>
      </c>
      <c r="CM26" s="14">
        <f t="shared" si="46"/>
        <v>0</v>
      </c>
      <c r="CN26" s="17">
        <f t="shared" si="47"/>
        <v>0</v>
      </c>
      <c r="CO26" s="14">
        <f t="shared" si="48"/>
        <v>0</v>
      </c>
      <c r="CP26" s="17">
        <f t="shared" si="49"/>
        <v>0</v>
      </c>
      <c r="CQ26" s="14">
        <f t="shared" si="24"/>
        <v>0</v>
      </c>
      <c r="CR26" s="14">
        <v>528</v>
      </c>
      <c r="CS26" s="14">
        <v>2683</v>
      </c>
      <c r="CT26" s="14">
        <v>2217</v>
      </c>
      <c r="CU26" s="14">
        <v>4286</v>
      </c>
    </row>
    <row r="27" spans="1:99" x14ac:dyDescent="0.3">
      <c r="A27" s="14">
        <v>2015</v>
      </c>
      <c r="B27" s="14" t="s">
        <v>5</v>
      </c>
      <c r="C27" s="14" t="s">
        <v>6</v>
      </c>
      <c r="D27" s="15">
        <v>6722.6</v>
      </c>
      <c r="E27" s="15">
        <v>201123.50000000012</v>
      </c>
      <c r="F27" s="15">
        <f t="shared" si="25"/>
        <v>29.91751703210069</v>
      </c>
      <c r="AB27" s="14">
        <f t="shared" si="26"/>
        <v>0</v>
      </c>
      <c r="AM27" s="14">
        <f t="shared" si="27"/>
        <v>0</v>
      </c>
      <c r="AQ27" s="14">
        <f t="shared" si="28"/>
        <v>0</v>
      </c>
      <c r="AT27" s="14">
        <f t="shared" si="29"/>
        <v>0</v>
      </c>
      <c r="AU27" s="16">
        <v>126</v>
      </c>
      <c r="AV27" s="16">
        <v>884</v>
      </c>
      <c r="AW27" s="16">
        <v>0</v>
      </c>
      <c r="AX27" s="16">
        <v>0</v>
      </c>
      <c r="AY27" s="18">
        <f t="shared" si="30"/>
        <v>6.2648074441823018</v>
      </c>
      <c r="AZ27" s="17">
        <f t="shared" si="31"/>
        <v>43.953093497279006</v>
      </c>
      <c r="BA27" s="17">
        <f t="shared" si="32"/>
        <v>0</v>
      </c>
      <c r="BB27" s="17">
        <f t="shared" si="33"/>
        <v>0</v>
      </c>
      <c r="BC27" s="17">
        <f t="shared" si="0"/>
        <v>0</v>
      </c>
      <c r="BD27" s="17">
        <f t="shared" si="1"/>
        <v>0</v>
      </c>
      <c r="BE27" s="17">
        <f t="shared" si="2"/>
        <v>0</v>
      </c>
      <c r="BF27" s="17">
        <f t="shared" si="3"/>
        <v>0</v>
      </c>
      <c r="BG27" s="17">
        <f t="shared" si="4"/>
        <v>0</v>
      </c>
      <c r="BH27" s="17">
        <f t="shared" si="5"/>
        <v>0</v>
      </c>
      <c r="BI27" s="17">
        <f t="shared" si="6"/>
        <v>0</v>
      </c>
      <c r="BJ27" s="17">
        <f t="shared" si="7"/>
        <v>0</v>
      </c>
      <c r="BK27" s="17">
        <f t="shared" si="8"/>
        <v>0</v>
      </c>
      <c r="BL27" s="17">
        <f t="shared" si="9"/>
        <v>0</v>
      </c>
      <c r="BM27" s="17">
        <f t="shared" si="10"/>
        <v>0</v>
      </c>
      <c r="BN27" s="17">
        <f t="shared" si="11"/>
        <v>0</v>
      </c>
      <c r="BO27" s="17">
        <f t="shared" si="12"/>
        <v>0</v>
      </c>
      <c r="BP27" s="17">
        <f t="shared" si="13"/>
        <v>0</v>
      </c>
      <c r="BQ27" s="17">
        <f t="shared" si="14"/>
        <v>0</v>
      </c>
      <c r="BR27" s="17">
        <f t="shared" si="15"/>
        <v>0</v>
      </c>
      <c r="BS27" s="17">
        <f t="shared" si="16"/>
        <v>0</v>
      </c>
      <c r="BT27" s="17">
        <f t="shared" si="17"/>
        <v>0</v>
      </c>
      <c r="BU27" s="17">
        <f t="shared" si="18"/>
        <v>0</v>
      </c>
      <c r="BV27" s="17">
        <f t="shared" si="19"/>
        <v>0</v>
      </c>
      <c r="BW27" s="17">
        <f t="shared" si="20"/>
        <v>0</v>
      </c>
      <c r="BX27" s="17">
        <f t="shared" si="21"/>
        <v>0</v>
      </c>
      <c r="BY27" s="17">
        <f t="shared" si="22"/>
        <v>0</v>
      </c>
      <c r="BZ27" s="17">
        <f t="shared" si="34"/>
        <v>0</v>
      </c>
      <c r="CA27" s="17">
        <f t="shared" si="35"/>
        <v>0</v>
      </c>
      <c r="CB27" s="17">
        <f t="shared" si="36"/>
        <v>0</v>
      </c>
      <c r="CC27" s="17">
        <f t="shared" si="37"/>
        <v>0</v>
      </c>
      <c r="CD27" s="17">
        <f t="shared" si="38"/>
        <v>0</v>
      </c>
      <c r="CE27" s="17">
        <f t="shared" si="23"/>
        <v>0</v>
      </c>
      <c r="CF27" s="17">
        <f t="shared" si="39"/>
        <v>0</v>
      </c>
      <c r="CG27" s="17">
        <f t="shared" si="40"/>
        <v>0</v>
      </c>
      <c r="CH27" s="17">
        <f t="shared" si="41"/>
        <v>0</v>
      </c>
      <c r="CI27" s="17">
        <f t="shared" si="42"/>
        <v>0</v>
      </c>
      <c r="CJ27" s="17">
        <f t="shared" si="43"/>
        <v>0</v>
      </c>
      <c r="CK27" s="17">
        <f t="shared" si="44"/>
        <v>0</v>
      </c>
      <c r="CL27" s="17">
        <f t="shared" si="45"/>
        <v>0</v>
      </c>
      <c r="CM27" s="14">
        <f t="shared" si="46"/>
        <v>884</v>
      </c>
      <c r="CN27" s="17">
        <f t="shared" si="47"/>
        <v>43.953093497279006</v>
      </c>
      <c r="CO27" s="14">
        <f t="shared" si="48"/>
        <v>1010</v>
      </c>
      <c r="CP27" s="17">
        <f t="shared" si="49"/>
        <v>50.217900941461309</v>
      </c>
      <c r="CQ27" s="14">
        <f t="shared" si="24"/>
        <v>1010</v>
      </c>
      <c r="CR27" s="14">
        <v>6</v>
      </c>
      <c r="CS27" s="14">
        <v>617</v>
      </c>
      <c r="CT27" s="14">
        <v>0</v>
      </c>
      <c r="CU27" s="14">
        <v>0</v>
      </c>
    </row>
    <row r="28" spans="1:99" x14ac:dyDescent="0.3">
      <c r="A28" s="14">
        <v>2016</v>
      </c>
      <c r="B28" s="14" t="s">
        <v>5</v>
      </c>
      <c r="C28" s="14" t="s">
        <v>6</v>
      </c>
      <c r="D28" s="15">
        <v>6608.2</v>
      </c>
      <c r="E28" s="15">
        <v>204632.49999999985</v>
      </c>
      <c r="F28" s="15">
        <f t="shared" si="25"/>
        <v>30.966450773281657</v>
      </c>
      <c r="AB28" s="14">
        <f t="shared" si="26"/>
        <v>0</v>
      </c>
      <c r="AM28" s="14">
        <f t="shared" si="27"/>
        <v>0</v>
      </c>
      <c r="AQ28" s="14">
        <f t="shared" si="28"/>
        <v>0</v>
      </c>
      <c r="AT28" s="14">
        <f t="shared" si="29"/>
        <v>0</v>
      </c>
      <c r="AU28" s="16">
        <v>0</v>
      </c>
      <c r="AV28" s="16">
        <v>0</v>
      </c>
      <c r="AW28" s="16">
        <v>0</v>
      </c>
      <c r="AX28" s="16">
        <v>0</v>
      </c>
      <c r="AY28" s="18">
        <f t="shared" si="30"/>
        <v>0</v>
      </c>
      <c r="AZ28" s="17">
        <f t="shared" si="31"/>
        <v>0</v>
      </c>
      <c r="BA28" s="17">
        <f t="shared" si="32"/>
        <v>0</v>
      </c>
      <c r="BB28" s="17">
        <f t="shared" si="33"/>
        <v>0</v>
      </c>
      <c r="BC28" s="17">
        <f t="shared" si="0"/>
        <v>0</v>
      </c>
      <c r="BD28" s="17">
        <f t="shared" si="1"/>
        <v>0</v>
      </c>
      <c r="BE28" s="17">
        <f t="shared" si="2"/>
        <v>0</v>
      </c>
      <c r="BF28" s="17">
        <f t="shared" si="3"/>
        <v>0</v>
      </c>
      <c r="BG28" s="17">
        <f t="shared" si="4"/>
        <v>0</v>
      </c>
      <c r="BH28" s="17">
        <f t="shared" si="5"/>
        <v>0</v>
      </c>
      <c r="BI28" s="17">
        <f t="shared" si="6"/>
        <v>0</v>
      </c>
      <c r="BJ28" s="17">
        <f t="shared" si="7"/>
        <v>0</v>
      </c>
      <c r="BK28" s="17">
        <f t="shared" si="8"/>
        <v>0</v>
      </c>
      <c r="BL28" s="17">
        <f t="shared" si="9"/>
        <v>0</v>
      </c>
      <c r="BM28" s="17">
        <f t="shared" si="10"/>
        <v>0</v>
      </c>
      <c r="BN28" s="17">
        <f t="shared" si="11"/>
        <v>0</v>
      </c>
      <c r="BO28" s="17">
        <f t="shared" si="12"/>
        <v>0</v>
      </c>
      <c r="BP28" s="17">
        <f t="shared" si="13"/>
        <v>0</v>
      </c>
      <c r="BQ28" s="17">
        <f t="shared" si="14"/>
        <v>0</v>
      </c>
      <c r="BR28" s="17">
        <f t="shared" si="15"/>
        <v>0</v>
      </c>
      <c r="BS28" s="17">
        <f t="shared" si="16"/>
        <v>0</v>
      </c>
      <c r="BT28" s="17">
        <f t="shared" si="17"/>
        <v>0</v>
      </c>
      <c r="BU28" s="17">
        <f t="shared" si="18"/>
        <v>0</v>
      </c>
      <c r="BV28" s="17">
        <f t="shared" si="19"/>
        <v>0</v>
      </c>
      <c r="BW28" s="17">
        <f t="shared" si="20"/>
        <v>0</v>
      </c>
      <c r="BX28" s="17">
        <f t="shared" si="21"/>
        <v>0</v>
      </c>
      <c r="BY28" s="17">
        <f t="shared" si="22"/>
        <v>0</v>
      </c>
      <c r="BZ28" s="17">
        <f t="shared" si="34"/>
        <v>0</v>
      </c>
      <c r="CA28" s="17">
        <f t="shared" si="35"/>
        <v>0</v>
      </c>
      <c r="CB28" s="17">
        <f t="shared" si="36"/>
        <v>0</v>
      </c>
      <c r="CC28" s="17">
        <f t="shared" si="37"/>
        <v>0</v>
      </c>
      <c r="CD28" s="17">
        <f t="shared" si="38"/>
        <v>0</v>
      </c>
      <c r="CE28" s="17">
        <f t="shared" si="23"/>
        <v>0</v>
      </c>
      <c r="CF28" s="17">
        <f t="shared" si="39"/>
        <v>0</v>
      </c>
      <c r="CG28" s="17">
        <f t="shared" si="40"/>
        <v>0</v>
      </c>
      <c r="CH28" s="17">
        <f t="shared" si="41"/>
        <v>0</v>
      </c>
      <c r="CI28" s="17">
        <f t="shared" si="42"/>
        <v>0</v>
      </c>
      <c r="CJ28" s="17">
        <f t="shared" si="43"/>
        <v>0</v>
      </c>
      <c r="CK28" s="17">
        <f t="shared" si="44"/>
        <v>0</v>
      </c>
      <c r="CL28" s="17">
        <f t="shared" si="45"/>
        <v>0</v>
      </c>
      <c r="CM28" s="14">
        <f t="shared" si="46"/>
        <v>0</v>
      </c>
      <c r="CN28" s="17">
        <f t="shared" si="47"/>
        <v>0</v>
      </c>
      <c r="CO28" s="14">
        <f t="shared" si="48"/>
        <v>0</v>
      </c>
      <c r="CP28" s="17">
        <f t="shared" si="49"/>
        <v>0</v>
      </c>
      <c r="CQ28" s="14">
        <f t="shared" si="24"/>
        <v>0</v>
      </c>
      <c r="CR28" s="14">
        <v>225</v>
      </c>
      <c r="CS28" s="14">
        <v>27</v>
      </c>
      <c r="CT28" s="14">
        <v>0</v>
      </c>
      <c r="CU28" s="14">
        <v>0</v>
      </c>
    </row>
    <row r="29" spans="1:99" x14ac:dyDescent="0.3">
      <c r="A29" s="14">
        <v>2017</v>
      </c>
      <c r="B29" s="14" t="s">
        <v>5</v>
      </c>
      <c r="C29" s="14" t="s">
        <v>6</v>
      </c>
      <c r="D29" s="15">
        <v>6489.7</v>
      </c>
      <c r="E29" s="15">
        <v>208036.50000000012</v>
      </c>
      <c r="F29" s="15">
        <f t="shared" si="25"/>
        <v>32.056412468989343</v>
      </c>
      <c r="AB29" s="14">
        <f t="shared" si="26"/>
        <v>0</v>
      </c>
      <c r="AM29" s="14">
        <f t="shared" si="27"/>
        <v>0</v>
      </c>
      <c r="AQ29" s="14">
        <f t="shared" si="28"/>
        <v>0</v>
      </c>
      <c r="AT29" s="14">
        <f t="shared" si="29"/>
        <v>0</v>
      </c>
      <c r="AU29" s="16">
        <v>0</v>
      </c>
      <c r="AV29" s="16">
        <v>0</v>
      </c>
      <c r="AW29" s="16">
        <v>0</v>
      </c>
      <c r="AX29" s="16">
        <v>0</v>
      </c>
      <c r="AY29" s="18">
        <f t="shared" si="30"/>
        <v>0</v>
      </c>
      <c r="AZ29" s="17">
        <f t="shared" si="31"/>
        <v>0</v>
      </c>
      <c r="BA29" s="17">
        <f t="shared" si="32"/>
        <v>0</v>
      </c>
      <c r="BB29" s="17">
        <f t="shared" si="33"/>
        <v>0</v>
      </c>
      <c r="BC29" s="17">
        <f t="shared" si="0"/>
        <v>0</v>
      </c>
      <c r="BD29" s="17">
        <f t="shared" si="1"/>
        <v>0</v>
      </c>
      <c r="BE29" s="17">
        <f t="shared" si="2"/>
        <v>0</v>
      </c>
      <c r="BF29" s="17">
        <f t="shared" si="3"/>
        <v>0</v>
      </c>
      <c r="BG29" s="17">
        <f t="shared" si="4"/>
        <v>0</v>
      </c>
      <c r="BH29" s="17">
        <f t="shared" si="5"/>
        <v>0</v>
      </c>
      <c r="BI29" s="17">
        <f t="shared" si="6"/>
        <v>0</v>
      </c>
      <c r="BJ29" s="17">
        <f t="shared" si="7"/>
        <v>0</v>
      </c>
      <c r="BK29" s="17">
        <f t="shared" si="8"/>
        <v>0</v>
      </c>
      <c r="BL29" s="17">
        <f t="shared" si="9"/>
        <v>0</v>
      </c>
      <c r="BM29" s="17">
        <f t="shared" si="10"/>
        <v>0</v>
      </c>
      <c r="BN29" s="17">
        <f t="shared" si="11"/>
        <v>0</v>
      </c>
      <c r="BO29" s="17">
        <f t="shared" si="12"/>
        <v>0</v>
      </c>
      <c r="BP29" s="17">
        <f t="shared" si="13"/>
        <v>0</v>
      </c>
      <c r="BQ29" s="17">
        <f t="shared" si="14"/>
        <v>0</v>
      </c>
      <c r="BR29" s="17">
        <f t="shared" si="15"/>
        <v>0</v>
      </c>
      <c r="BS29" s="17">
        <f t="shared" si="16"/>
        <v>0</v>
      </c>
      <c r="BT29" s="17">
        <f t="shared" si="17"/>
        <v>0</v>
      </c>
      <c r="BU29" s="17">
        <f t="shared" si="18"/>
        <v>0</v>
      </c>
      <c r="BV29" s="17">
        <f t="shared" si="19"/>
        <v>0</v>
      </c>
      <c r="BW29" s="17">
        <f t="shared" si="20"/>
        <v>0</v>
      </c>
      <c r="BX29" s="17">
        <f t="shared" si="21"/>
        <v>0</v>
      </c>
      <c r="BY29" s="17">
        <f t="shared" si="22"/>
        <v>0</v>
      </c>
      <c r="BZ29" s="17">
        <f t="shared" si="34"/>
        <v>0</v>
      </c>
      <c r="CA29" s="17">
        <f t="shared" si="35"/>
        <v>0</v>
      </c>
      <c r="CB29" s="17">
        <f t="shared" si="36"/>
        <v>0</v>
      </c>
      <c r="CC29" s="17">
        <f t="shared" si="37"/>
        <v>0</v>
      </c>
      <c r="CD29" s="17">
        <f t="shared" si="38"/>
        <v>0</v>
      </c>
      <c r="CE29" s="17">
        <f t="shared" si="23"/>
        <v>0</v>
      </c>
      <c r="CF29" s="17">
        <f t="shared" si="39"/>
        <v>0</v>
      </c>
      <c r="CG29" s="17">
        <f t="shared" si="40"/>
        <v>0</v>
      </c>
      <c r="CH29" s="17">
        <f t="shared" si="41"/>
        <v>0</v>
      </c>
      <c r="CI29" s="17">
        <f t="shared" si="42"/>
        <v>0</v>
      </c>
      <c r="CJ29" s="17">
        <f t="shared" si="43"/>
        <v>0</v>
      </c>
      <c r="CK29" s="17">
        <f t="shared" si="44"/>
        <v>0</v>
      </c>
      <c r="CL29" s="17">
        <f t="shared" si="45"/>
        <v>0</v>
      </c>
      <c r="CM29" s="14">
        <f t="shared" si="46"/>
        <v>0</v>
      </c>
      <c r="CN29" s="17">
        <f t="shared" si="47"/>
        <v>0</v>
      </c>
      <c r="CO29" s="14">
        <f t="shared" si="48"/>
        <v>0</v>
      </c>
      <c r="CP29" s="17">
        <f t="shared" si="49"/>
        <v>0</v>
      </c>
      <c r="CQ29" s="14">
        <f t="shared" si="24"/>
        <v>0</v>
      </c>
      <c r="CR29" s="14">
        <v>264</v>
      </c>
      <c r="CS29" s="14">
        <v>821</v>
      </c>
      <c r="CT29" s="14">
        <v>61</v>
      </c>
      <c r="CU29" s="14">
        <v>548</v>
      </c>
    </row>
    <row r="30" spans="1:99" x14ac:dyDescent="0.3">
      <c r="A30" s="14">
        <v>2018</v>
      </c>
      <c r="B30" s="14" t="s">
        <v>5</v>
      </c>
      <c r="C30" s="14" t="s">
        <v>6</v>
      </c>
      <c r="D30" s="15">
        <v>6389.2</v>
      </c>
      <c r="E30" s="15">
        <v>211344</v>
      </c>
      <c r="F30" s="15">
        <f t="shared" si="25"/>
        <v>33.078319664433735</v>
      </c>
      <c r="AB30" s="14">
        <f t="shared" si="26"/>
        <v>0</v>
      </c>
      <c r="AM30" s="14">
        <f t="shared" si="27"/>
        <v>0</v>
      </c>
      <c r="AQ30" s="14">
        <f t="shared" si="28"/>
        <v>0</v>
      </c>
      <c r="AT30" s="14">
        <f t="shared" si="29"/>
        <v>0</v>
      </c>
      <c r="AU30" s="16">
        <v>0</v>
      </c>
      <c r="AV30" s="16">
        <v>812</v>
      </c>
      <c r="AW30" s="16">
        <v>0</v>
      </c>
      <c r="AX30" s="16">
        <v>0</v>
      </c>
      <c r="AY30" s="18">
        <f t="shared" si="30"/>
        <v>0</v>
      </c>
      <c r="AZ30" s="17">
        <f t="shared" si="31"/>
        <v>38.420773714891361</v>
      </c>
      <c r="BA30" s="17">
        <f t="shared" si="32"/>
        <v>0</v>
      </c>
      <c r="BB30" s="17">
        <f t="shared" si="33"/>
        <v>0</v>
      </c>
      <c r="BC30" s="17">
        <f t="shared" si="0"/>
        <v>0</v>
      </c>
      <c r="BD30" s="17">
        <f t="shared" si="1"/>
        <v>0</v>
      </c>
      <c r="BE30" s="17">
        <f t="shared" si="2"/>
        <v>0</v>
      </c>
      <c r="BF30" s="17">
        <f t="shared" si="3"/>
        <v>0</v>
      </c>
      <c r="BG30" s="17">
        <f t="shared" si="4"/>
        <v>0</v>
      </c>
      <c r="BH30" s="17">
        <f t="shared" si="5"/>
        <v>0</v>
      </c>
      <c r="BI30" s="17">
        <f t="shared" si="6"/>
        <v>0</v>
      </c>
      <c r="BJ30" s="17">
        <f t="shared" si="7"/>
        <v>0</v>
      </c>
      <c r="BK30" s="17">
        <f t="shared" si="8"/>
        <v>0</v>
      </c>
      <c r="BL30" s="17">
        <f t="shared" si="9"/>
        <v>0</v>
      </c>
      <c r="BM30" s="17">
        <f t="shared" si="10"/>
        <v>0</v>
      </c>
      <c r="BN30" s="17">
        <f t="shared" si="11"/>
        <v>0</v>
      </c>
      <c r="BO30" s="17">
        <f t="shared" si="12"/>
        <v>0</v>
      </c>
      <c r="BP30" s="17">
        <f t="shared" si="13"/>
        <v>0</v>
      </c>
      <c r="BQ30" s="17">
        <f t="shared" si="14"/>
        <v>0</v>
      </c>
      <c r="BR30" s="17">
        <f t="shared" si="15"/>
        <v>0</v>
      </c>
      <c r="BS30" s="17">
        <f t="shared" si="16"/>
        <v>0</v>
      </c>
      <c r="BT30" s="17">
        <f t="shared" si="17"/>
        <v>0</v>
      </c>
      <c r="BU30" s="17">
        <f t="shared" si="18"/>
        <v>0</v>
      </c>
      <c r="BV30" s="17">
        <f t="shared" si="19"/>
        <v>0</v>
      </c>
      <c r="BW30" s="17">
        <f t="shared" si="20"/>
        <v>0</v>
      </c>
      <c r="BX30" s="17">
        <f t="shared" si="21"/>
        <v>0</v>
      </c>
      <c r="BY30" s="17">
        <f t="shared" si="22"/>
        <v>0</v>
      </c>
      <c r="BZ30" s="17">
        <f t="shared" si="34"/>
        <v>0</v>
      </c>
      <c r="CA30" s="17">
        <f t="shared" si="35"/>
        <v>0</v>
      </c>
      <c r="CB30" s="17">
        <f t="shared" si="36"/>
        <v>0</v>
      </c>
      <c r="CC30" s="17">
        <f t="shared" si="37"/>
        <v>0</v>
      </c>
      <c r="CD30" s="17">
        <f t="shared" si="38"/>
        <v>0</v>
      </c>
      <c r="CE30" s="17">
        <f t="shared" si="23"/>
        <v>0</v>
      </c>
      <c r="CF30" s="17">
        <f t="shared" si="39"/>
        <v>0</v>
      </c>
      <c r="CG30" s="17">
        <f t="shared" si="40"/>
        <v>0</v>
      </c>
      <c r="CH30" s="17">
        <f t="shared" si="41"/>
        <v>0</v>
      </c>
      <c r="CI30" s="17">
        <f t="shared" si="42"/>
        <v>0</v>
      </c>
      <c r="CJ30" s="17">
        <f t="shared" si="43"/>
        <v>0</v>
      </c>
      <c r="CK30" s="17">
        <f t="shared" si="44"/>
        <v>0</v>
      </c>
      <c r="CL30" s="17">
        <f t="shared" si="45"/>
        <v>0</v>
      </c>
      <c r="CM30" s="14">
        <f t="shared" si="46"/>
        <v>812</v>
      </c>
      <c r="CN30" s="17">
        <f t="shared" si="47"/>
        <v>38.420773714891361</v>
      </c>
      <c r="CO30" s="14">
        <f t="shared" si="48"/>
        <v>812</v>
      </c>
      <c r="CP30" s="17">
        <f t="shared" si="49"/>
        <v>38.420773714891361</v>
      </c>
      <c r="CQ30" s="14">
        <f t="shared" si="24"/>
        <v>812</v>
      </c>
      <c r="CR30" s="14">
        <v>0</v>
      </c>
      <c r="CS30" s="14">
        <v>1721</v>
      </c>
      <c r="CT30" s="14">
        <v>0</v>
      </c>
      <c r="CU30" s="14">
        <v>0</v>
      </c>
    </row>
    <row r="31" spans="1:99" x14ac:dyDescent="0.3">
      <c r="A31" s="14">
        <v>2019</v>
      </c>
      <c r="B31" s="14" t="s">
        <v>5</v>
      </c>
      <c r="C31" s="14" t="s">
        <v>6</v>
      </c>
      <c r="D31" s="15">
        <v>6338.5</v>
      </c>
      <c r="E31" s="15">
        <v>214599.00000000006</v>
      </c>
      <c r="F31" s="15">
        <f t="shared" si="25"/>
        <v>33.856432909994489</v>
      </c>
      <c r="G31" s="14">
        <v>6</v>
      </c>
      <c r="H31" s="14">
        <v>37</v>
      </c>
      <c r="AB31" s="14">
        <f t="shared" si="26"/>
        <v>0</v>
      </c>
      <c r="AM31" s="14">
        <f t="shared" si="27"/>
        <v>0</v>
      </c>
      <c r="AQ31" s="14">
        <f t="shared" si="28"/>
        <v>0</v>
      </c>
      <c r="AT31" s="14">
        <f t="shared" si="29"/>
        <v>0</v>
      </c>
      <c r="AU31" s="16">
        <v>213</v>
      </c>
      <c r="AV31" s="16">
        <v>880</v>
      </c>
      <c r="AW31" s="16">
        <v>44</v>
      </c>
      <c r="AX31" s="16">
        <v>0</v>
      </c>
      <c r="AY31" s="18">
        <f t="shared" si="30"/>
        <v>9.9254889351767694</v>
      </c>
      <c r="AZ31" s="17">
        <f t="shared" si="31"/>
        <v>41.006714849556602</v>
      </c>
      <c r="BA31" s="17">
        <f t="shared" si="32"/>
        <v>2.0503357424778303</v>
      </c>
      <c r="BB31" s="17">
        <f t="shared" si="33"/>
        <v>0</v>
      </c>
      <c r="BC31" s="17">
        <f t="shared" si="0"/>
        <v>0.27959123761061322</v>
      </c>
      <c r="BD31" s="17">
        <f t="shared" si="1"/>
        <v>1.7241459652654481</v>
      </c>
      <c r="BE31" s="17">
        <f t="shared" si="2"/>
        <v>0</v>
      </c>
      <c r="BF31" s="17">
        <f t="shared" si="3"/>
        <v>0</v>
      </c>
      <c r="BG31" s="17">
        <f t="shared" si="4"/>
        <v>0</v>
      </c>
      <c r="BH31" s="17">
        <f t="shared" si="5"/>
        <v>0</v>
      </c>
      <c r="BI31" s="17">
        <f t="shared" si="6"/>
        <v>0</v>
      </c>
      <c r="BJ31" s="17">
        <f t="shared" si="7"/>
        <v>0</v>
      </c>
      <c r="BK31" s="17">
        <f t="shared" si="8"/>
        <v>0</v>
      </c>
      <c r="BL31" s="17">
        <f t="shared" si="9"/>
        <v>0</v>
      </c>
      <c r="BM31" s="17">
        <f t="shared" si="10"/>
        <v>0</v>
      </c>
      <c r="BN31" s="17">
        <f t="shared" si="11"/>
        <v>0</v>
      </c>
      <c r="BO31" s="17">
        <f t="shared" si="12"/>
        <v>0</v>
      </c>
      <c r="BP31" s="17">
        <f t="shared" si="13"/>
        <v>0</v>
      </c>
      <c r="BQ31" s="17">
        <f t="shared" si="14"/>
        <v>0</v>
      </c>
      <c r="BR31" s="17">
        <f t="shared" si="15"/>
        <v>0</v>
      </c>
      <c r="BS31" s="17">
        <f t="shared" si="16"/>
        <v>0</v>
      </c>
      <c r="BT31" s="17">
        <f t="shared" si="17"/>
        <v>0</v>
      </c>
      <c r="BU31" s="17">
        <f t="shared" si="18"/>
        <v>0</v>
      </c>
      <c r="BV31" s="17">
        <f t="shared" si="19"/>
        <v>0</v>
      </c>
      <c r="BW31" s="17">
        <f t="shared" si="20"/>
        <v>0</v>
      </c>
      <c r="BX31" s="17">
        <f t="shared" si="21"/>
        <v>0</v>
      </c>
      <c r="BY31" s="17">
        <f t="shared" si="22"/>
        <v>0</v>
      </c>
      <c r="BZ31" s="17">
        <f t="shared" si="34"/>
        <v>0</v>
      </c>
      <c r="CA31" s="17">
        <f t="shared" si="35"/>
        <v>0</v>
      </c>
      <c r="CB31" s="17">
        <f t="shared" si="36"/>
        <v>0</v>
      </c>
      <c r="CC31" s="17">
        <f t="shared" si="37"/>
        <v>0</v>
      </c>
      <c r="CD31" s="17">
        <f t="shared" si="38"/>
        <v>0</v>
      </c>
      <c r="CE31" s="17">
        <f t="shared" si="23"/>
        <v>0</v>
      </c>
      <c r="CF31" s="17">
        <f t="shared" si="39"/>
        <v>0</v>
      </c>
      <c r="CG31" s="17">
        <f t="shared" si="40"/>
        <v>0</v>
      </c>
      <c r="CH31" s="17">
        <f t="shared" si="41"/>
        <v>0</v>
      </c>
      <c r="CI31" s="17">
        <f t="shared" si="42"/>
        <v>0</v>
      </c>
      <c r="CJ31" s="17">
        <f t="shared" si="43"/>
        <v>0</v>
      </c>
      <c r="CK31" s="17">
        <f t="shared" si="44"/>
        <v>0</v>
      </c>
      <c r="CL31" s="17">
        <f t="shared" si="45"/>
        <v>0</v>
      </c>
      <c r="CM31" s="14">
        <f t="shared" si="46"/>
        <v>924</v>
      </c>
      <c r="CN31" s="17">
        <f t="shared" si="47"/>
        <v>43.057050592034436</v>
      </c>
      <c r="CO31" s="14">
        <f t="shared" si="48"/>
        <v>1137</v>
      </c>
      <c r="CP31" s="17">
        <f t="shared" si="49"/>
        <v>52.982539527211202</v>
      </c>
      <c r="CQ31" s="14">
        <f t="shared" si="24"/>
        <v>1180</v>
      </c>
      <c r="CR31" s="14">
        <v>78</v>
      </c>
      <c r="CS31" s="14">
        <v>349</v>
      </c>
      <c r="CT31" s="14">
        <v>14</v>
      </c>
      <c r="CU31" s="14">
        <v>26</v>
      </c>
    </row>
    <row r="32" spans="1:99" x14ac:dyDescent="0.3">
      <c r="A32" s="14">
        <v>2020</v>
      </c>
      <c r="B32" s="14" t="s">
        <v>5</v>
      </c>
      <c r="C32" s="14" t="s">
        <v>6</v>
      </c>
      <c r="D32" s="15">
        <v>6343.5</v>
      </c>
      <c r="E32" s="15">
        <v>218640.99999999997</v>
      </c>
      <c r="F32" s="15">
        <f t="shared" si="25"/>
        <v>34.466934657523446</v>
      </c>
      <c r="AB32" s="14">
        <f t="shared" si="26"/>
        <v>0</v>
      </c>
      <c r="AM32" s="14">
        <f t="shared" si="27"/>
        <v>0</v>
      </c>
      <c r="AQ32" s="14">
        <f t="shared" si="28"/>
        <v>0</v>
      </c>
      <c r="AT32" s="14">
        <f t="shared" si="29"/>
        <v>0</v>
      </c>
      <c r="AU32" s="16">
        <v>0</v>
      </c>
      <c r="AV32" s="16">
        <v>0</v>
      </c>
      <c r="AW32" s="16">
        <v>0</v>
      </c>
      <c r="AX32" s="16">
        <v>0</v>
      </c>
      <c r="AY32" s="18">
        <f t="shared" si="30"/>
        <v>0</v>
      </c>
      <c r="AZ32" s="17">
        <f t="shared" si="31"/>
        <v>0</v>
      </c>
      <c r="BA32" s="17">
        <f t="shared" si="32"/>
        <v>0</v>
      </c>
      <c r="BB32" s="17">
        <f t="shared" si="33"/>
        <v>0</v>
      </c>
      <c r="BC32" s="17">
        <f t="shared" si="0"/>
        <v>0</v>
      </c>
      <c r="BD32" s="17">
        <f t="shared" si="1"/>
        <v>0</v>
      </c>
      <c r="BE32" s="17">
        <f t="shared" si="2"/>
        <v>0</v>
      </c>
      <c r="BF32" s="17">
        <f t="shared" si="3"/>
        <v>0</v>
      </c>
      <c r="BG32" s="17">
        <f t="shared" si="4"/>
        <v>0</v>
      </c>
      <c r="BH32" s="17">
        <f t="shared" si="5"/>
        <v>0</v>
      </c>
      <c r="BI32" s="17">
        <f t="shared" si="6"/>
        <v>0</v>
      </c>
      <c r="BJ32" s="17">
        <f t="shared" si="7"/>
        <v>0</v>
      </c>
      <c r="BK32" s="17">
        <f t="shared" si="8"/>
        <v>0</v>
      </c>
      <c r="BL32" s="17">
        <f t="shared" si="9"/>
        <v>0</v>
      </c>
      <c r="BM32" s="17">
        <f t="shared" si="10"/>
        <v>0</v>
      </c>
      <c r="BN32" s="17">
        <f t="shared" si="11"/>
        <v>0</v>
      </c>
      <c r="BO32" s="17">
        <f t="shared" si="12"/>
        <v>0</v>
      </c>
      <c r="BP32" s="17">
        <f t="shared" si="13"/>
        <v>0</v>
      </c>
      <c r="BQ32" s="17">
        <f t="shared" si="14"/>
        <v>0</v>
      </c>
      <c r="BR32" s="17">
        <f t="shared" si="15"/>
        <v>0</v>
      </c>
      <c r="BS32" s="17">
        <f t="shared" si="16"/>
        <v>0</v>
      </c>
      <c r="BT32" s="17">
        <f t="shared" si="17"/>
        <v>0</v>
      </c>
      <c r="BU32" s="17">
        <f t="shared" si="18"/>
        <v>0</v>
      </c>
      <c r="BV32" s="17">
        <f t="shared" si="19"/>
        <v>0</v>
      </c>
      <c r="BW32" s="17">
        <f t="shared" si="20"/>
        <v>0</v>
      </c>
      <c r="BX32" s="17">
        <f t="shared" si="21"/>
        <v>0</v>
      </c>
      <c r="BY32" s="17">
        <f t="shared" si="22"/>
        <v>0</v>
      </c>
      <c r="BZ32" s="17">
        <f t="shared" si="34"/>
        <v>0</v>
      </c>
      <c r="CA32" s="17">
        <f t="shared" si="35"/>
        <v>0</v>
      </c>
      <c r="CB32" s="17">
        <f t="shared" si="36"/>
        <v>0</v>
      </c>
      <c r="CC32" s="17">
        <f t="shared" si="37"/>
        <v>0</v>
      </c>
      <c r="CD32" s="17">
        <f t="shared" si="38"/>
        <v>0</v>
      </c>
      <c r="CE32" s="17">
        <f t="shared" si="23"/>
        <v>0</v>
      </c>
      <c r="CF32" s="17">
        <f t="shared" si="39"/>
        <v>0</v>
      </c>
      <c r="CG32" s="17">
        <f t="shared" si="40"/>
        <v>0</v>
      </c>
      <c r="CH32" s="17">
        <f t="shared" si="41"/>
        <v>0</v>
      </c>
      <c r="CI32" s="17">
        <f t="shared" si="42"/>
        <v>0</v>
      </c>
      <c r="CJ32" s="17">
        <f t="shared" si="43"/>
        <v>0</v>
      </c>
      <c r="CK32" s="17">
        <f t="shared" si="44"/>
        <v>0</v>
      </c>
      <c r="CL32" s="17">
        <f t="shared" si="45"/>
        <v>0</v>
      </c>
      <c r="CM32" s="14">
        <f t="shared" si="46"/>
        <v>0</v>
      </c>
      <c r="CN32" s="17">
        <f t="shared" si="47"/>
        <v>0</v>
      </c>
      <c r="CO32" s="14">
        <f t="shared" si="48"/>
        <v>0</v>
      </c>
      <c r="CP32" s="17">
        <f t="shared" si="49"/>
        <v>0</v>
      </c>
      <c r="CQ32" s="14">
        <f t="shared" si="24"/>
        <v>0</v>
      </c>
      <c r="CR32" s="14">
        <v>689</v>
      </c>
      <c r="CS32" s="14">
        <v>3797</v>
      </c>
      <c r="CT32" s="14">
        <v>1344</v>
      </c>
      <c r="CU32" s="14">
        <v>0</v>
      </c>
    </row>
    <row r="33" spans="1:99" x14ac:dyDescent="0.3">
      <c r="A33" s="14">
        <v>2021</v>
      </c>
      <c r="B33" s="14" t="s">
        <v>5</v>
      </c>
      <c r="C33" s="14" t="s">
        <v>6</v>
      </c>
      <c r="D33" s="15">
        <v>6406.9</v>
      </c>
      <c r="E33" s="15">
        <v>223107.49999999991</v>
      </c>
      <c r="F33" s="15">
        <f t="shared" si="25"/>
        <v>34.823003324540721</v>
      </c>
      <c r="AB33" s="14">
        <f t="shared" si="26"/>
        <v>0</v>
      </c>
      <c r="AM33" s="14">
        <f t="shared" si="27"/>
        <v>0</v>
      </c>
      <c r="AQ33" s="14">
        <f t="shared" si="28"/>
        <v>0</v>
      </c>
      <c r="AT33" s="14">
        <f t="shared" si="29"/>
        <v>0</v>
      </c>
      <c r="AU33" s="16">
        <v>0</v>
      </c>
      <c r="AV33" s="16">
        <v>0</v>
      </c>
      <c r="AW33" s="16">
        <v>0</v>
      </c>
      <c r="AX33" s="16">
        <v>0</v>
      </c>
      <c r="AY33" s="18">
        <f t="shared" si="30"/>
        <v>0</v>
      </c>
      <c r="AZ33" s="17">
        <f t="shared" si="31"/>
        <v>0</v>
      </c>
      <c r="BA33" s="17">
        <f t="shared" si="32"/>
        <v>0</v>
      </c>
      <c r="BB33" s="17">
        <f t="shared" si="33"/>
        <v>0</v>
      </c>
      <c r="BC33" s="17">
        <f t="shared" si="0"/>
        <v>0</v>
      </c>
      <c r="BD33" s="17">
        <f t="shared" si="1"/>
        <v>0</v>
      </c>
      <c r="BE33" s="17">
        <f t="shared" si="2"/>
        <v>0</v>
      </c>
      <c r="BF33" s="17">
        <f t="shared" si="3"/>
        <v>0</v>
      </c>
      <c r="BG33" s="17">
        <f t="shared" si="4"/>
        <v>0</v>
      </c>
      <c r="BH33" s="17">
        <f t="shared" si="5"/>
        <v>0</v>
      </c>
      <c r="BI33" s="17">
        <f t="shared" si="6"/>
        <v>0</v>
      </c>
      <c r="BJ33" s="17">
        <f t="shared" si="7"/>
        <v>0</v>
      </c>
      <c r="BK33" s="17">
        <f t="shared" si="8"/>
        <v>0</v>
      </c>
      <c r="BL33" s="17">
        <f t="shared" si="9"/>
        <v>0</v>
      </c>
      <c r="BM33" s="17">
        <f t="shared" si="10"/>
        <v>0</v>
      </c>
      <c r="BN33" s="17">
        <f t="shared" si="11"/>
        <v>0</v>
      </c>
      <c r="BO33" s="17">
        <f t="shared" si="12"/>
        <v>0</v>
      </c>
      <c r="BP33" s="17">
        <f t="shared" si="13"/>
        <v>0</v>
      </c>
      <c r="BQ33" s="17">
        <f t="shared" si="14"/>
        <v>0</v>
      </c>
      <c r="BR33" s="17">
        <f t="shared" si="15"/>
        <v>0</v>
      </c>
      <c r="BS33" s="17">
        <f t="shared" si="16"/>
        <v>0</v>
      </c>
      <c r="BT33" s="17">
        <f t="shared" si="17"/>
        <v>0</v>
      </c>
      <c r="BU33" s="17">
        <f t="shared" si="18"/>
        <v>0</v>
      </c>
      <c r="BV33" s="17">
        <f t="shared" si="19"/>
        <v>0</v>
      </c>
      <c r="BW33" s="17">
        <f t="shared" si="20"/>
        <v>0</v>
      </c>
      <c r="BX33" s="17">
        <f t="shared" si="21"/>
        <v>0</v>
      </c>
      <c r="BY33" s="17">
        <f t="shared" si="22"/>
        <v>0</v>
      </c>
      <c r="BZ33" s="17">
        <f t="shared" si="34"/>
        <v>0</v>
      </c>
      <c r="CA33" s="17">
        <f t="shared" si="35"/>
        <v>0</v>
      </c>
      <c r="CB33" s="17">
        <f t="shared" si="36"/>
        <v>0</v>
      </c>
      <c r="CC33" s="17">
        <f t="shared" si="37"/>
        <v>0</v>
      </c>
      <c r="CD33" s="17">
        <f t="shared" si="38"/>
        <v>0</v>
      </c>
      <c r="CE33" s="17">
        <f t="shared" si="23"/>
        <v>0</v>
      </c>
      <c r="CF33" s="17">
        <f t="shared" si="39"/>
        <v>0</v>
      </c>
      <c r="CG33" s="17">
        <f t="shared" si="40"/>
        <v>0</v>
      </c>
      <c r="CH33" s="17">
        <f t="shared" si="41"/>
        <v>0</v>
      </c>
      <c r="CI33" s="17">
        <f t="shared" si="42"/>
        <v>0</v>
      </c>
      <c r="CJ33" s="17">
        <f t="shared" si="43"/>
        <v>0</v>
      </c>
      <c r="CK33" s="17">
        <f t="shared" si="44"/>
        <v>0</v>
      </c>
      <c r="CL33" s="17">
        <f t="shared" si="45"/>
        <v>0</v>
      </c>
      <c r="CM33" s="14">
        <f t="shared" si="46"/>
        <v>0</v>
      </c>
      <c r="CN33" s="17">
        <f t="shared" si="47"/>
        <v>0</v>
      </c>
      <c r="CO33" s="14">
        <f t="shared" si="48"/>
        <v>0</v>
      </c>
      <c r="CP33" s="17">
        <f t="shared" si="49"/>
        <v>0</v>
      </c>
      <c r="CQ33" s="14">
        <f t="shared" si="24"/>
        <v>0</v>
      </c>
      <c r="CR33" s="14">
        <v>256</v>
      </c>
      <c r="CS33" s="14">
        <v>1057</v>
      </c>
      <c r="CT33" s="14">
        <v>44</v>
      </c>
      <c r="CU33" s="14">
        <v>245</v>
      </c>
    </row>
    <row r="34" spans="1:99" x14ac:dyDescent="0.3">
      <c r="A34" s="14">
        <v>2022</v>
      </c>
      <c r="B34" s="14" t="s">
        <v>5</v>
      </c>
      <c r="C34" s="14" t="s">
        <v>6</v>
      </c>
      <c r="D34" s="15">
        <v>6481.1</v>
      </c>
      <c r="E34" s="15">
        <v>227379.5</v>
      </c>
      <c r="F34" s="15">
        <f t="shared" si="25"/>
        <v>35.083473484439367</v>
      </c>
      <c r="AB34" s="14">
        <f t="shared" si="26"/>
        <v>0</v>
      </c>
      <c r="AM34" s="14">
        <f t="shared" si="27"/>
        <v>0</v>
      </c>
      <c r="AQ34" s="14">
        <f t="shared" si="28"/>
        <v>0</v>
      </c>
      <c r="AT34" s="14">
        <f t="shared" si="29"/>
        <v>0</v>
      </c>
      <c r="AU34" s="16">
        <v>0</v>
      </c>
      <c r="AV34" s="16">
        <v>0</v>
      </c>
      <c r="AW34" s="16">
        <v>0</v>
      </c>
      <c r="AX34" s="16">
        <v>0</v>
      </c>
      <c r="AY34" s="18">
        <f t="shared" si="30"/>
        <v>0</v>
      </c>
      <c r="AZ34" s="17">
        <f t="shared" si="31"/>
        <v>0</v>
      </c>
      <c r="BA34" s="17">
        <f t="shared" si="32"/>
        <v>0</v>
      </c>
      <c r="BB34" s="17">
        <f t="shared" si="33"/>
        <v>0</v>
      </c>
      <c r="BC34" s="17">
        <f t="shared" si="0"/>
        <v>0</v>
      </c>
      <c r="BD34" s="17">
        <f t="shared" si="1"/>
        <v>0</v>
      </c>
      <c r="BE34" s="17">
        <f t="shared" si="2"/>
        <v>0</v>
      </c>
      <c r="BF34" s="17">
        <f t="shared" si="3"/>
        <v>0</v>
      </c>
      <c r="BG34" s="17">
        <f t="shared" si="4"/>
        <v>0</v>
      </c>
      <c r="BH34" s="17">
        <f t="shared" si="5"/>
        <v>0</v>
      </c>
      <c r="BI34" s="17">
        <f t="shared" si="6"/>
        <v>0</v>
      </c>
      <c r="BJ34" s="17">
        <f t="shared" si="7"/>
        <v>0</v>
      </c>
      <c r="BK34" s="17">
        <f t="shared" si="8"/>
        <v>0</v>
      </c>
      <c r="BL34" s="17">
        <f t="shared" si="9"/>
        <v>0</v>
      </c>
      <c r="BM34" s="17">
        <f t="shared" si="10"/>
        <v>0</v>
      </c>
      <c r="BN34" s="17">
        <f t="shared" si="11"/>
        <v>0</v>
      </c>
      <c r="BO34" s="17">
        <f t="shared" si="12"/>
        <v>0</v>
      </c>
      <c r="BP34" s="17">
        <f t="shared" si="13"/>
        <v>0</v>
      </c>
      <c r="BQ34" s="17">
        <f t="shared" si="14"/>
        <v>0</v>
      </c>
      <c r="BR34" s="17">
        <f t="shared" si="15"/>
        <v>0</v>
      </c>
      <c r="BS34" s="17">
        <f t="shared" si="16"/>
        <v>0</v>
      </c>
      <c r="BT34" s="17">
        <f t="shared" si="17"/>
        <v>0</v>
      </c>
      <c r="BU34" s="17">
        <f t="shared" si="18"/>
        <v>0</v>
      </c>
      <c r="BV34" s="17">
        <f t="shared" si="19"/>
        <v>0</v>
      </c>
      <c r="BW34" s="17">
        <f t="shared" si="20"/>
        <v>0</v>
      </c>
      <c r="BX34" s="17">
        <f t="shared" si="21"/>
        <v>0</v>
      </c>
      <c r="BY34" s="17">
        <f t="shared" si="22"/>
        <v>0</v>
      </c>
      <c r="BZ34" s="17">
        <f t="shared" si="34"/>
        <v>0</v>
      </c>
      <c r="CA34" s="17">
        <f t="shared" si="35"/>
        <v>0</v>
      </c>
      <c r="CB34" s="17">
        <f t="shared" si="36"/>
        <v>0</v>
      </c>
      <c r="CC34" s="17">
        <f t="shared" si="37"/>
        <v>0</v>
      </c>
      <c r="CD34" s="17">
        <f t="shared" si="38"/>
        <v>0</v>
      </c>
      <c r="CE34" s="17">
        <f t="shared" ref="CE34:CE66" si="50">(AJ34*10000)/$E34</f>
        <v>0</v>
      </c>
      <c r="CF34" s="17">
        <f t="shared" si="39"/>
        <v>0</v>
      </c>
      <c r="CG34" s="17">
        <f t="shared" si="40"/>
        <v>0</v>
      </c>
      <c r="CH34" s="17">
        <f t="shared" si="41"/>
        <v>0</v>
      </c>
      <c r="CI34" s="17">
        <f t="shared" si="42"/>
        <v>0</v>
      </c>
      <c r="CJ34" s="17">
        <f t="shared" si="43"/>
        <v>0</v>
      </c>
      <c r="CK34" s="17">
        <f t="shared" si="44"/>
        <v>0</v>
      </c>
      <c r="CL34" s="17">
        <f t="shared" si="45"/>
        <v>0</v>
      </c>
      <c r="CM34" s="14">
        <f t="shared" si="46"/>
        <v>0</v>
      </c>
      <c r="CN34" s="17">
        <f t="shared" si="47"/>
        <v>0</v>
      </c>
      <c r="CO34" s="14">
        <f t="shared" si="48"/>
        <v>0</v>
      </c>
      <c r="CP34" s="17">
        <f t="shared" si="49"/>
        <v>0</v>
      </c>
      <c r="CQ34" s="14">
        <f t="shared" si="24"/>
        <v>0</v>
      </c>
      <c r="CR34" s="14">
        <v>0</v>
      </c>
      <c r="CS34" s="14">
        <v>0</v>
      </c>
      <c r="CT34" s="14">
        <v>0</v>
      </c>
      <c r="CU34" s="14">
        <v>0</v>
      </c>
    </row>
    <row r="35" spans="1:99" x14ac:dyDescent="0.3">
      <c r="A35" s="14">
        <v>2012</v>
      </c>
      <c r="B35" s="14" t="s">
        <v>7</v>
      </c>
      <c r="C35" s="14" t="s">
        <v>8</v>
      </c>
      <c r="D35" s="15">
        <v>3026941</v>
      </c>
      <c r="E35" s="15">
        <v>70997869.50000006</v>
      </c>
      <c r="F35" s="15">
        <f t="shared" si="25"/>
        <v>23.455319908779213</v>
      </c>
      <c r="AB35" s="14">
        <f t="shared" si="26"/>
        <v>0</v>
      </c>
      <c r="AM35" s="14">
        <f t="shared" si="27"/>
        <v>0</v>
      </c>
      <c r="AQ35" s="14">
        <f t="shared" si="28"/>
        <v>0</v>
      </c>
      <c r="AT35" s="14">
        <f t="shared" si="29"/>
        <v>0</v>
      </c>
      <c r="AU35" s="16">
        <v>0</v>
      </c>
      <c r="AV35" s="16">
        <v>0</v>
      </c>
      <c r="AW35" s="16">
        <v>0</v>
      </c>
      <c r="AX35" s="16">
        <v>0</v>
      </c>
      <c r="AY35" s="18">
        <f t="shared" si="30"/>
        <v>0</v>
      </c>
      <c r="AZ35" s="17">
        <f t="shared" si="31"/>
        <v>0</v>
      </c>
      <c r="BA35" s="17">
        <f t="shared" si="32"/>
        <v>0</v>
      </c>
      <c r="BB35" s="17">
        <f t="shared" si="33"/>
        <v>0</v>
      </c>
      <c r="BC35" s="17">
        <f t="shared" si="0"/>
        <v>0</v>
      </c>
      <c r="BD35" s="17">
        <f t="shared" si="1"/>
        <v>0</v>
      </c>
      <c r="BE35" s="17">
        <f t="shared" si="2"/>
        <v>0</v>
      </c>
      <c r="BF35" s="17">
        <f t="shared" si="3"/>
        <v>0</v>
      </c>
      <c r="BG35" s="17">
        <f t="shared" si="4"/>
        <v>0</v>
      </c>
      <c r="BH35" s="17">
        <f t="shared" si="5"/>
        <v>0</v>
      </c>
      <c r="BI35" s="17">
        <f t="shared" si="6"/>
        <v>0</v>
      </c>
      <c r="BJ35" s="17">
        <f t="shared" si="7"/>
        <v>0</v>
      </c>
      <c r="BK35" s="17">
        <f t="shared" si="8"/>
        <v>0</v>
      </c>
      <c r="BL35" s="17">
        <f t="shared" si="9"/>
        <v>0</v>
      </c>
      <c r="BM35" s="17">
        <f t="shared" si="10"/>
        <v>0</v>
      </c>
      <c r="BN35" s="17">
        <f t="shared" si="11"/>
        <v>0</v>
      </c>
      <c r="BO35" s="17">
        <f t="shared" si="12"/>
        <v>0</v>
      </c>
      <c r="BP35" s="17">
        <f t="shared" si="13"/>
        <v>0</v>
      </c>
      <c r="BQ35" s="17">
        <f t="shared" si="14"/>
        <v>0</v>
      </c>
      <c r="BR35" s="17">
        <f t="shared" si="15"/>
        <v>0</v>
      </c>
      <c r="BS35" s="17">
        <f t="shared" si="16"/>
        <v>0</v>
      </c>
      <c r="BT35" s="17">
        <f t="shared" si="17"/>
        <v>0</v>
      </c>
      <c r="BU35" s="17">
        <f t="shared" si="18"/>
        <v>0</v>
      </c>
      <c r="BV35" s="17">
        <f t="shared" si="19"/>
        <v>0</v>
      </c>
      <c r="BW35" s="17">
        <f t="shared" si="20"/>
        <v>0</v>
      </c>
      <c r="BX35" s="17">
        <f t="shared" si="21"/>
        <v>0</v>
      </c>
      <c r="BY35" s="17">
        <f t="shared" si="22"/>
        <v>0</v>
      </c>
      <c r="BZ35" s="17">
        <f t="shared" si="34"/>
        <v>0</v>
      </c>
      <c r="CA35" s="17">
        <f t="shared" si="35"/>
        <v>0</v>
      </c>
      <c r="CB35" s="17">
        <f t="shared" si="36"/>
        <v>0</v>
      </c>
      <c r="CC35" s="17">
        <f t="shared" si="37"/>
        <v>0</v>
      </c>
      <c r="CD35" s="17">
        <f t="shared" si="38"/>
        <v>0</v>
      </c>
      <c r="CE35" s="17">
        <f t="shared" si="50"/>
        <v>0</v>
      </c>
      <c r="CF35" s="17">
        <f t="shared" si="39"/>
        <v>0</v>
      </c>
      <c r="CG35" s="17">
        <f t="shared" si="40"/>
        <v>0</v>
      </c>
      <c r="CH35" s="17">
        <f t="shared" si="41"/>
        <v>0</v>
      </c>
      <c r="CI35" s="17">
        <f t="shared" si="42"/>
        <v>0</v>
      </c>
      <c r="CJ35" s="17">
        <f t="shared" si="43"/>
        <v>0</v>
      </c>
      <c r="CK35" s="17">
        <f t="shared" si="44"/>
        <v>0</v>
      </c>
      <c r="CL35" s="17">
        <f t="shared" si="45"/>
        <v>0</v>
      </c>
      <c r="CM35" s="14">
        <f t="shared" si="46"/>
        <v>0</v>
      </c>
      <c r="CN35" s="17">
        <f t="shared" si="47"/>
        <v>0</v>
      </c>
      <c r="CO35" s="14">
        <f t="shared" si="48"/>
        <v>0</v>
      </c>
      <c r="CP35" s="17">
        <f t="shared" si="49"/>
        <v>0</v>
      </c>
      <c r="CQ35" s="14">
        <f t="shared" si="24"/>
        <v>0</v>
      </c>
      <c r="CR35" s="14">
        <v>287</v>
      </c>
      <c r="CS35" s="14">
        <v>409</v>
      </c>
      <c r="CT35" s="14">
        <v>19</v>
      </c>
      <c r="CU35" s="14">
        <v>634</v>
      </c>
    </row>
    <row r="36" spans="1:99" x14ac:dyDescent="0.3">
      <c r="A36" s="14">
        <v>2013</v>
      </c>
      <c r="B36" s="14" t="s">
        <v>7</v>
      </c>
      <c r="C36" s="14" t="s">
        <v>8</v>
      </c>
      <c r="D36" s="15">
        <v>3118004.4</v>
      </c>
      <c r="E36" s="15">
        <v>73460021</v>
      </c>
      <c r="F36" s="15">
        <f t="shared" si="25"/>
        <v>23.559947830734298</v>
      </c>
      <c r="H36" s="14">
        <v>283</v>
      </c>
      <c r="V36" s="14">
        <v>287</v>
      </c>
      <c r="Z36" s="14">
        <v>2126</v>
      </c>
      <c r="AB36" s="14">
        <f t="shared" si="26"/>
        <v>0</v>
      </c>
      <c r="AE36" s="14">
        <v>582</v>
      </c>
      <c r="AM36" s="14">
        <f t="shared" si="27"/>
        <v>0</v>
      </c>
      <c r="AQ36" s="14">
        <f t="shared" si="28"/>
        <v>0</v>
      </c>
      <c r="AT36" s="14">
        <f t="shared" si="29"/>
        <v>0</v>
      </c>
      <c r="AU36" s="16">
        <v>12836</v>
      </c>
      <c r="AV36" s="16">
        <v>119626</v>
      </c>
      <c r="AW36" s="16">
        <v>3110</v>
      </c>
      <c r="AX36" s="16">
        <v>0</v>
      </c>
      <c r="AY36" s="18">
        <f t="shared" si="30"/>
        <v>1.7473449946332034</v>
      </c>
      <c r="AZ36" s="17">
        <f t="shared" si="31"/>
        <v>16.284503920846959</v>
      </c>
      <c r="BA36" s="17">
        <f t="shared" si="32"/>
        <v>0.42335953048529623</v>
      </c>
      <c r="BB36" s="17">
        <f t="shared" si="33"/>
        <v>0</v>
      </c>
      <c r="BC36" s="17">
        <f t="shared" si="0"/>
        <v>0</v>
      </c>
      <c r="BD36" s="17">
        <f t="shared" si="1"/>
        <v>3.8524355989498014E-2</v>
      </c>
      <c r="BE36" s="17">
        <f t="shared" si="2"/>
        <v>0</v>
      </c>
      <c r="BF36" s="17">
        <f t="shared" si="3"/>
        <v>0</v>
      </c>
      <c r="BG36" s="17">
        <f t="shared" si="4"/>
        <v>0</v>
      </c>
      <c r="BH36" s="17">
        <f t="shared" si="5"/>
        <v>0</v>
      </c>
      <c r="BI36" s="17">
        <f t="shared" si="6"/>
        <v>0</v>
      </c>
      <c r="BJ36" s="17">
        <f t="shared" si="7"/>
        <v>0</v>
      </c>
      <c r="BK36" s="17">
        <f t="shared" si="8"/>
        <v>0</v>
      </c>
      <c r="BL36" s="17">
        <f t="shared" si="9"/>
        <v>0</v>
      </c>
      <c r="BM36" s="17">
        <f t="shared" si="10"/>
        <v>0</v>
      </c>
      <c r="BN36" s="17">
        <f t="shared" si="11"/>
        <v>0</v>
      </c>
      <c r="BO36" s="17">
        <f t="shared" si="12"/>
        <v>0</v>
      </c>
      <c r="BP36" s="17">
        <f t="shared" si="13"/>
        <v>0</v>
      </c>
      <c r="BQ36" s="17">
        <f t="shared" si="14"/>
        <v>0</v>
      </c>
      <c r="BR36" s="17">
        <f t="shared" si="15"/>
        <v>3.9068869855073962E-2</v>
      </c>
      <c r="BS36" s="17">
        <f t="shared" si="16"/>
        <v>0</v>
      </c>
      <c r="BT36" s="17">
        <f t="shared" si="17"/>
        <v>0</v>
      </c>
      <c r="BU36" s="17">
        <f t="shared" si="18"/>
        <v>0</v>
      </c>
      <c r="BV36" s="17">
        <f t="shared" si="19"/>
        <v>0.28940911955361409</v>
      </c>
      <c r="BW36" s="17">
        <f t="shared" si="20"/>
        <v>0</v>
      </c>
      <c r="BX36" s="17">
        <f t="shared" si="21"/>
        <v>0</v>
      </c>
      <c r="BY36" s="17">
        <f t="shared" si="22"/>
        <v>0</v>
      </c>
      <c r="BZ36" s="17">
        <f t="shared" si="34"/>
        <v>7.9226767441299806E-2</v>
      </c>
      <c r="CA36" s="17">
        <f t="shared" si="35"/>
        <v>0</v>
      </c>
      <c r="CB36" s="17">
        <f t="shared" si="36"/>
        <v>0</v>
      </c>
      <c r="CC36" s="17">
        <f t="shared" si="37"/>
        <v>0</v>
      </c>
      <c r="CD36" s="17">
        <f t="shared" si="38"/>
        <v>0</v>
      </c>
      <c r="CE36" s="17">
        <f t="shared" si="50"/>
        <v>0</v>
      </c>
      <c r="CF36" s="17">
        <f t="shared" si="39"/>
        <v>0</v>
      </c>
      <c r="CG36" s="17">
        <f t="shared" si="40"/>
        <v>0</v>
      </c>
      <c r="CH36" s="17">
        <f t="shared" si="41"/>
        <v>0</v>
      </c>
      <c r="CI36" s="17">
        <f t="shared" si="42"/>
        <v>0</v>
      </c>
      <c r="CJ36" s="17">
        <f t="shared" si="43"/>
        <v>0</v>
      </c>
      <c r="CK36" s="17">
        <f t="shared" si="44"/>
        <v>0</v>
      </c>
      <c r="CL36" s="17">
        <f t="shared" si="45"/>
        <v>0</v>
      </c>
      <c r="CM36" s="14">
        <f t="shared" si="46"/>
        <v>122736</v>
      </c>
      <c r="CN36" s="17">
        <f t="shared" si="47"/>
        <v>16.707863451332255</v>
      </c>
      <c r="CO36" s="14">
        <f t="shared" si="48"/>
        <v>135572</v>
      </c>
      <c r="CP36" s="17">
        <f t="shared" si="49"/>
        <v>18.455208445965461</v>
      </c>
      <c r="CQ36" s="14">
        <f t="shared" si="24"/>
        <v>138850</v>
      </c>
      <c r="CR36" s="14">
        <v>44</v>
      </c>
      <c r="CS36" s="14">
        <v>35</v>
      </c>
      <c r="CT36" s="14">
        <v>0</v>
      </c>
      <c r="CU36" s="14">
        <v>0</v>
      </c>
    </row>
    <row r="37" spans="1:99" x14ac:dyDescent="0.3">
      <c r="A37" s="14">
        <v>2014</v>
      </c>
      <c r="B37" s="14" t="s">
        <v>7</v>
      </c>
      <c r="C37" s="14" t="s">
        <v>8</v>
      </c>
      <c r="D37" s="15">
        <v>3207143.3</v>
      </c>
      <c r="E37" s="15">
        <v>76035588.49999994</v>
      </c>
      <c r="F37" s="15">
        <f t="shared" si="25"/>
        <v>23.70819804029335</v>
      </c>
      <c r="AB37" s="14">
        <f t="shared" si="26"/>
        <v>0</v>
      </c>
      <c r="AM37" s="14">
        <f t="shared" si="27"/>
        <v>0</v>
      </c>
      <c r="AQ37" s="14">
        <f t="shared" si="28"/>
        <v>0</v>
      </c>
      <c r="AT37" s="14">
        <f t="shared" si="29"/>
        <v>0</v>
      </c>
      <c r="AU37" s="16">
        <v>0</v>
      </c>
      <c r="AV37" s="16">
        <v>0</v>
      </c>
      <c r="AW37" s="16">
        <v>0</v>
      </c>
      <c r="AX37" s="16">
        <v>0</v>
      </c>
      <c r="AY37" s="18">
        <f t="shared" si="30"/>
        <v>0</v>
      </c>
      <c r="AZ37" s="17">
        <f t="shared" si="31"/>
        <v>0</v>
      </c>
      <c r="BA37" s="17">
        <f t="shared" si="32"/>
        <v>0</v>
      </c>
      <c r="BB37" s="17">
        <f t="shared" si="33"/>
        <v>0</v>
      </c>
      <c r="BC37" s="17">
        <f t="shared" si="0"/>
        <v>0</v>
      </c>
      <c r="BD37" s="17">
        <f t="shared" si="1"/>
        <v>0</v>
      </c>
      <c r="BE37" s="17">
        <f t="shared" si="2"/>
        <v>0</v>
      </c>
      <c r="BF37" s="17">
        <f t="shared" si="3"/>
        <v>0</v>
      </c>
      <c r="BG37" s="17">
        <f t="shared" si="4"/>
        <v>0</v>
      </c>
      <c r="BH37" s="17">
        <f t="shared" si="5"/>
        <v>0</v>
      </c>
      <c r="BI37" s="17">
        <f t="shared" si="6"/>
        <v>0</v>
      </c>
      <c r="BJ37" s="17">
        <f t="shared" si="7"/>
        <v>0</v>
      </c>
      <c r="BK37" s="17">
        <f t="shared" si="8"/>
        <v>0</v>
      </c>
      <c r="BL37" s="17">
        <f t="shared" si="9"/>
        <v>0</v>
      </c>
      <c r="BM37" s="17">
        <f t="shared" si="10"/>
        <v>0</v>
      </c>
      <c r="BN37" s="17">
        <f t="shared" si="11"/>
        <v>0</v>
      </c>
      <c r="BO37" s="17">
        <f t="shared" si="12"/>
        <v>0</v>
      </c>
      <c r="BP37" s="17">
        <f t="shared" si="13"/>
        <v>0</v>
      </c>
      <c r="BQ37" s="17">
        <f t="shared" si="14"/>
        <v>0</v>
      </c>
      <c r="BR37" s="17">
        <f t="shared" si="15"/>
        <v>0</v>
      </c>
      <c r="BS37" s="17">
        <f t="shared" si="16"/>
        <v>0</v>
      </c>
      <c r="BT37" s="17">
        <f t="shared" si="17"/>
        <v>0</v>
      </c>
      <c r="BU37" s="17">
        <f t="shared" si="18"/>
        <v>0</v>
      </c>
      <c r="BV37" s="17">
        <f t="shared" si="19"/>
        <v>0</v>
      </c>
      <c r="BW37" s="17">
        <f t="shared" si="20"/>
        <v>0</v>
      </c>
      <c r="BX37" s="17">
        <f t="shared" si="21"/>
        <v>0</v>
      </c>
      <c r="BY37" s="17">
        <f t="shared" si="22"/>
        <v>0</v>
      </c>
      <c r="BZ37" s="17">
        <f t="shared" si="34"/>
        <v>0</v>
      </c>
      <c r="CA37" s="17">
        <f t="shared" si="35"/>
        <v>0</v>
      </c>
      <c r="CB37" s="17">
        <f t="shared" si="36"/>
        <v>0</v>
      </c>
      <c r="CC37" s="17">
        <f t="shared" si="37"/>
        <v>0</v>
      </c>
      <c r="CD37" s="17">
        <f t="shared" si="38"/>
        <v>0</v>
      </c>
      <c r="CE37" s="17">
        <f t="shared" si="50"/>
        <v>0</v>
      </c>
      <c r="CF37" s="17">
        <f t="shared" si="39"/>
        <v>0</v>
      </c>
      <c r="CG37" s="17">
        <f t="shared" si="40"/>
        <v>0</v>
      </c>
      <c r="CH37" s="17">
        <f t="shared" si="41"/>
        <v>0</v>
      </c>
      <c r="CI37" s="17">
        <f t="shared" si="42"/>
        <v>0</v>
      </c>
      <c r="CJ37" s="17">
        <f t="shared" si="43"/>
        <v>0</v>
      </c>
      <c r="CK37" s="17">
        <f t="shared" si="44"/>
        <v>0</v>
      </c>
      <c r="CL37" s="17">
        <f t="shared" si="45"/>
        <v>0</v>
      </c>
      <c r="CM37" s="14">
        <f t="shared" si="46"/>
        <v>0</v>
      </c>
      <c r="CN37" s="17">
        <f t="shared" si="47"/>
        <v>0</v>
      </c>
      <c r="CO37" s="14">
        <f t="shared" si="48"/>
        <v>0</v>
      </c>
      <c r="CP37" s="17">
        <f t="shared" si="49"/>
        <v>0</v>
      </c>
      <c r="CQ37" s="14">
        <f t="shared" si="24"/>
        <v>0</v>
      </c>
      <c r="CR37" s="14">
        <v>132</v>
      </c>
      <c r="CS37" s="14">
        <v>177</v>
      </c>
      <c r="CT37" s="14">
        <v>361</v>
      </c>
      <c r="CU37" s="14">
        <v>163</v>
      </c>
    </row>
    <row r="38" spans="1:99" x14ac:dyDescent="0.3">
      <c r="A38" s="14">
        <v>2015</v>
      </c>
      <c r="B38" s="14" t="s">
        <v>7</v>
      </c>
      <c r="C38" s="14" t="s">
        <v>8</v>
      </c>
      <c r="D38" s="15">
        <v>3300775.6</v>
      </c>
      <c r="E38" s="15">
        <v>78656903.50000006</v>
      </c>
      <c r="F38" s="15">
        <f t="shared" si="25"/>
        <v>23.829824572139973</v>
      </c>
      <c r="AB38" s="14">
        <f t="shared" si="26"/>
        <v>0</v>
      </c>
      <c r="AM38" s="14">
        <f t="shared" si="27"/>
        <v>0</v>
      </c>
      <c r="AQ38" s="14">
        <f t="shared" si="28"/>
        <v>0</v>
      </c>
      <c r="AT38" s="14">
        <f t="shared" si="29"/>
        <v>0</v>
      </c>
      <c r="AU38" s="16">
        <v>0</v>
      </c>
      <c r="AV38" s="16">
        <v>144540</v>
      </c>
      <c r="AW38" s="16">
        <v>0</v>
      </c>
      <c r="AX38" s="16">
        <v>0</v>
      </c>
      <c r="AY38" s="18">
        <f t="shared" si="30"/>
        <v>0</v>
      </c>
      <c r="AZ38" s="17">
        <f t="shared" si="31"/>
        <v>18.376009424271309</v>
      </c>
      <c r="BA38" s="17">
        <f t="shared" si="32"/>
        <v>0</v>
      </c>
      <c r="BB38" s="17">
        <f t="shared" si="33"/>
        <v>0</v>
      </c>
      <c r="BC38" s="17">
        <f t="shared" si="0"/>
        <v>0</v>
      </c>
      <c r="BD38" s="17">
        <f t="shared" si="1"/>
        <v>0</v>
      </c>
      <c r="BE38" s="17">
        <f t="shared" si="2"/>
        <v>0</v>
      </c>
      <c r="BF38" s="17">
        <f t="shared" si="3"/>
        <v>0</v>
      </c>
      <c r="BG38" s="17">
        <f t="shared" si="4"/>
        <v>0</v>
      </c>
      <c r="BH38" s="17">
        <f t="shared" si="5"/>
        <v>0</v>
      </c>
      <c r="BI38" s="17">
        <f t="shared" si="6"/>
        <v>0</v>
      </c>
      <c r="BJ38" s="17">
        <f t="shared" si="7"/>
        <v>0</v>
      </c>
      <c r="BK38" s="17">
        <f t="shared" si="8"/>
        <v>0</v>
      </c>
      <c r="BL38" s="17">
        <f t="shared" si="9"/>
        <v>0</v>
      </c>
      <c r="BM38" s="17">
        <f t="shared" si="10"/>
        <v>0</v>
      </c>
      <c r="BN38" s="17">
        <f t="shared" si="11"/>
        <v>0</v>
      </c>
      <c r="BO38" s="17">
        <f t="shared" si="12"/>
        <v>0</v>
      </c>
      <c r="BP38" s="17">
        <f t="shared" si="13"/>
        <v>0</v>
      </c>
      <c r="BQ38" s="17">
        <f t="shared" si="14"/>
        <v>0</v>
      </c>
      <c r="BR38" s="17">
        <f t="shared" si="15"/>
        <v>0</v>
      </c>
      <c r="BS38" s="17">
        <f t="shared" si="16"/>
        <v>0</v>
      </c>
      <c r="BT38" s="17">
        <f t="shared" si="17"/>
        <v>0</v>
      </c>
      <c r="BU38" s="17">
        <f t="shared" si="18"/>
        <v>0</v>
      </c>
      <c r="BV38" s="17">
        <f t="shared" si="19"/>
        <v>0</v>
      </c>
      <c r="BW38" s="17">
        <f t="shared" si="20"/>
        <v>0</v>
      </c>
      <c r="BX38" s="17">
        <f t="shared" si="21"/>
        <v>0</v>
      </c>
      <c r="BY38" s="17">
        <f t="shared" si="22"/>
        <v>0</v>
      </c>
      <c r="BZ38" s="17">
        <f t="shared" si="34"/>
        <v>0</v>
      </c>
      <c r="CA38" s="17">
        <f t="shared" si="35"/>
        <v>0</v>
      </c>
      <c r="CB38" s="17">
        <f t="shared" si="36"/>
        <v>0</v>
      </c>
      <c r="CC38" s="17">
        <f t="shared" si="37"/>
        <v>0</v>
      </c>
      <c r="CD38" s="17">
        <f t="shared" si="38"/>
        <v>0</v>
      </c>
      <c r="CE38" s="17">
        <f t="shared" si="50"/>
        <v>0</v>
      </c>
      <c r="CF38" s="17">
        <f t="shared" si="39"/>
        <v>0</v>
      </c>
      <c r="CG38" s="17">
        <f t="shared" si="40"/>
        <v>0</v>
      </c>
      <c r="CH38" s="17">
        <f t="shared" si="41"/>
        <v>0</v>
      </c>
      <c r="CI38" s="17">
        <f t="shared" si="42"/>
        <v>0</v>
      </c>
      <c r="CJ38" s="17">
        <f t="shared" si="43"/>
        <v>0</v>
      </c>
      <c r="CK38" s="17">
        <f t="shared" si="44"/>
        <v>0</v>
      </c>
      <c r="CL38" s="17">
        <f t="shared" si="45"/>
        <v>0</v>
      </c>
      <c r="CM38" s="14">
        <f t="shared" si="46"/>
        <v>144540</v>
      </c>
      <c r="CN38" s="17">
        <f t="shared" si="47"/>
        <v>18.376009424271309</v>
      </c>
      <c r="CO38" s="14">
        <f t="shared" si="48"/>
        <v>144540</v>
      </c>
      <c r="CP38" s="17">
        <f t="shared" si="49"/>
        <v>18.376009424271309</v>
      </c>
      <c r="CQ38" s="14">
        <f t="shared" si="24"/>
        <v>144540</v>
      </c>
      <c r="CR38" s="14">
        <v>2898</v>
      </c>
      <c r="CS38" s="14">
        <v>3609</v>
      </c>
      <c r="CT38" s="14">
        <v>2192</v>
      </c>
      <c r="CU38" s="14">
        <v>1168</v>
      </c>
    </row>
    <row r="39" spans="1:99" x14ac:dyDescent="0.3">
      <c r="A39" s="14">
        <v>2016</v>
      </c>
      <c r="B39" s="14" t="s">
        <v>7</v>
      </c>
      <c r="C39" s="14" t="s">
        <v>8</v>
      </c>
      <c r="D39" s="15">
        <v>3397335.8</v>
      </c>
      <c r="E39" s="15">
        <v>81430976.499999985</v>
      </c>
      <c r="F39" s="15">
        <f t="shared" si="25"/>
        <v>23.969069086429428</v>
      </c>
      <c r="G39" s="14">
        <v>147</v>
      </c>
      <c r="H39" s="14">
        <v>404</v>
      </c>
      <c r="AB39" s="14">
        <f t="shared" si="26"/>
        <v>0</v>
      </c>
      <c r="AM39" s="14">
        <f t="shared" si="27"/>
        <v>0</v>
      </c>
      <c r="AQ39" s="14">
        <f t="shared" si="28"/>
        <v>0</v>
      </c>
      <c r="AT39" s="14">
        <f t="shared" si="29"/>
        <v>0</v>
      </c>
      <c r="AU39" s="16">
        <v>200</v>
      </c>
      <c r="AV39" s="16">
        <v>89794</v>
      </c>
      <c r="AW39" s="16">
        <v>3586</v>
      </c>
      <c r="AX39" s="16">
        <v>0</v>
      </c>
      <c r="AY39" s="18">
        <f t="shared" si="30"/>
        <v>2.4560678085445781E-2</v>
      </c>
      <c r="AZ39" s="17">
        <f t="shared" si="31"/>
        <v>11.027007640022592</v>
      </c>
      <c r="BA39" s="17">
        <f t="shared" si="32"/>
        <v>0.44037295807204285</v>
      </c>
      <c r="BB39" s="17">
        <f t="shared" si="33"/>
        <v>0</v>
      </c>
      <c r="BC39" s="17">
        <f t="shared" si="0"/>
        <v>1.8052098392802651E-2</v>
      </c>
      <c r="BD39" s="17">
        <f t="shared" si="1"/>
        <v>4.9612569732600476E-2</v>
      </c>
      <c r="BE39" s="17">
        <f t="shared" si="2"/>
        <v>0</v>
      </c>
      <c r="BF39" s="17">
        <f t="shared" si="3"/>
        <v>0</v>
      </c>
      <c r="BG39" s="17">
        <f t="shared" si="4"/>
        <v>0</v>
      </c>
      <c r="BH39" s="17">
        <f t="shared" si="5"/>
        <v>0</v>
      </c>
      <c r="BI39" s="17">
        <f t="shared" si="6"/>
        <v>0</v>
      </c>
      <c r="BJ39" s="17">
        <f t="shared" si="7"/>
        <v>0</v>
      </c>
      <c r="BK39" s="17">
        <f t="shared" si="8"/>
        <v>0</v>
      </c>
      <c r="BL39" s="17">
        <f t="shared" si="9"/>
        <v>0</v>
      </c>
      <c r="BM39" s="17">
        <f t="shared" si="10"/>
        <v>0</v>
      </c>
      <c r="BN39" s="17">
        <f t="shared" si="11"/>
        <v>0</v>
      </c>
      <c r="BO39" s="17">
        <f t="shared" si="12"/>
        <v>0</v>
      </c>
      <c r="BP39" s="17">
        <f t="shared" si="13"/>
        <v>0</v>
      </c>
      <c r="BQ39" s="17">
        <f t="shared" si="14"/>
        <v>0</v>
      </c>
      <c r="BR39" s="17">
        <f t="shared" si="15"/>
        <v>0</v>
      </c>
      <c r="BS39" s="17">
        <f t="shared" si="16"/>
        <v>0</v>
      </c>
      <c r="BT39" s="17">
        <f t="shared" si="17"/>
        <v>0</v>
      </c>
      <c r="BU39" s="17">
        <f t="shared" si="18"/>
        <v>0</v>
      </c>
      <c r="BV39" s="17">
        <f t="shared" si="19"/>
        <v>0</v>
      </c>
      <c r="BW39" s="17">
        <f t="shared" si="20"/>
        <v>0</v>
      </c>
      <c r="BX39" s="17">
        <f t="shared" si="21"/>
        <v>0</v>
      </c>
      <c r="BY39" s="17">
        <f t="shared" si="22"/>
        <v>0</v>
      </c>
      <c r="BZ39" s="17">
        <f t="shared" si="34"/>
        <v>0</v>
      </c>
      <c r="CA39" s="17">
        <f t="shared" si="35"/>
        <v>0</v>
      </c>
      <c r="CB39" s="17">
        <f t="shared" si="36"/>
        <v>0</v>
      </c>
      <c r="CC39" s="17">
        <f t="shared" si="37"/>
        <v>0</v>
      </c>
      <c r="CD39" s="17">
        <f t="shared" si="38"/>
        <v>0</v>
      </c>
      <c r="CE39" s="17">
        <f t="shared" si="50"/>
        <v>0</v>
      </c>
      <c r="CF39" s="17">
        <f t="shared" si="39"/>
        <v>0</v>
      </c>
      <c r="CG39" s="17">
        <f t="shared" si="40"/>
        <v>0</v>
      </c>
      <c r="CH39" s="17">
        <f t="shared" si="41"/>
        <v>0</v>
      </c>
      <c r="CI39" s="17">
        <f t="shared" si="42"/>
        <v>0</v>
      </c>
      <c r="CJ39" s="17">
        <f t="shared" si="43"/>
        <v>0</v>
      </c>
      <c r="CK39" s="17">
        <f t="shared" si="44"/>
        <v>0</v>
      </c>
      <c r="CL39" s="17">
        <f t="shared" si="45"/>
        <v>0</v>
      </c>
      <c r="CM39" s="14">
        <f t="shared" si="46"/>
        <v>93380</v>
      </c>
      <c r="CN39" s="17">
        <f t="shared" si="47"/>
        <v>11.467380598094636</v>
      </c>
      <c r="CO39" s="14">
        <f t="shared" si="48"/>
        <v>93580</v>
      </c>
      <c r="CP39" s="17">
        <f t="shared" si="49"/>
        <v>11.49194127618008</v>
      </c>
      <c r="CQ39" s="14">
        <f t="shared" si="24"/>
        <v>94131</v>
      </c>
      <c r="CR39" s="14">
        <v>0</v>
      </c>
      <c r="CS39" s="14">
        <v>0</v>
      </c>
      <c r="CT39" s="14">
        <v>0</v>
      </c>
      <c r="CU39" s="14">
        <v>0</v>
      </c>
    </row>
    <row r="40" spans="1:99" x14ac:dyDescent="0.3">
      <c r="A40" s="14">
        <v>2017</v>
      </c>
      <c r="B40" s="14" t="s">
        <v>7</v>
      </c>
      <c r="C40" s="14" t="s">
        <v>8</v>
      </c>
      <c r="D40" s="15">
        <v>3505486.6</v>
      </c>
      <c r="E40" s="15">
        <v>84283273.000000045</v>
      </c>
      <c r="F40" s="15">
        <f t="shared" si="25"/>
        <v>24.043244952070289</v>
      </c>
      <c r="AB40" s="14">
        <f t="shared" si="26"/>
        <v>0</v>
      </c>
      <c r="AM40" s="14">
        <f t="shared" si="27"/>
        <v>0</v>
      </c>
      <c r="AQ40" s="14">
        <f t="shared" si="28"/>
        <v>0</v>
      </c>
      <c r="AT40" s="14">
        <f t="shared" si="29"/>
        <v>0</v>
      </c>
      <c r="AU40" s="16">
        <v>0</v>
      </c>
      <c r="AV40" s="16">
        <v>146092</v>
      </c>
      <c r="AW40" s="16">
        <v>0</v>
      </c>
      <c r="AX40" s="16">
        <v>0</v>
      </c>
      <c r="AY40" s="18">
        <f t="shared" si="30"/>
        <v>0</v>
      </c>
      <c r="AZ40" s="17">
        <f t="shared" si="31"/>
        <v>17.333451205673981</v>
      </c>
      <c r="BA40" s="17">
        <f t="shared" si="32"/>
        <v>0</v>
      </c>
      <c r="BB40" s="17">
        <f t="shared" si="33"/>
        <v>0</v>
      </c>
      <c r="BC40" s="17">
        <f t="shared" si="0"/>
        <v>0</v>
      </c>
      <c r="BD40" s="17">
        <f t="shared" si="1"/>
        <v>0</v>
      </c>
      <c r="BE40" s="17">
        <f t="shared" si="2"/>
        <v>0</v>
      </c>
      <c r="BF40" s="17">
        <f t="shared" si="3"/>
        <v>0</v>
      </c>
      <c r="BG40" s="17">
        <f t="shared" si="4"/>
        <v>0</v>
      </c>
      <c r="BH40" s="17">
        <f t="shared" si="5"/>
        <v>0</v>
      </c>
      <c r="BI40" s="17">
        <f t="shared" si="6"/>
        <v>0</v>
      </c>
      <c r="BJ40" s="17">
        <f t="shared" si="7"/>
        <v>0</v>
      </c>
      <c r="BK40" s="17">
        <f t="shared" si="8"/>
        <v>0</v>
      </c>
      <c r="BL40" s="17">
        <f t="shared" si="9"/>
        <v>0</v>
      </c>
      <c r="BM40" s="17">
        <f t="shared" si="10"/>
        <v>0</v>
      </c>
      <c r="BN40" s="17">
        <f t="shared" si="11"/>
        <v>0</v>
      </c>
      <c r="BO40" s="17">
        <f t="shared" si="12"/>
        <v>0</v>
      </c>
      <c r="BP40" s="17">
        <f t="shared" si="13"/>
        <v>0</v>
      </c>
      <c r="BQ40" s="17">
        <f t="shared" si="14"/>
        <v>0</v>
      </c>
      <c r="BR40" s="17">
        <f t="shared" si="15"/>
        <v>0</v>
      </c>
      <c r="BS40" s="17">
        <f t="shared" si="16"/>
        <v>0</v>
      </c>
      <c r="BT40" s="17">
        <f t="shared" si="17"/>
        <v>0</v>
      </c>
      <c r="BU40" s="17">
        <f t="shared" si="18"/>
        <v>0</v>
      </c>
      <c r="BV40" s="17">
        <f t="shared" si="19"/>
        <v>0</v>
      </c>
      <c r="BW40" s="17">
        <f t="shared" si="20"/>
        <v>0</v>
      </c>
      <c r="BX40" s="17">
        <f t="shared" si="21"/>
        <v>0</v>
      </c>
      <c r="BY40" s="17">
        <f t="shared" si="22"/>
        <v>0</v>
      </c>
      <c r="BZ40" s="17">
        <f t="shared" si="34"/>
        <v>0</v>
      </c>
      <c r="CA40" s="17">
        <f t="shared" si="35"/>
        <v>0</v>
      </c>
      <c r="CB40" s="17">
        <f t="shared" si="36"/>
        <v>0</v>
      </c>
      <c r="CC40" s="17">
        <f t="shared" si="37"/>
        <v>0</v>
      </c>
      <c r="CD40" s="17">
        <f t="shared" si="38"/>
        <v>0</v>
      </c>
      <c r="CE40" s="17">
        <f t="shared" si="50"/>
        <v>0</v>
      </c>
      <c r="CF40" s="17">
        <f t="shared" si="39"/>
        <v>0</v>
      </c>
      <c r="CG40" s="17">
        <f t="shared" si="40"/>
        <v>0</v>
      </c>
      <c r="CH40" s="17">
        <f t="shared" si="41"/>
        <v>0</v>
      </c>
      <c r="CI40" s="17">
        <f t="shared" si="42"/>
        <v>0</v>
      </c>
      <c r="CJ40" s="17">
        <f t="shared" si="43"/>
        <v>0</v>
      </c>
      <c r="CK40" s="17">
        <f t="shared" si="44"/>
        <v>0</v>
      </c>
      <c r="CL40" s="17">
        <f t="shared" si="45"/>
        <v>0</v>
      </c>
      <c r="CM40" s="14">
        <f t="shared" si="46"/>
        <v>146092</v>
      </c>
      <c r="CN40" s="17">
        <f t="shared" si="47"/>
        <v>17.333451205673981</v>
      </c>
      <c r="CO40" s="14">
        <f t="shared" si="48"/>
        <v>146092</v>
      </c>
      <c r="CP40" s="17">
        <f t="shared" si="49"/>
        <v>17.333451205673981</v>
      </c>
      <c r="CQ40" s="14">
        <f t="shared" si="24"/>
        <v>146092</v>
      </c>
      <c r="CR40" s="14">
        <v>9</v>
      </c>
      <c r="CS40" s="14">
        <v>108</v>
      </c>
      <c r="CT40" s="14">
        <v>0</v>
      </c>
      <c r="CU40" s="14">
        <v>0</v>
      </c>
    </row>
    <row r="41" spans="1:99" x14ac:dyDescent="0.3">
      <c r="A41" s="14">
        <v>2018</v>
      </c>
      <c r="B41" s="14" t="s">
        <v>7</v>
      </c>
      <c r="C41" s="14" t="s">
        <v>8</v>
      </c>
      <c r="D41" s="15">
        <v>3612384.5</v>
      </c>
      <c r="E41" s="15">
        <v>87087354.999999985</v>
      </c>
      <c r="F41" s="15">
        <f t="shared" si="25"/>
        <v>24.107997086135207</v>
      </c>
      <c r="G41" s="14">
        <v>404</v>
      </c>
      <c r="H41" s="14">
        <v>1687</v>
      </c>
      <c r="Z41" s="14">
        <v>2934</v>
      </c>
      <c r="AB41" s="14">
        <f t="shared" si="26"/>
        <v>0</v>
      </c>
      <c r="AM41" s="14">
        <f t="shared" si="27"/>
        <v>0</v>
      </c>
      <c r="AQ41" s="14">
        <f t="shared" si="28"/>
        <v>0</v>
      </c>
      <c r="AT41" s="14">
        <f t="shared" si="29"/>
        <v>0</v>
      </c>
      <c r="AU41" s="16">
        <v>0</v>
      </c>
      <c r="AV41" s="16">
        <v>186652</v>
      </c>
      <c r="AW41" s="16">
        <v>0</v>
      </c>
      <c r="AX41" s="16">
        <v>0</v>
      </c>
      <c r="AY41" s="18">
        <f t="shared" si="30"/>
        <v>0</v>
      </c>
      <c r="AZ41" s="17">
        <f t="shared" si="31"/>
        <v>21.43273268547426</v>
      </c>
      <c r="BA41" s="17">
        <f t="shared" si="32"/>
        <v>0</v>
      </c>
      <c r="BB41" s="17">
        <f t="shared" si="33"/>
        <v>0</v>
      </c>
      <c r="BC41" s="17">
        <f t="shared" si="0"/>
        <v>4.6390202113728227E-2</v>
      </c>
      <c r="BD41" s="17">
        <f t="shared" si="1"/>
        <v>0.19371354199470178</v>
      </c>
      <c r="BE41" s="17">
        <f t="shared" si="2"/>
        <v>0</v>
      </c>
      <c r="BF41" s="17">
        <f t="shared" si="3"/>
        <v>0</v>
      </c>
      <c r="BG41" s="17">
        <f t="shared" si="4"/>
        <v>0</v>
      </c>
      <c r="BH41" s="17">
        <f t="shared" si="5"/>
        <v>0</v>
      </c>
      <c r="BI41" s="17">
        <f t="shared" si="6"/>
        <v>0</v>
      </c>
      <c r="BJ41" s="17">
        <f t="shared" si="7"/>
        <v>0</v>
      </c>
      <c r="BK41" s="17">
        <f t="shared" si="8"/>
        <v>0</v>
      </c>
      <c r="BL41" s="17">
        <f t="shared" si="9"/>
        <v>0</v>
      </c>
      <c r="BM41" s="17">
        <f t="shared" si="10"/>
        <v>0</v>
      </c>
      <c r="BN41" s="17">
        <f t="shared" si="11"/>
        <v>0</v>
      </c>
      <c r="BO41" s="17">
        <f t="shared" si="12"/>
        <v>0</v>
      </c>
      <c r="BP41" s="17">
        <f t="shared" si="13"/>
        <v>0</v>
      </c>
      <c r="BQ41" s="17">
        <f t="shared" si="14"/>
        <v>0</v>
      </c>
      <c r="BR41" s="17">
        <f t="shared" si="15"/>
        <v>0</v>
      </c>
      <c r="BS41" s="17">
        <f t="shared" si="16"/>
        <v>0</v>
      </c>
      <c r="BT41" s="17">
        <f t="shared" si="17"/>
        <v>0</v>
      </c>
      <c r="BU41" s="17">
        <f t="shared" si="18"/>
        <v>0</v>
      </c>
      <c r="BV41" s="17">
        <f t="shared" si="19"/>
        <v>0.33690310148930352</v>
      </c>
      <c r="BW41" s="17">
        <f t="shared" si="20"/>
        <v>0</v>
      </c>
      <c r="BX41" s="17">
        <f t="shared" si="21"/>
        <v>0</v>
      </c>
      <c r="BY41" s="17">
        <f t="shared" si="22"/>
        <v>0</v>
      </c>
      <c r="BZ41" s="17">
        <f t="shared" si="34"/>
        <v>0</v>
      </c>
      <c r="CA41" s="17">
        <f t="shared" si="35"/>
        <v>0</v>
      </c>
      <c r="CB41" s="17">
        <f t="shared" si="36"/>
        <v>0</v>
      </c>
      <c r="CC41" s="17">
        <f t="shared" si="37"/>
        <v>0</v>
      </c>
      <c r="CD41" s="17">
        <f t="shared" si="38"/>
        <v>0</v>
      </c>
      <c r="CE41" s="17">
        <f t="shared" si="50"/>
        <v>0</v>
      </c>
      <c r="CF41" s="17">
        <f t="shared" si="39"/>
        <v>0</v>
      </c>
      <c r="CG41" s="17">
        <f t="shared" si="40"/>
        <v>0</v>
      </c>
      <c r="CH41" s="17">
        <f t="shared" si="41"/>
        <v>0</v>
      </c>
      <c r="CI41" s="17">
        <f t="shared" si="42"/>
        <v>0</v>
      </c>
      <c r="CJ41" s="17">
        <f t="shared" si="43"/>
        <v>0</v>
      </c>
      <c r="CK41" s="17">
        <f t="shared" si="44"/>
        <v>0</v>
      </c>
      <c r="CL41" s="17">
        <f t="shared" si="45"/>
        <v>0</v>
      </c>
      <c r="CM41" s="14">
        <f t="shared" si="46"/>
        <v>186652</v>
      </c>
      <c r="CN41" s="17">
        <f t="shared" si="47"/>
        <v>21.43273268547426</v>
      </c>
      <c r="CO41" s="14">
        <f t="shared" si="48"/>
        <v>186652</v>
      </c>
      <c r="CP41" s="17">
        <f t="shared" si="49"/>
        <v>21.43273268547426</v>
      </c>
      <c r="CQ41" s="14">
        <f t="shared" si="24"/>
        <v>191677</v>
      </c>
      <c r="CR41" s="14">
        <v>24</v>
      </c>
      <c r="CS41" s="14">
        <v>47</v>
      </c>
      <c r="CT41" s="14">
        <v>119</v>
      </c>
      <c r="CU41" s="14">
        <v>136</v>
      </c>
    </row>
    <row r="42" spans="1:99" x14ac:dyDescent="0.3">
      <c r="A42" s="14">
        <v>2019</v>
      </c>
      <c r="B42" s="14" t="s">
        <v>7</v>
      </c>
      <c r="C42" s="14" t="s">
        <v>8</v>
      </c>
      <c r="D42" s="15">
        <v>3709546.6</v>
      </c>
      <c r="E42" s="15">
        <v>89906890.500000015</v>
      </c>
      <c r="F42" s="15">
        <f t="shared" si="25"/>
        <v>24.236625171388873</v>
      </c>
      <c r="G42" s="14">
        <v>422</v>
      </c>
      <c r="H42" s="14">
        <v>584</v>
      </c>
      <c r="I42" s="14">
        <v>75871</v>
      </c>
      <c r="T42" s="14">
        <v>166</v>
      </c>
      <c r="W42" s="14">
        <v>3342</v>
      </c>
      <c r="AB42" s="14">
        <f t="shared" si="26"/>
        <v>0</v>
      </c>
      <c r="AE42" s="14">
        <v>668</v>
      </c>
      <c r="AG42" s="14">
        <v>1939</v>
      </c>
      <c r="AJ42" s="14">
        <v>188</v>
      </c>
      <c r="AK42" s="14">
        <v>496</v>
      </c>
      <c r="AM42" s="14">
        <f t="shared" si="27"/>
        <v>496</v>
      </c>
      <c r="AQ42" s="14">
        <f t="shared" si="28"/>
        <v>0</v>
      </c>
      <c r="AT42" s="14">
        <f t="shared" si="29"/>
        <v>0</v>
      </c>
      <c r="AU42" s="16">
        <v>30032</v>
      </c>
      <c r="AV42" s="16">
        <v>187928</v>
      </c>
      <c r="AW42" s="16">
        <v>6298</v>
      </c>
      <c r="AX42" s="16">
        <v>0</v>
      </c>
      <c r="AY42" s="18">
        <f t="shared" si="30"/>
        <v>3.3403446424387235</v>
      </c>
      <c r="AZ42" s="17">
        <f t="shared" si="31"/>
        <v>20.902513584317543</v>
      </c>
      <c r="BA42" s="17">
        <f t="shared" si="32"/>
        <v>0.70050248262117343</v>
      </c>
      <c r="BB42" s="17">
        <f t="shared" si="33"/>
        <v>0</v>
      </c>
      <c r="BC42" s="17">
        <f t="shared" si="0"/>
        <v>4.6937448025743914E-2</v>
      </c>
      <c r="BD42" s="17">
        <f t="shared" si="1"/>
        <v>6.4956089210982101E-2</v>
      </c>
      <c r="BE42" s="17">
        <f t="shared" si="2"/>
        <v>8.4388415146000391</v>
      </c>
      <c r="BF42" s="17">
        <f t="shared" si="3"/>
        <v>0</v>
      </c>
      <c r="BG42" s="17">
        <f t="shared" si="4"/>
        <v>0</v>
      </c>
      <c r="BH42" s="17">
        <f t="shared" si="5"/>
        <v>0</v>
      </c>
      <c r="BI42" s="17">
        <f t="shared" si="6"/>
        <v>0</v>
      </c>
      <c r="BJ42" s="17">
        <f t="shared" si="7"/>
        <v>0</v>
      </c>
      <c r="BK42" s="17">
        <f t="shared" si="8"/>
        <v>0</v>
      </c>
      <c r="BL42" s="17">
        <f t="shared" si="9"/>
        <v>0</v>
      </c>
      <c r="BM42" s="17">
        <f t="shared" si="10"/>
        <v>0</v>
      </c>
      <c r="BN42" s="17">
        <f t="shared" si="11"/>
        <v>0</v>
      </c>
      <c r="BO42" s="17">
        <f t="shared" si="12"/>
        <v>0</v>
      </c>
      <c r="BP42" s="17">
        <f t="shared" si="13"/>
        <v>1.8463545905861349E-2</v>
      </c>
      <c r="BQ42" s="17">
        <f t="shared" si="14"/>
        <v>0</v>
      </c>
      <c r="BR42" s="17">
        <f t="shared" si="15"/>
        <v>0</v>
      </c>
      <c r="BS42" s="17">
        <f t="shared" si="16"/>
        <v>0.37171789408065442</v>
      </c>
      <c r="BT42" s="17">
        <f t="shared" si="17"/>
        <v>0</v>
      </c>
      <c r="BU42" s="17">
        <f t="shared" si="18"/>
        <v>0</v>
      </c>
      <c r="BV42" s="17">
        <f t="shared" si="19"/>
        <v>0</v>
      </c>
      <c r="BW42" s="17">
        <f t="shared" si="20"/>
        <v>0</v>
      </c>
      <c r="BX42" s="17">
        <f t="shared" si="21"/>
        <v>0</v>
      </c>
      <c r="BY42" s="17">
        <f t="shared" si="22"/>
        <v>0</v>
      </c>
      <c r="BZ42" s="17">
        <f t="shared" si="34"/>
        <v>7.4299088344068565E-2</v>
      </c>
      <c r="CA42" s="17">
        <f t="shared" si="35"/>
        <v>0</v>
      </c>
      <c r="CB42" s="17">
        <f t="shared" si="36"/>
        <v>0.21566756332207926</v>
      </c>
      <c r="CC42" s="17">
        <f t="shared" si="37"/>
        <v>0</v>
      </c>
      <c r="CD42" s="17">
        <f t="shared" si="38"/>
        <v>0</v>
      </c>
      <c r="CE42" s="17">
        <f t="shared" si="50"/>
        <v>2.0910521869288757E-2</v>
      </c>
      <c r="CF42" s="17">
        <f t="shared" si="39"/>
        <v>5.516818535727247E-2</v>
      </c>
      <c r="CG42" s="17">
        <f t="shared" si="40"/>
        <v>0</v>
      </c>
      <c r="CH42" s="17">
        <f t="shared" si="41"/>
        <v>0</v>
      </c>
      <c r="CI42" s="17">
        <f t="shared" si="42"/>
        <v>0</v>
      </c>
      <c r="CJ42" s="17">
        <f t="shared" si="43"/>
        <v>0</v>
      </c>
      <c r="CK42" s="17">
        <f t="shared" si="44"/>
        <v>0</v>
      </c>
      <c r="CL42" s="17">
        <f t="shared" si="45"/>
        <v>0</v>
      </c>
      <c r="CM42" s="14">
        <f t="shared" si="46"/>
        <v>194226</v>
      </c>
      <c r="CN42" s="17">
        <f t="shared" si="47"/>
        <v>21.603016066938714</v>
      </c>
      <c r="CO42" s="14">
        <f t="shared" si="48"/>
        <v>224258</v>
      </c>
      <c r="CP42" s="17">
        <f t="shared" si="49"/>
        <v>24.943360709377437</v>
      </c>
      <c r="CQ42" s="14">
        <f t="shared" si="24"/>
        <v>308430</v>
      </c>
      <c r="CR42" s="14">
        <v>1440</v>
      </c>
      <c r="CS42" s="14">
        <v>3532</v>
      </c>
      <c r="CT42" s="14">
        <v>0</v>
      </c>
      <c r="CU42" s="14">
        <v>4362</v>
      </c>
    </row>
    <row r="43" spans="1:99" x14ac:dyDescent="0.3">
      <c r="A43" s="14">
        <v>2020</v>
      </c>
      <c r="B43" s="14" t="s">
        <v>7</v>
      </c>
      <c r="C43" s="14" t="s">
        <v>8</v>
      </c>
      <c r="D43" s="15">
        <v>3804138.2</v>
      </c>
      <c r="E43" s="15">
        <v>92853164.500000015</v>
      </c>
      <c r="F43" s="15">
        <f t="shared" si="25"/>
        <v>24.408462473839677</v>
      </c>
      <c r="AB43" s="14">
        <f t="shared" si="26"/>
        <v>0</v>
      </c>
      <c r="AM43" s="14">
        <f t="shared" si="27"/>
        <v>0</v>
      </c>
      <c r="AQ43" s="14">
        <f t="shared" si="28"/>
        <v>0</v>
      </c>
      <c r="AT43" s="14">
        <f t="shared" si="29"/>
        <v>0</v>
      </c>
      <c r="AU43" s="16">
        <v>0</v>
      </c>
      <c r="AV43" s="16">
        <v>0</v>
      </c>
      <c r="AW43" s="16">
        <v>0</v>
      </c>
      <c r="AX43" s="16">
        <v>0</v>
      </c>
      <c r="AY43" s="18">
        <f t="shared" si="30"/>
        <v>0</v>
      </c>
      <c r="AZ43" s="17">
        <f t="shared" si="31"/>
        <v>0</v>
      </c>
      <c r="BA43" s="17">
        <f t="shared" si="32"/>
        <v>0</v>
      </c>
      <c r="BB43" s="17">
        <f t="shared" si="33"/>
        <v>0</v>
      </c>
      <c r="BC43" s="17">
        <f t="shared" si="0"/>
        <v>0</v>
      </c>
      <c r="BD43" s="17">
        <f t="shared" si="1"/>
        <v>0</v>
      </c>
      <c r="BE43" s="17">
        <f t="shared" si="2"/>
        <v>0</v>
      </c>
      <c r="BF43" s="17">
        <f t="shared" si="3"/>
        <v>0</v>
      </c>
      <c r="BG43" s="17">
        <f t="shared" si="4"/>
        <v>0</v>
      </c>
      <c r="BH43" s="17">
        <f t="shared" si="5"/>
        <v>0</v>
      </c>
      <c r="BI43" s="17">
        <f t="shared" si="6"/>
        <v>0</v>
      </c>
      <c r="BJ43" s="17">
        <f t="shared" si="7"/>
        <v>0</v>
      </c>
      <c r="BK43" s="17">
        <f t="shared" si="8"/>
        <v>0</v>
      </c>
      <c r="BL43" s="17">
        <f t="shared" si="9"/>
        <v>0</v>
      </c>
      <c r="BM43" s="17">
        <f t="shared" si="10"/>
        <v>0</v>
      </c>
      <c r="BN43" s="17">
        <f t="shared" si="11"/>
        <v>0</v>
      </c>
      <c r="BO43" s="17">
        <f t="shared" si="12"/>
        <v>0</v>
      </c>
      <c r="BP43" s="17">
        <f t="shared" si="13"/>
        <v>0</v>
      </c>
      <c r="BQ43" s="17">
        <f t="shared" si="14"/>
        <v>0</v>
      </c>
      <c r="BR43" s="17">
        <f t="shared" si="15"/>
        <v>0</v>
      </c>
      <c r="BS43" s="17">
        <f t="shared" si="16"/>
        <v>0</v>
      </c>
      <c r="BT43" s="17">
        <f t="shared" si="17"/>
        <v>0</v>
      </c>
      <c r="BU43" s="17">
        <f t="shared" si="18"/>
        <v>0</v>
      </c>
      <c r="BV43" s="17">
        <f t="shared" si="19"/>
        <v>0</v>
      </c>
      <c r="BW43" s="17">
        <f t="shared" si="20"/>
        <v>0</v>
      </c>
      <c r="BX43" s="17">
        <f t="shared" si="21"/>
        <v>0</v>
      </c>
      <c r="BY43" s="17">
        <f t="shared" si="22"/>
        <v>0</v>
      </c>
      <c r="BZ43" s="17">
        <f t="shared" si="34"/>
        <v>0</v>
      </c>
      <c r="CA43" s="17">
        <f t="shared" si="35"/>
        <v>0</v>
      </c>
      <c r="CB43" s="17">
        <f t="shared" si="36"/>
        <v>0</v>
      </c>
      <c r="CC43" s="17">
        <f t="shared" si="37"/>
        <v>0</v>
      </c>
      <c r="CD43" s="17">
        <f t="shared" si="38"/>
        <v>0</v>
      </c>
      <c r="CE43" s="17">
        <f t="shared" si="50"/>
        <v>0</v>
      </c>
      <c r="CF43" s="17">
        <f t="shared" si="39"/>
        <v>0</v>
      </c>
      <c r="CG43" s="17">
        <f t="shared" si="40"/>
        <v>0</v>
      </c>
      <c r="CH43" s="17">
        <f t="shared" si="41"/>
        <v>0</v>
      </c>
      <c r="CI43" s="17">
        <f t="shared" si="42"/>
        <v>0</v>
      </c>
      <c r="CJ43" s="17">
        <f t="shared" si="43"/>
        <v>0</v>
      </c>
      <c r="CK43" s="17">
        <f t="shared" si="44"/>
        <v>0</v>
      </c>
      <c r="CL43" s="17">
        <f t="shared" si="45"/>
        <v>0</v>
      </c>
      <c r="CM43" s="14">
        <f t="shared" si="46"/>
        <v>0</v>
      </c>
      <c r="CN43" s="17">
        <f t="shared" si="47"/>
        <v>0</v>
      </c>
      <c r="CO43" s="14">
        <f t="shared" si="48"/>
        <v>0</v>
      </c>
      <c r="CP43" s="17">
        <f t="shared" si="49"/>
        <v>0</v>
      </c>
      <c r="CQ43" s="14">
        <f t="shared" si="24"/>
        <v>0</v>
      </c>
      <c r="CR43" s="14">
        <v>1004</v>
      </c>
      <c r="CS43" s="14">
        <v>2439</v>
      </c>
      <c r="CT43" s="14">
        <v>776</v>
      </c>
      <c r="CU43" s="14">
        <v>3788</v>
      </c>
    </row>
    <row r="44" spans="1:99" x14ac:dyDescent="0.3">
      <c r="A44" s="14">
        <v>2021</v>
      </c>
      <c r="B44" s="14" t="s">
        <v>7</v>
      </c>
      <c r="C44" s="14" t="s">
        <v>8</v>
      </c>
      <c r="D44" s="15">
        <v>3905396.8</v>
      </c>
      <c r="E44" s="15">
        <v>95894118.499999985</v>
      </c>
      <c r="F44" s="15">
        <f t="shared" si="25"/>
        <v>24.55425745727041</v>
      </c>
      <c r="G44" s="14">
        <v>268</v>
      </c>
      <c r="H44" s="14">
        <v>682</v>
      </c>
      <c r="I44" s="14">
        <v>87086</v>
      </c>
      <c r="T44" s="14">
        <v>665</v>
      </c>
      <c r="V44" s="14">
        <v>439</v>
      </c>
      <c r="W44" s="14">
        <v>3724</v>
      </c>
      <c r="AB44" s="14">
        <f t="shared" si="26"/>
        <v>0</v>
      </c>
      <c r="AE44" s="14">
        <v>1385</v>
      </c>
      <c r="AG44" s="14">
        <v>1785</v>
      </c>
      <c r="AJ44" s="14">
        <v>313</v>
      </c>
      <c r="AK44" s="14">
        <v>680</v>
      </c>
      <c r="AM44" s="14">
        <f t="shared" si="27"/>
        <v>680</v>
      </c>
      <c r="AQ44" s="14">
        <f t="shared" si="28"/>
        <v>0</v>
      </c>
      <c r="AT44" s="14">
        <f t="shared" si="29"/>
        <v>0</v>
      </c>
      <c r="AU44" s="16">
        <v>33978</v>
      </c>
      <c r="AV44" s="16">
        <v>203504</v>
      </c>
      <c r="AW44" s="16">
        <v>4186</v>
      </c>
      <c r="AX44" s="16">
        <v>0</v>
      </c>
      <c r="AY44" s="18">
        <f t="shared" si="30"/>
        <v>3.5432830012405825</v>
      </c>
      <c r="AZ44" s="17">
        <f t="shared" si="31"/>
        <v>21.221739475085744</v>
      </c>
      <c r="BA44" s="17">
        <f t="shared" si="32"/>
        <v>0.43652312211410554</v>
      </c>
      <c r="BB44" s="17">
        <f t="shared" si="33"/>
        <v>0</v>
      </c>
      <c r="BC44" s="17">
        <f t="shared" si="0"/>
        <v>2.7947490856803699E-2</v>
      </c>
      <c r="BD44" s="17">
        <f t="shared" si="1"/>
        <v>7.1120107329627327E-2</v>
      </c>
      <c r="BE44" s="17">
        <f t="shared" si="2"/>
        <v>9.0814745849089817</v>
      </c>
      <c r="BF44" s="17">
        <f t="shared" si="3"/>
        <v>0</v>
      </c>
      <c r="BG44" s="17">
        <f t="shared" si="4"/>
        <v>0</v>
      </c>
      <c r="BH44" s="17">
        <f t="shared" si="5"/>
        <v>0</v>
      </c>
      <c r="BI44" s="17">
        <f t="shared" si="6"/>
        <v>0</v>
      </c>
      <c r="BJ44" s="17">
        <f t="shared" si="7"/>
        <v>0</v>
      </c>
      <c r="BK44" s="17">
        <f t="shared" si="8"/>
        <v>0</v>
      </c>
      <c r="BL44" s="17">
        <f t="shared" si="9"/>
        <v>0</v>
      </c>
      <c r="BM44" s="17">
        <f t="shared" si="10"/>
        <v>0</v>
      </c>
      <c r="BN44" s="17">
        <f t="shared" si="11"/>
        <v>0</v>
      </c>
      <c r="BO44" s="17">
        <f t="shared" si="12"/>
        <v>0</v>
      </c>
      <c r="BP44" s="17">
        <f t="shared" si="13"/>
        <v>6.934731873050172E-2</v>
      </c>
      <c r="BQ44" s="17">
        <f t="shared" si="14"/>
        <v>0</v>
      </c>
      <c r="BR44" s="17">
        <f t="shared" si="15"/>
        <v>4.5779658530361284E-2</v>
      </c>
      <c r="BS44" s="17">
        <f t="shared" si="16"/>
        <v>0.3883449848908096</v>
      </c>
      <c r="BT44" s="17">
        <f t="shared" si="17"/>
        <v>0</v>
      </c>
      <c r="BU44" s="17">
        <f t="shared" si="18"/>
        <v>0</v>
      </c>
      <c r="BV44" s="17">
        <f t="shared" si="19"/>
        <v>0</v>
      </c>
      <c r="BW44" s="17">
        <f t="shared" si="20"/>
        <v>0</v>
      </c>
      <c r="BX44" s="17">
        <f t="shared" si="21"/>
        <v>0</v>
      </c>
      <c r="BY44" s="17">
        <f t="shared" si="22"/>
        <v>0</v>
      </c>
      <c r="BZ44" s="17">
        <f t="shared" si="34"/>
        <v>0.14443012998758628</v>
      </c>
      <c r="CA44" s="17">
        <f t="shared" si="35"/>
        <v>0</v>
      </c>
      <c r="CB44" s="17">
        <f t="shared" si="36"/>
        <v>0.18614280290818883</v>
      </c>
      <c r="CC44" s="17">
        <f t="shared" si="37"/>
        <v>0</v>
      </c>
      <c r="CD44" s="17">
        <f t="shared" si="38"/>
        <v>0</v>
      </c>
      <c r="CE44" s="17">
        <f t="shared" si="50"/>
        <v>3.2640166560371484E-2</v>
      </c>
      <c r="CF44" s="17">
        <f t="shared" si="39"/>
        <v>7.0911543965024304E-2</v>
      </c>
      <c r="CG44" s="17">
        <f t="shared" si="40"/>
        <v>0</v>
      </c>
      <c r="CH44" s="17">
        <f t="shared" si="41"/>
        <v>0</v>
      </c>
      <c r="CI44" s="17">
        <f t="shared" si="42"/>
        <v>0</v>
      </c>
      <c r="CJ44" s="17">
        <f t="shared" si="43"/>
        <v>0</v>
      </c>
      <c r="CK44" s="17">
        <f t="shared" si="44"/>
        <v>0</v>
      </c>
      <c r="CL44" s="17">
        <f t="shared" si="45"/>
        <v>0</v>
      </c>
      <c r="CM44" s="14">
        <f t="shared" si="46"/>
        <v>207690</v>
      </c>
      <c r="CN44" s="17">
        <f t="shared" si="47"/>
        <v>21.658262597199851</v>
      </c>
      <c r="CO44" s="14">
        <f t="shared" si="48"/>
        <v>241668</v>
      </c>
      <c r="CP44" s="17">
        <f t="shared" si="49"/>
        <v>25.201545598440433</v>
      </c>
      <c r="CQ44" s="14">
        <f t="shared" si="24"/>
        <v>339375</v>
      </c>
      <c r="CR44" s="14">
        <v>2881</v>
      </c>
      <c r="CS44" s="14">
        <v>2490</v>
      </c>
      <c r="CT44" s="14">
        <v>91</v>
      </c>
      <c r="CU44" s="14">
        <v>2684</v>
      </c>
    </row>
    <row r="45" spans="1:99" x14ac:dyDescent="0.3">
      <c r="A45" s="14">
        <v>2022</v>
      </c>
      <c r="B45" s="14" t="s">
        <v>7</v>
      </c>
      <c r="C45" s="14" t="s">
        <v>8</v>
      </c>
      <c r="D45" s="15">
        <v>4011145.2</v>
      </c>
      <c r="E45" s="15">
        <v>99010212</v>
      </c>
      <c r="F45" s="15">
        <f t="shared" si="25"/>
        <v>24.683776593278147</v>
      </c>
      <c r="G45" s="14">
        <v>392</v>
      </c>
      <c r="H45" s="14">
        <v>806</v>
      </c>
      <c r="I45" s="14">
        <v>101117</v>
      </c>
      <c r="T45" s="14">
        <v>718</v>
      </c>
      <c r="V45" s="14">
        <v>528</v>
      </c>
      <c r="W45" s="14">
        <v>4695</v>
      </c>
      <c r="AB45" s="14">
        <f t="shared" si="26"/>
        <v>0</v>
      </c>
      <c r="AE45" s="14">
        <v>1688</v>
      </c>
      <c r="AG45" s="14">
        <v>1803</v>
      </c>
      <c r="AJ45" s="14">
        <v>378</v>
      </c>
      <c r="AK45" s="14">
        <v>793</v>
      </c>
      <c r="AM45" s="14">
        <f t="shared" si="27"/>
        <v>793</v>
      </c>
      <c r="AQ45" s="14">
        <f t="shared" si="28"/>
        <v>0</v>
      </c>
      <c r="AT45" s="14">
        <f t="shared" si="29"/>
        <v>0</v>
      </c>
      <c r="AU45" s="16">
        <v>36986</v>
      </c>
      <c r="AV45" s="16">
        <v>230632</v>
      </c>
      <c r="AW45" s="16">
        <v>5280</v>
      </c>
      <c r="AX45" s="16">
        <v>0</v>
      </c>
      <c r="AY45" s="18">
        <f t="shared" si="30"/>
        <v>3.7355742658141162</v>
      </c>
      <c r="AZ45" s="17">
        <f t="shared" si="31"/>
        <v>23.293758829644766</v>
      </c>
      <c r="BA45" s="17">
        <f t="shared" si="32"/>
        <v>0.53327832486612592</v>
      </c>
      <c r="BB45" s="17">
        <f t="shared" si="33"/>
        <v>0</v>
      </c>
      <c r="BC45" s="17">
        <f t="shared" si="0"/>
        <v>3.9591875634000261E-2</v>
      </c>
      <c r="BD45" s="17">
        <f t="shared" si="1"/>
        <v>8.1405744288276044E-2</v>
      </c>
      <c r="BE45" s="17">
        <f t="shared" si="2"/>
        <v>10.212784919600011</v>
      </c>
      <c r="BF45" s="17">
        <f t="shared" si="3"/>
        <v>0</v>
      </c>
      <c r="BG45" s="17">
        <f t="shared" si="4"/>
        <v>0</v>
      </c>
      <c r="BH45" s="17">
        <f t="shared" si="5"/>
        <v>0</v>
      </c>
      <c r="BI45" s="17">
        <f t="shared" si="6"/>
        <v>0</v>
      </c>
      <c r="BJ45" s="17">
        <f t="shared" si="7"/>
        <v>0</v>
      </c>
      <c r="BK45" s="17">
        <f t="shared" si="8"/>
        <v>0</v>
      </c>
      <c r="BL45" s="17">
        <f t="shared" si="9"/>
        <v>0</v>
      </c>
      <c r="BM45" s="17">
        <f t="shared" si="10"/>
        <v>0</v>
      </c>
      <c r="BN45" s="17">
        <f t="shared" si="11"/>
        <v>0</v>
      </c>
      <c r="BO45" s="17">
        <f t="shared" si="12"/>
        <v>0</v>
      </c>
      <c r="BP45" s="17">
        <f t="shared" si="13"/>
        <v>7.2517772207173939E-2</v>
      </c>
      <c r="BQ45" s="17">
        <f t="shared" si="14"/>
        <v>0</v>
      </c>
      <c r="BR45" s="17">
        <f t="shared" si="15"/>
        <v>5.3327832486612596E-2</v>
      </c>
      <c r="BS45" s="17">
        <f t="shared" si="16"/>
        <v>0.47419351046334496</v>
      </c>
      <c r="BT45" s="17">
        <f t="shared" si="17"/>
        <v>0</v>
      </c>
      <c r="BU45" s="17">
        <f t="shared" si="18"/>
        <v>0</v>
      </c>
      <c r="BV45" s="17">
        <f t="shared" si="19"/>
        <v>0</v>
      </c>
      <c r="BW45" s="17">
        <f t="shared" si="20"/>
        <v>0</v>
      </c>
      <c r="BX45" s="17">
        <f t="shared" si="21"/>
        <v>0</v>
      </c>
      <c r="BY45" s="17">
        <f t="shared" si="22"/>
        <v>0</v>
      </c>
      <c r="BZ45" s="17">
        <f t="shared" si="34"/>
        <v>0.17048746446477661</v>
      </c>
      <c r="CA45" s="17">
        <f t="shared" si="35"/>
        <v>0</v>
      </c>
      <c r="CB45" s="17">
        <f t="shared" si="36"/>
        <v>0.18210242797985324</v>
      </c>
      <c r="CC45" s="17">
        <f t="shared" si="37"/>
        <v>0</v>
      </c>
      <c r="CD45" s="17">
        <f t="shared" si="38"/>
        <v>0</v>
      </c>
      <c r="CE45" s="17">
        <f t="shared" si="50"/>
        <v>3.8177880075643107E-2</v>
      </c>
      <c r="CF45" s="17">
        <f t="shared" si="39"/>
        <v>8.009274841265869E-2</v>
      </c>
      <c r="CG45" s="17">
        <f t="shared" si="40"/>
        <v>0</v>
      </c>
      <c r="CH45" s="17">
        <f t="shared" si="41"/>
        <v>0</v>
      </c>
      <c r="CI45" s="17">
        <f t="shared" si="42"/>
        <v>0</v>
      </c>
      <c r="CJ45" s="17">
        <f t="shared" si="43"/>
        <v>0</v>
      </c>
      <c r="CK45" s="17">
        <f t="shared" si="44"/>
        <v>0</v>
      </c>
      <c r="CL45" s="17">
        <f t="shared" si="45"/>
        <v>0</v>
      </c>
      <c r="CM45" s="14">
        <f t="shared" si="46"/>
        <v>235912</v>
      </c>
      <c r="CN45" s="17">
        <f t="shared" si="47"/>
        <v>23.82703715451089</v>
      </c>
      <c r="CO45" s="14">
        <f t="shared" si="48"/>
        <v>272898</v>
      </c>
      <c r="CP45" s="17">
        <f t="shared" si="49"/>
        <v>27.562611420325005</v>
      </c>
      <c r="CQ45" s="14">
        <f t="shared" si="24"/>
        <v>386609</v>
      </c>
      <c r="CR45" s="14">
        <v>215</v>
      </c>
      <c r="CS45" s="14">
        <v>487</v>
      </c>
      <c r="CT45" s="14">
        <v>0</v>
      </c>
      <c r="CU45" s="14">
        <v>233</v>
      </c>
    </row>
    <row r="46" spans="1:99" x14ac:dyDescent="0.3">
      <c r="A46" s="14">
        <v>2012</v>
      </c>
      <c r="B46" s="14" t="s">
        <v>9</v>
      </c>
      <c r="C46" s="14" t="s">
        <v>10</v>
      </c>
      <c r="D46" s="15">
        <v>3248329.2</v>
      </c>
      <c r="E46" s="15">
        <v>94451279.50000006</v>
      </c>
      <c r="F46" s="15">
        <f t="shared" si="25"/>
        <v>29.07688035436804</v>
      </c>
      <c r="AB46" s="14">
        <f t="shared" si="26"/>
        <v>0</v>
      </c>
      <c r="AM46" s="14">
        <f t="shared" si="27"/>
        <v>0</v>
      </c>
      <c r="AQ46" s="14">
        <f t="shared" si="28"/>
        <v>0</v>
      </c>
      <c r="AT46" s="14">
        <f t="shared" si="29"/>
        <v>0</v>
      </c>
      <c r="AU46" s="16">
        <v>0</v>
      </c>
      <c r="AV46" s="16">
        <v>0</v>
      </c>
      <c r="AW46" s="16">
        <v>0</v>
      </c>
      <c r="AX46" s="16">
        <v>0</v>
      </c>
      <c r="AY46" s="18">
        <f t="shared" si="30"/>
        <v>0</v>
      </c>
      <c r="AZ46" s="17">
        <f t="shared" si="31"/>
        <v>0</v>
      </c>
      <c r="BA46" s="17">
        <f t="shared" si="32"/>
        <v>0</v>
      </c>
      <c r="BB46" s="17">
        <f t="shared" si="33"/>
        <v>0</v>
      </c>
      <c r="BC46" s="17">
        <f t="shared" si="0"/>
        <v>0</v>
      </c>
      <c r="BD46" s="17">
        <f t="shared" si="1"/>
        <v>0</v>
      </c>
      <c r="BE46" s="17">
        <f t="shared" si="2"/>
        <v>0</v>
      </c>
      <c r="BF46" s="17">
        <f t="shared" si="3"/>
        <v>0</v>
      </c>
      <c r="BG46" s="17">
        <f t="shared" si="4"/>
        <v>0</v>
      </c>
      <c r="BH46" s="17">
        <f t="shared" si="5"/>
        <v>0</v>
      </c>
      <c r="BI46" s="17">
        <f t="shared" si="6"/>
        <v>0</v>
      </c>
      <c r="BJ46" s="17">
        <f t="shared" si="7"/>
        <v>0</v>
      </c>
      <c r="BK46" s="17">
        <f t="shared" si="8"/>
        <v>0</v>
      </c>
      <c r="BL46" s="17">
        <f t="shared" si="9"/>
        <v>0</v>
      </c>
      <c r="BM46" s="17">
        <f t="shared" si="10"/>
        <v>0</v>
      </c>
      <c r="BN46" s="17">
        <f t="shared" si="11"/>
        <v>0</v>
      </c>
      <c r="BO46" s="17">
        <f t="shared" si="12"/>
        <v>0</v>
      </c>
      <c r="BP46" s="17">
        <f t="shared" si="13"/>
        <v>0</v>
      </c>
      <c r="BQ46" s="17">
        <f t="shared" si="14"/>
        <v>0</v>
      </c>
      <c r="BR46" s="17">
        <f t="shared" si="15"/>
        <v>0</v>
      </c>
      <c r="BS46" s="17">
        <f t="shared" si="16"/>
        <v>0</v>
      </c>
      <c r="BT46" s="17">
        <f t="shared" si="17"/>
        <v>0</v>
      </c>
      <c r="BU46" s="17">
        <f t="shared" si="18"/>
        <v>0</v>
      </c>
      <c r="BV46" s="17">
        <f t="shared" si="19"/>
        <v>0</v>
      </c>
      <c r="BW46" s="17">
        <f t="shared" si="20"/>
        <v>0</v>
      </c>
      <c r="BX46" s="17">
        <f t="shared" si="21"/>
        <v>0</v>
      </c>
      <c r="BY46" s="17">
        <f t="shared" si="22"/>
        <v>0</v>
      </c>
      <c r="BZ46" s="17">
        <f t="shared" si="34"/>
        <v>0</v>
      </c>
      <c r="CA46" s="17">
        <f t="shared" si="35"/>
        <v>0</v>
      </c>
      <c r="CB46" s="17">
        <f t="shared" si="36"/>
        <v>0</v>
      </c>
      <c r="CC46" s="17">
        <f t="shared" si="37"/>
        <v>0</v>
      </c>
      <c r="CD46" s="17">
        <f t="shared" si="38"/>
        <v>0</v>
      </c>
      <c r="CE46" s="17">
        <f t="shared" si="50"/>
        <v>0</v>
      </c>
      <c r="CF46" s="17">
        <f t="shared" si="39"/>
        <v>0</v>
      </c>
      <c r="CG46" s="17">
        <f t="shared" si="40"/>
        <v>0</v>
      </c>
      <c r="CH46" s="17">
        <f t="shared" si="41"/>
        <v>0</v>
      </c>
      <c r="CI46" s="17">
        <f t="shared" si="42"/>
        <v>0</v>
      </c>
      <c r="CJ46" s="17">
        <f t="shared" si="43"/>
        <v>0</v>
      </c>
      <c r="CK46" s="17">
        <f t="shared" si="44"/>
        <v>0</v>
      </c>
      <c r="CL46" s="17">
        <f t="shared" si="45"/>
        <v>0</v>
      </c>
      <c r="CM46" s="14">
        <f t="shared" si="46"/>
        <v>0</v>
      </c>
      <c r="CN46" s="17">
        <f t="shared" si="47"/>
        <v>0</v>
      </c>
      <c r="CO46" s="14">
        <f t="shared" si="48"/>
        <v>0</v>
      </c>
      <c r="CP46" s="17">
        <f t="shared" si="49"/>
        <v>0</v>
      </c>
      <c r="CQ46" s="14">
        <f t="shared" si="24"/>
        <v>0</v>
      </c>
      <c r="CR46" s="14">
        <v>19</v>
      </c>
      <c r="CS46" s="14">
        <v>328</v>
      </c>
      <c r="CT46" s="14">
        <v>50</v>
      </c>
      <c r="CU46" s="14">
        <v>461</v>
      </c>
    </row>
    <row r="47" spans="1:99" x14ac:dyDescent="0.3">
      <c r="A47" s="14">
        <v>2013</v>
      </c>
      <c r="B47" s="14" t="s">
        <v>9</v>
      </c>
      <c r="C47" s="14" t="s">
        <v>10</v>
      </c>
      <c r="D47" s="15">
        <v>3257516.8</v>
      </c>
      <c r="E47" s="15">
        <v>97084366.00000003</v>
      </c>
      <c r="F47" s="15">
        <f t="shared" si="25"/>
        <v>29.803181982054561</v>
      </c>
      <c r="AB47" s="14">
        <f t="shared" si="26"/>
        <v>0</v>
      </c>
      <c r="AM47" s="14">
        <f t="shared" si="27"/>
        <v>0</v>
      </c>
      <c r="AQ47" s="14">
        <f t="shared" si="28"/>
        <v>0</v>
      </c>
      <c r="AT47" s="14">
        <f t="shared" si="29"/>
        <v>0</v>
      </c>
      <c r="AU47" s="16">
        <v>0</v>
      </c>
      <c r="AV47" s="16">
        <v>0</v>
      </c>
      <c r="AW47" s="16">
        <v>13850</v>
      </c>
      <c r="AX47" s="16">
        <v>0</v>
      </c>
      <c r="AY47" s="18">
        <f t="shared" si="30"/>
        <v>0</v>
      </c>
      <c r="AZ47" s="17">
        <f t="shared" si="31"/>
        <v>0</v>
      </c>
      <c r="BA47" s="17">
        <f t="shared" si="32"/>
        <v>1.4265942675054391</v>
      </c>
      <c r="BB47" s="17">
        <f t="shared" si="33"/>
        <v>0</v>
      </c>
      <c r="BC47" s="17">
        <f t="shared" si="0"/>
        <v>0</v>
      </c>
      <c r="BD47" s="17">
        <f t="shared" si="1"/>
        <v>0</v>
      </c>
      <c r="BE47" s="17">
        <f t="shared" si="2"/>
        <v>0</v>
      </c>
      <c r="BF47" s="17">
        <f t="shared" si="3"/>
        <v>0</v>
      </c>
      <c r="BG47" s="17">
        <f t="shared" si="4"/>
        <v>0</v>
      </c>
      <c r="BH47" s="17">
        <f t="shared" si="5"/>
        <v>0</v>
      </c>
      <c r="BI47" s="17">
        <f t="shared" si="6"/>
        <v>0</v>
      </c>
      <c r="BJ47" s="17">
        <f t="shared" si="7"/>
        <v>0</v>
      </c>
      <c r="BK47" s="17">
        <f t="shared" si="8"/>
        <v>0</v>
      </c>
      <c r="BL47" s="17">
        <f t="shared" si="9"/>
        <v>0</v>
      </c>
      <c r="BM47" s="17">
        <f t="shared" si="10"/>
        <v>0</v>
      </c>
      <c r="BN47" s="17">
        <f t="shared" si="11"/>
        <v>0</v>
      </c>
      <c r="BO47" s="17">
        <f t="shared" si="12"/>
        <v>0</v>
      </c>
      <c r="BP47" s="17">
        <f t="shared" si="13"/>
        <v>0</v>
      </c>
      <c r="BQ47" s="17">
        <f t="shared" si="14"/>
        <v>0</v>
      </c>
      <c r="BR47" s="17">
        <f t="shared" si="15"/>
        <v>0</v>
      </c>
      <c r="BS47" s="17">
        <f t="shared" si="16"/>
        <v>0</v>
      </c>
      <c r="BT47" s="17">
        <f t="shared" si="17"/>
        <v>0</v>
      </c>
      <c r="BU47" s="17">
        <f t="shared" si="18"/>
        <v>0</v>
      </c>
      <c r="BV47" s="17">
        <f t="shared" si="19"/>
        <v>0</v>
      </c>
      <c r="BW47" s="17">
        <f t="shared" si="20"/>
        <v>0</v>
      </c>
      <c r="BX47" s="17">
        <f t="shared" si="21"/>
        <v>0</v>
      </c>
      <c r="BY47" s="17">
        <f t="shared" si="22"/>
        <v>0</v>
      </c>
      <c r="BZ47" s="17">
        <f t="shared" si="34"/>
        <v>0</v>
      </c>
      <c r="CA47" s="17">
        <f t="shared" si="35"/>
        <v>0</v>
      </c>
      <c r="CB47" s="17">
        <f t="shared" si="36"/>
        <v>0</v>
      </c>
      <c r="CC47" s="17">
        <f t="shared" si="37"/>
        <v>0</v>
      </c>
      <c r="CD47" s="17">
        <f t="shared" si="38"/>
        <v>0</v>
      </c>
      <c r="CE47" s="17">
        <f t="shared" si="50"/>
        <v>0</v>
      </c>
      <c r="CF47" s="17">
        <f t="shared" si="39"/>
        <v>0</v>
      </c>
      <c r="CG47" s="17">
        <f t="shared" si="40"/>
        <v>0</v>
      </c>
      <c r="CH47" s="17">
        <f t="shared" si="41"/>
        <v>0</v>
      </c>
      <c r="CI47" s="17">
        <f t="shared" si="42"/>
        <v>0</v>
      </c>
      <c r="CJ47" s="17">
        <f t="shared" si="43"/>
        <v>0</v>
      </c>
      <c r="CK47" s="17">
        <f t="shared" si="44"/>
        <v>0</v>
      </c>
      <c r="CL47" s="17">
        <f t="shared" si="45"/>
        <v>0</v>
      </c>
      <c r="CM47" s="14">
        <f t="shared" si="46"/>
        <v>13850</v>
      </c>
      <c r="CN47" s="17"/>
      <c r="CO47" s="14">
        <f t="shared" si="48"/>
        <v>13850</v>
      </c>
      <c r="CP47" s="17"/>
      <c r="CQ47" s="14">
        <f t="shared" si="24"/>
        <v>13850</v>
      </c>
      <c r="CR47" s="14">
        <v>0</v>
      </c>
      <c r="CS47" s="14">
        <v>0</v>
      </c>
      <c r="CT47" s="14">
        <v>0</v>
      </c>
      <c r="CU47" s="14">
        <v>0</v>
      </c>
    </row>
    <row r="48" spans="1:99" x14ac:dyDescent="0.3">
      <c r="A48" s="14">
        <v>2014</v>
      </c>
      <c r="B48" s="14" t="s">
        <v>9</v>
      </c>
      <c r="C48" s="14" t="s">
        <v>10</v>
      </c>
      <c r="D48" s="15">
        <v>3292126.2</v>
      </c>
      <c r="E48" s="15">
        <v>99746766.49999994</v>
      </c>
      <c r="F48" s="15">
        <f t="shared" si="25"/>
        <v>30.298585303321584</v>
      </c>
      <c r="AB48" s="14">
        <f t="shared" si="26"/>
        <v>0</v>
      </c>
      <c r="AM48" s="14">
        <f t="shared" si="27"/>
        <v>0</v>
      </c>
      <c r="AQ48" s="14">
        <f t="shared" si="28"/>
        <v>0</v>
      </c>
      <c r="AT48" s="14">
        <f t="shared" si="29"/>
        <v>0</v>
      </c>
      <c r="AU48" s="16">
        <v>0</v>
      </c>
      <c r="AV48" s="16">
        <v>0</v>
      </c>
      <c r="AW48" s="16">
        <v>0</v>
      </c>
      <c r="AX48" s="16">
        <v>0</v>
      </c>
      <c r="AY48" s="18">
        <f t="shared" si="30"/>
        <v>0</v>
      </c>
      <c r="AZ48" s="17">
        <f t="shared" si="31"/>
        <v>0</v>
      </c>
      <c r="BA48" s="17">
        <f t="shared" si="32"/>
        <v>0</v>
      </c>
      <c r="BB48" s="17">
        <f t="shared" si="33"/>
        <v>0</v>
      </c>
      <c r="BC48" s="17">
        <f t="shared" si="0"/>
        <v>0</v>
      </c>
      <c r="BD48" s="17">
        <f t="shared" si="1"/>
        <v>0</v>
      </c>
      <c r="BE48" s="17">
        <f t="shared" si="2"/>
        <v>0</v>
      </c>
      <c r="BF48" s="17">
        <f t="shared" si="3"/>
        <v>0</v>
      </c>
      <c r="BG48" s="17">
        <f t="shared" si="4"/>
        <v>0</v>
      </c>
      <c r="BH48" s="17">
        <f t="shared" si="5"/>
        <v>0</v>
      </c>
      <c r="BI48" s="17">
        <f t="shared" si="6"/>
        <v>0</v>
      </c>
      <c r="BJ48" s="17">
        <f t="shared" si="7"/>
        <v>0</v>
      </c>
      <c r="BK48" s="17">
        <f t="shared" si="8"/>
        <v>0</v>
      </c>
      <c r="BL48" s="17">
        <f t="shared" si="9"/>
        <v>0</v>
      </c>
      <c r="BM48" s="17">
        <f t="shared" si="10"/>
        <v>0</v>
      </c>
      <c r="BN48" s="17">
        <f t="shared" si="11"/>
        <v>0</v>
      </c>
      <c r="BO48" s="17">
        <f t="shared" si="12"/>
        <v>0</v>
      </c>
      <c r="BP48" s="17">
        <f t="shared" si="13"/>
        <v>0</v>
      </c>
      <c r="BQ48" s="17">
        <f t="shared" si="14"/>
        <v>0</v>
      </c>
      <c r="BR48" s="17">
        <f t="shared" si="15"/>
        <v>0</v>
      </c>
      <c r="BS48" s="17">
        <f t="shared" si="16"/>
        <v>0</v>
      </c>
      <c r="BT48" s="17">
        <f t="shared" si="17"/>
        <v>0</v>
      </c>
      <c r="BU48" s="17">
        <f t="shared" si="18"/>
        <v>0</v>
      </c>
      <c r="BV48" s="17">
        <f t="shared" si="19"/>
        <v>0</v>
      </c>
      <c r="BW48" s="17">
        <f t="shared" si="20"/>
        <v>0</v>
      </c>
      <c r="BX48" s="17">
        <f t="shared" si="21"/>
        <v>0</v>
      </c>
      <c r="BY48" s="17">
        <f t="shared" si="22"/>
        <v>0</v>
      </c>
      <c r="BZ48" s="17">
        <f t="shared" si="34"/>
        <v>0</v>
      </c>
      <c r="CA48" s="17">
        <f t="shared" si="35"/>
        <v>0</v>
      </c>
      <c r="CB48" s="17">
        <f t="shared" si="36"/>
        <v>0</v>
      </c>
      <c r="CC48" s="17">
        <f t="shared" si="37"/>
        <v>0</v>
      </c>
      <c r="CD48" s="17">
        <f t="shared" si="38"/>
        <v>0</v>
      </c>
      <c r="CE48" s="17">
        <f t="shared" si="50"/>
        <v>0</v>
      </c>
      <c r="CF48" s="17">
        <f t="shared" si="39"/>
        <v>0</v>
      </c>
      <c r="CG48" s="17">
        <f t="shared" si="40"/>
        <v>0</v>
      </c>
      <c r="CH48" s="17">
        <f t="shared" si="41"/>
        <v>0</v>
      </c>
      <c r="CI48" s="17">
        <f t="shared" si="42"/>
        <v>0</v>
      </c>
      <c r="CJ48" s="17">
        <f t="shared" si="43"/>
        <v>0</v>
      </c>
      <c r="CK48" s="17">
        <f t="shared" si="44"/>
        <v>0</v>
      </c>
      <c r="CL48" s="17">
        <f t="shared" si="45"/>
        <v>0</v>
      </c>
      <c r="CM48" s="14">
        <f t="shared" si="46"/>
        <v>0</v>
      </c>
      <c r="CN48" s="17">
        <f t="shared" si="47"/>
        <v>0</v>
      </c>
      <c r="CO48" s="14">
        <f t="shared" si="48"/>
        <v>0</v>
      </c>
      <c r="CP48" s="17">
        <f t="shared" si="49"/>
        <v>0</v>
      </c>
      <c r="CQ48" s="14">
        <f t="shared" si="24"/>
        <v>0</v>
      </c>
      <c r="CR48" s="14">
        <v>1032</v>
      </c>
      <c r="CS48" s="14">
        <v>7329</v>
      </c>
      <c r="CT48" s="14">
        <v>0</v>
      </c>
      <c r="CU48" s="14">
        <v>2970</v>
      </c>
    </row>
    <row r="49" spans="1:99" x14ac:dyDescent="0.3">
      <c r="A49" s="14">
        <v>2015</v>
      </c>
      <c r="B49" s="14" t="s">
        <v>9</v>
      </c>
      <c r="C49" s="14" t="s">
        <v>10</v>
      </c>
      <c r="D49" s="15">
        <v>3362812.3</v>
      </c>
      <c r="E49" s="15">
        <v>102471895.49999996</v>
      </c>
      <c r="F49" s="15">
        <f t="shared" si="25"/>
        <v>30.47208299434374</v>
      </c>
      <c r="AB49" s="14">
        <f t="shared" si="26"/>
        <v>0</v>
      </c>
      <c r="AM49" s="14">
        <f t="shared" si="27"/>
        <v>0</v>
      </c>
      <c r="AQ49" s="14">
        <f t="shared" si="28"/>
        <v>0</v>
      </c>
      <c r="AT49" s="14">
        <f t="shared" si="29"/>
        <v>0</v>
      </c>
      <c r="AU49" s="16">
        <v>0</v>
      </c>
      <c r="AV49" s="16">
        <v>0</v>
      </c>
      <c r="AW49" s="16">
        <v>0</v>
      </c>
      <c r="AX49" s="16">
        <v>0</v>
      </c>
      <c r="AY49" s="18">
        <f t="shared" si="30"/>
        <v>0</v>
      </c>
      <c r="AZ49" s="17">
        <f t="shared" si="31"/>
        <v>0</v>
      </c>
      <c r="BA49" s="17">
        <f t="shared" si="32"/>
        <v>0</v>
      </c>
      <c r="BB49" s="17">
        <f t="shared" si="33"/>
        <v>0</v>
      </c>
      <c r="BC49" s="17">
        <f t="shared" si="0"/>
        <v>0</v>
      </c>
      <c r="BD49" s="17">
        <f t="shared" si="1"/>
        <v>0</v>
      </c>
      <c r="BE49" s="17">
        <f t="shared" si="2"/>
        <v>0</v>
      </c>
      <c r="BF49" s="17">
        <f t="shared" si="3"/>
        <v>0</v>
      </c>
      <c r="BG49" s="17">
        <f t="shared" si="4"/>
        <v>0</v>
      </c>
      <c r="BH49" s="17">
        <f t="shared" si="5"/>
        <v>0</v>
      </c>
      <c r="BI49" s="17">
        <f t="shared" si="6"/>
        <v>0</v>
      </c>
      <c r="BJ49" s="17">
        <f t="shared" si="7"/>
        <v>0</v>
      </c>
      <c r="BK49" s="17">
        <f t="shared" si="8"/>
        <v>0</v>
      </c>
      <c r="BL49" s="17">
        <f t="shared" si="9"/>
        <v>0</v>
      </c>
      <c r="BM49" s="17">
        <f t="shared" si="10"/>
        <v>0</v>
      </c>
      <c r="BN49" s="17">
        <f t="shared" si="11"/>
        <v>0</v>
      </c>
      <c r="BO49" s="17">
        <f t="shared" si="12"/>
        <v>0</v>
      </c>
      <c r="BP49" s="17">
        <f t="shared" si="13"/>
        <v>0</v>
      </c>
      <c r="BQ49" s="17">
        <f t="shared" si="14"/>
        <v>0</v>
      </c>
      <c r="BR49" s="17">
        <f t="shared" si="15"/>
        <v>0</v>
      </c>
      <c r="BS49" s="17">
        <f t="shared" si="16"/>
        <v>0</v>
      </c>
      <c r="BT49" s="17">
        <f t="shared" si="17"/>
        <v>0</v>
      </c>
      <c r="BU49" s="17">
        <f t="shared" si="18"/>
        <v>0</v>
      </c>
      <c r="BV49" s="17">
        <f t="shared" si="19"/>
        <v>0</v>
      </c>
      <c r="BW49" s="17">
        <f t="shared" si="20"/>
        <v>0</v>
      </c>
      <c r="BX49" s="17">
        <f t="shared" si="21"/>
        <v>0</v>
      </c>
      <c r="BY49" s="17">
        <f t="shared" si="22"/>
        <v>0</v>
      </c>
      <c r="BZ49" s="17">
        <f t="shared" si="34"/>
        <v>0</v>
      </c>
      <c r="CA49" s="17">
        <f t="shared" si="35"/>
        <v>0</v>
      </c>
      <c r="CB49" s="17">
        <f t="shared" si="36"/>
        <v>0</v>
      </c>
      <c r="CC49" s="17">
        <f t="shared" si="37"/>
        <v>0</v>
      </c>
      <c r="CD49" s="17">
        <f t="shared" si="38"/>
        <v>0</v>
      </c>
      <c r="CE49" s="17">
        <f t="shared" si="50"/>
        <v>0</v>
      </c>
      <c r="CF49" s="17">
        <f t="shared" si="39"/>
        <v>0</v>
      </c>
      <c r="CG49" s="17">
        <f t="shared" si="40"/>
        <v>0</v>
      </c>
      <c r="CH49" s="17">
        <f t="shared" si="41"/>
        <v>0</v>
      </c>
      <c r="CI49" s="17">
        <f t="shared" si="42"/>
        <v>0</v>
      </c>
      <c r="CJ49" s="17">
        <f t="shared" si="43"/>
        <v>0</v>
      </c>
      <c r="CK49" s="17">
        <f t="shared" si="44"/>
        <v>0</v>
      </c>
      <c r="CL49" s="17">
        <f t="shared" si="45"/>
        <v>0</v>
      </c>
      <c r="CM49" s="14">
        <f t="shared" si="46"/>
        <v>0</v>
      </c>
      <c r="CN49" s="17">
        <f t="shared" si="47"/>
        <v>0</v>
      </c>
      <c r="CO49" s="14">
        <f t="shared" si="48"/>
        <v>0</v>
      </c>
      <c r="CP49" s="17">
        <f t="shared" si="49"/>
        <v>0</v>
      </c>
      <c r="CQ49" s="14">
        <f t="shared" si="24"/>
        <v>0</v>
      </c>
      <c r="CR49" s="14">
        <v>275</v>
      </c>
      <c r="CS49" s="14">
        <v>894</v>
      </c>
      <c r="CT49" s="14">
        <v>35</v>
      </c>
      <c r="CU49" s="14">
        <v>0</v>
      </c>
    </row>
    <row r="50" spans="1:99" x14ac:dyDescent="0.3">
      <c r="A50" s="14">
        <v>2016</v>
      </c>
      <c r="B50" s="14" t="s">
        <v>9</v>
      </c>
      <c r="C50" s="14" t="s">
        <v>10</v>
      </c>
      <c r="D50" s="15">
        <v>3447899.3</v>
      </c>
      <c r="E50" s="15">
        <v>105293228.50000003</v>
      </c>
      <c r="F50" s="15">
        <f t="shared" si="25"/>
        <v>30.53837114674435</v>
      </c>
      <c r="AB50" s="14">
        <f t="shared" si="26"/>
        <v>0</v>
      </c>
      <c r="AM50" s="14">
        <f t="shared" si="27"/>
        <v>0</v>
      </c>
      <c r="AQ50" s="14">
        <f t="shared" si="28"/>
        <v>0</v>
      </c>
      <c r="AT50" s="14">
        <f t="shared" si="29"/>
        <v>0</v>
      </c>
      <c r="AU50" s="16">
        <v>296</v>
      </c>
      <c r="AV50" s="16">
        <v>0</v>
      </c>
      <c r="AW50" s="16">
        <v>24138</v>
      </c>
      <c r="AX50" s="16">
        <v>0</v>
      </c>
      <c r="AY50" s="18">
        <f t="shared" si="30"/>
        <v>2.8111969232665318E-2</v>
      </c>
      <c r="AZ50" s="17">
        <f t="shared" si="31"/>
        <v>0</v>
      </c>
      <c r="BA50" s="17">
        <f t="shared" si="32"/>
        <v>2.2924551126286334</v>
      </c>
      <c r="BB50" s="17">
        <f t="shared" si="33"/>
        <v>0</v>
      </c>
      <c r="BC50" s="17">
        <f t="shared" si="0"/>
        <v>0</v>
      </c>
      <c r="BD50" s="17">
        <f t="shared" si="1"/>
        <v>0</v>
      </c>
      <c r="BE50" s="17">
        <f t="shared" si="2"/>
        <v>0</v>
      </c>
      <c r="BF50" s="17">
        <f t="shared" si="3"/>
        <v>0</v>
      </c>
      <c r="BG50" s="17">
        <f t="shared" si="4"/>
        <v>0</v>
      </c>
      <c r="BH50" s="17">
        <f t="shared" si="5"/>
        <v>0</v>
      </c>
      <c r="BI50" s="17">
        <f t="shared" si="6"/>
        <v>0</v>
      </c>
      <c r="BJ50" s="17">
        <f t="shared" si="7"/>
        <v>0</v>
      </c>
      <c r="BK50" s="17">
        <f t="shared" si="8"/>
        <v>0</v>
      </c>
      <c r="BL50" s="17">
        <f t="shared" si="9"/>
        <v>0</v>
      </c>
      <c r="BM50" s="17">
        <f t="shared" si="10"/>
        <v>0</v>
      </c>
      <c r="BN50" s="17">
        <f t="shared" si="11"/>
        <v>0</v>
      </c>
      <c r="BO50" s="17">
        <f t="shared" si="12"/>
        <v>0</v>
      </c>
      <c r="BP50" s="17">
        <f t="shared" si="13"/>
        <v>0</v>
      </c>
      <c r="BQ50" s="17">
        <f t="shared" si="14"/>
        <v>0</v>
      </c>
      <c r="BR50" s="17">
        <f t="shared" si="15"/>
        <v>0</v>
      </c>
      <c r="BS50" s="17">
        <f t="shared" si="16"/>
        <v>0</v>
      </c>
      <c r="BT50" s="17">
        <f t="shared" si="17"/>
        <v>0</v>
      </c>
      <c r="BU50" s="17">
        <f t="shared" si="18"/>
        <v>0</v>
      </c>
      <c r="BV50" s="17">
        <f t="shared" si="19"/>
        <v>0</v>
      </c>
      <c r="BW50" s="17">
        <f t="shared" si="20"/>
        <v>0</v>
      </c>
      <c r="BX50" s="17">
        <f t="shared" si="21"/>
        <v>0</v>
      </c>
      <c r="BY50" s="17">
        <f t="shared" si="22"/>
        <v>0</v>
      </c>
      <c r="BZ50" s="17">
        <f t="shared" si="34"/>
        <v>0</v>
      </c>
      <c r="CA50" s="17">
        <f t="shared" si="35"/>
        <v>0</v>
      </c>
      <c r="CB50" s="17">
        <f t="shared" si="36"/>
        <v>0</v>
      </c>
      <c r="CC50" s="17">
        <f t="shared" si="37"/>
        <v>0</v>
      </c>
      <c r="CD50" s="17">
        <f t="shared" si="38"/>
        <v>0</v>
      </c>
      <c r="CE50" s="17">
        <f t="shared" si="50"/>
        <v>0</v>
      </c>
      <c r="CF50" s="17">
        <f t="shared" si="39"/>
        <v>0</v>
      </c>
      <c r="CG50" s="17">
        <f t="shared" si="40"/>
        <v>0</v>
      </c>
      <c r="CH50" s="17">
        <f t="shared" si="41"/>
        <v>0</v>
      </c>
      <c r="CI50" s="17">
        <f t="shared" si="42"/>
        <v>0</v>
      </c>
      <c r="CJ50" s="17">
        <f t="shared" si="43"/>
        <v>0</v>
      </c>
      <c r="CK50" s="17">
        <f t="shared" si="44"/>
        <v>0</v>
      </c>
      <c r="CL50" s="17">
        <f t="shared" si="45"/>
        <v>0</v>
      </c>
      <c r="CM50" s="14">
        <f t="shared" si="46"/>
        <v>24138</v>
      </c>
      <c r="CN50" s="17"/>
      <c r="CO50" s="14">
        <f t="shared" si="48"/>
        <v>24434</v>
      </c>
      <c r="CP50" s="17"/>
      <c r="CQ50" s="14">
        <f t="shared" si="24"/>
        <v>24434</v>
      </c>
      <c r="CR50" s="14">
        <v>2</v>
      </c>
      <c r="CS50" s="14">
        <v>2</v>
      </c>
      <c r="CT50" s="14">
        <v>0</v>
      </c>
      <c r="CU50" s="14">
        <v>64</v>
      </c>
    </row>
    <row r="51" spans="1:99" x14ac:dyDescent="0.3">
      <c r="A51" s="14">
        <v>2017</v>
      </c>
      <c r="B51" s="14" t="s">
        <v>9</v>
      </c>
      <c r="C51" s="14" t="s">
        <v>10</v>
      </c>
      <c r="D51" s="15">
        <v>3528311.4</v>
      </c>
      <c r="E51" s="15">
        <v>108197949.49999994</v>
      </c>
      <c r="F51" s="15">
        <f t="shared" si="25"/>
        <v>30.665646320219906</v>
      </c>
      <c r="AB51" s="14">
        <f t="shared" si="26"/>
        <v>0</v>
      </c>
      <c r="AM51" s="14">
        <f t="shared" si="27"/>
        <v>0</v>
      </c>
      <c r="AQ51" s="14">
        <f t="shared" si="28"/>
        <v>0</v>
      </c>
      <c r="AT51" s="14">
        <f t="shared" si="29"/>
        <v>0</v>
      </c>
      <c r="AU51" s="16">
        <v>0</v>
      </c>
      <c r="AV51" s="16">
        <v>176328</v>
      </c>
      <c r="AW51" s="16">
        <v>0</v>
      </c>
      <c r="AX51" s="16">
        <v>0</v>
      </c>
      <c r="AY51" s="18">
        <f t="shared" si="30"/>
        <v>0</v>
      </c>
      <c r="AZ51" s="17">
        <f t="shared" si="31"/>
        <v>16.296796826080339</v>
      </c>
      <c r="BA51" s="17">
        <f t="shared" si="32"/>
        <v>0</v>
      </c>
      <c r="BB51" s="17">
        <f t="shared" si="33"/>
        <v>0</v>
      </c>
      <c r="BC51" s="17">
        <f t="shared" si="0"/>
        <v>0</v>
      </c>
      <c r="BD51" s="17">
        <f t="shared" si="1"/>
        <v>0</v>
      </c>
      <c r="BE51" s="17">
        <f t="shared" si="2"/>
        <v>0</v>
      </c>
      <c r="BF51" s="17">
        <f t="shared" si="3"/>
        <v>0</v>
      </c>
      <c r="BG51" s="17">
        <f t="shared" si="4"/>
        <v>0</v>
      </c>
      <c r="BH51" s="17">
        <f t="shared" si="5"/>
        <v>0</v>
      </c>
      <c r="BI51" s="17">
        <f t="shared" si="6"/>
        <v>0</v>
      </c>
      <c r="BJ51" s="17">
        <f t="shared" si="7"/>
        <v>0</v>
      </c>
      <c r="BK51" s="17">
        <f t="shared" si="8"/>
        <v>0</v>
      </c>
      <c r="BL51" s="17">
        <f t="shared" si="9"/>
        <v>0</v>
      </c>
      <c r="BM51" s="17">
        <f t="shared" si="10"/>
        <v>0</v>
      </c>
      <c r="BN51" s="17">
        <f t="shared" si="11"/>
        <v>0</v>
      </c>
      <c r="BO51" s="17">
        <f t="shared" si="12"/>
        <v>0</v>
      </c>
      <c r="BP51" s="17">
        <f t="shared" si="13"/>
        <v>0</v>
      </c>
      <c r="BQ51" s="17">
        <f t="shared" si="14"/>
        <v>0</v>
      </c>
      <c r="BR51" s="17">
        <f t="shared" si="15"/>
        <v>0</v>
      </c>
      <c r="BS51" s="17">
        <f t="shared" si="16"/>
        <v>0</v>
      </c>
      <c r="BT51" s="17">
        <f t="shared" si="17"/>
        <v>0</v>
      </c>
      <c r="BU51" s="17">
        <f t="shared" si="18"/>
        <v>0</v>
      </c>
      <c r="BV51" s="17">
        <f t="shared" si="19"/>
        <v>0</v>
      </c>
      <c r="BW51" s="17">
        <f t="shared" si="20"/>
        <v>0</v>
      </c>
      <c r="BX51" s="17">
        <f t="shared" si="21"/>
        <v>0</v>
      </c>
      <c r="BY51" s="17">
        <f t="shared" si="22"/>
        <v>0</v>
      </c>
      <c r="BZ51" s="17">
        <f t="shared" si="34"/>
        <v>0</v>
      </c>
      <c r="CA51" s="17">
        <f t="shared" si="35"/>
        <v>0</v>
      </c>
      <c r="CB51" s="17">
        <f t="shared" si="36"/>
        <v>0</v>
      </c>
      <c r="CC51" s="17">
        <f t="shared" si="37"/>
        <v>0</v>
      </c>
      <c r="CD51" s="17">
        <f t="shared" si="38"/>
        <v>0</v>
      </c>
      <c r="CE51" s="17">
        <f t="shared" si="50"/>
        <v>0</v>
      </c>
      <c r="CF51" s="17">
        <f t="shared" si="39"/>
        <v>0</v>
      </c>
      <c r="CG51" s="17">
        <f t="shared" si="40"/>
        <v>0</v>
      </c>
      <c r="CH51" s="17">
        <f t="shared" si="41"/>
        <v>0</v>
      </c>
      <c r="CI51" s="17">
        <f t="shared" si="42"/>
        <v>0</v>
      </c>
      <c r="CJ51" s="17">
        <f t="shared" si="43"/>
        <v>0</v>
      </c>
      <c r="CK51" s="17">
        <f t="shared" si="44"/>
        <v>0</v>
      </c>
      <c r="CL51" s="17">
        <f t="shared" si="45"/>
        <v>0</v>
      </c>
      <c r="CM51" s="14">
        <f t="shared" si="46"/>
        <v>176328</v>
      </c>
      <c r="CN51" s="17">
        <f t="shared" si="47"/>
        <v>16.296796826080339</v>
      </c>
      <c r="CO51" s="14">
        <f t="shared" si="48"/>
        <v>176328</v>
      </c>
      <c r="CP51" s="17">
        <f t="shared" si="49"/>
        <v>16.296796826080339</v>
      </c>
      <c r="CQ51" s="14">
        <f t="shared" si="24"/>
        <v>176328</v>
      </c>
      <c r="CR51" s="14">
        <v>0</v>
      </c>
      <c r="CS51" s="14">
        <v>0</v>
      </c>
      <c r="CT51" s="14">
        <v>0</v>
      </c>
      <c r="CU51" s="14">
        <v>0</v>
      </c>
    </row>
    <row r="52" spans="1:99" x14ac:dyDescent="0.3">
      <c r="A52" s="14">
        <v>2018</v>
      </c>
      <c r="B52" s="14" t="s">
        <v>9</v>
      </c>
      <c r="C52" s="14" t="s">
        <v>10</v>
      </c>
      <c r="D52" s="15">
        <v>3612346.7</v>
      </c>
      <c r="E52" s="15">
        <v>111129438.00000001</v>
      </c>
      <c r="F52" s="15">
        <f t="shared" si="25"/>
        <v>30.763779678179841</v>
      </c>
      <c r="G52" s="14">
        <v>1889</v>
      </c>
      <c r="H52" s="14">
        <v>10752</v>
      </c>
      <c r="M52" s="14">
        <v>37259</v>
      </c>
      <c r="Z52" s="14">
        <v>10450</v>
      </c>
      <c r="AB52" s="14">
        <f t="shared" si="26"/>
        <v>0</v>
      </c>
      <c r="AM52" s="14">
        <f t="shared" si="27"/>
        <v>0</v>
      </c>
      <c r="AQ52" s="14">
        <f t="shared" si="28"/>
        <v>0</v>
      </c>
      <c r="AT52" s="14">
        <f t="shared" si="29"/>
        <v>0</v>
      </c>
      <c r="AU52" s="16">
        <v>17026</v>
      </c>
      <c r="AV52" s="16">
        <v>123544</v>
      </c>
      <c r="AW52" s="16">
        <v>32318</v>
      </c>
      <c r="AX52" s="16">
        <v>0</v>
      </c>
      <c r="AY52" s="18">
        <f t="shared" si="30"/>
        <v>1.5320872944574775</v>
      </c>
      <c r="AZ52" s="17">
        <f t="shared" si="31"/>
        <v>11.117126318950698</v>
      </c>
      <c r="BA52" s="17">
        <f t="shared" si="32"/>
        <v>2.9081403255184282</v>
      </c>
      <c r="BB52" s="17">
        <f t="shared" si="33"/>
        <v>0</v>
      </c>
      <c r="BC52" s="17">
        <f t="shared" si="0"/>
        <v>0.16998196283508604</v>
      </c>
      <c r="BD52" s="17">
        <f t="shared" si="1"/>
        <v>0.96752041524766808</v>
      </c>
      <c r="BE52" s="17">
        <f t="shared" si="2"/>
        <v>0</v>
      </c>
      <c r="BF52" s="17">
        <f t="shared" si="3"/>
        <v>0</v>
      </c>
      <c r="BG52" s="17">
        <f t="shared" si="4"/>
        <v>0</v>
      </c>
      <c r="BH52" s="17">
        <f t="shared" si="5"/>
        <v>0</v>
      </c>
      <c r="BI52" s="17">
        <f t="shared" si="6"/>
        <v>3.352756989556628</v>
      </c>
      <c r="BJ52" s="17">
        <f t="shared" si="7"/>
        <v>0</v>
      </c>
      <c r="BK52" s="17">
        <f t="shared" si="8"/>
        <v>0</v>
      </c>
      <c r="BL52" s="17">
        <f t="shared" si="9"/>
        <v>0</v>
      </c>
      <c r="BM52" s="17">
        <f t="shared" si="10"/>
        <v>0</v>
      </c>
      <c r="BN52" s="17">
        <f t="shared" si="11"/>
        <v>0</v>
      </c>
      <c r="BO52" s="17">
        <f t="shared" si="12"/>
        <v>0</v>
      </c>
      <c r="BP52" s="17">
        <f t="shared" si="13"/>
        <v>0</v>
      </c>
      <c r="BQ52" s="17">
        <f t="shared" si="14"/>
        <v>0</v>
      </c>
      <c r="BR52" s="17">
        <f t="shared" si="15"/>
        <v>0</v>
      </c>
      <c r="BS52" s="17">
        <f t="shared" si="16"/>
        <v>0</v>
      </c>
      <c r="BT52" s="17">
        <f t="shared" si="17"/>
        <v>0</v>
      </c>
      <c r="BU52" s="17">
        <f t="shared" si="18"/>
        <v>0</v>
      </c>
      <c r="BV52" s="17">
        <f t="shared" si="19"/>
        <v>0.94034489763189466</v>
      </c>
      <c r="BW52" s="17">
        <f t="shared" si="20"/>
        <v>0</v>
      </c>
      <c r="BX52" s="17">
        <f t="shared" si="21"/>
        <v>0</v>
      </c>
      <c r="BY52" s="17">
        <f t="shared" si="22"/>
        <v>0</v>
      </c>
      <c r="BZ52" s="17">
        <f t="shared" si="34"/>
        <v>0</v>
      </c>
      <c r="CA52" s="17">
        <f t="shared" si="35"/>
        <v>0</v>
      </c>
      <c r="CB52" s="17">
        <f t="shared" si="36"/>
        <v>0</v>
      </c>
      <c r="CC52" s="17">
        <f t="shared" si="37"/>
        <v>0</v>
      </c>
      <c r="CD52" s="17">
        <f t="shared" si="38"/>
        <v>0</v>
      </c>
      <c r="CE52" s="17">
        <f t="shared" si="50"/>
        <v>0</v>
      </c>
      <c r="CF52" s="17">
        <f t="shared" si="39"/>
        <v>0</v>
      </c>
      <c r="CG52" s="17">
        <f t="shared" si="40"/>
        <v>0</v>
      </c>
      <c r="CH52" s="17">
        <f t="shared" si="41"/>
        <v>0</v>
      </c>
      <c r="CI52" s="17">
        <f t="shared" si="42"/>
        <v>0</v>
      </c>
      <c r="CJ52" s="17">
        <f t="shared" si="43"/>
        <v>0</v>
      </c>
      <c r="CK52" s="17">
        <f t="shared" si="44"/>
        <v>0</v>
      </c>
      <c r="CL52" s="17">
        <f t="shared" si="45"/>
        <v>0</v>
      </c>
      <c r="CM52" s="14">
        <f t="shared" si="46"/>
        <v>155862</v>
      </c>
      <c r="CN52" s="17">
        <f t="shared" si="47"/>
        <v>14.025266644469125</v>
      </c>
      <c r="CO52" s="14">
        <f t="shared" si="48"/>
        <v>172888</v>
      </c>
      <c r="CP52" s="17">
        <f t="shared" si="49"/>
        <v>15.557353938926603</v>
      </c>
      <c r="CQ52" s="14">
        <f t="shared" si="24"/>
        <v>233238</v>
      </c>
      <c r="CR52" s="14">
        <v>268</v>
      </c>
      <c r="CS52" s="14">
        <v>995</v>
      </c>
      <c r="CT52" s="14">
        <v>1385</v>
      </c>
      <c r="CU52" s="14">
        <v>665</v>
      </c>
    </row>
    <row r="53" spans="1:99" x14ac:dyDescent="0.3">
      <c r="A53" s="14">
        <v>2019</v>
      </c>
      <c r="B53" s="14" t="s">
        <v>9</v>
      </c>
      <c r="C53" s="14" t="s">
        <v>10</v>
      </c>
      <c r="D53" s="15">
        <v>3717724.4</v>
      </c>
      <c r="E53" s="15">
        <v>114120593.49999996</v>
      </c>
      <c r="F53" s="15">
        <f t="shared" si="25"/>
        <v>30.69635648624195</v>
      </c>
      <c r="G53" s="14">
        <v>52</v>
      </c>
      <c r="AB53" s="14">
        <f t="shared" si="26"/>
        <v>0</v>
      </c>
      <c r="AM53" s="14">
        <f t="shared" si="27"/>
        <v>0</v>
      </c>
      <c r="AQ53" s="14">
        <f t="shared" si="28"/>
        <v>0</v>
      </c>
      <c r="AT53" s="14">
        <f t="shared" si="29"/>
        <v>0</v>
      </c>
      <c r="AU53" s="16">
        <v>11734</v>
      </c>
      <c r="AV53" s="16">
        <v>0</v>
      </c>
      <c r="AW53" s="16">
        <v>0</v>
      </c>
      <c r="AX53" s="16">
        <v>0</v>
      </c>
      <c r="AY53" s="18">
        <f t="shared" si="30"/>
        <v>1.0282105656942631</v>
      </c>
      <c r="AZ53" s="17">
        <f t="shared" si="31"/>
        <v>0</v>
      </c>
      <c r="BA53" s="17">
        <f t="shared" si="32"/>
        <v>0</v>
      </c>
      <c r="BB53" s="17">
        <f t="shared" si="33"/>
        <v>0</v>
      </c>
      <c r="BC53" s="17">
        <f t="shared" si="0"/>
        <v>4.5565833829982689E-3</v>
      </c>
      <c r="BD53" s="17">
        <f t="shared" si="1"/>
        <v>0</v>
      </c>
      <c r="BE53" s="17">
        <f t="shared" si="2"/>
        <v>0</v>
      </c>
      <c r="BF53" s="17">
        <f t="shared" si="3"/>
        <v>0</v>
      </c>
      <c r="BG53" s="17">
        <f t="shared" si="4"/>
        <v>0</v>
      </c>
      <c r="BH53" s="17">
        <f t="shared" si="5"/>
        <v>0</v>
      </c>
      <c r="BI53" s="17">
        <f t="shared" si="6"/>
        <v>0</v>
      </c>
      <c r="BJ53" s="17">
        <f t="shared" si="7"/>
        <v>0</v>
      </c>
      <c r="BK53" s="17">
        <f t="shared" si="8"/>
        <v>0</v>
      </c>
      <c r="BL53" s="17">
        <f t="shared" si="9"/>
        <v>0</v>
      </c>
      <c r="BM53" s="17">
        <f t="shared" si="10"/>
        <v>0</v>
      </c>
      <c r="BN53" s="17">
        <f t="shared" si="11"/>
        <v>0</v>
      </c>
      <c r="BO53" s="17">
        <f t="shared" si="12"/>
        <v>0</v>
      </c>
      <c r="BP53" s="17">
        <f t="shared" si="13"/>
        <v>0</v>
      </c>
      <c r="BQ53" s="17">
        <f t="shared" si="14"/>
        <v>0</v>
      </c>
      <c r="BR53" s="17">
        <f t="shared" si="15"/>
        <v>0</v>
      </c>
      <c r="BS53" s="17">
        <f t="shared" si="16"/>
        <v>0</v>
      </c>
      <c r="BT53" s="17">
        <f t="shared" si="17"/>
        <v>0</v>
      </c>
      <c r="BU53" s="17">
        <f t="shared" si="18"/>
        <v>0</v>
      </c>
      <c r="BV53" s="17">
        <f t="shared" si="19"/>
        <v>0</v>
      </c>
      <c r="BW53" s="17">
        <f t="shared" si="20"/>
        <v>0</v>
      </c>
      <c r="BX53" s="17">
        <f t="shared" si="21"/>
        <v>0</v>
      </c>
      <c r="BY53" s="17">
        <f t="shared" si="22"/>
        <v>0</v>
      </c>
      <c r="BZ53" s="17">
        <f t="shared" si="34"/>
        <v>0</v>
      </c>
      <c r="CA53" s="17">
        <f t="shared" si="35"/>
        <v>0</v>
      </c>
      <c r="CB53" s="17">
        <f t="shared" si="36"/>
        <v>0</v>
      </c>
      <c r="CC53" s="17">
        <f t="shared" si="37"/>
        <v>0</v>
      </c>
      <c r="CD53" s="17">
        <f t="shared" si="38"/>
        <v>0</v>
      </c>
      <c r="CE53" s="17">
        <f t="shared" si="50"/>
        <v>0</v>
      </c>
      <c r="CF53" s="17">
        <f t="shared" si="39"/>
        <v>0</v>
      </c>
      <c r="CG53" s="17">
        <f t="shared" si="40"/>
        <v>0</v>
      </c>
      <c r="CH53" s="17">
        <f t="shared" si="41"/>
        <v>0</v>
      </c>
      <c r="CI53" s="17">
        <f t="shared" si="42"/>
        <v>0</v>
      </c>
      <c r="CJ53" s="17">
        <f t="shared" si="43"/>
        <v>0</v>
      </c>
      <c r="CK53" s="17">
        <f t="shared" si="44"/>
        <v>0</v>
      </c>
      <c r="CL53" s="17">
        <f t="shared" si="45"/>
        <v>0</v>
      </c>
      <c r="CM53" s="14">
        <f t="shared" si="46"/>
        <v>0</v>
      </c>
      <c r="CN53" s="17">
        <f t="shared" si="47"/>
        <v>0</v>
      </c>
      <c r="CO53" s="14">
        <f t="shared" si="48"/>
        <v>11734</v>
      </c>
      <c r="CP53" s="17"/>
      <c r="CQ53" s="14">
        <f t="shared" si="24"/>
        <v>11786</v>
      </c>
      <c r="CR53" s="14">
        <v>0</v>
      </c>
      <c r="CS53" s="14">
        <v>15498</v>
      </c>
      <c r="CT53" s="14">
        <v>0</v>
      </c>
      <c r="CU53" s="14">
        <v>0</v>
      </c>
    </row>
    <row r="54" spans="1:99" x14ac:dyDescent="0.3">
      <c r="A54" s="14">
        <v>2020</v>
      </c>
      <c r="B54" s="14" t="s">
        <v>9</v>
      </c>
      <c r="C54" s="14" t="s">
        <v>10</v>
      </c>
      <c r="D54" s="15">
        <v>3808847.5</v>
      </c>
      <c r="E54" s="15">
        <v>117190910.99999994</v>
      </c>
      <c r="F54" s="15">
        <f t="shared" si="25"/>
        <v>30.768076432569153</v>
      </c>
      <c r="G54" s="14">
        <v>228</v>
      </c>
      <c r="H54" s="14">
        <v>5394</v>
      </c>
      <c r="I54" s="14">
        <v>113189</v>
      </c>
      <c r="K54" s="14">
        <v>4</v>
      </c>
      <c r="L54" s="14">
        <v>423</v>
      </c>
      <c r="M54" s="14">
        <v>42630</v>
      </c>
      <c r="N54" s="14">
        <v>110</v>
      </c>
      <c r="S54" s="14">
        <v>508</v>
      </c>
      <c r="T54" s="14">
        <v>2378</v>
      </c>
      <c r="U54" s="14">
        <v>5002</v>
      </c>
      <c r="Y54" s="14">
        <v>4752</v>
      </c>
      <c r="Z54" s="14">
        <v>8005</v>
      </c>
      <c r="AA54" s="14">
        <v>22</v>
      </c>
      <c r="AB54" s="14">
        <f t="shared" si="26"/>
        <v>22</v>
      </c>
      <c r="AE54" s="14">
        <v>688</v>
      </c>
      <c r="AF54" s="14">
        <v>654</v>
      </c>
      <c r="AI54" s="14">
        <v>1234</v>
      </c>
      <c r="AJ54" s="14">
        <v>10104</v>
      </c>
      <c r="AK54" s="14">
        <v>240</v>
      </c>
      <c r="AL54" s="14">
        <v>9</v>
      </c>
      <c r="AM54" s="14">
        <f t="shared" si="27"/>
        <v>249</v>
      </c>
      <c r="AQ54" s="14">
        <f t="shared" si="28"/>
        <v>0</v>
      </c>
      <c r="AT54" s="14">
        <f t="shared" si="29"/>
        <v>0</v>
      </c>
      <c r="AU54" s="16">
        <v>27155</v>
      </c>
      <c r="AV54" s="16">
        <v>139648</v>
      </c>
      <c r="AW54" s="16">
        <v>40710</v>
      </c>
      <c r="AX54" s="16">
        <v>0</v>
      </c>
      <c r="AY54" s="18">
        <f t="shared" si="30"/>
        <v>2.3171592206498004</v>
      </c>
      <c r="AZ54" s="17">
        <f t="shared" si="31"/>
        <v>11.916282483715829</v>
      </c>
      <c r="BA54" s="17">
        <f t="shared" si="32"/>
        <v>3.4738188868588984</v>
      </c>
      <c r="BB54" s="17">
        <f t="shared" si="33"/>
        <v>0</v>
      </c>
      <c r="BC54" s="17">
        <f t="shared" si="0"/>
        <v>1.9455433706800019E-2</v>
      </c>
      <c r="BD54" s="17">
        <f t="shared" si="1"/>
        <v>0.46027460269508469</v>
      </c>
      <c r="BE54" s="17">
        <f t="shared" si="2"/>
        <v>9.6585135343815232</v>
      </c>
      <c r="BF54" s="17">
        <f t="shared" si="3"/>
        <v>0</v>
      </c>
      <c r="BG54" s="17">
        <f t="shared" si="4"/>
        <v>3.413233983649126E-4</v>
      </c>
      <c r="BH54" s="17">
        <f t="shared" si="5"/>
        <v>3.6094949377089507E-2</v>
      </c>
      <c r="BI54" s="17">
        <f t="shared" si="6"/>
        <v>3.6376541180740563</v>
      </c>
      <c r="BJ54" s="17">
        <f t="shared" si="7"/>
        <v>9.3863934550350962E-3</v>
      </c>
      <c r="BK54" s="17">
        <f t="shared" si="8"/>
        <v>0</v>
      </c>
      <c r="BL54" s="17">
        <f t="shared" si="9"/>
        <v>0</v>
      </c>
      <c r="BM54" s="17">
        <f t="shared" si="10"/>
        <v>0</v>
      </c>
      <c r="BN54" s="17">
        <f t="shared" si="11"/>
        <v>0</v>
      </c>
      <c r="BO54" s="17">
        <f t="shared" si="12"/>
        <v>4.3348071592343905E-2</v>
      </c>
      <c r="BP54" s="17">
        <f t="shared" si="13"/>
        <v>0.20291676032794057</v>
      </c>
      <c r="BQ54" s="17">
        <f t="shared" si="14"/>
        <v>0.42682490965532321</v>
      </c>
      <c r="BR54" s="17">
        <f t="shared" si="15"/>
        <v>0</v>
      </c>
      <c r="BS54" s="17">
        <f t="shared" si="16"/>
        <v>0</v>
      </c>
      <c r="BT54" s="17">
        <f t="shared" si="17"/>
        <v>0</v>
      </c>
      <c r="BU54" s="17">
        <f t="shared" si="18"/>
        <v>0.40549219725751617</v>
      </c>
      <c r="BV54" s="17">
        <f t="shared" si="19"/>
        <v>0.68307345097778138</v>
      </c>
      <c r="BW54" s="17">
        <f t="shared" si="20"/>
        <v>1.8772786910070194E-3</v>
      </c>
      <c r="BX54" s="17">
        <f t="shared" si="21"/>
        <v>0</v>
      </c>
      <c r="BY54" s="17">
        <f t="shared" si="22"/>
        <v>0</v>
      </c>
      <c r="BZ54" s="17">
        <f t="shared" si="34"/>
        <v>5.8707624518764968E-2</v>
      </c>
      <c r="CA54" s="17">
        <f t="shared" si="35"/>
        <v>5.5806375632663212E-2</v>
      </c>
      <c r="CB54" s="17">
        <f t="shared" si="36"/>
        <v>0</v>
      </c>
      <c r="CC54" s="17">
        <f t="shared" si="37"/>
        <v>0</v>
      </c>
      <c r="CD54" s="17">
        <f t="shared" si="38"/>
        <v>0.10529826839557554</v>
      </c>
      <c r="CE54" s="17">
        <f t="shared" si="50"/>
        <v>0.86218290426976929</v>
      </c>
      <c r="CF54" s="17">
        <f t="shared" si="39"/>
        <v>2.0479403901894757E-2</v>
      </c>
      <c r="CG54" s="17">
        <f t="shared" si="40"/>
        <v>7.6797764632105341E-4</v>
      </c>
      <c r="CH54" s="17">
        <f t="shared" si="41"/>
        <v>0</v>
      </c>
      <c r="CI54" s="17">
        <f t="shared" si="42"/>
        <v>0</v>
      </c>
      <c r="CJ54" s="17">
        <f t="shared" si="43"/>
        <v>0</v>
      </c>
      <c r="CK54" s="17">
        <f t="shared" si="44"/>
        <v>0</v>
      </c>
      <c r="CL54" s="17">
        <f t="shared" si="45"/>
        <v>0</v>
      </c>
      <c r="CM54" s="14">
        <f t="shared" si="46"/>
        <v>180358</v>
      </c>
      <c r="CN54" s="17">
        <f t="shared" si="47"/>
        <v>15.390101370574728</v>
      </c>
      <c r="CO54" s="14">
        <f t="shared" si="48"/>
        <v>207513</v>
      </c>
      <c r="CP54" s="17">
        <f t="shared" si="49"/>
        <v>17.707260591224529</v>
      </c>
      <c r="CQ54" s="14">
        <f t="shared" si="24"/>
        <v>403358</v>
      </c>
      <c r="CR54" s="14">
        <v>16139</v>
      </c>
      <c r="CS54" s="14">
        <v>17331</v>
      </c>
      <c r="CT54" s="14">
        <v>0</v>
      </c>
      <c r="CU54" s="14">
        <v>1234</v>
      </c>
    </row>
    <row r="55" spans="1:99" x14ac:dyDescent="0.3">
      <c r="A55" s="14">
        <v>2021</v>
      </c>
      <c r="B55" s="14" t="s">
        <v>9</v>
      </c>
      <c r="C55" s="14" t="s">
        <v>10</v>
      </c>
      <c r="D55" s="15">
        <v>3870531</v>
      </c>
      <c r="E55" s="15">
        <v>120283026.00000006</v>
      </c>
      <c r="F55" s="15">
        <f t="shared" si="25"/>
        <v>31.076621269794781</v>
      </c>
      <c r="H55" s="14">
        <v>15498</v>
      </c>
      <c r="I55" s="14">
        <v>113189</v>
      </c>
      <c r="L55" s="14">
        <v>987</v>
      </c>
      <c r="M55" s="14">
        <v>42630</v>
      </c>
      <c r="U55" s="14">
        <v>4921</v>
      </c>
      <c r="AA55" s="14">
        <v>17</v>
      </c>
      <c r="AB55" s="14">
        <f t="shared" si="26"/>
        <v>17</v>
      </c>
      <c r="AF55" s="14">
        <v>567</v>
      </c>
      <c r="AM55" s="14">
        <f t="shared" si="27"/>
        <v>0</v>
      </c>
      <c r="AQ55" s="14">
        <f t="shared" si="28"/>
        <v>0</v>
      </c>
      <c r="AT55" s="14">
        <f t="shared" si="29"/>
        <v>0</v>
      </c>
      <c r="AU55" s="16">
        <v>25424</v>
      </c>
      <c r="AV55" s="16">
        <v>139648</v>
      </c>
      <c r="AW55" s="16">
        <v>40710</v>
      </c>
      <c r="AX55" s="16">
        <v>0</v>
      </c>
      <c r="AY55" s="18">
        <f t="shared" si="30"/>
        <v>2.1136814432985735</v>
      </c>
      <c r="AZ55" s="17">
        <f t="shared" si="31"/>
        <v>11.609950684147233</v>
      </c>
      <c r="BA55" s="17">
        <f t="shared" si="32"/>
        <v>3.3845174463768464</v>
      </c>
      <c r="BB55" s="17">
        <f t="shared" si="33"/>
        <v>0</v>
      </c>
      <c r="BC55" s="17">
        <f t="shared" si="0"/>
        <v>0</v>
      </c>
      <c r="BD55" s="17">
        <f t="shared" si="1"/>
        <v>1.2884611000724235</v>
      </c>
      <c r="BE55" s="17">
        <f t="shared" si="2"/>
        <v>9.4102221871272125</v>
      </c>
      <c r="BF55" s="17">
        <f t="shared" si="3"/>
        <v>0</v>
      </c>
      <c r="BG55" s="17">
        <f t="shared" si="4"/>
        <v>0</v>
      </c>
      <c r="BH55" s="17">
        <f t="shared" si="5"/>
        <v>8.205646572276952E-2</v>
      </c>
      <c r="BI55" s="17">
        <f t="shared" si="6"/>
        <v>3.5441409663238752</v>
      </c>
      <c r="BJ55" s="17">
        <f t="shared" si="7"/>
        <v>0</v>
      </c>
      <c r="BK55" s="17">
        <f t="shared" si="8"/>
        <v>0</v>
      </c>
      <c r="BL55" s="17">
        <f t="shared" si="9"/>
        <v>0</v>
      </c>
      <c r="BM55" s="17">
        <f t="shared" si="10"/>
        <v>0</v>
      </c>
      <c r="BN55" s="17">
        <f t="shared" si="11"/>
        <v>0</v>
      </c>
      <c r="BO55" s="17">
        <f t="shared" si="12"/>
        <v>0</v>
      </c>
      <c r="BP55" s="17">
        <f t="shared" si="13"/>
        <v>0</v>
      </c>
      <c r="BQ55" s="17">
        <f t="shared" si="14"/>
        <v>0.40911840711423386</v>
      </c>
      <c r="BR55" s="17">
        <f t="shared" si="15"/>
        <v>0</v>
      </c>
      <c r="BS55" s="17">
        <f t="shared" si="16"/>
        <v>0</v>
      </c>
      <c r="BT55" s="17">
        <f t="shared" si="17"/>
        <v>0</v>
      </c>
      <c r="BU55" s="17">
        <f t="shared" si="18"/>
        <v>0</v>
      </c>
      <c r="BV55" s="17">
        <f t="shared" si="19"/>
        <v>0</v>
      </c>
      <c r="BW55" s="17">
        <f t="shared" si="20"/>
        <v>1.4133332495309848E-3</v>
      </c>
      <c r="BX55" s="17">
        <f t="shared" si="21"/>
        <v>0</v>
      </c>
      <c r="BY55" s="17">
        <f t="shared" si="22"/>
        <v>0</v>
      </c>
      <c r="BZ55" s="17">
        <f t="shared" si="34"/>
        <v>0</v>
      </c>
      <c r="CA55" s="17">
        <f t="shared" si="35"/>
        <v>4.7138820734356962E-2</v>
      </c>
      <c r="CB55" s="17">
        <f t="shared" si="36"/>
        <v>0</v>
      </c>
      <c r="CC55" s="17">
        <f t="shared" si="37"/>
        <v>0</v>
      </c>
      <c r="CD55" s="17">
        <f t="shared" si="38"/>
        <v>0</v>
      </c>
      <c r="CE55" s="17">
        <f t="shared" si="50"/>
        <v>0</v>
      </c>
      <c r="CF55" s="17">
        <f t="shared" si="39"/>
        <v>0</v>
      </c>
      <c r="CG55" s="17">
        <f t="shared" si="40"/>
        <v>0</v>
      </c>
      <c r="CH55" s="17">
        <f t="shared" si="41"/>
        <v>0</v>
      </c>
      <c r="CI55" s="17">
        <f t="shared" si="42"/>
        <v>0</v>
      </c>
      <c r="CJ55" s="17">
        <f t="shared" si="43"/>
        <v>0</v>
      </c>
      <c r="CK55" s="17">
        <f t="shared" si="44"/>
        <v>0</v>
      </c>
      <c r="CL55" s="17">
        <f t="shared" si="45"/>
        <v>0</v>
      </c>
      <c r="CM55" s="14">
        <f t="shared" si="46"/>
        <v>180358</v>
      </c>
      <c r="CN55" s="17">
        <f t="shared" si="47"/>
        <v>14.994468130524078</v>
      </c>
      <c r="CO55" s="14">
        <f t="shared" si="48"/>
        <v>205782</v>
      </c>
      <c r="CP55" s="17">
        <f t="shared" si="49"/>
        <v>17.108149573822651</v>
      </c>
      <c r="CQ55" s="14">
        <f t="shared" si="24"/>
        <v>383608</v>
      </c>
      <c r="CR55" s="14">
        <v>0</v>
      </c>
      <c r="CS55" s="14">
        <v>0</v>
      </c>
      <c r="CT55" s="14">
        <v>0</v>
      </c>
      <c r="CU55" s="14">
        <v>0</v>
      </c>
    </row>
    <row r="56" spans="1:99" x14ac:dyDescent="0.3">
      <c r="A56" s="14">
        <v>2022</v>
      </c>
      <c r="B56" s="14" t="s">
        <v>9</v>
      </c>
      <c r="C56" s="14" t="s">
        <v>10</v>
      </c>
      <c r="D56" s="15">
        <v>3920543</v>
      </c>
      <c r="E56" s="15">
        <v>123379924.50000004</v>
      </c>
      <c r="F56" s="15">
        <f t="shared" si="25"/>
        <v>31.470111283054425</v>
      </c>
      <c r="G56" s="14">
        <v>271</v>
      </c>
      <c r="H56" s="14">
        <v>5871</v>
      </c>
      <c r="I56" s="14">
        <v>121853</v>
      </c>
      <c r="L56" s="14">
        <v>1086</v>
      </c>
      <c r="M56" s="14">
        <v>41101</v>
      </c>
      <c r="N56" s="14">
        <v>195</v>
      </c>
      <c r="O56" s="14">
        <v>65</v>
      </c>
      <c r="P56" s="14">
        <v>310</v>
      </c>
      <c r="S56" s="14">
        <v>0</v>
      </c>
      <c r="T56" s="14">
        <v>2367</v>
      </c>
      <c r="U56" s="14">
        <v>5283</v>
      </c>
      <c r="V56" s="14">
        <v>1469</v>
      </c>
      <c r="Y56" s="14">
        <v>13915</v>
      </c>
      <c r="Z56" s="14">
        <v>0</v>
      </c>
      <c r="AA56" s="14">
        <v>65</v>
      </c>
      <c r="AB56" s="14">
        <f t="shared" si="26"/>
        <v>130</v>
      </c>
      <c r="AE56" s="14">
        <v>630</v>
      </c>
      <c r="AF56" s="14">
        <v>383</v>
      </c>
      <c r="AI56" s="14">
        <v>1205</v>
      </c>
      <c r="AJ56" s="14">
        <v>11220</v>
      </c>
      <c r="AK56" s="14">
        <v>231</v>
      </c>
      <c r="AM56" s="14">
        <f t="shared" si="27"/>
        <v>231</v>
      </c>
      <c r="AQ56" s="14">
        <f t="shared" si="28"/>
        <v>0</v>
      </c>
      <c r="AR56" s="14">
        <v>0</v>
      </c>
      <c r="AS56" s="14">
        <v>0</v>
      </c>
      <c r="AT56" s="14">
        <f t="shared" si="29"/>
        <v>0</v>
      </c>
      <c r="AU56" s="16">
        <v>35754</v>
      </c>
      <c r="AV56" s="16">
        <v>140492</v>
      </c>
      <c r="AW56" s="16">
        <v>43986</v>
      </c>
      <c r="AX56" s="16">
        <v>0</v>
      </c>
      <c r="AY56" s="18">
        <f t="shared" si="30"/>
        <v>2.8978782524704809</v>
      </c>
      <c r="AZ56" s="17">
        <f t="shared" si="31"/>
        <v>11.386941641385098</v>
      </c>
      <c r="BA56" s="17">
        <f t="shared" si="32"/>
        <v>3.5650856635108399</v>
      </c>
      <c r="BB56" s="17">
        <f t="shared" si="33"/>
        <v>0</v>
      </c>
      <c r="BC56" s="17">
        <f t="shared" si="0"/>
        <v>2.1964675460633784E-2</v>
      </c>
      <c r="BD56" s="17">
        <f t="shared" si="1"/>
        <v>0.47584726800509575</v>
      </c>
      <c r="BE56" s="17">
        <f t="shared" si="2"/>
        <v>9.8762420623786298</v>
      </c>
      <c r="BF56" s="17">
        <f t="shared" si="3"/>
        <v>0</v>
      </c>
      <c r="BG56" s="17">
        <f t="shared" si="4"/>
        <v>0</v>
      </c>
      <c r="BH56" s="17">
        <f t="shared" si="5"/>
        <v>8.8020802768443873E-2</v>
      </c>
      <c r="BI56" s="17">
        <f t="shared" si="6"/>
        <v>3.3312550778874876</v>
      </c>
      <c r="BJ56" s="17">
        <f t="shared" si="7"/>
        <v>1.5804840276101802E-2</v>
      </c>
      <c r="BK56" s="17">
        <f t="shared" si="8"/>
        <v>5.2682800920339336E-3</v>
      </c>
      <c r="BL56" s="17">
        <f t="shared" si="9"/>
        <v>2.5125643515854144E-2</v>
      </c>
      <c r="BM56" s="17">
        <f t="shared" si="10"/>
        <v>0</v>
      </c>
      <c r="BN56" s="17">
        <f t="shared" si="11"/>
        <v>0</v>
      </c>
      <c r="BO56" s="17">
        <f t="shared" si="12"/>
        <v>0</v>
      </c>
      <c r="BP56" s="17">
        <f t="shared" si="13"/>
        <v>0.19184644581298954</v>
      </c>
      <c r="BQ56" s="17">
        <f t="shared" si="14"/>
        <v>0.42818959578792726</v>
      </c>
      <c r="BR56" s="17">
        <f t="shared" si="15"/>
        <v>0.1190631300799669</v>
      </c>
      <c r="BS56" s="17">
        <f t="shared" si="16"/>
        <v>0</v>
      </c>
      <c r="BT56" s="17">
        <f t="shared" si="17"/>
        <v>0</v>
      </c>
      <c r="BU56" s="17">
        <f t="shared" si="18"/>
        <v>1.1278171920100335</v>
      </c>
      <c r="BV56" s="17">
        <f t="shared" si="19"/>
        <v>0</v>
      </c>
      <c r="BW56" s="17">
        <f t="shared" si="20"/>
        <v>5.2682800920339336E-3</v>
      </c>
      <c r="BX56" s="17">
        <f t="shared" si="21"/>
        <v>0</v>
      </c>
      <c r="BY56" s="17">
        <f t="shared" si="22"/>
        <v>0</v>
      </c>
      <c r="BZ56" s="17">
        <f t="shared" si="34"/>
        <v>5.1061791661251972E-2</v>
      </c>
      <c r="CA56" s="17">
        <f t="shared" si="35"/>
        <v>3.1042327311523024E-2</v>
      </c>
      <c r="CB56" s="17">
        <f t="shared" si="36"/>
        <v>0</v>
      </c>
      <c r="CC56" s="17">
        <f t="shared" si="37"/>
        <v>0</v>
      </c>
      <c r="CD56" s="17">
        <f t="shared" si="38"/>
        <v>9.7665807860013693E-2</v>
      </c>
      <c r="CE56" s="17">
        <f t="shared" si="50"/>
        <v>0.90938619434801127</v>
      </c>
      <c r="CF56" s="17">
        <f t="shared" si="39"/>
        <v>1.8722656942459056E-2</v>
      </c>
      <c r="CG56" s="17">
        <f t="shared" si="40"/>
        <v>0</v>
      </c>
      <c r="CH56" s="17">
        <f t="shared" si="41"/>
        <v>0</v>
      </c>
      <c r="CI56" s="17">
        <f t="shared" si="42"/>
        <v>0</v>
      </c>
      <c r="CJ56" s="17">
        <f t="shared" si="43"/>
        <v>0</v>
      </c>
      <c r="CK56" s="17">
        <f t="shared" si="44"/>
        <v>0</v>
      </c>
      <c r="CL56" s="17">
        <f t="shared" si="45"/>
        <v>0</v>
      </c>
      <c r="CM56" s="14">
        <f t="shared" si="46"/>
        <v>184478</v>
      </c>
      <c r="CN56" s="17">
        <f t="shared" si="47"/>
        <v>14.952027304895939</v>
      </c>
      <c r="CO56" s="14">
        <f t="shared" si="48"/>
        <v>220232</v>
      </c>
      <c r="CP56" s="17">
        <f t="shared" si="49"/>
        <v>17.849905557366419</v>
      </c>
      <c r="CQ56" s="14">
        <f t="shared" si="24"/>
        <v>428113</v>
      </c>
      <c r="CR56" s="14">
        <v>121</v>
      </c>
      <c r="CS56" s="14">
        <v>75</v>
      </c>
      <c r="CT56" s="14">
        <v>0</v>
      </c>
      <c r="CU56" s="14">
        <v>0</v>
      </c>
    </row>
    <row r="57" spans="1:99" x14ac:dyDescent="0.3">
      <c r="A57" s="14">
        <v>2012</v>
      </c>
      <c r="B57" s="14" t="s">
        <v>11</v>
      </c>
      <c r="C57" s="14" t="s">
        <v>12</v>
      </c>
      <c r="D57" s="15">
        <v>6713643.7999999998</v>
      </c>
      <c r="E57" s="15">
        <v>170075931.5</v>
      </c>
      <c r="F57" s="15">
        <f t="shared" si="25"/>
        <v>25.332879814088439</v>
      </c>
      <c r="AB57" s="14">
        <f t="shared" si="26"/>
        <v>0</v>
      </c>
      <c r="AM57" s="14">
        <f t="shared" si="27"/>
        <v>0</v>
      </c>
      <c r="AQ57" s="14">
        <f t="shared" si="28"/>
        <v>0</v>
      </c>
      <c r="AT57" s="14">
        <f t="shared" si="29"/>
        <v>0</v>
      </c>
      <c r="AU57" s="16">
        <v>144</v>
      </c>
      <c r="AV57" s="16">
        <v>0</v>
      </c>
      <c r="AW57" s="16">
        <v>0</v>
      </c>
      <c r="AX57" s="16">
        <v>0</v>
      </c>
      <c r="AY57" s="18">
        <f t="shared" si="30"/>
        <v>8.4668064863722362E-3</v>
      </c>
      <c r="AZ57" s="17">
        <f t="shared" si="31"/>
        <v>0</v>
      </c>
      <c r="BA57" s="17">
        <f t="shared" si="32"/>
        <v>0</v>
      </c>
      <c r="BB57" s="17">
        <f t="shared" si="33"/>
        <v>0</v>
      </c>
      <c r="BC57" s="17">
        <f t="shared" si="0"/>
        <v>0</v>
      </c>
      <c r="BD57" s="17">
        <f t="shared" si="1"/>
        <v>0</v>
      </c>
      <c r="BE57" s="17">
        <f t="shared" si="2"/>
        <v>0</v>
      </c>
      <c r="BF57" s="17">
        <f t="shared" si="3"/>
        <v>0</v>
      </c>
      <c r="BG57" s="17">
        <f t="shared" si="4"/>
        <v>0</v>
      </c>
      <c r="BH57" s="17">
        <f t="shared" si="5"/>
        <v>0</v>
      </c>
      <c r="BI57" s="17">
        <f t="shared" si="6"/>
        <v>0</v>
      </c>
      <c r="BJ57" s="17">
        <f t="shared" si="7"/>
        <v>0</v>
      </c>
      <c r="BK57" s="17">
        <f t="shared" si="8"/>
        <v>0</v>
      </c>
      <c r="BL57" s="17">
        <f t="shared" si="9"/>
        <v>0</v>
      </c>
      <c r="BM57" s="17">
        <f t="shared" si="10"/>
        <v>0</v>
      </c>
      <c r="BN57" s="17">
        <f t="shared" si="11"/>
        <v>0</v>
      </c>
      <c r="BO57" s="17">
        <f t="shared" si="12"/>
        <v>0</v>
      </c>
      <c r="BP57" s="17">
        <f t="shared" si="13"/>
        <v>0</v>
      </c>
      <c r="BQ57" s="17">
        <f t="shared" si="14"/>
        <v>0</v>
      </c>
      <c r="BR57" s="17">
        <f t="shared" si="15"/>
        <v>0</v>
      </c>
      <c r="BS57" s="17">
        <f t="shared" si="16"/>
        <v>0</v>
      </c>
      <c r="BT57" s="17">
        <f t="shared" si="17"/>
        <v>0</v>
      </c>
      <c r="BU57" s="17">
        <f t="shared" si="18"/>
        <v>0</v>
      </c>
      <c r="BV57" s="17">
        <f t="shared" si="19"/>
        <v>0</v>
      </c>
      <c r="BW57" s="17">
        <f t="shared" si="20"/>
        <v>0</v>
      </c>
      <c r="BX57" s="17">
        <f t="shared" si="21"/>
        <v>0</v>
      </c>
      <c r="BY57" s="17">
        <f t="shared" si="22"/>
        <v>0</v>
      </c>
      <c r="BZ57" s="17">
        <f t="shared" si="34"/>
        <v>0</v>
      </c>
      <c r="CA57" s="17">
        <f t="shared" si="35"/>
        <v>0</v>
      </c>
      <c r="CB57" s="17">
        <f t="shared" si="36"/>
        <v>0</v>
      </c>
      <c r="CC57" s="17">
        <f t="shared" si="37"/>
        <v>0</v>
      </c>
      <c r="CD57" s="17">
        <f t="shared" si="38"/>
        <v>0</v>
      </c>
      <c r="CE57" s="17">
        <f t="shared" si="50"/>
        <v>0</v>
      </c>
      <c r="CF57" s="17">
        <f t="shared" si="39"/>
        <v>0</v>
      </c>
      <c r="CG57" s="17">
        <f t="shared" si="40"/>
        <v>0</v>
      </c>
      <c r="CH57" s="17">
        <f t="shared" si="41"/>
        <v>0</v>
      </c>
      <c r="CI57" s="17">
        <f t="shared" si="42"/>
        <v>0</v>
      </c>
      <c r="CJ57" s="17">
        <f t="shared" si="43"/>
        <v>0</v>
      </c>
      <c r="CK57" s="17">
        <f t="shared" si="44"/>
        <v>0</v>
      </c>
      <c r="CL57" s="17">
        <f t="shared" si="45"/>
        <v>0</v>
      </c>
      <c r="CM57" s="14">
        <f t="shared" si="46"/>
        <v>0</v>
      </c>
      <c r="CN57" s="17">
        <f t="shared" si="47"/>
        <v>0</v>
      </c>
      <c r="CO57" s="14">
        <f t="shared" si="48"/>
        <v>144</v>
      </c>
      <c r="CP57" s="17">
        <f t="shared" si="49"/>
        <v>8.4668064863722362E-3</v>
      </c>
      <c r="CQ57" s="14">
        <f t="shared" si="24"/>
        <v>144</v>
      </c>
      <c r="CR57" s="14">
        <v>0</v>
      </c>
      <c r="CS57" s="14">
        <v>0</v>
      </c>
      <c r="CT57" s="14">
        <v>0</v>
      </c>
      <c r="CU57" s="14">
        <v>0</v>
      </c>
    </row>
    <row r="58" spans="1:99" x14ac:dyDescent="0.3">
      <c r="A58" s="14">
        <v>2013</v>
      </c>
      <c r="B58" s="14" t="s">
        <v>11</v>
      </c>
      <c r="C58" s="14" t="s">
        <v>12</v>
      </c>
      <c r="D58" s="15">
        <v>6805083.0999999996</v>
      </c>
      <c r="E58" s="15">
        <v>174726123.50000006</v>
      </c>
      <c r="F58" s="15">
        <f t="shared" si="25"/>
        <v>25.67582510491313</v>
      </c>
      <c r="AB58" s="14">
        <f t="shared" si="26"/>
        <v>0</v>
      </c>
      <c r="AM58" s="14">
        <f t="shared" si="27"/>
        <v>0</v>
      </c>
      <c r="AO58" s="14">
        <v>68565</v>
      </c>
      <c r="AQ58" s="14">
        <f t="shared" si="28"/>
        <v>68565</v>
      </c>
      <c r="AS58" s="14">
        <v>262512</v>
      </c>
      <c r="AT58" s="14">
        <f t="shared" si="29"/>
        <v>262512</v>
      </c>
      <c r="AU58" s="16">
        <v>131518</v>
      </c>
      <c r="AV58" s="16">
        <v>149840</v>
      </c>
      <c r="AW58" s="16">
        <v>202550</v>
      </c>
      <c r="AX58" s="16">
        <v>0</v>
      </c>
      <c r="AY58" s="18">
        <f t="shared" si="30"/>
        <v>7.5270942527377684</v>
      </c>
      <c r="AZ58" s="17">
        <f t="shared" si="31"/>
        <v>8.575706768885075</v>
      </c>
      <c r="BA58" s="17">
        <f t="shared" si="32"/>
        <v>11.592427963412119</v>
      </c>
      <c r="BB58" s="17">
        <f t="shared" si="33"/>
        <v>0</v>
      </c>
      <c r="BC58" s="17">
        <f t="shared" si="0"/>
        <v>0</v>
      </c>
      <c r="BD58" s="17">
        <f t="shared" si="1"/>
        <v>0</v>
      </c>
      <c r="BE58" s="17">
        <f t="shared" si="2"/>
        <v>0</v>
      </c>
      <c r="BF58" s="17">
        <f t="shared" si="3"/>
        <v>0</v>
      </c>
      <c r="BG58" s="17">
        <f t="shared" si="4"/>
        <v>0</v>
      </c>
      <c r="BH58" s="17">
        <f t="shared" si="5"/>
        <v>0</v>
      </c>
      <c r="BI58" s="17">
        <f t="shared" si="6"/>
        <v>0</v>
      </c>
      <c r="BJ58" s="17">
        <f t="shared" si="7"/>
        <v>0</v>
      </c>
      <c r="BK58" s="17">
        <f t="shared" si="8"/>
        <v>0</v>
      </c>
      <c r="BL58" s="17">
        <f t="shared" si="9"/>
        <v>0</v>
      </c>
      <c r="BM58" s="17">
        <f t="shared" si="10"/>
        <v>0</v>
      </c>
      <c r="BN58" s="17">
        <f t="shared" si="11"/>
        <v>0</v>
      </c>
      <c r="BO58" s="17">
        <f t="shared" si="12"/>
        <v>0</v>
      </c>
      <c r="BP58" s="17">
        <f t="shared" si="13"/>
        <v>0</v>
      </c>
      <c r="BQ58" s="17">
        <f t="shared" si="14"/>
        <v>0</v>
      </c>
      <c r="BR58" s="17">
        <f t="shared" si="15"/>
        <v>0</v>
      </c>
      <c r="BS58" s="17">
        <f t="shared" si="16"/>
        <v>0</v>
      </c>
      <c r="BT58" s="17">
        <f t="shared" si="17"/>
        <v>0</v>
      </c>
      <c r="BU58" s="17">
        <f t="shared" si="18"/>
        <v>0</v>
      </c>
      <c r="BV58" s="17">
        <f t="shared" si="19"/>
        <v>0</v>
      </c>
      <c r="BW58" s="17">
        <f t="shared" si="20"/>
        <v>0</v>
      </c>
      <c r="BX58" s="17">
        <f t="shared" si="21"/>
        <v>0</v>
      </c>
      <c r="BY58" s="17">
        <f t="shared" si="22"/>
        <v>0</v>
      </c>
      <c r="BZ58" s="17">
        <f t="shared" si="34"/>
        <v>0</v>
      </c>
      <c r="CA58" s="17">
        <f t="shared" si="35"/>
        <v>0</v>
      </c>
      <c r="CB58" s="17">
        <f t="shared" si="36"/>
        <v>0</v>
      </c>
      <c r="CC58" s="17">
        <f t="shared" si="37"/>
        <v>0</v>
      </c>
      <c r="CD58" s="17">
        <f t="shared" si="38"/>
        <v>0</v>
      </c>
      <c r="CE58" s="17">
        <f t="shared" si="50"/>
        <v>0</v>
      </c>
      <c r="CF58" s="17">
        <f t="shared" si="39"/>
        <v>0</v>
      </c>
      <c r="CG58" s="17">
        <f t="shared" si="40"/>
        <v>0</v>
      </c>
      <c r="CH58" s="17">
        <f t="shared" si="41"/>
        <v>0</v>
      </c>
      <c r="CI58" s="17">
        <f t="shared" si="42"/>
        <v>3.9241413147931468</v>
      </c>
      <c r="CJ58" s="17">
        <f t="shared" si="43"/>
        <v>0</v>
      </c>
      <c r="CK58" s="17">
        <f t="shared" si="44"/>
        <v>0</v>
      </c>
      <c r="CL58" s="17">
        <f t="shared" si="45"/>
        <v>15.024198714052046</v>
      </c>
      <c r="CM58" s="14">
        <f t="shared" si="46"/>
        <v>352390</v>
      </c>
      <c r="CN58" s="17">
        <f t="shared" si="47"/>
        <v>20.168134732297194</v>
      </c>
      <c r="CO58" s="14">
        <f t="shared" si="48"/>
        <v>483908</v>
      </c>
      <c r="CP58" s="17">
        <f t="shared" si="49"/>
        <v>27.695228985034962</v>
      </c>
      <c r="CQ58" s="14">
        <f t="shared" si="24"/>
        <v>1146062</v>
      </c>
      <c r="CR58" s="14">
        <v>0</v>
      </c>
      <c r="CS58" s="14">
        <v>0</v>
      </c>
      <c r="CT58" s="14">
        <v>0</v>
      </c>
      <c r="CU58" s="14">
        <v>0</v>
      </c>
    </row>
    <row r="59" spans="1:99" x14ac:dyDescent="0.3">
      <c r="A59" s="14">
        <v>2014</v>
      </c>
      <c r="B59" s="14" t="s">
        <v>11</v>
      </c>
      <c r="C59" s="14" t="s">
        <v>12</v>
      </c>
      <c r="D59" s="15">
        <v>6894101.5999999996</v>
      </c>
      <c r="E59" s="15">
        <v>179379016.5</v>
      </c>
      <c r="F59" s="15">
        <f t="shared" si="25"/>
        <v>26.019201182065551</v>
      </c>
      <c r="AB59" s="14">
        <f t="shared" si="26"/>
        <v>0</v>
      </c>
      <c r="AM59" s="14">
        <f t="shared" si="27"/>
        <v>0</v>
      </c>
      <c r="AQ59" s="14">
        <f t="shared" si="28"/>
        <v>0</v>
      </c>
      <c r="AT59" s="14">
        <f t="shared" si="29"/>
        <v>0</v>
      </c>
      <c r="AU59" s="16">
        <v>2281</v>
      </c>
      <c r="AV59" s="16">
        <v>0</v>
      </c>
      <c r="AW59" s="16">
        <v>0</v>
      </c>
      <c r="AX59" s="16">
        <v>0</v>
      </c>
      <c r="AY59" s="18">
        <f t="shared" si="30"/>
        <v>0.12716091572505639</v>
      </c>
      <c r="AZ59" s="17">
        <f t="shared" si="31"/>
        <v>0</v>
      </c>
      <c r="BA59" s="17">
        <f t="shared" si="32"/>
        <v>0</v>
      </c>
      <c r="BB59" s="17">
        <f t="shared" si="33"/>
        <v>0</v>
      </c>
      <c r="BC59" s="17">
        <f t="shared" si="0"/>
        <v>0</v>
      </c>
      <c r="BD59" s="17">
        <f t="shared" si="1"/>
        <v>0</v>
      </c>
      <c r="BE59" s="17">
        <f t="shared" si="2"/>
        <v>0</v>
      </c>
      <c r="BF59" s="17">
        <f t="shared" si="3"/>
        <v>0</v>
      </c>
      <c r="BG59" s="17">
        <f t="shared" si="4"/>
        <v>0</v>
      </c>
      <c r="BH59" s="17">
        <f t="shared" si="5"/>
        <v>0</v>
      </c>
      <c r="BI59" s="17">
        <f t="shared" si="6"/>
        <v>0</v>
      </c>
      <c r="BJ59" s="17">
        <f t="shared" si="7"/>
        <v>0</v>
      </c>
      <c r="BK59" s="17">
        <f t="shared" si="8"/>
        <v>0</v>
      </c>
      <c r="BL59" s="17">
        <f t="shared" si="9"/>
        <v>0</v>
      </c>
      <c r="BM59" s="17">
        <f t="shared" si="10"/>
        <v>0</v>
      </c>
      <c r="BN59" s="17">
        <f t="shared" si="11"/>
        <v>0</v>
      </c>
      <c r="BO59" s="17">
        <f t="shared" si="12"/>
        <v>0</v>
      </c>
      <c r="BP59" s="17">
        <f t="shared" si="13"/>
        <v>0</v>
      </c>
      <c r="BQ59" s="17">
        <f t="shared" si="14"/>
        <v>0</v>
      </c>
      <c r="BR59" s="17">
        <f t="shared" si="15"/>
        <v>0</v>
      </c>
      <c r="BS59" s="17">
        <f t="shared" si="16"/>
        <v>0</v>
      </c>
      <c r="BT59" s="17">
        <f t="shared" si="17"/>
        <v>0</v>
      </c>
      <c r="BU59" s="17">
        <f t="shared" si="18"/>
        <v>0</v>
      </c>
      <c r="BV59" s="17">
        <f t="shared" si="19"/>
        <v>0</v>
      </c>
      <c r="BW59" s="17">
        <f t="shared" si="20"/>
        <v>0</v>
      </c>
      <c r="BX59" s="17">
        <f t="shared" si="21"/>
        <v>0</v>
      </c>
      <c r="BY59" s="17">
        <f t="shared" si="22"/>
        <v>0</v>
      </c>
      <c r="BZ59" s="17">
        <f t="shared" si="34"/>
        <v>0</v>
      </c>
      <c r="CA59" s="17">
        <f t="shared" si="35"/>
        <v>0</v>
      </c>
      <c r="CB59" s="17">
        <f t="shared" si="36"/>
        <v>0</v>
      </c>
      <c r="CC59" s="17">
        <f t="shared" si="37"/>
        <v>0</v>
      </c>
      <c r="CD59" s="17">
        <f t="shared" si="38"/>
        <v>0</v>
      </c>
      <c r="CE59" s="17">
        <f t="shared" si="50"/>
        <v>0</v>
      </c>
      <c r="CF59" s="17">
        <f t="shared" si="39"/>
        <v>0</v>
      </c>
      <c r="CG59" s="17">
        <f t="shared" si="40"/>
        <v>0</v>
      </c>
      <c r="CH59" s="17">
        <f t="shared" si="41"/>
        <v>0</v>
      </c>
      <c r="CI59" s="17">
        <f t="shared" si="42"/>
        <v>0</v>
      </c>
      <c r="CJ59" s="17">
        <f t="shared" si="43"/>
        <v>0</v>
      </c>
      <c r="CK59" s="17">
        <f t="shared" si="44"/>
        <v>0</v>
      </c>
      <c r="CL59" s="17">
        <f t="shared" si="45"/>
        <v>0</v>
      </c>
      <c r="CM59" s="14">
        <f t="shared" si="46"/>
        <v>0</v>
      </c>
      <c r="CN59" s="17">
        <f t="shared" si="47"/>
        <v>0</v>
      </c>
      <c r="CO59" s="14">
        <f t="shared" si="48"/>
        <v>2281</v>
      </c>
      <c r="CP59" s="17">
        <f t="shared" si="49"/>
        <v>0.12716091572505639</v>
      </c>
      <c r="CQ59" s="14">
        <f t="shared" si="24"/>
        <v>2281</v>
      </c>
      <c r="CR59" s="14">
        <v>0</v>
      </c>
      <c r="CS59" s="14">
        <v>0</v>
      </c>
      <c r="CT59" s="14">
        <v>0</v>
      </c>
      <c r="CU59" s="14">
        <v>0</v>
      </c>
    </row>
    <row r="60" spans="1:99" x14ac:dyDescent="0.3">
      <c r="A60" s="14">
        <v>2015</v>
      </c>
      <c r="B60" s="14" t="s">
        <v>11</v>
      </c>
      <c r="C60" s="14" t="s">
        <v>12</v>
      </c>
      <c r="D60" s="15">
        <v>6983906.0999999996</v>
      </c>
      <c r="E60" s="15">
        <v>183995784.49999991</v>
      </c>
      <c r="F60" s="15">
        <f t="shared" si="25"/>
        <v>26.345684186675982</v>
      </c>
      <c r="H60" s="14">
        <v>20035</v>
      </c>
      <c r="AB60" s="14">
        <f t="shared" si="26"/>
        <v>0</v>
      </c>
      <c r="AM60" s="14">
        <f t="shared" si="27"/>
        <v>0</v>
      </c>
      <c r="AQ60" s="14">
        <f t="shared" si="28"/>
        <v>0</v>
      </c>
      <c r="AT60" s="14">
        <f t="shared" si="29"/>
        <v>0</v>
      </c>
      <c r="AU60" s="16">
        <v>0</v>
      </c>
      <c r="AV60" s="16">
        <v>0</v>
      </c>
      <c r="AW60" s="16">
        <v>0</v>
      </c>
      <c r="AX60" s="16">
        <v>0</v>
      </c>
      <c r="AY60" s="18">
        <f t="shared" si="30"/>
        <v>0</v>
      </c>
      <c r="AZ60" s="17">
        <f t="shared" si="31"/>
        <v>0</v>
      </c>
      <c r="BA60" s="17">
        <f t="shared" si="32"/>
        <v>0</v>
      </c>
      <c r="BB60" s="17">
        <f t="shared" si="33"/>
        <v>0</v>
      </c>
      <c r="BC60" s="17">
        <f t="shared" si="0"/>
        <v>0</v>
      </c>
      <c r="BD60" s="17">
        <f t="shared" si="1"/>
        <v>1.0888836423314909</v>
      </c>
      <c r="BE60" s="17">
        <f t="shared" si="2"/>
        <v>0</v>
      </c>
      <c r="BF60" s="17">
        <f t="shared" si="3"/>
        <v>0</v>
      </c>
      <c r="BG60" s="17">
        <f t="shared" si="4"/>
        <v>0</v>
      </c>
      <c r="BH60" s="17">
        <f t="shared" si="5"/>
        <v>0</v>
      </c>
      <c r="BI60" s="17">
        <f t="shared" si="6"/>
        <v>0</v>
      </c>
      <c r="BJ60" s="17">
        <f t="shared" si="7"/>
        <v>0</v>
      </c>
      <c r="BK60" s="17">
        <f t="shared" si="8"/>
        <v>0</v>
      </c>
      <c r="BL60" s="17">
        <f t="shared" si="9"/>
        <v>0</v>
      </c>
      <c r="BM60" s="17">
        <f t="shared" si="10"/>
        <v>0</v>
      </c>
      <c r="BN60" s="17">
        <f t="shared" si="11"/>
        <v>0</v>
      </c>
      <c r="BO60" s="17">
        <f t="shared" si="12"/>
        <v>0</v>
      </c>
      <c r="BP60" s="17">
        <f t="shared" si="13"/>
        <v>0</v>
      </c>
      <c r="BQ60" s="17">
        <f t="shared" si="14"/>
        <v>0</v>
      </c>
      <c r="BR60" s="17">
        <f t="shared" si="15"/>
        <v>0</v>
      </c>
      <c r="BS60" s="17">
        <f t="shared" si="16"/>
        <v>0</v>
      </c>
      <c r="BT60" s="17">
        <f t="shared" si="17"/>
        <v>0</v>
      </c>
      <c r="BU60" s="17">
        <f t="shared" si="18"/>
        <v>0</v>
      </c>
      <c r="BV60" s="17">
        <f t="shared" si="19"/>
        <v>0</v>
      </c>
      <c r="BW60" s="17">
        <f t="shared" si="20"/>
        <v>0</v>
      </c>
      <c r="BX60" s="17">
        <f t="shared" si="21"/>
        <v>0</v>
      </c>
      <c r="BY60" s="17">
        <f t="shared" si="22"/>
        <v>0</v>
      </c>
      <c r="BZ60" s="17">
        <f t="shared" si="34"/>
        <v>0</v>
      </c>
      <c r="CA60" s="17">
        <f t="shared" si="35"/>
        <v>0</v>
      </c>
      <c r="CB60" s="17">
        <f t="shared" si="36"/>
        <v>0</v>
      </c>
      <c r="CC60" s="17">
        <f t="shared" si="37"/>
        <v>0</v>
      </c>
      <c r="CD60" s="17">
        <f t="shared" si="38"/>
        <v>0</v>
      </c>
      <c r="CE60" s="17">
        <f t="shared" si="50"/>
        <v>0</v>
      </c>
      <c r="CF60" s="17">
        <f t="shared" si="39"/>
        <v>0</v>
      </c>
      <c r="CG60" s="17">
        <f t="shared" si="40"/>
        <v>0</v>
      </c>
      <c r="CH60" s="17">
        <f t="shared" si="41"/>
        <v>0</v>
      </c>
      <c r="CI60" s="17">
        <f t="shared" si="42"/>
        <v>0</v>
      </c>
      <c r="CJ60" s="17">
        <f t="shared" si="43"/>
        <v>0</v>
      </c>
      <c r="CK60" s="17">
        <f t="shared" si="44"/>
        <v>0</v>
      </c>
      <c r="CL60" s="17">
        <f t="shared" si="45"/>
        <v>0</v>
      </c>
      <c r="CM60" s="14">
        <f t="shared" si="46"/>
        <v>0</v>
      </c>
      <c r="CN60" s="17">
        <f t="shared" si="47"/>
        <v>0</v>
      </c>
      <c r="CO60" s="14">
        <f t="shared" si="48"/>
        <v>0</v>
      </c>
      <c r="CP60" s="17">
        <f t="shared" si="49"/>
        <v>0</v>
      </c>
      <c r="CQ60" s="14">
        <f t="shared" si="24"/>
        <v>20035</v>
      </c>
      <c r="CR60" s="14">
        <v>0</v>
      </c>
      <c r="CS60" s="14">
        <v>0</v>
      </c>
      <c r="CT60" s="14">
        <v>0</v>
      </c>
      <c r="CU60" s="14">
        <v>0</v>
      </c>
    </row>
    <row r="61" spans="1:99" x14ac:dyDescent="0.3">
      <c r="A61" s="14">
        <v>2016</v>
      </c>
      <c r="B61" s="14" t="s">
        <v>11</v>
      </c>
      <c r="C61" s="14" t="s">
        <v>12</v>
      </c>
      <c r="D61" s="15">
        <v>7083326.4000000004</v>
      </c>
      <c r="E61" s="15">
        <v>188666930.99999988</v>
      </c>
      <c r="F61" s="15">
        <f t="shared" si="25"/>
        <v>26.635357506608742</v>
      </c>
      <c r="G61" s="14">
        <v>4081</v>
      </c>
      <c r="AB61" s="14">
        <f t="shared" si="26"/>
        <v>0</v>
      </c>
      <c r="AM61" s="14">
        <f t="shared" si="27"/>
        <v>0</v>
      </c>
      <c r="AQ61" s="14">
        <f t="shared" si="28"/>
        <v>0</v>
      </c>
      <c r="AT61" s="14">
        <f t="shared" si="29"/>
        <v>0</v>
      </c>
      <c r="AU61" s="16">
        <v>167130</v>
      </c>
      <c r="AV61" s="16">
        <v>370202</v>
      </c>
      <c r="AW61" s="16">
        <v>282550</v>
      </c>
      <c r="AX61" s="16">
        <v>0</v>
      </c>
      <c r="AY61" s="18">
        <f t="shared" si="30"/>
        <v>8.8584681541250117</v>
      </c>
      <c r="AZ61" s="17">
        <f t="shared" si="31"/>
        <v>19.621986642693638</v>
      </c>
      <c r="BA61" s="17">
        <f t="shared" si="32"/>
        <v>14.976127427439851</v>
      </c>
      <c r="BB61" s="17">
        <f t="shared" si="33"/>
        <v>0</v>
      </c>
      <c r="BC61" s="17">
        <f t="shared" si="0"/>
        <v>0.21630711743543454</v>
      </c>
      <c r="BD61" s="17">
        <f t="shared" si="1"/>
        <v>0</v>
      </c>
      <c r="BE61" s="17">
        <f t="shared" si="2"/>
        <v>0</v>
      </c>
      <c r="BF61" s="17">
        <f t="shared" si="3"/>
        <v>0</v>
      </c>
      <c r="BG61" s="17">
        <f t="shared" si="4"/>
        <v>0</v>
      </c>
      <c r="BH61" s="17">
        <f t="shared" si="5"/>
        <v>0</v>
      </c>
      <c r="BI61" s="17">
        <f t="shared" si="6"/>
        <v>0</v>
      </c>
      <c r="BJ61" s="17">
        <f t="shared" si="7"/>
        <v>0</v>
      </c>
      <c r="BK61" s="17">
        <f t="shared" si="8"/>
        <v>0</v>
      </c>
      <c r="BL61" s="17">
        <f t="shared" si="9"/>
        <v>0</v>
      </c>
      <c r="BM61" s="17">
        <f t="shared" si="10"/>
        <v>0</v>
      </c>
      <c r="BN61" s="17">
        <f t="shared" si="11"/>
        <v>0</v>
      </c>
      <c r="BO61" s="17">
        <f t="shared" si="12"/>
        <v>0</v>
      </c>
      <c r="BP61" s="17">
        <f t="shared" si="13"/>
        <v>0</v>
      </c>
      <c r="BQ61" s="17">
        <f t="shared" si="14"/>
        <v>0</v>
      </c>
      <c r="BR61" s="17">
        <f t="shared" si="15"/>
        <v>0</v>
      </c>
      <c r="BS61" s="17">
        <f t="shared" si="16"/>
        <v>0</v>
      </c>
      <c r="BT61" s="17">
        <f t="shared" si="17"/>
        <v>0</v>
      </c>
      <c r="BU61" s="17">
        <f t="shared" si="18"/>
        <v>0</v>
      </c>
      <c r="BV61" s="17">
        <f t="shared" si="19"/>
        <v>0</v>
      </c>
      <c r="BW61" s="17">
        <f t="shared" si="20"/>
        <v>0</v>
      </c>
      <c r="BX61" s="17">
        <f t="shared" si="21"/>
        <v>0</v>
      </c>
      <c r="BY61" s="17">
        <f t="shared" si="22"/>
        <v>0</v>
      </c>
      <c r="BZ61" s="17">
        <f t="shared" si="34"/>
        <v>0</v>
      </c>
      <c r="CA61" s="17">
        <f t="shared" si="35"/>
        <v>0</v>
      </c>
      <c r="CB61" s="17">
        <f t="shared" si="36"/>
        <v>0</v>
      </c>
      <c r="CC61" s="17">
        <f t="shared" si="37"/>
        <v>0</v>
      </c>
      <c r="CD61" s="17">
        <f t="shared" si="38"/>
        <v>0</v>
      </c>
      <c r="CE61" s="17">
        <f t="shared" si="50"/>
        <v>0</v>
      </c>
      <c r="CF61" s="17">
        <f t="shared" si="39"/>
        <v>0</v>
      </c>
      <c r="CG61" s="17">
        <f t="shared" si="40"/>
        <v>0</v>
      </c>
      <c r="CH61" s="17">
        <f t="shared" si="41"/>
        <v>0</v>
      </c>
      <c r="CI61" s="17">
        <f t="shared" si="42"/>
        <v>0</v>
      </c>
      <c r="CJ61" s="17">
        <f t="shared" si="43"/>
        <v>0</v>
      </c>
      <c r="CK61" s="17">
        <f t="shared" si="44"/>
        <v>0</v>
      </c>
      <c r="CL61" s="17">
        <f t="shared" si="45"/>
        <v>0</v>
      </c>
      <c r="CM61" s="14">
        <f t="shared" si="46"/>
        <v>652752</v>
      </c>
      <c r="CN61" s="17">
        <f t="shared" si="47"/>
        <v>34.598114070133491</v>
      </c>
      <c r="CO61" s="14">
        <f t="shared" si="48"/>
        <v>819882</v>
      </c>
      <c r="CP61" s="17">
        <f t="shared" si="49"/>
        <v>43.456582224258504</v>
      </c>
      <c r="CQ61" s="14">
        <f t="shared" si="24"/>
        <v>823963</v>
      </c>
      <c r="CR61" s="14">
        <v>56</v>
      </c>
      <c r="CS61" s="14">
        <v>459</v>
      </c>
      <c r="CT61" s="14">
        <v>44</v>
      </c>
      <c r="CU61" s="14">
        <v>311</v>
      </c>
    </row>
    <row r="62" spans="1:99" x14ac:dyDescent="0.3">
      <c r="A62" s="14">
        <v>2017</v>
      </c>
      <c r="B62" s="14" t="s">
        <v>11</v>
      </c>
      <c r="C62" s="14" t="s">
        <v>12</v>
      </c>
      <c r="D62" s="15">
        <v>7193818.5999999996</v>
      </c>
      <c r="E62" s="15">
        <v>193495906.50000003</v>
      </c>
      <c r="F62" s="15">
        <f t="shared" si="25"/>
        <v>26.897523729608643</v>
      </c>
      <c r="AB62" s="14">
        <f t="shared" si="26"/>
        <v>0</v>
      </c>
      <c r="AM62" s="14">
        <f t="shared" si="27"/>
        <v>0</v>
      </c>
      <c r="AQ62" s="14">
        <f t="shared" si="28"/>
        <v>0</v>
      </c>
      <c r="AT62" s="14">
        <f t="shared" si="29"/>
        <v>0</v>
      </c>
      <c r="AU62" s="16">
        <v>0</v>
      </c>
      <c r="AV62" s="16">
        <v>0</v>
      </c>
      <c r="AW62" s="16">
        <v>0</v>
      </c>
      <c r="AX62" s="16">
        <v>0</v>
      </c>
      <c r="AY62" s="18">
        <f t="shared" si="30"/>
        <v>0</v>
      </c>
      <c r="AZ62" s="17">
        <f t="shared" si="31"/>
        <v>0</v>
      </c>
      <c r="BA62" s="17">
        <f t="shared" si="32"/>
        <v>0</v>
      </c>
      <c r="BB62" s="17">
        <f t="shared" si="33"/>
        <v>0</v>
      </c>
      <c r="BC62" s="17">
        <f t="shared" si="0"/>
        <v>0</v>
      </c>
      <c r="BD62" s="17">
        <f t="shared" si="1"/>
        <v>0</v>
      </c>
      <c r="BE62" s="17">
        <f t="shared" si="2"/>
        <v>0</v>
      </c>
      <c r="BF62" s="17">
        <f t="shared" si="3"/>
        <v>0</v>
      </c>
      <c r="BG62" s="17">
        <f t="shared" si="4"/>
        <v>0</v>
      </c>
      <c r="BH62" s="17">
        <f t="shared" si="5"/>
        <v>0</v>
      </c>
      <c r="BI62" s="17">
        <f t="shared" si="6"/>
        <v>0</v>
      </c>
      <c r="BJ62" s="17">
        <f t="shared" si="7"/>
        <v>0</v>
      </c>
      <c r="BK62" s="17">
        <f t="shared" si="8"/>
        <v>0</v>
      </c>
      <c r="BL62" s="17">
        <f t="shared" si="9"/>
        <v>0</v>
      </c>
      <c r="BM62" s="17">
        <f t="shared" si="10"/>
        <v>0</v>
      </c>
      <c r="BN62" s="17">
        <f t="shared" si="11"/>
        <v>0</v>
      </c>
      <c r="BO62" s="17">
        <f t="shared" si="12"/>
        <v>0</v>
      </c>
      <c r="BP62" s="17">
        <f t="shared" si="13"/>
        <v>0</v>
      </c>
      <c r="BQ62" s="17">
        <f t="shared" si="14"/>
        <v>0</v>
      </c>
      <c r="BR62" s="17">
        <f t="shared" si="15"/>
        <v>0</v>
      </c>
      <c r="BS62" s="17">
        <f t="shared" si="16"/>
        <v>0</v>
      </c>
      <c r="BT62" s="17">
        <f t="shared" si="17"/>
        <v>0</v>
      </c>
      <c r="BU62" s="17">
        <f t="shared" si="18"/>
        <v>0</v>
      </c>
      <c r="BV62" s="17">
        <f t="shared" si="19"/>
        <v>0</v>
      </c>
      <c r="BW62" s="17">
        <f t="shared" si="20"/>
        <v>0</v>
      </c>
      <c r="BX62" s="17">
        <f t="shared" si="21"/>
        <v>0</v>
      </c>
      <c r="BY62" s="17">
        <f t="shared" si="22"/>
        <v>0</v>
      </c>
      <c r="BZ62" s="17">
        <f t="shared" si="34"/>
        <v>0</v>
      </c>
      <c r="CA62" s="17">
        <f t="shared" si="35"/>
        <v>0</v>
      </c>
      <c r="CB62" s="17">
        <f t="shared" si="36"/>
        <v>0</v>
      </c>
      <c r="CC62" s="17">
        <f t="shared" si="37"/>
        <v>0</v>
      </c>
      <c r="CD62" s="17">
        <f t="shared" si="38"/>
        <v>0</v>
      </c>
      <c r="CE62" s="17">
        <f t="shared" si="50"/>
        <v>0</v>
      </c>
      <c r="CF62" s="17">
        <f t="shared" si="39"/>
        <v>0</v>
      </c>
      <c r="CG62" s="17">
        <f t="shared" si="40"/>
        <v>0</v>
      </c>
      <c r="CH62" s="17">
        <f t="shared" si="41"/>
        <v>0</v>
      </c>
      <c r="CI62" s="17">
        <f t="shared" si="42"/>
        <v>0</v>
      </c>
      <c r="CJ62" s="17">
        <f t="shared" si="43"/>
        <v>0</v>
      </c>
      <c r="CK62" s="17">
        <f t="shared" si="44"/>
        <v>0</v>
      </c>
      <c r="CL62" s="17">
        <f t="shared" si="45"/>
        <v>0</v>
      </c>
      <c r="CM62" s="14">
        <f t="shared" si="46"/>
        <v>0</v>
      </c>
      <c r="CN62" s="17">
        <f t="shared" si="47"/>
        <v>0</v>
      </c>
      <c r="CO62" s="14">
        <f t="shared" si="48"/>
        <v>0</v>
      </c>
      <c r="CP62" s="17">
        <f t="shared" si="49"/>
        <v>0</v>
      </c>
      <c r="CQ62" s="14">
        <f t="shared" si="24"/>
        <v>0</v>
      </c>
      <c r="CR62" s="14">
        <v>115</v>
      </c>
      <c r="CS62" s="14">
        <v>571</v>
      </c>
      <c r="CT62" s="14">
        <v>48</v>
      </c>
      <c r="CU62" s="14">
        <v>0</v>
      </c>
    </row>
    <row r="63" spans="1:99" x14ac:dyDescent="0.3">
      <c r="A63" s="14">
        <v>2018</v>
      </c>
      <c r="B63" s="14" t="s">
        <v>11</v>
      </c>
      <c r="C63" s="14" t="s">
        <v>12</v>
      </c>
      <c r="D63" s="15">
        <v>7300350.5</v>
      </c>
      <c r="E63" s="15">
        <v>198387623.50000006</v>
      </c>
      <c r="F63" s="15">
        <f t="shared" si="25"/>
        <v>27.175082004624308</v>
      </c>
      <c r="G63" s="14">
        <v>4358</v>
      </c>
      <c r="H63" s="14">
        <v>24668</v>
      </c>
      <c r="K63" s="14">
        <v>56</v>
      </c>
      <c r="M63" s="14">
        <v>116454</v>
      </c>
      <c r="N63" s="14">
        <v>19269</v>
      </c>
      <c r="O63" s="14">
        <v>6165</v>
      </c>
      <c r="Q63" s="14">
        <v>1029</v>
      </c>
      <c r="V63" s="14">
        <v>2578</v>
      </c>
      <c r="Y63" s="14">
        <v>29246</v>
      </c>
      <c r="Z63" s="14">
        <v>26677</v>
      </c>
      <c r="AB63" s="14">
        <f t="shared" si="26"/>
        <v>6165</v>
      </c>
      <c r="AF63" s="14">
        <v>4626</v>
      </c>
      <c r="AJ63" s="14">
        <v>5793</v>
      </c>
      <c r="AK63" s="14">
        <v>4793</v>
      </c>
      <c r="AL63" s="14">
        <v>360</v>
      </c>
      <c r="AM63" s="14">
        <f t="shared" si="27"/>
        <v>5153</v>
      </c>
      <c r="AQ63" s="14">
        <f t="shared" si="28"/>
        <v>0</v>
      </c>
      <c r="AT63" s="14">
        <f t="shared" si="29"/>
        <v>0</v>
      </c>
      <c r="AU63" s="16">
        <v>149976</v>
      </c>
      <c r="AV63" s="16">
        <v>220210</v>
      </c>
      <c r="AW63" s="16">
        <v>142474</v>
      </c>
      <c r="AX63" s="16">
        <v>0</v>
      </c>
      <c r="AY63" s="18">
        <f t="shared" si="30"/>
        <v>7.5597457822261758</v>
      </c>
      <c r="AZ63" s="17">
        <f t="shared" si="31"/>
        <v>11.099986789246454</v>
      </c>
      <c r="BA63" s="17">
        <f t="shared" si="32"/>
        <v>7.1815971927301181</v>
      </c>
      <c r="BB63" s="17">
        <f t="shared" si="33"/>
        <v>0</v>
      </c>
      <c r="BC63" s="17">
        <f t="shared" si="0"/>
        <v>0.21967096148011464</v>
      </c>
      <c r="BD63" s="17">
        <f t="shared" si="1"/>
        <v>1.2434243409342516</v>
      </c>
      <c r="BE63" s="17">
        <f t="shared" si="2"/>
        <v>0</v>
      </c>
      <c r="BF63" s="17">
        <f t="shared" si="3"/>
        <v>0</v>
      </c>
      <c r="BG63" s="17">
        <f t="shared" si="4"/>
        <v>2.822756733108403E-3</v>
      </c>
      <c r="BH63" s="17">
        <f t="shared" si="5"/>
        <v>0</v>
      </c>
      <c r="BI63" s="17">
        <f t="shared" si="6"/>
        <v>5.8700234392393922</v>
      </c>
      <c r="BJ63" s="17">
        <f t="shared" si="7"/>
        <v>0.97128034804046104</v>
      </c>
      <c r="BK63" s="17">
        <f t="shared" si="8"/>
        <v>0.3107552724930947</v>
      </c>
      <c r="BL63" s="17">
        <f t="shared" si="9"/>
        <v>0</v>
      </c>
      <c r="BM63" s="17">
        <f t="shared" si="10"/>
        <v>5.1868154970866907E-2</v>
      </c>
      <c r="BN63" s="17">
        <f t="shared" si="11"/>
        <v>0</v>
      </c>
      <c r="BO63" s="17">
        <f t="shared" si="12"/>
        <v>0</v>
      </c>
      <c r="BP63" s="17">
        <f t="shared" si="13"/>
        <v>0</v>
      </c>
      <c r="BQ63" s="17">
        <f t="shared" si="14"/>
        <v>0</v>
      </c>
      <c r="BR63" s="17">
        <f t="shared" si="15"/>
        <v>0.1299476224634547</v>
      </c>
      <c r="BS63" s="17">
        <f t="shared" si="16"/>
        <v>0</v>
      </c>
      <c r="BT63" s="17">
        <f t="shared" si="17"/>
        <v>0</v>
      </c>
      <c r="BU63" s="17">
        <f t="shared" si="18"/>
        <v>1.4741847038658635</v>
      </c>
      <c r="BV63" s="17">
        <f t="shared" si="19"/>
        <v>1.3446907387345155</v>
      </c>
      <c r="BW63" s="17">
        <f t="shared" si="20"/>
        <v>0</v>
      </c>
      <c r="BX63" s="17">
        <f t="shared" si="21"/>
        <v>0</v>
      </c>
      <c r="BY63" s="17">
        <f t="shared" si="22"/>
        <v>0</v>
      </c>
      <c r="BZ63" s="17">
        <f t="shared" si="34"/>
        <v>0</v>
      </c>
      <c r="CA63" s="17">
        <f t="shared" si="35"/>
        <v>0.23317986870284771</v>
      </c>
      <c r="CB63" s="17">
        <f t="shared" si="36"/>
        <v>0</v>
      </c>
      <c r="CC63" s="17">
        <f t="shared" si="37"/>
        <v>0</v>
      </c>
      <c r="CD63" s="17">
        <f t="shared" si="38"/>
        <v>0</v>
      </c>
      <c r="CE63" s="17">
        <f t="shared" si="50"/>
        <v>0.29200410276601746</v>
      </c>
      <c r="CF63" s="17">
        <f t="shared" si="39"/>
        <v>0.24159773253193884</v>
      </c>
      <c r="CG63" s="17">
        <f t="shared" si="40"/>
        <v>1.8146293284268304E-2</v>
      </c>
      <c r="CH63" s="17">
        <f t="shared" si="41"/>
        <v>0</v>
      </c>
      <c r="CI63" s="17">
        <f t="shared" si="42"/>
        <v>0</v>
      </c>
      <c r="CJ63" s="17">
        <f t="shared" si="43"/>
        <v>0</v>
      </c>
      <c r="CK63" s="17">
        <f t="shared" si="44"/>
        <v>0</v>
      </c>
      <c r="CL63" s="17">
        <f t="shared" si="45"/>
        <v>0</v>
      </c>
      <c r="CM63" s="14">
        <f t="shared" si="46"/>
        <v>362684</v>
      </c>
      <c r="CN63" s="17">
        <f t="shared" si="47"/>
        <v>18.281583981976571</v>
      </c>
      <c r="CO63" s="14">
        <f t="shared" si="48"/>
        <v>512660</v>
      </c>
      <c r="CP63" s="17">
        <f t="shared" si="49"/>
        <v>25.841329764202747</v>
      </c>
      <c r="CQ63" s="14">
        <f t="shared" si="24"/>
        <v>770050</v>
      </c>
      <c r="CR63" s="14">
        <v>0</v>
      </c>
      <c r="CS63" s="14">
        <v>105</v>
      </c>
      <c r="CT63" s="14">
        <v>7</v>
      </c>
      <c r="CU63" s="14">
        <v>0</v>
      </c>
    </row>
    <row r="64" spans="1:99" x14ac:dyDescent="0.3">
      <c r="A64" s="14">
        <v>2019</v>
      </c>
      <c r="B64" s="14" t="s">
        <v>11</v>
      </c>
      <c r="C64" s="14" t="s">
        <v>12</v>
      </c>
      <c r="D64" s="15">
        <v>7409670.9000000004</v>
      </c>
      <c r="E64" s="15">
        <v>203304491.50000006</v>
      </c>
      <c r="F64" s="15">
        <f t="shared" si="25"/>
        <v>27.437722166580983</v>
      </c>
      <c r="G64" s="14">
        <v>4358</v>
      </c>
      <c r="H64" s="14">
        <v>24668</v>
      </c>
      <c r="K64" s="14">
        <v>79</v>
      </c>
      <c r="M64" s="14">
        <v>116454</v>
      </c>
      <c r="N64" s="14">
        <v>6165</v>
      </c>
      <c r="Q64" s="14">
        <v>942</v>
      </c>
      <c r="T64" s="14">
        <v>14743</v>
      </c>
      <c r="U64" s="14">
        <v>7146</v>
      </c>
      <c r="V64" s="14">
        <v>369</v>
      </c>
      <c r="Y64" s="14">
        <v>29803</v>
      </c>
      <c r="Z64" s="14">
        <v>26677</v>
      </c>
      <c r="AA64" s="14">
        <v>7</v>
      </c>
      <c r="AB64" s="14">
        <f t="shared" si="26"/>
        <v>7</v>
      </c>
      <c r="AC64" s="14">
        <v>27247</v>
      </c>
      <c r="AF64" s="14">
        <v>4429</v>
      </c>
      <c r="AJ64" s="14">
        <v>5793</v>
      </c>
      <c r="AK64" s="14">
        <v>4971</v>
      </c>
      <c r="AL64" s="14">
        <v>118</v>
      </c>
      <c r="AM64" s="14">
        <f t="shared" si="27"/>
        <v>5089</v>
      </c>
      <c r="AN64" s="14">
        <v>267</v>
      </c>
      <c r="AQ64" s="14">
        <f t="shared" si="28"/>
        <v>0</v>
      </c>
      <c r="AS64" s="14">
        <v>32</v>
      </c>
      <c r="AT64" s="14">
        <f t="shared" si="29"/>
        <v>32</v>
      </c>
      <c r="AU64" s="16">
        <v>159688</v>
      </c>
      <c r="AV64" s="16">
        <v>361418</v>
      </c>
      <c r="AW64" s="16">
        <v>241740</v>
      </c>
      <c r="AX64" s="16">
        <v>0</v>
      </c>
      <c r="AY64" s="18">
        <f t="shared" si="30"/>
        <v>7.8546223362704186</v>
      </c>
      <c r="AZ64" s="17">
        <f t="shared" si="31"/>
        <v>17.777177342882261</v>
      </c>
      <c r="BA64" s="17">
        <f t="shared" si="32"/>
        <v>11.890539073505906</v>
      </c>
      <c r="BB64" s="17">
        <f t="shared" si="33"/>
        <v>0</v>
      </c>
      <c r="BC64" s="17">
        <f t="shared" si="0"/>
        <v>0.21435827451947853</v>
      </c>
      <c r="BD64" s="17">
        <f t="shared" si="1"/>
        <v>1.2133524359445838</v>
      </c>
      <c r="BE64" s="17">
        <f t="shared" si="2"/>
        <v>0</v>
      </c>
      <c r="BF64" s="17">
        <f t="shared" si="3"/>
        <v>0</v>
      </c>
      <c r="BG64" s="17">
        <f t="shared" si="4"/>
        <v>3.885797082845067E-3</v>
      </c>
      <c r="BH64" s="17">
        <f t="shared" si="5"/>
        <v>0</v>
      </c>
      <c r="BI64" s="17">
        <f t="shared" si="6"/>
        <v>5.7280583985523981</v>
      </c>
      <c r="BJ64" s="17">
        <f t="shared" si="7"/>
        <v>0.30323973437645368</v>
      </c>
      <c r="BK64" s="17">
        <f t="shared" si="8"/>
        <v>0</v>
      </c>
      <c r="BL64" s="17">
        <f t="shared" si="9"/>
        <v>0</v>
      </c>
      <c r="BM64" s="17">
        <f t="shared" si="10"/>
        <v>4.6334441165063966E-2</v>
      </c>
      <c r="BN64" s="17">
        <f t="shared" si="11"/>
        <v>0</v>
      </c>
      <c r="BO64" s="17">
        <f t="shared" si="12"/>
        <v>0</v>
      </c>
      <c r="BP64" s="17">
        <f t="shared" si="13"/>
        <v>0.72516843534664333</v>
      </c>
      <c r="BQ64" s="17">
        <f t="shared" si="14"/>
        <v>0.35149248043051712</v>
      </c>
      <c r="BR64" s="17">
        <f t="shared" si="15"/>
        <v>1.8150115488225694E-2</v>
      </c>
      <c r="BS64" s="17">
        <f t="shared" si="16"/>
        <v>0</v>
      </c>
      <c r="BT64" s="17">
        <f t="shared" si="17"/>
        <v>0</v>
      </c>
      <c r="BU64" s="17">
        <f t="shared" si="18"/>
        <v>1.465929246329513</v>
      </c>
      <c r="BV64" s="17">
        <f t="shared" si="19"/>
        <v>1.3121697313804792</v>
      </c>
      <c r="BW64" s="17">
        <f t="shared" si="20"/>
        <v>3.4431113392298065E-4</v>
      </c>
      <c r="BX64" s="17">
        <f t="shared" si="21"/>
        <v>1.340206495142779</v>
      </c>
      <c r="BY64" s="17">
        <f t="shared" si="22"/>
        <v>0</v>
      </c>
      <c r="BZ64" s="17">
        <f t="shared" si="34"/>
        <v>0</v>
      </c>
      <c r="CA64" s="17">
        <f t="shared" si="35"/>
        <v>0.21785057316355447</v>
      </c>
      <c r="CB64" s="17">
        <f t="shared" si="36"/>
        <v>0</v>
      </c>
      <c r="CC64" s="17">
        <f t="shared" si="37"/>
        <v>0</v>
      </c>
      <c r="CD64" s="17">
        <f t="shared" si="38"/>
        <v>0</v>
      </c>
      <c r="CE64" s="17">
        <f t="shared" si="50"/>
        <v>0.28494205697368957</v>
      </c>
      <c r="CF64" s="17">
        <f t="shared" si="39"/>
        <v>0.24451009239016239</v>
      </c>
      <c r="CG64" s="17">
        <f t="shared" si="40"/>
        <v>5.8041019718445309E-3</v>
      </c>
      <c r="CH64" s="17">
        <f t="shared" si="41"/>
        <v>1.3133010393919405E-2</v>
      </c>
      <c r="CI64" s="17">
        <f t="shared" si="42"/>
        <v>0</v>
      </c>
      <c r="CJ64" s="17">
        <f t="shared" si="43"/>
        <v>0</v>
      </c>
      <c r="CK64" s="17">
        <f t="shared" si="44"/>
        <v>0</v>
      </c>
      <c r="CL64" s="17">
        <f t="shared" si="45"/>
        <v>1.573993755076483E-3</v>
      </c>
      <c r="CM64" s="14">
        <f t="shared" si="46"/>
        <v>603158</v>
      </c>
      <c r="CN64" s="17">
        <f t="shared" si="47"/>
        <v>29.667716416388167</v>
      </c>
      <c r="CO64" s="14">
        <f t="shared" si="48"/>
        <v>762846</v>
      </c>
      <c r="CP64" s="17">
        <f t="shared" si="49"/>
        <v>37.522338752658584</v>
      </c>
      <c r="CQ64" s="14">
        <f t="shared" si="24"/>
        <v>1042242</v>
      </c>
      <c r="CR64" s="14">
        <v>0</v>
      </c>
      <c r="CS64" s="14">
        <v>0</v>
      </c>
      <c r="CT64" s="14">
        <v>0</v>
      </c>
      <c r="CU64" s="14">
        <v>0</v>
      </c>
    </row>
    <row r="65" spans="1:99" x14ac:dyDescent="0.3">
      <c r="A65" s="14">
        <v>2020</v>
      </c>
      <c r="B65" s="14" t="s">
        <v>11</v>
      </c>
      <c r="C65" s="14" t="s">
        <v>12</v>
      </c>
      <c r="D65" s="15">
        <v>7523678.7000000002</v>
      </c>
      <c r="E65" s="15">
        <v>208327404.49999994</v>
      </c>
      <c r="F65" s="15">
        <f t="shared" si="25"/>
        <v>27.689566873715638</v>
      </c>
      <c r="AB65" s="14">
        <f t="shared" si="26"/>
        <v>0</v>
      </c>
      <c r="AM65" s="14">
        <f t="shared" si="27"/>
        <v>0</v>
      </c>
      <c r="AQ65" s="14">
        <f t="shared" si="28"/>
        <v>0</v>
      </c>
      <c r="AT65" s="14">
        <f t="shared" si="29"/>
        <v>0</v>
      </c>
      <c r="AU65" s="16">
        <v>0</v>
      </c>
      <c r="AV65" s="16">
        <v>0</v>
      </c>
      <c r="AW65" s="16">
        <v>0</v>
      </c>
      <c r="AX65" s="16">
        <v>0</v>
      </c>
      <c r="AY65" s="18">
        <f t="shared" si="30"/>
        <v>0</v>
      </c>
      <c r="AZ65" s="17">
        <f t="shared" si="31"/>
        <v>0</v>
      </c>
      <c r="BA65" s="17">
        <f t="shared" si="32"/>
        <v>0</v>
      </c>
      <c r="BB65" s="17">
        <f t="shared" si="33"/>
        <v>0</v>
      </c>
      <c r="BC65" s="17">
        <f t="shared" si="0"/>
        <v>0</v>
      </c>
      <c r="BD65" s="17">
        <f t="shared" si="1"/>
        <v>0</v>
      </c>
      <c r="BE65" s="17">
        <f t="shared" si="2"/>
        <v>0</v>
      </c>
      <c r="BF65" s="17">
        <f t="shared" si="3"/>
        <v>0</v>
      </c>
      <c r="BG65" s="17">
        <f t="shared" si="4"/>
        <v>0</v>
      </c>
      <c r="BH65" s="17">
        <f t="shared" si="5"/>
        <v>0</v>
      </c>
      <c r="BI65" s="17">
        <f t="shared" si="6"/>
        <v>0</v>
      </c>
      <c r="BJ65" s="17">
        <f t="shared" si="7"/>
        <v>0</v>
      </c>
      <c r="BK65" s="17">
        <f t="shared" si="8"/>
        <v>0</v>
      </c>
      <c r="BL65" s="17">
        <f t="shared" si="9"/>
        <v>0</v>
      </c>
      <c r="BM65" s="17">
        <f t="shared" si="10"/>
        <v>0</v>
      </c>
      <c r="BN65" s="17">
        <f t="shared" si="11"/>
        <v>0</v>
      </c>
      <c r="BO65" s="17">
        <f t="shared" si="12"/>
        <v>0</v>
      </c>
      <c r="BP65" s="17">
        <f t="shared" si="13"/>
        <v>0</v>
      </c>
      <c r="BQ65" s="17">
        <f t="shared" si="14"/>
        <v>0</v>
      </c>
      <c r="BR65" s="17">
        <f t="shared" si="15"/>
        <v>0</v>
      </c>
      <c r="BS65" s="17">
        <f t="shared" si="16"/>
        <v>0</v>
      </c>
      <c r="BT65" s="17">
        <f t="shared" si="17"/>
        <v>0</v>
      </c>
      <c r="BU65" s="17">
        <f t="shared" si="18"/>
        <v>0</v>
      </c>
      <c r="BV65" s="17">
        <f t="shared" si="19"/>
        <v>0</v>
      </c>
      <c r="BW65" s="17">
        <f t="shared" si="20"/>
        <v>0</v>
      </c>
      <c r="BX65" s="17">
        <f t="shared" si="21"/>
        <v>0</v>
      </c>
      <c r="BY65" s="17">
        <f t="shared" si="22"/>
        <v>0</v>
      </c>
      <c r="BZ65" s="17">
        <f t="shared" si="34"/>
        <v>0</v>
      </c>
      <c r="CA65" s="17">
        <f t="shared" si="35"/>
        <v>0</v>
      </c>
      <c r="CB65" s="17">
        <f t="shared" si="36"/>
        <v>0</v>
      </c>
      <c r="CC65" s="17">
        <f t="shared" si="37"/>
        <v>0</v>
      </c>
      <c r="CD65" s="17">
        <f t="shared" si="38"/>
        <v>0</v>
      </c>
      <c r="CE65" s="17">
        <f t="shared" si="50"/>
        <v>0</v>
      </c>
      <c r="CF65" s="17">
        <f t="shared" si="39"/>
        <v>0</v>
      </c>
      <c r="CG65" s="17">
        <f t="shared" si="40"/>
        <v>0</v>
      </c>
      <c r="CH65" s="17">
        <f t="shared" si="41"/>
        <v>0</v>
      </c>
      <c r="CI65" s="17">
        <f t="shared" si="42"/>
        <v>0</v>
      </c>
      <c r="CJ65" s="17">
        <f t="shared" si="43"/>
        <v>0</v>
      </c>
      <c r="CK65" s="17">
        <f t="shared" si="44"/>
        <v>0</v>
      </c>
      <c r="CL65" s="17">
        <f t="shared" si="45"/>
        <v>0</v>
      </c>
      <c r="CM65" s="14">
        <f t="shared" si="46"/>
        <v>0</v>
      </c>
      <c r="CN65" s="17">
        <f t="shared" si="47"/>
        <v>0</v>
      </c>
      <c r="CO65" s="14">
        <f t="shared" si="48"/>
        <v>0</v>
      </c>
      <c r="CP65" s="17">
        <f t="shared" si="49"/>
        <v>0</v>
      </c>
      <c r="CQ65" s="14">
        <f t="shared" si="24"/>
        <v>0</v>
      </c>
      <c r="CR65" s="14">
        <v>230</v>
      </c>
      <c r="CS65" s="14">
        <v>588</v>
      </c>
      <c r="CT65" s="14">
        <v>71</v>
      </c>
      <c r="CU65" s="14">
        <v>0</v>
      </c>
    </row>
    <row r="66" spans="1:99" x14ac:dyDescent="0.3">
      <c r="A66" s="14">
        <v>2021</v>
      </c>
      <c r="B66" s="14" t="s">
        <v>11</v>
      </c>
      <c r="C66" s="14" t="s">
        <v>12</v>
      </c>
      <c r="D66" s="15">
        <v>7641925.4000000004</v>
      </c>
      <c r="E66" s="15">
        <v>213401322.49999997</v>
      </c>
      <c r="F66" s="15">
        <f t="shared" si="25"/>
        <v>27.92507271793048</v>
      </c>
      <c r="G66" s="14">
        <v>4358</v>
      </c>
      <c r="H66" s="14">
        <v>17331</v>
      </c>
      <c r="M66" s="14">
        <v>7912</v>
      </c>
      <c r="N66" s="14">
        <v>11781</v>
      </c>
      <c r="O66" s="14">
        <v>11408</v>
      </c>
      <c r="Q66" s="14">
        <v>2071</v>
      </c>
      <c r="T66" s="14">
        <v>1234</v>
      </c>
      <c r="U66" s="14">
        <v>9205</v>
      </c>
      <c r="Y66" s="14">
        <v>34554</v>
      </c>
      <c r="Z66" s="14">
        <v>37181</v>
      </c>
      <c r="AA66" s="14">
        <v>37181</v>
      </c>
      <c r="AB66" s="14">
        <f t="shared" si="26"/>
        <v>48589</v>
      </c>
      <c r="AF66" s="14">
        <v>5485</v>
      </c>
      <c r="AM66" s="14">
        <f t="shared" si="27"/>
        <v>0</v>
      </c>
      <c r="AQ66" s="14">
        <f t="shared" si="28"/>
        <v>0</v>
      </c>
      <c r="AT66" s="14">
        <f t="shared" si="29"/>
        <v>0</v>
      </c>
      <c r="AU66" s="16">
        <v>168695</v>
      </c>
      <c r="AV66" s="16">
        <v>535392</v>
      </c>
      <c r="AW66" s="16">
        <v>263844</v>
      </c>
      <c r="AX66" s="16">
        <v>0</v>
      </c>
      <c r="AY66" s="18">
        <f t="shared" si="30"/>
        <v>7.905058788939793</v>
      </c>
      <c r="AZ66" s="17">
        <f t="shared" si="31"/>
        <v>25.088504313275756</v>
      </c>
      <c r="BA66" s="17">
        <f t="shared" si="32"/>
        <v>12.363747183431819</v>
      </c>
      <c r="BB66" s="17">
        <f t="shared" si="33"/>
        <v>0</v>
      </c>
      <c r="BC66" s="17">
        <f t="shared" ref="BC66:BC129" si="51">(G66*10000)/$E66</f>
        <v>0.20421616646729079</v>
      </c>
      <c r="BD66" s="17">
        <f t="shared" ref="BD66:BD129" si="52">(H66*10000)/$E66</f>
        <v>0.81213179923006351</v>
      </c>
      <c r="BE66" s="17">
        <f t="shared" ref="BE66:BE129" si="53">(I66*10000)/$E66</f>
        <v>0</v>
      </c>
      <c r="BF66" s="17">
        <f t="shared" ref="BF66:BF129" si="54">(J66*10000)/$E66</f>
        <v>0</v>
      </c>
      <c r="BG66" s="17">
        <f t="shared" ref="BG66:BG129" si="55">(K66*10000)/$E66</f>
        <v>0</v>
      </c>
      <c r="BH66" s="17">
        <f t="shared" ref="BH66:BH129" si="56">(L66*10000)/$E66</f>
        <v>0</v>
      </c>
      <c r="BI66" s="17">
        <f t="shared" ref="BI66:BI129" si="57">(M66*10000)/$E66</f>
        <v>0.37075684008471882</v>
      </c>
      <c r="BJ66" s="17">
        <f t="shared" ref="BJ66:BJ129" si="58">(N66*10000)/$E66</f>
        <v>0.55205843440824987</v>
      </c>
      <c r="BK66" s="17">
        <f t="shared" ref="BK66:BK129" si="59">(O66*10000)/$E66</f>
        <v>0.53457962988959462</v>
      </c>
      <c r="BL66" s="17">
        <f t="shared" ref="BL66:BL129" si="60">(P66*10000)/$E66</f>
        <v>0</v>
      </c>
      <c r="BM66" s="17">
        <f t="shared" ref="BM66:BM129" si="61">(Q66*10000)/$E66</f>
        <v>9.7047196134410096E-2</v>
      </c>
      <c r="BN66" s="17">
        <f t="shared" ref="BN66:BN129" si="62">(R66*10000)/$E66</f>
        <v>0</v>
      </c>
      <c r="BO66" s="17">
        <f t="shared" ref="BO66:BO129" si="63">(S66*10000)/$E66</f>
        <v>0</v>
      </c>
      <c r="BP66" s="17">
        <f t="shared" ref="BP66:BP129" si="64">(T66*10000)/$E66</f>
        <v>5.782532111533658E-2</v>
      </c>
      <c r="BQ66" s="17">
        <f t="shared" ref="BQ66:BQ129" si="65">(U66*10000)/$E66</f>
        <v>0.43134690507834134</v>
      </c>
      <c r="BR66" s="17">
        <f t="shared" ref="BR66:BR129" si="66">(V66*10000)/$E66</f>
        <v>0</v>
      </c>
      <c r="BS66" s="17">
        <f t="shared" ref="BS66:BS129" si="67">(W66*10000)/$E66</f>
        <v>0</v>
      </c>
      <c r="BT66" s="17">
        <f t="shared" ref="BT66:BT129" si="68">(X66*10000)/$E66</f>
        <v>0</v>
      </c>
      <c r="BU66" s="17">
        <f t="shared" ref="BU66:BU129" si="69">(Y66*10000)/$E66</f>
        <v>1.6192027113608916</v>
      </c>
      <c r="BV66" s="17">
        <f t="shared" ref="BV66:BV129" si="70">(Z66*10000)/$E66</f>
        <v>1.7423041040432168</v>
      </c>
      <c r="BW66" s="17">
        <f t="shared" ref="BW66:BW129" si="71">(AA66*10000)/$E66</f>
        <v>1.7423041040432168</v>
      </c>
      <c r="BX66" s="17">
        <f t="shared" ref="BX66:BX129" si="72">(AC66*10000)/$E66</f>
        <v>0</v>
      </c>
      <c r="BY66" s="17">
        <f t="shared" ref="BY66:BY129" si="73">(AD66*10000)/$E66</f>
        <v>0</v>
      </c>
      <c r="BZ66" s="17">
        <f t="shared" si="34"/>
        <v>0</v>
      </c>
      <c r="CA66" s="17">
        <f t="shared" si="35"/>
        <v>0.25702746054912573</v>
      </c>
      <c r="CB66" s="17">
        <f t="shared" si="36"/>
        <v>0</v>
      </c>
      <c r="CC66" s="17">
        <f t="shared" si="37"/>
        <v>0</v>
      </c>
      <c r="CD66" s="17">
        <f t="shared" si="38"/>
        <v>0</v>
      </c>
      <c r="CE66" s="17">
        <f t="shared" si="50"/>
        <v>0</v>
      </c>
      <c r="CF66" s="17">
        <f t="shared" si="39"/>
        <v>0</v>
      </c>
      <c r="CG66" s="17">
        <f t="shared" si="40"/>
        <v>0</v>
      </c>
      <c r="CH66" s="17">
        <f t="shared" si="41"/>
        <v>0</v>
      </c>
      <c r="CI66" s="17">
        <f t="shared" si="42"/>
        <v>0</v>
      </c>
      <c r="CJ66" s="17">
        <f t="shared" si="43"/>
        <v>0</v>
      </c>
      <c r="CK66" s="17">
        <f t="shared" si="44"/>
        <v>0</v>
      </c>
      <c r="CL66" s="17">
        <f t="shared" si="45"/>
        <v>0</v>
      </c>
      <c r="CM66" s="14">
        <f t="shared" si="46"/>
        <v>799236</v>
      </c>
      <c r="CN66" s="17">
        <f t="shared" si="47"/>
        <v>37.452251496707575</v>
      </c>
      <c r="CO66" s="14">
        <f t="shared" si="48"/>
        <v>967931</v>
      </c>
      <c r="CP66" s="17">
        <f t="shared" si="49"/>
        <v>45.357310285647372</v>
      </c>
      <c r="CQ66" s="14">
        <f t="shared" ref="CQ66:CQ129" si="74">SUM(G66:AX66)</f>
        <v>1196221</v>
      </c>
      <c r="CR66" s="14">
        <v>30</v>
      </c>
      <c r="CS66" s="14">
        <v>419</v>
      </c>
      <c r="CT66" s="14">
        <v>77</v>
      </c>
      <c r="CU66" s="14">
        <v>0</v>
      </c>
    </row>
    <row r="67" spans="1:99" x14ac:dyDescent="0.3">
      <c r="A67" s="14">
        <v>2022</v>
      </c>
      <c r="B67" s="14" t="s">
        <v>11</v>
      </c>
      <c r="C67" s="14" t="s">
        <v>12</v>
      </c>
      <c r="D67" s="15">
        <v>7745147.0999999996</v>
      </c>
      <c r="E67" s="15">
        <v>218541211.50000003</v>
      </c>
      <c r="F67" s="15">
        <f t="shared" ref="F67:F130" si="75">E67/D67</f>
        <v>28.216534647870024</v>
      </c>
      <c r="G67" s="14">
        <v>5048</v>
      </c>
      <c r="H67" s="14">
        <v>18277</v>
      </c>
      <c r="K67" s="14">
        <v>168</v>
      </c>
      <c r="M67" s="14">
        <v>154477</v>
      </c>
      <c r="Q67" s="14">
        <v>2660</v>
      </c>
      <c r="T67" s="14">
        <v>20392</v>
      </c>
      <c r="U67" s="14">
        <v>354339</v>
      </c>
      <c r="V67" s="14">
        <v>4262</v>
      </c>
      <c r="Y67" s="14">
        <v>38712</v>
      </c>
      <c r="Z67" s="14">
        <v>36833</v>
      </c>
      <c r="AA67" s="14">
        <v>280</v>
      </c>
      <c r="AB67" s="14">
        <f t="shared" ref="AB67:AB130" si="76">AA67+O67</f>
        <v>280</v>
      </c>
      <c r="AF67" s="14">
        <v>5632</v>
      </c>
      <c r="AJ67" s="14">
        <v>2326</v>
      </c>
      <c r="AK67" s="14">
        <v>6282</v>
      </c>
      <c r="AL67" s="14">
        <v>197</v>
      </c>
      <c r="AM67" s="14">
        <f t="shared" ref="AM67:AM130" si="77">AK67+AL67</f>
        <v>6479</v>
      </c>
      <c r="AQ67" s="14">
        <f t="shared" ref="AQ67:AQ130" si="78">AO67+AP67</f>
        <v>0</v>
      </c>
      <c r="AT67" s="14">
        <f t="shared" ref="AT67:AT130" si="79">AR67+AS67</f>
        <v>0</v>
      </c>
      <c r="AU67" s="16">
        <v>172576</v>
      </c>
      <c r="AV67" s="16">
        <v>441362</v>
      </c>
      <c r="AW67" s="16">
        <v>293574</v>
      </c>
      <c r="AX67" s="16">
        <v>0</v>
      </c>
      <c r="AY67" s="18">
        <f t="shared" ref="AY67:AY130" si="80">(AU67*10000)/$E67</f>
        <v>7.8967256937714918</v>
      </c>
      <c r="AZ67" s="17">
        <f t="shared" ref="AZ67:AZ130" si="81">(AV67*10000)/$E67</f>
        <v>20.195824712905463</v>
      </c>
      <c r="BA67" s="17">
        <f t="shared" ref="BA67:BA130" si="82">(AW67*10000)/$E67</f>
        <v>13.433347330006907</v>
      </c>
      <c r="BB67" s="17">
        <f t="shared" ref="BB67:BB130" si="83">(AX67*10000)/$E67</f>
        <v>0</v>
      </c>
      <c r="BC67" s="17">
        <f t="shared" si="51"/>
        <v>0.23098618175272628</v>
      </c>
      <c r="BD67" s="17">
        <f t="shared" si="52"/>
        <v>0.83631823373505909</v>
      </c>
      <c r="BE67" s="17">
        <f t="shared" si="53"/>
        <v>0</v>
      </c>
      <c r="BF67" s="17">
        <f t="shared" si="54"/>
        <v>0</v>
      </c>
      <c r="BG67" s="17">
        <f t="shared" si="55"/>
        <v>7.6873372691081644E-3</v>
      </c>
      <c r="BH67" s="17">
        <f t="shared" si="56"/>
        <v>0</v>
      </c>
      <c r="BI67" s="17">
        <f t="shared" si="57"/>
        <v>7.0685523769048926</v>
      </c>
      <c r="BJ67" s="17">
        <f t="shared" si="58"/>
        <v>0</v>
      </c>
      <c r="BK67" s="17">
        <f t="shared" si="59"/>
        <v>0</v>
      </c>
      <c r="BL67" s="17">
        <f t="shared" si="60"/>
        <v>0</v>
      </c>
      <c r="BM67" s="17">
        <f t="shared" si="61"/>
        <v>0.12171617342754594</v>
      </c>
      <c r="BN67" s="17">
        <f t="shared" si="62"/>
        <v>0</v>
      </c>
      <c r="BO67" s="17">
        <f t="shared" si="63"/>
        <v>0</v>
      </c>
      <c r="BP67" s="17">
        <f t="shared" si="64"/>
        <v>0.93309631899793866</v>
      </c>
      <c r="BQ67" s="17">
        <f t="shared" si="65"/>
        <v>16.21382976546737</v>
      </c>
      <c r="BR67" s="17">
        <f t="shared" si="66"/>
        <v>0.19502042524368451</v>
      </c>
      <c r="BS67" s="17">
        <f t="shared" si="67"/>
        <v>0</v>
      </c>
      <c r="BT67" s="17">
        <f t="shared" si="68"/>
        <v>0</v>
      </c>
      <c r="BU67" s="17">
        <f t="shared" si="69"/>
        <v>1.7713821450102099</v>
      </c>
      <c r="BV67" s="17">
        <f t="shared" si="70"/>
        <v>1.6854029382920299</v>
      </c>
      <c r="BW67" s="17">
        <f t="shared" si="71"/>
        <v>1.2812228781846942E-2</v>
      </c>
      <c r="BX67" s="17">
        <f t="shared" si="72"/>
        <v>0</v>
      </c>
      <c r="BY67" s="17">
        <f t="shared" si="73"/>
        <v>0</v>
      </c>
      <c r="BZ67" s="17">
        <f t="shared" ref="BZ67:BZ130" si="84">(AE67*10000)/$E67</f>
        <v>0</v>
      </c>
      <c r="CA67" s="17">
        <f t="shared" ref="CA67:CA130" si="85">(AF67*10000)/$E67</f>
        <v>0.25770883035486419</v>
      </c>
      <c r="CB67" s="17">
        <f t="shared" ref="CB67:CB130" si="86">(AG67*10000)/$E67</f>
        <v>0</v>
      </c>
      <c r="CC67" s="17">
        <f t="shared" ref="CC67:CC130" si="87">(AH67*10000)/$E67</f>
        <v>0</v>
      </c>
      <c r="CD67" s="17">
        <f t="shared" ref="CD67:CD130" si="88">(AI67*10000)/$E67</f>
        <v>0</v>
      </c>
      <c r="CE67" s="17">
        <f t="shared" ref="CE67:CE130" si="89">(AJ67*10000)/$E67</f>
        <v>0.10643301480919995</v>
      </c>
      <c r="CF67" s="17">
        <f t="shared" ref="CF67:CF130" si="90">(AK67*10000)/$E67</f>
        <v>0.28745150431272315</v>
      </c>
      <c r="CG67" s="17">
        <f t="shared" ref="CG67:CG130" si="91">(AL67*10000)/$E67</f>
        <v>9.0143181072280254E-3</v>
      </c>
      <c r="CH67" s="17">
        <f t="shared" ref="CH67:CH130" si="92">(AN67*10000)/$E67</f>
        <v>0</v>
      </c>
      <c r="CI67" s="17">
        <f t="shared" ref="CI67:CI130" si="93">(AO67*10000)/$E67</f>
        <v>0</v>
      </c>
      <c r="CJ67" s="17">
        <f t="shared" ref="CJ67:CJ130" si="94">(AP67*10000)/$E67</f>
        <v>0</v>
      </c>
      <c r="CK67" s="17">
        <f t="shared" ref="CK67:CK130" si="95">(AR67*10000)/$E67</f>
        <v>0</v>
      </c>
      <c r="CL67" s="17">
        <f t="shared" ref="CL67:CL130" si="96">(AS67*10000)/$E67</f>
        <v>0</v>
      </c>
      <c r="CM67" s="14">
        <f t="shared" ref="CM67:CM130" si="97">AV67+AW67</f>
        <v>734936</v>
      </c>
      <c r="CN67" s="17">
        <f t="shared" ref="CN67:CN130" si="98">(CM67*10000)/$E67</f>
        <v>33.629172042912366</v>
      </c>
      <c r="CO67" s="14">
        <f t="shared" ref="CO67:CO130" si="99">AU67+AV67+AW67</f>
        <v>907512</v>
      </c>
      <c r="CP67" s="17">
        <f t="shared" ref="CP67:CP130" si="100">(CO67*10000)/$E67</f>
        <v>41.525897736683859</v>
      </c>
      <c r="CQ67" s="14">
        <f t="shared" si="74"/>
        <v>1564156</v>
      </c>
      <c r="CR67" s="14">
        <v>416</v>
      </c>
      <c r="CS67" s="14">
        <v>1332</v>
      </c>
      <c r="CT67" s="14">
        <v>0</v>
      </c>
      <c r="CU67" s="14">
        <v>0</v>
      </c>
    </row>
    <row r="68" spans="1:99" x14ac:dyDescent="0.3">
      <c r="A68" s="14">
        <v>2012</v>
      </c>
      <c r="B68" s="14" t="s">
        <v>13</v>
      </c>
      <c r="C68" s="14" t="s">
        <v>14</v>
      </c>
      <c r="D68" s="15">
        <v>59226.3</v>
      </c>
      <c r="E68" s="15">
        <v>1836705</v>
      </c>
      <c r="F68" s="15">
        <f t="shared" si="75"/>
        <v>31.011645164394871</v>
      </c>
      <c r="AB68" s="14">
        <f t="shared" si="76"/>
        <v>0</v>
      </c>
      <c r="AM68" s="14">
        <f t="shared" si="77"/>
        <v>0</v>
      </c>
      <c r="AQ68" s="14">
        <f t="shared" si="78"/>
        <v>0</v>
      </c>
      <c r="AT68" s="14">
        <f t="shared" si="79"/>
        <v>0</v>
      </c>
      <c r="AU68" s="16">
        <v>0</v>
      </c>
      <c r="AV68" s="16">
        <v>0</v>
      </c>
      <c r="AW68" s="16">
        <v>0</v>
      </c>
      <c r="AX68" s="16">
        <v>0</v>
      </c>
      <c r="AY68" s="18">
        <f t="shared" si="80"/>
        <v>0</v>
      </c>
      <c r="AZ68" s="17">
        <f t="shared" si="81"/>
        <v>0</v>
      </c>
      <c r="BA68" s="17">
        <f t="shared" si="82"/>
        <v>0</v>
      </c>
      <c r="BB68" s="17">
        <f t="shared" si="83"/>
        <v>0</v>
      </c>
      <c r="BC68" s="17">
        <f t="shared" si="51"/>
        <v>0</v>
      </c>
      <c r="BD68" s="17">
        <f t="shared" si="52"/>
        <v>0</v>
      </c>
      <c r="BE68" s="17">
        <f t="shared" si="53"/>
        <v>0</v>
      </c>
      <c r="BF68" s="17">
        <f t="shared" si="54"/>
        <v>0</v>
      </c>
      <c r="BG68" s="17">
        <f t="shared" si="55"/>
        <v>0</v>
      </c>
      <c r="BH68" s="17">
        <f t="shared" si="56"/>
        <v>0</v>
      </c>
      <c r="BI68" s="17">
        <f t="shared" si="57"/>
        <v>0</v>
      </c>
      <c r="BJ68" s="17">
        <f t="shared" si="58"/>
        <v>0</v>
      </c>
      <c r="BK68" s="17">
        <f t="shared" si="59"/>
        <v>0</v>
      </c>
      <c r="BL68" s="17">
        <f t="shared" si="60"/>
        <v>0</v>
      </c>
      <c r="BM68" s="17">
        <f t="shared" si="61"/>
        <v>0</v>
      </c>
      <c r="BN68" s="17">
        <f t="shared" si="62"/>
        <v>0</v>
      </c>
      <c r="BO68" s="17">
        <f t="shared" si="63"/>
        <v>0</v>
      </c>
      <c r="BP68" s="17">
        <f t="shared" si="64"/>
        <v>0</v>
      </c>
      <c r="BQ68" s="17">
        <f t="shared" si="65"/>
        <v>0</v>
      </c>
      <c r="BR68" s="17">
        <f t="shared" si="66"/>
        <v>0</v>
      </c>
      <c r="BS68" s="17">
        <f t="shared" si="67"/>
        <v>0</v>
      </c>
      <c r="BT68" s="17">
        <f t="shared" si="68"/>
        <v>0</v>
      </c>
      <c r="BU68" s="17">
        <f t="shared" si="69"/>
        <v>0</v>
      </c>
      <c r="BV68" s="17">
        <f t="shared" si="70"/>
        <v>0</v>
      </c>
      <c r="BW68" s="17">
        <f t="shared" si="71"/>
        <v>0</v>
      </c>
      <c r="BX68" s="17">
        <f t="shared" si="72"/>
        <v>0</v>
      </c>
      <c r="BY68" s="17">
        <f t="shared" si="73"/>
        <v>0</v>
      </c>
      <c r="BZ68" s="17">
        <f t="shared" si="84"/>
        <v>0</v>
      </c>
      <c r="CA68" s="17">
        <f t="shared" si="85"/>
        <v>0</v>
      </c>
      <c r="CB68" s="17">
        <f t="shared" si="86"/>
        <v>0</v>
      </c>
      <c r="CC68" s="17">
        <f t="shared" si="87"/>
        <v>0</v>
      </c>
      <c r="CD68" s="17">
        <f t="shared" si="88"/>
        <v>0</v>
      </c>
      <c r="CE68" s="17">
        <f t="shared" si="89"/>
        <v>0</v>
      </c>
      <c r="CF68" s="17">
        <f t="shared" si="90"/>
        <v>0</v>
      </c>
      <c r="CG68" s="17">
        <f t="shared" si="91"/>
        <v>0</v>
      </c>
      <c r="CH68" s="17">
        <f t="shared" si="92"/>
        <v>0</v>
      </c>
      <c r="CI68" s="17">
        <f t="shared" si="93"/>
        <v>0</v>
      </c>
      <c r="CJ68" s="17">
        <f t="shared" si="94"/>
        <v>0</v>
      </c>
      <c r="CK68" s="17">
        <f t="shared" si="95"/>
        <v>0</v>
      </c>
      <c r="CL68" s="17">
        <f t="shared" si="96"/>
        <v>0</v>
      </c>
      <c r="CM68" s="14">
        <f t="shared" si="97"/>
        <v>0</v>
      </c>
      <c r="CN68" s="17">
        <f t="shared" si="98"/>
        <v>0</v>
      </c>
      <c r="CO68" s="14">
        <f t="shared" si="99"/>
        <v>0</v>
      </c>
      <c r="CP68" s="17">
        <f t="shared" si="100"/>
        <v>0</v>
      </c>
      <c r="CQ68" s="14">
        <f t="shared" si="74"/>
        <v>0</v>
      </c>
      <c r="CR68" s="14">
        <v>0</v>
      </c>
      <c r="CS68" s="14">
        <v>0</v>
      </c>
      <c r="CT68" s="14">
        <v>0</v>
      </c>
      <c r="CU68" s="14">
        <v>0</v>
      </c>
    </row>
    <row r="69" spans="1:99" x14ac:dyDescent="0.3">
      <c r="A69" s="14">
        <v>2013</v>
      </c>
      <c r="B69" s="14" t="s">
        <v>13</v>
      </c>
      <c r="C69" s="14" t="s">
        <v>14</v>
      </c>
      <c r="D69" s="15">
        <v>60469.599999999999</v>
      </c>
      <c r="E69" s="15">
        <v>1902226.5000000007</v>
      </c>
      <c r="F69" s="15">
        <f t="shared" si="75"/>
        <v>31.457567108100612</v>
      </c>
      <c r="AB69" s="14">
        <f t="shared" si="76"/>
        <v>0</v>
      </c>
      <c r="AM69" s="14">
        <f t="shared" si="77"/>
        <v>0</v>
      </c>
      <c r="AQ69" s="14">
        <f t="shared" si="78"/>
        <v>0</v>
      </c>
      <c r="AT69" s="14">
        <f t="shared" si="79"/>
        <v>0</v>
      </c>
      <c r="AU69" s="16">
        <v>0</v>
      </c>
      <c r="AV69" s="16">
        <v>0</v>
      </c>
      <c r="AW69" s="16">
        <v>874</v>
      </c>
      <c r="AX69" s="16">
        <v>0</v>
      </c>
      <c r="AY69" s="18">
        <f t="shared" si="80"/>
        <v>0</v>
      </c>
      <c r="AZ69" s="17">
        <f t="shared" si="81"/>
        <v>0</v>
      </c>
      <c r="BA69" s="17">
        <f t="shared" si="82"/>
        <v>4.5946158357062092</v>
      </c>
      <c r="BB69" s="17">
        <f t="shared" si="83"/>
        <v>0</v>
      </c>
      <c r="BC69" s="17">
        <f t="shared" si="51"/>
        <v>0</v>
      </c>
      <c r="BD69" s="17">
        <f t="shared" si="52"/>
        <v>0</v>
      </c>
      <c r="BE69" s="17">
        <f t="shared" si="53"/>
        <v>0</v>
      </c>
      <c r="BF69" s="17">
        <f t="shared" si="54"/>
        <v>0</v>
      </c>
      <c r="BG69" s="17">
        <f t="shared" si="55"/>
        <v>0</v>
      </c>
      <c r="BH69" s="17">
        <f t="shared" si="56"/>
        <v>0</v>
      </c>
      <c r="BI69" s="17">
        <f t="shared" si="57"/>
        <v>0</v>
      </c>
      <c r="BJ69" s="17">
        <f t="shared" si="58"/>
        <v>0</v>
      </c>
      <c r="BK69" s="17">
        <f t="shared" si="59"/>
        <v>0</v>
      </c>
      <c r="BL69" s="17">
        <f t="shared" si="60"/>
        <v>0</v>
      </c>
      <c r="BM69" s="17">
        <f t="shared" si="61"/>
        <v>0</v>
      </c>
      <c r="BN69" s="17">
        <f t="shared" si="62"/>
        <v>0</v>
      </c>
      <c r="BO69" s="17">
        <f t="shared" si="63"/>
        <v>0</v>
      </c>
      <c r="BP69" s="17">
        <f t="shared" si="64"/>
        <v>0</v>
      </c>
      <c r="BQ69" s="17">
        <f t="shared" si="65"/>
        <v>0</v>
      </c>
      <c r="BR69" s="17">
        <f t="shared" si="66"/>
        <v>0</v>
      </c>
      <c r="BS69" s="17">
        <f t="shared" si="67"/>
        <v>0</v>
      </c>
      <c r="BT69" s="17">
        <f t="shared" si="68"/>
        <v>0</v>
      </c>
      <c r="BU69" s="17">
        <f t="shared" si="69"/>
        <v>0</v>
      </c>
      <c r="BV69" s="17">
        <f t="shared" si="70"/>
        <v>0</v>
      </c>
      <c r="BW69" s="17">
        <f t="shared" si="71"/>
        <v>0</v>
      </c>
      <c r="BX69" s="17">
        <f t="shared" si="72"/>
        <v>0</v>
      </c>
      <c r="BY69" s="17">
        <f t="shared" si="73"/>
        <v>0</v>
      </c>
      <c r="BZ69" s="17">
        <f t="shared" si="84"/>
        <v>0</v>
      </c>
      <c r="CA69" s="17">
        <f t="shared" si="85"/>
        <v>0</v>
      </c>
      <c r="CB69" s="17">
        <f t="shared" si="86"/>
        <v>0</v>
      </c>
      <c r="CC69" s="17">
        <f t="shared" si="87"/>
        <v>0</v>
      </c>
      <c r="CD69" s="17">
        <f t="shared" si="88"/>
        <v>0</v>
      </c>
      <c r="CE69" s="17">
        <f t="shared" si="89"/>
        <v>0</v>
      </c>
      <c r="CF69" s="17">
        <f t="shared" si="90"/>
        <v>0</v>
      </c>
      <c r="CG69" s="17">
        <f t="shared" si="91"/>
        <v>0</v>
      </c>
      <c r="CH69" s="17">
        <f t="shared" si="92"/>
        <v>0</v>
      </c>
      <c r="CI69" s="17">
        <f t="shared" si="93"/>
        <v>0</v>
      </c>
      <c r="CJ69" s="17">
        <f t="shared" si="94"/>
        <v>0</v>
      </c>
      <c r="CK69" s="17">
        <f t="shared" si="95"/>
        <v>0</v>
      </c>
      <c r="CL69" s="17">
        <f t="shared" si="96"/>
        <v>0</v>
      </c>
      <c r="CM69" s="14">
        <f t="shared" si="97"/>
        <v>874</v>
      </c>
      <c r="CN69" s="17"/>
      <c r="CO69" s="14">
        <f t="shared" si="99"/>
        <v>874</v>
      </c>
      <c r="CP69" s="17"/>
      <c r="CQ69" s="14">
        <f t="shared" si="74"/>
        <v>874</v>
      </c>
      <c r="CR69" s="14">
        <v>25</v>
      </c>
      <c r="CS69" s="14">
        <v>98</v>
      </c>
      <c r="CT69" s="14">
        <v>0</v>
      </c>
      <c r="CU69" s="14">
        <v>296</v>
      </c>
    </row>
    <row r="70" spans="1:99" x14ac:dyDescent="0.3">
      <c r="A70" s="14">
        <v>2014</v>
      </c>
      <c r="B70" s="14" t="s">
        <v>13</v>
      </c>
      <c r="C70" s="14" t="s">
        <v>14</v>
      </c>
      <c r="D70" s="15">
        <v>61619.1</v>
      </c>
      <c r="E70" s="15">
        <v>1966855.5</v>
      </c>
      <c r="F70" s="15">
        <f t="shared" si="75"/>
        <v>31.919575261566624</v>
      </c>
      <c r="AB70" s="14">
        <f t="shared" si="76"/>
        <v>0</v>
      </c>
      <c r="AM70" s="14">
        <f t="shared" si="77"/>
        <v>0</v>
      </c>
      <c r="AQ70" s="14">
        <f t="shared" si="78"/>
        <v>0</v>
      </c>
      <c r="AT70" s="14">
        <f t="shared" si="79"/>
        <v>0</v>
      </c>
      <c r="AU70" s="16">
        <v>0</v>
      </c>
      <c r="AV70" s="16">
        <v>0</v>
      </c>
      <c r="AW70" s="16">
        <v>0</v>
      </c>
      <c r="AX70" s="16">
        <v>0</v>
      </c>
      <c r="AY70" s="18">
        <f t="shared" si="80"/>
        <v>0</v>
      </c>
      <c r="AZ70" s="17">
        <f t="shared" si="81"/>
        <v>0</v>
      </c>
      <c r="BA70" s="17">
        <f t="shared" si="82"/>
        <v>0</v>
      </c>
      <c r="BB70" s="17">
        <f t="shared" si="83"/>
        <v>0</v>
      </c>
      <c r="BC70" s="17">
        <f t="shared" si="51"/>
        <v>0</v>
      </c>
      <c r="BD70" s="17">
        <f t="shared" si="52"/>
        <v>0</v>
      </c>
      <c r="BE70" s="17">
        <f t="shared" si="53"/>
        <v>0</v>
      </c>
      <c r="BF70" s="17">
        <f t="shared" si="54"/>
        <v>0</v>
      </c>
      <c r="BG70" s="17">
        <f t="shared" si="55"/>
        <v>0</v>
      </c>
      <c r="BH70" s="17">
        <f t="shared" si="56"/>
        <v>0</v>
      </c>
      <c r="BI70" s="17">
        <f t="shared" si="57"/>
        <v>0</v>
      </c>
      <c r="BJ70" s="17">
        <f t="shared" si="58"/>
        <v>0</v>
      </c>
      <c r="BK70" s="17">
        <f t="shared" si="59"/>
        <v>0</v>
      </c>
      <c r="BL70" s="17">
        <f t="shared" si="60"/>
        <v>0</v>
      </c>
      <c r="BM70" s="17">
        <f t="shared" si="61"/>
        <v>0</v>
      </c>
      <c r="BN70" s="17">
        <f t="shared" si="62"/>
        <v>0</v>
      </c>
      <c r="BO70" s="17">
        <f t="shared" si="63"/>
        <v>0</v>
      </c>
      <c r="BP70" s="17">
        <f t="shared" si="64"/>
        <v>0</v>
      </c>
      <c r="BQ70" s="17">
        <f t="shared" si="65"/>
        <v>0</v>
      </c>
      <c r="BR70" s="17">
        <f t="shared" si="66"/>
        <v>0</v>
      </c>
      <c r="BS70" s="17">
        <f t="shared" si="67"/>
        <v>0</v>
      </c>
      <c r="BT70" s="17">
        <f t="shared" si="68"/>
        <v>0</v>
      </c>
      <c r="BU70" s="17">
        <f t="shared" si="69"/>
        <v>0</v>
      </c>
      <c r="BV70" s="17">
        <f t="shared" si="70"/>
        <v>0</v>
      </c>
      <c r="BW70" s="17">
        <f t="shared" si="71"/>
        <v>0</v>
      </c>
      <c r="BX70" s="17">
        <f t="shared" si="72"/>
        <v>0</v>
      </c>
      <c r="BY70" s="17">
        <f t="shared" si="73"/>
        <v>0</v>
      </c>
      <c r="BZ70" s="17">
        <f t="shared" si="84"/>
        <v>0</v>
      </c>
      <c r="CA70" s="17">
        <f t="shared" si="85"/>
        <v>0</v>
      </c>
      <c r="CB70" s="17">
        <f t="shared" si="86"/>
        <v>0</v>
      </c>
      <c r="CC70" s="17">
        <f t="shared" si="87"/>
        <v>0</v>
      </c>
      <c r="CD70" s="17">
        <f t="shared" si="88"/>
        <v>0</v>
      </c>
      <c r="CE70" s="17">
        <f t="shared" si="89"/>
        <v>0</v>
      </c>
      <c r="CF70" s="17">
        <f t="shared" si="90"/>
        <v>0</v>
      </c>
      <c r="CG70" s="17">
        <f t="shared" si="91"/>
        <v>0</v>
      </c>
      <c r="CH70" s="17">
        <f t="shared" si="92"/>
        <v>0</v>
      </c>
      <c r="CI70" s="17">
        <f t="shared" si="93"/>
        <v>0</v>
      </c>
      <c r="CJ70" s="17">
        <f t="shared" si="94"/>
        <v>0</v>
      </c>
      <c r="CK70" s="17">
        <f t="shared" si="95"/>
        <v>0</v>
      </c>
      <c r="CL70" s="17">
        <f t="shared" si="96"/>
        <v>0</v>
      </c>
      <c r="CM70" s="14">
        <f t="shared" si="97"/>
        <v>0</v>
      </c>
      <c r="CN70" s="17">
        <f t="shared" si="98"/>
        <v>0</v>
      </c>
      <c r="CO70" s="14">
        <f t="shared" si="99"/>
        <v>0</v>
      </c>
      <c r="CP70" s="17">
        <f t="shared" si="100"/>
        <v>0</v>
      </c>
      <c r="CQ70" s="14">
        <f t="shared" si="74"/>
        <v>0</v>
      </c>
      <c r="CR70" s="14">
        <v>396</v>
      </c>
      <c r="CS70" s="14">
        <v>2131</v>
      </c>
      <c r="CT70" s="14">
        <v>999</v>
      </c>
      <c r="CU70" s="14">
        <v>6</v>
      </c>
    </row>
    <row r="71" spans="1:99" x14ac:dyDescent="0.3">
      <c r="A71" s="14">
        <v>2015</v>
      </c>
      <c r="B71" s="14" t="s">
        <v>13</v>
      </c>
      <c r="C71" s="14" t="s">
        <v>14</v>
      </c>
      <c r="D71" s="15">
        <v>62601.9</v>
      </c>
      <c r="E71" s="15">
        <v>2028517.0000000007</v>
      </c>
      <c r="F71" s="15">
        <f t="shared" si="75"/>
        <v>32.403441429094016</v>
      </c>
      <c r="AB71" s="14">
        <f t="shared" si="76"/>
        <v>0</v>
      </c>
      <c r="AM71" s="14">
        <f t="shared" si="77"/>
        <v>0</v>
      </c>
      <c r="AQ71" s="14">
        <f t="shared" si="78"/>
        <v>0</v>
      </c>
      <c r="AT71" s="14">
        <f t="shared" si="79"/>
        <v>0</v>
      </c>
      <c r="AU71" s="16">
        <v>0</v>
      </c>
      <c r="AV71" s="16">
        <v>0</v>
      </c>
      <c r="AW71" s="16">
        <v>0</v>
      </c>
      <c r="AX71" s="16">
        <v>0</v>
      </c>
      <c r="AY71" s="18">
        <f t="shared" si="80"/>
        <v>0</v>
      </c>
      <c r="AZ71" s="17">
        <f t="shared" si="81"/>
        <v>0</v>
      </c>
      <c r="BA71" s="17">
        <f t="shared" si="82"/>
        <v>0</v>
      </c>
      <c r="BB71" s="17">
        <f t="shared" si="83"/>
        <v>0</v>
      </c>
      <c r="BC71" s="17">
        <f t="shared" si="51"/>
        <v>0</v>
      </c>
      <c r="BD71" s="17">
        <f t="shared" si="52"/>
        <v>0</v>
      </c>
      <c r="BE71" s="17">
        <f t="shared" si="53"/>
        <v>0</v>
      </c>
      <c r="BF71" s="17">
        <f t="shared" si="54"/>
        <v>0</v>
      </c>
      <c r="BG71" s="17">
        <f t="shared" si="55"/>
        <v>0</v>
      </c>
      <c r="BH71" s="17">
        <f t="shared" si="56"/>
        <v>0</v>
      </c>
      <c r="BI71" s="17">
        <f t="shared" si="57"/>
        <v>0</v>
      </c>
      <c r="BJ71" s="17">
        <f t="shared" si="58"/>
        <v>0</v>
      </c>
      <c r="BK71" s="17">
        <f t="shared" si="59"/>
        <v>0</v>
      </c>
      <c r="BL71" s="17">
        <f t="shared" si="60"/>
        <v>0</v>
      </c>
      <c r="BM71" s="17">
        <f t="shared" si="61"/>
        <v>0</v>
      </c>
      <c r="BN71" s="17">
        <f t="shared" si="62"/>
        <v>0</v>
      </c>
      <c r="BO71" s="17">
        <f t="shared" si="63"/>
        <v>0</v>
      </c>
      <c r="BP71" s="17">
        <f t="shared" si="64"/>
        <v>0</v>
      </c>
      <c r="BQ71" s="17">
        <f t="shared" si="65"/>
        <v>0</v>
      </c>
      <c r="BR71" s="17">
        <f t="shared" si="66"/>
        <v>0</v>
      </c>
      <c r="BS71" s="17">
        <f t="shared" si="67"/>
        <v>0</v>
      </c>
      <c r="BT71" s="17">
        <f t="shared" si="68"/>
        <v>0</v>
      </c>
      <c r="BU71" s="17">
        <f t="shared" si="69"/>
        <v>0</v>
      </c>
      <c r="BV71" s="17">
        <f t="shared" si="70"/>
        <v>0</v>
      </c>
      <c r="BW71" s="17">
        <f t="shared" si="71"/>
        <v>0</v>
      </c>
      <c r="BX71" s="17">
        <f t="shared" si="72"/>
        <v>0</v>
      </c>
      <c r="BY71" s="17">
        <f t="shared" si="73"/>
        <v>0</v>
      </c>
      <c r="BZ71" s="17">
        <f t="shared" si="84"/>
        <v>0</v>
      </c>
      <c r="CA71" s="17">
        <f t="shared" si="85"/>
        <v>0</v>
      </c>
      <c r="CB71" s="17">
        <f t="shared" si="86"/>
        <v>0</v>
      </c>
      <c r="CC71" s="17">
        <f t="shared" si="87"/>
        <v>0</v>
      </c>
      <c r="CD71" s="17">
        <f t="shared" si="88"/>
        <v>0</v>
      </c>
      <c r="CE71" s="17">
        <f t="shared" si="89"/>
        <v>0</v>
      </c>
      <c r="CF71" s="17">
        <f t="shared" si="90"/>
        <v>0</v>
      </c>
      <c r="CG71" s="17">
        <f t="shared" si="91"/>
        <v>0</v>
      </c>
      <c r="CH71" s="17">
        <f t="shared" si="92"/>
        <v>0</v>
      </c>
      <c r="CI71" s="17">
        <f t="shared" si="93"/>
        <v>0</v>
      </c>
      <c r="CJ71" s="17">
        <f t="shared" si="94"/>
        <v>0</v>
      </c>
      <c r="CK71" s="17">
        <f t="shared" si="95"/>
        <v>0</v>
      </c>
      <c r="CL71" s="17">
        <f t="shared" si="96"/>
        <v>0</v>
      </c>
      <c r="CM71" s="14">
        <f t="shared" si="97"/>
        <v>0</v>
      </c>
      <c r="CN71" s="17">
        <f t="shared" si="98"/>
        <v>0</v>
      </c>
      <c r="CO71" s="14">
        <f t="shared" si="99"/>
        <v>0</v>
      </c>
      <c r="CP71" s="17">
        <f t="shared" si="100"/>
        <v>0</v>
      </c>
      <c r="CQ71" s="14">
        <f t="shared" si="74"/>
        <v>0</v>
      </c>
      <c r="CR71" s="14">
        <v>0</v>
      </c>
      <c r="CS71" s="14">
        <v>0</v>
      </c>
      <c r="CT71" s="14">
        <v>0</v>
      </c>
      <c r="CU71" s="14">
        <v>0</v>
      </c>
    </row>
    <row r="72" spans="1:99" x14ac:dyDescent="0.3">
      <c r="A72" s="14">
        <v>2016</v>
      </c>
      <c r="B72" s="14" t="s">
        <v>13</v>
      </c>
      <c r="C72" s="14" t="s">
        <v>14</v>
      </c>
      <c r="D72" s="15">
        <v>63306.9</v>
      </c>
      <c r="E72" s="15">
        <v>2086205.5000000009</v>
      </c>
      <c r="F72" s="15">
        <f t="shared" si="75"/>
        <v>32.95384073458029</v>
      </c>
      <c r="H72" s="14">
        <v>46</v>
      </c>
      <c r="O72" s="14">
        <v>33</v>
      </c>
      <c r="T72" s="14">
        <v>174</v>
      </c>
      <c r="V72" s="14">
        <v>66</v>
      </c>
      <c r="Y72" s="14">
        <v>287</v>
      </c>
      <c r="AB72" s="14">
        <f t="shared" si="76"/>
        <v>33</v>
      </c>
      <c r="AJ72" s="14">
        <v>72</v>
      </c>
      <c r="AM72" s="14">
        <f t="shared" si="77"/>
        <v>0</v>
      </c>
      <c r="AQ72" s="14">
        <f t="shared" si="78"/>
        <v>0</v>
      </c>
      <c r="AT72" s="14">
        <f t="shared" si="79"/>
        <v>0</v>
      </c>
      <c r="AU72" s="16">
        <v>1430</v>
      </c>
      <c r="AV72" s="16">
        <v>9192</v>
      </c>
      <c r="AW72" s="16">
        <v>1026</v>
      </c>
      <c r="AX72" s="16">
        <v>0</v>
      </c>
      <c r="AY72" s="18">
        <f t="shared" si="80"/>
        <v>6.8545500431285378</v>
      </c>
      <c r="AZ72" s="17">
        <f t="shared" si="81"/>
        <v>44.060855941564704</v>
      </c>
      <c r="BA72" s="17">
        <f t="shared" si="82"/>
        <v>4.918019821153762</v>
      </c>
      <c r="BB72" s="17">
        <f t="shared" si="83"/>
        <v>0</v>
      </c>
      <c r="BC72" s="17">
        <f t="shared" si="51"/>
        <v>0</v>
      </c>
      <c r="BD72" s="17">
        <f t="shared" si="52"/>
        <v>0.22049601537336558</v>
      </c>
      <c r="BE72" s="17">
        <f t="shared" si="53"/>
        <v>0</v>
      </c>
      <c r="BF72" s="17">
        <f t="shared" si="54"/>
        <v>0</v>
      </c>
      <c r="BG72" s="17">
        <f t="shared" si="55"/>
        <v>0</v>
      </c>
      <c r="BH72" s="17">
        <f t="shared" si="56"/>
        <v>0</v>
      </c>
      <c r="BI72" s="17">
        <f t="shared" si="57"/>
        <v>0</v>
      </c>
      <c r="BJ72" s="17">
        <f t="shared" si="58"/>
        <v>0</v>
      </c>
      <c r="BK72" s="17">
        <f t="shared" si="59"/>
        <v>0.15818192407219703</v>
      </c>
      <c r="BL72" s="17">
        <f t="shared" si="60"/>
        <v>0</v>
      </c>
      <c r="BM72" s="17">
        <f t="shared" si="61"/>
        <v>0</v>
      </c>
      <c r="BN72" s="17">
        <f t="shared" si="62"/>
        <v>0</v>
      </c>
      <c r="BO72" s="17">
        <f t="shared" si="63"/>
        <v>0</v>
      </c>
      <c r="BP72" s="17">
        <f t="shared" si="64"/>
        <v>0.83405014510794806</v>
      </c>
      <c r="BQ72" s="17">
        <f t="shared" si="65"/>
        <v>0</v>
      </c>
      <c r="BR72" s="17">
        <f t="shared" si="66"/>
        <v>0.31636384814439406</v>
      </c>
      <c r="BS72" s="17">
        <f t="shared" si="67"/>
        <v>0</v>
      </c>
      <c r="BT72" s="17">
        <f t="shared" si="68"/>
        <v>0</v>
      </c>
      <c r="BU72" s="17">
        <f t="shared" si="69"/>
        <v>1.375703400264259</v>
      </c>
      <c r="BV72" s="17">
        <f t="shared" si="70"/>
        <v>0</v>
      </c>
      <c r="BW72" s="17">
        <f t="shared" si="71"/>
        <v>0</v>
      </c>
      <c r="BX72" s="17">
        <f t="shared" si="72"/>
        <v>0</v>
      </c>
      <c r="BY72" s="17">
        <f t="shared" si="73"/>
        <v>0</v>
      </c>
      <c r="BZ72" s="17">
        <f t="shared" si="84"/>
        <v>0</v>
      </c>
      <c r="CA72" s="17">
        <f t="shared" si="85"/>
        <v>0</v>
      </c>
      <c r="CB72" s="17">
        <f t="shared" si="86"/>
        <v>0</v>
      </c>
      <c r="CC72" s="17">
        <f t="shared" si="87"/>
        <v>0</v>
      </c>
      <c r="CD72" s="17">
        <f t="shared" si="88"/>
        <v>0</v>
      </c>
      <c r="CE72" s="17">
        <f t="shared" si="89"/>
        <v>0.3451241979757026</v>
      </c>
      <c r="CF72" s="17">
        <f t="shared" si="90"/>
        <v>0</v>
      </c>
      <c r="CG72" s="17">
        <f t="shared" si="91"/>
        <v>0</v>
      </c>
      <c r="CH72" s="17">
        <f t="shared" si="92"/>
        <v>0</v>
      </c>
      <c r="CI72" s="17">
        <f t="shared" si="93"/>
        <v>0</v>
      </c>
      <c r="CJ72" s="17">
        <f t="shared" si="94"/>
        <v>0</v>
      </c>
      <c r="CK72" s="17">
        <f t="shared" si="95"/>
        <v>0</v>
      </c>
      <c r="CL72" s="17">
        <f t="shared" si="96"/>
        <v>0</v>
      </c>
      <c r="CM72" s="14">
        <f t="shared" si="97"/>
        <v>10218</v>
      </c>
      <c r="CN72" s="17">
        <f t="shared" si="98"/>
        <v>48.978875762718467</v>
      </c>
      <c r="CO72" s="14">
        <f t="shared" si="99"/>
        <v>11648</v>
      </c>
      <c r="CP72" s="17">
        <f t="shared" si="100"/>
        <v>55.833425805847</v>
      </c>
      <c r="CQ72" s="14">
        <f t="shared" si="74"/>
        <v>12359</v>
      </c>
      <c r="CR72" s="14">
        <v>23</v>
      </c>
      <c r="CS72" s="14">
        <v>78</v>
      </c>
      <c r="CT72" s="14">
        <v>4</v>
      </c>
      <c r="CU72" s="14">
        <v>29</v>
      </c>
    </row>
    <row r="73" spans="1:99" x14ac:dyDescent="0.3">
      <c r="A73" s="14">
        <v>2017</v>
      </c>
      <c r="B73" s="14" t="s">
        <v>13</v>
      </c>
      <c r="C73" s="14" t="s">
        <v>14</v>
      </c>
      <c r="D73" s="15">
        <v>63752.5</v>
      </c>
      <c r="E73" s="15">
        <v>2140215.5000000005</v>
      </c>
      <c r="F73" s="15">
        <f t="shared" si="75"/>
        <v>33.570691345437439</v>
      </c>
      <c r="G73" s="14">
        <v>37</v>
      </c>
      <c r="H73" s="14">
        <v>121</v>
      </c>
      <c r="I73" s="14">
        <v>1943</v>
      </c>
      <c r="K73" s="14">
        <v>2</v>
      </c>
      <c r="L73" s="14">
        <v>8</v>
      </c>
      <c r="N73" s="14">
        <v>3</v>
      </c>
      <c r="O73" s="14">
        <v>46</v>
      </c>
      <c r="P73" s="14">
        <v>2</v>
      </c>
      <c r="U73" s="14">
        <v>127</v>
      </c>
      <c r="V73" s="14">
        <v>93</v>
      </c>
      <c r="X73" s="14">
        <v>18</v>
      </c>
      <c r="Y73" s="14">
        <v>442</v>
      </c>
      <c r="AB73" s="14">
        <f t="shared" si="76"/>
        <v>46</v>
      </c>
      <c r="AC73" s="14">
        <v>32</v>
      </c>
      <c r="AD73" s="14">
        <v>195</v>
      </c>
      <c r="AE73" s="14">
        <v>4</v>
      </c>
      <c r="AF73" s="14">
        <v>5</v>
      </c>
      <c r="AI73" s="14">
        <v>58</v>
      </c>
      <c r="AJ73" s="14">
        <v>106</v>
      </c>
      <c r="AK73" s="14">
        <v>43</v>
      </c>
      <c r="AM73" s="14">
        <f t="shared" si="77"/>
        <v>43</v>
      </c>
      <c r="AN73" s="14">
        <v>41</v>
      </c>
      <c r="AQ73" s="14">
        <f t="shared" si="78"/>
        <v>0</v>
      </c>
      <c r="AS73" s="14">
        <v>99</v>
      </c>
      <c r="AT73" s="14">
        <f t="shared" si="79"/>
        <v>99</v>
      </c>
      <c r="AU73" s="16">
        <v>3543</v>
      </c>
      <c r="AV73" s="16">
        <v>10700</v>
      </c>
      <c r="AW73" s="16">
        <v>1466</v>
      </c>
      <c r="AX73" s="16">
        <v>0</v>
      </c>
      <c r="AY73" s="18">
        <f t="shared" si="80"/>
        <v>16.55440772202612</v>
      </c>
      <c r="AZ73" s="17">
        <f t="shared" si="81"/>
        <v>49.994965460253873</v>
      </c>
      <c r="BA73" s="17">
        <f t="shared" si="82"/>
        <v>6.8497775107226335</v>
      </c>
      <c r="BB73" s="17">
        <f t="shared" si="83"/>
        <v>0</v>
      </c>
      <c r="BC73" s="17">
        <f t="shared" si="51"/>
        <v>0.17287978710555077</v>
      </c>
      <c r="BD73" s="17">
        <f t="shared" si="52"/>
        <v>0.5653636281019363</v>
      </c>
      <c r="BE73" s="17">
        <f t="shared" si="53"/>
        <v>9.0785250363806806</v>
      </c>
      <c r="BF73" s="17">
        <f t="shared" si="54"/>
        <v>0</v>
      </c>
      <c r="BG73" s="17">
        <f t="shared" si="55"/>
        <v>9.3448533570567992E-3</v>
      </c>
      <c r="BH73" s="17">
        <f t="shared" si="56"/>
        <v>3.7379413428227197E-2</v>
      </c>
      <c r="BI73" s="17">
        <f t="shared" si="57"/>
        <v>0</v>
      </c>
      <c r="BJ73" s="17">
        <f t="shared" si="58"/>
        <v>1.4017280035585198E-2</v>
      </c>
      <c r="BK73" s="17">
        <f t="shared" si="59"/>
        <v>0.21493162721230638</v>
      </c>
      <c r="BL73" s="17">
        <f t="shared" si="60"/>
        <v>9.3448533570567992E-3</v>
      </c>
      <c r="BM73" s="17">
        <f t="shared" si="61"/>
        <v>0</v>
      </c>
      <c r="BN73" s="17">
        <f t="shared" si="62"/>
        <v>0</v>
      </c>
      <c r="BO73" s="17">
        <f t="shared" si="63"/>
        <v>0</v>
      </c>
      <c r="BP73" s="17">
        <f t="shared" si="64"/>
        <v>0</v>
      </c>
      <c r="BQ73" s="17">
        <f t="shared" si="65"/>
        <v>0.59339818817310674</v>
      </c>
      <c r="BR73" s="17">
        <f t="shared" si="66"/>
        <v>0.43453568110314117</v>
      </c>
      <c r="BS73" s="17">
        <f t="shared" si="67"/>
        <v>0</v>
      </c>
      <c r="BT73" s="17">
        <f t="shared" si="68"/>
        <v>8.4103680213511195E-2</v>
      </c>
      <c r="BU73" s="17">
        <f t="shared" si="69"/>
        <v>2.0652125919095528</v>
      </c>
      <c r="BV73" s="17">
        <f t="shared" si="70"/>
        <v>0</v>
      </c>
      <c r="BW73" s="17">
        <f t="shared" si="71"/>
        <v>0</v>
      </c>
      <c r="BX73" s="17">
        <f t="shared" si="72"/>
        <v>0.14951765371290879</v>
      </c>
      <c r="BY73" s="17">
        <f t="shared" si="73"/>
        <v>0.91112320231303789</v>
      </c>
      <c r="BZ73" s="17">
        <f t="shared" si="84"/>
        <v>1.8689706714113598E-2</v>
      </c>
      <c r="CA73" s="17">
        <f t="shared" si="85"/>
        <v>2.3362133392641999E-2</v>
      </c>
      <c r="CB73" s="17">
        <f t="shared" si="86"/>
        <v>0</v>
      </c>
      <c r="CC73" s="17">
        <f t="shared" si="87"/>
        <v>0</v>
      </c>
      <c r="CD73" s="17">
        <f t="shared" si="88"/>
        <v>0.27100074735464719</v>
      </c>
      <c r="CE73" s="17">
        <f t="shared" si="89"/>
        <v>0.49527722792401035</v>
      </c>
      <c r="CF73" s="17">
        <f t="shared" si="90"/>
        <v>0.20091434717672119</v>
      </c>
      <c r="CG73" s="17">
        <f t="shared" si="91"/>
        <v>0</v>
      </c>
      <c r="CH73" s="17">
        <f t="shared" si="92"/>
        <v>0.19156949381966437</v>
      </c>
      <c r="CI73" s="17">
        <f t="shared" si="93"/>
        <v>0</v>
      </c>
      <c r="CJ73" s="17">
        <f t="shared" si="94"/>
        <v>0</v>
      </c>
      <c r="CK73" s="17">
        <f t="shared" si="95"/>
        <v>0</v>
      </c>
      <c r="CL73" s="17">
        <f t="shared" si="96"/>
        <v>0.46257024117431156</v>
      </c>
      <c r="CM73" s="14">
        <f t="shared" si="97"/>
        <v>12166</v>
      </c>
      <c r="CN73" s="17">
        <f t="shared" si="98"/>
        <v>56.844742970976512</v>
      </c>
      <c r="CO73" s="14">
        <f t="shared" si="99"/>
        <v>15709</v>
      </c>
      <c r="CP73" s="17">
        <f t="shared" si="100"/>
        <v>73.399150693002625</v>
      </c>
      <c r="CQ73" s="14">
        <f t="shared" si="74"/>
        <v>19322</v>
      </c>
      <c r="CR73" s="14">
        <v>246</v>
      </c>
      <c r="CS73" s="14">
        <v>2917</v>
      </c>
      <c r="CT73" s="14">
        <v>1985</v>
      </c>
      <c r="CU73" s="14">
        <v>5029</v>
      </c>
    </row>
    <row r="74" spans="1:99" x14ac:dyDescent="0.3">
      <c r="A74" s="14">
        <v>2018</v>
      </c>
      <c r="B74" s="14" t="s">
        <v>13</v>
      </c>
      <c r="C74" s="14" t="s">
        <v>14</v>
      </c>
      <c r="D74" s="15">
        <v>63976.2</v>
      </c>
      <c r="E74" s="15">
        <v>2192011.5</v>
      </c>
      <c r="F74" s="15">
        <f t="shared" si="75"/>
        <v>34.262921211325462</v>
      </c>
      <c r="G74" s="14">
        <v>40</v>
      </c>
      <c r="H74" s="14">
        <v>227</v>
      </c>
      <c r="Z74" s="14">
        <v>439</v>
      </c>
      <c r="AB74" s="14">
        <f t="shared" si="76"/>
        <v>0</v>
      </c>
      <c r="AM74" s="14">
        <f t="shared" si="77"/>
        <v>0</v>
      </c>
      <c r="AQ74" s="14">
        <f t="shared" si="78"/>
        <v>0</v>
      </c>
      <c r="AT74" s="14">
        <f t="shared" si="79"/>
        <v>0</v>
      </c>
      <c r="AU74" s="16">
        <v>2736</v>
      </c>
      <c r="AV74" s="16">
        <v>12170</v>
      </c>
      <c r="AW74" s="16">
        <v>0</v>
      </c>
      <c r="AX74" s="16">
        <v>0</v>
      </c>
      <c r="AY74" s="18">
        <f t="shared" si="80"/>
        <v>12.481686341517825</v>
      </c>
      <c r="AZ74" s="17">
        <f t="shared" si="81"/>
        <v>55.519781716473659</v>
      </c>
      <c r="BA74" s="17">
        <f t="shared" si="82"/>
        <v>0</v>
      </c>
      <c r="BB74" s="17">
        <f t="shared" si="83"/>
        <v>0</v>
      </c>
      <c r="BC74" s="17">
        <f t="shared" si="51"/>
        <v>0.18248079446663487</v>
      </c>
      <c r="BD74" s="17">
        <f t="shared" si="52"/>
        <v>1.0355785085981528</v>
      </c>
      <c r="BE74" s="17">
        <f t="shared" si="53"/>
        <v>0</v>
      </c>
      <c r="BF74" s="17">
        <f t="shared" si="54"/>
        <v>0</v>
      </c>
      <c r="BG74" s="17">
        <f t="shared" si="55"/>
        <v>0</v>
      </c>
      <c r="BH74" s="17">
        <f t="shared" si="56"/>
        <v>0</v>
      </c>
      <c r="BI74" s="17">
        <f t="shared" si="57"/>
        <v>0</v>
      </c>
      <c r="BJ74" s="17">
        <f t="shared" si="58"/>
        <v>0</v>
      </c>
      <c r="BK74" s="17">
        <f t="shared" si="59"/>
        <v>0</v>
      </c>
      <c r="BL74" s="17">
        <f t="shared" si="60"/>
        <v>0</v>
      </c>
      <c r="BM74" s="17">
        <f t="shared" si="61"/>
        <v>0</v>
      </c>
      <c r="BN74" s="17">
        <f t="shared" si="62"/>
        <v>0</v>
      </c>
      <c r="BO74" s="17">
        <f t="shared" si="63"/>
        <v>0</v>
      </c>
      <c r="BP74" s="17">
        <f t="shared" si="64"/>
        <v>0</v>
      </c>
      <c r="BQ74" s="17">
        <f t="shared" si="65"/>
        <v>0</v>
      </c>
      <c r="BR74" s="17">
        <f t="shared" si="66"/>
        <v>0</v>
      </c>
      <c r="BS74" s="17">
        <f t="shared" si="67"/>
        <v>0</v>
      </c>
      <c r="BT74" s="17">
        <f t="shared" si="68"/>
        <v>0</v>
      </c>
      <c r="BU74" s="17">
        <f t="shared" si="69"/>
        <v>0</v>
      </c>
      <c r="BV74" s="17">
        <f t="shared" si="70"/>
        <v>2.0027267192713176</v>
      </c>
      <c r="BW74" s="17">
        <f t="shared" si="71"/>
        <v>0</v>
      </c>
      <c r="BX74" s="17">
        <f t="shared" si="72"/>
        <v>0</v>
      </c>
      <c r="BY74" s="17">
        <f t="shared" si="73"/>
        <v>0</v>
      </c>
      <c r="BZ74" s="17">
        <f t="shared" si="84"/>
        <v>0</v>
      </c>
      <c r="CA74" s="17">
        <f t="shared" si="85"/>
        <v>0</v>
      </c>
      <c r="CB74" s="17">
        <f t="shared" si="86"/>
        <v>0</v>
      </c>
      <c r="CC74" s="17">
        <f t="shared" si="87"/>
        <v>0</v>
      </c>
      <c r="CD74" s="17">
        <f t="shared" si="88"/>
        <v>0</v>
      </c>
      <c r="CE74" s="17">
        <f t="shared" si="89"/>
        <v>0</v>
      </c>
      <c r="CF74" s="17">
        <f t="shared" si="90"/>
        <v>0</v>
      </c>
      <c r="CG74" s="17">
        <f t="shared" si="91"/>
        <v>0</v>
      </c>
      <c r="CH74" s="17">
        <f t="shared" si="92"/>
        <v>0</v>
      </c>
      <c r="CI74" s="17">
        <f t="shared" si="93"/>
        <v>0</v>
      </c>
      <c r="CJ74" s="17">
        <f t="shared" si="94"/>
        <v>0</v>
      </c>
      <c r="CK74" s="17">
        <f t="shared" si="95"/>
        <v>0</v>
      </c>
      <c r="CL74" s="17">
        <f t="shared" si="96"/>
        <v>0</v>
      </c>
      <c r="CM74" s="14">
        <f t="shared" si="97"/>
        <v>12170</v>
      </c>
      <c r="CN74" s="17">
        <f t="shared" si="98"/>
        <v>55.519781716473659</v>
      </c>
      <c r="CO74" s="14">
        <f t="shared" si="99"/>
        <v>14906</v>
      </c>
      <c r="CP74" s="17">
        <f t="shared" si="100"/>
        <v>68.001468057991488</v>
      </c>
      <c r="CQ74" s="14">
        <f t="shared" si="74"/>
        <v>15612</v>
      </c>
      <c r="CR74" s="14">
        <v>6</v>
      </c>
      <c r="CS74" s="14">
        <v>596</v>
      </c>
      <c r="CT74" s="14">
        <v>0</v>
      </c>
      <c r="CU74" s="14">
        <v>0</v>
      </c>
    </row>
    <row r="75" spans="1:99" x14ac:dyDescent="0.3">
      <c r="A75" s="14">
        <v>2019</v>
      </c>
      <c r="B75" s="14" t="s">
        <v>13</v>
      </c>
      <c r="C75" s="14" t="s">
        <v>14</v>
      </c>
      <c r="D75" s="15">
        <v>64066.9</v>
      </c>
      <c r="E75" s="15">
        <v>2242785.5000000005</v>
      </c>
      <c r="F75" s="15">
        <f t="shared" si="75"/>
        <v>35.00693025571708</v>
      </c>
      <c r="G75" s="14">
        <v>34</v>
      </c>
      <c r="H75" s="14">
        <v>140</v>
      </c>
      <c r="I75" s="14">
        <v>693</v>
      </c>
      <c r="J75" s="14">
        <v>159</v>
      </c>
      <c r="K75" s="14">
        <v>1</v>
      </c>
      <c r="L75" s="14">
        <v>65</v>
      </c>
      <c r="M75" s="14">
        <v>117</v>
      </c>
      <c r="N75" s="14">
        <v>32</v>
      </c>
      <c r="O75" s="14">
        <v>9</v>
      </c>
      <c r="P75" s="14">
        <v>10</v>
      </c>
      <c r="Q75" s="14">
        <v>14</v>
      </c>
      <c r="R75" s="14">
        <v>30</v>
      </c>
      <c r="S75" s="14">
        <v>7</v>
      </c>
      <c r="T75" s="14">
        <v>201</v>
      </c>
      <c r="U75" s="14">
        <v>89</v>
      </c>
      <c r="V75" s="14">
        <v>78</v>
      </c>
      <c r="W75" s="14">
        <v>344</v>
      </c>
      <c r="X75" s="14">
        <v>14</v>
      </c>
      <c r="Y75" s="14">
        <v>72</v>
      </c>
      <c r="Z75" s="14">
        <v>454</v>
      </c>
      <c r="AA75" s="14">
        <v>0</v>
      </c>
      <c r="AB75" s="14">
        <f t="shared" si="76"/>
        <v>9</v>
      </c>
      <c r="AC75" s="14">
        <v>1</v>
      </c>
      <c r="AD75" s="14">
        <v>107</v>
      </c>
      <c r="AE75" s="14">
        <v>3</v>
      </c>
      <c r="AF75" s="14">
        <v>9</v>
      </c>
      <c r="AG75" s="14">
        <v>942</v>
      </c>
      <c r="AH75" s="14">
        <v>2595</v>
      </c>
      <c r="AI75" s="14">
        <v>703</v>
      </c>
      <c r="AJ75" s="14">
        <v>179</v>
      </c>
      <c r="AK75" s="14">
        <v>29</v>
      </c>
      <c r="AL75" s="14">
        <v>14</v>
      </c>
      <c r="AM75" s="14">
        <f t="shared" si="77"/>
        <v>43</v>
      </c>
      <c r="AN75" s="14">
        <v>85</v>
      </c>
      <c r="AO75" s="14">
        <v>10</v>
      </c>
      <c r="AP75" s="14">
        <v>109</v>
      </c>
      <c r="AQ75" s="14">
        <f t="shared" si="78"/>
        <v>119</v>
      </c>
      <c r="AR75" s="14">
        <v>84</v>
      </c>
      <c r="AS75" s="14">
        <v>33</v>
      </c>
      <c r="AT75" s="14">
        <f t="shared" si="79"/>
        <v>117</v>
      </c>
      <c r="AU75" s="16">
        <v>3587</v>
      </c>
      <c r="AV75" s="16">
        <v>10179</v>
      </c>
      <c r="AW75" s="16">
        <v>1214</v>
      </c>
      <c r="AX75" s="16">
        <v>40</v>
      </c>
      <c r="AY75" s="18">
        <f t="shared" si="80"/>
        <v>15.993504505892334</v>
      </c>
      <c r="AZ75" s="17">
        <f t="shared" si="81"/>
        <v>45.385526168240332</v>
      </c>
      <c r="BA75" s="17">
        <f t="shared" si="82"/>
        <v>5.4129117563850837</v>
      </c>
      <c r="BB75" s="17">
        <f t="shared" si="83"/>
        <v>0.17834964600939318</v>
      </c>
      <c r="BC75" s="17">
        <f t="shared" si="51"/>
        <v>0.15159719910798422</v>
      </c>
      <c r="BD75" s="17">
        <f t="shared" si="52"/>
        <v>0.62422376103287613</v>
      </c>
      <c r="BE75" s="17">
        <f t="shared" si="53"/>
        <v>3.0899076171127371</v>
      </c>
      <c r="BF75" s="17">
        <f t="shared" si="54"/>
        <v>0.70893984288733791</v>
      </c>
      <c r="BG75" s="17">
        <f t="shared" si="55"/>
        <v>4.4587411502348302E-3</v>
      </c>
      <c r="BH75" s="17">
        <f t="shared" si="56"/>
        <v>0.28981817476526395</v>
      </c>
      <c r="BI75" s="17">
        <f t="shared" si="57"/>
        <v>0.52167271457747511</v>
      </c>
      <c r="BJ75" s="17">
        <f t="shared" si="58"/>
        <v>0.14267971680751457</v>
      </c>
      <c r="BK75" s="17">
        <f t="shared" si="59"/>
        <v>4.0128670352113469E-2</v>
      </c>
      <c r="BL75" s="17">
        <f t="shared" si="60"/>
        <v>4.4587411502348295E-2</v>
      </c>
      <c r="BM75" s="17">
        <f t="shared" si="61"/>
        <v>6.2422376103287616E-2</v>
      </c>
      <c r="BN75" s="17">
        <f t="shared" si="62"/>
        <v>0.13376223450704489</v>
      </c>
      <c r="BO75" s="17">
        <f t="shared" si="63"/>
        <v>3.1211188051643808E-2</v>
      </c>
      <c r="BP75" s="17">
        <f t="shared" si="64"/>
        <v>0.89620697119720083</v>
      </c>
      <c r="BQ75" s="17">
        <f t="shared" si="65"/>
        <v>0.39682796237089984</v>
      </c>
      <c r="BR75" s="17">
        <f t="shared" si="66"/>
        <v>0.34778180971831674</v>
      </c>
      <c r="BS75" s="17">
        <f t="shared" si="67"/>
        <v>1.5338069556807814</v>
      </c>
      <c r="BT75" s="17">
        <f t="shared" si="68"/>
        <v>6.2422376103287616E-2</v>
      </c>
      <c r="BU75" s="17">
        <f t="shared" si="69"/>
        <v>0.32102936281690775</v>
      </c>
      <c r="BV75" s="17">
        <f t="shared" si="70"/>
        <v>2.0242684822066126</v>
      </c>
      <c r="BW75" s="17">
        <f t="shared" si="71"/>
        <v>0</v>
      </c>
      <c r="BX75" s="17">
        <f t="shared" si="72"/>
        <v>4.4587411502348302E-3</v>
      </c>
      <c r="BY75" s="17">
        <f t="shared" si="73"/>
        <v>0.47708530307512681</v>
      </c>
      <c r="BZ75" s="17">
        <f t="shared" si="84"/>
        <v>1.3376223450704489E-2</v>
      </c>
      <c r="CA75" s="17">
        <f t="shared" si="85"/>
        <v>4.0128670352113469E-2</v>
      </c>
      <c r="CB75" s="17">
        <f t="shared" si="86"/>
        <v>4.2001341635212093</v>
      </c>
      <c r="CC75" s="17">
        <f t="shared" si="87"/>
        <v>11.570433284859384</v>
      </c>
      <c r="CD75" s="17">
        <f t="shared" si="88"/>
        <v>3.1344950286150852</v>
      </c>
      <c r="CE75" s="17">
        <f t="shared" si="89"/>
        <v>0.7981146658920345</v>
      </c>
      <c r="CF75" s="17">
        <f t="shared" si="90"/>
        <v>0.12930349335681007</v>
      </c>
      <c r="CG75" s="17">
        <f t="shared" si="91"/>
        <v>6.2422376103287616E-2</v>
      </c>
      <c r="CH75" s="17">
        <f t="shared" si="92"/>
        <v>0.37899299776996054</v>
      </c>
      <c r="CI75" s="17">
        <f t="shared" si="93"/>
        <v>4.4587411502348295E-2</v>
      </c>
      <c r="CJ75" s="17">
        <f t="shared" si="94"/>
        <v>0.48600278537559644</v>
      </c>
      <c r="CK75" s="17">
        <f t="shared" si="95"/>
        <v>0.37453425661972573</v>
      </c>
      <c r="CL75" s="17">
        <f t="shared" si="96"/>
        <v>0.14713845795774938</v>
      </c>
      <c r="CM75" s="14">
        <f t="shared" si="97"/>
        <v>11393</v>
      </c>
      <c r="CN75" s="17">
        <f t="shared" si="98"/>
        <v>50.798437924625418</v>
      </c>
      <c r="CO75" s="14">
        <f t="shared" si="99"/>
        <v>14980</v>
      </c>
      <c r="CP75" s="17">
        <f t="shared" si="100"/>
        <v>66.79194243051775</v>
      </c>
      <c r="CQ75" s="14">
        <f t="shared" si="74"/>
        <v>22774</v>
      </c>
      <c r="CR75" s="14">
        <v>0</v>
      </c>
      <c r="CS75" s="14">
        <v>0</v>
      </c>
      <c r="CT75" s="14">
        <v>0</v>
      </c>
      <c r="CU75" s="14">
        <v>0</v>
      </c>
    </row>
    <row r="76" spans="1:99" x14ac:dyDescent="0.3">
      <c r="A76" s="14">
        <v>2020</v>
      </c>
      <c r="B76" s="14" t="s">
        <v>13</v>
      </c>
      <c r="C76" s="14" t="s">
        <v>14</v>
      </c>
      <c r="D76" s="15">
        <v>64112.7</v>
      </c>
      <c r="E76" s="15">
        <v>2292572.9999999981</v>
      </c>
      <c r="F76" s="15">
        <f t="shared" si="75"/>
        <v>35.758484668404208</v>
      </c>
      <c r="G76" s="14">
        <v>34</v>
      </c>
      <c r="H76" s="14">
        <v>139</v>
      </c>
      <c r="I76" s="14">
        <v>693</v>
      </c>
      <c r="J76" s="14">
        <v>132</v>
      </c>
      <c r="K76" s="14">
        <v>0</v>
      </c>
      <c r="L76" s="14">
        <v>66</v>
      </c>
      <c r="M76" s="14">
        <v>110</v>
      </c>
      <c r="N76" s="14">
        <v>32</v>
      </c>
      <c r="O76" s="14">
        <v>9</v>
      </c>
      <c r="P76" s="14">
        <v>8</v>
      </c>
      <c r="Q76" s="14">
        <v>14</v>
      </c>
      <c r="R76" s="14">
        <v>31</v>
      </c>
      <c r="S76" s="14">
        <v>7</v>
      </c>
      <c r="T76" s="14">
        <v>198</v>
      </c>
      <c r="U76" s="14">
        <v>86</v>
      </c>
      <c r="V76" s="14">
        <v>82</v>
      </c>
      <c r="W76" s="14">
        <v>390</v>
      </c>
      <c r="X76" s="14">
        <v>14</v>
      </c>
      <c r="Y76" s="14">
        <v>74</v>
      </c>
      <c r="Z76" s="14">
        <v>469</v>
      </c>
      <c r="AA76" s="14">
        <v>0</v>
      </c>
      <c r="AB76" s="14">
        <f t="shared" si="76"/>
        <v>9</v>
      </c>
      <c r="AC76" s="14">
        <v>0</v>
      </c>
      <c r="AD76" s="14">
        <v>106</v>
      </c>
      <c r="AE76" s="14">
        <v>3</v>
      </c>
      <c r="AF76" s="14">
        <v>9</v>
      </c>
      <c r="AG76" s="14">
        <v>947</v>
      </c>
      <c r="AH76" s="14">
        <v>2714</v>
      </c>
      <c r="AI76" s="14">
        <v>615</v>
      </c>
      <c r="AJ76" s="14">
        <v>179</v>
      </c>
      <c r="AK76" s="14">
        <v>17</v>
      </c>
      <c r="AL76" s="14">
        <v>15</v>
      </c>
      <c r="AM76" s="14">
        <f t="shared" si="77"/>
        <v>32</v>
      </c>
      <c r="AN76" s="14">
        <v>86</v>
      </c>
      <c r="AO76" s="14">
        <v>9</v>
      </c>
      <c r="AP76" s="14">
        <v>106</v>
      </c>
      <c r="AQ76" s="14">
        <f t="shared" si="78"/>
        <v>115</v>
      </c>
      <c r="AR76" s="14">
        <v>79</v>
      </c>
      <c r="AS76" s="14">
        <v>33</v>
      </c>
      <c r="AT76" s="14">
        <f t="shared" si="79"/>
        <v>112</v>
      </c>
      <c r="AU76" s="16">
        <v>3559</v>
      </c>
      <c r="AV76" s="16">
        <v>10963</v>
      </c>
      <c r="AW76" s="16">
        <v>1324</v>
      </c>
      <c r="AX76" s="16">
        <v>18</v>
      </c>
      <c r="AY76" s="18">
        <f t="shared" si="80"/>
        <v>15.524042200619142</v>
      </c>
      <c r="AZ76" s="17">
        <f t="shared" si="81"/>
        <v>47.819633224329209</v>
      </c>
      <c r="BA76" s="17">
        <f t="shared" si="82"/>
        <v>5.7751705180162247</v>
      </c>
      <c r="BB76" s="17">
        <f t="shared" si="83"/>
        <v>7.8514402812909403E-2</v>
      </c>
      <c r="BC76" s="17">
        <f t="shared" si="51"/>
        <v>0.14830498309105108</v>
      </c>
      <c r="BD76" s="17">
        <f t="shared" si="52"/>
        <v>0.60630566616635595</v>
      </c>
      <c r="BE76" s="17">
        <f t="shared" si="53"/>
        <v>3.0228045082970119</v>
      </c>
      <c r="BF76" s="17">
        <f t="shared" si="54"/>
        <v>0.57577228729466889</v>
      </c>
      <c r="BG76" s="17">
        <f t="shared" si="55"/>
        <v>0</v>
      </c>
      <c r="BH76" s="17">
        <f t="shared" si="56"/>
        <v>0.28788614364733445</v>
      </c>
      <c r="BI76" s="17">
        <f t="shared" si="57"/>
        <v>0.47981023941222412</v>
      </c>
      <c r="BJ76" s="17">
        <f t="shared" si="58"/>
        <v>0.13958116055628339</v>
      </c>
      <c r="BK76" s="17">
        <f t="shared" si="59"/>
        <v>3.9257201406454702E-2</v>
      </c>
      <c r="BL76" s="17">
        <f t="shared" si="60"/>
        <v>3.4895290139070848E-2</v>
      </c>
      <c r="BM76" s="17">
        <f t="shared" si="61"/>
        <v>6.106675774337398E-2</v>
      </c>
      <c r="BN76" s="17">
        <f t="shared" si="62"/>
        <v>0.13521924928889953</v>
      </c>
      <c r="BO76" s="17">
        <f t="shared" si="63"/>
        <v>3.053337887168699E-2</v>
      </c>
      <c r="BP76" s="17">
        <f t="shared" si="64"/>
        <v>0.86365843094200345</v>
      </c>
      <c r="BQ76" s="17">
        <f t="shared" si="65"/>
        <v>0.37512436899501161</v>
      </c>
      <c r="BR76" s="17">
        <f t="shared" si="66"/>
        <v>0.35767672392547617</v>
      </c>
      <c r="BS76" s="17">
        <f t="shared" si="67"/>
        <v>1.7011453942797037</v>
      </c>
      <c r="BT76" s="17">
        <f t="shared" si="68"/>
        <v>6.106675774337398E-2</v>
      </c>
      <c r="BU76" s="17">
        <f t="shared" si="69"/>
        <v>0.32278143378640534</v>
      </c>
      <c r="BV76" s="17">
        <f t="shared" si="70"/>
        <v>2.0457363844030283</v>
      </c>
      <c r="BW76" s="17">
        <f t="shared" si="71"/>
        <v>0</v>
      </c>
      <c r="BX76" s="17">
        <f t="shared" si="72"/>
        <v>0</v>
      </c>
      <c r="BY76" s="17">
        <f t="shared" si="73"/>
        <v>0.46236259434268873</v>
      </c>
      <c r="BZ76" s="17">
        <f t="shared" si="84"/>
        <v>1.3085733802151568E-2</v>
      </c>
      <c r="CA76" s="17">
        <f t="shared" si="85"/>
        <v>3.9257201406454702E-2</v>
      </c>
      <c r="CB76" s="17">
        <f t="shared" si="86"/>
        <v>4.1307299702125109</v>
      </c>
      <c r="CC76" s="17">
        <f t="shared" si="87"/>
        <v>11.838227179679784</v>
      </c>
      <c r="CD76" s="17">
        <f t="shared" si="88"/>
        <v>2.6825754294410711</v>
      </c>
      <c r="CE76" s="17">
        <f t="shared" si="89"/>
        <v>0.78078211686171017</v>
      </c>
      <c r="CF76" s="17">
        <f t="shared" si="90"/>
        <v>7.4152491545525542E-2</v>
      </c>
      <c r="CG76" s="17">
        <f t="shared" si="91"/>
        <v>6.5428669010757834E-2</v>
      </c>
      <c r="CH76" s="17">
        <f t="shared" si="92"/>
        <v>0.37512436899501161</v>
      </c>
      <c r="CI76" s="17">
        <f t="shared" si="93"/>
        <v>3.9257201406454702E-2</v>
      </c>
      <c r="CJ76" s="17">
        <f t="shared" si="94"/>
        <v>0.46236259434268873</v>
      </c>
      <c r="CK76" s="17">
        <f t="shared" si="95"/>
        <v>0.34459099012332461</v>
      </c>
      <c r="CL76" s="17">
        <f t="shared" si="96"/>
        <v>0.14394307182366722</v>
      </c>
      <c r="CM76" s="14">
        <f t="shared" si="97"/>
        <v>12287</v>
      </c>
      <c r="CN76" s="17">
        <f t="shared" si="98"/>
        <v>53.594803742345434</v>
      </c>
      <c r="CO76" s="14">
        <f t="shared" si="99"/>
        <v>15846</v>
      </c>
      <c r="CP76" s="17">
        <f t="shared" si="100"/>
        <v>69.118845942964583</v>
      </c>
      <c r="CQ76" s="14">
        <f t="shared" si="74"/>
        <v>23638</v>
      </c>
      <c r="CR76" s="14">
        <v>0</v>
      </c>
      <c r="CS76" s="14">
        <v>0</v>
      </c>
      <c r="CT76" s="14">
        <v>0</v>
      </c>
      <c r="CU76" s="14">
        <v>0</v>
      </c>
    </row>
    <row r="77" spans="1:99" x14ac:dyDescent="0.3">
      <c r="A77" s="14">
        <v>2021</v>
      </c>
      <c r="B77" s="14" t="s">
        <v>13</v>
      </c>
      <c r="C77" s="14" t="s">
        <v>14</v>
      </c>
      <c r="D77" s="15">
        <v>64185.3</v>
      </c>
      <c r="E77" s="15">
        <v>2341178.9999999986</v>
      </c>
      <c r="F77" s="15">
        <f t="shared" si="75"/>
        <v>36.475314441157067</v>
      </c>
      <c r="AB77" s="14">
        <f t="shared" si="76"/>
        <v>0</v>
      </c>
      <c r="AM77" s="14">
        <f t="shared" si="77"/>
        <v>0</v>
      </c>
      <c r="AQ77" s="14">
        <f t="shared" si="78"/>
        <v>0</v>
      </c>
      <c r="AT77" s="14">
        <f t="shared" si="79"/>
        <v>0</v>
      </c>
      <c r="AU77" s="16">
        <v>0</v>
      </c>
      <c r="AV77" s="16">
        <v>0</v>
      </c>
      <c r="AW77" s="16">
        <v>0</v>
      </c>
      <c r="AX77" s="16">
        <v>0</v>
      </c>
      <c r="AY77" s="18">
        <f t="shared" si="80"/>
        <v>0</v>
      </c>
      <c r="AZ77" s="17">
        <f t="shared" si="81"/>
        <v>0</v>
      </c>
      <c r="BA77" s="17">
        <f t="shared" si="82"/>
        <v>0</v>
      </c>
      <c r="BB77" s="17">
        <f t="shared" si="83"/>
        <v>0</v>
      </c>
      <c r="BC77" s="17">
        <f t="shared" si="51"/>
        <v>0</v>
      </c>
      <c r="BD77" s="17">
        <f t="shared" si="52"/>
        <v>0</v>
      </c>
      <c r="BE77" s="17">
        <f t="shared" si="53"/>
        <v>0</v>
      </c>
      <c r="BF77" s="17">
        <f t="shared" si="54"/>
        <v>0</v>
      </c>
      <c r="BG77" s="17">
        <f t="shared" si="55"/>
        <v>0</v>
      </c>
      <c r="BH77" s="17">
        <f t="shared" si="56"/>
        <v>0</v>
      </c>
      <c r="BI77" s="17">
        <f t="shared" si="57"/>
        <v>0</v>
      </c>
      <c r="BJ77" s="17">
        <f t="shared" si="58"/>
        <v>0</v>
      </c>
      <c r="BK77" s="17">
        <f t="shared" si="59"/>
        <v>0</v>
      </c>
      <c r="BL77" s="17">
        <f t="shared" si="60"/>
        <v>0</v>
      </c>
      <c r="BM77" s="17">
        <f t="shared" si="61"/>
        <v>0</v>
      </c>
      <c r="BN77" s="17">
        <f t="shared" si="62"/>
        <v>0</v>
      </c>
      <c r="BO77" s="17">
        <f t="shared" si="63"/>
        <v>0</v>
      </c>
      <c r="BP77" s="17">
        <f t="shared" si="64"/>
        <v>0</v>
      </c>
      <c r="BQ77" s="17">
        <f t="shared" si="65"/>
        <v>0</v>
      </c>
      <c r="BR77" s="17">
        <f t="shared" si="66"/>
        <v>0</v>
      </c>
      <c r="BS77" s="17">
        <f t="shared" si="67"/>
        <v>0</v>
      </c>
      <c r="BT77" s="17">
        <f t="shared" si="68"/>
        <v>0</v>
      </c>
      <c r="BU77" s="17">
        <f t="shared" si="69"/>
        <v>0</v>
      </c>
      <c r="BV77" s="17">
        <f t="shared" si="70"/>
        <v>0</v>
      </c>
      <c r="BW77" s="17">
        <f t="shared" si="71"/>
        <v>0</v>
      </c>
      <c r="BX77" s="17">
        <f t="shared" si="72"/>
        <v>0</v>
      </c>
      <c r="BY77" s="17">
        <f t="shared" si="73"/>
        <v>0</v>
      </c>
      <c r="BZ77" s="17">
        <f t="shared" si="84"/>
        <v>0</v>
      </c>
      <c r="CA77" s="17">
        <f t="shared" si="85"/>
        <v>0</v>
      </c>
      <c r="CB77" s="17">
        <f t="shared" si="86"/>
        <v>0</v>
      </c>
      <c r="CC77" s="17">
        <f t="shared" si="87"/>
        <v>0</v>
      </c>
      <c r="CD77" s="17">
        <f t="shared" si="88"/>
        <v>0</v>
      </c>
      <c r="CE77" s="17">
        <f t="shared" si="89"/>
        <v>0</v>
      </c>
      <c r="CF77" s="17">
        <f t="shared" si="90"/>
        <v>0</v>
      </c>
      <c r="CG77" s="17">
        <f t="shared" si="91"/>
        <v>0</v>
      </c>
      <c r="CH77" s="17">
        <f t="shared" si="92"/>
        <v>0</v>
      </c>
      <c r="CI77" s="17">
        <f t="shared" si="93"/>
        <v>0</v>
      </c>
      <c r="CJ77" s="17">
        <f t="shared" si="94"/>
        <v>0</v>
      </c>
      <c r="CK77" s="17">
        <f t="shared" si="95"/>
        <v>0</v>
      </c>
      <c r="CL77" s="17">
        <f t="shared" si="96"/>
        <v>0</v>
      </c>
      <c r="CM77" s="14">
        <f t="shared" si="97"/>
        <v>0</v>
      </c>
      <c r="CN77" s="17">
        <f t="shared" si="98"/>
        <v>0</v>
      </c>
      <c r="CO77" s="14">
        <f t="shared" si="99"/>
        <v>0</v>
      </c>
      <c r="CP77" s="17">
        <f t="shared" si="100"/>
        <v>0</v>
      </c>
      <c r="CQ77" s="14">
        <f t="shared" si="74"/>
        <v>0</v>
      </c>
      <c r="CR77" s="14">
        <v>0</v>
      </c>
      <c r="CS77" s="14">
        <v>0</v>
      </c>
      <c r="CT77" s="14">
        <v>0</v>
      </c>
      <c r="CU77" s="14">
        <v>0</v>
      </c>
    </row>
    <row r="78" spans="1:99" x14ac:dyDescent="0.3">
      <c r="A78" s="14">
        <v>2022</v>
      </c>
      <c r="B78" s="14" t="s">
        <v>13</v>
      </c>
      <c r="C78" s="14" t="s">
        <v>14</v>
      </c>
      <c r="D78" s="15">
        <v>64514.8</v>
      </c>
      <c r="E78" s="15">
        <v>2388992.5000000005</v>
      </c>
      <c r="F78" s="15">
        <f t="shared" si="75"/>
        <v>37.030146571019365</v>
      </c>
      <c r="G78" s="14">
        <v>44</v>
      </c>
      <c r="H78" s="14">
        <v>168</v>
      </c>
      <c r="M78" s="14">
        <v>98</v>
      </c>
      <c r="N78" s="14">
        <v>67</v>
      </c>
      <c r="O78" s="14">
        <v>17</v>
      </c>
      <c r="S78" s="14">
        <v>2</v>
      </c>
      <c r="T78" s="14">
        <v>155</v>
      </c>
      <c r="V78" s="14">
        <v>478</v>
      </c>
      <c r="Y78" s="14">
        <v>228</v>
      </c>
      <c r="Z78" s="14">
        <v>231</v>
      </c>
      <c r="AB78" s="14">
        <f t="shared" si="76"/>
        <v>17</v>
      </c>
      <c r="AI78" s="14">
        <v>84</v>
      </c>
      <c r="AJ78" s="14">
        <v>233</v>
      </c>
      <c r="AK78" s="14">
        <v>2</v>
      </c>
      <c r="AM78" s="14">
        <f t="shared" si="77"/>
        <v>2</v>
      </c>
      <c r="AN78" s="14">
        <v>175</v>
      </c>
      <c r="AQ78" s="14">
        <f t="shared" si="78"/>
        <v>0</v>
      </c>
      <c r="AT78" s="14">
        <f t="shared" si="79"/>
        <v>0</v>
      </c>
      <c r="AU78" s="16">
        <v>2832</v>
      </c>
      <c r="AV78" s="16">
        <v>8554</v>
      </c>
      <c r="AW78" s="16">
        <v>1840</v>
      </c>
      <c r="AX78" s="16">
        <v>70</v>
      </c>
      <c r="AY78" s="18">
        <f t="shared" si="80"/>
        <v>11.854369572110416</v>
      </c>
      <c r="AZ78" s="17">
        <f t="shared" si="81"/>
        <v>35.80588888412165</v>
      </c>
      <c r="BA78" s="17">
        <f t="shared" si="82"/>
        <v>7.7019915299022479</v>
      </c>
      <c r="BB78" s="17">
        <f t="shared" si="83"/>
        <v>0.29301054733323773</v>
      </c>
      <c r="BC78" s="17">
        <f t="shared" si="51"/>
        <v>0.18417805832374942</v>
      </c>
      <c r="BD78" s="17">
        <f t="shared" si="52"/>
        <v>0.70322531359977047</v>
      </c>
      <c r="BE78" s="17">
        <f t="shared" si="53"/>
        <v>0</v>
      </c>
      <c r="BF78" s="17">
        <f t="shared" si="54"/>
        <v>0</v>
      </c>
      <c r="BG78" s="17">
        <f t="shared" si="55"/>
        <v>0</v>
      </c>
      <c r="BH78" s="17">
        <f t="shared" si="56"/>
        <v>0</v>
      </c>
      <c r="BI78" s="17">
        <f t="shared" si="57"/>
        <v>0.4102147662665328</v>
      </c>
      <c r="BJ78" s="17">
        <f t="shared" si="58"/>
        <v>0.28045295244752749</v>
      </c>
      <c r="BK78" s="17">
        <f t="shared" si="59"/>
        <v>7.1159704352357731E-2</v>
      </c>
      <c r="BL78" s="17">
        <f t="shared" si="60"/>
        <v>0</v>
      </c>
      <c r="BM78" s="17">
        <f t="shared" si="61"/>
        <v>0</v>
      </c>
      <c r="BN78" s="17">
        <f t="shared" si="62"/>
        <v>0</v>
      </c>
      <c r="BO78" s="17">
        <f t="shared" si="63"/>
        <v>8.3717299238067911E-3</v>
      </c>
      <c r="BP78" s="17">
        <f t="shared" si="64"/>
        <v>0.64880906909502634</v>
      </c>
      <c r="BQ78" s="17">
        <f t="shared" si="65"/>
        <v>0</v>
      </c>
      <c r="BR78" s="17">
        <f t="shared" si="66"/>
        <v>2.000843451789823</v>
      </c>
      <c r="BS78" s="17">
        <f t="shared" si="67"/>
        <v>0</v>
      </c>
      <c r="BT78" s="17">
        <f t="shared" si="68"/>
        <v>0</v>
      </c>
      <c r="BU78" s="17">
        <f t="shared" si="69"/>
        <v>0.95437721131397424</v>
      </c>
      <c r="BV78" s="17">
        <f t="shared" si="70"/>
        <v>0.96693480619968442</v>
      </c>
      <c r="BW78" s="17">
        <f t="shared" si="71"/>
        <v>0</v>
      </c>
      <c r="BX78" s="17">
        <f t="shared" si="72"/>
        <v>0</v>
      </c>
      <c r="BY78" s="17">
        <f t="shared" si="73"/>
        <v>0</v>
      </c>
      <c r="BZ78" s="17">
        <f t="shared" si="84"/>
        <v>0</v>
      </c>
      <c r="CA78" s="17">
        <f t="shared" si="85"/>
        <v>0</v>
      </c>
      <c r="CB78" s="17">
        <f t="shared" si="86"/>
        <v>0</v>
      </c>
      <c r="CC78" s="17">
        <f t="shared" si="87"/>
        <v>0</v>
      </c>
      <c r="CD78" s="17">
        <f t="shared" si="88"/>
        <v>0.35161265679988524</v>
      </c>
      <c r="CE78" s="17">
        <f t="shared" si="89"/>
        <v>0.97530653612349116</v>
      </c>
      <c r="CF78" s="17">
        <f t="shared" si="90"/>
        <v>8.3717299238067911E-3</v>
      </c>
      <c r="CG78" s="17">
        <f t="shared" si="91"/>
        <v>0</v>
      </c>
      <c r="CH78" s="17">
        <f t="shared" si="92"/>
        <v>0.73252636833309426</v>
      </c>
      <c r="CI78" s="17">
        <f t="shared" si="93"/>
        <v>0</v>
      </c>
      <c r="CJ78" s="17">
        <f t="shared" si="94"/>
        <v>0</v>
      </c>
      <c r="CK78" s="17">
        <f t="shared" si="95"/>
        <v>0</v>
      </c>
      <c r="CL78" s="17">
        <f t="shared" si="96"/>
        <v>0</v>
      </c>
      <c r="CM78" s="14">
        <f t="shared" si="97"/>
        <v>10394</v>
      </c>
      <c r="CN78" s="17">
        <f t="shared" si="98"/>
        <v>43.507880414023894</v>
      </c>
      <c r="CO78" s="14">
        <f t="shared" si="99"/>
        <v>13226</v>
      </c>
      <c r="CP78" s="17">
        <f t="shared" si="100"/>
        <v>55.362249986134309</v>
      </c>
      <c r="CQ78" s="14">
        <f t="shared" si="74"/>
        <v>15297</v>
      </c>
      <c r="CR78" s="14">
        <v>0</v>
      </c>
      <c r="CS78" s="14">
        <v>0</v>
      </c>
      <c r="CT78" s="14">
        <v>0</v>
      </c>
      <c r="CU78" s="14">
        <v>0</v>
      </c>
    </row>
    <row r="79" spans="1:99" x14ac:dyDescent="0.3">
      <c r="A79" s="14">
        <v>2012</v>
      </c>
      <c r="B79" s="14" t="s">
        <v>15</v>
      </c>
      <c r="C79" s="14" t="s">
        <v>16</v>
      </c>
      <c r="D79" s="15">
        <v>140118.5</v>
      </c>
      <c r="E79" s="15">
        <v>3636113.5000000009</v>
      </c>
      <c r="F79" s="15">
        <f t="shared" si="75"/>
        <v>25.950274232167779</v>
      </c>
      <c r="AB79" s="14">
        <f t="shared" si="76"/>
        <v>0</v>
      </c>
      <c r="AM79" s="14">
        <f t="shared" si="77"/>
        <v>0</v>
      </c>
      <c r="AQ79" s="14">
        <f t="shared" si="78"/>
        <v>0</v>
      </c>
      <c r="AT79" s="14">
        <f t="shared" si="79"/>
        <v>0</v>
      </c>
      <c r="AU79" s="16">
        <v>0</v>
      </c>
      <c r="AV79" s="16">
        <v>0</v>
      </c>
      <c r="AW79" s="16">
        <v>0</v>
      </c>
      <c r="AX79" s="16">
        <v>0</v>
      </c>
      <c r="AY79" s="18">
        <f t="shared" si="80"/>
        <v>0</v>
      </c>
      <c r="AZ79" s="17">
        <f t="shared" si="81"/>
        <v>0</v>
      </c>
      <c r="BA79" s="17">
        <f t="shared" si="82"/>
        <v>0</v>
      </c>
      <c r="BB79" s="17">
        <f t="shared" si="83"/>
        <v>0</v>
      </c>
      <c r="BC79" s="17">
        <f t="shared" si="51"/>
        <v>0</v>
      </c>
      <c r="BD79" s="17">
        <f t="shared" si="52"/>
        <v>0</v>
      </c>
      <c r="BE79" s="17">
        <f t="shared" si="53"/>
        <v>0</v>
      </c>
      <c r="BF79" s="17">
        <f t="shared" si="54"/>
        <v>0</v>
      </c>
      <c r="BG79" s="17">
        <f t="shared" si="55"/>
        <v>0</v>
      </c>
      <c r="BH79" s="17">
        <f t="shared" si="56"/>
        <v>0</v>
      </c>
      <c r="BI79" s="17">
        <f t="shared" si="57"/>
        <v>0</v>
      </c>
      <c r="BJ79" s="17">
        <f t="shared" si="58"/>
        <v>0</v>
      </c>
      <c r="BK79" s="17">
        <f t="shared" si="59"/>
        <v>0</v>
      </c>
      <c r="BL79" s="17">
        <f t="shared" si="60"/>
        <v>0</v>
      </c>
      <c r="BM79" s="17">
        <f t="shared" si="61"/>
        <v>0</v>
      </c>
      <c r="BN79" s="17">
        <f t="shared" si="62"/>
        <v>0</v>
      </c>
      <c r="BO79" s="17">
        <f t="shared" si="63"/>
        <v>0</v>
      </c>
      <c r="BP79" s="17">
        <f t="shared" si="64"/>
        <v>0</v>
      </c>
      <c r="BQ79" s="17">
        <f t="shared" si="65"/>
        <v>0</v>
      </c>
      <c r="BR79" s="17">
        <f t="shared" si="66"/>
        <v>0</v>
      </c>
      <c r="BS79" s="17">
        <f t="shared" si="67"/>
        <v>0</v>
      </c>
      <c r="BT79" s="17">
        <f t="shared" si="68"/>
        <v>0</v>
      </c>
      <c r="BU79" s="17">
        <f t="shared" si="69"/>
        <v>0</v>
      </c>
      <c r="BV79" s="17">
        <f t="shared" si="70"/>
        <v>0</v>
      </c>
      <c r="BW79" s="17">
        <f t="shared" si="71"/>
        <v>0</v>
      </c>
      <c r="BX79" s="17">
        <f t="shared" si="72"/>
        <v>0</v>
      </c>
      <c r="BY79" s="17">
        <f t="shared" si="73"/>
        <v>0</v>
      </c>
      <c r="BZ79" s="17">
        <f t="shared" si="84"/>
        <v>0</v>
      </c>
      <c r="CA79" s="17">
        <f t="shared" si="85"/>
        <v>0</v>
      </c>
      <c r="CB79" s="17">
        <f t="shared" si="86"/>
        <v>0</v>
      </c>
      <c r="CC79" s="17">
        <f t="shared" si="87"/>
        <v>0</v>
      </c>
      <c r="CD79" s="17">
        <f t="shared" si="88"/>
        <v>0</v>
      </c>
      <c r="CE79" s="17">
        <f t="shared" si="89"/>
        <v>0</v>
      </c>
      <c r="CF79" s="17">
        <f t="shared" si="90"/>
        <v>0</v>
      </c>
      <c r="CG79" s="17">
        <f t="shared" si="91"/>
        <v>0</v>
      </c>
      <c r="CH79" s="17">
        <f t="shared" si="92"/>
        <v>0</v>
      </c>
      <c r="CI79" s="17">
        <f t="shared" si="93"/>
        <v>0</v>
      </c>
      <c r="CJ79" s="17">
        <f t="shared" si="94"/>
        <v>0</v>
      </c>
      <c r="CK79" s="17">
        <f t="shared" si="95"/>
        <v>0</v>
      </c>
      <c r="CL79" s="17">
        <f t="shared" si="96"/>
        <v>0</v>
      </c>
      <c r="CM79" s="14">
        <f t="shared" si="97"/>
        <v>0</v>
      </c>
      <c r="CN79" s="17">
        <f t="shared" si="98"/>
        <v>0</v>
      </c>
      <c r="CO79" s="14">
        <f t="shared" si="99"/>
        <v>0</v>
      </c>
      <c r="CP79" s="17">
        <f t="shared" si="100"/>
        <v>0</v>
      </c>
      <c r="CQ79" s="14">
        <f t="shared" si="74"/>
        <v>0</v>
      </c>
      <c r="CR79" s="14">
        <v>695</v>
      </c>
      <c r="CS79" s="14">
        <v>3445</v>
      </c>
      <c r="CT79" s="14">
        <v>1172</v>
      </c>
      <c r="CU79" s="14">
        <v>0</v>
      </c>
    </row>
    <row r="80" spans="1:99" x14ac:dyDescent="0.3">
      <c r="A80" s="14">
        <v>2013</v>
      </c>
      <c r="B80" s="14" t="s">
        <v>15</v>
      </c>
      <c r="C80" s="14" t="s">
        <v>16</v>
      </c>
      <c r="D80" s="15">
        <v>137079.5</v>
      </c>
      <c r="E80" s="15">
        <v>3742958.9999999981</v>
      </c>
      <c r="F80" s="15">
        <f t="shared" si="75"/>
        <v>27.305023727107248</v>
      </c>
      <c r="AB80" s="14">
        <f t="shared" si="76"/>
        <v>0</v>
      </c>
      <c r="AM80" s="14">
        <f t="shared" si="77"/>
        <v>0</v>
      </c>
      <c r="AQ80" s="14">
        <f t="shared" si="78"/>
        <v>0</v>
      </c>
      <c r="AT80" s="14">
        <f t="shared" si="79"/>
        <v>0</v>
      </c>
      <c r="AU80" s="16">
        <v>0</v>
      </c>
      <c r="AV80" s="16">
        <v>0</v>
      </c>
      <c r="AW80" s="16">
        <v>736</v>
      </c>
      <c r="AX80" s="16">
        <v>0</v>
      </c>
      <c r="AY80" s="18">
        <f t="shared" si="80"/>
        <v>0</v>
      </c>
      <c r="AZ80" s="17">
        <f t="shared" si="81"/>
        <v>0</v>
      </c>
      <c r="BA80" s="17">
        <f t="shared" si="82"/>
        <v>1.9663587017651019</v>
      </c>
      <c r="BB80" s="17">
        <f t="shared" si="83"/>
        <v>0</v>
      </c>
      <c r="BC80" s="17">
        <f t="shared" si="51"/>
        <v>0</v>
      </c>
      <c r="BD80" s="17">
        <f t="shared" si="52"/>
        <v>0</v>
      </c>
      <c r="BE80" s="17">
        <f t="shared" si="53"/>
        <v>0</v>
      </c>
      <c r="BF80" s="17">
        <f t="shared" si="54"/>
        <v>0</v>
      </c>
      <c r="BG80" s="17">
        <f t="shared" si="55"/>
        <v>0</v>
      </c>
      <c r="BH80" s="17">
        <f t="shared" si="56"/>
        <v>0</v>
      </c>
      <c r="BI80" s="17">
        <f t="shared" si="57"/>
        <v>0</v>
      </c>
      <c r="BJ80" s="17">
        <f t="shared" si="58"/>
        <v>0</v>
      </c>
      <c r="BK80" s="17">
        <f t="shared" si="59"/>
        <v>0</v>
      </c>
      <c r="BL80" s="17">
        <f t="shared" si="60"/>
        <v>0</v>
      </c>
      <c r="BM80" s="17">
        <f t="shared" si="61"/>
        <v>0</v>
      </c>
      <c r="BN80" s="17">
        <f t="shared" si="62"/>
        <v>0</v>
      </c>
      <c r="BO80" s="17">
        <f t="shared" si="63"/>
        <v>0</v>
      </c>
      <c r="BP80" s="17">
        <f t="shared" si="64"/>
        <v>0</v>
      </c>
      <c r="BQ80" s="17">
        <f t="shared" si="65"/>
        <v>0</v>
      </c>
      <c r="BR80" s="17">
        <f t="shared" si="66"/>
        <v>0</v>
      </c>
      <c r="BS80" s="17">
        <f t="shared" si="67"/>
        <v>0</v>
      </c>
      <c r="BT80" s="17">
        <f t="shared" si="68"/>
        <v>0</v>
      </c>
      <c r="BU80" s="17">
        <f t="shared" si="69"/>
        <v>0</v>
      </c>
      <c r="BV80" s="17">
        <f t="shared" si="70"/>
        <v>0</v>
      </c>
      <c r="BW80" s="17">
        <f t="shared" si="71"/>
        <v>0</v>
      </c>
      <c r="BX80" s="17">
        <f t="shared" si="72"/>
        <v>0</v>
      </c>
      <c r="BY80" s="17">
        <f t="shared" si="73"/>
        <v>0</v>
      </c>
      <c r="BZ80" s="17">
        <f t="shared" si="84"/>
        <v>0</v>
      </c>
      <c r="CA80" s="17">
        <f t="shared" si="85"/>
        <v>0</v>
      </c>
      <c r="CB80" s="17">
        <f t="shared" si="86"/>
        <v>0</v>
      </c>
      <c r="CC80" s="17">
        <f t="shared" si="87"/>
        <v>0</v>
      </c>
      <c r="CD80" s="17">
        <f t="shared" si="88"/>
        <v>0</v>
      </c>
      <c r="CE80" s="17">
        <f t="shared" si="89"/>
        <v>0</v>
      </c>
      <c r="CF80" s="17">
        <f t="shared" si="90"/>
        <v>0</v>
      </c>
      <c r="CG80" s="17">
        <f t="shared" si="91"/>
        <v>0</v>
      </c>
      <c r="CH80" s="17">
        <f t="shared" si="92"/>
        <v>0</v>
      </c>
      <c r="CI80" s="17">
        <f t="shared" si="93"/>
        <v>0</v>
      </c>
      <c r="CJ80" s="17">
        <f t="shared" si="94"/>
        <v>0</v>
      </c>
      <c r="CK80" s="17">
        <f t="shared" si="95"/>
        <v>0</v>
      </c>
      <c r="CL80" s="17">
        <f t="shared" si="96"/>
        <v>0</v>
      </c>
      <c r="CM80" s="14">
        <f t="shared" si="97"/>
        <v>736</v>
      </c>
      <c r="CN80" s="17">
        <f t="shared" si="98"/>
        <v>1.9663587017651019</v>
      </c>
      <c r="CO80" s="14">
        <f t="shared" si="99"/>
        <v>736</v>
      </c>
      <c r="CP80" s="17">
        <f t="shared" si="100"/>
        <v>1.9663587017651019</v>
      </c>
      <c r="CQ80" s="14">
        <f t="shared" si="74"/>
        <v>736</v>
      </c>
      <c r="CR80" s="14">
        <v>209</v>
      </c>
      <c r="CS80" s="14">
        <v>975</v>
      </c>
      <c r="CT80" s="14">
        <v>35</v>
      </c>
      <c r="CU80" s="14">
        <v>209</v>
      </c>
    </row>
    <row r="81" spans="1:99" x14ac:dyDescent="0.3">
      <c r="A81" s="14">
        <v>2014</v>
      </c>
      <c r="B81" s="14" t="s">
        <v>15</v>
      </c>
      <c r="C81" s="14" t="s">
        <v>16</v>
      </c>
      <c r="D81" s="15">
        <v>133349.5</v>
      </c>
      <c r="E81" s="15">
        <v>3843173.9999999991</v>
      </c>
      <c r="F81" s="15">
        <f t="shared" si="75"/>
        <v>28.820310537347339</v>
      </c>
      <c r="AB81" s="14">
        <f t="shared" si="76"/>
        <v>0</v>
      </c>
      <c r="AM81" s="14">
        <f t="shared" si="77"/>
        <v>0</v>
      </c>
      <c r="AQ81" s="14">
        <f t="shared" si="78"/>
        <v>0</v>
      </c>
      <c r="AT81" s="14">
        <f t="shared" si="79"/>
        <v>0</v>
      </c>
      <c r="AU81" s="16">
        <v>1244</v>
      </c>
      <c r="AV81" s="16">
        <v>7692</v>
      </c>
      <c r="AW81" s="16">
        <v>0</v>
      </c>
      <c r="AX81" s="16">
        <v>0</v>
      </c>
      <c r="AY81" s="18">
        <f t="shared" si="80"/>
        <v>3.2369078267078208</v>
      </c>
      <c r="AZ81" s="17">
        <f t="shared" si="81"/>
        <v>20.014706594080835</v>
      </c>
      <c r="BA81" s="17">
        <f t="shared" si="82"/>
        <v>0</v>
      </c>
      <c r="BB81" s="17">
        <f t="shared" si="83"/>
        <v>0</v>
      </c>
      <c r="BC81" s="17">
        <f t="shared" si="51"/>
        <v>0</v>
      </c>
      <c r="BD81" s="17">
        <f t="shared" si="52"/>
        <v>0</v>
      </c>
      <c r="BE81" s="17">
        <f t="shared" si="53"/>
        <v>0</v>
      </c>
      <c r="BF81" s="17">
        <f t="shared" si="54"/>
        <v>0</v>
      </c>
      <c r="BG81" s="17">
        <f t="shared" si="55"/>
        <v>0</v>
      </c>
      <c r="BH81" s="17">
        <f t="shared" si="56"/>
        <v>0</v>
      </c>
      <c r="BI81" s="17">
        <f t="shared" si="57"/>
        <v>0</v>
      </c>
      <c r="BJ81" s="17">
        <f t="shared" si="58"/>
        <v>0</v>
      </c>
      <c r="BK81" s="17">
        <f t="shared" si="59"/>
        <v>0</v>
      </c>
      <c r="BL81" s="17">
        <f t="shared" si="60"/>
        <v>0</v>
      </c>
      <c r="BM81" s="17">
        <f t="shared" si="61"/>
        <v>0</v>
      </c>
      <c r="BN81" s="17">
        <f t="shared" si="62"/>
        <v>0</v>
      </c>
      <c r="BO81" s="17">
        <f t="shared" si="63"/>
        <v>0</v>
      </c>
      <c r="BP81" s="17">
        <f t="shared" si="64"/>
        <v>0</v>
      </c>
      <c r="BQ81" s="17">
        <f t="shared" si="65"/>
        <v>0</v>
      </c>
      <c r="BR81" s="17">
        <f t="shared" si="66"/>
        <v>0</v>
      </c>
      <c r="BS81" s="17">
        <f t="shared" si="67"/>
        <v>0</v>
      </c>
      <c r="BT81" s="17">
        <f t="shared" si="68"/>
        <v>0</v>
      </c>
      <c r="BU81" s="17">
        <f t="shared" si="69"/>
        <v>0</v>
      </c>
      <c r="BV81" s="17">
        <f t="shared" si="70"/>
        <v>0</v>
      </c>
      <c r="BW81" s="17">
        <f t="shared" si="71"/>
        <v>0</v>
      </c>
      <c r="BX81" s="17">
        <f t="shared" si="72"/>
        <v>0</v>
      </c>
      <c r="BY81" s="17">
        <f t="shared" si="73"/>
        <v>0</v>
      </c>
      <c r="BZ81" s="17">
        <f t="shared" si="84"/>
        <v>0</v>
      </c>
      <c r="CA81" s="17">
        <f t="shared" si="85"/>
        <v>0</v>
      </c>
      <c r="CB81" s="17">
        <f t="shared" si="86"/>
        <v>0</v>
      </c>
      <c r="CC81" s="17">
        <f t="shared" si="87"/>
        <v>0</v>
      </c>
      <c r="CD81" s="17">
        <f t="shared" si="88"/>
        <v>0</v>
      </c>
      <c r="CE81" s="17">
        <f t="shared" si="89"/>
        <v>0</v>
      </c>
      <c r="CF81" s="17">
        <f t="shared" si="90"/>
        <v>0</v>
      </c>
      <c r="CG81" s="17">
        <f t="shared" si="91"/>
        <v>0</v>
      </c>
      <c r="CH81" s="17">
        <f t="shared" si="92"/>
        <v>0</v>
      </c>
      <c r="CI81" s="17">
        <f t="shared" si="93"/>
        <v>0</v>
      </c>
      <c r="CJ81" s="17">
        <f t="shared" si="94"/>
        <v>0</v>
      </c>
      <c r="CK81" s="17">
        <f t="shared" si="95"/>
        <v>0</v>
      </c>
      <c r="CL81" s="17">
        <f t="shared" si="96"/>
        <v>0</v>
      </c>
      <c r="CM81" s="14">
        <f t="shared" si="97"/>
        <v>7692</v>
      </c>
      <c r="CN81" s="17">
        <f t="shared" si="98"/>
        <v>20.014706594080835</v>
      </c>
      <c r="CO81" s="14">
        <f t="shared" si="99"/>
        <v>8936</v>
      </c>
      <c r="CP81" s="17">
        <f t="shared" si="100"/>
        <v>23.251614420788655</v>
      </c>
      <c r="CQ81" s="14">
        <f t="shared" si="74"/>
        <v>8936</v>
      </c>
      <c r="CR81" s="14">
        <v>0</v>
      </c>
      <c r="CS81" s="14">
        <v>0</v>
      </c>
      <c r="CT81" s="14">
        <v>0</v>
      </c>
      <c r="CU81" s="14">
        <v>0</v>
      </c>
    </row>
    <row r="82" spans="1:99" x14ac:dyDescent="0.3">
      <c r="A82" s="14">
        <v>2015</v>
      </c>
      <c r="B82" s="14" t="s">
        <v>15</v>
      </c>
      <c r="C82" s="14" t="s">
        <v>16</v>
      </c>
      <c r="D82" s="15">
        <v>135862.20000000001</v>
      </c>
      <c r="E82" s="15">
        <v>3946219.4999999991</v>
      </c>
      <c r="F82" s="15">
        <f t="shared" si="75"/>
        <v>29.045750032017725</v>
      </c>
      <c r="AB82" s="14">
        <f t="shared" si="76"/>
        <v>0</v>
      </c>
      <c r="AM82" s="14">
        <f t="shared" si="77"/>
        <v>0</v>
      </c>
      <c r="AQ82" s="14">
        <f t="shared" si="78"/>
        <v>0</v>
      </c>
      <c r="AT82" s="14">
        <f t="shared" si="79"/>
        <v>0</v>
      </c>
      <c r="AU82" s="16">
        <v>1384</v>
      </c>
      <c r="AV82" s="16">
        <v>8274</v>
      </c>
      <c r="AW82" s="16">
        <v>0</v>
      </c>
      <c r="AX82" s="16">
        <v>0</v>
      </c>
      <c r="AY82" s="18">
        <f t="shared" si="80"/>
        <v>3.5071541256131353</v>
      </c>
      <c r="AZ82" s="17">
        <f t="shared" si="81"/>
        <v>20.966902626678525</v>
      </c>
      <c r="BA82" s="17">
        <f t="shared" si="82"/>
        <v>0</v>
      </c>
      <c r="BB82" s="17">
        <f t="shared" si="83"/>
        <v>0</v>
      </c>
      <c r="BC82" s="17">
        <f t="shared" si="51"/>
        <v>0</v>
      </c>
      <c r="BD82" s="17">
        <f t="shared" si="52"/>
        <v>0</v>
      </c>
      <c r="BE82" s="17">
        <f t="shared" si="53"/>
        <v>0</v>
      </c>
      <c r="BF82" s="17">
        <f t="shared" si="54"/>
        <v>0</v>
      </c>
      <c r="BG82" s="17">
        <f t="shared" si="55"/>
        <v>0</v>
      </c>
      <c r="BH82" s="17">
        <f t="shared" si="56"/>
        <v>0</v>
      </c>
      <c r="BI82" s="17">
        <f t="shared" si="57"/>
        <v>0</v>
      </c>
      <c r="BJ82" s="17">
        <f t="shared" si="58"/>
        <v>0</v>
      </c>
      <c r="BK82" s="17">
        <f t="shared" si="59"/>
        <v>0</v>
      </c>
      <c r="BL82" s="17">
        <f t="shared" si="60"/>
        <v>0</v>
      </c>
      <c r="BM82" s="17">
        <f t="shared" si="61"/>
        <v>0</v>
      </c>
      <c r="BN82" s="17">
        <f t="shared" si="62"/>
        <v>0</v>
      </c>
      <c r="BO82" s="17">
        <f t="shared" si="63"/>
        <v>0</v>
      </c>
      <c r="BP82" s="17">
        <f t="shared" si="64"/>
        <v>0</v>
      </c>
      <c r="BQ82" s="17">
        <f t="shared" si="65"/>
        <v>0</v>
      </c>
      <c r="BR82" s="17">
        <f t="shared" si="66"/>
        <v>0</v>
      </c>
      <c r="BS82" s="17">
        <f t="shared" si="67"/>
        <v>0</v>
      </c>
      <c r="BT82" s="17">
        <f t="shared" si="68"/>
        <v>0</v>
      </c>
      <c r="BU82" s="17">
        <f t="shared" si="69"/>
        <v>0</v>
      </c>
      <c r="BV82" s="17">
        <f t="shared" si="70"/>
        <v>0</v>
      </c>
      <c r="BW82" s="17">
        <f t="shared" si="71"/>
        <v>0</v>
      </c>
      <c r="BX82" s="17">
        <f t="shared" si="72"/>
        <v>0</v>
      </c>
      <c r="BY82" s="17">
        <f t="shared" si="73"/>
        <v>0</v>
      </c>
      <c r="BZ82" s="17">
        <f t="shared" si="84"/>
        <v>0</v>
      </c>
      <c r="CA82" s="17">
        <f t="shared" si="85"/>
        <v>0</v>
      </c>
      <c r="CB82" s="17">
        <f t="shared" si="86"/>
        <v>0</v>
      </c>
      <c r="CC82" s="17">
        <f t="shared" si="87"/>
        <v>0</v>
      </c>
      <c r="CD82" s="17">
        <f t="shared" si="88"/>
        <v>0</v>
      </c>
      <c r="CE82" s="17">
        <f t="shared" si="89"/>
        <v>0</v>
      </c>
      <c r="CF82" s="17">
        <f t="shared" si="90"/>
        <v>0</v>
      </c>
      <c r="CG82" s="17">
        <f t="shared" si="91"/>
        <v>0</v>
      </c>
      <c r="CH82" s="17">
        <f t="shared" si="92"/>
        <v>0</v>
      </c>
      <c r="CI82" s="17">
        <f t="shared" si="93"/>
        <v>0</v>
      </c>
      <c r="CJ82" s="17">
        <f t="shared" si="94"/>
        <v>0</v>
      </c>
      <c r="CK82" s="17">
        <f t="shared" si="95"/>
        <v>0</v>
      </c>
      <c r="CL82" s="17">
        <f t="shared" si="96"/>
        <v>0</v>
      </c>
      <c r="CM82" s="14">
        <f t="shared" si="97"/>
        <v>8274</v>
      </c>
      <c r="CN82" s="17">
        <f t="shared" si="98"/>
        <v>20.966902626678525</v>
      </c>
      <c r="CO82" s="14">
        <f t="shared" si="99"/>
        <v>9658</v>
      </c>
      <c r="CP82" s="17">
        <f t="shared" si="100"/>
        <v>24.474056752291663</v>
      </c>
      <c r="CQ82" s="14">
        <f t="shared" si="74"/>
        <v>9658</v>
      </c>
      <c r="CR82" s="14">
        <v>204</v>
      </c>
      <c r="CS82" s="14">
        <v>333</v>
      </c>
      <c r="CT82" s="14">
        <v>12</v>
      </c>
      <c r="CU82" s="14">
        <v>53</v>
      </c>
    </row>
    <row r="83" spans="1:99" x14ac:dyDescent="0.3">
      <c r="A83" s="14">
        <v>2016</v>
      </c>
      <c r="B83" s="14" t="s">
        <v>15</v>
      </c>
      <c r="C83" s="14" t="s">
        <v>16</v>
      </c>
      <c r="D83" s="15">
        <v>138275.5</v>
      </c>
      <c r="E83" s="15">
        <v>4051890.5000000014</v>
      </c>
      <c r="F83" s="15">
        <f t="shared" si="75"/>
        <v>29.303025481737556</v>
      </c>
      <c r="AB83" s="14">
        <f t="shared" si="76"/>
        <v>0</v>
      </c>
      <c r="AM83" s="14">
        <f t="shared" si="77"/>
        <v>0</v>
      </c>
      <c r="AQ83" s="14">
        <f t="shared" si="78"/>
        <v>0</v>
      </c>
      <c r="AT83" s="14">
        <f t="shared" si="79"/>
        <v>0</v>
      </c>
      <c r="AU83" s="16">
        <v>0</v>
      </c>
      <c r="AV83" s="16">
        <v>0</v>
      </c>
      <c r="AW83" s="16">
        <v>0</v>
      </c>
      <c r="AX83" s="16">
        <v>0</v>
      </c>
      <c r="AY83" s="18">
        <f t="shared" si="80"/>
        <v>0</v>
      </c>
      <c r="AZ83" s="17">
        <f t="shared" si="81"/>
        <v>0</v>
      </c>
      <c r="BA83" s="17">
        <f t="shared" si="82"/>
        <v>0</v>
      </c>
      <c r="BB83" s="17">
        <f t="shared" si="83"/>
        <v>0</v>
      </c>
      <c r="BC83" s="17">
        <f t="shared" si="51"/>
        <v>0</v>
      </c>
      <c r="BD83" s="17">
        <f t="shared" si="52"/>
        <v>0</v>
      </c>
      <c r="BE83" s="17">
        <f t="shared" si="53"/>
        <v>0</v>
      </c>
      <c r="BF83" s="17">
        <f t="shared" si="54"/>
        <v>0</v>
      </c>
      <c r="BG83" s="17">
        <f t="shared" si="55"/>
        <v>0</v>
      </c>
      <c r="BH83" s="17">
        <f t="shared" si="56"/>
        <v>0</v>
      </c>
      <c r="BI83" s="17">
        <f t="shared" si="57"/>
        <v>0</v>
      </c>
      <c r="BJ83" s="17">
        <f t="shared" si="58"/>
        <v>0</v>
      </c>
      <c r="BK83" s="17">
        <f t="shared" si="59"/>
        <v>0</v>
      </c>
      <c r="BL83" s="17">
        <f t="shared" si="60"/>
        <v>0</v>
      </c>
      <c r="BM83" s="17">
        <f t="shared" si="61"/>
        <v>0</v>
      </c>
      <c r="BN83" s="17">
        <f t="shared" si="62"/>
        <v>0</v>
      </c>
      <c r="BO83" s="17">
        <f t="shared" si="63"/>
        <v>0</v>
      </c>
      <c r="BP83" s="17">
        <f t="shared" si="64"/>
        <v>0</v>
      </c>
      <c r="BQ83" s="17">
        <f t="shared" si="65"/>
        <v>0</v>
      </c>
      <c r="BR83" s="17">
        <f t="shared" si="66"/>
        <v>0</v>
      </c>
      <c r="BS83" s="17">
        <f t="shared" si="67"/>
        <v>0</v>
      </c>
      <c r="BT83" s="17">
        <f t="shared" si="68"/>
        <v>0</v>
      </c>
      <c r="BU83" s="17">
        <f t="shared" si="69"/>
        <v>0</v>
      </c>
      <c r="BV83" s="17">
        <f t="shared" si="70"/>
        <v>0</v>
      </c>
      <c r="BW83" s="17">
        <f t="shared" si="71"/>
        <v>0</v>
      </c>
      <c r="BX83" s="17">
        <f t="shared" si="72"/>
        <v>0</v>
      </c>
      <c r="BY83" s="17">
        <f t="shared" si="73"/>
        <v>0</v>
      </c>
      <c r="BZ83" s="17">
        <f t="shared" si="84"/>
        <v>0</v>
      </c>
      <c r="CA83" s="17">
        <f t="shared" si="85"/>
        <v>0</v>
      </c>
      <c r="CB83" s="17">
        <f t="shared" si="86"/>
        <v>0</v>
      </c>
      <c r="CC83" s="17">
        <f t="shared" si="87"/>
        <v>0</v>
      </c>
      <c r="CD83" s="17">
        <f t="shared" si="88"/>
        <v>0</v>
      </c>
      <c r="CE83" s="17">
        <f t="shared" si="89"/>
        <v>0</v>
      </c>
      <c r="CF83" s="17">
        <f t="shared" si="90"/>
        <v>0</v>
      </c>
      <c r="CG83" s="17">
        <f t="shared" si="91"/>
        <v>0</v>
      </c>
      <c r="CH83" s="17">
        <f t="shared" si="92"/>
        <v>0</v>
      </c>
      <c r="CI83" s="17">
        <f t="shared" si="93"/>
        <v>0</v>
      </c>
      <c r="CJ83" s="17">
        <f t="shared" si="94"/>
        <v>0</v>
      </c>
      <c r="CK83" s="17">
        <f t="shared" si="95"/>
        <v>0</v>
      </c>
      <c r="CL83" s="17">
        <f t="shared" si="96"/>
        <v>0</v>
      </c>
      <c r="CM83" s="14">
        <f t="shared" si="97"/>
        <v>0</v>
      </c>
      <c r="CN83" s="17">
        <f t="shared" si="98"/>
        <v>0</v>
      </c>
      <c r="CO83" s="14">
        <f t="shared" si="99"/>
        <v>0</v>
      </c>
      <c r="CP83" s="17">
        <f t="shared" si="100"/>
        <v>0</v>
      </c>
      <c r="CQ83" s="14">
        <f t="shared" si="74"/>
        <v>0</v>
      </c>
      <c r="CR83" s="14">
        <v>0</v>
      </c>
      <c r="CS83" s="14">
        <v>0</v>
      </c>
      <c r="CT83" s="14">
        <v>4</v>
      </c>
      <c r="CU83" s="14">
        <v>0</v>
      </c>
    </row>
    <row r="84" spans="1:99" x14ac:dyDescent="0.3">
      <c r="A84" s="14">
        <v>2017</v>
      </c>
      <c r="B84" s="14" t="s">
        <v>15</v>
      </c>
      <c r="C84" s="14" t="s">
        <v>16</v>
      </c>
      <c r="D84" s="15">
        <v>140591.4</v>
      </c>
      <c r="E84" s="15">
        <v>4160014.4999999995</v>
      </c>
      <c r="F84" s="15">
        <f t="shared" si="75"/>
        <v>29.589395226166037</v>
      </c>
      <c r="AB84" s="14">
        <f t="shared" si="76"/>
        <v>0</v>
      </c>
      <c r="AM84" s="14">
        <f t="shared" si="77"/>
        <v>0</v>
      </c>
      <c r="AQ84" s="14">
        <f t="shared" si="78"/>
        <v>0</v>
      </c>
      <c r="AT84" s="14">
        <f t="shared" si="79"/>
        <v>0</v>
      </c>
      <c r="AU84" s="16">
        <v>1582</v>
      </c>
      <c r="AV84" s="16">
        <v>9142</v>
      </c>
      <c r="AW84" s="16">
        <v>0</v>
      </c>
      <c r="AX84" s="16">
        <v>0</v>
      </c>
      <c r="AY84" s="18">
        <f t="shared" si="80"/>
        <v>3.8028713601839614</v>
      </c>
      <c r="AZ84" s="17">
        <f t="shared" si="81"/>
        <v>21.97588493982413</v>
      </c>
      <c r="BA84" s="17">
        <f t="shared" si="82"/>
        <v>0</v>
      </c>
      <c r="BB84" s="17">
        <f t="shared" si="83"/>
        <v>0</v>
      </c>
      <c r="BC84" s="17">
        <f t="shared" si="51"/>
        <v>0</v>
      </c>
      <c r="BD84" s="17">
        <f t="shared" si="52"/>
        <v>0</v>
      </c>
      <c r="BE84" s="17">
        <f t="shared" si="53"/>
        <v>0</v>
      </c>
      <c r="BF84" s="17">
        <f t="shared" si="54"/>
        <v>0</v>
      </c>
      <c r="BG84" s="17">
        <f t="shared" si="55"/>
        <v>0</v>
      </c>
      <c r="BH84" s="17">
        <f t="shared" si="56"/>
        <v>0</v>
      </c>
      <c r="BI84" s="17">
        <f t="shared" si="57"/>
        <v>0</v>
      </c>
      <c r="BJ84" s="17">
        <f t="shared" si="58"/>
        <v>0</v>
      </c>
      <c r="BK84" s="17">
        <f t="shared" si="59"/>
        <v>0</v>
      </c>
      <c r="BL84" s="17">
        <f t="shared" si="60"/>
        <v>0</v>
      </c>
      <c r="BM84" s="17">
        <f t="shared" si="61"/>
        <v>0</v>
      </c>
      <c r="BN84" s="17">
        <f t="shared" si="62"/>
        <v>0</v>
      </c>
      <c r="BO84" s="17">
        <f t="shared" si="63"/>
        <v>0</v>
      </c>
      <c r="BP84" s="17">
        <f t="shared" si="64"/>
        <v>0</v>
      </c>
      <c r="BQ84" s="17">
        <f t="shared" si="65"/>
        <v>0</v>
      </c>
      <c r="BR84" s="17">
        <f t="shared" si="66"/>
        <v>0</v>
      </c>
      <c r="BS84" s="17">
        <f t="shared" si="67"/>
        <v>0</v>
      </c>
      <c r="BT84" s="17">
        <f t="shared" si="68"/>
        <v>0</v>
      </c>
      <c r="BU84" s="17">
        <f t="shared" si="69"/>
        <v>0</v>
      </c>
      <c r="BV84" s="17">
        <f t="shared" si="70"/>
        <v>0</v>
      </c>
      <c r="BW84" s="17">
        <f t="shared" si="71"/>
        <v>0</v>
      </c>
      <c r="BX84" s="17">
        <f t="shared" si="72"/>
        <v>0</v>
      </c>
      <c r="BY84" s="17">
        <f t="shared" si="73"/>
        <v>0</v>
      </c>
      <c r="BZ84" s="17">
        <f t="shared" si="84"/>
        <v>0</v>
      </c>
      <c r="CA84" s="17">
        <f t="shared" si="85"/>
        <v>0</v>
      </c>
      <c r="CB84" s="17">
        <f t="shared" si="86"/>
        <v>0</v>
      </c>
      <c r="CC84" s="17">
        <f t="shared" si="87"/>
        <v>0</v>
      </c>
      <c r="CD84" s="17">
        <f t="shared" si="88"/>
        <v>0</v>
      </c>
      <c r="CE84" s="17">
        <f t="shared" si="89"/>
        <v>0</v>
      </c>
      <c r="CF84" s="17">
        <f t="shared" si="90"/>
        <v>0</v>
      </c>
      <c r="CG84" s="17">
        <f t="shared" si="91"/>
        <v>0</v>
      </c>
      <c r="CH84" s="17">
        <f t="shared" si="92"/>
        <v>0</v>
      </c>
      <c r="CI84" s="17">
        <f t="shared" si="93"/>
        <v>0</v>
      </c>
      <c r="CJ84" s="17">
        <f t="shared" si="94"/>
        <v>0</v>
      </c>
      <c r="CK84" s="17">
        <f t="shared" si="95"/>
        <v>0</v>
      </c>
      <c r="CL84" s="17">
        <f t="shared" si="96"/>
        <v>0</v>
      </c>
      <c r="CM84" s="14">
        <f t="shared" si="97"/>
        <v>9142</v>
      </c>
      <c r="CN84" s="17">
        <f t="shared" si="98"/>
        <v>21.97588493982413</v>
      </c>
      <c r="CO84" s="14">
        <f t="shared" si="99"/>
        <v>10724</v>
      </c>
      <c r="CP84" s="17">
        <f t="shared" si="100"/>
        <v>25.778756300008091</v>
      </c>
      <c r="CQ84" s="14">
        <f t="shared" si="74"/>
        <v>10724</v>
      </c>
      <c r="CR84" s="14">
        <v>0</v>
      </c>
      <c r="CS84" s="14">
        <v>0</v>
      </c>
      <c r="CT84" s="14">
        <v>0</v>
      </c>
      <c r="CU84" s="14">
        <v>0</v>
      </c>
    </row>
    <row r="85" spans="1:99" x14ac:dyDescent="0.3">
      <c r="A85" s="14">
        <v>2018</v>
      </c>
      <c r="B85" s="14" t="s">
        <v>15</v>
      </c>
      <c r="C85" s="14" t="s">
        <v>16</v>
      </c>
      <c r="D85" s="15">
        <v>143140.70000000001</v>
      </c>
      <c r="E85" s="15">
        <v>4270711.4999999972</v>
      </c>
      <c r="F85" s="15">
        <f t="shared" si="75"/>
        <v>29.83575950096651</v>
      </c>
      <c r="G85" s="14">
        <v>112</v>
      </c>
      <c r="H85" s="14">
        <v>78</v>
      </c>
      <c r="T85" s="14">
        <v>5</v>
      </c>
      <c r="AB85" s="14">
        <f t="shared" si="76"/>
        <v>0</v>
      </c>
      <c r="AM85" s="14">
        <f t="shared" si="77"/>
        <v>0</v>
      </c>
      <c r="AQ85" s="14">
        <f t="shared" si="78"/>
        <v>0</v>
      </c>
      <c r="AT85" s="14">
        <f t="shared" si="79"/>
        <v>0</v>
      </c>
      <c r="AU85" s="16">
        <v>1700</v>
      </c>
      <c r="AV85" s="16">
        <v>8223</v>
      </c>
      <c r="AW85" s="16">
        <v>1342</v>
      </c>
      <c r="AX85" s="16">
        <v>0</v>
      </c>
      <c r="AY85" s="18">
        <f t="shared" si="80"/>
        <v>3.9806013588133995</v>
      </c>
      <c r="AZ85" s="17">
        <f t="shared" si="81"/>
        <v>19.254402925601518</v>
      </c>
      <c r="BA85" s="17">
        <f t="shared" si="82"/>
        <v>3.1423335432515187</v>
      </c>
      <c r="BB85" s="17">
        <f t="shared" si="83"/>
        <v>0</v>
      </c>
      <c r="BC85" s="17">
        <f t="shared" si="51"/>
        <v>0.26225138363947104</v>
      </c>
      <c r="BD85" s="17">
        <f t="shared" si="52"/>
        <v>0.18263935646320303</v>
      </c>
      <c r="BE85" s="17">
        <f t="shared" si="53"/>
        <v>0</v>
      </c>
      <c r="BF85" s="17">
        <f t="shared" si="54"/>
        <v>0</v>
      </c>
      <c r="BG85" s="17">
        <f t="shared" si="55"/>
        <v>0</v>
      </c>
      <c r="BH85" s="17">
        <f t="shared" si="56"/>
        <v>0</v>
      </c>
      <c r="BI85" s="17">
        <f t="shared" si="57"/>
        <v>0</v>
      </c>
      <c r="BJ85" s="17">
        <f t="shared" si="58"/>
        <v>0</v>
      </c>
      <c r="BK85" s="17">
        <f t="shared" si="59"/>
        <v>0</v>
      </c>
      <c r="BL85" s="17">
        <f t="shared" si="60"/>
        <v>0</v>
      </c>
      <c r="BM85" s="17">
        <f t="shared" si="61"/>
        <v>0</v>
      </c>
      <c r="BN85" s="17">
        <f t="shared" si="62"/>
        <v>0</v>
      </c>
      <c r="BO85" s="17">
        <f t="shared" si="63"/>
        <v>0</v>
      </c>
      <c r="BP85" s="17">
        <f t="shared" si="64"/>
        <v>1.1707651055333527E-2</v>
      </c>
      <c r="BQ85" s="17">
        <f t="shared" si="65"/>
        <v>0</v>
      </c>
      <c r="BR85" s="17">
        <f t="shared" si="66"/>
        <v>0</v>
      </c>
      <c r="BS85" s="17">
        <f t="shared" si="67"/>
        <v>0</v>
      </c>
      <c r="BT85" s="17">
        <f t="shared" si="68"/>
        <v>0</v>
      </c>
      <c r="BU85" s="17">
        <f t="shared" si="69"/>
        <v>0</v>
      </c>
      <c r="BV85" s="17">
        <f t="shared" si="70"/>
        <v>0</v>
      </c>
      <c r="BW85" s="17">
        <f t="shared" si="71"/>
        <v>0</v>
      </c>
      <c r="BX85" s="17">
        <f t="shared" si="72"/>
        <v>0</v>
      </c>
      <c r="BY85" s="17">
        <f t="shared" si="73"/>
        <v>0</v>
      </c>
      <c r="BZ85" s="17">
        <f t="shared" si="84"/>
        <v>0</v>
      </c>
      <c r="CA85" s="17">
        <f t="shared" si="85"/>
        <v>0</v>
      </c>
      <c r="CB85" s="17">
        <f t="shared" si="86"/>
        <v>0</v>
      </c>
      <c r="CC85" s="17">
        <f t="shared" si="87"/>
        <v>0</v>
      </c>
      <c r="CD85" s="17">
        <f t="shared" si="88"/>
        <v>0</v>
      </c>
      <c r="CE85" s="17">
        <f t="shared" si="89"/>
        <v>0</v>
      </c>
      <c r="CF85" s="17">
        <f t="shared" si="90"/>
        <v>0</v>
      </c>
      <c r="CG85" s="17">
        <f t="shared" si="91"/>
        <v>0</v>
      </c>
      <c r="CH85" s="17">
        <f t="shared" si="92"/>
        <v>0</v>
      </c>
      <c r="CI85" s="17">
        <f t="shared" si="93"/>
        <v>0</v>
      </c>
      <c r="CJ85" s="17">
        <f t="shared" si="94"/>
        <v>0</v>
      </c>
      <c r="CK85" s="17">
        <f t="shared" si="95"/>
        <v>0</v>
      </c>
      <c r="CL85" s="17">
        <f t="shared" si="96"/>
        <v>0</v>
      </c>
      <c r="CM85" s="14">
        <f t="shared" si="97"/>
        <v>9565</v>
      </c>
      <c r="CN85" s="17">
        <f t="shared" si="98"/>
        <v>22.396736468853039</v>
      </c>
      <c r="CO85" s="14">
        <f t="shared" si="99"/>
        <v>11265</v>
      </c>
      <c r="CP85" s="17">
        <f t="shared" si="100"/>
        <v>26.377337827666437</v>
      </c>
      <c r="CQ85" s="14">
        <f t="shared" si="74"/>
        <v>11460</v>
      </c>
      <c r="CR85" s="14">
        <v>12751</v>
      </c>
      <c r="CS85" s="14">
        <v>0</v>
      </c>
      <c r="CT85" s="14">
        <v>4038</v>
      </c>
      <c r="CU85" s="14">
        <v>4745</v>
      </c>
    </row>
    <row r="86" spans="1:99" x14ac:dyDescent="0.3">
      <c r="A86" s="14">
        <v>2019</v>
      </c>
      <c r="B86" s="14" t="s">
        <v>15</v>
      </c>
      <c r="C86" s="14" t="s">
        <v>16</v>
      </c>
      <c r="D86" s="15">
        <v>145586.5</v>
      </c>
      <c r="E86" s="15">
        <v>4383848.5000000009</v>
      </c>
      <c r="F86" s="15">
        <f t="shared" si="75"/>
        <v>30.111641532697064</v>
      </c>
      <c r="G86" s="14">
        <v>118</v>
      </c>
      <c r="H86" s="14">
        <v>74</v>
      </c>
      <c r="AB86" s="14">
        <f t="shared" si="76"/>
        <v>0</v>
      </c>
      <c r="AM86" s="14">
        <f t="shared" si="77"/>
        <v>0</v>
      </c>
      <c r="AQ86" s="14">
        <f t="shared" si="78"/>
        <v>0</v>
      </c>
      <c r="AT86" s="14">
        <f t="shared" si="79"/>
        <v>0</v>
      </c>
      <c r="AU86" s="16">
        <v>1794</v>
      </c>
      <c r="AV86" s="16">
        <v>8738</v>
      </c>
      <c r="AW86" s="16">
        <v>1864</v>
      </c>
      <c r="AX86" s="16">
        <v>0</v>
      </c>
      <c r="AY86" s="18">
        <f t="shared" si="80"/>
        <v>4.0922947040710911</v>
      </c>
      <c r="AZ86" s="17">
        <f t="shared" si="81"/>
        <v>19.932258151713039</v>
      </c>
      <c r="BA86" s="17">
        <f t="shared" si="82"/>
        <v>4.2519717549545781</v>
      </c>
      <c r="BB86" s="17">
        <f t="shared" si="83"/>
        <v>0</v>
      </c>
      <c r="BC86" s="17">
        <f t="shared" si="51"/>
        <v>0.2691698857750216</v>
      </c>
      <c r="BD86" s="17">
        <f t="shared" si="52"/>
        <v>0.16880145379111525</v>
      </c>
      <c r="BE86" s="17">
        <f t="shared" si="53"/>
        <v>0</v>
      </c>
      <c r="BF86" s="17">
        <f t="shared" si="54"/>
        <v>0</v>
      </c>
      <c r="BG86" s="17">
        <f t="shared" si="55"/>
        <v>0</v>
      </c>
      <c r="BH86" s="17">
        <f t="shared" si="56"/>
        <v>0</v>
      </c>
      <c r="BI86" s="17">
        <f t="shared" si="57"/>
        <v>0</v>
      </c>
      <c r="BJ86" s="17">
        <f t="shared" si="58"/>
        <v>0</v>
      </c>
      <c r="BK86" s="17">
        <f t="shared" si="59"/>
        <v>0</v>
      </c>
      <c r="BL86" s="17">
        <f t="shared" si="60"/>
        <v>0</v>
      </c>
      <c r="BM86" s="17">
        <f t="shared" si="61"/>
        <v>0</v>
      </c>
      <c r="BN86" s="17">
        <f t="shared" si="62"/>
        <v>0</v>
      </c>
      <c r="BO86" s="17">
        <f t="shared" si="63"/>
        <v>0</v>
      </c>
      <c r="BP86" s="17">
        <f t="shared" si="64"/>
        <v>0</v>
      </c>
      <c r="BQ86" s="17">
        <f t="shared" si="65"/>
        <v>0</v>
      </c>
      <c r="BR86" s="17">
        <f t="shared" si="66"/>
        <v>0</v>
      </c>
      <c r="BS86" s="17">
        <f t="shared" si="67"/>
        <v>0</v>
      </c>
      <c r="BT86" s="17">
        <f t="shared" si="68"/>
        <v>0</v>
      </c>
      <c r="BU86" s="17">
        <f t="shared" si="69"/>
        <v>0</v>
      </c>
      <c r="BV86" s="17">
        <f t="shared" si="70"/>
        <v>0</v>
      </c>
      <c r="BW86" s="17">
        <f t="shared" si="71"/>
        <v>0</v>
      </c>
      <c r="BX86" s="17">
        <f t="shared" si="72"/>
        <v>0</v>
      </c>
      <c r="BY86" s="17">
        <f t="shared" si="73"/>
        <v>0</v>
      </c>
      <c r="BZ86" s="17">
        <f t="shared" si="84"/>
        <v>0</v>
      </c>
      <c r="CA86" s="17">
        <f t="shared" si="85"/>
        <v>0</v>
      </c>
      <c r="CB86" s="17">
        <f t="shared" si="86"/>
        <v>0</v>
      </c>
      <c r="CC86" s="17">
        <f t="shared" si="87"/>
        <v>0</v>
      </c>
      <c r="CD86" s="17">
        <f t="shared" si="88"/>
        <v>0</v>
      </c>
      <c r="CE86" s="17">
        <f t="shared" si="89"/>
        <v>0</v>
      </c>
      <c r="CF86" s="17">
        <f t="shared" si="90"/>
        <v>0</v>
      </c>
      <c r="CG86" s="17">
        <f t="shared" si="91"/>
        <v>0</v>
      </c>
      <c r="CH86" s="17">
        <f t="shared" si="92"/>
        <v>0</v>
      </c>
      <c r="CI86" s="17">
        <f t="shared" si="93"/>
        <v>0</v>
      </c>
      <c r="CJ86" s="17">
        <f t="shared" si="94"/>
        <v>0</v>
      </c>
      <c r="CK86" s="17">
        <f t="shared" si="95"/>
        <v>0</v>
      </c>
      <c r="CL86" s="17">
        <f t="shared" si="96"/>
        <v>0</v>
      </c>
      <c r="CM86" s="14">
        <f t="shared" si="97"/>
        <v>10602</v>
      </c>
      <c r="CN86" s="17">
        <f t="shared" si="98"/>
        <v>24.184229906667618</v>
      </c>
      <c r="CO86" s="14">
        <f t="shared" si="99"/>
        <v>12396</v>
      </c>
      <c r="CP86" s="17">
        <f t="shared" si="100"/>
        <v>28.276524610738708</v>
      </c>
      <c r="CQ86" s="14">
        <f t="shared" si="74"/>
        <v>12588</v>
      </c>
      <c r="CR86" s="14">
        <v>0</v>
      </c>
      <c r="CS86" s="14">
        <v>0</v>
      </c>
      <c r="CT86" s="14">
        <v>0</v>
      </c>
      <c r="CU86" s="14">
        <v>0</v>
      </c>
    </row>
    <row r="87" spans="1:99" x14ac:dyDescent="0.3">
      <c r="A87" s="14">
        <v>2020</v>
      </c>
      <c r="B87" s="14" t="s">
        <v>15</v>
      </c>
      <c r="C87" s="14" t="s">
        <v>16</v>
      </c>
      <c r="D87" s="15">
        <v>147926</v>
      </c>
      <c r="E87" s="15">
        <v>4498603.4999999953</v>
      </c>
      <c r="F87" s="15">
        <f t="shared" si="75"/>
        <v>30.411175182185655</v>
      </c>
      <c r="G87" s="14">
        <v>117</v>
      </c>
      <c r="H87" s="14">
        <v>76</v>
      </c>
      <c r="AB87" s="14">
        <f t="shared" si="76"/>
        <v>0</v>
      </c>
      <c r="AM87" s="14">
        <f t="shared" si="77"/>
        <v>0</v>
      </c>
      <c r="AQ87" s="14">
        <f t="shared" si="78"/>
        <v>0</v>
      </c>
      <c r="AT87" s="14">
        <f t="shared" si="79"/>
        <v>0</v>
      </c>
      <c r="AU87" s="16">
        <v>1868</v>
      </c>
      <c r="AV87" s="16">
        <v>8580</v>
      </c>
      <c r="AW87" s="16">
        <v>2054</v>
      </c>
      <c r="AX87" s="16">
        <v>0</v>
      </c>
      <c r="AY87" s="18">
        <f t="shared" si="80"/>
        <v>4.1523997391635028</v>
      </c>
      <c r="AZ87" s="17">
        <f t="shared" si="81"/>
        <v>19.072585525708163</v>
      </c>
      <c r="BA87" s="17">
        <f t="shared" si="82"/>
        <v>4.565861383427106</v>
      </c>
      <c r="BB87" s="17">
        <f t="shared" si="83"/>
        <v>0</v>
      </c>
      <c r="BC87" s="17">
        <f t="shared" si="51"/>
        <v>0.26008071171420222</v>
      </c>
      <c r="BD87" s="17">
        <f t="shared" si="52"/>
        <v>0.16894131701093479</v>
      </c>
      <c r="BE87" s="17">
        <f t="shared" si="53"/>
        <v>0</v>
      </c>
      <c r="BF87" s="17">
        <f t="shared" si="54"/>
        <v>0</v>
      </c>
      <c r="BG87" s="17">
        <f t="shared" si="55"/>
        <v>0</v>
      </c>
      <c r="BH87" s="17">
        <f t="shared" si="56"/>
        <v>0</v>
      </c>
      <c r="BI87" s="17">
        <f t="shared" si="57"/>
        <v>0</v>
      </c>
      <c r="BJ87" s="17">
        <f t="shared" si="58"/>
        <v>0</v>
      </c>
      <c r="BK87" s="17">
        <f t="shared" si="59"/>
        <v>0</v>
      </c>
      <c r="BL87" s="17">
        <f t="shared" si="60"/>
        <v>0</v>
      </c>
      <c r="BM87" s="17">
        <f t="shared" si="61"/>
        <v>0</v>
      </c>
      <c r="BN87" s="17">
        <f t="shared" si="62"/>
        <v>0</v>
      </c>
      <c r="BO87" s="17">
        <f t="shared" si="63"/>
        <v>0</v>
      </c>
      <c r="BP87" s="17">
        <f t="shared" si="64"/>
        <v>0</v>
      </c>
      <c r="BQ87" s="17">
        <f t="shared" si="65"/>
        <v>0</v>
      </c>
      <c r="BR87" s="17">
        <f t="shared" si="66"/>
        <v>0</v>
      </c>
      <c r="BS87" s="17">
        <f t="shared" si="67"/>
        <v>0</v>
      </c>
      <c r="BT87" s="17">
        <f t="shared" si="68"/>
        <v>0</v>
      </c>
      <c r="BU87" s="17">
        <f t="shared" si="69"/>
        <v>0</v>
      </c>
      <c r="BV87" s="17">
        <f t="shared" si="70"/>
        <v>0</v>
      </c>
      <c r="BW87" s="17">
        <f t="shared" si="71"/>
        <v>0</v>
      </c>
      <c r="BX87" s="17">
        <f t="shared" si="72"/>
        <v>0</v>
      </c>
      <c r="BY87" s="17">
        <f t="shared" si="73"/>
        <v>0</v>
      </c>
      <c r="BZ87" s="17">
        <f t="shared" si="84"/>
        <v>0</v>
      </c>
      <c r="CA87" s="17">
        <f t="shared" si="85"/>
        <v>0</v>
      </c>
      <c r="CB87" s="17">
        <f t="shared" si="86"/>
        <v>0</v>
      </c>
      <c r="CC87" s="17">
        <f t="shared" si="87"/>
        <v>0</v>
      </c>
      <c r="CD87" s="17">
        <f t="shared" si="88"/>
        <v>0</v>
      </c>
      <c r="CE87" s="17">
        <f t="shared" si="89"/>
        <v>0</v>
      </c>
      <c r="CF87" s="17">
        <f t="shared" si="90"/>
        <v>0</v>
      </c>
      <c r="CG87" s="17">
        <f t="shared" si="91"/>
        <v>0</v>
      </c>
      <c r="CH87" s="17">
        <f t="shared" si="92"/>
        <v>0</v>
      </c>
      <c r="CI87" s="17">
        <f t="shared" si="93"/>
        <v>0</v>
      </c>
      <c r="CJ87" s="17">
        <f t="shared" si="94"/>
        <v>0</v>
      </c>
      <c r="CK87" s="17">
        <f t="shared" si="95"/>
        <v>0</v>
      </c>
      <c r="CL87" s="17">
        <f t="shared" si="96"/>
        <v>0</v>
      </c>
      <c r="CM87" s="14">
        <f t="shared" si="97"/>
        <v>10634</v>
      </c>
      <c r="CN87" s="17">
        <f t="shared" si="98"/>
        <v>23.638446909135272</v>
      </c>
      <c r="CO87" s="14">
        <f t="shared" si="99"/>
        <v>12502</v>
      </c>
      <c r="CP87" s="17">
        <f t="shared" si="100"/>
        <v>27.790846648298771</v>
      </c>
      <c r="CQ87" s="14">
        <f t="shared" si="74"/>
        <v>12695</v>
      </c>
      <c r="CR87" s="14">
        <v>0</v>
      </c>
      <c r="CS87" s="14">
        <v>0</v>
      </c>
      <c r="CT87" s="14">
        <v>0</v>
      </c>
      <c r="CU87" s="14">
        <v>0</v>
      </c>
    </row>
    <row r="88" spans="1:99" x14ac:dyDescent="0.3">
      <c r="A88" s="14">
        <v>2021</v>
      </c>
      <c r="B88" s="14" t="s">
        <v>15</v>
      </c>
      <c r="C88" s="14" t="s">
        <v>16</v>
      </c>
      <c r="D88" s="15">
        <v>150737.70000000001</v>
      </c>
      <c r="E88" s="15">
        <v>4614974</v>
      </c>
      <c r="F88" s="15">
        <f t="shared" si="75"/>
        <v>30.615924218029065</v>
      </c>
      <c r="G88" s="14">
        <v>121</v>
      </c>
      <c r="H88" s="14">
        <v>75</v>
      </c>
      <c r="AB88" s="14">
        <f t="shared" si="76"/>
        <v>0</v>
      </c>
      <c r="AM88" s="14">
        <f t="shared" si="77"/>
        <v>0</v>
      </c>
      <c r="AQ88" s="14">
        <f t="shared" si="78"/>
        <v>0</v>
      </c>
      <c r="AT88" s="14">
        <f t="shared" si="79"/>
        <v>0</v>
      </c>
      <c r="AU88" s="16">
        <v>2070</v>
      </c>
      <c r="AV88" s="16">
        <v>12312</v>
      </c>
      <c r="AW88" s="16">
        <v>2504</v>
      </c>
      <c r="AX88" s="16">
        <v>0</v>
      </c>
      <c r="AY88" s="18">
        <f t="shared" si="80"/>
        <v>4.4853990510022372</v>
      </c>
      <c r="AZ88" s="17">
        <f t="shared" si="81"/>
        <v>26.678373485961135</v>
      </c>
      <c r="BA88" s="17">
        <f t="shared" si="82"/>
        <v>5.4258160501012576</v>
      </c>
      <c r="BB88" s="17">
        <f t="shared" si="83"/>
        <v>0</v>
      </c>
      <c r="BC88" s="17">
        <f t="shared" si="51"/>
        <v>0.26218999283636268</v>
      </c>
      <c r="BD88" s="17">
        <f t="shared" si="52"/>
        <v>0.16251445836964629</v>
      </c>
      <c r="BE88" s="17">
        <f t="shared" si="53"/>
        <v>0</v>
      </c>
      <c r="BF88" s="17">
        <f t="shared" si="54"/>
        <v>0</v>
      </c>
      <c r="BG88" s="17">
        <f t="shared" si="55"/>
        <v>0</v>
      </c>
      <c r="BH88" s="17">
        <f t="shared" si="56"/>
        <v>0</v>
      </c>
      <c r="BI88" s="17">
        <f t="shared" si="57"/>
        <v>0</v>
      </c>
      <c r="BJ88" s="17">
        <f t="shared" si="58"/>
        <v>0</v>
      </c>
      <c r="BK88" s="17">
        <f t="shared" si="59"/>
        <v>0</v>
      </c>
      <c r="BL88" s="17">
        <f t="shared" si="60"/>
        <v>0</v>
      </c>
      <c r="BM88" s="17">
        <f t="shared" si="61"/>
        <v>0</v>
      </c>
      <c r="BN88" s="17">
        <f t="shared" si="62"/>
        <v>0</v>
      </c>
      <c r="BO88" s="17">
        <f t="shared" si="63"/>
        <v>0</v>
      </c>
      <c r="BP88" s="17">
        <f t="shared" si="64"/>
        <v>0</v>
      </c>
      <c r="BQ88" s="17">
        <f t="shared" si="65"/>
        <v>0</v>
      </c>
      <c r="BR88" s="17">
        <f t="shared" si="66"/>
        <v>0</v>
      </c>
      <c r="BS88" s="17">
        <f t="shared" si="67"/>
        <v>0</v>
      </c>
      <c r="BT88" s="17">
        <f t="shared" si="68"/>
        <v>0</v>
      </c>
      <c r="BU88" s="17">
        <f t="shared" si="69"/>
        <v>0</v>
      </c>
      <c r="BV88" s="17">
        <f t="shared" si="70"/>
        <v>0</v>
      </c>
      <c r="BW88" s="17">
        <f t="shared" si="71"/>
        <v>0</v>
      </c>
      <c r="BX88" s="17">
        <f t="shared" si="72"/>
        <v>0</v>
      </c>
      <c r="BY88" s="17">
        <f t="shared" si="73"/>
        <v>0</v>
      </c>
      <c r="BZ88" s="17">
        <f t="shared" si="84"/>
        <v>0</v>
      </c>
      <c r="CA88" s="17">
        <f t="shared" si="85"/>
        <v>0</v>
      </c>
      <c r="CB88" s="17">
        <f t="shared" si="86"/>
        <v>0</v>
      </c>
      <c r="CC88" s="17">
        <f t="shared" si="87"/>
        <v>0</v>
      </c>
      <c r="CD88" s="17">
        <f t="shared" si="88"/>
        <v>0</v>
      </c>
      <c r="CE88" s="17">
        <f t="shared" si="89"/>
        <v>0</v>
      </c>
      <c r="CF88" s="17">
        <f t="shared" si="90"/>
        <v>0</v>
      </c>
      <c r="CG88" s="17">
        <f t="shared" si="91"/>
        <v>0</v>
      </c>
      <c r="CH88" s="17">
        <f t="shared" si="92"/>
        <v>0</v>
      </c>
      <c r="CI88" s="17">
        <f t="shared" si="93"/>
        <v>0</v>
      </c>
      <c r="CJ88" s="17">
        <f t="shared" si="94"/>
        <v>0</v>
      </c>
      <c r="CK88" s="17">
        <f t="shared" si="95"/>
        <v>0</v>
      </c>
      <c r="CL88" s="17">
        <f t="shared" si="96"/>
        <v>0</v>
      </c>
      <c r="CM88" s="14">
        <f t="shared" si="97"/>
        <v>14816</v>
      </c>
      <c r="CN88" s="17">
        <f t="shared" si="98"/>
        <v>32.104189536062393</v>
      </c>
      <c r="CO88" s="14">
        <f t="shared" si="99"/>
        <v>16886</v>
      </c>
      <c r="CP88" s="17">
        <f t="shared" si="100"/>
        <v>36.589588587064632</v>
      </c>
      <c r="CQ88" s="14">
        <f t="shared" si="74"/>
        <v>17082</v>
      </c>
      <c r="CR88" s="14">
        <v>0</v>
      </c>
      <c r="CS88" s="14">
        <v>0</v>
      </c>
      <c r="CT88" s="14">
        <v>0</v>
      </c>
      <c r="CU88" s="14">
        <v>0</v>
      </c>
    </row>
    <row r="89" spans="1:99" x14ac:dyDescent="0.3">
      <c r="A89" s="14">
        <v>2022</v>
      </c>
      <c r="B89" s="14" t="s">
        <v>15</v>
      </c>
      <c r="C89" s="14" t="s">
        <v>16</v>
      </c>
      <c r="D89" s="15">
        <v>153744</v>
      </c>
      <c r="E89" s="15">
        <v>4736138.9999999991</v>
      </c>
      <c r="F89" s="15">
        <f t="shared" si="75"/>
        <v>30.805358257883228</v>
      </c>
      <c r="G89" s="14">
        <v>131</v>
      </c>
      <c r="H89" s="14">
        <v>85</v>
      </c>
      <c r="AB89" s="14">
        <f t="shared" si="76"/>
        <v>0</v>
      </c>
      <c r="AM89" s="14">
        <f t="shared" si="77"/>
        <v>0</v>
      </c>
      <c r="AQ89" s="14">
        <f t="shared" si="78"/>
        <v>0</v>
      </c>
      <c r="AT89" s="14">
        <f t="shared" si="79"/>
        <v>0</v>
      </c>
      <c r="AU89" s="16">
        <v>2236</v>
      </c>
      <c r="AV89" s="16">
        <v>13006</v>
      </c>
      <c r="AW89" s="16">
        <v>2680</v>
      </c>
      <c r="AX89" s="16">
        <v>0</v>
      </c>
      <c r="AY89" s="18">
        <f t="shared" si="80"/>
        <v>4.7211452197665658</v>
      </c>
      <c r="AZ89" s="17">
        <f t="shared" si="81"/>
        <v>27.461187266674401</v>
      </c>
      <c r="BA89" s="17">
        <f t="shared" si="82"/>
        <v>5.6586177052658302</v>
      </c>
      <c r="BB89" s="17">
        <f t="shared" si="83"/>
        <v>0</v>
      </c>
      <c r="BC89" s="17">
        <f t="shared" si="51"/>
        <v>0.27659661171262084</v>
      </c>
      <c r="BD89" s="17">
        <f t="shared" si="52"/>
        <v>0.17947108393566999</v>
      </c>
      <c r="BE89" s="17">
        <f t="shared" si="53"/>
        <v>0</v>
      </c>
      <c r="BF89" s="17">
        <f t="shared" si="54"/>
        <v>0</v>
      </c>
      <c r="BG89" s="17">
        <f t="shared" si="55"/>
        <v>0</v>
      </c>
      <c r="BH89" s="17">
        <f t="shared" si="56"/>
        <v>0</v>
      </c>
      <c r="BI89" s="17">
        <f t="shared" si="57"/>
        <v>0</v>
      </c>
      <c r="BJ89" s="17">
        <f t="shared" si="58"/>
        <v>0</v>
      </c>
      <c r="BK89" s="17">
        <f t="shared" si="59"/>
        <v>0</v>
      </c>
      <c r="BL89" s="17">
        <f t="shared" si="60"/>
        <v>0</v>
      </c>
      <c r="BM89" s="17">
        <f t="shared" si="61"/>
        <v>0</v>
      </c>
      <c r="BN89" s="17">
        <f t="shared" si="62"/>
        <v>0</v>
      </c>
      <c r="BO89" s="17">
        <f t="shared" si="63"/>
        <v>0</v>
      </c>
      <c r="BP89" s="17">
        <f t="shared" si="64"/>
        <v>0</v>
      </c>
      <c r="BQ89" s="17">
        <f t="shared" si="65"/>
        <v>0</v>
      </c>
      <c r="BR89" s="17">
        <f t="shared" si="66"/>
        <v>0</v>
      </c>
      <c r="BS89" s="17">
        <f t="shared" si="67"/>
        <v>0</v>
      </c>
      <c r="BT89" s="17">
        <f t="shared" si="68"/>
        <v>0</v>
      </c>
      <c r="BU89" s="17">
        <f t="shared" si="69"/>
        <v>0</v>
      </c>
      <c r="BV89" s="17">
        <f t="shared" si="70"/>
        <v>0</v>
      </c>
      <c r="BW89" s="17">
        <f t="shared" si="71"/>
        <v>0</v>
      </c>
      <c r="BX89" s="17">
        <f t="shared" si="72"/>
        <v>0</v>
      </c>
      <c r="BY89" s="17">
        <f t="shared" si="73"/>
        <v>0</v>
      </c>
      <c r="BZ89" s="17">
        <f t="shared" si="84"/>
        <v>0</v>
      </c>
      <c r="CA89" s="17">
        <f t="shared" si="85"/>
        <v>0</v>
      </c>
      <c r="CB89" s="17">
        <f t="shared" si="86"/>
        <v>0</v>
      </c>
      <c r="CC89" s="17">
        <f t="shared" si="87"/>
        <v>0</v>
      </c>
      <c r="CD89" s="17">
        <f t="shared" si="88"/>
        <v>0</v>
      </c>
      <c r="CE89" s="17">
        <f t="shared" si="89"/>
        <v>0</v>
      </c>
      <c r="CF89" s="17">
        <f t="shared" si="90"/>
        <v>0</v>
      </c>
      <c r="CG89" s="17">
        <f t="shared" si="91"/>
        <v>0</v>
      </c>
      <c r="CH89" s="17">
        <f t="shared" si="92"/>
        <v>0</v>
      </c>
      <c r="CI89" s="17">
        <f t="shared" si="93"/>
        <v>0</v>
      </c>
      <c r="CJ89" s="17">
        <f t="shared" si="94"/>
        <v>0</v>
      </c>
      <c r="CK89" s="17">
        <f t="shared" si="95"/>
        <v>0</v>
      </c>
      <c r="CL89" s="17">
        <f t="shared" si="96"/>
        <v>0</v>
      </c>
      <c r="CM89" s="14">
        <f t="shared" si="97"/>
        <v>15686</v>
      </c>
      <c r="CN89" s="17">
        <f t="shared" si="98"/>
        <v>33.119804971940233</v>
      </c>
      <c r="CO89" s="14">
        <f t="shared" si="99"/>
        <v>17922</v>
      </c>
      <c r="CP89" s="17">
        <f t="shared" si="100"/>
        <v>37.840950191706796</v>
      </c>
      <c r="CQ89" s="14">
        <f t="shared" si="74"/>
        <v>18138</v>
      </c>
      <c r="CR89" s="14">
        <v>0</v>
      </c>
      <c r="CS89" s="14">
        <v>0</v>
      </c>
      <c r="CT89" s="14">
        <v>0</v>
      </c>
      <c r="CU89" s="14">
        <v>0</v>
      </c>
    </row>
    <row r="90" spans="1:99" x14ac:dyDescent="0.3">
      <c r="A90" s="14">
        <v>2012</v>
      </c>
      <c r="B90" s="14" t="s">
        <v>17</v>
      </c>
      <c r="C90" s="14" t="s">
        <v>18</v>
      </c>
      <c r="D90" s="15">
        <v>32540</v>
      </c>
      <c r="E90" s="15">
        <v>1111443.9999999998</v>
      </c>
      <c r="F90" s="15">
        <f t="shared" si="75"/>
        <v>34.156238475722184</v>
      </c>
      <c r="AB90" s="14">
        <f t="shared" si="76"/>
        <v>0</v>
      </c>
      <c r="AM90" s="14">
        <f t="shared" si="77"/>
        <v>0</v>
      </c>
      <c r="AQ90" s="14">
        <f t="shared" si="78"/>
        <v>0</v>
      </c>
      <c r="AT90" s="14">
        <f t="shared" si="79"/>
        <v>0</v>
      </c>
      <c r="AU90" s="16">
        <v>0</v>
      </c>
      <c r="AV90" s="16">
        <v>0</v>
      </c>
      <c r="AW90" s="16">
        <v>0</v>
      </c>
      <c r="AX90" s="16">
        <v>0</v>
      </c>
      <c r="AY90" s="18">
        <f t="shared" si="80"/>
        <v>0</v>
      </c>
      <c r="AZ90" s="17">
        <f t="shared" si="81"/>
        <v>0</v>
      </c>
      <c r="BA90" s="17">
        <f t="shared" si="82"/>
        <v>0</v>
      </c>
      <c r="BB90" s="17">
        <f t="shared" si="83"/>
        <v>0</v>
      </c>
      <c r="BC90" s="17">
        <f t="shared" si="51"/>
        <v>0</v>
      </c>
      <c r="BD90" s="17">
        <f t="shared" si="52"/>
        <v>0</v>
      </c>
      <c r="BE90" s="17">
        <f t="shared" si="53"/>
        <v>0</v>
      </c>
      <c r="BF90" s="17">
        <f t="shared" si="54"/>
        <v>0</v>
      </c>
      <c r="BG90" s="17">
        <f t="shared" si="55"/>
        <v>0</v>
      </c>
      <c r="BH90" s="17">
        <f t="shared" si="56"/>
        <v>0</v>
      </c>
      <c r="BI90" s="17">
        <f t="shared" si="57"/>
        <v>0</v>
      </c>
      <c r="BJ90" s="17">
        <f t="shared" si="58"/>
        <v>0</v>
      </c>
      <c r="BK90" s="17">
        <f t="shared" si="59"/>
        <v>0</v>
      </c>
      <c r="BL90" s="17">
        <f t="shared" si="60"/>
        <v>0</v>
      </c>
      <c r="BM90" s="17">
        <f t="shared" si="61"/>
        <v>0</v>
      </c>
      <c r="BN90" s="17">
        <f t="shared" si="62"/>
        <v>0</v>
      </c>
      <c r="BO90" s="17">
        <f t="shared" si="63"/>
        <v>0</v>
      </c>
      <c r="BP90" s="17">
        <f t="shared" si="64"/>
        <v>0</v>
      </c>
      <c r="BQ90" s="17">
        <f t="shared" si="65"/>
        <v>0</v>
      </c>
      <c r="BR90" s="17">
        <f t="shared" si="66"/>
        <v>0</v>
      </c>
      <c r="BS90" s="17">
        <f t="shared" si="67"/>
        <v>0</v>
      </c>
      <c r="BT90" s="17">
        <f t="shared" si="68"/>
        <v>0</v>
      </c>
      <c r="BU90" s="17">
        <f t="shared" si="69"/>
        <v>0</v>
      </c>
      <c r="BV90" s="17">
        <f t="shared" si="70"/>
        <v>0</v>
      </c>
      <c r="BW90" s="17">
        <f t="shared" si="71"/>
        <v>0</v>
      </c>
      <c r="BX90" s="17">
        <f t="shared" si="72"/>
        <v>0</v>
      </c>
      <c r="BY90" s="17">
        <f t="shared" si="73"/>
        <v>0</v>
      </c>
      <c r="BZ90" s="17">
        <f t="shared" si="84"/>
        <v>0</v>
      </c>
      <c r="CA90" s="17">
        <f t="shared" si="85"/>
        <v>0</v>
      </c>
      <c r="CB90" s="17">
        <f t="shared" si="86"/>
        <v>0</v>
      </c>
      <c r="CC90" s="17">
        <f t="shared" si="87"/>
        <v>0</v>
      </c>
      <c r="CD90" s="17">
        <f t="shared" si="88"/>
        <v>0</v>
      </c>
      <c r="CE90" s="17">
        <f t="shared" si="89"/>
        <v>0</v>
      </c>
      <c r="CF90" s="17">
        <f t="shared" si="90"/>
        <v>0</v>
      </c>
      <c r="CG90" s="17">
        <f t="shared" si="91"/>
        <v>0</v>
      </c>
      <c r="CH90" s="17">
        <f t="shared" si="92"/>
        <v>0</v>
      </c>
      <c r="CI90" s="17">
        <f t="shared" si="93"/>
        <v>0</v>
      </c>
      <c r="CJ90" s="17">
        <f t="shared" si="94"/>
        <v>0</v>
      </c>
      <c r="CK90" s="17">
        <f t="shared" si="95"/>
        <v>0</v>
      </c>
      <c r="CL90" s="17">
        <f t="shared" si="96"/>
        <v>0</v>
      </c>
      <c r="CM90" s="14">
        <f t="shared" si="97"/>
        <v>0</v>
      </c>
      <c r="CN90" s="17">
        <f t="shared" si="98"/>
        <v>0</v>
      </c>
      <c r="CO90" s="14">
        <f t="shared" si="99"/>
        <v>0</v>
      </c>
      <c r="CP90" s="17">
        <f t="shared" si="100"/>
        <v>0</v>
      </c>
      <c r="CQ90" s="14">
        <f t="shared" si="74"/>
        <v>0</v>
      </c>
      <c r="CR90" s="14">
        <v>768</v>
      </c>
      <c r="CS90" s="14">
        <v>3320</v>
      </c>
      <c r="CT90" s="14">
        <v>0</v>
      </c>
      <c r="CU90" s="14">
        <v>4646</v>
      </c>
    </row>
    <row r="91" spans="1:99" x14ac:dyDescent="0.3">
      <c r="A91" s="14">
        <v>2013</v>
      </c>
      <c r="B91" s="14" t="s">
        <v>17</v>
      </c>
      <c r="C91" s="14" t="s">
        <v>18</v>
      </c>
      <c r="D91" s="15">
        <v>32451</v>
      </c>
      <c r="E91" s="15">
        <v>1118318.9999999998</v>
      </c>
      <c r="F91" s="15">
        <f t="shared" si="75"/>
        <v>34.461773134880275</v>
      </c>
      <c r="AB91" s="14">
        <f t="shared" si="76"/>
        <v>0</v>
      </c>
      <c r="AM91" s="14">
        <f t="shared" si="77"/>
        <v>0</v>
      </c>
      <c r="AQ91" s="14">
        <f t="shared" si="78"/>
        <v>0</v>
      </c>
      <c r="AT91" s="14">
        <f t="shared" si="79"/>
        <v>0</v>
      </c>
      <c r="AU91" s="16">
        <v>0</v>
      </c>
      <c r="AV91" s="16">
        <v>7470</v>
      </c>
      <c r="AW91" s="16">
        <v>0</v>
      </c>
      <c r="AX91" s="16">
        <v>0</v>
      </c>
      <c r="AY91" s="18">
        <f t="shared" si="80"/>
        <v>0</v>
      </c>
      <c r="AZ91" s="17">
        <f t="shared" si="81"/>
        <v>66.796683236178595</v>
      </c>
      <c r="BA91" s="17">
        <f t="shared" si="82"/>
        <v>0</v>
      </c>
      <c r="BB91" s="17">
        <f t="shared" si="83"/>
        <v>0</v>
      </c>
      <c r="BC91" s="17">
        <f t="shared" si="51"/>
        <v>0</v>
      </c>
      <c r="BD91" s="17">
        <f t="shared" si="52"/>
        <v>0</v>
      </c>
      <c r="BE91" s="17">
        <f t="shared" si="53"/>
        <v>0</v>
      </c>
      <c r="BF91" s="17">
        <f t="shared" si="54"/>
        <v>0</v>
      </c>
      <c r="BG91" s="17">
        <f t="shared" si="55"/>
        <v>0</v>
      </c>
      <c r="BH91" s="17">
        <f t="shared" si="56"/>
        <v>0</v>
      </c>
      <c r="BI91" s="17">
        <f t="shared" si="57"/>
        <v>0</v>
      </c>
      <c r="BJ91" s="17">
        <f t="shared" si="58"/>
        <v>0</v>
      </c>
      <c r="BK91" s="17">
        <f t="shared" si="59"/>
        <v>0</v>
      </c>
      <c r="BL91" s="17">
        <f t="shared" si="60"/>
        <v>0</v>
      </c>
      <c r="BM91" s="17">
        <f t="shared" si="61"/>
        <v>0</v>
      </c>
      <c r="BN91" s="17">
        <f t="shared" si="62"/>
        <v>0</v>
      </c>
      <c r="BO91" s="17">
        <f t="shared" si="63"/>
        <v>0</v>
      </c>
      <c r="BP91" s="17">
        <f t="shared" si="64"/>
        <v>0</v>
      </c>
      <c r="BQ91" s="17">
        <f t="shared" si="65"/>
        <v>0</v>
      </c>
      <c r="BR91" s="17">
        <f t="shared" si="66"/>
        <v>0</v>
      </c>
      <c r="BS91" s="17">
        <f t="shared" si="67"/>
        <v>0</v>
      </c>
      <c r="BT91" s="17">
        <f t="shared" si="68"/>
        <v>0</v>
      </c>
      <c r="BU91" s="17">
        <f t="shared" si="69"/>
        <v>0</v>
      </c>
      <c r="BV91" s="17">
        <f t="shared" si="70"/>
        <v>0</v>
      </c>
      <c r="BW91" s="17">
        <f t="shared" si="71"/>
        <v>0</v>
      </c>
      <c r="BX91" s="17">
        <f t="shared" si="72"/>
        <v>0</v>
      </c>
      <c r="BY91" s="17">
        <f t="shared" si="73"/>
        <v>0</v>
      </c>
      <c r="BZ91" s="17">
        <f t="shared" si="84"/>
        <v>0</v>
      </c>
      <c r="CA91" s="17">
        <f t="shared" si="85"/>
        <v>0</v>
      </c>
      <c r="CB91" s="17">
        <f t="shared" si="86"/>
        <v>0</v>
      </c>
      <c r="CC91" s="17">
        <f t="shared" si="87"/>
        <v>0</v>
      </c>
      <c r="CD91" s="17">
        <f t="shared" si="88"/>
        <v>0</v>
      </c>
      <c r="CE91" s="17">
        <f t="shared" si="89"/>
        <v>0</v>
      </c>
      <c r="CF91" s="17">
        <f t="shared" si="90"/>
        <v>0</v>
      </c>
      <c r="CG91" s="17">
        <f t="shared" si="91"/>
        <v>0</v>
      </c>
      <c r="CH91" s="17">
        <f t="shared" si="92"/>
        <v>0</v>
      </c>
      <c r="CI91" s="17">
        <f t="shared" si="93"/>
        <v>0</v>
      </c>
      <c r="CJ91" s="17">
        <f t="shared" si="94"/>
        <v>0</v>
      </c>
      <c r="CK91" s="17">
        <f t="shared" si="95"/>
        <v>0</v>
      </c>
      <c r="CL91" s="17">
        <f t="shared" si="96"/>
        <v>0</v>
      </c>
      <c r="CM91" s="14">
        <f t="shared" si="97"/>
        <v>7470</v>
      </c>
      <c r="CN91" s="17">
        <f t="shared" si="98"/>
        <v>66.796683236178595</v>
      </c>
      <c r="CO91" s="14">
        <f t="shared" si="99"/>
        <v>7470</v>
      </c>
      <c r="CP91" s="17">
        <f t="shared" si="100"/>
        <v>66.796683236178595</v>
      </c>
      <c r="CQ91" s="14">
        <f t="shared" si="74"/>
        <v>7470</v>
      </c>
      <c r="CR91" s="14">
        <v>0</v>
      </c>
      <c r="CS91" s="14">
        <v>0</v>
      </c>
      <c r="CT91" s="14">
        <v>0</v>
      </c>
      <c r="CU91" s="14">
        <v>0</v>
      </c>
    </row>
    <row r="92" spans="1:99" x14ac:dyDescent="0.3">
      <c r="A92" s="14">
        <v>2014</v>
      </c>
      <c r="B92" s="14" t="s">
        <v>17</v>
      </c>
      <c r="C92" s="14" t="s">
        <v>18</v>
      </c>
      <c r="D92" s="15">
        <v>32210.7</v>
      </c>
      <c r="E92" s="15">
        <v>1125865.0000000005</v>
      </c>
      <c r="F92" s="15">
        <f t="shared" si="75"/>
        <v>34.953136690602825</v>
      </c>
      <c r="AB92" s="14">
        <f t="shared" si="76"/>
        <v>0</v>
      </c>
      <c r="AM92" s="14">
        <f t="shared" si="77"/>
        <v>0</v>
      </c>
      <c r="AQ92" s="14">
        <f t="shared" si="78"/>
        <v>0</v>
      </c>
      <c r="AT92" s="14">
        <f t="shared" si="79"/>
        <v>0</v>
      </c>
      <c r="AU92" s="16">
        <v>0</v>
      </c>
      <c r="AV92" s="16">
        <v>7694</v>
      </c>
      <c r="AW92" s="16">
        <v>0</v>
      </c>
      <c r="AX92" s="16">
        <v>0</v>
      </c>
      <c r="AY92" s="18">
        <f t="shared" si="80"/>
        <v>0</v>
      </c>
      <c r="AZ92" s="17">
        <f t="shared" si="81"/>
        <v>68.338566346764466</v>
      </c>
      <c r="BA92" s="17">
        <f t="shared" si="82"/>
        <v>0</v>
      </c>
      <c r="BB92" s="17">
        <f t="shared" si="83"/>
        <v>0</v>
      </c>
      <c r="BC92" s="17">
        <f t="shared" si="51"/>
        <v>0</v>
      </c>
      <c r="BD92" s="17">
        <f t="shared" si="52"/>
        <v>0</v>
      </c>
      <c r="BE92" s="17">
        <f t="shared" si="53"/>
        <v>0</v>
      </c>
      <c r="BF92" s="17">
        <f t="shared" si="54"/>
        <v>0</v>
      </c>
      <c r="BG92" s="17">
        <f t="shared" si="55"/>
        <v>0</v>
      </c>
      <c r="BH92" s="17">
        <f t="shared" si="56"/>
        <v>0</v>
      </c>
      <c r="BI92" s="17">
        <f t="shared" si="57"/>
        <v>0</v>
      </c>
      <c r="BJ92" s="17">
        <f t="shared" si="58"/>
        <v>0</v>
      </c>
      <c r="BK92" s="17">
        <f t="shared" si="59"/>
        <v>0</v>
      </c>
      <c r="BL92" s="17">
        <f t="shared" si="60"/>
        <v>0</v>
      </c>
      <c r="BM92" s="17">
        <f t="shared" si="61"/>
        <v>0</v>
      </c>
      <c r="BN92" s="17">
        <f t="shared" si="62"/>
        <v>0</v>
      </c>
      <c r="BO92" s="17">
        <f t="shared" si="63"/>
        <v>0</v>
      </c>
      <c r="BP92" s="17">
        <f t="shared" si="64"/>
        <v>0</v>
      </c>
      <c r="BQ92" s="17">
        <f t="shared" si="65"/>
        <v>0</v>
      </c>
      <c r="BR92" s="17">
        <f t="shared" si="66"/>
        <v>0</v>
      </c>
      <c r="BS92" s="17">
        <f t="shared" si="67"/>
        <v>0</v>
      </c>
      <c r="BT92" s="17">
        <f t="shared" si="68"/>
        <v>0</v>
      </c>
      <c r="BU92" s="17">
        <f t="shared" si="69"/>
        <v>0</v>
      </c>
      <c r="BV92" s="17">
        <f t="shared" si="70"/>
        <v>0</v>
      </c>
      <c r="BW92" s="17">
        <f t="shared" si="71"/>
        <v>0</v>
      </c>
      <c r="BX92" s="17">
        <f t="shared" si="72"/>
        <v>0</v>
      </c>
      <c r="BY92" s="17">
        <f t="shared" si="73"/>
        <v>0</v>
      </c>
      <c r="BZ92" s="17">
        <f t="shared" si="84"/>
        <v>0</v>
      </c>
      <c r="CA92" s="17">
        <f t="shared" si="85"/>
        <v>0</v>
      </c>
      <c r="CB92" s="17">
        <f t="shared" si="86"/>
        <v>0</v>
      </c>
      <c r="CC92" s="17">
        <f t="shared" si="87"/>
        <v>0</v>
      </c>
      <c r="CD92" s="17">
        <f t="shared" si="88"/>
        <v>0</v>
      </c>
      <c r="CE92" s="17">
        <f t="shared" si="89"/>
        <v>0</v>
      </c>
      <c r="CF92" s="17">
        <f t="shared" si="90"/>
        <v>0</v>
      </c>
      <c r="CG92" s="17">
        <f t="shared" si="91"/>
        <v>0</v>
      </c>
      <c r="CH92" s="17">
        <f t="shared" si="92"/>
        <v>0</v>
      </c>
      <c r="CI92" s="17">
        <f t="shared" si="93"/>
        <v>0</v>
      </c>
      <c r="CJ92" s="17">
        <f t="shared" si="94"/>
        <v>0</v>
      </c>
      <c r="CK92" s="17">
        <f t="shared" si="95"/>
        <v>0</v>
      </c>
      <c r="CL92" s="17">
        <f t="shared" si="96"/>
        <v>0</v>
      </c>
      <c r="CM92" s="14">
        <f t="shared" si="97"/>
        <v>7694</v>
      </c>
      <c r="CN92" s="17">
        <f t="shared" si="98"/>
        <v>68.338566346764466</v>
      </c>
      <c r="CO92" s="14">
        <f t="shared" si="99"/>
        <v>7694</v>
      </c>
      <c r="CP92" s="17">
        <f t="shared" si="100"/>
        <v>68.338566346764466</v>
      </c>
      <c r="CQ92" s="14">
        <f t="shared" si="74"/>
        <v>7694</v>
      </c>
      <c r="CR92" s="14">
        <v>214</v>
      </c>
      <c r="CS92" s="14">
        <v>488</v>
      </c>
      <c r="CT92" s="14">
        <v>0</v>
      </c>
      <c r="CU92" s="14">
        <v>234</v>
      </c>
    </row>
    <row r="93" spans="1:99" x14ac:dyDescent="0.3">
      <c r="A93" s="14">
        <v>2015</v>
      </c>
      <c r="B93" s="14" t="s">
        <v>17</v>
      </c>
      <c r="C93" s="14" t="s">
        <v>18</v>
      </c>
      <c r="D93" s="15">
        <v>31767.3</v>
      </c>
      <c r="E93" s="15">
        <v>1133935.9999999998</v>
      </c>
      <c r="F93" s="15">
        <f t="shared" si="75"/>
        <v>35.695070087794676</v>
      </c>
      <c r="AB93" s="14">
        <f t="shared" si="76"/>
        <v>0</v>
      </c>
      <c r="AM93" s="14">
        <f t="shared" si="77"/>
        <v>0</v>
      </c>
      <c r="AQ93" s="14">
        <f t="shared" si="78"/>
        <v>0</v>
      </c>
      <c r="AT93" s="14">
        <f t="shared" si="79"/>
        <v>0</v>
      </c>
      <c r="AU93" s="16">
        <v>0</v>
      </c>
      <c r="AV93" s="16">
        <v>7952</v>
      </c>
      <c r="AW93" s="16">
        <v>0</v>
      </c>
      <c r="AX93" s="16">
        <v>0</v>
      </c>
      <c r="AY93" s="18">
        <f t="shared" si="80"/>
        <v>0</v>
      </c>
      <c r="AZ93" s="17">
        <f t="shared" si="81"/>
        <v>70.127414598354775</v>
      </c>
      <c r="BA93" s="17">
        <f t="shared" si="82"/>
        <v>0</v>
      </c>
      <c r="BB93" s="17">
        <f t="shared" si="83"/>
        <v>0</v>
      </c>
      <c r="BC93" s="17">
        <f t="shared" si="51"/>
        <v>0</v>
      </c>
      <c r="BD93" s="17">
        <f t="shared" si="52"/>
        <v>0</v>
      </c>
      <c r="BE93" s="17">
        <f t="shared" si="53"/>
        <v>0</v>
      </c>
      <c r="BF93" s="17">
        <f t="shared" si="54"/>
        <v>0</v>
      </c>
      <c r="BG93" s="17">
        <f t="shared" si="55"/>
        <v>0</v>
      </c>
      <c r="BH93" s="17">
        <f t="shared" si="56"/>
        <v>0</v>
      </c>
      <c r="BI93" s="17">
        <f t="shared" si="57"/>
        <v>0</v>
      </c>
      <c r="BJ93" s="17">
        <f t="shared" si="58"/>
        <v>0</v>
      </c>
      <c r="BK93" s="17">
        <f t="shared" si="59"/>
        <v>0</v>
      </c>
      <c r="BL93" s="17">
        <f t="shared" si="60"/>
        <v>0</v>
      </c>
      <c r="BM93" s="17">
        <f t="shared" si="61"/>
        <v>0</v>
      </c>
      <c r="BN93" s="17">
        <f t="shared" si="62"/>
        <v>0</v>
      </c>
      <c r="BO93" s="17">
        <f t="shared" si="63"/>
        <v>0</v>
      </c>
      <c r="BP93" s="17">
        <f t="shared" si="64"/>
        <v>0</v>
      </c>
      <c r="BQ93" s="17">
        <f t="shared" si="65"/>
        <v>0</v>
      </c>
      <c r="BR93" s="17">
        <f t="shared" si="66"/>
        <v>0</v>
      </c>
      <c r="BS93" s="17">
        <f t="shared" si="67"/>
        <v>0</v>
      </c>
      <c r="BT93" s="17">
        <f t="shared" si="68"/>
        <v>0</v>
      </c>
      <c r="BU93" s="17">
        <f t="shared" si="69"/>
        <v>0</v>
      </c>
      <c r="BV93" s="17">
        <f t="shared" si="70"/>
        <v>0</v>
      </c>
      <c r="BW93" s="17">
        <f t="shared" si="71"/>
        <v>0</v>
      </c>
      <c r="BX93" s="17">
        <f t="shared" si="72"/>
        <v>0</v>
      </c>
      <c r="BY93" s="17">
        <f t="shared" si="73"/>
        <v>0</v>
      </c>
      <c r="BZ93" s="17">
        <f t="shared" si="84"/>
        <v>0</v>
      </c>
      <c r="CA93" s="17">
        <f t="shared" si="85"/>
        <v>0</v>
      </c>
      <c r="CB93" s="17">
        <f t="shared" si="86"/>
        <v>0</v>
      </c>
      <c r="CC93" s="17">
        <f t="shared" si="87"/>
        <v>0</v>
      </c>
      <c r="CD93" s="17">
        <f t="shared" si="88"/>
        <v>0</v>
      </c>
      <c r="CE93" s="17">
        <f t="shared" si="89"/>
        <v>0</v>
      </c>
      <c r="CF93" s="17">
        <f t="shared" si="90"/>
        <v>0</v>
      </c>
      <c r="CG93" s="17">
        <f t="shared" si="91"/>
        <v>0</v>
      </c>
      <c r="CH93" s="17">
        <f t="shared" si="92"/>
        <v>0</v>
      </c>
      <c r="CI93" s="17">
        <f t="shared" si="93"/>
        <v>0</v>
      </c>
      <c r="CJ93" s="17">
        <f t="shared" si="94"/>
        <v>0</v>
      </c>
      <c r="CK93" s="17">
        <f t="shared" si="95"/>
        <v>0</v>
      </c>
      <c r="CL93" s="17">
        <f t="shared" si="96"/>
        <v>0</v>
      </c>
      <c r="CM93" s="14">
        <f t="shared" si="97"/>
        <v>7952</v>
      </c>
      <c r="CN93" s="17">
        <f t="shared" si="98"/>
        <v>70.127414598354775</v>
      </c>
      <c r="CO93" s="14">
        <f t="shared" si="99"/>
        <v>7952</v>
      </c>
      <c r="CP93" s="17">
        <f t="shared" si="100"/>
        <v>70.127414598354775</v>
      </c>
      <c r="CQ93" s="14">
        <f t="shared" si="74"/>
        <v>7952</v>
      </c>
      <c r="CR93" s="14">
        <v>13</v>
      </c>
      <c r="CS93" s="14">
        <v>65</v>
      </c>
      <c r="CT93" s="14">
        <v>15</v>
      </c>
      <c r="CU93" s="14">
        <v>428</v>
      </c>
    </row>
    <row r="94" spans="1:99" x14ac:dyDescent="0.3">
      <c r="A94" s="14">
        <v>2016</v>
      </c>
      <c r="B94" s="14" t="s">
        <v>17</v>
      </c>
      <c r="C94" s="14" t="s">
        <v>18</v>
      </c>
      <c r="D94" s="15">
        <v>31320.3</v>
      </c>
      <c r="E94" s="15">
        <v>1142524</v>
      </c>
      <c r="F94" s="15">
        <f t="shared" si="75"/>
        <v>36.478705504097981</v>
      </c>
      <c r="AB94" s="14">
        <f t="shared" si="76"/>
        <v>0</v>
      </c>
      <c r="AM94" s="14">
        <f t="shared" si="77"/>
        <v>0</v>
      </c>
      <c r="AQ94" s="14">
        <f t="shared" si="78"/>
        <v>0</v>
      </c>
      <c r="AT94" s="14">
        <f t="shared" si="79"/>
        <v>0</v>
      </c>
      <c r="AU94" s="16">
        <v>220</v>
      </c>
      <c r="AV94" s="16">
        <v>8400</v>
      </c>
      <c r="AW94" s="16">
        <v>0</v>
      </c>
      <c r="AX94" s="16">
        <v>0</v>
      </c>
      <c r="AY94" s="18">
        <f t="shared" si="80"/>
        <v>1.9255613011192763</v>
      </c>
      <c r="AZ94" s="17">
        <f t="shared" si="81"/>
        <v>73.521431497281455</v>
      </c>
      <c r="BA94" s="17">
        <f t="shared" si="82"/>
        <v>0</v>
      </c>
      <c r="BB94" s="17">
        <f t="shared" si="83"/>
        <v>0</v>
      </c>
      <c r="BC94" s="17">
        <f t="shared" si="51"/>
        <v>0</v>
      </c>
      <c r="BD94" s="17">
        <f t="shared" si="52"/>
        <v>0</v>
      </c>
      <c r="BE94" s="17">
        <f t="shared" si="53"/>
        <v>0</v>
      </c>
      <c r="BF94" s="17">
        <f t="shared" si="54"/>
        <v>0</v>
      </c>
      <c r="BG94" s="17">
        <f t="shared" si="55"/>
        <v>0</v>
      </c>
      <c r="BH94" s="17">
        <f t="shared" si="56"/>
        <v>0</v>
      </c>
      <c r="BI94" s="17">
        <f t="shared" si="57"/>
        <v>0</v>
      </c>
      <c r="BJ94" s="17">
        <f t="shared" si="58"/>
        <v>0</v>
      </c>
      <c r="BK94" s="17">
        <f t="shared" si="59"/>
        <v>0</v>
      </c>
      <c r="BL94" s="17">
        <f t="shared" si="60"/>
        <v>0</v>
      </c>
      <c r="BM94" s="17">
        <f t="shared" si="61"/>
        <v>0</v>
      </c>
      <c r="BN94" s="17">
        <f t="shared" si="62"/>
        <v>0</v>
      </c>
      <c r="BO94" s="17">
        <f t="shared" si="63"/>
        <v>0</v>
      </c>
      <c r="BP94" s="17">
        <f t="shared" si="64"/>
        <v>0</v>
      </c>
      <c r="BQ94" s="17">
        <f t="shared" si="65"/>
        <v>0</v>
      </c>
      <c r="BR94" s="17">
        <f t="shared" si="66"/>
        <v>0</v>
      </c>
      <c r="BS94" s="17">
        <f t="shared" si="67"/>
        <v>0</v>
      </c>
      <c r="BT94" s="17">
        <f t="shared" si="68"/>
        <v>0</v>
      </c>
      <c r="BU94" s="17">
        <f t="shared" si="69"/>
        <v>0</v>
      </c>
      <c r="BV94" s="17">
        <f t="shared" si="70"/>
        <v>0</v>
      </c>
      <c r="BW94" s="17">
        <f t="shared" si="71"/>
        <v>0</v>
      </c>
      <c r="BX94" s="17">
        <f t="shared" si="72"/>
        <v>0</v>
      </c>
      <c r="BY94" s="17">
        <f t="shared" si="73"/>
        <v>0</v>
      </c>
      <c r="BZ94" s="17">
        <f t="shared" si="84"/>
        <v>0</v>
      </c>
      <c r="CA94" s="17">
        <f t="shared" si="85"/>
        <v>0</v>
      </c>
      <c r="CB94" s="17">
        <f t="shared" si="86"/>
        <v>0</v>
      </c>
      <c r="CC94" s="17">
        <f t="shared" si="87"/>
        <v>0</v>
      </c>
      <c r="CD94" s="17">
        <f t="shared" si="88"/>
        <v>0</v>
      </c>
      <c r="CE94" s="17">
        <f t="shared" si="89"/>
        <v>0</v>
      </c>
      <c r="CF94" s="17">
        <f t="shared" si="90"/>
        <v>0</v>
      </c>
      <c r="CG94" s="17">
        <f t="shared" si="91"/>
        <v>0</v>
      </c>
      <c r="CH94" s="17">
        <f t="shared" si="92"/>
        <v>0</v>
      </c>
      <c r="CI94" s="17">
        <f t="shared" si="93"/>
        <v>0</v>
      </c>
      <c r="CJ94" s="17">
        <f t="shared" si="94"/>
        <v>0</v>
      </c>
      <c r="CK94" s="17">
        <f t="shared" si="95"/>
        <v>0</v>
      </c>
      <c r="CL94" s="17">
        <f t="shared" si="96"/>
        <v>0</v>
      </c>
      <c r="CM94" s="14">
        <f t="shared" si="97"/>
        <v>8400</v>
      </c>
      <c r="CN94" s="17">
        <f t="shared" si="98"/>
        <v>73.521431497281455</v>
      </c>
      <c r="CO94" s="14">
        <f t="shared" si="99"/>
        <v>8620</v>
      </c>
      <c r="CP94" s="17">
        <f t="shared" si="100"/>
        <v>75.446992798400728</v>
      </c>
      <c r="CQ94" s="14">
        <f t="shared" si="74"/>
        <v>8620</v>
      </c>
      <c r="CR94" s="14">
        <v>0</v>
      </c>
      <c r="CS94" s="14">
        <v>0</v>
      </c>
      <c r="CT94" s="14">
        <v>0</v>
      </c>
      <c r="CU94" s="14">
        <v>0</v>
      </c>
    </row>
    <row r="95" spans="1:99" x14ac:dyDescent="0.3">
      <c r="A95" s="14">
        <v>2017</v>
      </c>
      <c r="B95" s="14" t="s">
        <v>17</v>
      </c>
      <c r="C95" s="14" t="s">
        <v>18</v>
      </c>
      <c r="D95" s="15">
        <v>30815.7</v>
      </c>
      <c r="E95" s="15">
        <v>1151390.5000000002</v>
      </c>
      <c r="F95" s="15">
        <f t="shared" si="75"/>
        <v>37.363762627491838</v>
      </c>
      <c r="AB95" s="14">
        <f t="shared" si="76"/>
        <v>0</v>
      </c>
      <c r="AM95" s="14">
        <f t="shared" si="77"/>
        <v>0</v>
      </c>
      <c r="AQ95" s="14">
        <f t="shared" si="78"/>
        <v>0</v>
      </c>
      <c r="AT95" s="14">
        <f t="shared" si="79"/>
        <v>0</v>
      </c>
      <c r="AU95" s="16">
        <v>425</v>
      </c>
      <c r="AV95" s="16">
        <v>8862</v>
      </c>
      <c r="AW95" s="16">
        <v>0</v>
      </c>
      <c r="AX95" s="16">
        <v>0</v>
      </c>
      <c r="AY95" s="18">
        <f t="shared" si="80"/>
        <v>3.6911890448983202</v>
      </c>
      <c r="AZ95" s="17">
        <f t="shared" si="81"/>
        <v>76.967805449150376</v>
      </c>
      <c r="BA95" s="17">
        <f t="shared" si="82"/>
        <v>0</v>
      </c>
      <c r="BB95" s="17">
        <f t="shared" si="83"/>
        <v>0</v>
      </c>
      <c r="BC95" s="17">
        <f t="shared" si="51"/>
        <v>0</v>
      </c>
      <c r="BD95" s="17">
        <f t="shared" si="52"/>
        <v>0</v>
      </c>
      <c r="BE95" s="17">
        <f t="shared" si="53"/>
        <v>0</v>
      </c>
      <c r="BF95" s="17">
        <f t="shared" si="54"/>
        <v>0</v>
      </c>
      <c r="BG95" s="17">
        <f t="shared" si="55"/>
        <v>0</v>
      </c>
      <c r="BH95" s="17">
        <f t="shared" si="56"/>
        <v>0</v>
      </c>
      <c r="BI95" s="17">
        <f t="shared" si="57"/>
        <v>0</v>
      </c>
      <c r="BJ95" s="17">
        <f t="shared" si="58"/>
        <v>0</v>
      </c>
      <c r="BK95" s="17">
        <f t="shared" si="59"/>
        <v>0</v>
      </c>
      <c r="BL95" s="17">
        <f t="shared" si="60"/>
        <v>0</v>
      </c>
      <c r="BM95" s="17">
        <f t="shared" si="61"/>
        <v>0</v>
      </c>
      <c r="BN95" s="17">
        <f t="shared" si="62"/>
        <v>0</v>
      </c>
      <c r="BO95" s="17">
        <f t="shared" si="63"/>
        <v>0</v>
      </c>
      <c r="BP95" s="17">
        <f t="shared" si="64"/>
        <v>0</v>
      </c>
      <c r="BQ95" s="17">
        <f t="shared" si="65"/>
        <v>0</v>
      </c>
      <c r="BR95" s="17">
        <f t="shared" si="66"/>
        <v>0</v>
      </c>
      <c r="BS95" s="17">
        <f t="shared" si="67"/>
        <v>0</v>
      </c>
      <c r="BT95" s="17">
        <f t="shared" si="68"/>
        <v>0</v>
      </c>
      <c r="BU95" s="17">
        <f t="shared" si="69"/>
        <v>0</v>
      </c>
      <c r="BV95" s="17">
        <f t="shared" si="70"/>
        <v>0</v>
      </c>
      <c r="BW95" s="17">
        <f t="shared" si="71"/>
        <v>0</v>
      </c>
      <c r="BX95" s="17">
        <f t="shared" si="72"/>
        <v>0</v>
      </c>
      <c r="BY95" s="17">
        <f t="shared" si="73"/>
        <v>0</v>
      </c>
      <c r="BZ95" s="17">
        <f t="shared" si="84"/>
        <v>0</v>
      </c>
      <c r="CA95" s="17">
        <f t="shared" si="85"/>
        <v>0</v>
      </c>
      <c r="CB95" s="17">
        <f t="shared" si="86"/>
        <v>0</v>
      </c>
      <c r="CC95" s="17">
        <f t="shared" si="87"/>
        <v>0</v>
      </c>
      <c r="CD95" s="17">
        <f t="shared" si="88"/>
        <v>0</v>
      </c>
      <c r="CE95" s="17">
        <f t="shared" si="89"/>
        <v>0</v>
      </c>
      <c r="CF95" s="17">
        <f t="shared" si="90"/>
        <v>0</v>
      </c>
      <c r="CG95" s="17">
        <f t="shared" si="91"/>
        <v>0</v>
      </c>
      <c r="CH95" s="17">
        <f t="shared" si="92"/>
        <v>0</v>
      </c>
      <c r="CI95" s="17">
        <f t="shared" si="93"/>
        <v>0</v>
      </c>
      <c r="CJ95" s="17">
        <f t="shared" si="94"/>
        <v>0</v>
      </c>
      <c r="CK95" s="17">
        <f t="shared" si="95"/>
        <v>0</v>
      </c>
      <c r="CL95" s="17">
        <f t="shared" si="96"/>
        <v>0</v>
      </c>
      <c r="CM95" s="14">
        <f t="shared" si="97"/>
        <v>8862</v>
      </c>
      <c r="CN95" s="17">
        <f t="shared" si="98"/>
        <v>76.967805449150376</v>
      </c>
      <c r="CO95" s="14">
        <f t="shared" si="99"/>
        <v>9287</v>
      </c>
      <c r="CP95" s="17">
        <f t="shared" si="100"/>
        <v>80.658994494048699</v>
      </c>
      <c r="CQ95" s="14">
        <f t="shared" si="74"/>
        <v>9287</v>
      </c>
      <c r="CR95" s="14">
        <v>0</v>
      </c>
      <c r="CS95" s="14">
        <v>0</v>
      </c>
      <c r="CT95" s="14">
        <v>0</v>
      </c>
      <c r="CU95" s="14">
        <v>0</v>
      </c>
    </row>
    <row r="96" spans="1:99" x14ac:dyDescent="0.3">
      <c r="A96" s="14">
        <v>2018</v>
      </c>
      <c r="B96" s="14" t="s">
        <v>17</v>
      </c>
      <c r="C96" s="14" t="s">
        <v>18</v>
      </c>
      <c r="D96" s="15">
        <v>30300.3</v>
      </c>
      <c r="E96" s="15">
        <v>1160427.5</v>
      </c>
      <c r="F96" s="15">
        <f t="shared" si="75"/>
        <v>38.297558109985708</v>
      </c>
      <c r="G96" s="14">
        <v>74</v>
      </c>
      <c r="H96" s="14">
        <v>281</v>
      </c>
      <c r="M96" s="14">
        <v>6324</v>
      </c>
      <c r="Z96" s="14">
        <v>370</v>
      </c>
      <c r="AB96" s="14">
        <f t="shared" si="76"/>
        <v>0</v>
      </c>
      <c r="AM96" s="14">
        <f t="shared" si="77"/>
        <v>0</v>
      </c>
      <c r="AQ96" s="14">
        <f t="shared" si="78"/>
        <v>0</v>
      </c>
      <c r="AT96" s="14">
        <f t="shared" si="79"/>
        <v>0</v>
      </c>
      <c r="AU96" s="16">
        <v>556</v>
      </c>
      <c r="AV96" s="16">
        <v>9412</v>
      </c>
      <c r="AW96" s="16">
        <v>0</v>
      </c>
      <c r="AX96" s="16">
        <v>0</v>
      </c>
      <c r="AY96" s="18">
        <f t="shared" si="80"/>
        <v>4.791337675124038</v>
      </c>
      <c r="AZ96" s="17">
        <f t="shared" si="81"/>
        <v>81.108039924941451</v>
      </c>
      <c r="BA96" s="17">
        <f t="shared" si="82"/>
        <v>0</v>
      </c>
      <c r="BB96" s="17">
        <f t="shared" si="83"/>
        <v>0</v>
      </c>
      <c r="BC96" s="17">
        <f t="shared" si="51"/>
        <v>0.63769602150931448</v>
      </c>
      <c r="BD96" s="17">
        <f t="shared" si="52"/>
        <v>2.4215213789745591</v>
      </c>
      <c r="BE96" s="17">
        <f t="shared" si="53"/>
        <v>0</v>
      </c>
      <c r="BF96" s="17">
        <f t="shared" si="54"/>
        <v>0</v>
      </c>
      <c r="BG96" s="17">
        <f t="shared" si="55"/>
        <v>0</v>
      </c>
      <c r="BH96" s="17">
        <f t="shared" si="56"/>
        <v>0</v>
      </c>
      <c r="BI96" s="17">
        <f t="shared" si="57"/>
        <v>54.497157297633848</v>
      </c>
      <c r="BJ96" s="17">
        <f t="shared" si="58"/>
        <v>0</v>
      </c>
      <c r="BK96" s="17">
        <f t="shared" si="59"/>
        <v>0</v>
      </c>
      <c r="BL96" s="17">
        <f t="shared" si="60"/>
        <v>0</v>
      </c>
      <c r="BM96" s="17">
        <f t="shared" si="61"/>
        <v>0</v>
      </c>
      <c r="BN96" s="17">
        <f t="shared" si="62"/>
        <v>0</v>
      </c>
      <c r="BO96" s="17">
        <f t="shared" si="63"/>
        <v>0</v>
      </c>
      <c r="BP96" s="17">
        <f t="shared" si="64"/>
        <v>0</v>
      </c>
      <c r="BQ96" s="17">
        <f t="shared" si="65"/>
        <v>0</v>
      </c>
      <c r="BR96" s="17">
        <f t="shared" si="66"/>
        <v>0</v>
      </c>
      <c r="BS96" s="17">
        <f t="shared" si="67"/>
        <v>0</v>
      </c>
      <c r="BT96" s="17">
        <f t="shared" si="68"/>
        <v>0</v>
      </c>
      <c r="BU96" s="17">
        <f t="shared" si="69"/>
        <v>0</v>
      </c>
      <c r="BV96" s="17">
        <f t="shared" si="70"/>
        <v>3.1884801075465723</v>
      </c>
      <c r="BW96" s="17">
        <f t="shared" si="71"/>
        <v>0</v>
      </c>
      <c r="BX96" s="17">
        <f t="shared" si="72"/>
        <v>0</v>
      </c>
      <c r="BY96" s="17">
        <f t="shared" si="73"/>
        <v>0</v>
      </c>
      <c r="BZ96" s="17">
        <f t="shared" si="84"/>
        <v>0</v>
      </c>
      <c r="CA96" s="17">
        <f t="shared" si="85"/>
        <v>0</v>
      </c>
      <c r="CB96" s="17">
        <f t="shared" si="86"/>
        <v>0</v>
      </c>
      <c r="CC96" s="17">
        <f t="shared" si="87"/>
        <v>0</v>
      </c>
      <c r="CD96" s="17">
        <f t="shared" si="88"/>
        <v>0</v>
      </c>
      <c r="CE96" s="17">
        <f t="shared" si="89"/>
        <v>0</v>
      </c>
      <c r="CF96" s="17">
        <f t="shared" si="90"/>
        <v>0</v>
      </c>
      <c r="CG96" s="17">
        <f t="shared" si="91"/>
        <v>0</v>
      </c>
      <c r="CH96" s="17">
        <f t="shared" si="92"/>
        <v>0</v>
      </c>
      <c r="CI96" s="17">
        <f t="shared" si="93"/>
        <v>0</v>
      </c>
      <c r="CJ96" s="17">
        <f t="shared" si="94"/>
        <v>0</v>
      </c>
      <c r="CK96" s="17">
        <f t="shared" si="95"/>
        <v>0</v>
      </c>
      <c r="CL96" s="17">
        <f t="shared" si="96"/>
        <v>0</v>
      </c>
      <c r="CM96" s="14">
        <f t="shared" si="97"/>
        <v>9412</v>
      </c>
      <c r="CN96" s="17">
        <f t="shared" si="98"/>
        <v>81.108039924941451</v>
      </c>
      <c r="CO96" s="14">
        <f t="shared" si="99"/>
        <v>9968</v>
      </c>
      <c r="CP96" s="17">
        <f t="shared" si="100"/>
        <v>85.899377600065492</v>
      </c>
      <c r="CQ96" s="14">
        <f t="shared" si="74"/>
        <v>17017</v>
      </c>
      <c r="CR96" s="14">
        <v>275</v>
      </c>
      <c r="CS96" s="14">
        <v>921</v>
      </c>
      <c r="CT96" s="14">
        <v>31</v>
      </c>
      <c r="CU96" s="14">
        <v>275</v>
      </c>
    </row>
    <row r="97" spans="1:99" x14ac:dyDescent="0.3">
      <c r="A97" s="14">
        <v>2019</v>
      </c>
      <c r="B97" s="14" t="s">
        <v>17</v>
      </c>
      <c r="C97" s="14" t="s">
        <v>18</v>
      </c>
      <c r="D97" s="15">
        <v>29875.9</v>
      </c>
      <c r="E97" s="15">
        <v>1169612.9999999998</v>
      </c>
      <c r="F97" s="15">
        <f t="shared" si="75"/>
        <v>39.149046555919647</v>
      </c>
      <c r="G97" s="14">
        <v>14</v>
      </c>
      <c r="N97" s="14">
        <v>19</v>
      </c>
      <c r="O97" s="14">
        <v>3</v>
      </c>
      <c r="AB97" s="14">
        <f t="shared" si="76"/>
        <v>3</v>
      </c>
      <c r="AM97" s="14">
        <f t="shared" si="77"/>
        <v>0</v>
      </c>
      <c r="AQ97" s="14">
        <f t="shared" si="78"/>
        <v>0</v>
      </c>
      <c r="AT97" s="14">
        <f t="shared" si="79"/>
        <v>0</v>
      </c>
      <c r="AU97" s="16">
        <v>0</v>
      </c>
      <c r="AV97" s="16">
        <v>0</v>
      </c>
      <c r="AW97" s="16">
        <v>0</v>
      </c>
      <c r="AX97" s="16">
        <v>0</v>
      </c>
      <c r="AY97" s="18">
        <f t="shared" si="80"/>
        <v>0</v>
      </c>
      <c r="AZ97" s="17">
        <f t="shared" si="81"/>
        <v>0</v>
      </c>
      <c r="BA97" s="17">
        <f t="shared" si="82"/>
        <v>0</v>
      </c>
      <c r="BB97" s="17">
        <f t="shared" si="83"/>
        <v>0</v>
      </c>
      <c r="BC97" s="17">
        <f t="shared" si="51"/>
        <v>0.11969771197823556</v>
      </c>
      <c r="BD97" s="17">
        <f t="shared" si="52"/>
        <v>0</v>
      </c>
      <c r="BE97" s="17">
        <f t="shared" si="53"/>
        <v>0</v>
      </c>
      <c r="BF97" s="17">
        <f t="shared" si="54"/>
        <v>0</v>
      </c>
      <c r="BG97" s="17">
        <f t="shared" si="55"/>
        <v>0</v>
      </c>
      <c r="BH97" s="17">
        <f t="shared" si="56"/>
        <v>0</v>
      </c>
      <c r="BI97" s="17">
        <f t="shared" si="57"/>
        <v>0</v>
      </c>
      <c r="BJ97" s="17">
        <f t="shared" si="58"/>
        <v>0.16244689482760541</v>
      </c>
      <c r="BK97" s="17">
        <f t="shared" si="59"/>
        <v>2.5649509709621907E-2</v>
      </c>
      <c r="BL97" s="17">
        <f t="shared" si="60"/>
        <v>0</v>
      </c>
      <c r="BM97" s="17">
        <f t="shared" si="61"/>
        <v>0</v>
      </c>
      <c r="BN97" s="17">
        <f t="shared" si="62"/>
        <v>0</v>
      </c>
      <c r="BO97" s="17">
        <f t="shared" si="63"/>
        <v>0</v>
      </c>
      <c r="BP97" s="17">
        <f t="shared" si="64"/>
        <v>0</v>
      </c>
      <c r="BQ97" s="17">
        <f t="shared" si="65"/>
        <v>0</v>
      </c>
      <c r="BR97" s="17">
        <f t="shared" si="66"/>
        <v>0</v>
      </c>
      <c r="BS97" s="17">
        <f t="shared" si="67"/>
        <v>0</v>
      </c>
      <c r="BT97" s="17">
        <f t="shared" si="68"/>
        <v>0</v>
      </c>
      <c r="BU97" s="17">
        <f t="shared" si="69"/>
        <v>0</v>
      </c>
      <c r="BV97" s="17">
        <f t="shared" si="70"/>
        <v>0</v>
      </c>
      <c r="BW97" s="17">
        <f t="shared" si="71"/>
        <v>0</v>
      </c>
      <c r="BX97" s="17">
        <f t="shared" si="72"/>
        <v>0</v>
      </c>
      <c r="BY97" s="17">
        <f t="shared" si="73"/>
        <v>0</v>
      </c>
      <c r="BZ97" s="17">
        <f t="shared" si="84"/>
        <v>0</v>
      </c>
      <c r="CA97" s="17">
        <f t="shared" si="85"/>
        <v>0</v>
      </c>
      <c r="CB97" s="17">
        <f t="shared" si="86"/>
        <v>0</v>
      </c>
      <c r="CC97" s="17">
        <f t="shared" si="87"/>
        <v>0</v>
      </c>
      <c r="CD97" s="17">
        <f t="shared" si="88"/>
        <v>0</v>
      </c>
      <c r="CE97" s="17">
        <f t="shared" si="89"/>
        <v>0</v>
      </c>
      <c r="CF97" s="17">
        <f t="shared" si="90"/>
        <v>0</v>
      </c>
      <c r="CG97" s="17">
        <f t="shared" si="91"/>
        <v>0</v>
      </c>
      <c r="CH97" s="17">
        <f t="shared" si="92"/>
        <v>0</v>
      </c>
      <c r="CI97" s="17">
        <f t="shared" si="93"/>
        <v>0</v>
      </c>
      <c r="CJ97" s="17">
        <f t="shared" si="94"/>
        <v>0</v>
      </c>
      <c r="CK97" s="17">
        <f t="shared" si="95"/>
        <v>0</v>
      </c>
      <c r="CL97" s="17">
        <f t="shared" si="96"/>
        <v>0</v>
      </c>
      <c r="CM97" s="14">
        <f t="shared" si="97"/>
        <v>0</v>
      </c>
      <c r="CN97" s="17">
        <f t="shared" si="98"/>
        <v>0</v>
      </c>
      <c r="CO97" s="14">
        <f t="shared" si="99"/>
        <v>0</v>
      </c>
      <c r="CP97" s="17">
        <f t="shared" si="100"/>
        <v>0</v>
      </c>
      <c r="CQ97" s="14">
        <f t="shared" si="74"/>
        <v>39</v>
      </c>
      <c r="CR97" s="14">
        <v>0</v>
      </c>
      <c r="CS97" s="14">
        <v>0</v>
      </c>
      <c r="CT97" s="14">
        <v>0</v>
      </c>
      <c r="CU97" s="14">
        <v>0</v>
      </c>
    </row>
    <row r="98" spans="1:99" x14ac:dyDescent="0.3">
      <c r="A98" s="14">
        <v>2020</v>
      </c>
      <c r="B98" s="14" t="s">
        <v>17</v>
      </c>
      <c r="C98" s="14" t="s">
        <v>18</v>
      </c>
      <c r="D98" s="15">
        <v>29530.3</v>
      </c>
      <c r="E98" s="15">
        <v>1180654.9999999998</v>
      </c>
      <c r="F98" s="15">
        <f t="shared" si="75"/>
        <v>39.981138017561619</v>
      </c>
      <c r="G98" s="14">
        <v>22</v>
      </c>
      <c r="H98" s="14">
        <v>48</v>
      </c>
      <c r="I98" s="14">
        <v>2087</v>
      </c>
      <c r="J98" s="14">
        <v>374</v>
      </c>
      <c r="K98" s="14">
        <v>7</v>
      </c>
      <c r="L98" s="14">
        <v>75</v>
      </c>
      <c r="M98" s="14">
        <v>5386</v>
      </c>
      <c r="N98" s="14">
        <v>28</v>
      </c>
      <c r="P98" s="14">
        <v>7</v>
      </c>
      <c r="R98" s="14">
        <v>18</v>
      </c>
      <c r="S98" s="14">
        <v>63</v>
      </c>
      <c r="T98" s="14">
        <v>79</v>
      </c>
      <c r="U98" s="14">
        <v>51</v>
      </c>
      <c r="V98" s="14">
        <v>53</v>
      </c>
      <c r="X98" s="14">
        <v>30</v>
      </c>
      <c r="AB98" s="14">
        <f t="shared" si="76"/>
        <v>0</v>
      </c>
      <c r="AD98" s="14">
        <v>0</v>
      </c>
      <c r="AE98" s="14">
        <v>9</v>
      </c>
      <c r="AF98" s="14">
        <v>6</v>
      </c>
      <c r="AG98" s="14">
        <v>52</v>
      </c>
      <c r="AH98" s="14">
        <v>1861</v>
      </c>
      <c r="AJ98" s="14">
        <v>80</v>
      </c>
      <c r="AK98" s="14">
        <v>10</v>
      </c>
      <c r="AL98" s="14">
        <v>5</v>
      </c>
      <c r="AM98" s="14">
        <f t="shared" si="77"/>
        <v>15</v>
      </c>
      <c r="AN98" s="14">
        <v>12</v>
      </c>
      <c r="AO98" s="14">
        <v>16</v>
      </c>
      <c r="AP98" s="14">
        <v>22</v>
      </c>
      <c r="AQ98" s="14">
        <f t="shared" si="78"/>
        <v>38</v>
      </c>
      <c r="AT98" s="14">
        <f t="shared" si="79"/>
        <v>0</v>
      </c>
      <c r="AU98" s="16">
        <v>330</v>
      </c>
      <c r="AV98" s="16">
        <v>6881</v>
      </c>
      <c r="AW98" s="16">
        <v>0</v>
      </c>
      <c r="AX98" s="16">
        <v>0</v>
      </c>
      <c r="AY98" s="18">
        <f t="shared" si="80"/>
        <v>2.7950586750574899</v>
      </c>
      <c r="AZ98" s="17">
        <f t="shared" si="81"/>
        <v>58.28120831233511</v>
      </c>
      <c r="BA98" s="17">
        <f t="shared" si="82"/>
        <v>0</v>
      </c>
      <c r="BB98" s="17">
        <f t="shared" si="83"/>
        <v>0</v>
      </c>
      <c r="BC98" s="17">
        <f t="shared" si="51"/>
        <v>0.18633724500383267</v>
      </c>
      <c r="BD98" s="17">
        <f t="shared" si="52"/>
        <v>0.40655398909927126</v>
      </c>
      <c r="BE98" s="17">
        <f t="shared" si="53"/>
        <v>17.676628651045398</v>
      </c>
      <c r="BF98" s="17">
        <f t="shared" si="54"/>
        <v>3.167733165065155</v>
      </c>
      <c r="BG98" s="17">
        <f t="shared" si="55"/>
        <v>5.9289123410310389E-2</v>
      </c>
      <c r="BH98" s="17">
        <f t="shared" si="56"/>
        <v>0.63524060796761128</v>
      </c>
      <c r="BI98" s="17">
        <f t="shared" si="57"/>
        <v>45.618745526847391</v>
      </c>
      <c r="BJ98" s="17">
        <f t="shared" si="58"/>
        <v>0.23715649364124156</v>
      </c>
      <c r="BK98" s="17">
        <f t="shared" si="59"/>
        <v>0</v>
      </c>
      <c r="BL98" s="17">
        <f t="shared" si="60"/>
        <v>5.9289123410310389E-2</v>
      </c>
      <c r="BM98" s="17">
        <f t="shared" si="61"/>
        <v>0</v>
      </c>
      <c r="BN98" s="17">
        <f t="shared" si="62"/>
        <v>0.15245774591222672</v>
      </c>
      <c r="BO98" s="17">
        <f t="shared" si="63"/>
        <v>0.53360211069279351</v>
      </c>
      <c r="BP98" s="17">
        <f t="shared" si="64"/>
        <v>0.66912010705921721</v>
      </c>
      <c r="BQ98" s="17">
        <f t="shared" si="65"/>
        <v>0.43196361341797568</v>
      </c>
      <c r="BR98" s="17">
        <f t="shared" si="66"/>
        <v>0.4489033629637787</v>
      </c>
      <c r="BS98" s="17">
        <f t="shared" si="67"/>
        <v>0</v>
      </c>
      <c r="BT98" s="17">
        <f t="shared" si="68"/>
        <v>0.25409624318704455</v>
      </c>
      <c r="BU98" s="17">
        <f t="shared" si="69"/>
        <v>0</v>
      </c>
      <c r="BV98" s="17">
        <f t="shared" si="70"/>
        <v>0</v>
      </c>
      <c r="BW98" s="17">
        <f t="shared" si="71"/>
        <v>0</v>
      </c>
      <c r="BX98" s="17">
        <f t="shared" si="72"/>
        <v>0</v>
      </c>
      <c r="BY98" s="17">
        <f t="shared" si="73"/>
        <v>0</v>
      </c>
      <c r="BZ98" s="17">
        <f t="shared" si="84"/>
        <v>7.6228872956113358E-2</v>
      </c>
      <c r="CA98" s="17">
        <f t="shared" si="85"/>
        <v>5.0819248637408908E-2</v>
      </c>
      <c r="CB98" s="17">
        <f t="shared" si="86"/>
        <v>0.44043348819087719</v>
      </c>
      <c r="CC98" s="17">
        <f t="shared" si="87"/>
        <v>15.762436952369661</v>
      </c>
      <c r="CD98" s="17">
        <f t="shared" si="88"/>
        <v>0</v>
      </c>
      <c r="CE98" s="17">
        <f t="shared" si="89"/>
        <v>0.67758998183211872</v>
      </c>
      <c r="CF98" s="17">
        <f t="shared" si="90"/>
        <v>8.4698747729014839E-2</v>
      </c>
      <c r="CG98" s="17">
        <f t="shared" si="91"/>
        <v>4.234937386450742E-2</v>
      </c>
      <c r="CH98" s="17">
        <f t="shared" si="92"/>
        <v>0.10163849727481782</v>
      </c>
      <c r="CI98" s="17">
        <f t="shared" si="93"/>
        <v>0.13551799636642375</v>
      </c>
      <c r="CJ98" s="17">
        <f t="shared" si="94"/>
        <v>0.18633724500383267</v>
      </c>
      <c r="CK98" s="17">
        <f t="shared" si="95"/>
        <v>0</v>
      </c>
      <c r="CL98" s="17">
        <f t="shared" si="96"/>
        <v>0</v>
      </c>
      <c r="CM98" s="14">
        <f t="shared" si="97"/>
        <v>6881</v>
      </c>
      <c r="CN98" s="17">
        <f t="shared" si="98"/>
        <v>58.28120831233511</v>
      </c>
      <c r="CO98" s="14">
        <f t="shared" si="99"/>
        <v>7211</v>
      </c>
      <c r="CP98" s="17">
        <f t="shared" si="100"/>
        <v>61.0762669873926</v>
      </c>
      <c r="CQ98" s="14">
        <f t="shared" si="74"/>
        <v>17665</v>
      </c>
      <c r="CR98" s="14">
        <v>0</v>
      </c>
      <c r="CS98" s="14">
        <v>0</v>
      </c>
      <c r="CT98" s="14">
        <v>0</v>
      </c>
      <c r="CU98" s="14">
        <v>0</v>
      </c>
    </row>
    <row r="99" spans="1:99" x14ac:dyDescent="0.3">
      <c r="A99" s="14">
        <v>2021</v>
      </c>
      <c r="B99" s="14" t="s">
        <v>17</v>
      </c>
      <c r="C99" s="14" t="s">
        <v>18</v>
      </c>
      <c r="D99" s="15">
        <v>29226.2</v>
      </c>
      <c r="E99" s="15">
        <v>1192271.0000000002</v>
      </c>
      <c r="F99" s="15">
        <f t="shared" si="75"/>
        <v>40.794595260417033</v>
      </c>
      <c r="AB99" s="14">
        <f t="shared" si="76"/>
        <v>0</v>
      </c>
      <c r="AM99" s="14">
        <f t="shared" si="77"/>
        <v>0</v>
      </c>
      <c r="AQ99" s="14">
        <f t="shared" si="78"/>
        <v>0</v>
      </c>
      <c r="AT99" s="14">
        <f t="shared" si="79"/>
        <v>0</v>
      </c>
      <c r="AU99" s="16">
        <v>0</v>
      </c>
      <c r="AV99" s="16">
        <v>0</v>
      </c>
      <c r="AW99" s="16">
        <v>0</v>
      </c>
      <c r="AX99" s="16">
        <v>0</v>
      </c>
      <c r="AY99" s="18">
        <f t="shared" si="80"/>
        <v>0</v>
      </c>
      <c r="AZ99" s="17">
        <f t="shared" si="81"/>
        <v>0</v>
      </c>
      <c r="BA99" s="17">
        <f t="shared" si="82"/>
        <v>0</v>
      </c>
      <c r="BB99" s="17">
        <f t="shared" si="83"/>
        <v>0</v>
      </c>
      <c r="BC99" s="17">
        <f t="shared" si="51"/>
        <v>0</v>
      </c>
      <c r="BD99" s="17">
        <f t="shared" si="52"/>
        <v>0</v>
      </c>
      <c r="BE99" s="17">
        <f t="shared" si="53"/>
        <v>0</v>
      </c>
      <c r="BF99" s="17">
        <f t="shared" si="54"/>
        <v>0</v>
      </c>
      <c r="BG99" s="17">
        <f t="shared" si="55"/>
        <v>0</v>
      </c>
      <c r="BH99" s="17">
        <f t="shared" si="56"/>
        <v>0</v>
      </c>
      <c r="BI99" s="17">
        <f t="shared" si="57"/>
        <v>0</v>
      </c>
      <c r="BJ99" s="17">
        <f t="shared" si="58"/>
        <v>0</v>
      </c>
      <c r="BK99" s="17">
        <f t="shared" si="59"/>
        <v>0</v>
      </c>
      <c r="BL99" s="17">
        <f t="shared" si="60"/>
        <v>0</v>
      </c>
      <c r="BM99" s="17">
        <f t="shared" si="61"/>
        <v>0</v>
      </c>
      <c r="BN99" s="17">
        <f t="shared" si="62"/>
        <v>0</v>
      </c>
      <c r="BO99" s="17">
        <f t="shared" si="63"/>
        <v>0</v>
      </c>
      <c r="BP99" s="17">
        <f t="shared" si="64"/>
        <v>0</v>
      </c>
      <c r="BQ99" s="17">
        <f t="shared" si="65"/>
        <v>0</v>
      </c>
      <c r="BR99" s="17">
        <f t="shared" si="66"/>
        <v>0</v>
      </c>
      <c r="BS99" s="17">
        <f t="shared" si="67"/>
        <v>0</v>
      </c>
      <c r="BT99" s="17">
        <f t="shared" si="68"/>
        <v>0</v>
      </c>
      <c r="BU99" s="17">
        <f t="shared" si="69"/>
        <v>0</v>
      </c>
      <c r="BV99" s="17">
        <f t="shared" si="70"/>
        <v>0</v>
      </c>
      <c r="BW99" s="17">
        <f t="shared" si="71"/>
        <v>0</v>
      </c>
      <c r="BX99" s="17">
        <f t="shared" si="72"/>
        <v>0</v>
      </c>
      <c r="BY99" s="17">
        <f t="shared" si="73"/>
        <v>0</v>
      </c>
      <c r="BZ99" s="17">
        <f t="shared" si="84"/>
        <v>0</v>
      </c>
      <c r="CA99" s="17">
        <f t="shared" si="85"/>
        <v>0</v>
      </c>
      <c r="CB99" s="17">
        <f t="shared" si="86"/>
        <v>0</v>
      </c>
      <c r="CC99" s="17">
        <f t="shared" si="87"/>
        <v>0</v>
      </c>
      <c r="CD99" s="17">
        <f t="shared" si="88"/>
        <v>0</v>
      </c>
      <c r="CE99" s="17">
        <f t="shared" si="89"/>
        <v>0</v>
      </c>
      <c r="CF99" s="17">
        <f t="shared" si="90"/>
        <v>0</v>
      </c>
      <c r="CG99" s="17">
        <f t="shared" si="91"/>
        <v>0</v>
      </c>
      <c r="CH99" s="17">
        <f t="shared" si="92"/>
        <v>0</v>
      </c>
      <c r="CI99" s="17">
        <f t="shared" si="93"/>
        <v>0</v>
      </c>
      <c r="CJ99" s="17">
        <f t="shared" si="94"/>
        <v>0</v>
      </c>
      <c r="CK99" s="17">
        <f t="shared" si="95"/>
        <v>0</v>
      </c>
      <c r="CL99" s="17">
        <f t="shared" si="96"/>
        <v>0</v>
      </c>
      <c r="CM99" s="14">
        <f t="shared" si="97"/>
        <v>0</v>
      </c>
      <c r="CN99" s="17">
        <f t="shared" si="98"/>
        <v>0</v>
      </c>
      <c r="CO99" s="14">
        <f t="shared" si="99"/>
        <v>0</v>
      </c>
      <c r="CP99" s="17">
        <f t="shared" si="100"/>
        <v>0</v>
      </c>
      <c r="CQ99" s="14">
        <f t="shared" si="74"/>
        <v>0</v>
      </c>
      <c r="CR99" s="14">
        <v>0</v>
      </c>
      <c r="CS99" s="14">
        <v>0</v>
      </c>
      <c r="CT99" s="14">
        <v>0</v>
      </c>
      <c r="CU99" s="14">
        <v>0</v>
      </c>
    </row>
    <row r="100" spans="1:99" x14ac:dyDescent="0.3">
      <c r="A100" s="14">
        <v>2022</v>
      </c>
      <c r="B100" s="14" t="s">
        <v>17</v>
      </c>
      <c r="C100" s="14" t="s">
        <v>18</v>
      </c>
      <c r="D100" s="15">
        <v>28860</v>
      </c>
      <c r="E100" s="15">
        <v>1201670.4999999995</v>
      </c>
      <c r="F100" s="15">
        <f t="shared" si="75"/>
        <v>41.637924462924445</v>
      </c>
      <c r="AB100" s="14">
        <f t="shared" si="76"/>
        <v>0</v>
      </c>
      <c r="AM100" s="14">
        <f t="shared" si="77"/>
        <v>0</v>
      </c>
      <c r="AQ100" s="14">
        <f t="shared" si="78"/>
        <v>0</v>
      </c>
      <c r="AT100" s="14">
        <f t="shared" si="79"/>
        <v>0</v>
      </c>
      <c r="AU100" s="16">
        <v>4063</v>
      </c>
      <c r="AV100" s="16">
        <v>7648</v>
      </c>
      <c r="AW100" s="16">
        <v>0</v>
      </c>
      <c r="AX100" s="16">
        <v>0</v>
      </c>
      <c r="AY100" s="18">
        <f t="shared" si="80"/>
        <v>33.811265234521457</v>
      </c>
      <c r="AZ100" s="17">
        <f t="shared" si="81"/>
        <v>63.644734559099213</v>
      </c>
      <c r="BA100" s="17">
        <f t="shared" si="82"/>
        <v>0</v>
      </c>
      <c r="BB100" s="17">
        <f t="shared" si="83"/>
        <v>0</v>
      </c>
      <c r="BC100" s="17">
        <f t="shared" si="51"/>
        <v>0</v>
      </c>
      <c r="BD100" s="17">
        <f t="shared" si="52"/>
        <v>0</v>
      </c>
      <c r="BE100" s="17">
        <f t="shared" si="53"/>
        <v>0</v>
      </c>
      <c r="BF100" s="17">
        <f t="shared" si="54"/>
        <v>0</v>
      </c>
      <c r="BG100" s="17">
        <f t="shared" si="55"/>
        <v>0</v>
      </c>
      <c r="BH100" s="17">
        <f t="shared" si="56"/>
        <v>0</v>
      </c>
      <c r="BI100" s="17">
        <f t="shared" si="57"/>
        <v>0</v>
      </c>
      <c r="BJ100" s="17">
        <f t="shared" si="58"/>
        <v>0</v>
      </c>
      <c r="BK100" s="17">
        <f t="shared" si="59"/>
        <v>0</v>
      </c>
      <c r="BL100" s="17">
        <f t="shared" si="60"/>
        <v>0</v>
      </c>
      <c r="BM100" s="17">
        <f t="shared" si="61"/>
        <v>0</v>
      </c>
      <c r="BN100" s="17">
        <f t="shared" si="62"/>
        <v>0</v>
      </c>
      <c r="BO100" s="17">
        <f t="shared" si="63"/>
        <v>0</v>
      </c>
      <c r="BP100" s="17">
        <f t="shared" si="64"/>
        <v>0</v>
      </c>
      <c r="BQ100" s="17">
        <f t="shared" si="65"/>
        <v>0</v>
      </c>
      <c r="BR100" s="17">
        <f t="shared" si="66"/>
        <v>0</v>
      </c>
      <c r="BS100" s="17">
        <f t="shared" si="67"/>
        <v>0</v>
      </c>
      <c r="BT100" s="17">
        <f t="shared" si="68"/>
        <v>0</v>
      </c>
      <c r="BU100" s="17">
        <f t="shared" si="69"/>
        <v>0</v>
      </c>
      <c r="BV100" s="17">
        <f t="shared" si="70"/>
        <v>0</v>
      </c>
      <c r="BW100" s="17">
        <f t="shared" si="71"/>
        <v>0</v>
      </c>
      <c r="BX100" s="17">
        <f t="shared" si="72"/>
        <v>0</v>
      </c>
      <c r="BY100" s="17">
        <f t="shared" si="73"/>
        <v>0</v>
      </c>
      <c r="BZ100" s="17">
        <f t="shared" si="84"/>
        <v>0</v>
      </c>
      <c r="CA100" s="17">
        <f t="shared" si="85"/>
        <v>0</v>
      </c>
      <c r="CB100" s="17">
        <f t="shared" si="86"/>
        <v>0</v>
      </c>
      <c r="CC100" s="17">
        <f t="shared" si="87"/>
        <v>0</v>
      </c>
      <c r="CD100" s="17">
        <f t="shared" si="88"/>
        <v>0</v>
      </c>
      <c r="CE100" s="17">
        <f t="shared" si="89"/>
        <v>0</v>
      </c>
      <c r="CF100" s="17">
        <f t="shared" si="90"/>
        <v>0</v>
      </c>
      <c r="CG100" s="17">
        <f t="shared" si="91"/>
        <v>0</v>
      </c>
      <c r="CH100" s="17">
        <f t="shared" si="92"/>
        <v>0</v>
      </c>
      <c r="CI100" s="17">
        <f t="shared" si="93"/>
        <v>0</v>
      </c>
      <c r="CJ100" s="17">
        <f t="shared" si="94"/>
        <v>0</v>
      </c>
      <c r="CK100" s="17">
        <f t="shared" si="95"/>
        <v>0</v>
      </c>
      <c r="CL100" s="17">
        <f t="shared" si="96"/>
        <v>0</v>
      </c>
      <c r="CM100" s="14">
        <f t="shared" si="97"/>
        <v>7648</v>
      </c>
      <c r="CN100" s="17">
        <f t="shared" si="98"/>
        <v>63.644734559099213</v>
      </c>
      <c r="CO100" s="14">
        <f t="shared" si="99"/>
        <v>11711</v>
      </c>
      <c r="CP100" s="17">
        <f t="shared" si="100"/>
        <v>97.455999793620663</v>
      </c>
      <c r="CQ100" s="14">
        <f t="shared" si="74"/>
        <v>11711</v>
      </c>
      <c r="CR100" s="14">
        <v>338</v>
      </c>
      <c r="CS100" s="14">
        <v>15498</v>
      </c>
      <c r="CT100" s="14">
        <v>688</v>
      </c>
      <c r="CU100" s="14">
        <v>2886</v>
      </c>
    </row>
    <row r="101" spans="1:99" x14ac:dyDescent="0.3">
      <c r="A101" s="14">
        <v>2012</v>
      </c>
      <c r="B101" s="14" t="s">
        <v>19</v>
      </c>
      <c r="C101" s="14" t="s">
        <v>20</v>
      </c>
      <c r="D101" s="15">
        <v>58544.2</v>
      </c>
      <c r="E101" s="15">
        <v>2054717.9999999998</v>
      </c>
      <c r="F101" s="15">
        <f t="shared" si="75"/>
        <v>35.096866982553351</v>
      </c>
      <c r="AB101" s="14">
        <f t="shared" si="76"/>
        <v>0</v>
      </c>
      <c r="AM101" s="14">
        <f t="shared" si="77"/>
        <v>0</v>
      </c>
      <c r="AQ101" s="14">
        <f t="shared" si="78"/>
        <v>0</v>
      </c>
      <c r="AT101" s="14">
        <f t="shared" si="79"/>
        <v>0</v>
      </c>
      <c r="AU101" s="16">
        <v>0</v>
      </c>
      <c r="AV101" s="16">
        <v>0</v>
      </c>
      <c r="AW101" s="16">
        <v>0</v>
      </c>
      <c r="AX101" s="16">
        <v>0</v>
      </c>
      <c r="AY101" s="18">
        <f t="shared" si="80"/>
        <v>0</v>
      </c>
      <c r="AZ101" s="17">
        <f t="shared" si="81"/>
        <v>0</v>
      </c>
      <c r="BA101" s="17">
        <f t="shared" si="82"/>
        <v>0</v>
      </c>
      <c r="BB101" s="17">
        <f t="shared" si="83"/>
        <v>0</v>
      </c>
      <c r="BC101" s="17">
        <f t="shared" si="51"/>
        <v>0</v>
      </c>
      <c r="BD101" s="17">
        <f t="shared" si="52"/>
        <v>0</v>
      </c>
      <c r="BE101" s="17">
        <f t="shared" si="53"/>
        <v>0</v>
      </c>
      <c r="BF101" s="17">
        <f t="shared" si="54"/>
        <v>0</v>
      </c>
      <c r="BG101" s="17">
        <f t="shared" si="55"/>
        <v>0</v>
      </c>
      <c r="BH101" s="17">
        <f t="shared" si="56"/>
        <v>0</v>
      </c>
      <c r="BI101" s="17">
        <f t="shared" si="57"/>
        <v>0</v>
      </c>
      <c r="BJ101" s="17">
        <f t="shared" si="58"/>
        <v>0</v>
      </c>
      <c r="BK101" s="17">
        <f t="shared" si="59"/>
        <v>0</v>
      </c>
      <c r="BL101" s="17">
        <f t="shared" si="60"/>
        <v>0</v>
      </c>
      <c r="BM101" s="17">
        <f t="shared" si="61"/>
        <v>0</v>
      </c>
      <c r="BN101" s="17">
        <f t="shared" si="62"/>
        <v>0</v>
      </c>
      <c r="BO101" s="17">
        <f t="shared" si="63"/>
        <v>0</v>
      </c>
      <c r="BP101" s="17">
        <f t="shared" si="64"/>
        <v>0</v>
      </c>
      <c r="BQ101" s="17">
        <f t="shared" si="65"/>
        <v>0</v>
      </c>
      <c r="BR101" s="17">
        <f t="shared" si="66"/>
        <v>0</v>
      </c>
      <c r="BS101" s="17">
        <f t="shared" si="67"/>
        <v>0</v>
      </c>
      <c r="BT101" s="17">
        <f t="shared" si="68"/>
        <v>0</v>
      </c>
      <c r="BU101" s="17">
        <f t="shared" si="69"/>
        <v>0</v>
      </c>
      <c r="BV101" s="17">
        <f t="shared" si="70"/>
        <v>0</v>
      </c>
      <c r="BW101" s="17">
        <f t="shared" si="71"/>
        <v>0</v>
      </c>
      <c r="BX101" s="17">
        <f t="shared" si="72"/>
        <v>0</v>
      </c>
      <c r="BY101" s="17">
        <f t="shared" si="73"/>
        <v>0</v>
      </c>
      <c r="BZ101" s="17">
        <f t="shared" si="84"/>
        <v>0</v>
      </c>
      <c r="CA101" s="17">
        <f t="shared" si="85"/>
        <v>0</v>
      </c>
      <c r="CB101" s="17">
        <f t="shared" si="86"/>
        <v>0</v>
      </c>
      <c r="CC101" s="17">
        <f t="shared" si="87"/>
        <v>0</v>
      </c>
      <c r="CD101" s="17">
        <f t="shared" si="88"/>
        <v>0</v>
      </c>
      <c r="CE101" s="17">
        <f t="shared" si="89"/>
        <v>0</v>
      </c>
      <c r="CF101" s="17">
        <f t="shared" si="90"/>
        <v>0</v>
      </c>
      <c r="CG101" s="17">
        <f t="shared" si="91"/>
        <v>0</v>
      </c>
      <c r="CH101" s="17">
        <f t="shared" si="92"/>
        <v>0</v>
      </c>
      <c r="CI101" s="17">
        <f t="shared" si="93"/>
        <v>0</v>
      </c>
      <c r="CJ101" s="17">
        <f t="shared" si="94"/>
        <v>0</v>
      </c>
      <c r="CK101" s="17">
        <f t="shared" si="95"/>
        <v>0</v>
      </c>
      <c r="CL101" s="17">
        <f t="shared" si="96"/>
        <v>0</v>
      </c>
      <c r="CM101" s="14">
        <f t="shared" si="97"/>
        <v>0</v>
      </c>
      <c r="CN101" s="17">
        <f t="shared" si="98"/>
        <v>0</v>
      </c>
      <c r="CO101" s="14">
        <f t="shared" si="99"/>
        <v>0</v>
      </c>
      <c r="CP101" s="17">
        <f t="shared" si="100"/>
        <v>0</v>
      </c>
      <c r="CQ101" s="14">
        <f t="shared" si="74"/>
        <v>0</v>
      </c>
      <c r="CR101" s="14">
        <v>0</v>
      </c>
      <c r="CS101" s="14">
        <v>0</v>
      </c>
      <c r="CT101" s="14">
        <v>0</v>
      </c>
      <c r="CU101" s="14">
        <v>0</v>
      </c>
    </row>
    <row r="102" spans="1:99" x14ac:dyDescent="0.3">
      <c r="A102" s="14">
        <v>2013</v>
      </c>
      <c r="B102" s="14" t="s">
        <v>19</v>
      </c>
      <c r="C102" s="14" t="s">
        <v>20</v>
      </c>
      <c r="D102" s="15">
        <v>59174.8</v>
      </c>
      <c r="E102" s="15">
        <v>2073938.4999999998</v>
      </c>
      <c r="F102" s="15">
        <f t="shared" si="75"/>
        <v>35.047663870431329</v>
      </c>
      <c r="AB102" s="14">
        <f t="shared" si="76"/>
        <v>0</v>
      </c>
      <c r="AM102" s="14">
        <f t="shared" si="77"/>
        <v>0</v>
      </c>
      <c r="AQ102" s="14">
        <f t="shared" si="78"/>
        <v>0</v>
      </c>
      <c r="AT102" s="14">
        <f t="shared" si="79"/>
        <v>0</v>
      </c>
      <c r="AU102" s="16">
        <v>0</v>
      </c>
      <c r="AV102" s="16">
        <v>0</v>
      </c>
      <c r="AW102" s="16">
        <v>0</v>
      </c>
      <c r="AX102" s="16">
        <v>0</v>
      </c>
      <c r="AY102" s="18">
        <f t="shared" si="80"/>
        <v>0</v>
      </c>
      <c r="AZ102" s="17">
        <f t="shared" si="81"/>
        <v>0</v>
      </c>
      <c r="BA102" s="17">
        <f t="shared" si="82"/>
        <v>0</v>
      </c>
      <c r="BB102" s="17">
        <f t="shared" si="83"/>
        <v>0</v>
      </c>
      <c r="BC102" s="17">
        <f t="shared" si="51"/>
        <v>0</v>
      </c>
      <c r="BD102" s="17">
        <f t="shared" si="52"/>
        <v>0</v>
      </c>
      <c r="BE102" s="17">
        <f t="shared" si="53"/>
        <v>0</v>
      </c>
      <c r="BF102" s="17">
        <f t="shared" si="54"/>
        <v>0</v>
      </c>
      <c r="BG102" s="17">
        <f t="shared" si="55"/>
        <v>0</v>
      </c>
      <c r="BH102" s="17">
        <f t="shared" si="56"/>
        <v>0</v>
      </c>
      <c r="BI102" s="17">
        <f t="shared" si="57"/>
        <v>0</v>
      </c>
      <c r="BJ102" s="17">
        <f t="shared" si="58"/>
        <v>0</v>
      </c>
      <c r="BK102" s="17">
        <f t="shared" si="59"/>
        <v>0</v>
      </c>
      <c r="BL102" s="17">
        <f t="shared" si="60"/>
        <v>0</v>
      </c>
      <c r="BM102" s="17">
        <f t="shared" si="61"/>
        <v>0</v>
      </c>
      <c r="BN102" s="17">
        <f t="shared" si="62"/>
        <v>0</v>
      </c>
      <c r="BO102" s="17">
        <f t="shared" si="63"/>
        <v>0</v>
      </c>
      <c r="BP102" s="17">
        <f t="shared" si="64"/>
        <v>0</v>
      </c>
      <c r="BQ102" s="17">
        <f t="shared" si="65"/>
        <v>0</v>
      </c>
      <c r="BR102" s="17">
        <f t="shared" si="66"/>
        <v>0</v>
      </c>
      <c r="BS102" s="17">
        <f t="shared" si="67"/>
        <v>0</v>
      </c>
      <c r="BT102" s="17">
        <f t="shared" si="68"/>
        <v>0</v>
      </c>
      <c r="BU102" s="17">
        <f t="shared" si="69"/>
        <v>0</v>
      </c>
      <c r="BV102" s="17">
        <f t="shared" si="70"/>
        <v>0</v>
      </c>
      <c r="BW102" s="17">
        <f t="shared" si="71"/>
        <v>0</v>
      </c>
      <c r="BX102" s="17">
        <f t="shared" si="72"/>
        <v>0</v>
      </c>
      <c r="BY102" s="17">
        <f t="shared" si="73"/>
        <v>0</v>
      </c>
      <c r="BZ102" s="17">
        <f t="shared" si="84"/>
        <v>0</v>
      </c>
      <c r="CA102" s="17">
        <f t="shared" si="85"/>
        <v>0</v>
      </c>
      <c r="CB102" s="17">
        <f t="shared" si="86"/>
        <v>0</v>
      </c>
      <c r="CC102" s="17">
        <f t="shared" si="87"/>
        <v>0</v>
      </c>
      <c r="CD102" s="17">
        <f t="shared" si="88"/>
        <v>0</v>
      </c>
      <c r="CE102" s="17">
        <f t="shared" si="89"/>
        <v>0</v>
      </c>
      <c r="CF102" s="17">
        <f t="shared" si="90"/>
        <v>0</v>
      </c>
      <c r="CG102" s="17">
        <f t="shared" si="91"/>
        <v>0</v>
      </c>
      <c r="CH102" s="17">
        <f t="shared" si="92"/>
        <v>0</v>
      </c>
      <c r="CI102" s="17">
        <f t="shared" si="93"/>
        <v>0</v>
      </c>
      <c r="CJ102" s="17">
        <f t="shared" si="94"/>
        <v>0</v>
      </c>
      <c r="CK102" s="17">
        <f t="shared" si="95"/>
        <v>0</v>
      </c>
      <c r="CL102" s="17">
        <f t="shared" si="96"/>
        <v>0</v>
      </c>
      <c r="CM102" s="14">
        <f t="shared" si="97"/>
        <v>0</v>
      </c>
      <c r="CN102" s="17">
        <f t="shared" si="98"/>
        <v>0</v>
      </c>
      <c r="CO102" s="14">
        <f t="shared" si="99"/>
        <v>0</v>
      </c>
      <c r="CP102" s="17">
        <f t="shared" si="100"/>
        <v>0</v>
      </c>
      <c r="CQ102" s="14">
        <f t="shared" si="74"/>
        <v>0</v>
      </c>
      <c r="CR102" s="14">
        <v>66</v>
      </c>
      <c r="CS102" s="14">
        <v>318</v>
      </c>
      <c r="CT102" s="14">
        <v>11</v>
      </c>
      <c r="CU102" s="14">
        <v>205</v>
      </c>
    </row>
    <row r="103" spans="1:99" x14ac:dyDescent="0.3">
      <c r="A103" s="14">
        <v>2014</v>
      </c>
      <c r="B103" s="14" t="s">
        <v>19</v>
      </c>
      <c r="C103" s="14" t="s">
        <v>20</v>
      </c>
      <c r="D103" s="15">
        <v>59339.9</v>
      </c>
      <c r="E103" s="15">
        <v>2095242.4999999993</v>
      </c>
      <c r="F103" s="15">
        <f t="shared" si="75"/>
        <v>35.309168030279785</v>
      </c>
      <c r="AB103" s="14">
        <f t="shared" si="76"/>
        <v>0</v>
      </c>
      <c r="AM103" s="14">
        <f t="shared" si="77"/>
        <v>0</v>
      </c>
      <c r="AQ103" s="14">
        <f t="shared" si="78"/>
        <v>0</v>
      </c>
      <c r="AT103" s="14">
        <f t="shared" si="79"/>
        <v>0</v>
      </c>
      <c r="AU103" s="16">
        <v>0</v>
      </c>
      <c r="AV103" s="16">
        <v>0</v>
      </c>
      <c r="AW103" s="16">
        <v>0</v>
      </c>
      <c r="AX103" s="16">
        <v>0</v>
      </c>
      <c r="AY103" s="18">
        <f t="shared" si="80"/>
        <v>0</v>
      </c>
      <c r="AZ103" s="17">
        <f t="shared" si="81"/>
        <v>0</v>
      </c>
      <c r="BA103" s="17">
        <f t="shared" si="82"/>
        <v>0</v>
      </c>
      <c r="BB103" s="17">
        <f t="shared" si="83"/>
        <v>0</v>
      </c>
      <c r="BC103" s="17">
        <f t="shared" si="51"/>
        <v>0</v>
      </c>
      <c r="BD103" s="17">
        <f t="shared" si="52"/>
        <v>0</v>
      </c>
      <c r="BE103" s="17">
        <f t="shared" si="53"/>
        <v>0</v>
      </c>
      <c r="BF103" s="17">
        <f t="shared" si="54"/>
        <v>0</v>
      </c>
      <c r="BG103" s="17">
        <f t="shared" si="55"/>
        <v>0</v>
      </c>
      <c r="BH103" s="17">
        <f t="shared" si="56"/>
        <v>0</v>
      </c>
      <c r="BI103" s="17">
        <f t="shared" si="57"/>
        <v>0</v>
      </c>
      <c r="BJ103" s="17">
        <f t="shared" si="58"/>
        <v>0</v>
      </c>
      <c r="BK103" s="17">
        <f t="shared" si="59"/>
        <v>0</v>
      </c>
      <c r="BL103" s="17">
        <f t="shared" si="60"/>
        <v>0</v>
      </c>
      <c r="BM103" s="17">
        <f t="shared" si="61"/>
        <v>0</v>
      </c>
      <c r="BN103" s="17">
        <f t="shared" si="62"/>
        <v>0</v>
      </c>
      <c r="BO103" s="17">
        <f t="shared" si="63"/>
        <v>0</v>
      </c>
      <c r="BP103" s="17">
        <f t="shared" si="64"/>
        <v>0</v>
      </c>
      <c r="BQ103" s="17">
        <f t="shared" si="65"/>
        <v>0</v>
      </c>
      <c r="BR103" s="17">
        <f t="shared" si="66"/>
        <v>0</v>
      </c>
      <c r="BS103" s="17">
        <f t="shared" si="67"/>
        <v>0</v>
      </c>
      <c r="BT103" s="17">
        <f t="shared" si="68"/>
        <v>0</v>
      </c>
      <c r="BU103" s="17">
        <f t="shared" si="69"/>
        <v>0</v>
      </c>
      <c r="BV103" s="17">
        <f t="shared" si="70"/>
        <v>0</v>
      </c>
      <c r="BW103" s="17">
        <f t="shared" si="71"/>
        <v>0</v>
      </c>
      <c r="BX103" s="17">
        <f t="shared" si="72"/>
        <v>0</v>
      </c>
      <c r="BY103" s="17">
        <f t="shared" si="73"/>
        <v>0</v>
      </c>
      <c r="BZ103" s="17">
        <f t="shared" si="84"/>
        <v>0</v>
      </c>
      <c r="CA103" s="17">
        <f t="shared" si="85"/>
        <v>0</v>
      </c>
      <c r="CB103" s="17">
        <f t="shared" si="86"/>
        <v>0</v>
      </c>
      <c r="CC103" s="17">
        <f t="shared" si="87"/>
        <v>0</v>
      </c>
      <c r="CD103" s="17">
        <f t="shared" si="88"/>
        <v>0</v>
      </c>
      <c r="CE103" s="17">
        <f t="shared" si="89"/>
        <v>0</v>
      </c>
      <c r="CF103" s="17">
        <f t="shared" si="90"/>
        <v>0</v>
      </c>
      <c r="CG103" s="17">
        <f t="shared" si="91"/>
        <v>0</v>
      </c>
      <c r="CH103" s="17">
        <f t="shared" si="92"/>
        <v>0</v>
      </c>
      <c r="CI103" s="17">
        <f t="shared" si="93"/>
        <v>0</v>
      </c>
      <c r="CJ103" s="17">
        <f t="shared" si="94"/>
        <v>0</v>
      </c>
      <c r="CK103" s="17">
        <f t="shared" si="95"/>
        <v>0</v>
      </c>
      <c r="CL103" s="17">
        <f t="shared" si="96"/>
        <v>0</v>
      </c>
      <c r="CM103" s="14">
        <f t="shared" si="97"/>
        <v>0</v>
      </c>
      <c r="CN103" s="17">
        <f t="shared" si="98"/>
        <v>0</v>
      </c>
      <c r="CO103" s="14">
        <f t="shared" si="99"/>
        <v>0</v>
      </c>
      <c r="CP103" s="17">
        <f t="shared" si="100"/>
        <v>0</v>
      </c>
      <c r="CQ103" s="14">
        <f t="shared" si="74"/>
        <v>0</v>
      </c>
      <c r="CR103" s="14">
        <v>117</v>
      </c>
      <c r="CS103" s="14">
        <v>76</v>
      </c>
      <c r="CT103" s="14">
        <v>0</v>
      </c>
      <c r="CU103" s="14">
        <v>0</v>
      </c>
    </row>
    <row r="104" spans="1:99" x14ac:dyDescent="0.3">
      <c r="A104" s="14">
        <v>2015</v>
      </c>
      <c r="B104" s="14" t="s">
        <v>19</v>
      </c>
      <c r="C104" s="14" t="s">
        <v>20</v>
      </c>
      <c r="D104" s="15">
        <v>59058.5</v>
      </c>
      <c r="E104" s="15">
        <v>2118520.5000000019</v>
      </c>
      <c r="F104" s="15">
        <f t="shared" si="75"/>
        <v>35.871559555356164</v>
      </c>
      <c r="AB104" s="14">
        <f t="shared" si="76"/>
        <v>0</v>
      </c>
      <c r="AM104" s="14">
        <f t="shared" si="77"/>
        <v>0</v>
      </c>
      <c r="AQ104" s="14">
        <f t="shared" si="78"/>
        <v>0</v>
      </c>
      <c r="AT104" s="14">
        <f t="shared" si="79"/>
        <v>0</v>
      </c>
      <c r="AU104" s="16">
        <v>0</v>
      </c>
      <c r="AV104" s="16">
        <v>0</v>
      </c>
      <c r="AW104" s="16">
        <v>0</v>
      </c>
      <c r="AX104" s="16">
        <v>0</v>
      </c>
      <c r="AY104" s="18">
        <f t="shared" si="80"/>
        <v>0</v>
      </c>
      <c r="AZ104" s="17">
        <f t="shared" si="81"/>
        <v>0</v>
      </c>
      <c r="BA104" s="17">
        <f t="shared" si="82"/>
        <v>0</v>
      </c>
      <c r="BB104" s="17">
        <f t="shared" si="83"/>
        <v>0</v>
      </c>
      <c r="BC104" s="17">
        <f t="shared" si="51"/>
        <v>0</v>
      </c>
      <c r="BD104" s="17">
        <f t="shared" si="52"/>
        <v>0</v>
      </c>
      <c r="BE104" s="17">
        <f t="shared" si="53"/>
        <v>0</v>
      </c>
      <c r="BF104" s="17">
        <f t="shared" si="54"/>
        <v>0</v>
      </c>
      <c r="BG104" s="17">
        <f t="shared" si="55"/>
        <v>0</v>
      </c>
      <c r="BH104" s="17">
        <f t="shared" si="56"/>
        <v>0</v>
      </c>
      <c r="BI104" s="17">
        <f t="shared" si="57"/>
        <v>0</v>
      </c>
      <c r="BJ104" s="17">
        <f t="shared" si="58"/>
        <v>0</v>
      </c>
      <c r="BK104" s="17">
        <f t="shared" si="59"/>
        <v>0</v>
      </c>
      <c r="BL104" s="17">
        <f t="shared" si="60"/>
        <v>0</v>
      </c>
      <c r="BM104" s="17">
        <f t="shared" si="61"/>
        <v>0</v>
      </c>
      <c r="BN104" s="17">
        <f t="shared" si="62"/>
        <v>0</v>
      </c>
      <c r="BO104" s="17">
        <f t="shared" si="63"/>
        <v>0</v>
      </c>
      <c r="BP104" s="17">
        <f t="shared" si="64"/>
        <v>0</v>
      </c>
      <c r="BQ104" s="17">
        <f t="shared" si="65"/>
        <v>0</v>
      </c>
      <c r="BR104" s="17">
        <f t="shared" si="66"/>
        <v>0</v>
      </c>
      <c r="BS104" s="17">
        <f t="shared" si="67"/>
        <v>0</v>
      </c>
      <c r="BT104" s="17">
        <f t="shared" si="68"/>
        <v>0</v>
      </c>
      <c r="BU104" s="17">
        <f t="shared" si="69"/>
        <v>0</v>
      </c>
      <c r="BV104" s="17">
        <f t="shared" si="70"/>
        <v>0</v>
      </c>
      <c r="BW104" s="17">
        <f t="shared" si="71"/>
        <v>0</v>
      </c>
      <c r="BX104" s="17">
        <f t="shared" si="72"/>
        <v>0</v>
      </c>
      <c r="BY104" s="17">
        <f t="shared" si="73"/>
        <v>0</v>
      </c>
      <c r="BZ104" s="17">
        <f t="shared" si="84"/>
        <v>0</v>
      </c>
      <c r="CA104" s="17">
        <f t="shared" si="85"/>
        <v>0</v>
      </c>
      <c r="CB104" s="17">
        <f t="shared" si="86"/>
        <v>0</v>
      </c>
      <c r="CC104" s="17">
        <f t="shared" si="87"/>
        <v>0</v>
      </c>
      <c r="CD104" s="17">
        <f t="shared" si="88"/>
        <v>0</v>
      </c>
      <c r="CE104" s="17">
        <f t="shared" si="89"/>
        <v>0</v>
      </c>
      <c r="CF104" s="17">
        <f t="shared" si="90"/>
        <v>0</v>
      </c>
      <c r="CG104" s="17">
        <f t="shared" si="91"/>
        <v>0</v>
      </c>
      <c r="CH104" s="17">
        <f t="shared" si="92"/>
        <v>0</v>
      </c>
      <c r="CI104" s="17">
        <f t="shared" si="93"/>
        <v>0</v>
      </c>
      <c r="CJ104" s="17">
        <f t="shared" si="94"/>
        <v>0</v>
      </c>
      <c r="CK104" s="17">
        <f t="shared" si="95"/>
        <v>0</v>
      </c>
      <c r="CL104" s="17">
        <f t="shared" si="96"/>
        <v>0</v>
      </c>
      <c r="CM104" s="14">
        <f t="shared" si="97"/>
        <v>0</v>
      </c>
      <c r="CN104" s="17">
        <f t="shared" si="98"/>
        <v>0</v>
      </c>
      <c r="CO104" s="14">
        <f t="shared" si="99"/>
        <v>0</v>
      </c>
      <c r="CP104" s="17">
        <f t="shared" si="100"/>
        <v>0</v>
      </c>
      <c r="CQ104" s="14">
        <f t="shared" si="74"/>
        <v>0</v>
      </c>
      <c r="CR104" s="14">
        <v>50</v>
      </c>
      <c r="CS104" s="14">
        <v>128</v>
      </c>
      <c r="CT104" s="14">
        <v>16</v>
      </c>
      <c r="CU104" s="14">
        <v>142</v>
      </c>
    </row>
    <row r="105" spans="1:99" x14ac:dyDescent="0.3">
      <c r="A105" s="14">
        <v>2016</v>
      </c>
      <c r="B105" s="14" t="s">
        <v>19</v>
      </c>
      <c r="C105" s="14" t="s">
        <v>20</v>
      </c>
      <c r="D105" s="15">
        <v>59260.7</v>
      </c>
      <c r="E105" s="15">
        <v>2143872.0000000023</v>
      </c>
      <c r="F105" s="15">
        <f t="shared" si="75"/>
        <v>36.176960447649158</v>
      </c>
      <c r="AB105" s="14">
        <f t="shared" si="76"/>
        <v>0</v>
      </c>
      <c r="AM105" s="14">
        <f t="shared" si="77"/>
        <v>0</v>
      </c>
      <c r="AQ105" s="14">
        <f t="shared" si="78"/>
        <v>0</v>
      </c>
      <c r="AT105" s="14">
        <f t="shared" si="79"/>
        <v>0</v>
      </c>
      <c r="AU105" s="16">
        <v>0</v>
      </c>
      <c r="AV105" s="16">
        <v>0</v>
      </c>
      <c r="AW105" s="16">
        <v>0</v>
      </c>
      <c r="AX105" s="16">
        <v>0</v>
      </c>
      <c r="AY105" s="18">
        <f t="shared" si="80"/>
        <v>0</v>
      </c>
      <c r="AZ105" s="17">
        <f t="shared" si="81"/>
        <v>0</v>
      </c>
      <c r="BA105" s="17">
        <f t="shared" si="82"/>
        <v>0</v>
      </c>
      <c r="BB105" s="17">
        <f t="shared" si="83"/>
        <v>0</v>
      </c>
      <c r="BC105" s="17">
        <f t="shared" si="51"/>
        <v>0</v>
      </c>
      <c r="BD105" s="17">
        <f t="shared" si="52"/>
        <v>0</v>
      </c>
      <c r="BE105" s="17">
        <f t="shared" si="53"/>
        <v>0</v>
      </c>
      <c r="BF105" s="17">
        <f t="shared" si="54"/>
        <v>0</v>
      </c>
      <c r="BG105" s="17">
        <f t="shared" si="55"/>
        <v>0</v>
      </c>
      <c r="BH105" s="17">
        <f t="shared" si="56"/>
        <v>0</v>
      </c>
      <c r="BI105" s="17">
        <f t="shared" si="57"/>
        <v>0</v>
      </c>
      <c r="BJ105" s="17">
        <f t="shared" si="58"/>
        <v>0</v>
      </c>
      <c r="BK105" s="17">
        <f t="shared" si="59"/>
        <v>0</v>
      </c>
      <c r="BL105" s="17">
        <f t="shared" si="60"/>
        <v>0</v>
      </c>
      <c r="BM105" s="17">
        <f t="shared" si="61"/>
        <v>0</v>
      </c>
      <c r="BN105" s="17">
        <f t="shared" si="62"/>
        <v>0</v>
      </c>
      <c r="BO105" s="17">
        <f t="shared" si="63"/>
        <v>0</v>
      </c>
      <c r="BP105" s="17">
        <f t="shared" si="64"/>
        <v>0</v>
      </c>
      <c r="BQ105" s="17">
        <f t="shared" si="65"/>
        <v>0</v>
      </c>
      <c r="BR105" s="17">
        <f t="shared" si="66"/>
        <v>0</v>
      </c>
      <c r="BS105" s="17">
        <f t="shared" si="67"/>
        <v>0</v>
      </c>
      <c r="BT105" s="17">
        <f t="shared" si="68"/>
        <v>0</v>
      </c>
      <c r="BU105" s="17">
        <f t="shared" si="69"/>
        <v>0</v>
      </c>
      <c r="BV105" s="17">
        <f t="shared" si="70"/>
        <v>0</v>
      </c>
      <c r="BW105" s="17">
        <f t="shared" si="71"/>
        <v>0</v>
      </c>
      <c r="BX105" s="17">
        <f t="shared" si="72"/>
        <v>0</v>
      </c>
      <c r="BY105" s="17">
        <f t="shared" si="73"/>
        <v>0</v>
      </c>
      <c r="BZ105" s="17">
        <f t="shared" si="84"/>
        <v>0</v>
      </c>
      <c r="CA105" s="17">
        <f t="shared" si="85"/>
        <v>0</v>
      </c>
      <c r="CB105" s="17">
        <f t="shared" si="86"/>
        <v>0</v>
      </c>
      <c r="CC105" s="17">
        <f t="shared" si="87"/>
        <v>0</v>
      </c>
      <c r="CD105" s="17">
        <f t="shared" si="88"/>
        <v>0</v>
      </c>
      <c r="CE105" s="17">
        <f t="shared" si="89"/>
        <v>0</v>
      </c>
      <c r="CF105" s="17">
        <f t="shared" si="90"/>
        <v>0</v>
      </c>
      <c r="CG105" s="17">
        <f t="shared" si="91"/>
        <v>0</v>
      </c>
      <c r="CH105" s="17">
        <f t="shared" si="92"/>
        <v>0</v>
      </c>
      <c r="CI105" s="17">
        <f t="shared" si="93"/>
        <v>0</v>
      </c>
      <c r="CJ105" s="17">
        <f t="shared" si="94"/>
        <v>0</v>
      </c>
      <c r="CK105" s="17">
        <f t="shared" si="95"/>
        <v>0</v>
      </c>
      <c r="CL105" s="17">
        <f t="shared" si="96"/>
        <v>0</v>
      </c>
      <c r="CM105" s="14">
        <f t="shared" si="97"/>
        <v>0</v>
      </c>
      <c r="CN105" s="17">
        <f t="shared" si="98"/>
        <v>0</v>
      </c>
      <c r="CO105" s="14">
        <f t="shared" si="99"/>
        <v>0</v>
      </c>
      <c r="CP105" s="17">
        <f t="shared" si="100"/>
        <v>0</v>
      </c>
      <c r="CQ105" s="14">
        <f t="shared" si="74"/>
        <v>0</v>
      </c>
      <c r="CR105" s="14">
        <v>0</v>
      </c>
      <c r="CS105" s="14">
        <v>0</v>
      </c>
      <c r="CT105" s="14">
        <v>0</v>
      </c>
      <c r="CU105" s="14">
        <v>0</v>
      </c>
    </row>
    <row r="106" spans="1:99" x14ac:dyDescent="0.3">
      <c r="A106" s="14">
        <v>2017</v>
      </c>
      <c r="B106" s="14" t="s">
        <v>19</v>
      </c>
      <c r="C106" s="14" t="s">
        <v>20</v>
      </c>
      <c r="D106" s="15">
        <v>59424.3</v>
      </c>
      <c r="E106" s="15">
        <v>2170616.9999999995</v>
      </c>
      <c r="F106" s="15">
        <f t="shared" si="75"/>
        <v>36.527430697542911</v>
      </c>
      <c r="AB106" s="14">
        <f t="shared" si="76"/>
        <v>0</v>
      </c>
      <c r="AM106" s="14">
        <f t="shared" si="77"/>
        <v>0</v>
      </c>
      <c r="AQ106" s="14">
        <f t="shared" si="78"/>
        <v>0</v>
      </c>
      <c r="AT106" s="14">
        <f t="shared" si="79"/>
        <v>0</v>
      </c>
      <c r="AU106" s="16">
        <v>0</v>
      </c>
      <c r="AV106" s="16">
        <v>0</v>
      </c>
      <c r="AW106" s="16">
        <v>0</v>
      </c>
      <c r="AX106" s="16">
        <v>0</v>
      </c>
      <c r="AY106" s="18">
        <f t="shared" si="80"/>
        <v>0</v>
      </c>
      <c r="AZ106" s="17">
        <f t="shared" si="81"/>
        <v>0</v>
      </c>
      <c r="BA106" s="17">
        <f t="shared" si="82"/>
        <v>0</v>
      </c>
      <c r="BB106" s="17">
        <f t="shared" si="83"/>
        <v>0</v>
      </c>
      <c r="BC106" s="17">
        <f t="shared" si="51"/>
        <v>0</v>
      </c>
      <c r="BD106" s="17">
        <f t="shared" si="52"/>
        <v>0</v>
      </c>
      <c r="BE106" s="17">
        <f t="shared" si="53"/>
        <v>0</v>
      </c>
      <c r="BF106" s="17">
        <f t="shared" si="54"/>
        <v>0</v>
      </c>
      <c r="BG106" s="17">
        <f t="shared" si="55"/>
        <v>0</v>
      </c>
      <c r="BH106" s="17">
        <f t="shared" si="56"/>
        <v>0</v>
      </c>
      <c r="BI106" s="17">
        <f t="shared" si="57"/>
        <v>0</v>
      </c>
      <c r="BJ106" s="17">
        <f t="shared" si="58"/>
        <v>0</v>
      </c>
      <c r="BK106" s="17">
        <f t="shared" si="59"/>
        <v>0</v>
      </c>
      <c r="BL106" s="17">
        <f t="shared" si="60"/>
        <v>0</v>
      </c>
      <c r="BM106" s="17">
        <f t="shared" si="61"/>
        <v>0</v>
      </c>
      <c r="BN106" s="17">
        <f t="shared" si="62"/>
        <v>0</v>
      </c>
      <c r="BO106" s="17">
        <f t="shared" si="63"/>
        <v>0</v>
      </c>
      <c r="BP106" s="17">
        <f t="shared" si="64"/>
        <v>0</v>
      </c>
      <c r="BQ106" s="17">
        <f t="shared" si="65"/>
        <v>0</v>
      </c>
      <c r="BR106" s="17">
        <f t="shared" si="66"/>
        <v>0</v>
      </c>
      <c r="BS106" s="17">
        <f t="shared" si="67"/>
        <v>0</v>
      </c>
      <c r="BT106" s="17">
        <f t="shared" si="68"/>
        <v>0</v>
      </c>
      <c r="BU106" s="17">
        <f t="shared" si="69"/>
        <v>0</v>
      </c>
      <c r="BV106" s="17">
        <f t="shared" si="70"/>
        <v>0</v>
      </c>
      <c r="BW106" s="17">
        <f t="shared" si="71"/>
        <v>0</v>
      </c>
      <c r="BX106" s="17">
        <f t="shared" si="72"/>
        <v>0</v>
      </c>
      <c r="BY106" s="17">
        <f t="shared" si="73"/>
        <v>0</v>
      </c>
      <c r="BZ106" s="17">
        <f t="shared" si="84"/>
        <v>0</v>
      </c>
      <c r="CA106" s="17">
        <f t="shared" si="85"/>
        <v>0</v>
      </c>
      <c r="CB106" s="17">
        <f t="shared" si="86"/>
        <v>0</v>
      </c>
      <c r="CC106" s="17">
        <f t="shared" si="87"/>
        <v>0</v>
      </c>
      <c r="CD106" s="17">
        <f t="shared" si="88"/>
        <v>0</v>
      </c>
      <c r="CE106" s="17">
        <f t="shared" si="89"/>
        <v>0</v>
      </c>
      <c r="CF106" s="17">
        <f t="shared" si="90"/>
        <v>0</v>
      </c>
      <c r="CG106" s="17">
        <f t="shared" si="91"/>
        <v>0</v>
      </c>
      <c r="CH106" s="17">
        <f t="shared" si="92"/>
        <v>0</v>
      </c>
      <c r="CI106" s="17">
        <f t="shared" si="93"/>
        <v>0</v>
      </c>
      <c r="CJ106" s="17">
        <f t="shared" si="94"/>
        <v>0</v>
      </c>
      <c r="CK106" s="17">
        <f t="shared" si="95"/>
        <v>0</v>
      </c>
      <c r="CL106" s="17">
        <f t="shared" si="96"/>
        <v>0</v>
      </c>
      <c r="CM106" s="14">
        <f t="shared" si="97"/>
        <v>0</v>
      </c>
      <c r="CN106" s="17">
        <f t="shared" si="98"/>
        <v>0</v>
      </c>
      <c r="CO106" s="14">
        <f t="shared" si="99"/>
        <v>0</v>
      </c>
      <c r="CP106" s="17">
        <f t="shared" si="100"/>
        <v>0</v>
      </c>
      <c r="CQ106" s="14">
        <f t="shared" si="74"/>
        <v>0</v>
      </c>
      <c r="CR106" s="14">
        <v>0</v>
      </c>
      <c r="CS106" s="14">
        <v>0</v>
      </c>
      <c r="CT106" s="14">
        <v>0</v>
      </c>
      <c r="CU106" s="14">
        <v>0</v>
      </c>
    </row>
    <row r="107" spans="1:99" x14ac:dyDescent="0.3">
      <c r="A107" s="14">
        <v>2018</v>
      </c>
      <c r="B107" s="14" t="s">
        <v>19</v>
      </c>
      <c r="C107" s="14" t="s">
        <v>20</v>
      </c>
      <c r="D107" s="15">
        <v>59244.9</v>
      </c>
      <c r="E107" s="15">
        <v>2198017</v>
      </c>
      <c r="F107" s="15">
        <f t="shared" si="75"/>
        <v>37.10052679639935</v>
      </c>
      <c r="G107" s="14">
        <v>159</v>
      </c>
      <c r="H107" s="14">
        <v>398</v>
      </c>
      <c r="M107" s="14">
        <v>14508</v>
      </c>
      <c r="Z107" s="14">
        <v>205</v>
      </c>
      <c r="AB107" s="14">
        <f t="shared" si="76"/>
        <v>0</v>
      </c>
      <c r="AM107" s="14">
        <f t="shared" si="77"/>
        <v>0</v>
      </c>
      <c r="AQ107" s="14">
        <f t="shared" si="78"/>
        <v>0</v>
      </c>
      <c r="AT107" s="14">
        <f t="shared" si="79"/>
        <v>0</v>
      </c>
      <c r="AU107" s="16">
        <v>1996</v>
      </c>
      <c r="AV107" s="16">
        <v>13732</v>
      </c>
      <c r="AW107" s="16">
        <v>0</v>
      </c>
      <c r="AX107" s="16">
        <v>0</v>
      </c>
      <c r="AY107" s="18">
        <f t="shared" si="80"/>
        <v>9.0809124770190586</v>
      </c>
      <c r="AZ107" s="17">
        <f t="shared" si="81"/>
        <v>62.474494055323504</v>
      </c>
      <c r="BA107" s="17">
        <f t="shared" si="82"/>
        <v>0</v>
      </c>
      <c r="BB107" s="17">
        <f t="shared" si="83"/>
        <v>0</v>
      </c>
      <c r="BC107" s="17">
        <f t="shared" si="51"/>
        <v>0.7233793005240633</v>
      </c>
      <c r="BD107" s="17">
        <f t="shared" si="52"/>
        <v>1.8107230289847622</v>
      </c>
      <c r="BE107" s="17">
        <f t="shared" si="53"/>
        <v>0</v>
      </c>
      <c r="BF107" s="17">
        <f t="shared" si="54"/>
        <v>0</v>
      </c>
      <c r="BG107" s="17">
        <f t="shared" si="55"/>
        <v>0</v>
      </c>
      <c r="BH107" s="17">
        <f t="shared" si="56"/>
        <v>0</v>
      </c>
      <c r="BI107" s="17">
        <f t="shared" si="57"/>
        <v>66.004949006308863</v>
      </c>
      <c r="BJ107" s="17">
        <f t="shared" si="58"/>
        <v>0</v>
      </c>
      <c r="BK107" s="17">
        <f t="shared" si="59"/>
        <v>0</v>
      </c>
      <c r="BL107" s="17">
        <f t="shared" si="60"/>
        <v>0</v>
      </c>
      <c r="BM107" s="17">
        <f t="shared" si="61"/>
        <v>0</v>
      </c>
      <c r="BN107" s="17">
        <f t="shared" si="62"/>
        <v>0</v>
      </c>
      <c r="BO107" s="17">
        <f t="shared" si="63"/>
        <v>0</v>
      </c>
      <c r="BP107" s="17">
        <f t="shared" si="64"/>
        <v>0</v>
      </c>
      <c r="BQ107" s="17">
        <f t="shared" si="65"/>
        <v>0</v>
      </c>
      <c r="BR107" s="17">
        <f t="shared" si="66"/>
        <v>0</v>
      </c>
      <c r="BS107" s="17">
        <f t="shared" si="67"/>
        <v>0</v>
      </c>
      <c r="BT107" s="17">
        <f t="shared" si="68"/>
        <v>0</v>
      </c>
      <c r="BU107" s="17">
        <f t="shared" si="69"/>
        <v>0</v>
      </c>
      <c r="BV107" s="17">
        <f t="shared" si="70"/>
        <v>0.93265884658762876</v>
      </c>
      <c r="BW107" s="17">
        <f t="shared" si="71"/>
        <v>0</v>
      </c>
      <c r="BX107" s="17">
        <f t="shared" si="72"/>
        <v>0</v>
      </c>
      <c r="BY107" s="17">
        <f t="shared" si="73"/>
        <v>0</v>
      </c>
      <c r="BZ107" s="17">
        <f t="shared" si="84"/>
        <v>0</v>
      </c>
      <c r="CA107" s="17">
        <f t="shared" si="85"/>
        <v>0</v>
      </c>
      <c r="CB107" s="17">
        <f t="shared" si="86"/>
        <v>0</v>
      </c>
      <c r="CC107" s="17">
        <f t="shared" si="87"/>
        <v>0</v>
      </c>
      <c r="CD107" s="17">
        <f t="shared" si="88"/>
        <v>0</v>
      </c>
      <c r="CE107" s="17">
        <f t="shared" si="89"/>
        <v>0</v>
      </c>
      <c r="CF107" s="17">
        <f t="shared" si="90"/>
        <v>0</v>
      </c>
      <c r="CG107" s="17">
        <f t="shared" si="91"/>
        <v>0</v>
      </c>
      <c r="CH107" s="17">
        <f t="shared" si="92"/>
        <v>0</v>
      </c>
      <c r="CI107" s="17">
        <f t="shared" si="93"/>
        <v>0</v>
      </c>
      <c r="CJ107" s="17">
        <f t="shared" si="94"/>
        <v>0</v>
      </c>
      <c r="CK107" s="17">
        <f t="shared" si="95"/>
        <v>0</v>
      </c>
      <c r="CL107" s="17">
        <f t="shared" si="96"/>
        <v>0</v>
      </c>
      <c r="CM107" s="14">
        <f t="shared" si="97"/>
        <v>13732</v>
      </c>
      <c r="CN107" s="17">
        <f t="shared" si="98"/>
        <v>62.474494055323504</v>
      </c>
      <c r="CO107" s="14">
        <f t="shared" si="99"/>
        <v>15728</v>
      </c>
      <c r="CP107" s="17">
        <f t="shared" si="100"/>
        <v>71.555406532342559</v>
      </c>
      <c r="CQ107" s="14">
        <f t="shared" si="74"/>
        <v>30998</v>
      </c>
      <c r="CR107" s="14">
        <v>0</v>
      </c>
      <c r="CS107" s="14">
        <v>0</v>
      </c>
      <c r="CT107" s="14">
        <v>0</v>
      </c>
      <c r="CU107" s="14">
        <v>0</v>
      </c>
    </row>
    <row r="108" spans="1:99" x14ac:dyDescent="0.3">
      <c r="A108" s="14">
        <v>2019</v>
      </c>
      <c r="B108" s="14" t="s">
        <v>19</v>
      </c>
      <c r="C108" s="14" t="s">
        <v>20</v>
      </c>
      <c r="D108" s="15">
        <v>59062.8</v>
      </c>
      <c r="E108" s="15">
        <v>2225701.4999999995</v>
      </c>
      <c r="F108" s="15">
        <f t="shared" si="75"/>
        <v>37.683643511651994</v>
      </c>
      <c r="G108" s="14">
        <v>37</v>
      </c>
      <c r="N108" s="14">
        <v>47</v>
      </c>
      <c r="O108" s="14">
        <v>6</v>
      </c>
      <c r="AB108" s="14">
        <f t="shared" si="76"/>
        <v>6</v>
      </c>
      <c r="AM108" s="14">
        <f t="shared" si="77"/>
        <v>0</v>
      </c>
      <c r="AQ108" s="14">
        <f t="shared" si="78"/>
        <v>0</v>
      </c>
      <c r="AT108" s="14">
        <f t="shared" si="79"/>
        <v>0</v>
      </c>
      <c r="AU108" s="16">
        <v>0</v>
      </c>
      <c r="AV108" s="16">
        <v>0</v>
      </c>
      <c r="AW108" s="16">
        <v>0</v>
      </c>
      <c r="AX108" s="16">
        <v>0</v>
      </c>
      <c r="AY108" s="18">
        <f t="shared" si="80"/>
        <v>0</v>
      </c>
      <c r="AZ108" s="17">
        <f t="shared" si="81"/>
        <v>0</v>
      </c>
      <c r="BA108" s="17">
        <f t="shared" si="82"/>
        <v>0</v>
      </c>
      <c r="BB108" s="17">
        <f t="shared" si="83"/>
        <v>0</v>
      </c>
      <c r="BC108" s="17">
        <f t="shared" si="51"/>
        <v>0.1662397226222834</v>
      </c>
      <c r="BD108" s="17">
        <f t="shared" si="52"/>
        <v>0</v>
      </c>
      <c r="BE108" s="17">
        <f t="shared" si="53"/>
        <v>0</v>
      </c>
      <c r="BF108" s="17">
        <f t="shared" si="54"/>
        <v>0</v>
      </c>
      <c r="BG108" s="17">
        <f t="shared" si="55"/>
        <v>0</v>
      </c>
      <c r="BH108" s="17">
        <f t="shared" si="56"/>
        <v>0</v>
      </c>
      <c r="BI108" s="17">
        <f t="shared" si="57"/>
        <v>0</v>
      </c>
      <c r="BJ108" s="17">
        <f t="shared" si="58"/>
        <v>0.2111693773850627</v>
      </c>
      <c r="BK108" s="17">
        <f t="shared" si="59"/>
        <v>2.6957792857667577E-2</v>
      </c>
      <c r="BL108" s="17">
        <f t="shared" si="60"/>
        <v>0</v>
      </c>
      <c r="BM108" s="17">
        <f t="shared" si="61"/>
        <v>0</v>
      </c>
      <c r="BN108" s="17">
        <f t="shared" si="62"/>
        <v>0</v>
      </c>
      <c r="BO108" s="17">
        <f t="shared" si="63"/>
        <v>0</v>
      </c>
      <c r="BP108" s="17">
        <f t="shared" si="64"/>
        <v>0</v>
      </c>
      <c r="BQ108" s="17">
        <f t="shared" si="65"/>
        <v>0</v>
      </c>
      <c r="BR108" s="17">
        <f t="shared" si="66"/>
        <v>0</v>
      </c>
      <c r="BS108" s="17">
        <f t="shared" si="67"/>
        <v>0</v>
      </c>
      <c r="BT108" s="17">
        <f t="shared" si="68"/>
        <v>0</v>
      </c>
      <c r="BU108" s="17">
        <f t="shared" si="69"/>
        <v>0</v>
      </c>
      <c r="BV108" s="17">
        <f t="shared" si="70"/>
        <v>0</v>
      </c>
      <c r="BW108" s="17">
        <f t="shared" si="71"/>
        <v>0</v>
      </c>
      <c r="BX108" s="17">
        <f t="shared" si="72"/>
        <v>0</v>
      </c>
      <c r="BY108" s="17">
        <f t="shared" si="73"/>
        <v>0</v>
      </c>
      <c r="BZ108" s="17">
        <f t="shared" si="84"/>
        <v>0</v>
      </c>
      <c r="CA108" s="17">
        <f t="shared" si="85"/>
        <v>0</v>
      </c>
      <c r="CB108" s="17">
        <f t="shared" si="86"/>
        <v>0</v>
      </c>
      <c r="CC108" s="17">
        <f t="shared" si="87"/>
        <v>0</v>
      </c>
      <c r="CD108" s="17">
        <f t="shared" si="88"/>
        <v>0</v>
      </c>
      <c r="CE108" s="17">
        <f t="shared" si="89"/>
        <v>0</v>
      </c>
      <c r="CF108" s="17">
        <f t="shared" si="90"/>
        <v>0</v>
      </c>
      <c r="CG108" s="17">
        <f t="shared" si="91"/>
        <v>0</v>
      </c>
      <c r="CH108" s="17">
        <f t="shared" si="92"/>
        <v>0</v>
      </c>
      <c r="CI108" s="17">
        <f t="shared" si="93"/>
        <v>0</v>
      </c>
      <c r="CJ108" s="17">
        <f t="shared" si="94"/>
        <v>0</v>
      </c>
      <c r="CK108" s="17">
        <f t="shared" si="95"/>
        <v>0</v>
      </c>
      <c r="CL108" s="17">
        <f t="shared" si="96"/>
        <v>0</v>
      </c>
      <c r="CM108" s="14">
        <f t="shared" si="97"/>
        <v>0</v>
      </c>
      <c r="CN108" s="17">
        <f t="shared" si="98"/>
        <v>0</v>
      </c>
      <c r="CO108" s="14">
        <f t="shared" si="99"/>
        <v>0</v>
      </c>
      <c r="CP108" s="17">
        <f t="shared" si="100"/>
        <v>0</v>
      </c>
      <c r="CQ108" s="14">
        <f t="shared" si="74"/>
        <v>96</v>
      </c>
      <c r="CR108" s="14">
        <v>0</v>
      </c>
      <c r="CS108" s="14">
        <v>0</v>
      </c>
      <c r="CT108" s="14">
        <v>0</v>
      </c>
      <c r="CU108" s="14">
        <v>0</v>
      </c>
    </row>
    <row r="109" spans="1:99" x14ac:dyDescent="0.3">
      <c r="A109" s="14">
        <v>2020</v>
      </c>
      <c r="B109" s="14" t="s">
        <v>19</v>
      </c>
      <c r="C109" s="14" t="s">
        <v>20</v>
      </c>
      <c r="D109" s="15">
        <v>58877.4</v>
      </c>
      <c r="E109" s="15">
        <v>2254100.0000000005</v>
      </c>
      <c r="F109" s="15">
        <f t="shared" si="75"/>
        <v>38.284638927670045</v>
      </c>
      <c r="AB109" s="14">
        <f t="shared" si="76"/>
        <v>0</v>
      </c>
      <c r="AM109" s="14">
        <f t="shared" si="77"/>
        <v>0</v>
      </c>
      <c r="AQ109" s="14">
        <f t="shared" si="78"/>
        <v>0</v>
      </c>
      <c r="AT109" s="14">
        <f t="shared" si="79"/>
        <v>0</v>
      </c>
      <c r="AU109" s="16">
        <v>0</v>
      </c>
      <c r="AV109" s="16">
        <v>0</v>
      </c>
      <c r="AW109" s="16">
        <v>0</v>
      </c>
      <c r="AX109" s="16">
        <v>0</v>
      </c>
      <c r="AY109" s="18">
        <f t="shared" si="80"/>
        <v>0</v>
      </c>
      <c r="AZ109" s="17">
        <f t="shared" si="81"/>
        <v>0</v>
      </c>
      <c r="BA109" s="17">
        <f t="shared" si="82"/>
        <v>0</v>
      </c>
      <c r="BB109" s="17">
        <f t="shared" si="83"/>
        <v>0</v>
      </c>
      <c r="BC109" s="17">
        <f t="shared" si="51"/>
        <v>0</v>
      </c>
      <c r="BD109" s="17">
        <f t="shared" si="52"/>
        <v>0</v>
      </c>
      <c r="BE109" s="17">
        <f t="shared" si="53"/>
        <v>0</v>
      </c>
      <c r="BF109" s="17">
        <f t="shared" si="54"/>
        <v>0</v>
      </c>
      <c r="BG109" s="17">
        <f t="shared" si="55"/>
        <v>0</v>
      </c>
      <c r="BH109" s="17">
        <f t="shared" si="56"/>
        <v>0</v>
      </c>
      <c r="BI109" s="17">
        <f t="shared" si="57"/>
        <v>0</v>
      </c>
      <c r="BJ109" s="17">
        <f t="shared" si="58"/>
        <v>0</v>
      </c>
      <c r="BK109" s="17">
        <f t="shared" si="59"/>
        <v>0</v>
      </c>
      <c r="BL109" s="17">
        <f t="shared" si="60"/>
        <v>0</v>
      </c>
      <c r="BM109" s="17">
        <f t="shared" si="61"/>
        <v>0</v>
      </c>
      <c r="BN109" s="17">
        <f t="shared" si="62"/>
        <v>0</v>
      </c>
      <c r="BO109" s="17">
        <f t="shared" si="63"/>
        <v>0</v>
      </c>
      <c r="BP109" s="17">
        <f t="shared" si="64"/>
        <v>0</v>
      </c>
      <c r="BQ109" s="17">
        <f t="shared" si="65"/>
        <v>0</v>
      </c>
      <c r="BR109" s="17">
        <f t="shared" si="66"/>
        <v>0</v>
      </c>
      <c r="BS109" s="17">
        <f t="shared" si="67"/>
        <v>0</v>
      </c>
      <c r="BT109" s="17">
        <f t="shared" si="68"/>
        <v>0</v>
      </c>
      <c r="BU109" s="17">
        <f t="shared" si="69"/>
        <v>0</v>
      </c>
      <c r="BV109" s="17">
        <f t="shared" si="70"/>
        <v>0</v>
      </c>
      <c r="BW109" s="17">
        <f t="shared" si="71"/>
        <v>0</v>
      </c>
      <c r="BX109" s="17">
        <f t="shared" si="72"/>
        <v>0</v>
      </c>
      <c r="BY109" s="17">
        <f t="shared" si="73"/>
        <v>0</v>
      </c>
      <c r="BZ109" s="17">
        <f t="shared" si="84"/>
        <v>0</v>
      </c>
      <c r="CA109" s="17">
        <f t="shared" si="85"/>
        <v>0</v>
      </c>
      <c r="CB109" s="17">
        <f t="shared" si="86"/>
        <v>0</v>
      </c>
      <c r="CC109" s="17">
        <f t="shared" si="87"/>
        <v>0</v>
      </c>
      <c r="CD109" s="17">
        <f t="shared" si="88"/>
        <v>0</v>
      </c>
      <c r="CE109" s="17">
        <f t="shared" si="89"/>
        <v>0</v>
      </c>
      <c r="CF109" s="17">
        <f t="shared" si="90"/>
        <v>0</v>
      </c>
      <c r="CG109" s="17">
        <f t="shared" si="91"/>
        <v>0</v>
      </c>
      <c r="CH109" s="17">
        <f t="shared" si="92"/>
        <v>0</v>
      </c>
      <c r="CI109" s="17">
        <f t="shared" si="93"/>
        <v>0</v>
      </c>
      <c r="CJ109" s="17">
        <f t="shared" si="94"/>
        <v>0</v>
      </c>
      <c r="CK109" s="17">
        <f t="shared" si="95"/>
        <v>0</v>
      </c>
      <c r="CL109" s="17">
        <f t="shared" si="96"/>
        <v>0</v>
      </c>
      <c r="CM109" s="14">
        <f t="shared" si="97"/>
        <v>0</v>
      </c>
      <c r="CN109" s="17">
        <f t="shared" si="98"/>
        <v>0</v>
      </c>
      <c r="CO109" s="14">
        <f t="shared" si="99"/>
        <v>0</v>
      </c>
      <c r="CP109" s="17">
        <f t="shared" si="100"/>
        <v>0</v>
      </c>
      <c r="CQ109" s="14">
        <f t="shared" si="74"/>
        <v>0</v>
      </c>
      <c r="CR109" s="14">
        <v>117</v>
      </c>
      <c r="CS109" s="14">
        <v>580</v>
      </c>
      <c r="CT109" s="14">
        <v>43</v>
      </c>
      <c r="CU109" s="14">
        <v>0</v>
      </c>
    </row>
    <row r="110" spans="1:99" x14ac:dyDescent="0.3">
      <c r="A110" s="14">
        <v>2021</v>
      </c>
      <c r="B110" s="14" t="s">
        <v>19</v>
      </c>
      <c r="C110" s="14" t="s">
        <v>20</v>
      </c>
      <c r="D110" s="15">
        <v>58852.800000000003</v>
      </c>
      <c r="E110" s="15">
        <v>2281454.5000000014</v>
      </c>
      <c r="F110" s="15">
        <f t="shared" si="75"/>
        <v>38.765436818639067</v>
      </c>
      <c r="AB110" s="14">
        <f t="shared" si="76"/>
        <v>0</v>
      </c>
      <c r="AM110" s="14">
        <f t="shared" si="77"/>
        <v>0</v>
      </c>
      <c r="AQ110" s="14">
        <f t="shared" si="78"/>
        <v>0</v>
      </c>
      <c r="AT110" s="14">
        <f t="shared" si="79"/>
        <v>0</v>
      </c>
      <c r="AU110" s="16">
        <v>0</v>
      </c>
      <c r="AV110" s="16">
        <v>0</v>
      </c>
      <c r="AW110" s="16">
        <v>0</v>
      </c>
      <c r="AX110" s="16">
        <v>0</v>
      </c>
      <c r="AY110" s="18">
        <f t="shared" si="80"/>
        <v>0</v>
      </c>
      <c r="AZ110" s="17">
        <f t="shared" si="81"/>
        <v>0</v>
      </c>
      <c r="BA110" s="17">
        <f t="shared" si="82"/>
        <v>0</v>
      </c>
      <c r="BB110" s="17">
        <f t="shared" si="83"/>
        <v>0</v>
      </c>
      <c r="BC110" s="17">
        <f t="shared" si="51"/>
        <v>0</v>
      </c>
      <c r="BD110" s="17">
        <f t="shared" si="52"/>
        <v>0</v>
      </c>
      <c r="BE110" s="17">
        <f t="shared" si="53"/>
        <v>0</v>
      </c>
      <c r="BF110" s="17">
        <f t="shared" si="54"/>
        <v>0</v>
      </c>
      <c r="BG110" s="17">
        <f t="shared" si="55"/>
        <v>0</v>
      </c>
      <c r="BH110" s="17">
        <f t="shared" si="56"/>
        <v>0</v>
      </c>
      <c r="BI110" s="17">
        <f t="shared" si="57"/>
        <v>0</v>
      </c>
      <c r="BJ110" s="17">
        <f t="shared" si="58"/>
        <v>0</v>
      </c>
      <c r="BK110" s="17">
        <f t="shared" si="59"/>
        <v>0</v>
      </c>
      <c r="BL110" s="17">
        <f t="shared" si="60"/>
        <v>0</v>
      </c>
      <c r="BM110" s="17">
        <f t="shared" si="61"/>
        <v>0</v>
      </c>
      <c r="BN110" s="17">
        <f t="shared" si="62"/>
        <v>0</v>
      </c>
      <c r="BO110" s="17">
        <f t="shared" si="63"/>
        <v>0</v>
      </c>
      <c r="BP110" s="17">
        <f t="shared" si="64"/>
        <v>0</v>
      </c>
      <c r="BQ110" s="17">
        <f t="shared" si="65"/>
        <v>0</v>
      </c>
      <c r="BR110" s="17">
        <f t="shared" si="66"/>
        <v>0</v>
      </c>
      <c r="BS110" s="17">
        <f t="shared" si="67"/>
        <v>0</v>
      </c>
      <c r="BT110" s="17">
        <f t="shared" si="68"/>
        <v>0</v>
      </c>
      <c r="BU110" s="17">
        <f t="shared" si="69"/>
        <v>0</v>
      </c>
      <c r="BV110" s="17">
        <f t="shared" si="70"/>
        <v>0</v>
      </c>
      <c r="BW110" s="17">
        <f t="shared" si="71"/>
        <v>0</v>
      </c>
      <c r="BX110" s="17">
        <f t="shared" si="72"/>
        <v>0</v>
      </c>
      <c r="BY110" s="17">
        <f t="shared" si="73"/>
        <v>0</v>
      </c>
      <c r="BZ110" s="17">
        <f t="shared" si="84"/>
        <v>0</v>
      </c>
      <c r="CA110" s="17">
        <f t="shared" si="85"/>
        <v>0</v>
      </c>
      <c r="CB110" s="17">
        <f t="shared" si="86"/>
        <v>0</v>
      </c>
      <c r="CC110" s="17">
        <f t="shared" si="87"/>
        <v>0</v>
      </c>
      <c r="CD110" s="17">
        <f t="shared" si="88"/>
        <v>0</v>
      </c>
      <c r="CE110" s="17">
        <f t="shared" si="89"/>
        <v>0</v>
      </c>
      <c r="CF110" s="17">
        <f t="shared" si="90"/>
        <v>0</v>
      </c>
      <c r="CG110" s="17">
        <f t="shared" si="91"/>
        <v>0</v>
      </c>
      <c r="CH110" s="17">
        <f t="shared" si="92"/>
        <v>0</v>
      </c>
      <c r="CI110" s="17">
        <f t="shared" si="93"/>
        <v>0</v>
      </c>
      <c r="CJ110" s="17">
        <f t="shared" si="94"/>
        <v>0</v>
      </c>
      <c r="CK110" s="17">
        <f t="shared" si="95"/>
        <v>0</v>
      </c>
      <c r="CL110" s="17">
        <f t="shared" si="96"/>
        <v>0</v>
      </c>
      <c r="CM110" s="14">
        <f t="shared" si="97"/>
        <v>0</v>
      </c>
      <c r="CN110" s="17">
        <f t="shared" si="98"/>
        <v>0</v>
      </c>
      <c r="CO110" s="14">
        <f t="shared" si="99"/>
        <v>0</v>
      </c>
      <c r="CP110" s="17">
        <f t="shared" si="100"/>
        <v>0</v>
      </c>
      <c r="CQ110" s="14">
        <f t="shared" si="74"/>
        <v>0</v>
      </c>
      <c r="CR110" s="14">
        <v>0</v>
      </c>
      <c r="CS110" s="14">
        <v>0</v>
      </c>
      <c r="CT110" s="14">
        <v>0</v>
      </c>
      <c r="CU110" s="14">
        <v>0</v>
      </c>
    </row>
    <row r="111" spans="1:99" x14ac:dyDescent="0.3">
      <c r="A111" s="14">
        <v>2022</v>
      </c>
      <c r="B111" s="14" t="s">
        <v>19</v>
      </c>
      <c r="C111" s="14" t="s">
        <v>20</v>
      </c>
      <c r="D111" s="15">
        <v>58859.199999999997</v>
      </c>
      <c r="E111" s="15">
        <v>2305825.5000000019</v>
      </c>
      <c r="F111" s="15">
        <f t="shared" si="75"/>
        <v>39.175277611656327</v>
      </c>
      <c r="G111" s="14">
        <v>31</v>
      </c>
      <c r="H111" s="14">
        <v>201</v>
      </c>
      <c r="I111" s="14">
        <v>343</v>
      </c>
      <c r="J111" s="14">
        <v>0</v>
      </c>
      <c r="K111" s="14">
        <v>0</v>
      </c>
      <c r="L111" s="14">
        <v>1</v>
      </c>
      <c r="M111" s="14">
        <v>9196</v>
      </c>
      <c r="N111" s="14">
        <v>49</v>
      </c>
      <c r="O111" s="14">
        <v>5</v>
      </c>
      <c r="P111" s="14">
        <v>15</v>
      </c>
      <c r="Q111" s="14">
        <v>0</v>
      </c>
      <c r="R111" s="14">
        <v>4</v>
      </c>
      <c r="S111" s="14">
        <v>0</v>
      </c>
      <c r="T111" s="14">
        <v>31</v>
      </c>
      <c r="U111" s="14">
        <v>3</v>
      </c>
      <c r="V111" s="14">
        <v>76</v>
      </c>
      <c r="W111" s="14">
        <v>33</v>
      </c>
      <c r="X111" s="14">
        <v>5</v>
      </c>
      <c r="Y111" s="14">
        <v>28</v>
      </c>
      <c r="Z111" s="14">
        <v>0</v>
      </c>
      <c r="AA111" s="14">
        <v>0</v>
      </c>
      <c r="AB111" s="14">
        <f t="shared" si="76"/>
        <v>5</v>
      </c>
      <c r="AC111" s="14">
        <v>0</v>
      </c>
      <c r="AD111" s="14">
        <v>0</v>
      </c>
      <c r="AE111" s="14">
        <v>0</v>
      </c>
      <c r="AF111" s="14">
        <v>3</v>
      </c>
      <c r="AG111" s="14">
        <v>620</v>
      </c>
      <c r="AH111" s="14">
        <v>0</v>
      </c>
      <c r="AI111" s="14">
        <v>2</v>
      </c>
      <c r="AJ111" s="14">
        <v>31</v>
      </c>
      <c r="AK111" s="14">
        <v>5</v>
      </c>
      <c r="AL111" s="14">
        <v>2</v>
      </c>
      <c r="AM111" s="14">
        <f t="shared" si="77"/>
        <v>7</v>
      </c>
      <c r="AN111" s="14">
        <v>0</v>
      </c>
      <c r="AO111" s="14">
        <v>0</v>
      </c>
      <c r="AP111" s="14">
        <v>0</v>
      </c>
      <c r="AQ111" s="14">
        <f t="shared" si="78"/>
        <v>0</v>
      </c>
      <c r="AR111" s="14">
        <v>0</v>
      </c>
      <c r="AS111" s="14">
        <v>0</v>
      </c>
      <c r="AT111" s="14">
        <f t="shared" si="79"/>
        <v>0</v>
      </c>
      <c r="AU111" s="16">
        <v>748</v>
      </c>
      <c r="AV111" s="16">
        <v>0</v>
      </c>
      <c r="AW111" s="16">
        <v>0</v>
      </c>
      <c r="AX111" s="16">
        <v>0</v>
      </c>
      <c r="AY111" s="18">
        <f t="shared" si="80"/>
        <v>3.2439575327794725</v>
      </c>
      <c r="AZ111" s="17">
        <f t="shared" si="81"/>
        <v>0</v>
      </c>
      <c r="BA111" s="17">
        <f t="shared" si="82"/>
        <v>0</v>
      </c>
      <c r="BB111" s="17">
        <f t="shared" si="83"/>
        <v>0</v>
      </c>
      <c r="BC111" s="17">
        <f t="shared" si="51"/>
        <v>0.13444209026225087</v>
      </c>
      <c r="BD111" s="17">
        <f t="shared" si="52"/>
        <v>0.8717051658939492</v>
      </c>
      <c r="BE111" s="17">
        <f t="shared" si="53"/>
        <v>1.4875366761274855</v>
      </c>
      <c r="BF111" s="17">
        <f t="shared" si="54"/>
        <v>0</v>
      </c>
      <c r="BG111" s="17">
        <f t="shared" si="55"/>
        <v>0</v>
      </c>
      <c r="BH111" s="17">
        <f t="shared" si="56"/>
        <v>4.3368416213629317E-3</v>
      </c>
      <c r="BI111" s="17">
        <f t="shared" si="57"/>
        <v>39.881595550053518</v>
      </c>
      <c r="BJ111" s="17">
        <f t="shared" si="58"/>
        <v>0.21250523944678365</v>
      </c>
      <c r="BK111" s="17">
        <f t="shared" si="59"/>
        <v>2.1684208106814658E-2</v>
      </c>
      <c r="BL111" s="17">
        <f t="shared" si="60"/>
        <v>6.5052624320443966E-2</v>
      </c>
      <c r="BM111" s="17">
        <f t="shared" si="61"/>
        <v>0</v>
      </c>
      <c r="BN111" s="17">
        <f t="shared" si="62"/>
        <v>1.7347366485451727E-2</v>
      </c>
      <c r="BO111" s="17">
        <f t="shared" si="63"/>
        <v>0</v>
      </c>
      <c r="BP111" s="17">
        <f t="shared" si="64"/>
        <v>0.13444209026225087</v>
      </c>
      <c r="BQ111" s="17">
        <f t="shared" si="65"/>
        <v>1.3010524864088794E-2</v>
      </c>
      <c r="BR111" s="17">
        <f t="shared" si="66"/>
        <v>0.32959996322358276</v>
      </c>
      <c r="BS111" s="17">
        <f t="shared" si="67"/>
        <v>0.14311577350497673</v>
      </c>
      <c r="BT111" s="17">
        <f t="shared" si="68"/>
        <v>2.1684208106814658E-2</v>
      </c>
      <c r="BU111" s="17">
        <f t="shared" si="69"/>
        <v>0.12143156539816208</v>
      </c>
      <c r="BV111" s="17">
        <f t="shared" si="70"/>
        <v>0</v>
      </c>
      <c r="BW111" s="17">
        <f t="shared" si="71"/>
        <v>0</v>
      </c>
      <c r="BX111" s="17">
        <f t="shared" si="72"/>
        <v>0</v>
      </c>
      <c r="BY111" s="17">
        <f t="shared" si="73"/>
        <v>0</v>
      </c>
      <c r="BZ111" s="17">
        <f t="shared" si="84"/>
        <v>0</v>
      </c>
      <c r="CA111" s="17">
        <f t="shared" si="85"/>
        <v>1.3010524864088794E-2</v>
      </c>
      <c r="CB111" s="17">
        <f t="shared" si="86"/>
        <v>2.6888418052450174</v>
      </c>
      <c r="CC111" s="17">
        <f t="shared" si="87"/>
        <v>0</v>
      </c>
      <c r="CD111" s="17">
        <f t="shared" si="88"/>
        <v>8.6736832427258635E-3</v>
      </c>
      <c r="CE111" s="17">
        <f t="shared" si="89"/>
        <v>0.13444209026225087</v>
      </c>
      <c r="CF111" s="17">
        <f t="shared" si="90"/>
        <v>2.1684208106814658E-2</v>
      </c>
      <c r="CG111" s="17">
        <f t="shared" si="91"/>
        <v>8.6736832427258635E-3</v>
      </c>
      <c r="CH111" s="17">
        <f t="shared" si="92"/>
        <v>0</v>
      </c>
      <c r="CI111" s="17">
        <f t="shared" si="93"/>
        <v>0</v>
      </c>
      <c r="CJ111" s="17">
        <f t="shared" si="94"/>
        <v>0</v>
      </c>
      <c r="CK111" s="17">
        <f t="shared" si="95"/>
        <v>0</v>
      </c>
      <c r="CL111" s="17">
        <f t="shared" si="96"/>
        <v>0</v>
      </c>
      <c r="CM111" s="14">
        <f t="shared" si="97"/>
        <v>0</v>
      </c>
      <c r="CN111" s="17">
        <f t="shared" si="98"/>
        <v>0</v>
      </c>
      <c r="CO111" s="14">
        <f t="shared" si="99"/>
        <v>748</v>
      </c>
      <c r="CP111" s="17">
        <f t="shared" si="100"/>
        <v>3.2439575327794725</v>
      </c>
      <c r="CQ111" s="14">
        <f t="shared" si="74"/>
        <v>11444</v>
      </c>
      <c r="CR111" s="14">
        <v>0</v>
      </c>
      <c r="CS111" s="14">
        <v>0</v>
      </c>
      <c r="CT111" s="14">
        <v>0</v>
      </c>
      <c r="CU111" s="14">
        <v>0</v>
      </c>
    </row>
    <row r="112" spans="1:99" x14ac:dyDescent="0.3">
      <c r="A112" s="14">
        <v>2012</v>
      </c>
      <c r="B112" s="14" t="s">
        <v>21</v>
      </c>
      <c r="C112" s="14" t="s">
        <v>22</v>
      </c>
      <c r="D112" s="15">
        <v>944686.2</v>
      </c>
      <c r="E112" s="15">
        <v>37260562.50000003</v>
      </c>
      <c r="F112" s="15">
        <f t="shared" si="75"/>
        <v>39.442264002586292</v>
      </c>
      <c r="AB112" s="14">
        <f t="shared" si="76"/>
        <v>0</v>
      </c>
      <c r="AM112" s="14">
        <f t="shared" si="77"/>
        <v>0</v>
      </c>
      <c r="AQ112" s="14">
        <f t="shared" si="78"/>
        <v>0</v>
      </c>
      <c r="AT112" s="14">
        <f t="shared" si="79"/>
        <v>0</v>
      </c>
      <c r="AU112" s="16">
        <v>0</v>
      </c>
      <c r="AV112" s="16">
        <v>0</v>
      </c>
      <c r="AW112" s="16">
        <v>0</v>
      </c>
      <c r="AX112" s="16">
        <v>0</v>
      </c>
      <c r="AY112" s="18">
        <f t="shared" si="80"/>
        <v>0</v>
      </c>
      <c r="AZ112" s="17">
        <f t="shared" si="81"/>
        <v>0</v>
      </c>
      <c r="BA112" s="17">
        <f t="shared" si="82"/>
        <v>0</v>
      </c>
      <c r="BB112" s="17">
        <f t="shared" si="83"/>
        <v>0</v>
      </c>
      <c r="BC112" s="17">
        <f t="shared" si="51"/>
        <v>0</v>
      </c>
      <c r="BD112" s="17">
        <f t="shared" si="52"/>
        <v>0</v>
      </c>
      <c r="BE112" s="17">
        <f t="shared" si="53"/>
        <v>0</v>
      </c>
      <c r="BF112" s="17">
        <f t="shared" si="54"/>
        <v>0</v>
      </c>
      <c r="BG112" s="17">
        <f t="shared" si="55"/>
        <v>0</v>
      </c>
      <c r="BH112" s="17">
        <f t="shared" si="56"/>
        <v>0</v>
      </c>
      <c r="BI112" s="17">
        <f t="shared" si="57"/>
        <v>0</v>
      </c>
      <c r="BJ112" s="17">
        <f t="shared" si="58"/>
        <v>0</v>
      </c>
      <c r="BK112" s="17">
        <f t="shared" si="59"/>
        <v>0</v>
      </c>
      <c r="BL112" s="17">
        <f t="shared" si="60"/>
        <v>0</v>
      </c>
      <c r="BM112" s="17">
        <f t="shared" si="61"/>
        <v>0</v>
      </c>
      <c r="BN112" s="17">
        <f t="shared" si="62"/>
        <v>0</v>
      </c>
      <c r="BO112" s="17">
        <f t="shared" si="63"/>
        <v>0</v>
      </c>
      <c r="BP112" s="17">
        <f t="shared" si="64"/>
        <v>0</v>
      </c>
      <c r="BQ112" s="17">
        <f t="shared" si="65"/>
        <v>0</v>
      </c>
      <c r="BR112" s="17">
        <f t="shared" si="66"/>
        <v>0</v>
      </c>
      <c r="BS112" s="17">
        <f t="shared" si="67"/>
        <v>0</v>
      </c>
      <c r="BT112" s="17">
        <f t="shared" si="68"/>
        <v>0</v>
      </c>
      <c r="BU112" s="17">
        <f t="shared" si="69"/>
        <v>0</v>
      </c>
      <c r="BV112" s="17">
        <f t="shared" si="70"/>
        <v>0</v>
      </c>
      <c r="BW112" s="17">
        <f t="shared" si="71"/>
        <v>0</v>
      </c>
      <c r="BX112" s="17">
        <f t="shared" si="72"/>
        <v>0</v>
      </c>
      <c r="BY112" s="17">
        <f t="shared" si="73"/>
        <v>0</v>
      </c>
      <c r="BZ112" s="17">
        <f t="shared" si="84"/>
        <v>0</v>
      </c>
      <c r="CA112" s="17">
        <f t="shared" si="85"/>
        <v>0</v>
      </c>
      <c r="CB112" s="17">
        <f t="shared" si="86"/>
        <v>0</v>
      </c>
      <c r="CC112" s="17">
        <f t="shared" si="87"/>
        <v>0</v>
      </c>
      <c r="CD112" s="17">
        <f t="shared" si="88"/>
        <v>0</v>
      </c>
      <c r="CE112" s="17">
        <f t="shared" si="89"/>
        <v>0</v>
      </c>
      <c r="CF112" s="17">
        <f t="shared" si="90"/>
        <v>0</v>
      </c>
      <c r="CG112" s="17">
        <f t="shared" si="91"/>
        <v>0</v>
      </c>
      <c r="CH112" s="17">
        <f t="shared" si="92"/>
        <v>0</v>
      </c>
      <c r="CI112" s="17">
        <f t="shared" si="93"/>
        <v>0</v>
      </c>
      <c r="CJ112" s="17">
        <f t="shared" si="94"/>
        <v>0</v>
      </c>
      <c r="CK112" s="17">
        <f t="shared" si="95"/>
        <v>0</v>
      </c>
      <c r="CL112" s="17">
        <f t="shared" si="96"/>
        <v>0</v>
      </c>
      <c r="CM112" s="14">
        <f t="shared" si="97"/>
        <v>0</v>
      </c>
      <c r="CN112" s="17">
        <f t="shared" si="98"/>
        <v>0</v>
      </c>
      <c r="CO112" s="14">
        <f t="shared" si="99"/>
        <v>0</v>
      </c>
      <c r="CP112" s="17">
        <f t="shared" si="100"/>
        <v>0</v>
      </c>
      <c r="CQ112" s="14">
        <f t="shared" si="74"/>
        <v>0</v>
      </c>
      <c r="CR112" s="14">
        <v>224</v>
      </c>
      <c r="CS112" s="14">
        <v>391</v>
      </c>
      <c r="CT112" s="14">
        <v>20</v>
      </c>
      <c r="CU112" s="14">
        <v>199</v>
      </c>
    </row>
    <row r="113" spans="1:99" x14ac:dyDescent="0.3">
      <c r="A113" s="14">
        <v>2013</v>
      </c>
      <c r="B113" s="14" t="s">
        <v>21</v>
      </c>
      <c r="C113" s="14" t="s">
        <v>22</v>
      </c>
      <c r="D113" s="15">
        <v>971174.5</v>
      </c>
      <c r="E113" s="15">
        <v>38000626.500000022</v>
      </c>
      <c r="F113" s="15">
        <f t="shared" si="75"/>
        <v>39.128525821054836</v>
      </c>
      <c r="AB113" s="14">
        <f t="shared" si="76"/>
        <v>0</v>
      </c>
      <c r="AM113" s="14">
        <f t="shared" si="77"/>
        <v>0</v>
      </c>
      <c r="AQ113" s="14">
        <f t="shared" si="78"/>
        <v>0</v>
      </c>
      <c r="AT113" s="14">
        <f t="shared" si="79"/>
        <v>0</v>
      </c>
      <c r="AU113" s="16">
        <v>4628</v>
      </c>
      <c r="AV113" s="16">
        <v>0</v>
      </c>
      <c r="AW113" s="16">
        <v>0</v>
      </c>
      <c r="AX113" s="16">
        <v>0</v>
      </c>
      <c r="AY113" s="18">
        <f t="shared" si="80"/>
        <v>1.2178746579349151</v>
      </c>
      <c r="AZ113" s="17">
        <f t="shared" si="81"/>
        <v>0</v>
      </c>
      <c r="BA113" s="17">
        <f t="shared" si="82"/>
        <v>0</v>
      </c>
      <c r="BB113" s="17">
        <f t="shared" si="83"/>
        <v>0</v>
      </c>
      <c r="BC113" s="17">
        <f t="shared" si="51"/>
        <v>0</v>
      </c>
      <c r="BD113" s="17">
        <f t="shared" si="52"/>
        <v>0</v>
      </c>
      <c r="BE113" s="17">
        <f t="shared" si="53"/>
        <v>0</v>
      </c>
      <c r="BF113" s="17">
        <f t="shared" si="54"/>
        <v>0</v>
      </c>
      <c r="BG113" s="17">
        <f t="shared" si="55"/>
        <v>0</v>
      </c>
      <c r="BH113" s="17">
        <f t="shared" si="56"/>
        <v>0</v>
      </c>
      <c r="BI113" s="17">
        <f t="shared" si="57"/>
        <v>0</v>
      </c>
      <c r="BJ113" s="17">
        <f t="shared" si="58"/>
        <v>0</v>
      </c>
      <c r="BK113" s="17">
        <f t="shared" si="59"/>
        <v>0</v>
      </c>
      <c r="BL113" s="17">
        <f t="shared" si="60"/>
        <v>0</v>
      </c>
      <c r="BM113" s="17">
        <f t="shared" si="61"/>
        <v>0</v>
      </c>
      <c r="BN113" s="17">
        <f t="shared" si="62"/>
        <v>0</v>
      </c>
      <c r="BO113" s="17">
        <f t="shared" si="63"/>
        <v>0</v>
      </c>
      <c r="BP113" s="17">
        <f t="shared" si="64"/>
        <v>0</v>
      </c>
      <c r="BQ113" s="17">
        <f t="shared" si="65"/>
        <v>0</v>
      </c>
      <c r="BR113" s="17">
        <f t="shared" si="66"/>
        <v>0</v>
      </c>
      <c r="BS113" s="17">
        <f t="shared" si="67"/>
        <v>0</v>
      </c>
      <c r="BT113" s="17">
        <f t="shared" si="68"/>
        <v>0</v>
      </c>
      <c r="BU113" s="17">
        <f t="shared" si="69"/>
        <v>0</v>
      </c>
      <c r="BV113" s="17">
        <f t="shared" si="70"/>
        <v>0</v>
      </c>
      <c r="BW113" s="17">
        <f t="shared" si="71"/>
        <v>0</v>
      </c>
      <c r="BX113" s="17">
        <f t="shared" si="72"/>
        <v>0</v>
      </c>
      <c r="BY113" s="17">
        <f t="shared" si="73"/>
        <v>0</v>
      </c>
      <c r="BZ113" s="17">
        <f t="shared" si="84"/>
        <v>0</v>
      </c>
      <c r="CA113" s="17">
        <f t="shared" si="85"/>
        <v>0</v>
      </c>
      <c r="CB113" s="17">
        <f t="shared" si="86"/>
        <v>0</v>
      </c>
      <c r="CC113" s="17">
        <f t="shared" si="87"/>
        <v>0</v>
      </c>
      <c r="CD113" s="17">
        <f t="shared" si="88"/>
        <v>0</v>
      </c>
      <c r="CE113" s="17">
        <f t="shared" si="89"/>
        <v>0</v>
      </c>
      <c r="CF113" s="17">
        <f t="shared" si="90"/>
        <v>0</v>
      </c>
      <c r="CG113" s="17">
        <f t="shared" si="91"/>
        <v>0</v>
      </c>
      <c r="CH113" s="17">
        <f t="shared" si="92"/>
        <v>0</v>
      </c>
      <c r="CI113" s="17">
        <f t="shared" si="93"/>
        <v>0</v>
      </c>
      <c r="CJ113" s="17">
        <f t="shared" si="94"/>
        <v>0</v>
      </c>
      <c r="CK113" s="17">
        <f t="shared" si="95"/>
        <v>0</v>
      </c>
      <c r="CL113" s="17">
        <f t="shared" si="96"/>
        <v>0</v>
      </c>
      <c r="CM113" s="14">
        <f t="shared" si="97"/>
        <v>0</v>
      </c>
      <c r="CN113" s="17">
        <f t="shared" si="98"/>
        <v>0</v>
      </c>
      <c r="CO113" s="14">
        <f t="shared" si="99"/>
        <v>4628</v>
      </c>
      <c r="CP113" s="17"/>
      <c r="CQ113" s="14">
        <f t="shared" si="74"/>
        <v>4628</v>
      </c>
      <c r="CR113" s="14">
        <v>0</v>
      </c>
      <c r="CS113" s="14">
        <v>54</v>
      </c>
      <c r="CT113" s="14">
        <v>1</v>
      </c>
      <c r="CU113" s="14">
        <v>0</v>
      </c>
    </row>
    <row r="114" spans="1:99" x14ac:dyDescent="0.3">
      <c r="A114" s="14">
        <v>2014</v>
      </c>
      <c r="B114" s="14" t="s">
        <v>21</v>
      </c>
      <c r="C114" s="14" t="s">
        <v>22</v>
      </c>
      <c r="D114" s="15">
        <v>991164.8</v>
      </c>
      <c r="E114" s="15">
        <v>38760167.5</v>
      </c>
      <c r="F114" s="15">
        <f t="shared" si="75"/>
        <v>39.105673950487343</v>
      </c>
      <c r="AB114" s="14">
        <f t="shared" si="76"/>
        <v>0</v>
      </c>
      <c r="AM114" s="14">
        <f t="shared" si="77"/>
        <v>0</v>
      </c>
      <c r="AQ114" s="14">
        <f t="shared" si="78"/>
        <v>0</v>
      </c>
      <c r="AT114" s="14">
        <f t="shared" si="79"/>
        <v>0</v>
      </c>
      <c r="AU114" s="16">
        <v>612</v>
      </c>
      <c r="AV114" s="16">
        <v>0</v>
      </c>
      <c r="AW114" s="16">
        <v>22278</v>
      </c>
      <c r="AX114" s="16">
        <v>0</v>
      </c>
      <c r="AY114" s="18">
        <f t="shared" si="80"/>
        <v>0.15789405450840738</v>
      </c>
      <c r="AZ114" s="17">
        <f t="shared" si="81"/>
        <v>0</v>
      </c>
      <c r="BA114" s="17">
        <f t="shared" si="82"/>
        <v>5.7476531802913389</v>
      </c>
      <c r="BB114" s="17">
        <f t="shared" si="83"/>
        <v>0</v>
      </c>
      <c r="BC114" s="17">
        <f t="shared" si="51"/>
        <v>0</v>
      </c>
      <c r="BD114" s="17">
        <f t="shared" si="52"/>
        <v>0</v>
      </c>
      <c r="BE114" s="17">
        <f t="shared" si="53"/>
        <v>0</v>
      </c>
      <c r="BF114" s="17">
        <f t="shared" si="54"/>
        <v>0</v>
      </c>
      <c r="BG114" s="17">
        <f t="shared" si="55"/>
        <v>0</v>
      </c>
      <c r="BH114" s="17">
        <f t="shared" si="56"/>
        <v>0</v>
      </c>
      <c r="BI114" s="17">
        <f t="shared" si="57"/>
        <v>0</v>
      </c>
      <c r="BJ114" s="17">
        <f t="shared" si="58"/>
        <v>0</v>
      </c>
      <c r="BK114" s="17">
        <f t="shared" si="59"/>
        <v>0</v>
      </c>
      <c r="BL114" s="17">
        <f t="shared" si="60"/>
        <v>0</v>
      </c>
      <c r="BM114" s="17">
        <f t="shared" si="61"/>
        <v>0</v>
      </c>
      <c r="BN114" s="17">
        <f t="shared" si="62"/>
        <v>0</v>
      </c>
      <c r="BO114" s="17">
        <f t="shared" si="63"/>
        <v>0</v>
      </c>
      <c r="BP114" s="17">
        <f t="shared" si="64"/>
        <v>0</v>
      </c>
      <c r="BQ114" s="17">
        <f t="shared" si="65"/>
        <v>0</v>
      </c>
      <c r="BR114" s="17">
        <f t="shared" si="66"/>
        <v>0</v>
      </c>
      <c r="BS114" s="17">
        <f t="shared" si="67"/>
        <v>0</v>
      </c>
      <c r="BT114" s="17">
        <f t="shared" si="68"/>
        <v>0</v>
      </c>
      <c r="BU114" s="17">
        <f t="shared" si="69"/>
        <v>0</v>
      </c>
      <c r="BV114" s="17">
        <f t="shared" si="70"/>
        <v>0</v>
      </c>
      <c r="BW114" s="17">
        <f t="shared" si="71"/>
        <v>0</v>
      </c>
      <c r="BX114" s="17">
        <f t="shared" si="72"/>
        <v>0</v>
      </c>
      <c r="BY114" s="17">
        <f t="shared" si="73"/>
        <v>0</v>
      </c>
      <c r="BZ114" s="17">
        <f t="shared" si="84"/>
        <v>0</v>
      </c>
      <c r="CA114" s="17">
        <f t="shared" si="85"/>
        <v>0</v>
      </c>
      <c r="CB114" s="17">
        <f t="shared" si="86"/>
        <v>0</v>
      </c>
      <c r="CC114" s="17">
        <f t="shared" si="87"/>
        <v>0</v>
      </c>
      <c r="CD114" s="17">
        <f t="shared" si="88"/>
        <v>0</v>
      </c>
      <c r="CE114" s="17">
        <f t="shared" si="89"/>
        <v>0</v>
      </c>
      <c r="CF114" s="17">
        <f t="shared" si="90"/>
        <v>0</v>
      </c>
      <c r="CG114" s="17">
        <f t="shared" si="91"/>
        <v>0</v>
      </c>
      <c r="CH114" s="17">
        <f t="shared" si="92"/>
        <v>0</v>
      </c>
      <c r="CI114" s="17">
        <f t="shared" si="93"/>
        <v>0</v>
      </c>
      <c r="CJ114" s="17">
        <f t="shared" si="94"/>
        <v>0</v>
      </c>
      <c r="CK114" s="17">
        <f t="shared" si="95"/>
        <v>0</v>
      </c>
      <c r="CL114" s="17">
        <f t="shared" si="96"/>
        <v>0</v>
      </c>
      <c r="CM114" s="14">
        <f t="shared" si="97"/>
        <v>22278</v>
      </c>
      <c r="CN114" s="17"/>
      <c r="CO114" s="14">
        <f t="shared" si="99"/>
        <v>22890</v>
      </c>
      <c r="CP114" s="17"/>
      <c r="CQ114" s="14">
        <f t="shared" si="74"/>
        <v>22890</v>
      </c>
      <c r="CR114" s="14">
        <v>397</v>
      </c>
      <c r="CS114" s="14">
        <v>1029</v>
      </c>
      <c r="CT114" s="14">
        <v>0</v>
      </c>
      <c r="CU114" s="14">
        <v>0</v>
      </c>
    </row>
    <row r="115" spans="1:99" x14ac:dyDescent="0.3">
      <c r="A115" s="14">
        <v>2015</v>
      </c>
      <c r="B115" s="14" t="s">
        <v>21</v>
      </c>
      <c r="C115" s="14" t="s">
        <v>22</v>
      </c>
      <c r="D115" s="15">
        <v>1014537.2</v>
      </c>
      <c r="E115" s="15">
        <v>39543154.499999985</v>
      </c>
      <c r="F115" s="15">
        <f t="shared" si="75"/>
        <v>38.976544674754152</v>
      </c>
      <c r="AB115" s="14">
        <f t="shared" si="76"/>
        <v>0</v>
      </c>
      <c r="AM115" s="14">
        <f t="shared" si="77"/>
        <v>0</v>
      </c>
      <c r="AQ115" s="14">
        <f t="shared" si="78"/>
        <v>0</v>
      </c>
      <c r="AT115" s="14">
        <f t="shared" si="79"/>
        <v>0</v>
      </c>
      <c r="AU115" s="16">
        <v>0</v>
      </c>
      <c r="AV115" s="16">
        <v>0</v>
      </c>
      <c r="AW115" s="16">
        <v>0</v>
      </c>
      <c r="AX115" s="16">
        <v>0</v>
      </c>
      <c r="AY115" s="18">
        <f t="shared" si="80"/>
        <v>0</v>
      </c>
      <c r="AZ115" s="17">
        <f t="shared" si="81"/>
        <v>0</v>
      </c>
      <c r="BA115" s="17">
        <f t="shared" si="82"/>
        <v>0</v>
      </c>
      <c r="BB115" s="17">
        <f t="shared" si="83"/>
        <v>0</v>
      </c>
      <c r="BC115" s="17">
        <f t="shared" si="51"/>
        <v>0</v>
      </c>
      <c r="BD115" s="17">
        <f t="shared" si="52"/>
        <v>0</v>
      </c>
      <c r="BE115" s="17">
        <f t="shared" si="53"/>
        <v>0</v>
      </c>
      <c r="BF115" s="17">
        <f t="shared" si="54"/>
        <v>0</v>
      </c>
      <c r="BG115" s="17">
        <f t="shared" si="55"/>
        <v>0</v>
      </c>
      <c r="BH115" s="17">
        <f t="shared" si="56"/>
        <v>0</v>
      </c>
      <c r="BI115" s="17">
        <f t="shared" si="57"/>
        <v>0</v>
      </c>
      <c r="BJ115" s="17">
        <f t="shared" si="58"/>
        <v>0</v>
      </c>
      <c r="BK115" s="17">
        <f t="shared" si="59"/>
        <v>0</v>
      </c>
      <c r="BL115" s="17">
        <f t="shared" si="60"/>
        <v>0</v>
      </c>
      <c r="BM115" s="17">
        <f t="shared" si="61"/>
        <v>0</v>
      </c>
      <c r="BN115" s="17">
        <f t="shared" si="62"/>
        <v>0</v>
      </c>
      <c r="BO115" s="17">
        <f t="shared" si="63"/>
        <v>0</v>
      </c>
      <c r="BP115" s="17">
        <f t="shared" si="64"/>
        <v>0</v>
      </c>
      <c r="BQ115" s="17">
        <f t="shared" si="65"/>
        <v>0</v>
      </c>
      <c r="BR115" s="17">
        <f t="shared" si="66"/>
        <v>0</v>
      </c>
      <c r="BS115" s="17">
        <f t="shared" si="67"/>
        <v>0</v>
      </c>
      <c r="BT115" s="17">
        <f t="shared" si="68"/>
        <v>0</v>
      </c>
      <c r="BU115" s="17">
        <f t="shared" si="69"/>
        <v>0</v>
      </c>
      <c r="BV115" s="17">
        <f t="shared" si="70"/>
        <v>0</v>
      </c>
      <c r="BW115" s="17">
        <f t="shared" si="71"/>
        <v>0</v>
      </c>
      <c r="BX115" s="17">
        <f t="shared" si="72"/>
        <v>0</v>
      </c>
      <c r="BY115" s="17">
        <f t="shared" si="73"/>
        <v>0</v>
      </c>
      <c r="BZ115" s="17">
        <f t="shared" si="84"/>
        <v>0</v>
      </c>
      <c r="CA115" s="17">
        <f t="shared" si="85"/>
        <v>0</v>
      </c>
      <c r="CB115" s="17">
        <f t="shared" si="86"/>
        <v>0</v>
      </c>
      <c r="CC115" s="17">
        <f t="shared" si="87"/>
        <v>0</v>
      </c>
      <c r="CD115" s="17">
        <f t="shared" si="88"/>
        <v>0</v>
      </c>
      <c r="CE115" s="17">
        <f t="shared" si="89"/>
        <v>0</v>
      </c>
      <c r="CF115" s="17">
        <f t="shared" si="90"/>
        <v>0</v>
      </c>
      <c r="CG115" s="17">
        <f t="shared" si="91"/>
        <v>0</v>
      </c>
      <c r="CH115" s="17">
        <f t="shared" si="92"/>
        <v>0</v>
      </c>
      <c r="CI115" s="17">
        <f t="shared" si="93"/>
        <v>0</v>
      </c>
      <c r="CJ115" s="17">
        <f t="shared" si="94"/>
        <v>0</v>
      </c>
      <c r="CK115" s="17">
        <f t="shared" si="95"/>
        <v>0</v>
      </c>
      <c r="CL115" s="17">
        <f t="shared" si="96"/>
        <v>0</v>
      </c>
      <c r="CM115" s="14">
        <f t="shared" si="97"/>
        <v>0</v>
      </c>
      <c r="CN115" s="17"/>
      <c r="CO115" s="14">
        <f t="shared" si="99"/>
        <v>0</v>
      </c>
      <c r="CP115" s="17">
        <f t="shared" si="100"/>
        <v>0</v>
      </c>
      <c r="CQ115" s="14">
        <f t="shared" si="74"/>
        <v>0</v>
      </c>
      <c r="CR115" s="14">
        <v>0</v>
      </c>
      <c r="CS115" s="14">
        <v>0</v>
      </c>
      <c r="CT115" s="14">
        <v>0</v>
      </c>
      <c r="CU115" s="14">
        <v>0</v>
      </c>
    </row>
    <row r="116" spans="1:99" x14ac:dyDescent="0.3">
      <c r="A116" s="14">
        <v>2016</v>
      </c>
      <c r="B116" s="14" t="s">
        <v>21</v>
      </c>
      <c r="C116" s="14" t="s">
        <v>22</v>
      </c>
      <c r="D116" s="15">
        <v>1030448.2</v>
      </c>
      <c r="E116" s="15">
        <v>40339328.5</v>
      </c>
      <c r="F116" s="15">
        <f t="shared" si="75"/>
        <v>39.147361798487303</v>
      </c>
      <c r="AB116" s="14">
        <f t="shared" si="76"/>
        <v>0</v>
      </c>
      <c r="AM116" s="14">
        <f t="shared" si="77"/>
        <v>0</v>
      </c>
      <c r="AQ116" s="14">
        <f t="shared" si="78"/>
        <v>0</v>
      </c>
      <c r="AT116" s="14">
        <f t="shared" si="79"/>
        <v>0</v>
      </c>
      <c r="AU116" s="16">
        <v>148618</v>
      </c>
      <c r="AV116" s="16">
        <v>181916</v>
      </c>
      <c r="AW116" s="16">
        <v>0</v>
      </c>
      <c r="AX116" s="16">
        <v>0</v>
      </c>
      <c r="AY116" s="18">
        <f t="shared" si="80"/>
        <v>36.841961809056883</v>
      </c>
      <c r="AZ116" s="17">
        <f t="shared" si="81"/>
        <v>45.096437339059818</v>
      </c>
      <c r="BA116" s="17">
        <f t="shared" si="82"/>
        <v>0</v>
      </c>
      <c r="BB116" s="17">
        <f t="shared" si="83"/>
        <v>0</v>
      </c>
      <c r="BC116" s="17">
        <f t="shared" si="51"/>
        <v>0</v>
      </c>
      <c r="BD116" s="17">
        <f t="shared" si="52"/>
        <v>0</v>
      </c>
      <c r="BE116" s="17">
        <f t="shared" si="53"/>
        <v>0</v>
      </c>
      <c r="BF116" s="17">
        <f t="shared" si="54"/>
        <v>0</v>
      </c>
      <c r="BG116" s="17">
        <f t="shared" si="55"/>
        <v>0</v>
      </c>
      <c r="BH116" s="17">
        <f t="shared" si="56"/>
        <v>0</v>
      </c>
      <c r="BI116" s="17">
        <f t="shared" si="57"/>
        <v>0</v>
      </c>
      <c r="BJ116" s="17">
        <f t="shared" si="58"/>
        <v>0</v>
      </c>
      <c r="BK116" s="17">
        <f t="shared" si="59"/>
        <v>0</v>
      </c>
      <c r="BL116" s="17">
        <f t="shared" si="60"/>
        <v>0</v>
      </c>
      <c r="BM116" s="17">
        <f t="shared" si="61"/>
        <v>0</v>
      </c>
      <c r="BN116" s="17">
        <f t="shared" si="62"/>
        <v>0</v>
      </c>
      <c r="BO116" s="17">
        <f t="shared" si="63"/>
        <v>0</v>
      </c>
      <c r="BP116" s="17">
        <f t="shared" si="64"/>
        <v>0</v>
      </c>
      <c r="BQ116" s="17">
        <f t="shared" si="65"/>
        <v>0</v>
      </c>
      <c r="BR116" s="17">
        <f t="shared" si="66"/>
        <v>0</v>
      </c>
      <c r="BS116" s="17">
        <f t="shared" si="67"/>
        <v>0</v>
      </c>
      <c r="BT116" s="17">
        <f t="shared" si="68"/>
        <v>0</v>
      </c>
      <c r="BU116" s="17">
        <f t="shared" si="69"/>
        <v>0</v>
      </c>
      <c r="BV116" s="17">
        <f t="shared" si="70"/>
        <v>0</v>
      </c>
      <c r="BW116" s="17">
        <f t="shared" si="71"/>
        <v>0</v>
      </c>
      <c r="BX116" s="17">
        <f t="shared" si="72"/>
        <v>0</v>
      </c>
      <c r="BY116" s="17">
        <f t="shared" si="73"/>
        <v>0</v>
      </c>
      <c r="BZ116" s="17">
        <f t="shared" si="84"/>
        <v>0</v>
      </c>
      <c r="CA116" s="17">
        <f t="shared" si="85"/>
        <v>0</v>
      </c>
      <c r="CB116" s="17">
        <f t="shared" si="86"/>
        <v>0</v>
      </c>
      <c r="CC116" s="17">
        <f t="shared" si="87"/>
        <v>0</v>
      </c>
      <c r="CD116" s="17">
        <f t="shared" si="88"/>
        <v>0</v>
      </c>
      <c r="CE116" s="17">
        <f t="shared" si="89"/>
        <v>0</v>
      </c>
      <c r="CF116" s="17">
        <f t="shared" si="90"/>
        <v>0</v>
      </c>
      <c r="CG116" s="17">
        <f t="shared" si="91"/>
        <v>0</v>
      </c>
      <c r="CH116" s="17">
        <f t="shared" si="92"/>
        <v>0</v>
      </c>
      <c r="CI116" s="17">
        <f t="shared" si="93"/>
        <v>0</v>
      </c>
      <c r="CJ116" s="17">
        <f t="shared" si="94"/>
        <v>0</v>
      </c>
      <c r="CK116" s="17">
        <f t="shared" si="95"/>
        <v>0</v>
      </c>
      <c r="CL116" s="17">
        <f t="shared" si="96"/>
        <v>0</v>
      </c>
      <c r="CM116" s="14">
        <f t="shared" si="97"/>
        <v>181916</v>
      </c>
      <c r="CN116" s="17">
        <f t="shared" si="98"/>
        <v>45.096437339059818</v>
      </c>
      <c r="CO116" s="14">
        <f t="shared" si="99"/>
        <v>330534</v>
      </c>
      <c r="CP116" s="17">
        <f t="shared" si="100"/>
        <v>81.938399148116702</v>
      </c>
      <c r="CQ116" s="14">
        <f t="shared" si="74"/>
        <v>330534</v>
      </c>
      <c r="CR116" s="14">
        <v>25</v>
      </c>
      <c r="CS116" s="14">
        <v>81</v>
      </c>
      <c r="CT116" s="14">
        <v>0</v>
      </c>
      <c r="CU116" s="14">
        <v>304</v>
      </c>
    </row>
    <row r="117" spans="1:99" x14ac:dyDescent="0.3">
      <c r="A117" s="14">
        <v>2017</v>
      </c>
      <c r="B117" s="14" t="s">
        <v>21</v>
      </c>
      <c r="C117" s="14" t="s">
        <v>22</v>
      </c>
      <c r="D117" s="15">
        <v>1038181.5</v>
      </c>
      <c r="E117" s="15">
        <v>41136545.999999985</v>
      </c>
      <c r="F117" s="15">
        <f t="shared" si="75"/>
        <v>39.623655401295423</v>
      </c>
      <c r="G117" s="14">
        <v>14263</v>
      </c>
      <c r="O117" s="14">
        <v>521</v>
      </c>
      <c r="AB117" s="14">
        <f t="shared" si="76"/>
        <v>521</v>
      </c>
      <c r="AM117" s="14">
        <f t="shared" si="77"/>
        <v>0</v>
      </c>
      <c r="AQ117" s="14">
        <f t="shared" si="78"/>
        <v>0</v>
      </c>
      <c r="AT117" s="14">
        <f t="shared" si="79"/>
        <v>0</v>
      </c>
      <c r="AU117" s="16">
        <v>0</v>
      </c>
      <c r="AV117" s="16">
        <v>184000</v>
      </c>
      <c r="AW117" s="16">
        <v>0</v>
      </c>
      <c r="AX117" s="16">
        <v>0</v>
      </c>
      <c r="AY117" s="18">
        <f t="shared" si="80"/>
        <v>0</v>
      </c>
      <c r="AZ117" s="17">
        <f t="shared" si="81"/>
        <v>44.729083477256466</v>
      </c>
      <c r="BA117" s="17">
        <f t="shared" si="82"/>
        <v>0</v>
      </c>
      <c r="BB117" s="17">
        <f t="shared" si="83"/>
        <v>0</v>
      </c>
      <c r="BC117" s="17">
        <f t="shared" si="51"/>
        <v>3.4672332480223313</v>
      </c>
      <c r="BD117" s="17">
        <f t="shared" si="52"/>
        <v>0</v>
      </c>
      <c r="BE117" s="17">
        <f t="shared" si="53"/>
        <v>0</v>
      </c>
      <c r="BF117" s="17">
        <f t="shared" si="54"/>
        <v>0</v>
      </c>
      <c r="BG117" s="17">
        <f t="shared" si="55"/>
        <v>0</v>
      </c>
      <c r="BH117" s="17">
        <f t="shared" si="56"/>
        <v>0</v>
      </c>
      <c r="BI117" s="17">
        <f t="shared" si="57"/>
        <v>0</v>
      </c>
      <c r="BJ117" s="17">
        <f t="shared" si="58"/>
        <v>0</v>
      </c>
      <c r="BK117" s="17">
        <f t="shared" si="59"/>
        <v>0.12665137223723164</v>
      </c>
      <c r="BL117" s="17">
        <f t="shared" si="60"/>
        <v>0</v>
      </c>
      <c r="BM117" s="17">
        <f t="shared" si="61"/>
        <v>0</v>
      </c>
      <c r="BN117" s="17">
        <f t="shared" si="62"/>
        <v>0</v>
      </c>
      <c r="BO117" s="17">
        <f t="shared" si="63"/>
        <v>0</v>
      </c>
      <c r="BP117" s="17">
        <f t="shared" si="64"/>
        <v>0</v>
      </c>
      <c r="BQ117" s="17">
        <f t="shared" si="65"/>
        <v>0</v>
      </c>
      <c r="BR117" s="17">
        <f t="shared" si="66"/>
        <v>0</v>
      </c>
      <c r="BS117" s="17">
        <f t="shared" si="67"/>
        <v>0</v>
      </c>
      <c r="BT117" s="17">
        <f t="shared" si="68"/>
        <v>0</v>
      </c>
      <c r="BU117" s="17">
        <f t="shared" si="69"/>
        <v>0</v>
      </c>
      <c r="BV117" s="17">
        <f t="shared" si="70"/>
        <v>0</v>
      </c>
      <c r="BW117" s="17">
        <f t="shared" si="71"/>
        <v>0</v>
      </c>
      <c r="BX117" s="17">
        <f t="shared" si="72"/>
        <v>0</v>
      </c>
      <c r="BY117" s="17">
        <f t="shared" si="73"/>
        <v>0</v>
      </c>
      <c r="BZ117" s="17">
        <f t="shared" si="84"/>
        <v>0</v>
      </c>
      <c r="CA117" s="17">
        <f t="shared" si="85"/>
        <v>0</v>
      </c>
      <c r="CB117" s="17">
        <f t="shared" si="86"/>
        <v>0</v>
      </c>
      <c r="CC117" s="17">
        <f t="shared" si="87"/>
        <v>0</v>
      </c>
      <c r="CD117" s="17">
        <f t="shared" si="88"/>
        <v>0</v>
      </c>
      <c r="CE117" s="17">
        <f t="shared" si="89"/>
        <v>0</v>
      </c>
      <c r="CF117" s="17">
        <f t="shared" si="90"/>
        <v>0</v>
      </c>
      <c r="CG117" s="17">
        <f t="shared" si="91"/>
        <v>0</v>
      </c>
      <c r="CH117" s="17">
        <f t="shared" si="92"/>
        <v>0</v>
      </c>
      <c r="CI117" s="17">
        <f t="shared" si="93"/>
        <v>0</v>
      </c>
      <c r="CJ117" s="17">
        <f t="shared" si="94"/>
        <v>0</v>
      </c>
      <c r="CK117" s="17">
        <f t="shared" si="95"/>
        <v>0</v>
      </c>
      <c r="CL117" s="17">
        <f t="shared" si="96"/>
        <v>0</v>
      </c>
      <c r="CM117" s="14">
        <f t="shared" si="97"/>
        <v>184000</v>
      </c>
      <c r="CN117" s="17">
        <f t="shared" si="98"/>
        <v>44.729083477256466</v>
      </c>
      <c r="CO117" s="14">
        <f t="shared" si="99"/>
        <v>184000</v>
      </c>
      <c r="CP117" s="17">
        <f t="shared" si="100"/>
        <v>44.729083477256466</v>
      </c>
      <c r="CQ117" s="14">
        <f t="shared" si="74"/>
        <v>199305</v>
      </c>
      <c r="CR117" s="14">
        <v>0</v>
      </c>
      <c r="CS117" s="14">
        <v>1388</v>
      </c>
      <c r="CT117" s="14">
        <v>0</v>
      </c>
      <c r="CU117" s="14">
        <v>0</v>
      </c>
    </row>
    <row r="118" spans="1:99" x14ac:dyDescent="0.3">
      <c r="A118" s="14">
        <v>2018</v>
      </c>
      <c r="B118" s="14" t="s">
        <v>21</v>
      </c>
      <c r="C118" s="14" t="s">
        <v>22</v>
      </c>
      <c r="D118" s="15">
        <v>1036361.6</v>
      </c>
      <c r="E118" s="15">
        <v>41927007.000000007</v>
      </c>
      <c r="F118" s="15">
        <f t="shared" si="75"/>
        <v>40.455963439787823</v>
      </c>
      <c r="G118" s="14">
        <v>15437</v>
      </c>
      <c r="H118" s="14">
        <v>18807</v>
      </c>
      <c r="I118" s="14">
        <v>25611</v>
      </c>
      <c r="L118" s="14">
        <v>515</v>
      </c>
      <c r="N118" s="14">
        <v>46</v>
      </c>
      <c r="O118" s="14">
        <v>729</v>
      </c>
      <c r="P118" s="14">
        <v>406</v>
      </c>
      <c r="R118" s="14">
        <v>240</v>
      </c>
      <c r="T118" s="14">
        <v>1258</v>
      </c>
      <c r="U118" s="14">
        <v>653</v>
      </c>
      <c r="V118" s="14">
        <v>6245</v>
      </c>
      <c r="W118" s="14">
        <v>900</v>
      </c>
      <c r="X118" s="14">
        <v>2148</v>
      </c>
      <c r="Y118" s="14">
        <v>15238</v>
      </c>
      <c r="Z118" s="14">
        <v>136</v>
      </c>
      <c r="AA118" s="14">
        <v>107</v>
      </c>
      <c r="AB118" s="14">
        <f t="shared" si="76"/>
        <v>836</v>
      </c>
      <c r="AD118" s="14">
        <v>168</v>
      </c>
      <c r="AF118" s="14">
        <v>1533</v>
      </c>
      <c r="AG118" s="14">
        <v>6184</v>
      </c>
      <c r="AH118" s="14">
        <v>75033</v>
      </c>
      <c r="AI118" s="14">
        <v>365</v>
      </c>
      <c r="AJ118" s="14">
        <v>880</v>
      </c>
      <c r="AK118" s="14">
        <v>1751</v>
      </c>
      <c r="AL118" s="14">
        <v>220</v>
      </c>
      <c r="AM118" s="14">
        <f t="shared" si="77"/>
        <v>1971</v>
      </c>
      <c r="AN118" s="14">
        <v>4403</v>
      </c>
      <c r="AQ118" s="14">
        <f t="shared" si="78"/>
        <v>0</v>
      </c>
      <c r="AT118" s="14">
        <f t="shared" si="79"/>
        <v>0</v>
      </c>
      <c r="AU118" s="16">
        <v>185038</v>
      </c>
      <c r="AV118" s="16">
        <v>112822</v>
      </c>
      <c r="AW118" s="16">
        <v>17896</v>
      </c>
      <c r="AX118" s="16">
        <v>42507</v>
      </c>
      <c r="AY118" s="18">
        <f t="shared" si="80"/>
        <v>44.133367306662258</v>
      </c>
      <c r="AZ118" s="17">
        <f t="shared" si="81"/>
        <v>26.909147128007486</v>
      </c>
      <c r="BA118" s="17">
        <f t="shared" si="82"/>
        <v>4.2683705040047331</v>
      </c>
      <c r="BB118" s="17">
        <f t="shared" si="83"/>
        <v>10.138333986015265</v>
      </c>
      <c r="BC118" s="17">
        <f t="shared" si="51"/>
        <v>3.6818750262807924</v>
      </c>
      <c r="BD118" s="17">
        <f t="shared" si="52"/>
        <v>4.485652887171268</v>
      </c>
      <c r="BE118" s="17">
        <f t="shared" si="53"/>
        <v>6.1084732330166078</v>
      </c>
      <c r="BF118" s="17">
        <f t="shared" si="54"/>
        <v>0</v>
      </c>
      <c r="BG118" s="17">
        <f t="shared" si="55"/>
        <v>0</v>
      </c>
      <c r="BH118" s="17">
        <f t="shared" si="56"/>
        <v>0.12283252176812905</v>
      </c>
      <c r="BI118" s="17">
        <f t="shared" si="57"/>
        <v>0</v>
      </c>
      <c r="BJ118" s="17">
        <f t="shared" si="58"/>
        <v>1.0971448546279489E-2</v>
      </c>
      <c r="BK118" s="17">
        <f t="shared" si="59"/>
        <v>0.17387360848342928</v>
      </c>
      <c r="BL118" s="17">
        <f t="shared" si="60"/>
        <v>9.6834958908466787E-2</v>
      </c>
      <c r="BM118" s="17">
        <f t="shared" si="61"/>
        <v>0</v>
      </c>
      <c r="BN118" s="17">
        <f t="shared" si="62"/>
        <v>5.7242340241458196E-2</v>
      </c>
      <c r="BO118" s="17">
        <f t="shared" si="63"/>
        <v>0</v>
      </c>
      <c r="BP118" s="17">
        <f t="shared" si="64"/>
        <v>0.30004526676564341</v>
      </c>
      <c r="BQ118" s="17">
        <f t="shared" si="65"/>
        <v>0.15574686740696753</v>
      </c>
      <c r="BR118" s="17">
        <f t="shared" si="66"/>
        <v>1.4894933950329436</v>
      </c>
      <c r="BS118" s="17">
        <f t="shared" si="67"/>
        <v>0.21465877590546825</v>
      </c>
      <c r="BT118" s="17">
        <f t="shared" si="68"/>
        <v>0.51231894516105092</v>
      </c>
      <c r="BU118" s="17">
        <f t="shared" si="69"/>
        <v>3.6344115858305837</v>
      </c>
      <c r="BV118" s="17">
        <f t="shared" si="70"/>
        <v>3.243732613682631E-2</v>
      </c>
      <c r="BW118" s="17">
        <f t="shared" si="71"/>
        <v>2.5520543357650114E-2</v>
      </c>
      <c r="BX118" s="17">
        <f t="shared" si="72"/>
        <v>0</v>
      </c>
      <c r="BY118" s="17">
        <f t="shared" si="73"/>
        <v>4.006963816902074E-2</v>
      </c>
      <c r="BZ118" s="17">
        <f t="shared" si="84"/>
        <v>0</v>
      </c>
      <c r="CA118" s="17">
        <f t="shared" si="85"/>
        <v>0.36563544829231426</v>
      </c>
      <c r="CB118" s="17">
        <f t="shared" si="86"/>
        <v>1.474944300221573</v>
      </c>
      <c r="CC118" s="17">
        <f t="shared" si="87"/>
        <v>17.896102147238889</v>
      </c>
      <c r="CD118" s="17">
        <f t="shared" si="88"/>
        <v>8.7056059117217671E-2</v>
      </c>
      <c r="CE118" s="17">
        <f t="shared" si="89"/>
        <v>0.20988858088534673</v>
      </c>
      <c r="CF118" s="17">
        <f t="shared" si="90"/>
        <v>0.41763057401163878</v>
      </c>
      <c r="CG118" s="17">
        <f t="shared" si="91"/>
        <v>5.2472145221336683E-2</v>
      </c>
      <c r="CH118" s="17">
        <f t="shared" si="92"/>
        <v>1.0501584336797518</v>
      </c>
      <c r="CI118" s="17">
        <f t="shared" si="93"/>
        <v>0</v>
      </c>
      <c r="CJ118" s="17">
        <f t="shared" si="94"/>
        <v>0</v>
      </c>
      <c r="CK118" s="17">
        <f t="shared" si="95"/>
        <v>0</v>
      </c>
      <c r="CL118" s="17">
        <f t="shared" si="96"/>
        <v>0</v>
      </c>
      <c r="CM118" s="14">
        <f t="shared" si="97"/>
        <v>130718</v>
      </c>
      <c r="CN118" s="17">
        <f t="shared" si="98"/>
        <v>31.177517632012218</v>
      </c>
      <c r="CO118" s="14">
        <f t="shared" si="99"/>
        <v>315756</v>
      </c>
      <c r="CP118" s="17">
        <f t="shared" si="100"/>
        <v>75.310884938674477</v>
      </c>
      <c r="CQ118" s="14">
        <f t="shared" si="74"/>
        <v>540083</v>
      </c>
      <c r="CR118" s="14">
        <v>0</v>
      </c>
      <c r="CS118" s="14">
        <v>0</v>
      </c>
      <c r="CT118" s="14">
        <v>0</v>
      </c>
      <c r="CU118" s="14">
        <v>0</v>
      </c>
    </row>
    <row r="119" spans="1:99" x14ac:dyDescent="0.3">
      <c r="A119" s="14">
        <v>2019</v>
      </c>
      <c r="B119" s="14" t="s">
        <v>21</v>
      </c>
      <c r="C119" s="14" t="s">
        <v>22</v>
      </c>
      <c r="D119" s="15">
        <v>1025953.1</v>
      </c>
      <c r="E119" s="15">
        <v>42705368.50000003</v>
      </c>
      <c r="F119" s="15">
        <f t="shared" si="75"/>
        <v>41.625068923715936</v>
      </c>
      <c r="G119" s="14">
        <v>7018</v>
      </c>
      <c r="H119" s="14">
        <v>2156</v>
      </c>
      <c r="AB119" s="14">
        <f t="shared" si="76"/>
        <v>0</v>
      </c>
      <c r="AI119" s="14">
        <v>128823</v>
      </c>
      <c r="AM119" s="14">
        <f t="shared" si="77"/>
        <v>0</v>
      </c>
      <c r="AQ119" s="14">
        <f t="shared" si="78"/>
        <v>0</v>
      </c>
      <c r="AT119" s="14">
        <f t="shared" si="79"/>
        <v>0</v>
      </c>
      <c r="AU119" s="16">
        <v>84280</v>
      </c>
      <c r="AV119" s="16">
        <v>8850</v>
      </c>
      <c r="AW119" s="16">
        <v>18140</v>
      </c>
      <c r="AX119" s="16">
        <v>0</v>
      </c>
      <c r="AY119" s="18">
        <f t="shared" si="80"/>
        <v>19.73522368739189</v>
      </c>
      <c r="AZ119" s="17"/>
      <c r="BA119" s="17">
        <f t="shared" si="82"/>
        <v>4.2477095122127295</v>
      </c>
      <c r="BB119" s="17">
        <f t="shared" si="83"/>
        <v>0</v>
      </c>
      <c r="BC119" s="17">
        <f t="shared" si="51"/>
        <v>1.6433531067645499</v>
      </c>
      <c r="BD119" s="17">
        <f t="shared" si="52"/>
        <v>0.50485455944490876</v>
      </c>
      <c r="BE119" s="17">
        <f t="shared" si="53"/>
        <v>0</v>
      </c>
      <c r="BF119" s="17">
        <f t="shared" si="54"/>
        <v>0</v>
      </c>
      <c r="BG119" s="17">
        <f t="shared" si="55"/>
        <v>0</v>
      </c>
      <c r="BH119" s="17">
        <f t="shared" si="56"/>
        <v>0</v>
      </c>
      <c r="BI119" s="17">
        <f t="shared" si="57"/>
        <v>0</v>
      </c>
      <c r="BJ119" s="17">
        <f t="shared" si="58"/>
        <v>0</v>
      </c>
      <c r="BK119" s="17">
        <f t="shared" si="59"/>
        <v>0</v>
      </c>
      <c r="BL119" s="17">
        <f t="shared" si="60"/>
        <v>0</v>
      </c>
      <c r="BM119" s="17">
        <f t="shared" si="61"/>
        <v>0</v>
      </c>
      <c r="BN119" s="17">
        <f t="shared" si="62"/>
        <v>0</v>
      </c>
      <c r="BO119" s="17">
        <f t="shared" si="63"/>
        <v>0</v>
      </c>
      <c r="BP119" s="17">
        <f t="shared" si="64"/>
        <v>0</v>
      </c>
      <c r="BQ119" s="17">
        <f t="shared" si="65"/>
        <v>0</v>
      </c>
      <c r="BR119" s="17">
        <f t="shared" si="66"/>
        <v>0</v>
      </c>
      <c r="BS119" s="17">
        <f t="shared" si="67"/>
        <v>0</v>
      </c>
      <c r="BT119" s="17">
        <f t="shared" si="68"/>
        <v>0</v>
      </c>
      <c r="BU119" s="17">
        <f t="shared" si="69"/>
        <v>0</v>
      </c>
      <c r="BV119" s="17">
        <f t="shared" si="70"/>
        <v>0</v>
      </c>
      <c r="BW119" s="17">
        <f t="shared" si="71"/>
        <v>0</v>
      </c>
      <c r="BX119" s="17">
        <f t="shared" si="72"/>
        <v>0</v>
      </c>
      <c r="BY119" s="17">
        <f t="shared" si="73"/>
        <v>0</v>
      </c>
      <c r="BZ119" s="17">
        <f t="shared" si="84"/>
        <v>0</v>
      </c>
      <c r="CA119" s="17">
        <f t="shared" si="85"/>
        <v>0</v>
      </c>
      <c r="CB119" s="17">
        <f t="shared" si="86"/>
        <v>0</v>
      </c>
      <c r="CC119" s="17">
        <f t="shared" si="87"/>
        <v>0</v>
      </c>
      <c r="CD119" s="17">
        <f t="shared" si="88"/>
        <v>30.165528252027588</v>
      </c>
      <c r="CE119" s="17">
        <f t="shared" si="89"/>
        <v>0</v>
      </c>
      <c r="CF119" s="17">
        <f t="shared" si="90"/>
        <v>0</v>
      </c>
      <c r="CG119" s="17">
        <f t="shared" si="91"/>
        <v>0</v>
      </c>
      <c r="CH119" s="17">
        <f t="shared" si="92"/>
        <v>0</v>
      </c>
      <c r="CI119" s="17">
        <f t="shared" si="93"/>
        <v>0</v>
      </c>
      <c r="CJ119" s="17">
        <f t="shared" si="94"/>
        <v>0</v>
      </c>
      <c r="CK119" s="17">
        <f t="shared" si="95"/>
        <v>0</v>
      </c>
      <c r="CL119" s="17">
        <f t="shared" si="96"/>
        <v>0</v>
      </c>
      <c r="CM119" s="14">
        <f t="shared" si="97"/>
        <v>26990</v>
      </c>
      <c r="CN119" s="17"/>
      <c r="CO119" s="14">
        <f t="shared" si="99"/>
        <v>111270</v>
      </c>
      <c r="CP119" s="17">
        <f t="shared" si="100"/>
        <v>26.055272184339053</v>
      </c>
      <c r="CQ119" s="14">
        <f t="shared" si="74"/>
        <v>249267</v>
      </c>
      <c r="CR119" s="14">
        <v>5</v>
      </c>
      <c r="CS119" s="14">
        <v>86</v>
      </c>
      <c r="CT119" s="14">
        <v>7</v>
      </c>
      <c r="CU119" s="14">
        <v>20</v>
      </c>
    </row>
    <row r="120" spans="1:99" x14ac:dyDescent="0.3">
      <c r="A120" s="14">
        <v>2020</v>
      </c>
      <c r="B120" s="14" t="s">
        <v>21</v>
      </c>
      <c r="C120" s="14" t="s">
        <v>22</v>
      </c>
      <c r="D120" s="15">
        <v>1010048.1</v>
      </c>
      <c r="E120" s="15">
        <v>43451665.999999985</v>
      </c>
      <c r="F120" s="15">
        <f t="shared" si="75"/>
        <v>43.019402739334872</v>
      </c>
      <c r="AB120" s="14">
        <f t="shared" si="76"/>
        <v>0</v>
      </c>
      <c r="AM120" s="14">
        <f t="shared" si="77"/>
        <v>0</v>
      </c>
      <c r="AQ120" s="14">
        <f t="shared" si="78"/>
        <v>0</v>
      </c>
      <c r="AT120" s="14">
        <f t="shared" si="79"/>
        <v>0</v>
      </c>
      <c r="AU120" s="16">
        <v>0</v>
      </c>
      <c r="AV120" s="16">
        <v>0</v>
      </c>
      <c r="AW120" s="16">
        <v>0</v>
      </c>
      <c r="AX120" s="16">
        <v>0</v>
      </c>
      <c r="AY120" s="18">
        <f t="shared" si="80"/>
        <v>0</v>
      </c>
      <c r="AZ120" s="17">
        <f t="shared" si="81"/>
        <v>0</v>
      </c>
      <c r="BA120" s="17">
        <f t="shared" si="82"/>
        <v>0</v>
      </c>
      <c r="BB120" s="17">
        <f t="shared" si="83"/>
        <v>0</v>
      </c>
      <c r="BC120" s="17">
        <f t="shared" si="51"/>
        <v>0</v>
      </c>
      <c r="BD120" s="17">
        <f t="shared" si="52"/>
        <v>0</v>
      </c>
      <c r="BE120" s="17">
        <f t="shared" si="53"/>
        <v>0</v>
      </c>
      <c r="BF120" s="17">
        <f t="shared" si="54"/>
        <v>0</v>
      </c>
      <c r="BG120" s="17">
        <f t="shared" si="55"/>
        <v>0</v>
      </c>
      <c r="BH120" s="17">
        <f t="shared" si="56"/>
        <v>0</v>
      </c>
      <c r="BI120" s="17">
        <f t="shared" si="57"/>
        <v>0</v>
      </c>
      <c r="BJ120" s="17">
        <f t="shared" si="58"/>
        <v>0</v>
      </c>
      <c r="BK120" s="17">
        <f t="shared" si="59"/>
        <v>0</v>
      </c>
      <c r="BL120" s="17">
        <f t="shared" si="60"/>
        <v>0</v>
      </c>
      <c r="BM120" s="17">
        <f t="shared" si="61"/>
        <v>0</v>
      </c>
      <c r="BN120" s="17">
        <f t="shared" si="62"/>
        <v>0</v>
      </c>
      <c r="BO120" s="17">
        <f t="shared" si="63"/>
        <v>0</v>
      </c>
      <c r="BP120" s="17">
        <f t="shared" si="64"/>
        <v>0</v>
      </c>
      <c r="BQ120" s="17">
        <f t="shared" si="65"/>
        <v>0</v>
      </c>
      <c r="BR120" s="17">
        <f t="shared" si="66"/>
        <v>0</v>
      </c>
      <c r="BS120" s="17">
        <f t="shared" si="67"/>
        <v>0</v>
      </c>
      <c r="BT120" s="17">
        <f t="shared" si="68"/>
        <v>0</v>
      </c>
      <c r="BU120" s="17">
        <f t="shared" si="69"/>
        <v>0</v>
      </c>
      <c r="BV120" s="17">
        <f t="shared" si="70"/>
        <v>0</v>
      </c>
      <c r="BW120" s="17">
        <f t="shared" si="71"/>
        <v>0</v>
      </c>
      <c r="BX120" s="17">
        <f t="shared" si="72"/>
        <v>0</v>
      </c>
      <c r="BY120" s="17">
        <f t="shared" si="73"/>
        <v>0</v>
      </c>
      <c r="BZ120" s="17">
        <f t="shared" si="84"/>
        <v>0</v>
      </c>
      <c r="CA120" s="17">
        <f t="shared" si="85"/>
        <v>0</v>
      </c>
      <c r="CB120" s="17">
        <f t="shared" si="86"/>
        <v>0</v>
      </c>
      <c r="CC120" s="17">
        <f t="shared" si="87"/>
        <v>0</v>
      </c>
      <c r="CD120" s="17">
        <f t="shared" si="88"/>
        <v>0</v>
      </c>
      <c r="CE120" s="17">
        <f t="shared" si="89"/>
        <v>0</v>
      </c>
      <c r="CF120" s="17">
        <f t="shared" si="90"/>
        <v>0</v>
      </c>
      <c r="CG120" s="17">
        <f t="shared" si="91"/>
        <v>0</v>
      </c>
      <c r="CH120" s="17">
        <f t="shared" si="92"/>
        <v>0</v>
      </c>
      <c r="CI120" s="17">
        <f t="shared" si="93"/>
        <v>0</v>
      </c>
      <c r="CJ120" s="17">
        <f t="shared" si="94"/>
        <v>0</v>
      </c>
      <c r="CK120" s="17">
        <f t="shared" si="95"/>
        <v>0</v>
      </c>
      <c r="CL120" s="17">
        <f t="shared" si="96"/>
        <v>0</v>
      </c>
      <c r="CM120" s="14">
        <f t="shared" si="97"/>
        <v>0</v>
      </c>
      <c r="CN120" s="17">
        <f t="shared" si="98"/>
        <v>0</v>
      </c>
      <c r="CO120" s="14">
        <f t="shared" si="99"/>
        <v>0</v>
      </c>
      <c r="CP120" s="17">
        <f t="shared" si="100"/>
        <v>0</v>
      </c>
      <c r="CQ120" s="14">
        <f t="shared" si="74"/>
        <v>0</v>
      </c>
      <c r="CR120" s="14">
        <v>0</v>
      </c>
      <c r="CS120" s="14">
        <v>0</v>
      </c>
      <c r="CT120" s="14">
        <v>0</v>
      </c>
      <c r="CU120" s="14">
        <v>0</v>
      </c>
    </row>
    <row r="121" spans="1:99" x14ac:dyDescent="0.3">
      <c r="A121" s="14">
        <v>2021</v>
      </c>
      <c r="B121" s="14" t="s">
        <v>21</v>
      </c>
      <c r="C121" s="14" t="s">
        <v>22</v>
      </c>
      <c r="D121" s="15">
        <v>989535.7</v>
      </c>
      <c r="E121" s="15">
        <v>44177968.500000007</v>
      </c>
      <c r="F121" s="15">
        <f t="shared" si="75"/>
        <v>44.645148729853815</v>
      </c>
      <c r="AB121" s="14">
        <f t="shared" si="76"/>
        <v>0</v>
      </c>
      <c r="AM121" s="14">
        <f t="shared" si="77"/>
        <v>0</v>
      </c>
      <c r="AQ121" s="14">
        <f t="shared" si="78"/>
        <v>0</v>
      </c>
      <c r="AT121" s="14">
        <f t="shared" si="79"/>
        <v>0</v>
      </c>
      <c r="AU121" s="16">
        <v>0</v>
      </c>
      <c r="AV121" s="16">
        <v>0</v>
      </c>
      <c r="AW121" s="16">
        <v>0</v>
      </c>
      <c r="AX121" s="16">
        <v>0</v>
      </c>
      <c r="AY121" s="18">
        <f t="shared" si="80"/>
        <v>0</v>
      </c>
      <c r="AZ121" s="17">
        <f t="shared" si="81"/>
        <v>0</v>
      </c>
      <c r="BA121" s="17">
        <f t="shared" si="82"/>
        <v>0</v>
      </c>
      <c r="BB121" s="17">
        <f t="shared" si="83"/>
        <v>0</v>
      </c>
      <c r="BC121" s="17">
        <f t="shared" si="51"/>
        <v>0</v>
      </c>
      <c r="BD121" s="17">
        <f t="shared" si="52"/>
        <v>0</v>
      </c>
      <c r="BE121" s="17">
        <f t="shared" si="53"/>
        <v>0</v>
      </c>
      <c r="BF121" s="17">
        <f t="shared" si="54"/>
        <v>0</v>
      </c>
      <c r="BG121" s="17">
        <f t="shared" si="55"/>
        <v>0</v>
      </c>
      <c r="BH121" s="17">
        <f t="shared" si="56"/>
        <v>0</v>
      </c>
      <c r="BI121" s="17">
        <f t="shared" si="57"/>
        <v>0</v>
      </c>
      <c r="BJ121" s="17">
        <f t="shared" si="58"/>
        <v>0</v>
      </c>
      <c r="BK121" s="17">
        <f t="shared" si="59"/>
        <v>0</v>
      </c>
      <c r="BL121" s="17">
        <f t="shared" si="60"/>
        <v>0</v>
      </c>
      <c r="BM121" s="17">
        <f t="shared" si="61"/>
        <v>0</v>
      </c>
      <c r="BN121" s="17">
        <f t="shared" si="62"/>
        <v>0</v>
      </c>
      <c r="BO121" s="17">
        <f t="shared" si="63"/>
        <v>0</v>
      </c>
      <c r="BP121" s="17">
        <f t="shared" si="64"/>
        <v>0</v>
      </c>
      <c r="BQ121" s="17">
        <f t="shared" si="65"/>
        <v>0</v>
      </c>
      <c r="BR121" s="17">
        <f t="shared" si="66"/>
        <v>0</v>
      </c>
      <c r="BS121" s="17">
        <f t="shared" si="67"/>
        <v>0</v>
      </c>
      <c r="BT121" s="17">
        <f t="shared" si="68"/>
        <v>0</v>
      </c>
      <c r="BU121" s="17">
        <f t="shared" si="69"/>
        <v>0</v>
      </c>
      <c r="BV121" s="17">
        <f t="shared" si="70"/>
        <v>0</v>
      </c>
      <c r="BW121" s="17">
        <f t="shared" si="71"/>
        <v>0</v>
      </c>
      <c r="BX121" s="17">
        <f t="shared" si="72"/>
        <v>0</v>
      </c>
      <c r="BY121" s="17">
        <f t="shared" si="73"/>
        <v>0</v>
      </c>
      <c r="BZ121" s="17">
        <f t="shared" si="84"/>
        <v>0</v>
      </c>
      <c r="CA121" s="17">
        <f t="shared" si="85"/>
        <v>0</v>
      </c>
      <c r="CB121" s="17">
        <f t="shared" si="86"/>
        <v>0</v>
      </c>
      <c r="CC121" s="17">
        <f t="shared" si="87"/>
        <v>0</v>
      </c>
      <c r="CD121" s="17">
        <f t="shared" si="88"/>
        <v>0</v>
      </c>
      <c r="CE121" s="17">
        <f t="shared" si="89"/>
        <v>0</v>
      </c>
      <c r="CF121" s="17">
        <f t="shared" si="90"/>
        <v>0</v>
      </c>
      <c r="CG121" s="17">
        <f t="shared" si="91"/>
        <v>0</v>
      </c>
      <c r="CH121" s="17">
        <f t="shared" si="92"/>
        <v>0</v>
      </c>
      <c r="CI121" s="17">
        <f t="shared" si="93"/>
        <v>0</v>
      </c>
      <c r="CJ121" s="17">
        <f t="shared" si="94"/>
        <v>0</v>
      </c>
      <c r="CK121" s="17">
        <f t="shared" si="95"/>
        <v>0</v>
      </c>
      <c r="CL121" s="17">
        <f t="shared" si="96"/>
        <v>0</v>
      </c>
      <c r="CM121" s="14">
        <f t="shared" si="97"/>
        <v>0</v>
      </c>
      <c r="CN121" s="17">
        <f t="shared" si="98"/>
        <v>0</v>
      </c>
      <c r="CO121" s="14">
        <f t="shared" si="99"/>
        <v>0</v>
      </c>
      <c r="CP121" s="17">
        <f t="shared" si="100"/>
        <v>0</v>
      </c>
      <c r="CQ121" s="14">
        <f t="shared" si="74"/>
        <v>0</v>
      </c>
      <c r="CR121" s="14">
        <v>6</v>
      </c>
      <c r="CS121" s="14">
        <v>613</v>
      </c>
      <c r="CT121" s="14">
        <v>0</v>
      </c>
      <c r="CU121" s="14">
        <v>0</v>
      </c>
    </row>
    <row r="122" spans="1:99" x14ac:dyDescent="0.3">
      <c r="A122" s="14">
        <v>2022</v>
      </c>
      <c r="B122" s="14" t="s">
        <v>21</v>
      </c>
      <c r="C122" s="14" t="s">
        <v>22</v>
      </c>
      <c r="D122" s="15">
        <v>966316.9</v>
      </c>
      <c r="E122" s="15">
        <v>44903225.000000007</v>
      </c>
      <c r="F122" s="15">
        <f t="shared" si="75"/>
        <v>46.468425627245061</v>
      </c>
      <c r="AB122" s="14">
        <f t="shared" si="76"/>
        <v>0</v>
      </c>
      <c r="AM122" s="14">
        <f t="shared" si="77"/>
        <v>0</v>
      </c>
      <c r="AQ122" s="14">
        <f t="shared" si="78"/>
        <v>0</v>
      </c>
      <c r="AT122" s="14">
        <f t="shared" si="79"/>
        <v>0</v>
      </c>
      <c r="AU122" s="16">
        <v>0</v>
      </c>
      <c r="AV122" s="16">
        <v>0</v>
      </c>
      <c r="AW122" s="16">
        <v>0</v>
      </c>
      <c r="AX122" s="16">
        <v>0</v>
      </c>
      <c r="AY122" s="18">
        <f t="shared" si="80"/>
        <v>0</v>
      </c>
      <c r="AZ122" s="17">
        <f t="shared" si="81"/>
        <v>0</v>
      </c>
      <c r="BA122" s="17">
        <f t="shared" si="82"/>
        <v>0</v>
      </c>
      <c r="BB122" s="17">
        <f t="shared" si="83"/>
        <v>0</v>
      </c>
      <c r="BC122" s="17">
        <f t="shared" si="51"/>
        <v>0</v>
      </c>
      <c r="BD122" s="17">
        <f t="shared" si="52"/>
        <v>0</v>
      </c>
      <c r="BE122" s="17">
        <f t="shared" si="53"/>
        <v>0</v>
      </c>
      <c r="BF122" s="17">
        <f t="shared" si="54"/>
        <v>0</v>
      </c>
      <c r="BG122" s="17">
        <f t="shared" si="55"/>
        <v>0</v>
      </c>
      <c r="BH122" s="17">
        <f t="shared" si="56"/>
        <v>0</v>
      </c>
      <c r="BI122" s="17">
        <f t="shared" si="57"/>
        <v>0</v>
      </c>
      <c r="BJ122" s="17">
        <f t="shared" si="58"/>
        <v>0</v>
      </c>
      <c r="BK122" s="17">
        <f t="shared" si="59"/>
        <v>0</v>
      </c>
      <c r="BL122" s="17">
        <f t="shared" si="60"/>
        <v>0</v>
      </c>
      <c r="BM122" s="17">
        <f t="shared" si="61"/>
        <v>0</v>
      </c>
      <c r="BN122" s="17">
        <f t="shared" si="62"/>
        <v>0</v>
      </c>
      <c r="BO122" s="17">
        <f t="shared" si="63"/>
        <v>0</v>
      </c>
      <c r="BP122" s="17">
        <f t="shared" si="64"/>
        <v>0</v>
      </c>
      <c r="BQ122" s="17">
        <f t="shared" si="65"/>
        <v>0</v>
      </c>
      <c r="BR122" s="17">
        <f t="shared" si="66"/>
        <v>0</v>
      </c>
      <c r="BS122" s="17">
        <f t="shared" si="67"/>
        <v>0</v>
      </c>
      <c r="BT122" s="17">
        <f t="shared" si="68"/>
        <v>0</v>
      </c>
      <c r="BU122" s="17">
        <f t="shared" si="69"/>
        <v>0</v>
      </c>
      <c r="BV122" s="17">
        <f t="shared" si="70"/>
        <v>0</v>
      </c>
      <c r="BW122" s="17">
        <f t="shared" si="71"/>
        <v>0</v>
      </c>
      <c r="BX122" s="17">
        <f t="shared" si="72"/>
        <v>0</v>
      </c>
      <c r="BY122" s="17">
        <f t="shared" si="73"/>
        <v>0</v>
      </c>
      <c r="BZ122" s="17">
        <f t="shared" si="84"/>
        <v>0</v>
      </c>
      <c r="CA122" s="17">
        <f t="shared" si="85"/>
        <v>0</v>
      </c>
      <c r="CB122" s="17">
        <f t="shared" si="86"/>
        <v>0</v>
      </c>
      <c r="CC122" s="17">
        <f t="shared" si="87"/>
        <v>0</v>
      </c>
      <c r="CD122" s="17">
        <f t="shared" si="88"/>
        <v>0</v>
      </c>
      <c r="CE122" s="17">
        <f t="shared" si="89"/>
        <v>0</v>
      </c>
      <c r="CF122" s="17">
        <f t="shared" si="90"/>
        <v>0</v>
      </c>
      <c r="CG122" s="17">
        <f t="shared" si="91"/>
        <v>0</v>
      </c>
      <c r="CH122" s="17">
        <f t="shared" si="92"/>
        <v>0</v>
      </c>
      <c r="CI122" s="17">
        <f t="shared" si="93"/>
        <v>0</v>
      </c>
      <c r="CJ122" s="17">
        <f t="shared" si="94"/>
        <v>0</v>
      </c>
      <c r="CK122" s="17">
        <f t="shared" si="95"/>
        <v>0</v>
      </c>
      <c r="CL122" s="17">
        <f t="shared" si="96"/>
        <v>0</v>
      </c>
      <c r="CM122" s="14">
        <f t="shared" si="97"/>
        <v>0</v>
      </c>
      <c r="CN122" s="17">
        <f t="shared" si="98"/>
        <v>0</v>
      </c>
      <c r="CO122" s="14">
        <f t="shared" si="99"/>
        <v>0</v>
      </c>
      <c r="CP122" s="17">
        <f t="shared" si="100"/>
        <v>0</v>
      </c>
      <c r="CQ122" s="14">
        <f t="shared" si="74"/>
        <v>0</v>
      </c>
      <c r="CR122" s="14">
        <v>0</v>
      </c>
      <c r="CS122" s="14">
        <v>0</v>
      </c>
      <c r="CT122" s="14">
        <v>0</v>
      </c>
      <c r="CU122" s="14">
        <v>0</v>
      </c>
    </row>
    <row r="123" spans="1:99" x14ac:dyDescent="0.3">
      <c r="A123" s="14">
        <v>2012</v>
      </c>
      <c r="B123" s="14" t="s">
        <v>23</v>
      </c>
      <c r="C123" s="14" t="s">
        <v>24</v>
      </c>
      <c r="D123" s="15">
        <v>1060133.3</v>
      </c>
      <c r="E123" s="15">
        <v>25188292.499999996</v>
      </c>
      <c r="F123" s="15">
        <f t="shared" si="75"/>
        <v>23.759552218574772</v>
      </c>
      <c r="AB123" s="14">
        <f t="shared" si="76"/>
        <v>0</v>
      </c>
      <c r="AM123" s="14">
        <f t="shared" si="77"/>
        <v>0</v>
      </c>
      <c r="AQ123" s="14">
        <f t="shared" si="78"/>
        <v>0</v>
      </c>
      <c r="AT123" s="14">
        <f t="shared" si="79"/>
        <v>0</v>
      </c>
      <c r="AU123" s="16">
        <v>0</v>
      </c>
      <c r="AV123" s="16">
        <v>0</v>
      </c>
      <c r="AW123" s="16">
        <v>0</v>
      </c>
      <c r="AX123" s="16">
        <v>0</v>
      </c>
      <c r="AY123" s="18">
        <f t="shared" si="80"/>
        <v>0</v>
      </c>
      <c r="AZ123" s="17">
        <f t="shared" si="81"/>
        <v>0</v>
      </c>
      <c r="BA123" s="17">
        <f t="shared" si="82"/>
        <v>0</v>
      </c>
      <c r="BB123" s="17">
        <f t="shared" si="83"/>
        <v>0</v>
      </c>
      <c r="BC123" s="17">
        <f t="shared" si="51"/>
        <v>0</v>
      </c>
      <c r="BD123" s="17">
        <f t="shared" si="52"/>
        <v>0</v>
      </c>
      <c r="BE123" s="17">
        <f t="shared" si="53"/>
        <v>0</v>
      </c>
      <c r="BF123" s="17">
        <f t="shared" si="54"/>
        <v>0</v>
      </c>
      <c r="BG123" s="17">
        <f t="shared" si="55"/>
        <v>0</v>
      </c>
      <c r="BH123" s="17">
        <f t="shared" si="56"/>
        <v>0</v>
      </c>
      <c r="BI123" s="17">
        <f t="shared" si="57"/>
        <v>0</v>
      </c>
      <c r="BJ123" s="17">
        <f t="shared" si="58"/>
        <v>0</v>
      </c>
      <c r="BK123" s="17">
        <f t="shared" si="59"/>
        <v>0</v>
      </c>
      <c r="BL123" s="17">
        <f t="shared" si="60"/>
        <v>0</v>
      </c>
      <c r="BM123" s="17">
        <f t="shared" si="61"/>
        <v>0</v>
      </c>
      <c r="BN123" s="17">
        <f t="shared" si="62"/>
        <v>0</v>
      </c>
      <c r="BO123" s="17">
        <f t="shared" si="63"/>
        <v>0</v>
      </c>
      <c r="BP123" s="17">
        <f t="shared" si="64"/>
        <v>0</v>
      </c>
      <c r="BQ123" s="17">
        <f t="shared" si="65"/>
        <v>0</v>
      </c>
      <c r="BR123" s="17">
        <f t="shared" si="66"/>
        <v>0</v>
      </c>
      <c r="BS123" s="17">
        <f t="shared" si="67"/>
        <v>0</v>
      </c>
      <c r="BT123" s="17">
        <f t="shared" si="68"/>
        <v>0</v>
      </c>
      <c r="BU123" s="17">
        <f t="shared" si="69"/>
        <v>0</v>
      </c>
      <c r="BV123" s="17">
        <f t="shared" si="70"/>
        <v>0</v>
      </c>
      <c r="BW123" s="17">
        <f t="shared" si="71"/>
        <v>0</v>
      </c>
      <c r="BX123" s="17">
        <f t="shared" si="72"/>
        <v>0</v>
      </c>
      <c r="BY123" s="17">
        <f t="shared" si="73"/>
        <v>0</v>
      </c>
      <c r="BZ123" s="17">
        <f t="shared" si="84"/>
        <v>0</v>
      </c>
      <c r="CA123" s="17">
        <f t="shared" si="85"/>
        <v>0</v>
      </c>
      <c r="CB123" s="17">
        <f t="shared" si="86"/>
        <v>0</v>
      </c>
      <c r="CC123" s="17">
        <f t="shared" si="87"/>
        <v>0</v>
      </c>
      <c r="CD123" s="17">
        <f t="shared" si="88"/>
        <v>0</v>
      </c>
      <c r="CE123" s="17">
        <f t="shared" si="89"/>
        <v>0</v>
      </c>
      <c r="CF123" s="17">
        <f t="shared" si="90"/>
        <v>0</v>
      </c>
      <c r="CG123" s="17">
        <f t="shared" si="91"/>
        <v>0</v>
      </c>
      <c r="CH123" s="17">
        <f t="shared" si="92"/>
        <v>0</v>
      </c>
      <c r="CI123" s="17">
        <f t="shared" si="93"/>
        <v>0</v>
      </c>
      <c r="CJ123" s="17">
        <f t="shared" si="94"/>
        <v>0</v>
      </c>
      <c r="CK123" s="17">
        <f t="shared" si="95"/>
        <v>0</v>
      </c>
      <c r="CL123" s="17">
        <f t="shared" si="96"/>
        <v>0</v>
      </c>
      <c r="CM123" s="14">
        <f t="shared" si="97"/>
        <v>0</v>
      </c>
      <c r="CN123" s="17">
        <f t="shared" si="98"/>
        <v>0</v>
      </c>
      <c r="CO123" s="14">
        <f t="shared" si="99"/>
        <v>0</v>
      </c>
      <c r="CP123" s="17">
        <f t="shared" si="100"/>
        <v>0</v>
      </c>
      <c r="CQ123" s="14">
        <f t="shared" si="74"/>
        <v>0</v>
      </c>
      <c r="CR123" s="14">
        <v>353</v>
      </c>
      <c r="CS123" s="14">
        <v>751</v>
      </c>
      <c r="CT123" s="14">
        <v>85</v>
      </c>
      <c r="CU123" s="14">
        <v>517</v>
      </c>
    </row>
    <row r="124" spans="1:99" x14ac:dyDescent="0.3">
      <c r="A124" s="14">
        <v>2013</v>
      </c>
      <c r="B124" s="14" t="s">
        <v>23</v>
      </c>
      <c r="C124" s="14" t="s">
        <v>24</v>
      </c>
      <c r="D124" s="15">
        <v>1089608.5</v>
      </c>
      <c r="E124" s="15">
        <v>26147002.000000011</v>
      </c>
      <c r="F124" s="15">
        <f t="shared" si="75"/>
        <v>23.996694225494764</v>
      </c>
      <c r="AB124" s="14">
        <f t="shared" si="76"/>
        <v>0</v>
      </c>
      <c r="AM124" s="14">
        <f t="shared" si="77"/>
        <v>0</v>
      </c>
      <c r="AQ124" s="14">
        <f t="shared" si="78"/>
        <v>0</v>
      </c>
      <c r="AT124" s="14">
        <f t="shared" si="79"/>
        <v>0</v>
      </c>
      <c r="AU124" s="16">
        <v>0</v>
      </c>
      <c r="AV124" s="16">
        <v>0</v>
      </c>
      <c r="AW124" s="16">
        <v>60</v>
      </c>
      <c r="AX124" s="16">
        <v>0</v>
      </c>
      <c r="AY124" s="18">
        <f t="shared" si="80"/>
        <v>0</v>
      </c>
      <c r="AZ124" s="17">
        <f t="shared" si="81"/>
        <v>0</v>
      </c>
      <c r="BA124" s="17">
        <f t="shared" si="82"/>
        <v>2.2947181478014181E-2</v>
      </c>
      <c r="BB124" s="17">
        <f t="shared" si="83"/>
        <v>0</v>
      </c>
      <c r="BC124" s="17">
        <f t="shared" si="51"/>
        <v>0</v>
      </c>
      <c r="BD124" s="17">
        <f t="shared" si="52"/>
        <v>0</v>
      </c>
      <c r="BE124" s="17">
        <f t="shared" si="53"/>
        <v>0</v>
      </c>
      <c r="BF124" s="17">
        <f t="shared" si="54"/>
        <v>0</v>
      </c>
      <c r="BG124" s="17">
        <f t="shared" si="55"/>
        <v>0</v>
      </c>
      <c r="BH124" s="17">
        <f t="shared" si="56"/>
        <v>0</v>
      </c>
      <c r="BI124" s="17">
        <f t="shared" si="57"/>
        <v>0</v>
      </c>
      <c r="BJ124" s="17">
        <f t="shared" si="58"/>
        <v>0</v>
      </c>
      <c r="BK124" s="17">
        <f t="shared" si="59"/>
        <v>0</v>
      </c>
      <c r="BL124" s="17">
        <f t="shared" si="60"/>
        <v>0</v>
      </c>
      <c r="BM124" s="17">
        <f t="shared" si="61"/>
        <v>0</v>
      </c>
      <c r="BN124" s="17">
        <f t="shared" si="62"/>
        <v>0</v>
      </c>
      <c r="BO124" s="17">
        <f t="shared" si="63"/>
        <v>0</v>
      </c>
      <c r="BP124" s="17">
        <f t="shared" si="64"/>
        <v>0</v>
      </c>
      <c r="BQ124" s="17">
        <f t="shared" si="65"/>
        <v>0</v>
      </c>
      <c r="BR124" s="17">
        <f t="shared" si="66"/>
        <v>0</v>
      </c>
      <c r="BS124" s="17">
        <f t="shared" si="67"/>
        <v>0</v>
      </c>
      <c r="BT124" s="17">
        <f t="shared" si="68"/>
        <v>0</v>
      </c>
      <c r="BU124" s="17">
        <f t="shared" si="69"/>
        <v>0</v>
      </c>
      <c r="BV124" s="17">
        <f t="shared" si="70"/>
        <v>0</v>
      </c>
      <c r="BW124" s="17">
        <f t="shared" si="71"/>
        <v>0</v>
      </c>
      <c r="BX124" s="17">
        <f t="shared" si="72"/>
        <v>0</v>
      </c>
      <c r="BY124" s="17">
        <f t="shared" si="73"/>
        <v>0</v>
      </c>
      <c r="BZ124" s="17">
        <f t="shared" si="84"/>
        <v>0</v>
      </c>
      <c r="CA124" s="17">
        <f t="shared" si="85"/>
        <v>0</v>
      </c>
      <c r="CB124" s="17">
        <f t="shared" si="86"/>
        <v>0</v>
      </c>
      <c r="CC124" s="17">
        <f t="shared" si="87"/>
        <v>0</v>
      </c>
      <c r="CD124" s="17">
        <f t="shared" si="88"/>
        <v>0</v>
      </c>
      <c r="CE124" s="17">
        <f t="shared" si="89"/>
        <v>0</v>
      </c>
      <c r="CF124" s="17">
        <f t="shared" si="90"/>
        <v>0</v>
      </c>
      <c r="CG124" s="17">
        <f t="shared" si="91"/>
        <v>0</v>
      </c>
      <c r="CH124" s="17">
        <f t="shared" si="92"/>
        <v>0</v>
      </c>
      <c r="CI124" s="17">
        <f t="shared" si="93"/>
        <v>0</v>
      </c>
      <c r="CJ124" s="17">
        <f t="shared" si="94"/>
        <v>0</v>
      </c>
      <c r="CK124" s="17">
        <f t="shared" si="95"/>
        <v>0</v>
      </c>
      <c r="CL124" s="17">
        <f t="shared" si="96"/>
        <v>0</v>
      </c>
      <c r="CM124" s="14">
        <f t="shared" si="97"/>
        <v>60</v>
      </c>
      <c r="CN124" s="17">
        <f t="shared" si="98"/>
        <v>2.2947181478014181E-2</v>
      </c>
      <c r="CO124" s="14">
        <f t="shared" si="99"/>
        <v>60</v>
      </c>
      <c r="CP124" s="17">
        <f t="shared" si="100"/>
        <v>2.2947181478014181E-2</v>
      </c>
      <c r="CQ124" s="14">
        <f t="shared" si="74"/>
        <v>60</v>
      </c>
      <c r="CR124" s="14">
        <v>0</v>
      </c>
      <c r="CS124" s="14">
        <v>0</v>
      </c>
      <c r="CT124" s="14">
        <v>0</v>
      </c>
      <c r="CU124" s="14">
        <v>0</v>
      </c>
    </row>
    <row r="125" spans="1:99" x14ac:dyDescent="0.3">
      <c r="A125" s="14">
        <v>2014</v>
      </c>
      <c r="B125" s="14" t="s">
        <v>23</v>
      </c>
      <c r="C125" s="14" t="s">
        <v>24</v>
      </c>
      <c r="D125" s="15">
        <v>1117632.7</v>
      </c>
      <c r="E125" s="15">
        <v>27128336.499999981</v>
      </c>
      <c r="F125" s="15">
        <f t="shared" si="75"/>
        <v>24.273033976189122</v>
      </c>
      <c r="AB125" s="14">
        <f t="shared" si="76"/>
        <v>0</v>
      </c>
      <c r="AM125" s="14">
        <f t="shared" si="77"/>
        <v>0</v>
      </c>
      <c r="AQ125" s="14">
        <f t="shared" si="78"/>
        <v>0</v>
      </c>
      <c r="AT125" s="14">
        <f t="shared" si="79"/>
        <v>0</v>
      </c>
      <c r="AU125" s="16">
        <v>0</v>
      </c>
      <c r="AV125" s="16">
        <v>0</v>
      </c>
      <c r="AW125" s="16">
        <v>0</v>
      </c>
      <c r="AX125" s="16">
        <v>0</v>
      </c>
      <c r="AY125" s="18">
        <f t="shared" si="80"/>
        <v>0</v>
      </c>
      <c r="AZ125" s="17">
        <f t="shared" si="81"/>
        <v>0</v>
      </c>
      <c r="BA125" s="17">
        <f t="shared" si="82"/>
        <v>0</v>
      </c>
      <c r="BB125" s="17">
        <f t="shared" si="83"/>
        <v>0</v>
      </c>
      <c r="BC125" s="17">
        <f t="shared" si="51"/>
        <v>0</v>
      </c>
      <c r="BD125" s="17">
        <f t="shared" si="52"/>
        <v>0</v>
      </c>
      <c r="BE125" s="17">
        <f t="shared" si="53"/>
        <v>0</v>
      </c>
      <c r="BF125" s="17">
        <f t="shared" si="54"/>
        <v>0</v>
      </c>
      <c r="BG125" s="17">
        <f t="shared" si="55"/>
        <v>0</v>
      </c>
      <c r="BH125" s="17">
        <f t="shared" si="56"/>
        <v>0</v>
      </c>
      <c r="BI125" s="17">
        <f t="shared" si="57"/>
        <v>0</v>
      </c>
      <c r="BJ125" s="17">
        <f t="shared" si="58"/>
        <v>0</v>
      </c>
      <c r="BK125" s="17">
        <f t="shared" si="59"/>
        <v>0</v>
      </c>
      <c r="BL125" s="17">
        <f t="shared" si="60"/>
        <v>0</v>
      </c>
      <c r="BM125" s="17">
        <f t="shared" si="61"/>
        <v>0</v>
      </c>
      <c r="BN125" s="17">
        <f t="shared" si="62"/>
        <v>0</v>
      </c>
      <c r="BO125" s="17">
        <f t="shared" si="63"/>
        <v>0</v>
      </c>
      <c r="BP125" s="17">
        <f t="shared" si="64"/>
        <v>0</v>
      </c>
      <c r="BQ125" s="17">
        <f t="shared" si="65"/>
        <v>0</v>
      </c>
      <c r="BR125" s="17">
        <f t="shared" si="66"/>
        <v>0</v>
      </c>
      <c r="BS125" s="17">
        <f t="shared" si="67"/>
        <v>0</v>
      </c>
      <c r="BT125" s="17">
        <f t="shared" si="68"/>
        <v>0</v>
      </c>
      <c r="BU125" s="17">
        <f t="shared" si="69"/>
        <v>0</v>
      </c>
      <c r="BV125" s="17">
        <f t="shared" si="70"/>
        <v>0</v>
      </c>
      <c r="BW125" s="17">
        <f t="shared" si="71"/>
        <v>0</v>
      </c>
      <c r="BX125" s="17">
        <f t="shared" si="72"/>
        <v>0</v>
      </c>
      <c r="BY125" s="17">
        <f t="shared" si="73"/>
        <v>0</v>
      </c>
      <c r="BZ125" s="17">
        <f t="shared" si="84"/>
        <v>0</v>
      </c>
      <c r="CA125" s="17">
        <f t="shared" si="85"/>
        <v>0</v>
      </c>
      <c r="CB125" s="17">
        <f t="shared" si="86"/>
        <v>0</v>
      </c>
      <c r="CC125" s="17">
        <f t="shared" si="87"/>
        <v>0</v>
      </c>
      <c r="CD125" s="17">
        <f t="shared" si="88"/>
        <v>0</v>
      </c>
      <c r="CE125" s="17">
        <f t="shared" si="89"/>
        <v>0</v>
      </c>
      <c r="CF125" s="17">
        <f t="shared" si="90"/>
        <v>0</v>
      </c>
      <c r="CG125" s="17">
        <f t="shared" si="91"/>
        <v>0</v>
      </c>
      <c r="CH125" s="17">
        <f t="shared" si="92"/>
        <v>0</v>
      </c>
      <c r="CI125" s="17">
        <f t="shared" si="93"/>
        <v>0</v>
      </c>
      <c r="CJ125" s="17">
        <f t="shared" si="94"/>
        <v>0</v>
      </c>
      <c r="CK125" s="17">
        <f t="shared" si="95"/>
        <v>0</v>
      </c>
      <c r="CL125" s="17">
        <f t="shared" si="96"/>
        <v>0</v>
      </c>
      <c r="CM125" s="14">
        <f t="shared" si="97"/>
        <v>0</v>
      </c>
      <c r="CN125" s="17">
        <f t="shared" si="98"/>
        <v>0</v>
      </c>
      <c r="CO125" s="14">
        <f t="shared" si="99"/>
        <v>0</v>
      </c>
      <c r="CP125" s="17">
        <f t="shared" si="100"/>
        <v>0</v>
      </c>
      <c r="CQ125" s="14">
        <f t="shared" si="74"/>
        <v>0</v>
      </c>
      <c r="CR125" s="14">
        <v>0</v>
      </c>
      <c r="CS125" s="14">
        <v>0</v>
      </c>
      <c r="CT125" s="14">
        <v>0</v>
      </c>
      <c r="CU125" s="14">
        <v>0</v>
      </c>
    </row>
    <row r="126" spans="1:99" x14ac:dyDescent="0.3">
      <c r="A126" s="14">
        <v>2015</v>
      </c>
      <c r="B126" s="14" t="s">
        <v>23</v>
      </c>
      <c r="C126" s="14" t="s">
        <v>24</v>
      </c>
      <c r="D126" s="15">
        <v>1144292.3999999999</v>
      </c>
      <c r="E126" s="15">
        <v>28127721.000000004</v>
      </c>
      <c r="F126" s="15">
        <f t="shared" si="75"/>
        <v>24.580885969355389</v>
      </c>
      <c r="AB126" s="14">
        <f t="shared" si="76"/>
        <v>0</v>
      </c>
      <c r="AM126" s="14">
        <f t="shared" si="77"/>
        <v>0</v>
      </c>
      <c r="AQ126" s="14">
        <f t="shared" si="78"/>
        <v>0</v>
      </c>
      <c r="AT126" s="14">
        <f t="shared" si="79"/>
        <v>0</v>
      </c>
      <c r="AU126" s="16">
        <v>0</v>
      </c>
      <c r="AV126" s="16">
        <v>0</v>
      </c>
      <c r="AW126" s="16">
        <v>0</v>
      </c>
      <c r="AX126" s="16">
        <v>0</v>
      </c>
      <c r="AY126" s="18">
        <f t="shared" si="80"/>
        <v>0</v>
      </c>
      <c r="AZ126" s="17">
        <f t="shared" si="81"/>
        <v>0</v>
      </c>
      <c r="BA126" s="17">
        <f t="shared" si="82"/>
        <v>0</v>
      </c>
      <c r="BB126" s="17">
        <f t="shared" si="83"/>
        <v>0</v>
      </c>
      <c r="BC126" s="17">
        <f t="shared" si="51"/>
        <v>0</v>
      </c>
      <c r="BD126" s="17">
        <f t="shared" si="52"/>
        <v>0</v>
      </c>
      <c r="BE126" s="17">
        <f t="shared" si="53"/>
        <v>0</v>
      </c>
      <c r="BF126" s="17">
        <f t="shared" si="54"/>
        <v>0</v>
      </c>
      <c r="BG126" s="17">
        <f t="shared" si="55"/>
        <v>0</v>
      </c>
      <c r="BH126" s="17">
        <f t="shared" si="56"/>
        <v>0</v>
      </c>
      <c r="BI126" s="17">
        <f t="shared" si="57"/>
        <v>0</v>
      </c>
      <c r="BJ126" s="17">
        <f t="shared" si="58"/>
        <v>0</v>
      </c>
      <c r="BK126" s="17">
        <f t="shared" si="59"/>
        <v>0</v>
      </c>
      <c r="BL126" s="17">
        <f t="shared" si="60"/>
        <v>0</v>
      </c>
      <c r="BM126" s="17">
        <f t="shared" si="61"/>
        <v>0</v>
      </c>
      <c r="BN126" s="17">
        <f t="shared" si="62"/>
        <v>0</v>
      </c>
      <c r="BO126" s="17">
        <f t="shared" si="63"/>
        <v>0</v>
      </c>
      <c r="BP126" s="17">
        <f t="shared" si="64"/>
        <v>0</v>
      </c>
      <c r="BQ126" s="17">
        <f t="shared" si="65"/>
        <v>0</v>
      </c>
      <c r="BR126" s="17">
        <f t="shared" si="66"/>
        <v>0</v>
      </c>
      <c r="BS126" s="17">
        <f t="shared" si="67"/>
        <v>0</v>
      </c>
      <c r="BT126" s="17">
        <f t="shared" si="68"/>
        <v>0</v>
      </c>
      <c r="BU126" s="17">
        <f t="shared" si="69"/>
        <v>0</v>
      </c>
      <c r="BV126" s="17">
        <f t="shared" si="70"/>
        <v>0</v>
      </c>
      <c r="BW126" s="17">
        <f t="shared" si="71"/>
        <v>0</v>
      </c>
      <c r="BX126" s="17">
        <f t="shared" si="72"/>
        <v>0</v>
      </c>
      <c r="BY126" s="17">
        <f t="shared" si="73"/>
        <v>0</v>
      </c>
      <c r="BZ126" s="17">
        <f t="shared" si="84"/>
        <v>0</v>
      </c>
      <c r="CA126" s="17">
        <f t="shared" si="85"/>
        <v>0</v>
      </c>
      <c r="CB126" s="17">
        <f t="shared" si="86"/>
        <v>0</v>
      </c>
      <c r="CC126" s="17">
        <f t="shared" si="87"/>
        <v>0</v>
      </c>
      <c r="CD126" s="17">
        <f t="shared" si="88"/>
        <v>0</v>
      </c>
      <c r="CE126" s="17">
        <f t="shared" si="89"/>
        <v>0</v>
      </c>
      <c r="CF126" s="17">
        <f t="shared" si="90"/>
        <v>0</v>
      </c>
      <c r="CG126" s="17">
        <f t="shared" si="91"/>
        <v>0</v>
      </c>
      <c r="CH126" s="17">
        <f t="shared" si="92"/>
        <v>0</v>
      </c>
      <c r="CI126" s="17">
        <f t="shared" si="93"/>
        <v>0</v>
      </c>
      <c r="CJ126" s="17">
        <f t="shared" si="94"/>
        <v>0</v>
      </c>
      <c r="CK126" s="17">
        <f t="shared" si="95"/>
        <v>0</v>
      </c>
      <c r="CL126" s="17">
        <f t="shared" si="96"/>
        <v>0</v>
      </c>
      <c r="CM126" s="14">
        <f t="shared" si="97"/>
        <v>0</v>
      </c>
      <c r="CN126" s="17">
        <f t="shared" si="98"/>
        <v>0</v>
      </c>
      <c r="CO126" s="14">
        <f t="shared" si="99"/>
        <v>0</v>
      </c>
      <c r="CP126" s="17">
        <f t="shared" si="100"/>
        <v>0</v>
      </c>
      <c r="CQ126" s="14">
        <f t="shared" si="74"/>
        <v>0</v>
      </c>
      <c r="CR126" s="14">
        <v>595</v>
      </c>
      <c r="CS126" s="14">
        <v>2781</v>
      </c>
      <c r="CT126" s="14">
        <v>870</v>
      </c>
      <c r="CU126" s="14">
        <v>0</v>
      </c>
    </row>
    <row r="127" spans="1:99" x14ac:dyDescent="0.3">
      <c r="A127" s="14">
        <v>2016</v>
      </c>
      <c r="B127" s="14" t="s">
        <v>23</v>
      </c>
      <c r="C127" s="14" t="s">
        <v>24</v>
      </c>
      <c r="D127" s="15">
        <v>1170060.7</v>
      </c>
      <c r="E127" s="15">
        <v>29154745.500000007</v>
      </c>
      <c r="F127" s="15">
        <f t="shared" si="75"/>
        <v>24.917293179747006</v>
      </c>
      <c r="AB127" s="14">
        <f t="shared" si="76"/>
        <v>0</v>
      </c>
      <c r="AM127" s="14">
        <f t="shared" si="77"/>
        <v>0</v>
      </c>
      <c r="AQ127" s="14">
        <f t="shared" si="78"/>
        <v>0</v>
      </c>
      <c r="AT127" s="14">
        <f t="shared" si="79"/>
        <v>0</v>
      </c>
      <c r="AU127" s="16">
        <v>0</v>
      </c>
      <c r="AV127" s="16">
        <v>0</v>
      </c>
      <c r="AW127" s="16">
        <v>0</v>
      </c>
      <c r="AX127" s="16">
        <v>0</v>
      </c>
      <c r="AY127" s="18">
        <f t="shared" si="80"/>
        <v>0</v>
      </c>
      <c r="AZ127" s="17">
        <f t="shared" si="81"/>
        <v>0</v>
      </c>
      <c r="BA127" s="17">
        <f t="shared" si="82"/>
        <v>0</v>
      </c>
      <c r="BB127" s="17">
        <f t="shared" si="83"/>
        <v>0</v>
      </c>
      <c r="BC127" s="17">
        <f t="shared" si="51"/>
        <v>0</v>
      </c>
      <c r="BD127" s="17">
        <f t="shared" si="52"/>
        <v>0</v>
      </c>
      <c r="BE127" s="17">
        <f t="shared" si="53"/>
        <v>0</v>
      </c>
      <c r="BF127" s="17">
        <f t="shared" si="54"/>
        <v>0</v>
      </c>
      <c r="BG127" s="17">
        <f t="shared" si="55"/>
        <v>0</v>
      </c>
      <c r="BH127" s="17">
        <f t="shared" si="56"/>
        <v>0</v>
      </c>
      <c r="BI127" s="17">
        <f t="shared" si="57"/>
        <v>0</v>
      </c>
      <c r="BJ127" s="17">
        <f t="shared" si="58"/>
        <v>0</v>
      </c>
      <c r="BK127" s="17">
        <f t="shared" si="59"/>
        <v>0</v>
      </c>
      <c r="BL127" s="17">
        <f t="shared" si="60"/>
        <v>0</v>
      </c>
      <c r="BM127" s="17">
        <f t="shared" si="61"/>
        <v>0</v>
      </c>
      <c r="BN127" s="17">
        <f t="shared" si="62"/>
        <v>0</v>
      </c>
      <c r="BO127" s="17">
        <f t="shared" si="63"/>
        <v>0</v>
      </c>
      <c r="BP127" s="17">
        <f t="shared" si="64"/>
        <v>0</v>
      </c>
      <c r="BQ127" s="17">
        <f t="shared" si="65"/>
        <v>0</v>
      </c>
      <c r="BR127" s="17">
        <f t="shared" si="66"/>
        <v>0</v>
      </c>
      <c r="BS127" s="17">
        <f t="shared" si="67"/>
        <v>0</v>
      </c>
      <c r="BT127" s="17">
        <f t="shared" si="68"/>
        <v>0</v>
      </c>
      <c r="BU127" s="17">
        <f t="shared" si="69"/>
        <v>0</v>
      </c>
      <c r="BV127" s="17">
        <f t="shared" si="70"/>
        <v>0</v>
      </c>
      <c r="BW127" s="17">
        <f t="shared" si="71"/>
        <v>0</v>
      </c>
      <c r="BX127" s="17">
        <f t="shared" si="72"/>
        <v>0</v>
      </c>
      <c r="BY127" s="17">
        <f t="shared" si="73"/>
        <v>0</v>
      </c>
      <c r="BZ127" s="17">
        <f t="shared" si="84"/>
        <v>0</v>
      </c>
      <c r="CA127" s="17">
        <f t="shared" si="85"/>
        <v>0</v>
      </c>
      <c r="CB127" s="17">
        <f t="shared" si="86"/>
        <v>0</v>
      </c>
      <c r="CC127" s="17">
        <f t="shared" si="87"/>
        <v>0</v>
      </c>
      <c r="CD127" s="17">
        <f t="shared" si="88"/>
        <v>0</v>
      </c>
      <c r="CE127" s="17">
        <f t="shared" si="89"/>
        <v>0</v>
      </c>
      <c r="CF127" s="17">
        <f t="shared" si="90"/>
        <v>0</v>
      </c>
      <c r="CG127" s="17">
        <f t="shared" si="91"/>
        <v>0</v>
      </c>
      <c r="CH127" s="17">
        <f t="shared" si="92"/>
        <v>0</v>
      </c>
      <c r="CI127" s="17">
        <f t="shared" si="93"/>
        <v>0</v>
      </c>
      <c r="CJ127" s="17">
        <f t="shared" si="94"/>
        <v>0</v>
      </c>
      <c r="CK127" s="17">
        <f t="shared" si="95"/>
        <v>0</v>
      </c>
      <c r="CL127" s="17">
        <f t="shared" si="96"/>
        <v>0</v>
      </c>
      <c r="CM127" s="14">
        <f t="shared" si="97"/>
        <v>0</v>
      </c>
      <c r="CN127" s="17">
        <f t="shared" si="98"/>
        <v>0</v>
      </c>
      <c r="CO127" s="14">
        <f t="shared" si="99"/>
        <v>0</v>
      </c>
      <c r="CP127" s="17">
        <f t="shared" si="100"/>
        <v>0</v>
      </c>
      <c r="CQ127" s="14">
        <f t="shared" si="74"/>
        <v>0</v>
      </c>
      <c r="CR127" s="14">
        <v>181</v>
      </c>
      <c r="CS127" s="14">
        <v>884</v>
      </c>
      <c r="CT127" s="14">
        <v>32</v>
      </c>
      <c r="CU127" s="14">
        <v>177</v>
      </c>
    </row>
    <row r="128" spans="1:99" x14ac:dyDescent="0.3">
      <c r="A128" s="14">
        <v>2017</v>
      </c>
      <c r="B128" s="14" t="s">
        <v>23</v>
      </c>
      <c r="C128" s="14" t="s">
        <v>24</v>
      </c>
      <c r="D128" s="15">
        <v>1196892.8</v>
      </c>
      <c r="E128" s="15">
        <v>30208628.000000015</v>
      </c>
      <c r="F128" s="15">
        <f t="shared" si="75"/>
        <v>25.239209392854576</v>
      </c>
      <c r="AB128" s="14">
        <f t="shared" si="76"/>
        <v>0</v>
      </c>
      <c r="AM128" s="14">
        <f t="shared" si="77"/>
        <v>0</v>
      </c>
      <c r="AQ128" s="14">
        <f t="shared" si="78"/>
        <v>0</v>
      </c>
      <c r="AT128" s="14">
        <f t="shared" si="79"/>
        <v>0</v>
      </c>
      <c r="AU128" s="16">
        <v>12800</v>
      </c>
      <c r="AV128" s="16">
        <v>0</v>
      </c>
      <c r="AW128" s="16">
        <v>0</v>
      </c>
      <c r="AX128" s="16">
        <v>0</v>
      </c>
      <c r="AY128" s="18">
        <f t="shared" si="80"/>
        <v>4.2372000476155334</v>
      </c>
      <c r="AZ128" s="17">
        <f t="shared" si="81"/>
        <v>0</v>
      </c>
      <c r="BA128" s="17">
        <f t="shared" si="82"/>
        <v>0</v>
      </c>
      <c r="BB128" s="17">
        <f t="shared" si="83"/>
        <v>0</v>
      </c>
      <c r="BC128" s="17">
        <f t="shared" si="51"/>
        <v>0</v>
      </c>
      <c r="BD128" s="17">
        <f t="shared" si="52"/>
        <v>0</v>
      </c>
      <c r="BE128" s="17">
        <f t="shared" si="53"/>
        <v>0</v>
      </c>
      <c r="BF128" s="17">
        <f t="shared" si="54"/>
        <v>0</v>
      </c>
      <c r="BG128" s="17">
        <f t="shared" si="55"/>
        <v>0</v>
      </c>
      <c r="BH128" s="17">
        <f t="shared" si="56"/>
        <v>0</v>
      </c>
      <c r="BI128" s="17">
        <f t="shared" si="57"/>
        <v>0</v>
      </c>
      <c r="BJ128" s="17">
        <f t="shared" si="58"/>
        <v>0</v>
      </c>
      <c r="BK128" s="17">
        <f t="shared" si="59"/>
        <v>0</v>
      </c>
      <c r="BL128" s="17">
        <f t="shared" si="60"/>
        <v>0</v>
      </c>
      <c r="BM128" s="17">
        <f t="shared" si="61"/>
        <v>0</v>
      </c>
      <c r="BN128" s="17">
        <f t="shared" si="62"/>
        <v>0</v>
      </c>
      <c r="BO128" s="17">
        <f t="shared" si="63"/>
        <v>0</v>
      </c>
      <c r="BP128" s="17">
        <f t="shared" si="64"/>
        <v>0</v>
      </c>
      <c r="BQ128" s="17">
        <f t="shared" si="65"/>
        <v>0</v>
      </c>
      <c r="BR128" s="17">
        <f t="shared" si="66"/>
        <v>0</v>
      </c>
      <c r="BS128" s="17">
        <f t="shared" si="67"/>
        <v>0</v>
      </c>
      <c r="BT128" s="17">
        <f t="shared" si="68"/>
        <v>0</v>
      </c>
      <c r="BU128" s="17">
        <f t="shared" si="69"/>
        <v>0</v>
      </c>
      <c r="BV128" s="17">
        <f t="shared" si="70"/>
        <v>0</v>
      </c>
      <c r="BW128" s="17">
        <f t="shared" si="71"/>
        <v>0</v>
      </c>
      <c r="BX128" s="17">
        <f t="shared" si="72"/>
        <v>0</v>
      </c>
      <c r="BY128" s="17">
        <f t="shared" si="73"/>
        <v>0</v>
      </c>
      <c r="BZ128" s="17">
        <f t="shared" si="84"/>
        <v>0</v>
      </c>
      <c r="CA128" s="17">
        <f t="shared" si="85"/>
        <v>0</v>
      </c>
      <c r="CB128" s="17">
        <f t="shared" si="86"/>
        <v>0</v>
      </c>
      <c r="CC128" s="17">
        <f t="shared" si="87"/>
        <v>0</v>
      </c>
      <c r="CD128" s="17">
        <f t="shared" si="88"/>
        <v>0</v>
      </c>
      <c r="CE128" s="17">
        <f t="shared" si="89"/>
        <v>0</v>
      </c>
      <c r="CF128" s="17">
        <f t="shared" si="90"/>
        <v>0</v>
      </c>
      <c r="CG128" s="17">
        <f t="shared" si="91"/>
        <v>0</v>
      </c>
      <c r="CH128" s="17">
        <f t="shared" si="92"/>
        <v>0</v>
      </c>
      <c r="CI128" s="17">
        <f t="shared" si="93"/>
        <v>0</v>
      </c>
      <c r="CJ128" s="17">
        <f t="shared" si="94"/>
        <v>0</v>
      </c>
      <c r="CK128" s="17">
        <f t="shared" si="95"/>
        <v>0</v>
      </c>
      <c r="CL128" s="17">
        <f t="shared" si="96"/>
        <v>0</v>
      </c>
      <c r="CM128" s="14">
        <f t="shared" si="97"/>
        <v>0</v>
      </c>
      <c r="CN128" s="17">
        <f t="shared" si="98"/>
        <v>0</v>
      </c>
      <c r="CO128" s="14">
        <f t="shared" si="99"/>
        <v>12800</v>
      </c>
      <c r="CP128" s="17">
        <f t="shared" si="100"/>
        <v>4.2372000476155334</v>
      </c>
      <c r="CQ128" s="14">
        <f t="shared" si="74"/>
        <v>12800</v>
      </c>
      <c r="CR128" s="14">
        <v>0</v>
      </c>
      <c r="CS128" s="14">
        <v>0</v>
      </c>
      <c r="CT128" s="14">
        <v>0</v>
      </c>
      <c r="CU128" s="14">
        <v>0</v>
      </c>
    </row>
    <row r="129" spans="1:99" x14ac:dyDescent="0.3">
      <c r="A129" s="14">
        <v>2018</v>
      </c>
      <c r="B129" s="14" t="s">
        <v>23</v>
      </c>
      <c r="C129" s="14" t="s">
        <v>24</v>
      </c>
      <c r="D129" s="15">
        <v>1224269.3</v>
      </c>
      <c r="E129" s="15">
        <v>31273533.000000004</v>
      </c>
      <c r="F129" s="15">
        <f t="shared" si="75"/>
        <v>25.544651818027294</v>
      </c>
      <c r="G129" s="14">
        <v>1652</v>
      </c>
      <c r="H129" s="14">
        <v>2302</v>
      </c>
      <c r="M129" s="14">
        <v>1680</v>
      </c>
      <c r="Z129" s="14">
        <v>98</v>
      </c>
      <c r="AB129" s="14">
        <f t="shared" si="76"/>
        <v>0</v>
      </c>
      <c r="AM129" s="14">
        <f t="shared" si="77"/>
        <v>0</v>
      </c>
      <c r="AQ129" s="14">
        <f t="shared" si="78"/>
        <v>0</v>
      </c>
      <c r="AT129" s="14">
        <f t="shared" si="79"/>
        <v>0</v>
      </c>
      <c r="AU129" s="16">
        <v>13186</v>
      </c>
      <c r="AV129" s="16">
        <v>25108</v>
      </c>
      <c r="AW129" s="16">
        <v>0</v>
      </c>
      <c r="AX129" s="16">
        <v>0</v>
      </c>
      <c r="AY129" s="18">
        <f t="shared" si="80"/>
        <v>4.2163448562079626</v>
      </c>
      <c r="AZ129" s="17">
        <f t="shared" si="81"/>
        <v>8.0285140793014964</v>
      </c>
      <c r="BA129" s="17">
        <f t="shared" si="82"/>
        <v>0</v>
      </c>
      <c r="BB129" s="17">
        <f t="shared" si="83"/>
        <v>0</v>
      </c>
      <c r="BC129" s="17">
        <f t="shared" si="51"/>
        <v>0.52824220403879529</v>
      </c>
      <c r="BD129" s="17">
        <f t="shared" si="52"/>
        <v>0.73608568625744963</v>
      </c>
      <c r="BE129" s="17">
        <f t="shared" si="53"/>
        <v>0</v>
      </c>
      <c r="BF129" s="17">
        <f t="shared" si="54"/>
        <v>0</v>
      </c>
      <c r="BG129" s="17">
        <f t="shared" si="55"/>
        <v>0</v>
      </c>
      <c r="BH129" s="17">
        <f t="shared" si="56"/>
        <v>0</v>
      </c>
      <c r="BI129" s="17">
        <f t="shared" si="57"/>
        <v>0.53719546173436805</v>
      </c>
      <c r="BJ129" s="17">
        <f t="shared" si="58"/>
        <v>0</v>
      </c>
      <c r="BK129" s="17">
        <f t="shared" si="59"/>
        <v>0</v>
      </c>
      <c r="BL129" s="17">
        <f t="shared" si="60"/>
        <v>0</v>
      </c>
      <c r="BM129" s="17">
        <f t="shared" si="61"/>
        <v>0</v>
      </c>
      <c r="BN129" s="17">
        <f t="shared" si="62"/>
        <v>0</v>
      </c>
      <c r="BO129" s="17">
        <f t="shared" si="63"/>
        <v>0</v>
      </c>
      <c r="BP129" s="17">
        <f t="shared" si="64"/>
        <v>0</v>
      </c>
      <c r="BQ129" s="17">
        <f t="shared" si="65"/>
        <v>0</v>
      </c>
      <c r="BR129" s="17">
        <f t="shared" si="66"/>
        <v>0</v>
      </c>
      <c r="BS129" s="17">
        <f t="shared" si="67"/>
        <v>0</v>
      </c>
      <c r="BT129" s="17">
        <f t="shared" si="68"/>
        <v>0</v>
      </c>
      <c r="BU129" s="17">
        <f t="shared" si="69"/>
        <v>0</v>
      </c>
      <c r="BV129" s="17">
        <f t="shared" si="70"/>
        <v>3.1336401934504807E-2</v>
      </c>
      <c r="BW129" s="17">
        <f t="shared" si="71"/>
        <v>0</v>
      </c>
      <c r="BX129" s="17">
        <f t="shared" si="72"/>
        <v>0</v>
      </c>
      <c r="BY129" s="17">
        <f t="shared" si="73"/>
        <v>0</v>
      </c>
      <c r="BZ129" s="17">
        <f t="shared" si="84"/>
        <v>0</v>
      </c>
      <c r="CA129" s="17">
        <f t="shared" si="85"/>
        <v>0</v>
      </c>
      <c r="CB129" s="17">
        <f t="shared" si="86"/>
        <v>0</v>
      </c>
      <c r="CC129" s="17">
        <f t="shared" si="87"/>
        <v>0</v>
      </c>
      <c r="CD129" s="17">
        <f t="shared" si="88"/>
        <v>0</v>
      </c>
      <c r="CE129" s="17">
        <f t="shared" si="89"/>
        <v>0</v>
      </c>
      <c r="CF129" s="17">
        <f t="shared" si="90"/>
        <v>0</v>
      </c>
      <c r="CG129" s="17">
        <f t="shared" si="91"/>
        <v>0</v>
      </c>
      <c r="CH129" s="17">
        <f t="shared" si="92"/>
        <v>0</v>
      </c>
      <c r="CI129" s="17">
        <f t="shared" si="93"/>
        <v>0</v>
      </c>
      <c r="CJ129" s="17">
        <f t="shared" si="94"/>
        <v>0</v>
      </c>
      <c r="CK129" s="17">
        <f t="shared" si="95"/>
        <v>0</v>
      </c>
      <c r="CL129" s="17">
        <f t="shared" si="96"/>
        <v>0</v>
      </c>
      <c r="CM129" s="14">
        <f t="shared" si="97"/>
        <v>25108</v>
      </c>
      <c r="CN129" s="17">
        <f t="shared" si="98"/>
        <v>8.0285140793014964</v>
      </c>
      <c r="CO129" s="14">
        <f t="shared" si="99"/>
        <v>38294</v>
      </c>
      <c r="CP129" s="17">
        <f t="shared" si="100"/>
        <v>12.244858935509459</v>
      </c>
      <c r="CQ129" s="14">
        <f t="shared" si="74"/>
        <v>44026</v>
      </c>
      <c r="CR129" s="14">
        <v>134</v>
      </c>
      <c r="CS129" s="14">
        <v>260</v>
      </c>
      <c r="CT129" s="14">
        <v>4</v>
      </c>
      <c r="CU129" s="14">
        <v>411</v>
      </c>
    </row>
    <row r="130" spans="1:99" x14ac:dyDescent="0.3">
      <c r="A130" s="14">
        <v>2019</v>
      </c>
      <c r="B130" s="14" t="s">
        <v>23</v>
      </c>
      <c r="C130" s="14" t="s">
        <v>24</v>
      </c>
      <c r="D130" s="15">
        <v>1251836.8999999999</v>
      </c>
      <c r="E130" s="15">
        <v>32353587.999999993</v>
      </c>
      <c r="F130" s="15">
        <f t="shared" si="75"/>
        <v>25.844890816047997</v>
      </c>
      <c r="AB130" s="14">
        <f t="shared" si="76"/>
        <v>0</v>
      </c>
      <c r="AM130" s="14">
        <f t="shared" si="77"/>
        <v>0</v>
      </c>
      <c r="AQ130" s="14">
        <f t="shared" si="78"/>
        <v>0</v>
      </c>
      <c r="AT130" s="14">
        <f t="shared" si="79"/>
        <v>0</v>
      </c>
      <c r="AU130" s="16">
        <v>0</v>
      </c>
      <c r="AV130" s="16">
        <v>0</v>
      </c>
      <c r="AW130" s="16">
        <v>0</v>
      </c>
      <c r="AX130" s="16">
        <v>0</v>
      </c>
      <c r="AY130" s="18">
        <f t="shared" si="80"/>
        <v>0</v>
      </c>
      <c r="AZ130" s="17">
        <f t="shared" si="81"/>
        <v>0</v>
      </c>
      <c r="BA130" s="17">
        <f t="shared" si="82"/>
        <v>0</v>
      </c>
      <c r="BB130" s="17">
        <f t="shared" si="83"/>
        <v>0</v>
      </c>
      <c r="BC130" s="17">
        <f t="shared" ref="BC130:BC193" si="101">(G130*10000)/$E130</f>
        <v>0</v>
      </c>
      <c r="BD130" s="17">
        <f t="shared" ref="BD130:BD193" si="102">(H130*10000)/$E130</f>
        <v>0</v>
      </c>
      <c r="BE130" s="17">
        <f t="shared" ref="BE130:BE193" si="103">(I130*10000)/$E130</f>
        <v>0</v>
      </c>
      <c r="BF130" s="17">
        <f t="shared" ref="BF130:BF193" si="104">(J130*10000)/$E130</f>
        <v>0</v>
      </c>
      <c r="BG130" s="17">
        <f t="shared" ref="BG130:BG193" si="105">(K130*10000)/$E130</f>
        <v>0</v>
      </c>
      <c r="BH130" s="17">
        <f t="shared" ref="BH130:BH193" si="106">(L130*10000)/$E130</f>
        <v>0</v>
      </c>
      <c r="BI130" s="17">
        <f t="shared" ref="BI130:BI193" si="107">(M130*10000)/$E130</f>
        <v>0</v>
      </c>
      <c r="BJ130" s="17">
        <f t="shared" ref="BJ130:BJ193" si="108">(N130*10000)/$E130</f>
        <v>0</v>
      </c>
      <c r="BK130" s="17">
        <f t="shared" ref="BK130:BK193" si="109">(O130*10000)/$E130</f>
        <v>0</v>
      </c>
      <c r="BL130" s="17">
        <f t="shared" ref="BL130:BL193" si="110">(P130*10000)/$E130</f>
        <v>0</v>
      </c>
      <c r="BM130" s="17">
        <f t="shared" ref="BM130:BM193" si="111">(Q130*10000)/$E130</f>
        <v>0</v>
      </c>
      <c r="BN130" s="17">
        <f t="shared" ref="BN130:BN193" si="112">(R130*10000)/$E130</f>
        <v>0</v>
      </c>
      <c r="BO130" s="17">
        <f t="shared" ref="BO130:BO193" si="113">(S130*10000)/$E130</f>
        <v>0</v>
      </c>
      <c r="BP130" s="17">
        <f t="shared" ref="BP130:BP193" si="114">(T130*10000)/$E130</f>
        <v>0</v>
      </c>
      <c r="BQ130" s="17">
        <f t="shared" ref="BQ130:BQ193" si="115">(U130*10000)/$E130</f>
        <v>0</v>
      </c>
      <c r="BR130" s="17">
        <f t="shared" ref="BR130:BR193" si="116">(V130*10000)/$E130</f>
        <v>0</v>
      </c>
      <c r="BS130" s="17">
        <f t="shared" ref="BS130:BS193" si="117">(W130*10000)/$E130</f>
        <v>0</v>
      </c>
      <c r="BT130" s="17">
        <f t="shared" ref="BT130:BT193" si="118">(X130*10000)/$E130</f>
        <v>0</v>
      </c>
      <c r="BU130" s="17">
        <f t="shared" ref="BU130:BU193" si="119">(Y130*10000)/$E130</f>
        <v>0</v>
      </c>
      <c r="BV130" s="17">
        <f t="shared" ref="BV130:BV193" si="120">(Z130*10000)/$E130</f>
        <v>0</v>
      </c>
      <c r="BW130" s="17">
        <f t="shared" ref="BW130:BW193" si="121">(AA130*10000)/$E130</f>
        <v>0</v>
      </c>
      <c r="BX130" s="17">
        <f t="shared" ref="BX130:BX193" si="122">(AC130*10000)/$E130</f>
        <v>0</v>
      </c>
      <c r="BY130" s="17">
        <f t="shared" ref="BY130:BY193" si="123">(AD130*10000)/$E130</f>
        <v>0</v>
      </c>
      <c r="BZ130" s="17">
        <f t="shared" si="84"/>
        <v>0</v>
      </c>
      <c r="CA130" s="17">
        <f t="shared" si="85"/>
        <v>0</v>
      </c>
      <c r="CB130" s="17">
        <f t="shared" si="86"/>
        <v>0</v>
      </c>
      <c r="CC130" s="17">
        <f t="shared" si="87"/>
        <v>0</v>
      </c>
      <c r="CD130" s="17">
        <f t="shared" si="88"/>
        <v>0</v>
      </c>
      <c r="CE130" s="17">
        <f t="shared" si="89"/>
        <v>0</v>
      </c>
      <c r="CF130" s="17">
        <f t="shared" si="90"/>
        <v>0</v>
      </c>
      <c r="CG130" s="17">
        <f t="shared" si="91"/>
        <v>0</v>
      </c>
      <c r="CH130" s="17">
        <f t="shared" si="92"/>
        <v>0</v>
      </c>
      <c r="CI130" s="17">
        <f t="shared" si="93"/>
        <v>0</v>
      </c>
      <c r="CJ130" s="17">
        <f t="shared" si="94"/>
        <v>0</v>
      </c>
      <c r="CK130" s="17">
        <f t="shared" si="95"/>
        <v>0</v>
      </c>
      <c r="CL130" s="17">
        <f t="shared" si="96"/>
        <v>0</v>
      </c>
      <c r="CM130" s="14">
        <f t="shared" si="97"/>
        <v>0</v>
      </c>
      <c r="CN130" s="17">
        <f t="shared" si="98"/>
        <v>0</v>
      </c>
      <c r="CO130" s="14">
        <f t="shared" si="99"/>
        <v>0</v>
      </c>
      <c r="CP130" s="17">
        <f t="shared" si="100"/>
        <v>0</v>
      </c>
      <c r="CQ130" s="14">
        <f t="shared" ref="CQ130:CQ193" si="124">SUM(G130:AX130)</f>
        <v>0</v>
      </c>
      <c r="CR130" s="14">
        <v>0</v>
      </c>
      <c r="CS130" s="14">
        <v>0</v>
      </c>
      <c r="CT130" s="14">
        <v>0</v>
      </c>
      <c r="CU130" s="14">
        <v>0</v>
      </c>
    </row>
    <row r="131" spans="1:99" x14ac:dyDescent="0.3">
      <c r="A131" s="14">
        <v>2020</v>
      </c>
      <c r="B131" s="14" t="s">
        <v>23</v>
      </c>
      <c r="C131" s="14" t="s">
        <v>24</v>
      </c>
      <c r="D131" s="15">
        <v>1280498.2</v>
      </c>
      <c r="E131" s="15">
        <v>33428485.999999974</v>
      </c>
      <c r="F131" s="15">
        <f t="shared" ref="F131:F194" si="125">E131/D131</f>
        <v>26.105843803607044</v>
      </c>
      <c r="M131" s="14">
        <v>2652</v>
      </c>
      <c r="AB131" s="14">
        <f t="shared" ref="AB131:AB194" si="126">AA131+O131</f>
        <v>0</v>
      </c>
      <c r="AM131" s="14">
        <f t="shared" ref="AM131:AM194" si="127">AK131+AL131</f>
        <v>0</v>
      </c>
      <c r="AQ131" s="14">
        <f t="shared" ref="AQ131:AQ194" si="128">AO131+AP131</f>
        <v>0</v>
      </c>
      <c r="AT131" s="14">
        <f t="shared" ref="AT131:AT194" si="129">AR131+AS131</f>
        <v>0</v>
      </c>
      <c r="AU131" s="16">
        <v>0</v>
      </c>
      <c r="AV131" s="16">
        <v>0</v>
      </c>
      <c r="AW131" s="16">
        <v>0</v>
      </c>
      <c r="AX131" s="16">
        <v>0</v>
      </c>
      <c r="AY131" s="18">
        <f t="shared" ref="AY131:AY194" si="130">(AU131*10000)/$E131</f>
        <v>0</v>
      </c>
      <c r="AZ131" s="17">
        <f t="shared" ref="AZ131:AZ194" si="131">(AV131*10000)/$E131</f>
        <v>0</v>
      </c>
      <c r="BA131" s="17">
        <f t="shared" ref="BA131:BA194" si="132">(AW131*10000)/$E131</f>
        <v>0</v>
      </c>
      <c r="BB131" s="17">
        <f t="shared" ref="BB131:BB194" si="133">(AX131*10000)/$E131</f>
        <v>0</v>
      </c>
      <c r="BC131" s="17">
        <f t="shared" si="101"/>
        <v>0</v>
      </c>
      <c r="BD131" s="17">
        <f t="shared" si="102"/>
        <v>0</v>
      </c>
      <c r="BE131" s="17">
        <f t="shared" si="103"/>
        <v>0</v>
      </c>
      <c r="BF131" s="17">
        <f t="shared" si="104"/>
        <v>0</v>
      </c>
      <c r="BG131" s="17">
        <f t="shared" si="105"/>
        <v>0</v>
      </c>
      <c r="BH131" s="17">
        <f t="shared" si="106"/>
        <v>0</v>
      </c>
      <c r="BI131" s="17">
        <f t="shared" si="107"/>
        <v>0.79333536074592248</v>
      </c>
      <c r="BJ131" s="17">
        <f t="shared" si="108"/>
        <v>0</v>
      </c>
      <c r="BK131" s="17">
        <f t="shared" si="109"/>
        <v>0</v>
      </c>
      <c r="BL131" s="17">
        <f t="shared" si="110"/>
        <v>0</v>
      </c>
      <c r="BM131" s="17">
        <f t="shared" si="111"/>
        <v>0</v>
      </c>
      <c r="BN131" s="17">
        <f t="shared" si="112"/>
        <v>0</v>
      </c>
      <c r="BO131" s="17">
        <f t="shared" si="113"/>
        <v>0</v>
      </c>
      <c r="BP131" s="17">
        <f t="shared" si="114"/>
        <v>0</v>
      </c>
      <c r="BQ131" s="17">
        <f t="shared" si="115"/>
        <v>0</v>
      </c>
      <c r="BR131" s="17">
        <f t="shared" si="116"/>
        <v>0</v>
      </c>
      <c r="BS131" s="17">
        <f t="shared" si="117"/>
        <v>0</v>
      </c>
      <c r="BT131" s="17">
        <f t="shared" si="118"/>
        <v>0</v>
      </c>
      <c r="BU131" s="17">
        <f t="shared" si="119"/>
        <v>0</v>
      </c>
      <c r="BV131" s="17">
        <f t="shared" si="120"/>
        <v>0</v>
      </c>
      <c r="BW131" s="17">
        <f t="shared" si="121"/>
        <v>0</v>
      </c>
      <c r="BX131" s="17">
        <f t="shared" si="122"/>
        <v>0</v>
      </c>
      <c r="BY131" s="17">
        <f t="shared" si="123"/>
        <v>0</v>
      </c>
      <c r="BZ131" s="17">
        <f t="shared" ref="BZ131:BZ194" si="134">(AE131*10000)/$E131</f>
        <v>0</v>
      </c>
      <c r="CA131" s="17">
        <f t="shared" ref="CA131:CA194" si="135">(AF131*10000)/$E131</f>
        <v>0</v>
      </c>
      <c r="CB131" s="17">
        <f t="shared" ref="CB131:CB194" si="136">(AG131*10000)/$E131</f>
        <v>0</v>
      </c>
      <c r="CC131" s="17">
        <f t="shared" ref="CC131:CC194" si="137">(AH131*10000)/$E131</f>
        <v>0</v>
      </c>
      <c r="CD131" s="17">
        <f t="shared" ref="CD131:CD194" si="138">(AI131*10000)/$E131</f>
        <v>0</v>
      </c>
      <c r="CE131" s="17">
        <f t="shared" ref="CE131:CE194" si="139">(AJ131*10000)/$E131</f>
        <v>0</v>
      </c>
      <c r="CF131" s="17">
        <f t="shared" ref="CF131:CF194" si="140">(AK131*10000)/$E131</f>
        <v>0</v>
      </c>
      <c r="CG131" s="17">
        <f t="shared" ref="CG131:CG194" si="141">(AL131*10000)/$E131</f>
        <v>0</v>
      </c>
      <c r="CH131" s="17">
        <f t="shared" ref="CH131:CH194" si="142">(AN131*10000)/$E131</f>
        <v>0</v>
      </c>
      <c r="CI131" s="17">
        <f t="shared" ref="CI131:CI194" si="143">(AO131*10000)/$E131</f>
        <v>0</v>
      </c>
      <c r="CJ131" s="17">
        <f t="shared" ref="CJ131:CJ194" si="144">(AP131*10000)/$E131</f>
        <v>0</v>
      </c>
      <c r="CK131" s="17">
        <f t="shared" ref="CK131:CK194" si="145">(AR131*10000)/$E131</f>
        <v>0</v>
      </c>
      <c r="CL131" s="17">
        <f t="shared" ref="CL131:CL194" si="146">(AS131*10000)/$E131</f>
        <v>0</v>
      </c>
      <c r="CM131" s="14">
        <f t="shared" ref="CM131:CM194" si="147">AV131+AW131</f>
        <v>0</v>
      </c>
      <c r="CN131" s="17">
        <f t="shared" ref="CN131:CN194" si="148">(CM131*10000)/$E131</f>
        <v>0</v>
      </c>
      <c r="CO131" s="14">
        <f t="shared" ref="CO131:CO194" si="149">AU131+AV131+AW131</f>
        <v>0</v>
      </c>
      <c r="CP131" s="17">
        <f t="shared" ref="CP131:CP194" si="150">(CO131*10000)/$E131</f>
        <v>0</v>
      </c>
      <c r="CQ131" s="14">
        <f t="shared" si="124"/>
        <v>2652</v>
      </c>
      <c r="CR131" s="14">
        <v>81</v>
      </c>
      <c r="CS131" s="14">
        <v>525</v>
      </c>
      <c r="CT131" s="14">
        <v>57</v>
      </c>
      <c r="CU131" s="14">
        <v>236</v>
      </c>
    </row>
    <row r="132" spans="1:99" x14ac:dyDescent="0.3">
      <c r="A132" s="14">
        <v>2021</v>
      </c>
      <c r="B132" s="14" t="s">
        <v>23</v>
      </c>
      <c r="C132" s="14" t="s">
        <v>24</v>
      </c>
      <c r="D132" s="15">
        <v>1308712.3</v>
      </c>
      <c r="E132" s="15">
        <v>34503773.49999997</v>
      </c>
      <c r="F132" s="15">
        <f t="shared" si="125"/>
        <v>26.364674267980799</v>
      </c>
      <c r="AB132" s="14">
        <f t="shared" si="126"/>
        <v>0</v>
      </c>
      <c r="AM132" s="14">
        <f t="shared" si="127"/>
        <v>0</v>
      </c>
      <c r="AQ132" s="14">
        <f t="shared" si="128"/>
        <v>0</v>
      </c>
      <c r="AT132" s="14">
        <f t="shared" si="129"/>
        <v>0</v>
      </c>
      <c r="AU132" s="16">
        <v>0</v>
      </c>
      <c r="AV132" s="16">
        <v>0</v>
      </c>
      <c r="AW132" s="16">
        <v>0</v>
      </c>
      <c r="AX132" s="16">
        <v>0</v>
      </c>
      <c r="AY132" s="18">
        <f t="shared" si="130"/>
        <v>0</v>
      </c>
      <c r="AZ132" s="17">
        <f t="shared" si="131"/>
        <v>0</v>
      </c>
      <c r="BA132" s="17">
        <f t="shared" si="132"/>
        <v>0</v>
      </c>
      <c r="BB132" s="17">
        <f t="shared" si="133"/>
        <v>0</v>
      </c>
      <c r="BC132" s="17">
        <f t="shared" si="101"/>
        <v>0</v>
      </c>
      <c r="BD132" s="17">
        <f t="shared" si="102"/>
        <v>0</v>
      </c>
      <c r="BE132" s="17">
        <f t="shared" si="103"/>
        <v>0</v>
      </c>
      <c r="BF132" s="17">
        <f t="shared" si="104"/>
        <v>0</v>
      </c>
      <c r="BG132" s="17">
        <f t="shared" si="105"/>
        <v>0</v>
      </c>
      <c r="BH132" s="17">
        <f t="shared" si="106"/>
        <v>0</v>
      </c>
      <c r="BI132" s="17">
        <f t="shared" si="107"/>
        <v>0</v>
      </c>
      <c r="BJ132" s="17">
        <f t="shared" si="108"/>
        <v>0</v>
      </c>
      <c r="BK132" s="17">
        <f t="shared" si="109"/>
        <v>0</v>
      </c>
      <c r="BL132" s="17">
        <f t="shared" si="110"/>
        <v>0</v>
      </c>
      <c r="BM132" s="17">
        <f t="shared" si="111"/>
        <v>0</v>
      </c>
      <c r="BN132" s="17">
        <f t="shared" si="112"/>
        <v>0</v>
      </c>
      <c r="BO132" s="17">
        <f t="shared" si="113"/>
        <v>0</v>
      </c>
      <c r="BP132" s="17">
        <f t="shared" si="114"/>
        <v>0</v>
      </c>
      <c r="BQ132" s="17">
        <f t="shared" si="115"/>
        <v>0</v>
      </c>
      <c r="BR132" s="17">
        <f t="shared" si="116"/>
        <v>0</v>
      </c>
      <c r="BS132" s="17">
        <f t="shared" si="117"/>
        <v>0</v>
      </c>
      <c r="BT132" s="17">
        <f t="shared" si="118"/>
        <v>0</v>
      </c>
      <c r="BU132" s="17">
        <f t="shared" si="119"/>
        <v>0</v>
      </c>
      <c r="BV132" s="17">
        <f t="shared" si="120"/>
        <v>0</v>
      </c>
      <c r="BW132" s="17">
        <f t="shared" si="121"/>
        <v>0</v>
      </c>
      <c r="BX132" s="17">
        <f t="shared" si="122"/>
        <v>0</v>
      </c>
      <c r="BY132" s="17">
        <f t="shared" si="123"/>
        <v>0</v>
      </c>
      <c r="BZ132" s="17">
        <f t="shared" si="134"/>
        <v>0</v>
      </c>
      <c r="CA132" s="17">
        <f t="shared" si="135"/>
        <v>0</v>
      </c>
      <c r="CB132" s="17">
        <f t="shared" si="136"/>
        <v>0</v>
      </c>
      <c r="CC132" s="17">
        <f t="shared" si="137"/>
        <v>0</v>
      </c>
      <c r="CD132" s="17">
        <f t="shared" si="138"/>
        <v>0</v>
      </c>
      <c r="CE132" s="17">
        <f t="shared" si="139"/>
        <v>0</v>
      </c>
      <c r="CF132" s="17">
        <f t="shared" si="140"/>
        <v>0</v>
      </c>
      <c r="CG132" s="17">
        <f t="shared" si="141"/>
        <v>0</v>
      </c>
      <c r="CH132" s="17">
        <f t="shared" si="142"/>
        <v>0</v>
      </c>
      <c r="CI132" s="17">
        <f t="shared" si="143"/>
        <v>0</v>
      </c>
      <c r="CJ132" s="17">
        <f t="shared" si="144"/>
        <v>0</v>
      </c>
      <c r="CK132" s="17">
        <f t="shared" si="145"/>
        <v>0</v>
      </c>
      <c r="CL132" s="17">
        <f t="shared" si="146"/>
        <v>0</v>
      </c>
      <c r="CM132" s="14">
        <f t="shared" si="147"/>
        <v>0</v>
      </c>
      <c r="CN132" s="17">
        <f t="shared" si="148"/>
        <v>0</v>
      </c>
      <c r="CO132" s="14">
        <f t="shared" si="149"/>
        <v>0</v>
      </c>
      <c r="CP132" s="17">
        <f t="shared" si="150"/>
        <v>0</v>
      </c>
      <c r="CQ132" s="14">
        <f t="shared" si="124"/>
        <v>0</v>
      </c>
      <c r="CR132" s="14">
        <v>0</v>
      </c>
      <c r="CS132" s="14">
        <v>0</v>
      </c>
      <c r="CT132" s="14">
        <v>0</v>
      </c>
      <c r="CU132" s="14">
        <v>0</v>
      </c>
    </row>
    <row r="133" spans="1:99" x14ac:dyDescent="0.3">
      <c r="A133" s="14">
        <v>2022</v>
      </c>
      <c r="B133" s="14" t="s">
        <v>23</v>
      </c>
      <c r="C133" s="14" t="s">
        <v>24</v>
      </c>
      <c r="D133" s="15">
        <v>1332678.6000000001</v>
      </c>
      <c r="E133" s="15">
        <v>35588987.00000003</v>
      </c>
      <c r="F133" s="15">
        <f t="shared" si="125"/>
        <v>26.704853668393884</v>
      </c>
      <c r="G133" s="14">
        <v>171</v>
      </c>
      <c r="H133" s="14">
        <v>967</v>
      </c>
      <c r="I133" s="14">
        <v>13442</v>
      </c>
      <c r="J133" s="14">
        <v>1045</v>
      </c>
      <c r="K133" s="14">
        <v>1</v>
      </c>
      <c r="L133" s="14">
        <v>16</v>
      </c>
      <c r="M133" s="14">
        <v>5</v>
      </c>
      <c r="N133" s="14">
        <v>0</v>
      </c>
      <c r="O133" s="14">
        <v>0</v>
      </c>
      <c r="P133" s="14">
        <v>0</v>
      </c>
      <c r="S133" s="14">
        <v>0</v>
      </c>
      <c r="T133" s="14">
        <v>11</v>
      </c>
      <c r="U133" s="14">
        <v>110</v>
      </c>
      <c r="V133" s="14">
        <v>107</v>
      </c>
      <c r="W133" s="14">
        <v>2072</v>
      </c>
      <c r="Y133" s="14">
        <v>12</v>
      </c>
      <c r="Z133" s="14">
        <v>9</v>
      </c>
      <c r="AB133" s="14">
        <f t="shared" si="126"/>
        <v>0</v>
      </c>
      <c r="AC133" s="14">
        <v>117</v>
      </c>
      <c r="AE133" s="14">
        <v>15</v>
      </c>
      <c r="AF133" s="14">
        <v>6</v>
      </c>
      <c r="AH133" s="14">
        <v>8431</v>
      </c>
      <c r="AI133" s="14">
        <v>0</v>
      </c>
      <c r="AJ133" s="14">
        <v>636</v>
      </c>
      <c r="AK133" s="14">
        <v>705</v>
      </c>
      <c r="AL133" s="14">
        <v>490</v>
      </c>
      <c r="AM133" s="14">
        <f t="shared" si="127"/>
        <v>1195</v>
      </c>
      <c r="AN133" s="14">
        <v>767</v>
      </c>
      <c r="AP133" s="14">
        <v>41</v>
      </c>
      <c r="AQ133" s="14">
        <f t="shared" si="128"/>
        <v>41</v>
      </c>
      <c r="AR133" s="14">
        <v>0</v>
      </c>
      <c r="AS133" s="14">
        <v>0</v>
      </c>
      <c r="AT133" s="14">
        <f t="shared" si="129"/>
        <v>0</v>
      </c>
      <c r="AU133" s="16">
        <v>21301</v>
      </c>
      <c r="AV133" s="16">
        <v>89978</v>
      </c>
      <c r="AW133" s="16">
        <v>44</v>
      </c>
      <c r="AX133" s="16">
        <v>0</v>
      </c>
      <c r="AY133" s="18">
        <f t="shared" si="130"/>
        <v>5.9852785357447749</v>
      </c>
      <c r="AZ133" s="17">
        <f t="shared" si="131"/>
        <v>25.282540354407931</v>
      </c>
      <c r="BA133" s="17">
        <f t="shared" si="132"/>
        <v>1.2363375220542231E-2</v>
      </c>
      <c r="BB133" s="17">
        <f t="shared" si="133"/>
        <v>0</v>
      </c>
      <c r="BC133" s="17">
        <f t="shared" si="101"/>
        <v>4.8048571879834585E-2</v>
      </c>
      <c r="BD133" s="17">
        <f t="shared" si="102"/>
        <v>0.27171326905146226</v>
      </c>
      <c r="BE133" s="17">
        <f t="shared" si="103"/>
        <v>3.7770111298756519</v>
      </c>
      <c r="BF133" s="17">
        <f t="shared" si="104"/>
        <v>0.29363016148787802</v>
      </c>
      <c r="BG133" s="17">
        <f t="shared" si="105"/>
        <v>2.8098580046686893E-4</v>
      </c>
      <c r="BH133" s="17">
        <f t="shared" si="106"/>
        <v>4.4957728074699029E-3</v>
      </c>
      <c r="BI133" s="17">
        <f t="shared" si="107"/>
        <v>1.4049290023343446E-3</v>
      </c>
      <c r="BJ133" s="17">
        <f t="shared" si="108"/>
        <v>0</v>
      </c>
      <c r="BK133" s="17">
        <f t="shared" si="109"/>
        <v>0</v>
      </c>
      <c r="BL133" s="17">
        <f t="shared" si="110"/>
        <v>0</v>
      </c>
      <c r="BM133" s="17">
        <f t="shared" si="111"/>
        <v>0</v>
      </c>
      <c r="BN133" s="17">
        <f t="shared" si="112"/>
        <v>0</v>
      </c>
      <c r="BO133" s="17">
        <f t="shared" si="113"/>
        <v>0</v>
      </c>
      <c r="BP133" s="17">
        <f t="shared" si="114"/>
        <v>3.0908438051355579E-3</v>
      </c>
      <c r="BQ133" s="17">
        <f t="shared" si="115"/>
        <v>3.0908438051355579E-2</v>
      </c>
      <c r="BR133" s="17">
        <f t="shared" si="116"/>
        <v>3.0065480649954974E-2</v>
      </c>
      <c r="BS133" s="17">
        <f t="shared" si="117"/>
        <v>0.58220257856735236</v>
      </c>
      <c r="BT133" s="17">
        <f t="shared" si="118"/>
        <v>0</v>
      </c>
      <c r="BU133" s="17">
        <f t="shared" si="119"/>
        <v>3.3718296056024269E-3</v>
      </c>
      <c r="BV133" s="17">
        <f t="shared" si="120"/>
        <v>2.5288722042018201E-3</v>
      </c>
      <c r="BW133" s="17">
        <f t="shared" si="121"/>
        <v>0</v>
      </c>
      <c r="BX133" s="17">
        <f t="shared" si="122"/>
        <v>3.2875338654623665E-2</v>
      </c>
      <c r="BY133" s="17">
        <f t="shared" si="123"/>
        <v>0</v>
      </c>
      <c r="BZ133" s="17">
        <f t="shared" si="134"/>
        <v>4.2147870070030338E-3</v>
      </c>
      <c r="CA133" s="17">
        <f t="shared" si="135"/>
        <v>1.6859148028012135E-3</v>
      </c>
      <c r="CB133" s="17">
        <f t="shared" si="136"/>
        <v>0</v>
      </c>
      <c r="CC133" s="17">
        <f t="shared" si="137"/>
        <v>2.3689912837361717</v>
      </c>
      <c r="CD133" s="17">
        <f t="shared" si="138"/>
        <v>0</v>
      </c>
      <c r="CE133" s="17">
        <f t="shared" si="139"/>
        <v>0.17870696909692863</v>
      </c>
      <c r="CF133" s="17">
        <f t="shared" si="140"/>
        <v>0.19809498932914257</v>
      </c>
      <c r="CG133" s="17">
        <f t="shared" si="141"/>
        <v>0.13768304222876576</v>
      </c>
      <c r="CH133" s="17">
        <f t="shared" si="142"/>
        <v>0.21551610895808845</v>
      </c>
      <c r="CI133" s="17">
        <f t="shared" si="143"/>
        <v>0</v>
      </c>
      <c r="CJ133" s="17">
        <f t="shared" si="144"/>
        <v>1.1520417819141626E-2</v>
      </c>
      <c r="CK133" s="17">
        <f t="shared" si="145"/>
        <v>0</v>
      </c>
      <c r="CL133" s="17">
        <f t="shared" si="146"/>
        <v>0</v>
      </c>
      <c r="CM133" s="14">
        <f t="shared" si="147"/>
        <v>90022</v>
      </c>
      <c r="CN133" s="17">
        <f t="shared" si="148"/>
        <v>25.294903729628473</v>
      </c>
      <c r="CO133" s="14">
        <f t="shared" si="149"/>
        <v>111323</v>
      </c>
      <c r="CP133" s="17">
        <f t="shared" si="150"/>
        <v>31.280182265373249</v>
      </c>
      <c r="CQ133" s="14">
        <f t="shared" si="124"/>
        <v>141735</v>
      </c>
      <c r="CR133" s="14">
        <v>156</v>
      </c>
      <c r="CS133" s="14">
        <v>430</v>
      </c>
      <c r="CT133" s="14">
        <v>197</v>
      </c>
      <c r="CU133" s="14">
        <v>10</v>
      </c>
    </row>
    <row r="134" spans="1:99" x14ac:dyDescent="0.3">
      <c r="A134" s="14">
        <v>2012</v>
      </c>
      <c r="B134" s="14" t="s">
        <v>25</v>
      </c>
      <c r="C134" s="14" t="s">
        <v>26</v>
      </c>
      <c r="D134" s="15">
        <v>376547.2</v>
      </c>
      <c r="E134" s="15">
        <v>10014078.499999996</v>
      </c>
      <c r="F134" s="15">
        <f t="shared" si="125"/>
        <v>26.59448403812323</v>
      </c>
      <c r="V134" s="14">
        <v>241</v>
      </c>
      <c r="Y134" s="14">
        <v>845</v>
      </c>
      <c r="AB134" s="14">
        <f t="shared" si="126"/>
        <v>0</v>
      </c>
      <c r="AM134" s="14">
        <f t="shared" si="127"/>
        <v>0</v>
      </c>
      <c r="AQ134" s="14">
        <f t="shared" si="128"/>
        <v>0</v>
      </c>
      <c r="AT134" s="14">
        <f t="shared" si="129"/>
        <v>0</v>
      </c>
      <c r="AU134" s="16">
        <v>26</v>
      </c>
      <c r="AV134" s="16">
        <v>10276</v>
      </c>
      <c r="AW134" s="16">
        <v>2960</v>
      </c>
      <c r="AX134" s="16">
        <v>0</v>
      </c>
      <c r="AY134" s="18">
        <f t="shared" si="130"/>
        <v>2.5963447360633343E-2</v>
      </c>
      <c r="AZ134" s="17">
        <f t="shared" si="131"/>
        <v>10.261553272225701</v>
      </c>
      <c r="BA134" s="17">
        <f t="shared" si="132"/>
        <v>2.9558386225951803</v>
      </c>
      <c r="BB134" s="17">
        <f t="shared" si="133"/>
        <v>0</v>
      </c>
      <c r="BC134" s="17">
        <f t="shared" si="101"/>
        <v>0</v>
      </c>
      <c r="BD134" s="17">
        <f t="shared" si="102"/>
        <v>0</v>
      </c>
      <c r="BE134" s="17">
        <f t="shared" si="103"/>
        <v>0</v>
      </c>
      <c r="BF134" s="17">
        <f t="shared" si="104"/>
        <v>0</v>
      </c>
      <c r="BG134" s="17">
        <f t="shared" si="105"/>
        <v>0</v>
      </c>
      <c r="BH134" s="17">
        <f t="shared" si="106"/>
        <v>0</v>
      </c>
      <c r="BI134" s="17">
        <f t="shared" si="107"/>
        <v>0</v>
      </c>
      <c r="BJ134" s="17">
        <f t="shared" si="108"/>
        <v>0</v>
      </c>
      <c r="BK134" s="17">
        <f t="shared" si="109"/>
        <v>0</v>
      </c>
      <c r="BL134" s="17">
        <f t="shared" si="110"/>
        <v>0</v>
      </c>
      <c r="BM134" s="17">
        <f t="shared" si="111"/>
        <v>0</v>
      </c>
      <c r="BN134" s="17">
        <f t="shared" si="112"/>
        <v>0</v>
      </c>
      <c r="BO134" s="17">
        <f t="shared" si="113"/>
        <v>0</v>
      </c>
      <c r="BP134" s="17">
        <f t="shared" si="114"/>
        <v>0</v>
      </c>
      <c r="BQ134" s="17">
        <f t="shared" si="115"/>
        <v>0</v>
      </c>
      <c r="BR134" s="17">
        <f t="shared" si="116"/>
        <v>0.24066118515048598</v>
      </c>
      <c r="BS134" s="17">
        <f t="shared" si="117"/>
        <v>0</v>
      </c>
      <c r="BT134" s="17">
        <f t="shared" si="118"/>
        <v>0</v>
      </c>
      <c r="BU134" s="17">
        <f t="shared" si="119"/>
        <v>0.84381203922058357</v>
      </c>
      <c r="BV134" s="17">
        <f t="shared" si="120"/>
        <v>0</v>
      </c>
      <c r="BW134" s="17">
        <f t="shared" si="121"/>
        <v>0</v>
      </c>
      <c r="BX134" s="17">
        <f t="shared" si="122"/>
        <v>0</v>
      </c>
      <c r="BY134" s="17">
        <f t="shared" si="123"/>
        <v>0</v>
      </c>
      <c r="BZ134" s="17">
        <f t="shared" si="134"/>
        <v>0</v>
      </c>
      <c r="CA134" s="17">
        <f t="shared" si="135"/>
        <v>0</v>
      </c>
      <c r="CB134" s="17">
        <f t="shared" si="136"/>
        <v>0</v>
      </c>
      <c r="CC134" s="17">
        <f t="shared" si="137"/>
        <v>0</v>
      </c>
      <c r="CD134" s="17">
        <f t="shared" si="138"/>
        <v>0</v>
      </c>
      <c r="CE134" s="17">
        <f t="shared" si="139"/>
        <v>0</v>
      </c>
      <c r="CF134" s="17">
        <f t="shared" si="140"/>
        <v>0</v>
      </c>
      <c r="CG134" s="17">
        <f t="shared" si="141"/>
        <v>0</v>
      </c>
      <c r="CH134" s="17">
        <f t="shared" si="142"/>
        <v>0</v>
      </c>
      <c r="CI134" s="17">
        <f t="shared" si="143"/>
        <v>0</v>
      </c>
      <c r="CJ134" s="17">
        <f t="shared" si="144"/>
        <v>0</v>
      </c>
      <c r="CK134" s="17">
        <f t="shared" si="145"/>
        <v>0</v>
      </c>
      <c r="CL134" s="17">
        <f t="shared" si="146"/>
        <v>0</v>
      </c>
      <c r="CM134" s="14">
        <f t="shared" si="147"/>
        <v>13236</v>
      </c>
      <c r="CN134" s="17">
        <f t="shared" si="148"/>
        <v>13.217391894820882</v>
      </c>
      <c r="CO134" s="14">
        <f t="shared" si="149"/>
        <v>13262</v>
      </c>
      <c r="CP134" s="17">
        <f t="shared" si="150"/>
        <v>13.243355342181514</v>
      </c>
      <c r="CQ134" s="14">
        <f t="shared" si="124"/>
        <v>14348</v>
      </c>
      <c r="CR134" s="14">
        <v>0</v>
      </c>
      <c r="CS134" s="14">
        <v>0</v>
      </c>
      <c r="CT134" s="14">
        <v>0</v>
      </c>
      <c r="CU134" s="14">
        <v>0</v>
      </c>
    </row>
    <row r="135" spans="1:99" x14ac:dyDescent="0.3">
      <c r="A135" s="14">
        <v>2013</v>
      </c>
      <c r="B135" s="14" t="s">
        <v>25</v>
      </c>
      <c r="C135" s="14" t="s">
        <v>26</v>
      </c>
      <c r="D135" s="15">
        <v>387605.1</v>
      </c>
      <c r="E135" s="15">
        <v>10308730.499999994</v>
      </c>
      <c r="F135" s="15">
        <f t="shared" si="125"/>
        <v>26.595961972636569</v>
      </c>
      <c r="H135" s="14">
        <v>1330</v>
      </c>
      <c r="V135" s="14">
        <v>206</v>
      </c>
      <c r="Y135" s="14">
        <v>830</v>
      </c>
      <c r="AB135" s="14">
        <f t="shared" si="126"/>
        <v>0</v>
      </c>
      <c r="AJ135" s="14">
        <v>770</v>
      </c>
      <c r="AM135" s="14">
        <f t="shared" si="127"/>
        <v>0</v>
      </c>
      <c r="AQ135" s="14">
        <f t="shared" si="128"/>
        <v>0</v>
      </c>
      <c r="AS135" s="14">
        <v>10200</v>
      </c>
      <c r="AT135" s="14">
        <f t="shared" si="129"/>
        <v>10200</v>
      </c>
      <c r="AU135" s="16">
        <v>0</v>
      </c>
      <c r="AV135" s="16">
        <v>9760</v>
      </c>
      <c r="AW135" s="16">
        <v>1886</v>
      </c>
      <c r="AX135" s="16">
        <v>0</v>
      </c>
      <c r="AY135" s="18">
        <f t="shared" si="130"/>
        <v>0</v>
      </c>
      <c r="AZ135" s="17">
        <f t="shared" si="131"/>
        <v>9.4677031279457786</v>
      </c>
      <c r="BA135" s="17">
        <f t="shared" si="132"/>
        <v>1.8295172232895225</v>
      </c>
      <c r="BB135" s="17">
        <f t="shared" si="133"/>
        <v>0</v>
      </c>
      <c r="BC135" s="17">
        <f t="shared" si="101"/>
        <v>0</v>
      </c>
      <c r="BD135" s="17">
        <f t="shared" si="102"/>
        <v>1.2901685614926113</v>
      </c>
      <c r="BE135" s="17">
        <f t="shared" si="103"/>
        <v>0</v>
      </c>
      <c r="BF135" s="17">
        <f t="shared" si="104"/>
        <v>0</v>
      </c>
      <c r="BG135" s="17">
        <f t="shared" si="105"/>
        <v>0</v>
      </c>
      <c r="BH135" s="17">
        <f t="shared" si="106"/>
        <v>0</v>
      </c>
      <c r="BI135" s="17">
        <f t="shared" si="107"/>
        <v>0</v>
      </c>
      <c r="BJ135" s="17">
        <f t="shared" si="108"/>
        <v>0</v>
      </c>
      <c r="BK135" s="17">
        <f t="shared" si="109"/>
        <v>0</v>
      </c>
      <c r="BL135" s="17">
        <f t="shared" si="110"/>
        <v>0</v>
      </c>
      <c r="BM135" s="17">
        <f t="shared" si="111"/>
        <v>0</v>
      </c>
      <c r="BN135" s="17">
        <f t="shared" si="112"/>
        <v>0</v>
      </c>
      <c r="BO135" s="17">
        <f t="shared" si="113"/>
        <v>0</v>
      </c>
      <c r="BP135" s="17">
        <f t="shared" si="114"/>
        <v>0</v>
      </c>
      <c r="BQ135" s="17">
        <f t="shared" si="115"/>
        <v>0</v>
      </c>
      <c r="BR135" s="17">
        <f t="shared" si="116"/>
        <v>0.19983061929885557</v>
      </c>
      <c r="BS135" s="17">
        <f t="shared" si="117"/>
        <v>0</v>
      </c>
      <c r="BT135" s="17">
        <f t="shared" si="118"/>
        <v>0</v>
      </c>
      <c r="BU135" s="17">
        <f t="shared" si="119"/>
        <v>0.80514278649538895</v>
      </c>
      <c r="BV135" s="17">
        <f t="shared" si="120"/>
        <v>0</v>
      </c>
      <c r="BW135" s="17">
        <f t="shared" si="121"/>
        <v>0</v>
      </c>
      <c r="BX135" s="17">
        <f t="shared" si="122"/>
        <v>0</v>
      </c>
      <c r="BY135" s="17">
        <f t="shared" si="123"/>
        <v>0</v>
      </c>
      <c r="BZ135" s="17">
        <f t="shared" si="134"/>
        <v>0</v>
      </c>
      <c r="CA135" s="17">
        <f t="shared" si="135"/>
        <v>0</v>
      </c>
      <c r="CB135" s="17">
        <f t="shared" si="136"/>
        <v>0</v>
      </c>
      <c r="CC135" s="17">
        <f t="shared" si="137"/>
        <v>0</v>
      </c>
      <c r="CD135" s="17">
        <f t="shared" si="138"/>
        <v>0</v>
      </c>
      <c r="CE135" s="17">
        <f t="shared" si="139"/>
        <v>0.74693969349572231</v>
      </c>
      <c r="CF135" s="17">
        <f t="shared" si="140"/>
        <v>0</v>
      </c>
      <c r="CG135" s="17">
        <f t="shared" si="141"/>
        <v>0</v>
      </c>
      <c r="CH135" s="17">
        <f t="shared" si="142"/>
        <v>0</v>
      </c>
      <c r="CI135" s="17">
        <f t="shared" si="143"/>
        <v>0</v>
      </c>
      <c r="CJ135" s="17">
        <f t="shared" si="144"/>
        <v>0</v>
      </c>
      <c r="CK135" s="17">
        <f t="shared" si="145"/>
        <v>0</v>
      </c>
      <c r="CL135" s="17">
        <f t="shared" si="146"/>
        <v>9.8945258099433353</v>
      </c>
      <c r="CM135" s="14">
        <f t="shared" si="147"/>
        <v>11646</v>
      </c>
      <c r="CN135" s="17">
        <f t="shared" si="148"/>
        <v>11.297220351235302</v>
      </c>
      <c r="CO135" s="14">
        <f t="shared" si="149"/>
        <v>11646</v>
      </c>
      <c r="CP135" s="17">
        <f t="shared" si="150"/>
        <v>11.297220351235302</v>
      </c>
      <c r="CQ135" s="14">
        <f t="shared" si="124"/>
        <v>35182</v>
      </c>
      <c r="CR135" s="14">
        <v>0</v>
      </c>
      <c r="CS135" s="14">
        <v>0</v>
      </c>
      <c r="CT135" s="14">
        <v>0</v>
      </c>
      <c r="CU135" s="14">
        <v>0</v>
      </c>
    </row>
    <row r="136" spans="1:99" x14ac:dyDescent="0.3">
      <c r="A136" s="14">
        <v>2014</v>
      </c>
      <c r="B136" s="14" t="s">
        <v>25</v>
      </c>
      <c r="C136" s="14" t="s">
        <v>26</v>
      </c>
      <c r="D136" s="15">
        <v>399718.40000000002</v>
      </c>
      <c r="E136" s="15">
        <v>10614844.000000013</v>
      </c>
      <c r="F136" s="15">
        <f t="shared" si="125"/>
        <v>26.555805286922023</v>
      </c>
      <c r="AB136" s="14">
        <f t="shared" si="126"/>
        <v>0</v>
      </c>
      <c r="AM136" s="14">
        <f t="shared" si="127"/>
        <v>0</v>
      </c>
      <c r="AQ136" s="14">
        <f t="shared" si="128"/>
        <v>0</v>
      </c>
      <c r="AT136" s="14">
        <f t="shared" si="129"/>
        <v>0</v>
      </c>
      <c r="AU136" s="16">
        <v>191</v>
      </c>
      <c r="AV136" s="16">
        <v>0</v>
      </c>
      <c r="AW136" s="16">
        <v>0</v>
      </c>
      <c r="AX136" s="16">
        <v>0</v>
      </c>
      <c r="AY136" s="18">
        <f t="shared" si="130"/>
        <v>0.17993669996469072</v>
      </c>
      <c r="AZ136" s="17">
        <f t="shared" si="131"/>
        <v>0</v>
      </c>
      <c r="BA136" s="17">
        <f t="shared" si="132"/>
        <v>0</v>
      </c>
      <c r="BB136" s="17">
        <f t="shared" si="133"/>
        <v>0</v>
      </c>
      <c r="BC136" s="17">
        <f t="shared" si="101"/>
        <v>0</v>
      </c>
      <c r="BD136" s="17">
        <f t="shared" si="102"/>
        <v>0</v>
      </c>
      <c r="BE136" s="17">
        <f t="shared" si="103"/>
        <v>0</v>
      </c>
      <c r="BF136" s="17">
        <f t="shared" si="104"/>
        <v>0</v>
      </c>
      <c r="BG136" s="17">
        <f t="shared" si="105"/>
        <v>0</v>
      </c>
      <c r="BH136" s="17">
        <f t="shared" si="106"/>
        <v>0</v>
      </c>
      <c r="BI136" s="17">
        <f t="shared" si="107"/>
        <v>0</v>
      </c>
      <c r="BJ136" s="17">
        <f t="shared" si="108"/>
        <v>0</v>
      </c>
      <c r="BK136" s="17">
        <f t="shared" si="109"/>
        <v>0</v>
      </c>
      <c r="BL136" s="17">
        <f t="shared" si="110"/>
        <v>0</v>
      </c>
      <c r="BM136" s="17">
        <f t="shared" si="111"/>
        <v>0</v>
      </c>
      <c r="BN136" s="17">
        <f t="shared" si="112"/>
        <v>0</v>
      </c>
      <c r="BO136" s="17">
        <f t="shared" si="113"/>
        <v>0</v>
      </c>
      <c r="BP136" s="17">
        <f t="shared" si="114"/>
        <v>0</v>
      </c>
      <c r="BQ136" s="17">
        <f t="shared" si="115"/>
        <v>0</v>
      </c>
      <c r="BR136" s="17">
        <f t="shared" si="116"/>
        <v>0</v>
      </c>
      <c r="BS136" s="17">
        <f t="shared" si="117"/>
        <v>0</v>
      </c>
      <c r="BT136" s="17">
        <f t="shared" si="118"/>
        <v>0</v>
      </c>
      <c r="BU136" s="17">
        <f t="shared" si="119"/>
        <v>0</v>
      </c>
      <c r="BV136" s="17">
        <f t="shared" si="120"/>
        <v>0</v>
      </c>
      <c r="BW136" s="17">
        <f t="shared" si="121"/>
        <v>0</v>
      </c>
      <c r="BX136" s="17">
        <f t="shared" si="122"/>
        <v>0</v>
      </c>
      <c r="BY136" s="17">
        <f t="shared" si="123"/>
        <v>0</v>
      </c>
      <c r="BZ136" s="17">
        <f t="shared" si="134"/>
        <v>0</v>
      </c>
      <c r="CA136" s="17">
        <f t="shared" si="135"/>
        <v>0</v>
      </c>
      <c r="CB136" s="17">
        <f t="shared" si="136"/>
        <v>0</v>
      </c>
      <c r="CC136" s="17">
        <f t="shared" si="137"/>
        <v>0</v>
      </c>
      <c r="CD136" s="17">
        <f t="shared" si="138"/>
        <v>0</v>
      </c>
      <c r="CE136" s="17">
        <f t="shared" si="139"/>
        <v>0</v>
      </c>
      <c r="CF136" s="17">
        <f t="shared" si="140"/>
        <v>0</v>
      </c>
      <c r="CG136" s="17">
        <f t="shared" si="141"/>
        <v>0</v>
      </c>
      <c r="CH136" s="17">
        <f t="shared" si="142"/>
        <v>0</v>
      </c>
      <c r="CI136" s="17">
        <f t="shared" si="143"/>
        <v>0</v>
      </c>
      <c r="CJ136" s="17">
        <f t="shared" si="144"/>
        <v>0</v>
      </c>
      <c r="CK136" s="17">
        <f t="shared" si="145"/>
        <v>0</v>
      </c>
      <c r="CL136" s="17">
        <f t="shared" si="146"/>
        <v>0</v>
      </c>
      <c r="CM136" s="14">
        <f t="shared" si="147"/>
        <v>0</v>
      </c>
      <c r="CN136" s="17">
        <f t="shared" si="148"/>
        <v>0</v>
      </c>
      <c r="CO136" s="14">
        <f t="shared" si="149"/>
        <v>191</v>
      </c>
      <c r="CP136" s="17"/>
      <c r="CQ136" s="14">
        <f t="shared" si="124"/>
        <v>191</v>
      </c>
      <c r="CR136" s="14">
        <v>255</v>
      </c>
      <c r="CS136" s="14">
        <v>1717</v>
      </c>
      <c r="CT136" s="14">
        <v>0</v>
      </c>
      <c r="CU136" s="14">
        <v>0</v>
      </c>
    </row>
    <row r="137" spans="1:99" x14ac:dyDescent="0.3">
      <c r="A137" s="14">
        <v>2015</v>
      </c>
      <c r="B137" s="14" t="s">
        <v>25</v>
      </c>
      <c r="C137" s="14" t="s">
        <v>26</v>
      </c>
      <c r="D137" s="15">
        <v>411367.9</v>
      </c>
      <c r="E137" s="15">
        <v>10932783.499999994</v>
      </c>
      <c r="F137" s="15">
        <f t="shared" si="125"/>
        <v>26.576656807689648</v>
      </c>
      <c r="AB137" s="14">
        <f t="shared" si="126"/>
        <v>0</v>
      </c>
      <c r="AM137" s="14">
        <f t="shared" si="127"/>
        <v>0</v>
      </c>
      <c r="AQ137" s="14">
        <f t="shared" si="128"/>
        <v>0</v>
      </c>
      <c r="AT137" s="14">
        <f t="shared" si="129"/>
        <v>0</v>
      </c>
      <c r="AU137" s="16">
        <v>0</v>
      </c>
      <c r="AV137" s="16">
        <v>0</v>
      </c>
      <c r="AW137" s="16">
        <v>0</v>
      </c>
      <c r="AX137" s="16">
        <v>0</v>
      </c>
      <c r="AY137" s="18">
        <f t="shared" si="130"/>
        <v>0</v>
      </c>
      <c r="AZ137" s="17">
        <f t="shared" si="131"/>
        <v>0</v>
      </c>
      <c r="BA137" s="17">
        <f t="shared" si="132"/>
        <v>0</v>
      </c>
      <c r="BB137" s="17">
        <f t="shared" si="133"/>
        <v>0</v>
      </c>
      <c r="BC137" s="17">
        <f t="shared" si="101"/>
        <v>0</v>
      </c>
      <c r="BD137" s="17">
        <f t="shared" si="102"/>
        <v>0</v>
      </c>
      <c r="BE137" s="17">
        <f t="shared" si="103"/>
        <v>0</v>
      </c>
      <c r="BF137" s="17">
        <f t="shared" si="104"/>
        <v>0</v>
      </c>
      <c r="BG137" s="17">
        <f t="shared" si="105"/>
        <v>0</v>
      </c>
      <c r="BH137" s="17">
        <f t="shared" si="106"/>
        <v>0</v>
      </c>
      <c r="BI137" s="17">
        <f t="shared" si="107"/>
        <v>0</v>
      </c>
      <c r="BJ137" s="17">
        <f t="shared" si="108"/>
        <v>0</v>
      </c>
      <c r="BK137" s="17">
        <f t="shared" si="109"/>
        <v>0</v>
      </c>
      <c r="BL137" s="17">
        <f t="shared" si="110"/>
        <v>0</v>
      </c>
      <c r="BM137" s="17">
        <f t="shared" si="111"/>
        <v>0</v>
      </c>
      <c r="BN137" s="17">
        <f t="shared" si="112"/>
        <v>0</v>
      </c>
      <c r="BO137" s="17">
        <f t="shared" si="113"/>
        <v>0</v>
      </c>
      <c r="BP137" s="17">
        <f t="shared" si="114"/>
        <v>0</v>
      </c>
      <c r="BQ137" s="17">
        <f t="shared" si="115"/>
        <v>0</v>
      </c>
      <c r="BR137" s="17">
        <f t="shared" si="116"/>
        <v>0</v>
      </c>
      <c r="BS137" s="17">
        <f t="shared" si="117"/>
        <v>0</v>
      </c>
      <c r="BT137" s="17">
        <f t="shared" si="118"/>
        <v>0</v>
      </c>
      <c r="BU137" s="17">
        <f t="shared" si="119"/>
        <v>0</v>
      </c>
      <c r="BV137" s="17">
        <f t="shared" si="120"/>
        <v>0</v>
      </c>
      <c r="BW137" s="17">
        <f t="shared" si="121"/>
        <v>0</v>
      </c>
      <c r="BX137" s="17">
        <f t="shared" si="122"/>
        <v>0</v>
      </c>
      <c r="BY137" s="17">
        <f t="shared" si="123"/>
        <v>0</v>
      </c>
      <c r="BZ137" s="17">
        <f t="shared" si="134"/>
        <v>0</v>
      </c>
      <c r="CA137" s="17">
        <f t="shared" si="135"/>
        <v>0</v>
      </c>
      <c r="CB137" s="17">
        <f t="shared" si="136"/>
        <v>0</v>
      </c>
      <c r="CC137" s="17">
        <f t="shared" si="137"/>
        <v>0</v>
      </c>
      <c r="CD137" s="17">
        <f t="shared" si="138"/>
        <v>0</v>
      </c>
      <c r="CE137" s="17">
        <f t="shared" si="139"/>
        <v>0</v>
      </c>
      <c r="CF137" s="17">
        <f t="shared" si="140"/>
        <v>0</v>
      </c>
      <c r="CG137" s="17">
        <f t="shared" si="141"/>
        <v>0</v>
      </c>
      <c r="CH137" s="17">
        <f t="shared" si="142"/>
        <v>0</v>
      </c>
      <c r="CI137" s="17">
        <f t="shared" si="143"/>
        <v>0</v>
      </c>
      <c r="CJ137" s="17">
        <f t="shared" si="144"/>
        <v>0</v>
      </c>
      <c r="CK137" s="17">
        <f t="shared" si="145"/>
        <v>0</v>
      </c>
      <c r="CL137" s="17">
        <f t="shared" si="146"/>
        <v>0</v>
      </c>
      <c r="CM137" s="14">
        <f t="shared" si="147"/>
        <v>0</v>
      </c>
      <c r="CN137" s="17">
        <f t="shared" si="148"/>
        <v>0</v>
      </c>
      <c r="CO137" s="14">
        <f t="shared" si="149"/>
        <v>0</v>
      </c>
      <c r="CP137" s="17">
        <f t="shared" si="150"/>
        <v>0</v>
      </c>
      <c r="CQ137" s="14">
        <f t="shared" si="124"/>
        <v>0</v>
      </c>
      <c r="CR137" s="14">
        <v>658</v>
      </c>
      <c r="CS137" s="14">
        <v>2626</v>
      </c>
      <c r="CT137" s="14">
        <v>0</v>
      </c>
      <c r="CU137" s="14">
        <v>3830</v>
      </c>
    </row>
    <row r="138" spans="1:99" x14ac:dyDescent="0.3">
      <c r="A138" s="14">
        <v>2016</v>
      </c>
      <c r="B138" s="14" t="s">
        <v>25</v>
      </c>
      <c r="C138" s="14" t="s">
        <v>26</v>
      </c>
      <c r="D138" s="15">
        <v>422641.3</v>
      </c>
      <c r="E138" s="15">
        <v>11260084.499999996</v>
      </c>
      <c r="F138" s="15">
        <f t="shared" si="125"/>
        <v>26.64217742090041</v>
      </c>
      <c r="G138" s="14">
        <v>9</v>
      </c>
      <c r="H138" s="14">
        <v>13</v>
      </c>
      <c r="T138" s="14">
        <v>254</v>
      </c>
      <c r="V138" s="14">
        <v>234</v>
      </c>
      <c r="Y138" s="14">
        <v>1166</v>
      </c>
      <c r="AB138" s="14">
        <f t="shared" si="126"/>
        <v>0</v>
      </c>
      <c r="AM138" s="14">
        <f t="shared" si="127"/>
        <v>0</v>
      </c>
      <c r="AQ138" s="14">
        <f t="shared" si="128"/>
        <v>0</v>
      </c>
      <c r="AT138" s="14">
        <f t="shared" si="129"/>
        <v>0</v>
      </c>
      <c r="AU138" s="16">
        <v>1046</v>
      </c>
      <c r="AV138" s="16">
        <v>14448</v>
      </c>
      <c r="AW138" s="16">
        <v>2068</v>
      </c>
      <c r="AX138" s="16">
        <v>0</v>
      </c>
      <c r="AY138" s="18">
        <f t="shared" si="130"/>
        <v>0.92894507141576099</v>
      </c>
      <c r="AZ138" s="17">
        <f t="shared" si="131"/>
        <v>12.831164810530511</v>
      </c>
      <c r="BA138" s="17">
        <f t="shared" si="132"/>
        <v>1.8365759155715045</v>
      </c>
      <c r="BB138" s="17">
        <f t="shared" si="133"/>
        <v>0</v>
      </c>
      <c r="BC138" s="17">
        <f t="shared" si="101"/>
        <v>7.9928352225065481E-3</v>
      </c>
      <c r="BD138" s="17">
        <f t="shared" si="102"/>
        <v>1.1545206432509458E-2</v>
      </c>
      <c r="BE138" s="17">
        <f t="shared" si="103"/>
        <v>0</v>
      </c>
      <c r="BF138" s="17">
        <f t="shared" si="104"/>
        <v>0</v>
      </c>
      <c r="BG138" s="17">
        <f t="shared" si="105"/>
        <v>0</v>
      </c>
      <c r="BH138" s="17">
        <f t="shared" si="106"/>
        <v>0</v>
      </c>
      <c r="BI138" s="17">
        <f t="shared" si="107"/>
        <v>0</v>
      </c>
      <c r="BJ138" s="17">
        <f t="shared" si="108"/>
        <v>0</v>
      </c>
      <c r="BK138" s="17">
        <f t="shared" si="109"/>
        <v>0</v>
      </c>
      <c r="BL138" s="17">
        <f t="shared" si="110"/>
        <v>0</v>
      </c>
      <c r="BM138" s="17">
        <f t="shared" si="111"/>
        <v>0</v>
      </c>
      <c r="BN138" s="17">
        <f t="shared" si="112"/>
        <v>0</v>
      </c>
      <c r="BO138" s="17">
        <f t="shared" si="113"/>
        <v>0</v>
      </c>
      <c r="BP138" s="17">
        <f t="shared" si="114"/>
        <v>0.22557557183518478</v>
      </c>
      <c r="BQ138" s="17">
        <f t="shared" si="115"/>
        <v>0</v>
      </c>
      <c r="BR138" s="17">
        <f t="shared" si="116"/>
        <v>0.20781371578517024</v>
      </c>
      <c r="BS138" s="17">
        <f t="shared" si="117"/>
        <v>0</v>
      </c>
      <c r="BT138" s="17">
        <f t="shared" si="118"/>
        <v>0</v>
      </c>
      <c r="BU138" s="17">
        <f t="shared" si="119"/>
        <v>1.0355162077158484</v>
      </c>
      <c r="BV138" s="17">
        <f t="shared" si="120"/>
        <v>0</v>
      </c>
      <c r="BW138" s="17">
        <f t="shared" si="121"/>
        <v>0</v>
      </c>
      <c r="BX138" s="17">
        <f t="shared" si="122"/>
        <v>0</v>
      </c>
      <c r="BY138" s="17">
        <f t="shared" si="123"/>
        <v>0</v>
      </c>
      <c r="BZ138" s="17">
        <f t="shared" si="134"/>
        <v>0</v>
      </c>
      <c r="CA138" s="17">
        <f t="shared" si="135"/>
        <v>0</v>
      </c>
      <c r="CB138" s="17">
        <f t="shared" si="136"/>
        <v>0</v>
      </c>
      <c r="CC138" s="17">
        <f t="shared" si="137"/>
        <v>0</v>
      </c>
      <c r="CD138" s="17">
        <f t="shared" si="138"/>
        <v>0</v>
      </c>
      <c r="CE138" s="17">
        <f t="shared" si="139"/>
        <v>0</v>
      </c>
      <c r="CF138" s="17">
        <f t="shared" si="140"/>
        <v>0</v>
      </c>
      <c r="CG138" s="17">
        <f t="shared" si="141"/>
        <v>0</v>
      </c>
      <c r="CH138" s="17">
        <f t="shared" si="142"/>
        <v>0</v>
      </c>
      <c r="CI138" s="17">
        <f t="shared" si="143"/>
        <v>0</v>
      </c>
      <c r="CJ138" s="17">
        <f t="shared" si="144"/>
        <v>0</v>
      </c>
      <c r="CK138" s="17">
        <f t="shared" si="145"/>
        <v>0</v>
      </c>
      <c r="CL138" s="17">
        <f t="shared" si="146"/>
        <v>0</v>
      </c>
      <c r="CM138" s="14">
        <f t="shared" si="147"/>
        <v>16516</v>
      </c>
      <c r="CN138" s="17">
        <f t="shared" si="148"/>
        <v>14.667740726102016</v>
      </c>
      <c r="CO138" s="14">
        <f t="shared" si="149"/>
        <v>17562</v>
      </c>
      <c r="CP138" s="17">
        <f t="shared" si="150"/>
        <v>15.596685797517777</v>
      </c>
      <c r="CQ138" s="14">
        <f t="shared" si="124"/>
        <v>19238</v>
      </c>
      <c r="CR138" s="14">
        <v>234</v>
      </c>
      <c r="CS138" s="14">
        <v>1600</v>
      </c>
      <c r="CT138" s="14">
        <v>0</v>
      </c>
      <c r="CU138" s="14">
        <v>0</v>
      </c>
    </row>
    <row r="139" spans="1:99" x14ac:dyDescent="0.3">
      <c r="A139" s="14">
        <v>2017</v>
      </c>
      <c r="B139" s="14" t="s">
        <v>25</v>
      </c>
      <c r="C139" s="14" t="s">
        <v>26</v>
      </c>
      <c r="D139" s="15">
        <v>433722.2</v>
      </c>
      <c r="E139" s="15">
        <v>11596778.499999991</v>
      </c>
      <c r="F139" s="15">
        <f t="shared" si="125"/>
        <v>26.737802445897376</v>
      </c>
      <c r="G139" s="14">
        <v>73</v>
      </c>
      <c r="N139" s="14">
        <v>33</v>
      </c>
      <c r="O139" s="14">
        <v>15</v>
      </c>
      <c r="AB139" s="14">
        <f t="shared" si="126"/>
        <v>15</v>
      </c>
      <c r="AM139" s="14">
        <f t="shared" si="127"/>
        <v>0</v>
      </c>
      <c r="AQ139" s="14">
        <f t="shared" si="128"/>
        <v>0</v>
      </c>
      <c r="AT139" s="14">
        <f t="shared" si="129"/>
        <v>0</v>
      </c>
      <c r="AU139" s="16">
        <v>0</v>
      </c>
      <c r="AV139" s="16">
        <v>0</v>
      </c>
      <c r="AW139" s="16">
        <v>0</v>
      </c>
      <c r="AX139" s="16">
        <v>0</v>
      </c>
      <c r="AY139" s="18">
        <f t="shared" si="130"/>
        <v>0</v>
      </c>
      <c r="AZ139" s="17">
        <f t="shared" si="131"/>
        <v>0</v>
      </c>
      <c r="BA139" s="17">
        <f t="shared" si="132"/>
        <v>0</v>
      </c>
      <c r="BB139" s="17">
        <f t="shared" si="133"/>
        <v>0</v>
      </c>
      <c r="BC139" s="17">
        <f t="shared" si="101"/>
        <v>6.2948516262512091E-2</v>
      </c>
      <c r="BD139" s="17">
        <f t="shared" si="102"/>
        <v>0</v>
      </c>
      <c r="BE139" s="17">
        <f t="shared" si="103"/>
        <v>0</v>
      </c>
      <c r="BF139" s="17">
        <f t="shared" si="104"/>
        <v>0</v>
      </c>
      <c r="BG139" s="17">
        <f t="shared" si="105"/>
        <v>0</v>
      </c>
      <c r="BH139" s="17">
        <f t="shared" si="106"/>
        <v>0</v>
      </c>
      <c r="BI139" s="17">
        <f t="shared" si="107"/>
        <v>0</v>
      </c>
      <c r="BJ139" s="17">
        <f t="shared" si="108"/>
        <v>2.8456178584423276E-2</v>
      </c>
      <c r="BK139" s="17">
        <f t="shared" si="109"/>
        <v>1.2934626629283307E-2</v>
      </c>
      <c r="BL139" s="17">
        <f t="shared" si="110"/>
        <v>0</v>
      </c>
      <c r="BM139" s="17">
        <f t="shared" si="111"/>
        <v>0</v>
      </c>
      <c r="BN139" s="17">
        <f t="shared" si="112"/>
        <v>0</v>
      </c>
      <c r="BO139" s="17">
        <f t="shared" si="113"/>
        <v>0</v>
      </c>
      <c r="BP139" s="17">
        <f t="shared" si="114"/>
        <v>0</v>
      </c>
      <c r="BQ139" s="17">
        <f t="shared" si="115"/>
        <v>0</v>
      </c>
      <c r="BR139" s="17">
        <f t="shared" si="116"/>
        <v>0</v>
      </c>
      <c r="BS139" s="17">
        <f t="shared" si="117"/>
        <v>0</v>
      </c>
      <c r="BT139" s="17">
        <f t="shared" si="118"/>
        <v>0</v>
      </c>
      <c r="BU139" s="17">
        <f t="shared" si="119"/>
        <v>0</v>
      </c>
      <c r="BV139" s="17">
        <f t="shared" si="120"/>
        <v>0</v>
      </c>
      <c r="BW139" s="17">
        <f t="shared" si="121"/>
        <v>0</v>
      </c>
      <c r="BX139" s="17">
        <f t="shared" si="122"/>
        <v>0</v>
      </c>
      <c r="BY139" s="17">
        <f t="shared" si="123"/>
        <v>0</v>
      </c>
      <c r="BZ139" s="17">
        <f t="shared" si="134"/>
        <v>0</v>
      </c>
      <c r="CA139" s="17">
        <f t="shared" si="135"/>
        <v>0</v>
      </c>
      <c r="CB139" s="17">
        <f t="shared" si="136"/>
        <v>0</v>
      </c>
      <c r="CC139" s="17">
        <f t="shared" si="137"/>
        <v>0</v>
      </c>
      <c r="CD139" s="17">
        <f t="shared" si="138"/>
        <v>0</v>
      </c>
      <c r="CE139" s="17">
        <f t="shared" si="139"/>
        <v>0</v>
      </c>
      <c r="CF139" s="17">
        <f t="shared" si="140"/>
        <v>0</v>
      </c>
      <c r="CG139" s="17">
        <f t="shared" si="141"/>
        <v>0</v>
      </c>
      <c r="CH139" s="17">
        <f t="shared" si="142"/>
        <v>0</v>
      </c>
      <c r="CI139" s="17">
        <f t="shared" si="143"/>
        <v>0</v>
      </c>
      <c r="CJ139" s="17">
        <f t="shared" si="144"/>
        <v>0</v>
      </c>
      <c r="CK139" s="17">
        <f t="shared" si="145"/>
        <v>0</v>
      </c>
      <c r="CL139" s="17">
        <f t="shared" si="146"/>
        <v>0</v>
      </c>
      <c r="CM139" s="14">
        <f t="shared" si="147"/>
        <v>0</v>
      </c>
      <c r="CN139" s="17">
        <f t="shared" si="148"/>
        <v>0</v>
      </c>
      <c r="CO139" s="14">
        <f t="shared" si="149"/>
        <v>0</v>
      </c>
      <c r="CP139" s="17">
        <f t="shared" si="150"/>
        <v>0</v>
      </c>
      <c r="CQ139" s="14">
        <f t="shared" si="124"/>
        <v>136</v>
      </c>
      <c r="CR139" s="14">
        <v>0</v>
      </c>
      <c r="CS139" s="14">
        <v>0</v>
      </c>
      <c r="CT139" s="14">
        <v>0</v>
      </c>
      <c r="CU139" s="14">
        <v>0</v>
      </c>
    </row>
    <row r="140" spans="1:99" x14ac:dyDescent="0.3">
      <c r="A140" s="14">
        <v>2018</v>
      </c>
      <c r="B140" s="14" t="s">
        <v>25</v>
      </c>
      <c r="C140" s="14" t="s">
        <v>26</v>
      </c>
      <c r="D140" s="15">
        <v>442748.4</v>
      </c>
      <c r="E140" s="15">
        <v>11940683.499999996</v>
      </c>
      <c r="F140" s="15">
        <f t="shared" si="125"/>
        <v>26.969456016103042</v>
      </c>
      <c r="G140" s="14">
        <v>12</v>
      </c>
      <c r="H140" s="14">
        <v>306</v>
      </c>
      <c r="I140" s="14">
        <v>4463</v>
      </c>
      <c r="T140" s="14">
        <v>255</v>
      </c>
      <c r="V140" s="14">
        <v>137</v>
      </c>
      <c r="Z140" s="14">
        <v>668</v>
      </c>
      <c r="AB140" s="14">
        <f t="shared" si="126"/>
        <v>0</v>
      </c>
      <c r="AI140" s="14">
        <v>5086</v>
      </c>
      <c r="AJ140" s="14">
        <v>45</v>
      </c>
      <c r="AK140" s="14">
        <v>58</v>
      </c>
      <c r="AM140" s="14">
        <f t="shared" si="127"/>
        <v>58</v>
      </c>
      <c r="AP140" s="14">
        <v>102</v>
      </c>
      <c r="AQ140" s="14">
        <f t="shared" si="128"/>
        <v>102</v>
      </c>
      <c r="AT140" s="14">
        <f t="shared" si="129"/>
        <v>0</v>
      </c>
      <c r="AU140" s="16">
        <v>2300</v>
      </c>
      <c r="AV140" s="16">
        <v>6820</v>
      </c>
      <c r="AW140" s="16">
        <v>2110</v>
      </c>
      <c r="AX140" s="16">
        <v>0</v>
      </c>
      <c r="AY140" s="18">
        <f t="shared" si="130"/>
        <v>1.9261878936829711</v>
      </c>
      <c r="AZ140" s="17">
        <f t="shared" si="131"/>
        <v>5.7115658412686363</v>
      </c>
      <c r="BA140" s="17">
        <f t="shared" si="132"/>
        <v>1.7670680242048127</v>
      </c>
      <c r="BB140" s="17">
        <f t="shared" si="133"/>
        <v>0</v>
      </c>
      <c r="BC140" s="17">
        <f t="shared" si="101"/>
        <v>1.0049675967041588E-2</v>
      </c>
      <c r="BD140" s="17">
        <f t="shared" si="102"/>
        <v>0.2562667371595605</v>
      </c>
      <c r="BE140" s="17">
        <f t="shared" si="103"/>
        <v>3.7376419867422173</v>
      </c>
      <c r="BF140" s="17">
        <f t="shared" si="104"/>
        <v>0</v>
      </c>
      <c r="BG140" s="17">
        <f t="shared" si="105"/>
        <v>0</v>
      </c>
      <c r="BH140" s="17">
        <f t="shared" si="106"/>
        <v>0</v>
      </c>
      <c r="BI140" s="17">
        <f t="shared" si="107"/>
        <v>0</v>
      </c>
      <c r="BJ140" s="17">
        <f t="shared" si="108"/>
        <v>0</v>
      </c>
      <c r="BK140" s="17">
        <f t="shared" si="109"/>
        <v>0</v>
      </c>
      <c r="BL140" s="17">
        <f t="shared" si="110"/>
        <v>0</v>
      </c>
      <c r="BM140" s="17">
        <f t="shared" si="111"/>
        <v>0</v>
      </c>
      <c r="BN140" s="17">
        <f t="shared" si="112"/>
        <v>0</v>
      </c>
      <c r="BO140" s="17">
        <f t="shared" si="113"/>
        <v>0</v>
      </c>
      <c r="BP140" s="17">
        <f t="shared" si="114"/>
        <v>0.21355561429963374</v>
      </c>
      <c r="BQ140" s="17">
        <f t="shared" si="115"/>
        <v>0</v>
      </c>
      <c r="BR140" s="17">
        <f t="shared" si="116"/>
        <v>0.1147338006237248</v>
      </c>
      <c r="BS140" s="17">
        <f t="shared" si="117"/>
        <v>0</v>
      </c>
      <c r="BT140" s="17">
        <f t="shared" si="118"/>
        <v>0</v>
      </c>
      <c r="BU140" s="17">
        <f t="shared" si="119"/>
        <v>0</v>
      </c>
      <c r="BV140" s="17">
        <f t="shared" si="120"/>
        <v>0.5594319621653151</v>
      </c>
      <c r="BW140" s="17">
        <f t="shared" si="121"/>
        <v>0</v>
      </c>
      <c r="BX140" s="17">
        <f t="shared" si="122"/>
        <v>0</v>
      </c>
      <c r="BY140" s="17">
        <f t="shared" si="123"/>
        <v>0</v>
      </c>
      <c r="BZ140" s="17">
        <f t="shared" si="134"/>
        <v>0</v>
      </c>
      <c r="CA140" s="17">
        <f t="shared" si="135"/>
        <v>0</v>
      </c>
      <c r="CB140" s="17">
        <f t="shared" si="136"/>
        <v>0</v>
      </c>
      <c r="CC140" s="17">
        <f t="shared" si="137"/>
        <v>0</v>
      </c>
      <c r="CD140" s="17">
        <f t="shared" si="138"/>
        <v>4.2593876640311263</v>
      </c>
      <c r="CE140" s="17">
        <f t="shared" si="139"/>
        <v>3.7686284876405955E-2</v>
      </c>
      <c r="CF140" s="17">
        <f t="shared" si="140"/>
        <v>4.8573433840701008E-2</v>
      </c>
      <c r="CG140" s="17">
        <f t="shared" si="141"/>
        <v>0</v>
      </c>
      <c r="CH140" s="17">
        <f t="shared" si="142"/>
        <v>0</v>
      </c>
      <c r="CI140" s="17">
        <f t="shared" si="143"/>
        <v>0</v>
      </c>
      <c r="CJ140" s="17">
        <f t="shared" si="144"/>
        <v>8.5422245719853504E-2</v>
      </c>
      <c r="CK140" s="17">
        <f t="shared" si="145"/>
        <v>0</v>
      </c>
      <c r="CL140" s="17">
        <f t="shared" si="146"/>
        <v>0</v>
      </c>
      <c r="CM140" s="14">
        <f t="shared" si="147"/>
        <v>8930</v>
      </c>
      <c r="CN140" s="17">
        <f t="shared" si="148"/>
        <v>7.4786338654734488</v>
      </c>
      <c r="CO140" s="14">
        <f t="shared" si="149"/>
        <v>11230</v>
      </c>
      <c r="CP140" s="17">
        <f t="shared" si="150"/>
        <v>9.4048217591564196</v>
      </c>
      <c r="CQ140" s="14">
        <f t="shared" si="124"/>
        <v>22522</v>
      </c>
      <c r="CR140" s="14">
        <v>0</v>
      </c>
      <c r="CS140" s="14">
        <v>281</v>
      </c>
      <c r="CT140" s="14">
        <v>8</v>
      </c>
      <c r="CU140" s="14">
        <v>429</v>
      </c>
    </row>
    <row r="141" spans="1:99" x14ac:dyDescent="0.3">
      <c r="A141" s="14">
        <v>2019</v>
      </c>
      <c r="B141" s="14" t="s">
        <v>25</v>
      </c>
      <c r="C141" s="14" t="s">
        <v>26</v>
      </c>
      <c r="D141" s="15">
        <v>450366.9</v>
      </c>
      <c r="E141" s="15">
        <v>12290444.000000004</v>
      </c>
      <c r="F141" s="15">
        <f t="shared" si="125"/>
        <v>27.289847455485745</v>
      </c>
      <c r="V141" s="14">
        <v>92</v>
      </c>
      <c r="AB141" s="14">
        <f t="shared" si="126"/>
        <v>0</v>
      </c>
      <c r="AM141" s="14">
        <f t="shared" si="127"/>
        <v>0</v>
      </c>
      <c r="AQ141" s="14">
        <f t="shared" si="128"/>
        <v>0</v>
      </c>
      <c r="AT141" s="14">
        <f t="shared" si="129"/>
        <v>0</v>
      </c>
      <c r="AU141" s="16">
        <v>1842</v>
      </c>
      <c r="AV141" s="16">
        <v>5340</v>
      </c>
      <c r="AW141" s="16">
        <v>1810</v>
      </c>
      <c r="AX141" s="16">
        <v>0</v>
      </c>
      <c r="AY141" s="18">
        <f t="shared" si="130"/>
        <v>1.4987253511752703</v>
      </c>
      <c r="AZ141" s="17">
        <f t="shared" si="131"/>
        <v>4.3448389659478526</v>
      </c>
      <c r="BA141" s="17">
        <f t="shared" si="132"/>
        <v>1.4726888629898152</v>
      </c>
      <c r="BB141" s="17">
        <f t="shared" si="133"/>
        <v>0</v>
      </c>
      <c r="BC141" s="17">
        <f t="shared" si="101"/>
        <v>0</v>
      </c>
      <c r="BD141" s="17">
        <f t="shared" si="102"/>
        <v>0</v>
      </c>
      <c r="BE141" s="17">
        <f t="shared" si="103"/>
        <v>0</v>
      </c>
      <c r="BF141" s="17">
        <f t="shared" si="104"/>
        <v>0</v>
      </c>
      <c r="BG141" s="17">
        <f t="shared" si="105"/>
        <v>0</v>
      </c>
      <c r="BH141" s="17">
        <f t="shared" si="106"/>
        <v>0</v>
      </c>
      <c r="BI141" s="17">
        <f t="shared" si="107"/>
        <v>0</v>
      </c>
      <c r="BJ141" s="17">
        <f t="shared" si="108"/>
        <v>0</v>
      </c>
      <c r="BK141" s="17">
        <f t="shared" si="109"/>
        <v>0</v>
      </c>
      <c r="BL141" s="17">
        <f t="shared" si="110"/>
        <v>0</v>
      </c>
      <c r="BM141" s="17">
        <f t="shared" si="111"/>
        <v>0</v>
      </c>
      <c r="BN141" s="17">
        <f t="shared" si="112"/>
        <v>0</v>
      </c>
      <c r="BO141" s="17">
        <f t="shared" si="113"/>
        <v>0</v>
      </c>
      <c r="BP141" s="17">
        <f t="shared" si="114"/>
        <v>0</v>
      </c>
      <c r="BQ141" s="17">
        <f t="shared" si="115"/>
        <v>0</v>
      </c>
      <c r="BR141" s="17">
        <f t="shared" si="116"/>
        <v>7.485490353318397E-2</v>
      </c>
      <c r="BS141" s="17">
        <f t="shared" si="117"/>
        <v>0</v>
      </c>
      <c r="BT141" s="17">
        <f t="shared" si="118"/>
        <v>0</v>
      </c>
      <c r="BU141" s="17">
        <f t="shared" si="119"/>
        <v>0</v>
      </c>
      <c r="BV141" s="17">
        <f t="shared" si="120"/>
        <v>0</v>
      </c>
      <c r="BW141" s="17">
        <f t="shared" si="121"/>
        <v>0</v>
      </c>
      <c r="BX141" s="17">
        <f t="shared" si="122"/>
        <v>0</v>
      </c>
      <c r="BY141" s="17">
        <f t="shared" si="123"/>
        <v>0</v>
      </c>
      <c r="BZ141" s="17">
        <f t="shared" si="134"/>
        <v>0</v>
      </c>
      <c r="CA141" s="17">
        <f t="shared" si="135"/>
        <v>0</v>
      </c>
      <c r="CB141" s="17">
        <f t="shared" si="136"/>
        <v>0</v>
      </c>
      <c r="CC141" s="17">
        <f t="shared" si="137"/>
        <v>0</v>
      </c>
      <c r="CD141" s="17">
        <f t="shared" si="138"/>
        <v>0</v>
      </c>
      <c r="CE141" s="17">
        <f t="shared" si="139"/>
        <v>0</v>
      </c>
      <c r="CF141" s="17">
        <f t="shared" si="140"/>
        <v>0</v>
      </c>
      <c r="CG141" s="17">
        <f t="shared" si="141"/>
        <v>0</v>
      </c>
      <c r="CH141" s="17">
        <f t="shared" si="142"/>
        <v>0</v>
      </c>
      <c r="CI141" s="17">
        <f t="shared" si="143"/>
        <v>0</v>
      </c>
      <c r="CJ141" s="17">
        <f t="shared" si="144"/>
        <v>0</v>
      </c>
      <c r="CK141" s="17">
        <f t="shared" si="145"/>
        <v>0</v>
      </c>
      <c r="CL141" s="17">
        <f t="shared" si="146"/>
        <v>0</v>
      </c>
      <c r="CM141" s="14">
        <f t="shared" si="147"/>
        <v>7150</v>
      </c>
      <c r="CN141" s="17">
        <f t="shared" si="148"/>
        <v>5.8175278289376671</v>
      </c>
      <c r="CO141" s="14">
        <f t="shared" si="149"/>
        <v>8992</v>
      </c>
      <c r="CP141" s="17">
        <f t="shared" si="150"/>
        <v>7.3162531801129376</v>
      </c>
      <c r="CQ141" s="14">
        <f t="shared" si="124"/>
        <v>9084</v>
      </c>
      <c r="CR141" s="14">
        <v>32</v>
      </c>
      <c r="CS141" s="14">
        <v>106</v>
      </c>
      <c r="CT141" s="14">
        <v>0</v>
      </c>
      <c r="CU141" s="14">
        <v>0</v>
      </c>
    </row>
    <row r="142" spans="1:99" x14ac:dyDescent="0.3">
      <c r="A142" s="14">
        <v>2020</v>
      </c>
      <c r="B142" s="14" t="s">
        <v>25</v>
      </c>
      <c r="C142" s="14" t="s">
        <v>26</v>
      </c>
      <c r="D142" s="15">
        <v>457449.9</v>
      </c>
      <c r="E142" s="15">
        <v>12643123.000000002</v>
      </c>
      <c r="F142" s="15">
        <f t="shared" si="125"/>
        <v>27.63826814695992</v>
      </c>
      <c r="AB142" s="14">
        <f t="shared" si="126"/>
        <v>0</v>
      </c>
      <c r="AM142" s="14">
        <f t="shared" si="127"/>
        <v>0</v>
      </c>
      <c r="AQ142" s="14">
        <f t="shared" si="128"/>
        <v>0</v>
      </c>
      <c r="AT142" s="14">
        <f t="shared" si="129"/>
        <v>0</v>
      </c>
      <c r="AU142" s="16">
        <v>0</v>
      </c>
      <c r="AV142" s="16">
        <v>0</v>
      </c>
      <c r="AW142" s="16">
        <v>0</v>
      </c>
      <c r="AX142" s="16">
        <v>0</v>
      </c>
      <c r="AY142" s="18">
        <f t="shared" si="130"/>
        <v>0</v>
      </c>
      <c r="AZ142" s="17">
        <f t="shared" si="131"/>
        <v>0</v>
      </c>
      <c r="BA142" s="17">
        <f t="shared" si="132"/>
        <v>0</v>
      </c>
      <c r="BB142" s="17">
        <f t="shared" si="133"/>
        <v>0</v>
      </c>
      <c r="BC142" s="17">
        <f t="shared" si="101"/>
        <v>0</v>
      </c>
      <c r="BD142" s="17">
        <f t="shared" si="102"/>
        <v>0</v>
      </c>
      <c r="BE142" s="17">
        <f t="shared" si="103"/>
        <v>0</v>
      </c>
      <c r="BF142" s="17">
        <f t="shared" si="104"/>
        <v>0</v>
      </c>
      <c r="BG142" s="17">
        <f t="shared" si="105"/>
        <v>0</v>
      </c>
      <c r="BH142" s="17">
        <f t="shared" si="106"/>
        <v>0</v>
      </c>
      <c r="BI142" s="17">
        <f t="shared" si="107"/>
        <v>0</v>
      </c>
      <c r="BJ142" s="17">
        <f t="shared" si="108"/>
        <v>0</v>
      </c>
      <c r="BK142" s="17">
        <f t="shared" si="109"/>
        <v>0</v>
      </c>
      <c r="BL142" s="17">
        <f t="shared" si="110"/>
        <v>0</v>
      </c>
      <c r="BM142" s="17">
        <f t="shared" si="111"/>
        <v>0</v>
      </c>
      <c r="BN142" s="17">
        <f t="shared" si="112"/>
        <v>0</v>
      </c>
      <c r="BO142" s="17">
        <f t="shared" si="113"/>
        <v>0</v>
      </c>
      <c r="BP142" s="17">
        <f t="shared" si="114"/>
        <v>0</v>
      </c>
      <c r="BQ142" s="17">
        <f t="shared" si="115"/>
        <v>0</v>
      </c>
      <c r="BR142" s="17">
        <f t="shared" si="116"/>
        <v>0</v>
      </c>
      <c r="BS142" s="17">
        <f t="shared" si="117"/>
        <v>0</v>
      </c>
      <c r="BT142" s="17">
        <f t="shared" si="118"/>
        <v>0</v>
      </c>
      <c r="BU142" s="17">
        <f t="shared" si="119"/>
        <v>0</v>
      </c>
      <c r="BV142" s="17">
        <f t="shared" si="120"/>
        <v>0</v>
      </c>
      <c r="BW142" s="17">
        <f t="shared" si="121"/>
        <v>0</v>
      </c>
      <c r="BX142" s="17">
        <f t="shared" si="122"/>
        <v>0</v>
      </c>
      <c r="BY142" s="17">
        <f t="shared" si="123"/>
        <v>0</v>
      </c>
      <c r="BZ142" s="17">
        <f t="shared" si="134"/>
        <v>0</v>
      </c>
      <c r="CA142" s="17">
        <f t="shared" si="135"/>
        <v>0</v>
      </c>
      <c r="CB142" s="17">
        <f t="shared" si="136"/>
        <v>0</v>
      </c>
      <c r="CC142" s="17">
        <f t="shared" si="137"/>
        <v>0</v>
      </c>
      <c r="CD142" s="17">
        <f t="shared" si="138"/>
        <v>0</v>
      </c>
      <c r="CE142" s="17">
        <f t="shared" si="139"/>
        <v>0</v>
      </c>
      <c r="CF142" s="17">
        <f t="shared" si="140"/>
        <v>0</v>
      </c>
      <c r="CG142" s="17">
        <f t="shared" si="141"/>
        <v>0</v>
      </c>
      <c r="CH142" s="17">
        <f t="shared" si="142"/>
        <v>0</v>
      </c>
      <c r="CI142" s="17">
        <f t="shared" si="143"/>
        <v>0</v>
      </c>
      <c r="CJ142" s="17">
        <f t="shared" si="144"/>
        <v>0</v>
      </c>
      <c r="CK142" s="17">
        <f t="shared" si="145"/>
        <v>0</v>
      </c>
      <c r="CL142" s="17">
        <f t="shared" si="146"/>
        <v>0</v>
      </c>
      <c r="CM142" s="14">
        <f t="shared" si="147"/>
        <v>0</v>
      </c>
      <c r="CN142" s="17">
        <f t="shared" si="148"/>
        <v>0</v>
      </c>
      <c r="CO142" s="14">
        <f t="shared" si="149"/>
        <v>0</v>
      </c>
      <c r="CP142" s="17">
        <f t="shared" si="150"/>
        <v>0</v>
      </c>
      <c r="CQ142" s="14">
        <f t="shared" si="124"/>
        <v>0</v>
      </c>
      <c r="CR142" s="14">
        <v>0</v>
      </c>
      <c r="CS142" s="14">
        <v>0</v>
      </c>
      <c r="CT142" s="14">
        <v>0</v>
      </c>
      <c r="CU142" s="14">
        <v>0</v>
      </c>
    </row>
    <row r="143" spans="1:99" x14ac:dyDescent="0.3">
      <c r="A143" s="14">
        <v>2021</v>
      </c>
      <c r="B143" s="14" t="s">
        <v>25</v>
      </c>
      <c r="C143" s="14" t="s">
        <v>26</v>
      </c>
      <c r="D143" s="15">
        <v>464321.1</v>
      </c>
      <c r="E143" s="15">
        <v>12996895</v>
      </c>
      <c r="F143" s="15">
        <f t="shared" si="125"/>
        <v>27.991178949222856</v>
      </c>
      <c r="G143" s="14">
        <v>50</v>
      </c>
      <c r="H143" s="14">
        <v>403</v>
      </c>
      <c r="I143" s="14">
        <v>5903</v>
      </c>
      <c r="M143" s="14">
        <v>21</v>
      </c>
      <c r="N143" s="14">
        <v>6</v>
      </c>
      <c r="T143" s="14">
        <v>311</v>
      </c>
      <c r="V143" s="14">
        <v>352</v>
      </c>
      <c r="Y143" s="14">
        <v>1744</v>
      </c>
      <c r="AB143" s="14">
        <f t="shared" si="126"/>
        <v>0</v>
      </c>
      <c r="AD143" s="14">
        <v>4</v>
      </c>
      <c r="AE143" s="14">
        <v>44</v>
      </c>
      <c r="AI143" s="14">
        <v>382</v>
      </c>
      <c r="AJ143" s="14">
        <v>56</v>
      </c>
      <c r="AK143" s="14">
        <v>187</v>
      </c>
      <c r="AM143" s="14">
        <f t="shared" si="127"/>
        <v>187</v>
      </c>
      <c r="AQ143" s="14">
        <f t="shared" si="128"/>
        <v>0</v>
      </c>
      <c r="AT143" s="14">
        <f t="shared" si="129"/>
        <v>0</v>
      </c>
      <c r="AU143" s="16">
        <v>5861</v>
      </c>
      <c r="AV143" s="16">
        <v>10968</v>
      </c>
      <c r="AW143" s="16">
        <v>4172</v>
      </c>
      <c r="AX143" s="16">
        <v>6809</v>
      </c>
      <c r="AY143" s="18">
        <f t="shared" si="130"/>
        <v>4.5095386244176012</v>
      </c>
      <c r="AZ143" s="17">
        <f t="shared" si="131"/>
        <v>8.438938684970525</v>
      </c>
      <c r="BA143" s="17">
        <f t="shared" si="132"/>
        <v>3.2099974647790877</v>
      </c>
      <c r="BB143" s="17">
        <f t="shared" si="133"/>
        <v>5.2389436092235879</v>
      </c>
      <c r="BC143" s="17">
        <f t="shared" si="101"/>
        <v>3.8470727046729235E-2</v>
      </c>
      <c r="BD143" s="17">
        <f t="shared" si="102"/>
        <v>0.31007405999663767</v>
      </c>
      <c r="BE143" s="17">
        <f t="shared" si="103"/>
        <v>4.5418540351368542</v>
      </c>
      <c r="BF143" s="17">
        <f t="shared" si="104"/>
        <v>0</v>
      </c>
      <c r="BG143" s="17">
        <f t="shared" si="105"/>
        <v>0</v>
      </c>
      <c r="BH143" s="17">
        <f t="shared" si="106"/>
        <v>0</v>
      </c>
      <c r="BI143" s="17">
        <f t="shared" si="107"/>
        <v>1.6157705359626282E-2</v>
      </c>
      <c r="BJ143" s="17">
        <f t="shared" si="108"/>
        <v>4.6164872456075081E-3</v>
      </c>
      <c r="BK143" s="17">
        <f t="shared" si="109"/>
        <v>0</v>
      </c>
      <c r="BL143" s="17">
        <f t="shared" si="110"/>
        <v>0</v>
      </c>
      <c r="BM143" s="17">
        <f t="shared" si="111"/>
        <v>0</v>
      </c>
      <c r="BN143" s="17">
        <f t="shared" si="112"/>
        <v>0</v>
      </c>
      <c r="BO143" s="17">
        <f t="shared" si="113"/>
        <v>0</v>
      </c>
      <c r="BP143" s="17">
        <f t="shared" si="114"/>
        <v>0.23928792223065587</v>
      </c>
      <c r="BQ143" s="17">
        <f t="shared" si="115"/>
        <v>0</v>
      </c>
      <c r="BR143" s="17">
        <f t="shared" si="116"/>
        <v>0.27083391840897386</v>
      </c>
      <c r="BS143" s="17">
        <f t="shared" si="117"/>
        <v>0</v>
      </c>
      <c r="BT143" s="17">
        <f t="shared" si="118"/>
        <v>0</v>
      </c>
      <c r="BU143" s="17">
        <f t="shared" si="119"/>
        <v>1.3418589593899157</v>
      </c>
      <c r="BV143" s="17">
        <f t="shared" si="120"/>
        <v>0</v>
      </c>
      <c r="BW143" s="17">
        <f t="shared" si="121"/>
        <v>0</v>
      </c>
      <c r="BX143" s="17">
        <f t="shared" si="122"/>
        <v>0</v>
      </c>
      <c r="BY143" s="17">
        <f t="shared" si="123"/>
        <v>3.0776581637383389E-3</v>
      </c>
      <c r="BZ143" s="17">
        <f t="shared" si="134"/>
        <v>3.3854239801121733E-2</v>
      </c>
      <c r="CA143" s="17">
        <f t="shared" si="135"/>
        <v>0</v>
      </c>
      <c r="CB143" s="17">
        <f t="shared" si="136"/>
        <v>0</v>
      </c>
      <c r="CC143" s="17">
        <f t="shared" si="137"/>
        <v>0</v>
      </c>
      <c r="CD143" s="17">
        <f t="shared" si="138"/>
        <v>0.29391635463701138</v>
      </c>
      <c r="CE143" s="17">
        <f t="shared" si="139"/>
        <v>4.3087214292336744E-2</v>
      </c>
      <c r="CF143" s="17">
        <f t="shared" si="140"/>
        <v>0.14388051915476735</v>
      </c>
      <c r="CG143" s="17">
        <f t="shared" si="141"/>
        <v>0</v>
      </c>
      <c r="CH143" s="17">
        <f t="shared" si="142"/>
        <v>0</v>
      </c>
      <c r="CI143" s="17">
        <f t="shared" si="143"/>
        <v>0</v>
      </c>
      <c r="CJ143" s="17">
        <f t="shared" si="144"/>
        <v>0</v>
      </c>
      <c r="CK143" s="17">
        <f t="shared" si="145"/>
        <v>0</v>
      </c>
      <c r="CL143" s="17">
        <f t="shared" si="146"/>
        <v>0</v>
      </c>
      <c r="CM143" s="14">
        <f t="shared" si="147"/>
        <v>15140</v>
      </c>
      <c r="CN143" s="17">
        <f t="shared" si="148"/>
        <v>11.648936149749613</v>
      </c>
      <c r="CO143" s="14">
        <f t="shared" si="149"/>
        <v>21001</v>
      </c>
      <c r="CP143" s="17">
        <f t="shared" si="150"/>
        <v>16.158474774167214</v>
      </c>
      <c r="CQ143" s="14">
        <f t="shared" si="124"/>
        <v>37460</v>
      </c>
      <c r="CR143" s="14">
        <v>195</v>
      </c>
      <c r="CS143" s="14">
        <v>505</v>
      </c>
      <c r="CT143" s="14">
        <v>21</v>
      </c>
      <c r="CU143" s="14">
        <v>1570</v>
      </c>
    </row>
    <row r="144" spans="1:99" x14ac:dyDescent="0.3">
      <c r="A144" s="14">
        <v>2022</v>
      </c>
      <c r="B144" s="14" t="s">
        <v>25</v>
      </c>
      <c r="C144" s="14" t="s">
        <v>26</v>
      </c>
      <c r="D144" s="15">
        <v>470912.8</v>
      </c>
      <c r="E144" s="15">
        <v>13352864</v>
      </c>
      <c r="F144" s="15">
        <f t="shared" si="125"/>
        <v>28.35527936382277</v>
      </c>
      <c r="G144" s="14">
        <v>50</v>
      </c>
      <c r="H144" s="14">
        <v>382</v>
      </c>
      <c r="I144" s="14">
        <v>5106</v>
      </c>
      <c r="M144" s="14">
        <v>21</v>
      </c>
      <c r="T144" s="14">
        <v>257</v>
      </c>
      <c r="Y144" s="14">
        <v>1602</v>
      </c>
      <c r="AB144" s="14">
        <f t="shared" si="126"/>
        <v>0</v>
      </c>
      <c r="AD144" s="14">
        <v>4</v>
      </c>
      <c r="AE144" s="14">
        <v>44</v>
      </c>
      <c r="AI144" s="14">
        <v>382</v>
      </c>
      <c r="AK144" s="14">
        <v>187</v>
      </c>
      <c r="AM144" s="14">
        <f t="shared" si="127"/>
        <v>187</v>
      </c>
      <c r="AQ144" s="14">
        <f t="shared" si="128"/>
        <v>0</v>
      </c>
      <c r="AT144" s="14">
        <f t="shared" si="129"/>
        <v>0</v>
      </c>
      <c r="AU144" s="16">
        <v>5567</v>
      </c>
      <c r="AV144" s="16">
        <v>11786</v>
      </c>
      <c r="AW144" s="16">
        <v>4110</v>
      </c>
      <c r="AX144" s="16">
        <v>0</v>
      </c>
      <c r="AY144" s="18">
        <f t="shared" si="130"/>
        <v>4.1691430392760687</v>
      </c>
      <c r="AZ144" s="17">
        <f t="shared" si="131"/>
        <v>8.8265708390349822</v>
      </c>
      <c r="BA144" s="17">
        <f t="shared" si="132"/>
        <v>3.0779913582584228</v>
      </c>
      <c r="BB144" s="17">
        <f t="shared" si="133"/>
        <v>0</v>
      </c>
      <c r="BC144" s="17">
        <f t="shared" si="101"/>
        <v>3.7445150343776434E-2</v>
      </c>
      <c r="BD144" s="17">
        <f t="shared" si="102"/>
        <v>0.28608094862645195</v>
      </c>
      <c r="BE144" s="17">
        <f t="shared" si="103"/>
        <v>3.8238987531064499</v>
      </c>
      <c r="BF144" s="17">
        <f t="shared" si="104"/>
        <v>0</v>
      </c>
      <c r="BG144" s="17">
        <f t="shared" si="105"/>
        <v>0</v>
      </c>
      <c r="BH144" s="17">
        <f t="shared" si="106"/>
        <v>0</v>
      </c>
      <c r="BI144" s="17">
        <f t="shared" si="107"/>
        <v>1.5726963144386104E-2</v>
      </c>
      <c r="BJ144" s="17">
        <f t="shared" si="108"/>
        <v>0</v>
      </c>
      <c r="BK144" s="17">
        <f t="shared" si="109"/>
        <v>0</v>
      </c>
      <c r="BL144" s="17">
        <f t="shared" si="110"/>
        <v>0</v>
      </c>
      <c r="BM144" s="17">
        <f t="shared" si="111"/>
        <v>0</v>
      </c>
      <c r="BN144" s="17">
        <f t="shared" si="112"/>
        <v>0</v>
      </c>
      <c r="BO144" s="17">
        <f t="shared" si="113"/>
        <v>0</v>
      </c>
      <c r="BP144" s="17">
        <f t="shared" si="114"/>
        <v>0.19246807276701089</v>
      </c>
      <c r="BQ144" s="17">
        <f t="shared" si="115"/>
        <v>0</v>
      </c>
      <c r="BR144" s="17">
        <f t="shared" si="116"/>
        <v>0</v>
      </c>
      <c r="BS144" s="17">
        <f t="shared" si="117"/>
        <v>0</v>
      </c>
      <c r="BT144" s="17">
        <f t="shared" si="118"/>
        <v>0</v>
      </c>
      <c r="BU144" s="17">
        <f t="shared" si="119"/>
        <v>1.1997426170145971</v>
      </c>
      <c r="BV144" s="17">
        <f t="shared" si="120"/>
        <v>0</v>
      </c>
      <c r="BW144" s="17">
        <f t="shared" si="121"/>
        <v>0</v>
      </c>
      <c r="BX144" s="17">
        <f t="shared" si="122"/>
        <v>0</v>
      </c>
      <c r="BY144" s="17">
        <f t="shared" si="123"/>
        <v>2.9956120275021151E-3</v>
      </c>
      <c r="BZ144" s="17">
        <f t="shared" si="134"/>
        <v>3.2951732302523261E-2</v>
      </c>
      <c r="CA144" s="17">
        <f t="shared" si="135"/>
        <v>0</v>
      </c>
      <c r="CB144" s="17">
        <f t="shared" si="136"/>
        <v>0</v>
      </c>
      <c r="CC144" s="17">
        <f t="shared" si="137"/>
        <v>0</v>
      </c>
      <c r="CD144" s="17">
        <f t="shared" si="138"/>
        <v>0.28608094862645195</v>
      </c>
      <c r="CE144" s="17">
        <f t="shared" si="139"/>
        <v>0</v>
      </c>
      <c r="CF144" s="17">
        <f t="shared" si="140"/>
        <v>0.14004486228572388</v>
      </c>
      <c r="CG144" s="17">
        <f t="shared" si="141"/>
        <v>0</v>
      </c>
      <c r="CH144" s="17">
        <f t="shared" si="142"/>
        <v>0</v>
      </c>
      <c r="CI144" s="17">
        <f t="shared" si="143"/>
        <v>0</v>
      </c>
      <c r="CJ144" s="17">
        <f t="shared" si="144"/>
        <v>0</v>
      </c>
      <c r="CK144" s="17">
        <f t="shared" si="145"/>
        <v>0</v>
      </c>
      <c r="CL144" s="17">
        <f t="shared" si="146"/>
        <v>0</v>
      </c>
      <c r="CM144" s="14">
        <f t="shared" si="147"/>
        <v>15896</v>
      </c>
      <c r="CN144" s="17">
        <f t="shared" si="148"/>
        <v>11.904562197293405</v>
      </c>
      <c r="CO144" s="14">
        <f t="shared" si="149"/>
        <v>21463</v>
      </c>
      <c r="CP144" s="17">
        <f t="shared" si="150"/>
        <v>16.073705236569474</v>
      </c>
      <c r="CQ144" s="14">
        <f t="shared" si="124"/>
        <v>29685</v>
      </c>
      <c r="CR144" s="14">
        <v>0</v>
      </c>
      <c r="CS144" s="14">
        <v>0</v>
      </c>
      <c r="CT144" s="14">
        <v>0</v>
      </c>
      <c r="CU144" s="14">
        <v>0</v>
      </c>
    </row>
    <row r="145" spans="1:99" x14ac:dyDescent="0.3">
      <c r="A145" s="14">
        <v>2012</v>
      </c>
      <c r="B145" s="14" t="s">
        <v>27</v>
      </c>
      <c r="C145" s="14" t="s">
        <v>28</v>
      </c>
      <c r="D145" s="15">
        <v>59490.1</v>
      </c>
      <c r="E145" s="15">
        <v>2175425.5000000005</v>
      </c>
      <c r="F145" s="15">
        <f t="shared" si="125"/>
        <v>36.567857509064545</v>
      </c>
      <c r="G145" s="14">
        <v>55</v>
      </c>
      <c r="M145" s="14">
        <v>166</v>
      </c>
      <c r="AB145" s="14">
        <f t="shared" si="126"/>
        <v>0</v>
      </c>
      <c r="AM145" s="14">
        <f t="shared" si="127"/>
        <v>0</v>
      </c>
      <c r="AQ145" s="14">
        <f t="shared" si="128"/>
        <v>0</v>
      </c>
      <c r="AT145" s="14">
        <f t="shared" si="129"/>
        <v>0</v>
      </c>
      <c r="AU145" s="16">
        <v>1638</v>
      </c>
      <c r="AV145" s="16">
        <v>11632</v>
      </c>
      <c r="AW145" s="16">
        <v>0</v>
      </c>
      <c r="AX145" s="16">
        <v>0</v>
      </c>
      <c r="AY145" s="18">
        <f t="shared" si="130"/>
        <v>7.5295614582066799</v>
      </c>
      <c r="AZ145" s="17">
        <f t="shared" si="131"/>
        <v>53.469999317374914</v>
      </c>
      <c r="BA145" s="17">
        <f t="shared" si="132"/>
        <v>0</v>
      </c>
      <c r="BB145" s="17">
        <f t="shared" si="133"/>
        <v>0</v>
      </c>
      <c r="BC145" s="17">
        <f t="shared" si="101"/>
        <v>0.25282410268703748</v>
      </c>
      <c r="BD145" s="17">
        <f t="shared" si="102"/>
        <v>0</v>
      </c>
      <c r="BE145" s="17">
        <f t="shared" si="103"/>
        <v>0</v>
      </c>
      <c r="BF145" s="17">
        <f t="shared" si="104"/>
        <v>0</v>
      </c>
      <c r="BG145" s="17">
        <f t="shared" si="105"/>
        <v>0</v>
      </c>
      <c r="BH145" s="17">
        <f t="shared" si="106"/>
        <v>0</v>
      </c>
      <c r="BI145" s="17">
        <f t="shared" si="107"/>
        <v>0.76306910992814958</v>
      </c>
      <c r="BJ145" s="17">
        <f t="shared" si="108"/>
        <v>0</v>
      </c>
      <c r="BK145" s="17">
        <f t="shared" si="109"/>
        <v>0</v>
      </c>
      <c r="BL145" s="17">
        <f t="shared" si="110"/>
        <v>0</v>
      </c>
      <c r="BM145" s="17">
        <f t="shared" si="111"/>
        <v>0</v>
      </c>
      <c r="BN145" s="17">
        <f t="shared" si="112"/>
        <v>0</v>
      </c>
      <c r="BO145" s="17">
        <f t="shared" si="113"/>
        <v>0</v>
      </c>
      <c r="BP145" s="17">
        <f t="shared" si="114"/>
        <v>0</v>
      </c>
      <c r="BQ145" s="17">
        <f t="shared" si="115"/>
        <v>0</v>
      </c>
      <c r="BR145" s="17">
        <f t="shared" si="116"/>
        <v>0</v>
      </c>
      <c r="BS145" s="17">
        <f t="shared" si="117"/>
        <v>0</v>
      </c>
      <c r="BT145" s="17">
        <f t="shared" si="118"/>
        <v>0</v>
      </c>
      <c r="BU145" s="17">
        <f t="shared" si="119"/>
        <v>0</v>
      </c>
      <c r="BV145" s="17">
        <f t="shared" si="120"/>
        <v>0</v>
      </c>
      <c r="BW145" s="17">
        <f t="shared" si="121"/>
        <v>0</v>
      </c>
      <c r="BX145" s="17">
        <f t="shared" si="122"/>
        <v>0</v>
      </c>
      <c r="BY145" s="17">
        <f t="shared" si="123"/>
        <v>0</v>
      </c>
      <c r="BZ145" s="17">
        <f t="shared" si="134"/>
        <v>0</v>
      </c>
      <c r="CA145" s="17">
        <f t="shared" si="135"/>
        <v>0</v>
      </c>
      <c r="CB145" s="17">
        <f t="shared" si="136"/>
        <v>0</v>
      </c>
      <c r="CC145" s="17">
        <f t="shared" si="137"/>
        <v>0</v>
      </c>
      <c r="CD145" s="17">
        <f t="shared" si="138"/>
        <v>0</v>
      </c>
      <c r="CE145" s="17">
        <f t="shared" si="139"/>
        <v>0</v>
      </c>
      <c r="CF145" s="17">
        <f t="shared" si="140"/>
        <v>0</v>
      </c>
      <c r="CG145" s="17">
        <f t="shared" si="141"/>
        <v>0</v>
      </c>
      <c r="CH145" s="17">
        <f t="shared" si="142"/>
        <v>0</v>
      </c>
      <c r="CI145" s="17">
        <f t="shared" si="143"/>
        <v>0</v>
      </c>
      <c r="CJ145" s="17">
        <f t="shared" si="144"/>
        <v>0</v>
      </c>
      <c r="CK145" s="17">
        <f t="shared" si="145"/>
        <v>0</v>
      </c>
      <c r="CL145" s="17">
        <f t="shared" si="146"/>
        <v>0</v>
      </c>
      <c r="CM145" s="14">
        <f t="shared" si="147"/>
        <v>11632</v>
      </c>
      <c r="CN145" s="17">
        <f t="shared" si="148"/>
        <v>53.469999317374914</v>
      </c>
      <c r="CO145" s="14">
        <f t="shared" si="149"/>
        <v>13270</v>
      </c>
      <c r="CP145" s="17">
        <f t="shared" si="150"/>
        <v>60.999560775581593</v>
      </c>
      <c r="CQ145" s="14">
        <f t="shared" si="124"/>
        <v>13491</v>
      </c>
      <c r="CR145" s="14">
        <v>6</v>
      </c>
      <c r="CS145" s="14">
        <v>37</v>
      </c>
      <c r="CT145" s="14">
        <v>0</v>
      </c>
      <c r="CU145" s="14">
        <v>0</v>
      </c>
    </row>
    <row r="146" spans="1:99" x14ac:dyDescent="0.3">
      <c r="A146" s="14">
        <v>2013</v>
      </c>
      <c r="B146" s="14" t="s">
        <v>27</v>
      </c>
      <c r="C146" s="14" t="s">
        <v>28</v>
      </c>
      <c r="D146" s="15">
        <v>60143.3</v>
      </c>
      <c r="E146" s="15">
        <v>2217278.0000000009</v>
      </c>
      <c r="F146" s="15">
        <f t="shared" si="125"/>
        <v>36.866583642733289</v>
      </c>
      <c r="AB146" s="14">
        <f t="shared" si="126"/>
        <v>0</v>
      </c>
      <c r="AM146" s="14">
        <f t="shared" si="127"/>
        <v>0</v>
      </c>
      <c r="AQ146" s="14">
        <f t="shared" si="128"/>
        <v>0</v>
      </c>
      <c r="AT146" s="14">
        <f t="shared" si="129"/>
        <v>0</v>
      </c>
      <c r="AU146" s="16">
        <v>0</v>
      </c>
      <c r="AV146" s="16">
        <v>0</v>
      </c>
      <c r="AW146" s="16">
        <v>3002</v>
      </c>
      <c r="AX146" s="16">
        <v>0</v>
      </c>
      <c r="AY146" s="18">
        <f t="shared" si="130"/>
        <v>0</v>
      </c>
      <c r="AZ146" s="17">
        <f t="shared" si="131"/>
        <v>0</v>
      </c>
      <c r="BA146" s="17">
        <f t="shared" si="132"/>
        <v>13.539123195196987</v>
      </c>
      <c r="BB146" s="17">
        <f t="shared" si="133"/>
        <v>0</v>
      </c>
      <c r="BC146" s="17">
        <f t="shared" si="101"/>
        <v>0</v>
      </c>
      <c r="BD146" s="17">
        <f t="shared" si="102"/>
        <v>0</v>
      </c>
      <c r="BE146" s="17">
        <f t="shared" si="103"/>
        <v>0</v>
      </c>
      <c r="BF146" s="17">
        <f t="shared" si="104"/>
        <v>0</v>
      </c>
      <c r="BG146" s="17">
        <f t="shared" si="105"/>
        <v>0</v>
      </c>
      <c r="BH146" s="17">
        <f t="shared" si="106"/>
        <v>0</v>
      </c>
      <c r="BI146" s="17">
        <f t="shared" si="107"/>
        <v>0</v>
      </c>
      <c r="BJ146" s="17">
        <f t="shared" si="108"/>
        <v>0</v>
      </c>
      <c r="BK146" s="17">
        <f t="shared" si="109"/>
        <v>0</v>
      </c>
      <c r="BL146" s="17">
        <f t="shared" si="110"/>
        <v>0</v>
      </c>
      <c r="BM146" s="17">
        <f t="shared" si="111"/>
        <v>0</v>
      </c>
      <c r="BN146" s="17">
        <f t="shared" si="112"/>
        <v>0</v>
      </c>
      <c r="BO146" s="17">
        <f t="shared" si="113"/>
        <v>0</v>
      </c>
      <c r="BP146" s="17">
        <f t="shared" si="114"/>
        <v>0</v>
      </c>
      <c r="BQ146" s="17">
        <f t="shared" si="115"/>
        <v>0</v>
      </c>
      <c r="BR146" s="17">
        <f t="shared" si="116"/>
        <v>0</v>
      </c>
      <c r="BS146" s="17">
        <f t="shared" si="117"/>
        <v>0</v>
      </c>
      <c r="BT146" s="17">
        <f t="shared" si="118"/>
        <v>0</v>
      </c>
      <c r="BU146" s="17">
        <f t="shared" si="119"/>
        <v>0</v>
      </c>
      <c r="BV146" s="17">
        <f t="shared" si="120"/>
        <v>0</v>
      </c>
      <c r="BW146" s="17">
        <f t="shared" si="121"/>
        <v>0</v>
      </c>
      <c r="BX146" s="17">
        <f t="shared" si="122"/>
        <v>0</v>
      </c>
      <c r="BY146" s="17">
        <f t="shared" si="123"/>
        <v>0</v>
      </c>
      <c r="BZ146" s="17">
        <f t="shared" si="134"/>
        <v>0</v>
      </c>
      <c r="CA146" s="17">
        <f t="shared" si="135"/>
        <v>0</v>
      </c>
      <c r="CB146" s="17">
        <f t="shared" si="136"/>
        <v>0</v>
      </c>
      <c r="CC146" s="17">
        <f t="shared" si="137"/>
        <v>0</v>
      </c>
      <c r="CD146" s="17">
        <f t="shared" si="138"/>
        <v>0</v>
      </c>
      <c r="CE146" s="17">
        <f t="shared" si="139"/>
        <v>0</v>
      </c>
      <c r="CF146" s="17">
        <f t="shared" si="140"/>
        <v>0</v>
      </c>
      <c r="CG146" s="17">
        <f t="shared" si="141"/>
        <v>0</v>
      </c>
      <c r="CH146" s="17">
        <f t="shared" si="142"/>
        <v>0</v>
      </c>
      <c r="CI146" s="17">
        <f t="shared" si="143"/>
        <v>0</v>
      </c>
      <c r="CJ146" s="17">
        <f t="shared" si="144"/>
        <v>0</v>
      </c>
      <c r="CK146" s="17">
        <f t="shared" si="145"/>
        <v>0</v>
      </c>
      <c r="CL146" s="17">
        <f t="shared" si="146"/>
        <v>0</v>
      </c>
      <c r="CM146" s="14">
        <f t="shared" si="147"/>
        <v>3002</v>
      </c>
      <c r="CN146" s="17">
        <f t="shared" si="148"/>
        <v>13.539123195196987</v>
      </c>
      <c r="CO146" s="14">
        <f t="shared" si="149"/>
        <v>3002</v>
      </c>
      <c r="CP146" s="17"/>
      <c r="CQ146" s="14">
        <f t="shared" si="124"/>
        <v>3002</v>
      </c>
      <c r="CR146" s="14">
        <v>422</v>
      </c>
      <c r="CS146" s="14">
        <v>772</v>
      </c>
      <c r="CT146" s="14">
        <v>668</v>
      </c>
      <c r="CU146" s="14">
        <v>166</v>
      </c>
    </row>
    <row r="147" spans="1:99" x14ac:dyDescent="0.3">
      <c r="A147" s="14">
        <v>2014</v>
      </c>
      <c r="B147" s="14" t="s">
        <v>27</v>
      </c>
      <c r="C147" s="14" t="s">
        <v>28</v>
      </c>
      <c r="D147" s="15">
        <v>60621.9</v>
      </c>
      <c r="E147" s="15">
        <v>2260375.5000000019</v>
      </c>
      <c r="F147" s="15">
        <f t="shared" si="125"/>
        <v>37.286450936047892</v>
      </c>
      <c r="AB147" s="14">
        <f t="shared" si="126"/>
        <v>0</v>
      </c>
      <c r="AM147" s="14">
        <f t="shared" si="127"/>
        <v>0</v>
      </c>
      <c r="AQ147" s="14">
        <f t="shared" si="128"/>
        <v>0</v>
      </c>
      <c r="AT147" s="14">
        <f t="shared" si="129"/>
        <v>0</v>
      </c>
      <c r="AU147" s="16">
        <v>76</v>
      </c>
      <c r="AV147" s="16">
        <v>0</v>
      </c>
      <c r="AW147" s="16">
        <v>0</v>
      </c>
      <c r="AX147" s="16">
        <v>0</v>
      </c>
      <c r="AY147" s="18">
        <f t="shared" si="130"/>
        <v>0.3362273215224636</v>
      </c>
      <c r="AZ147" s="17">
        <f t="shared" si="131"/>
        <v>0</v>
      </c>
      <c r="BA147" s="17">
        <f t="shared" si="132"/>
        <v>0</v>
      </c>
      <c r="BB147" s="17">
        <f t="shared" si="133"/>
        <v>0</v>
      </c>
      <c r="BC147" s="17">
        <f t="shared" si="101"/>
        <v>0</v>
      </c>
      <c r="BD147" s="17">
        <f t="shared" si="102"/>
        <v>0</v>
      </c>
      <c r="BE147" s="17">
        <f t="shared" si="103"/>
        <v>0</v>
      </c>
      <c r="BF147" s="17">
        <f t="shared" si="104"/>
        <v>0</v>
      </c>
      <c r="BG147" s="17">
        <f t="shared" si="105"/>
        <v>0</v>
      </c>
      <c r="BH147" s="17">
        <f t="shared" si="106"/>
        <v>0</v>
      </c>
      <c r="BI147" s="17">
        <f t="shared" si="107"/>
        <v>0</v>
      </c>
      <c r="BJ147" s="17">
        <f t="shared" si="108"/>
        <v>0</v>
      </c>
      <c r="BK147" s="17">
        <f t="shared" si="109"/>
        <v>0</v>
      </c>
      <c r="BL147" s="17">
        <f t="shared" si="110"/>
        <v>0</v>
      </c>
      <c r="BM147" s="17">
        <f t="shared" si="111"/>
        <v>0</v>
      </c>
      <c r="BN147" s="17">
        <f t="shared" si="112"/>
        <v>0</v>
      </c>
      <c r="BO147" s="17">
        <f t="shared" si="113"/>
        <v>0</v>
      </c>
      <c r="BP147" s="17">
        <f t="shared" si="114"/>
        <v>0</v>
      </c>
      <c r="BQ147" s="17">
        <f t="shared" si="115"/>
        <v>0</v>
      </c>
      <c r="BR147" s="17">
        <f t="shared" si="116"/>
        <v>0</v>
      </c>
      <c r="BS147" s="17">
        <f t="shared" si="117"/>
        <v>0</v>
      </c>
      <c r="BT147" s="17">
        <f t="shared" si="118"/>
        <v>0</v>
      </c>
      <c r="BU147" s="17">
        <f t="shared" si="119"/>
        <v>0</v>
      </c>
      <c r="BV147" s="17">
        <f t="shared" si="120"/>
        <v>0</v>
      </c>
      <c r="BW147" s="17">
        <f t="shared" si="121"/>
        <v>0</v>
      </c>
      <c r="BX147" s="17">
        <f t="shared" si="122"/>
        <v>0</v>
      </c>
      <c r="BY147" s="17">
        <f t="shared" si="123"/>
        <v>0</v>
      </c>
      <c r="BZ147" s="17">
        <f t="shared" si="134"/>
        <v>0</v>
      </c>
      <c r="CA147" s="17">
        <f t="shared" si="135"/>
        <v>0</v>
      </c>
      <c r="CB147" s="17">
        <f t="shared" si="136"/>
        <v>0</v>
      </c>
      <c r="CC147" s="17">
        <f t="shared" si="137"/>
        <v>0</v>
      </c>
      <c r="CD147" s="17">
        <f t="shared" si="138"/>
        <v>0</v>
      </c>
      <c r="CE147" s="17">
        <f t="shared" si="139"/>
        <v>0</v>
      </c>
      <c r="CF147" s="17">
        <f t="shared" si="140"/>
        <v>0</v>
      </c>
      <c r="CG147" s="17">
        <f t="shared" si="141"/>
        <v>0</v>
      </c>
      <c r="CH147" s="17">
        <f t="shared" si="142"/>
        <v>0</v>
      </c>
      <c r="CI147" s="17">
        <f t="shared" si="143"/>
        <v>0</v>
      </c>
      <c r="CJ147" s="17">
        <f t="shared" si="144"/>
        <v>0</v>
      </c>
      <c r="CK147" s="17">
        <f t="shared" si="145"/>
        <v>0</v>
      </c>
      <c r="CL147" s="17">
        <f t="shared" si="146"/>
        <v>0</v>
      </c>
      <c r="CM147" s="14">
        <f t="shared" si="147"/>
        <v>0</v>
      </c>
      <c r="CN147" s="17">
        <f t="shared" si="148"/>
        <v>0</v>
      </c>
      <c r="CO147" s="14">
        <f t="shared" si="149"/>
        <v>76</v>
      </c>
      <c r="CP147" s="17"/>
      <c r="CQ147" s="14">
        <f t="shared" si="124"/>
        <v>76</v>
      </c>
      <c r="CR147" s="14">
        <v>52</v>
      </c>
      <c r="CS147" s="14">
        <v>0</v>
      </c>
      <c r="CT147" s="14">
        <v>0</v>
      </c>
      <c r="CU147" s="14">
        <v>0</v>
      </c>
    </row>
    <row r="148" spans="1:99" x14ac:dyDescent="0.3">
      <c r="A148" s="14">
        <v>2015</v>
      </c>
      <c r="B148" s="14" t="s">
        <v>27</v>
      </c>
      <c r="C148" s="14" t="s">
        <v>28</v>
      </c>
      <c r="D148" s="15">
        <v>61044.4</v>
      </c>
      <c r="E148" s="15">
        <v>2305171.5000000005</v>
      </c>
      <c r="F148" s="15">
        <f t="shared" si="125"/>
        <v>37.762210784281613</v>
      </c>
      <c r="AB148" s="14">
        <f t="shared" si="126"/>
        <v>0</v>
      </c>
      <c r="AM148" s="14">
        <f t="shared" si="127"/>
        <v>0</v>
      </c>
      <c r="AQ148" s="14">
        <f t="shared" si="128"/>
        <v>0</v>
      </c>
      <c r="AT148" s="14">
        <f t="shared" si="129"/>
        <v>0</v>
      </c>
      <c r="AU148" s="16">
        <v>0</v>
      </c>
      <c r="AV148" s="16">
        <v>0</v>
      </c>
      <c r="AW148" s="16">
        <v>0</v>
      </c>
      <c r="AX148" s="16">
        <v>0</v>
      </c>
      <c r="AY148" s="18">
        <f t="shared" si="130"/>
        <v>0</v>
      </c>
      <c r="AZ148" s="17">
        <f t="shared" si="131"/>
        <v>0</v>
      </c>
      <c r="BA148" s="17">
        <f t="shared" si="132"/>
        <v>0</v>
      </c>
      <c r="BB148" s="17">
        <f t="shared" si="133"/>
        <v>0</v>
      </c>
      <c r="BC148" s="17">
        <f t="shared" si="101"/>
        <v>0</v>
      </c>
      <c r="BD148" s="17">
        <f t="shared" si="102"/>
        <v>0</v>
      </c>
      <c r="BE148" s="17">
        <f t="shared" si="103"/>
        <v>0</v>
      </c>
      <c r="BF148" s="17">
        <f t="shared" si="104"/>
        <v>0</v>
      </c>
      <c r="BG148" s="17">
        <f t="shared" si="105"/>
        <v>0</v>
      </c>
      <c r="BH148" s="17">
        <f t="shared" si="106"/>
        <v>0</v>
      </c>
      <c r="BI148" s="17">
        <f t="shared" si="107"/>
        <v>0</v>
      </c>
      <c r="BJ148" s="17">
        <f t="shared" si="108"/>
        <v>0</v>
      </c>
      <c r="BK148" s="17">
        <f t="shared" si="109"/>
        <v>0</v>
      </c>
      <c r="BL148" s="17">
        <f t="shared" si="110"/>
        <v>0</v>
      </c>
      <c r="BM148" s="17">
        <f t="shared" si="111"/>
        <v>0</v>
      </c>
      <c r="BN148" s="17">
        <f t="shared" si="112"/>
        <v>0</v>
      </c>
      <c r="BO148" s="17">
        <f t="shared" si="113"/>
        <v>0</v>
      </c>
      <c r="BP148" s="17">
        <f t="shared" si="114"/>
        <v>0</v>
      </c>
      <c r="BQ148" s="17">
        <f t="shared" si="115"/>
        <v>0</v>
      </c>
      <c r="BR148" s="17">
        <f t="shared" si="116"/>
        <v>0</v>
      </c>
      <c r="BS148" s="17">
        <f t="shared" si="117"/>
        <v>0</v>
      </c>
      <c r="BT148" s="17">
        <f t="shared" si="118"/>
        <v>0</v>
      </c>
      <c r="BU148" s="17">
        <f t="shared" si="119"/>
        <v>0</v>
      </c>
      <c r="BV148" s="17">
        <f t="shared" si="120"/>
        <v>0</v>
      </c>
      <c r="BW148" s="17">
        <f t="shared" si="121"/>
        <v>0</v>
      </c>
      <c r="BX148" s="17">
        <f t="shared" si="122"/>
        <v>0</v>
      </c>
      <c r="BY148" s="17">
        <f t="shared" si="123"/>
        <v>0</v>
      </c>
      <c r="BZ148" s="17">
        <f t="shared" si="134"/>
        <v>0</v>
      </c>
      <c r="CA148" s="17">
        <f t="shared" si="135"/>
        <v>0</v>
      </c>
      <c r="CB148" s="17">
        <f t="shared" si="136"/>
        <v>0</v>
      </c>
      <c r="CC148" s="17">
        <f t="shared" si="137"/>
        <v>0</v>
      </c>
      <c r="CD148" s="17">
        <f t="shared" si="138"/>
        <v>0</v>
      </c>
      <c r="CE148" s="17">
        <f t="shared" si="139"/>
        <v>0</v>
      </c>
      <c r="CF148" s="17">
        <f t="shared" si="140"/>
        <v>0</v>
      </c>
      <c r="CG148" s="17">
        <f t="shared" si="141"/>
        <v>0</v>
      </c>
      <c r="CH148" s="17">
        <f t="shared" si="142"/>
        <v>0</v>
      </c>
      <c r="CI148" s="17">
        <f t="shared" si="143"/>
        <v>0</v>
      </c>
      <c r="CJ148" s="17">
        <f t="shared" si="144"/>
        <v>0</v>
      </c>
      <c r="CK148" s="17">
        <f t="shared" si="145"/>
        <v>0</v>
      </c>
      <c r="CL148" s="17">
        <f t="shared" si="146"/>
        <v>0</v>
      </c>
      <c r="CM148" s="14">
        <f t="shared" si="147"/>
        <v>0</v>
      </c>
      <c r="CN148" s="17">
        <f t="shared" si="148"/>
        <v>0</v>
      </c>
      <c r="CO148" s="14">
        <f t="shared" si="149"/>
        <v>0</v>
      </c>
      <c r="CP148" s="17">
        <f t="shared" si="150"/>
        <v>0</v>
      </c>
      <c r="CQ148" s="14">
        <f t="shared" si="124"/>
        <v>0</v>
      </c>
      <c r="CR148" s="14">
        <v>10523</v>
      </c>
      <c r="CS148" s="14">
        <v>30461</v>
      </c>
      <c r="CT148" s="14">
        <v>0</v>
      </c>
      <c r="CU148" s="14">
        <v>14743</v>
      </c>
    </row>
    <row r="149" spans="1:99" x14ac:dyDescent="0.3">
      <c r="A149" s="14">
        <v>2016</v>
      </c>
      <c r="B149" s="14" t="s">
        <v>27</v>
      </c>
      <c r="C149" s="14" t="s">
        <v>28</v>
      </c>
      <c r="D149" s="15">
        <v>61561.1</v>
      </c>
      <c r="E149" s="15">
        <v>2352415.5000000005</v>
      </c>
      <c r="F149" s="15">
        <f t="shared" si="125"/>
        <v>38.212694380054948</v>
      </c>
      <c r="G149" s="14">
        <v>91</v>
      </c>
      <c r="AB149" s="14">
        <f t="shared" si="126"/>
        <v>0</v>
      </c>
      <c r="AM149" s="14">
        <f t="shared" si="127"/>
        <v>0</v>
      </c>
      <c r="AQ149" s="14">
        <f t="shared" si="128"/>
        <v>0</v>
      </c>
      <c r="AT149" s="14">
        <f t="shared" si="129"/>
        <v>0</v>
      </c>
      <c r="AU149" s="16">
        <v>1671</v>
      </c>
      <c r="AV149" s="16">
        <v>14854</v>
      </c>
      <c r="AW149" s="16">
        <v>2922</v>
      </c>
      <c r="AX149" s="16">
        <v>0</v>
      </c>
      <c r="AY149" s="18">
        <f t="shared" si="130"/>
        <v>7.1033369742717634</v>
      </c>
      <c r="AZ149" s="17">
        <f t="shared" si="131"/>
        <v>63.143607071114765</v>
      </c>
      <c r="BA149" s="17">
        <f t="shared" si="132"/>
        <v>12.421275068116152</v>
      </c>
      <c r="BB149" s="17">
        <f t="shared" si="133"/>
        <v>0</v>
      </c>
      <c r="BC149" s="17">
        <f t="shared" si="101"/>
        <v>0.3868364240925975</v>
      </c>
      <c r="BD149" s="17">
        <f t="shared" si="102"/>
        <v>0</v>
      </c>
      <c r="BE149" s="17">
        <f t="shared" si="103"/>
        <v>0</v>
      </c>
      <c r="BF149" s="17">
        <f t="shared" si="104"/>
        <v>0</v>
      </c>
      <c r="BG149" s="17">
        <f t="shared" si="105"/>
        <v>0</v>
      </c>
      <c r="BH149" s="17">
        <f t="shared" si="106"/>
        <v>0</v>
      </c>
      <c r="BI149" s="17">
        <f t="shared" si="107"/>
        <v>0</v>
      </c>
      <c r="BJ149" s="17">
        <f t="shared" si="108"/>
        <v>0</v>
      </c>
      <c r="BK149" s="17">
        <f t="shared" si="109"/>
        <v>0</v>
      </c>
      <c r="BL149" s="17">
        <f t="shared" si="110"/>
        <v>0</v>
      </c>
      <c r="BM149" s="17">
        <f t="shared" si="111"/>
        <v>0</v>
      </c>
      <c r="BN149" s="17">
        <f t="shared" si="112"/>
        <v>0</v>
      </c>
      <c r="BO149" s="17">
        <f t="shared" si="113"/>
        <v>0</v>
      </c>
      <c r="BP149" s="17">
        <f t="shared" si="114"/>
        <v>0</v>
      </c>
      <c r="BQ149" s="17">
        <f t="shared" si="115"/>
        <v>0</v>
      </c>
      <c r="BR149" s="17">
        <f t="shared" si="116"/>
        <v>0</v>
      </c>
      <c r="BS149" s="17">
        <f t="shared" si="117"/>
        <v>0</v>
      </c>
      <c r="BT149" s="17">
        <f t="shared" si="118"/>
        <v>0</v>
      </c>
      <c r="BU149" s="17">
        <f t="shared" si="119"/>
        <v>0</v>
      </c>
      <c r="BV149" s="17">
        <f t="shared" si="120"/>
        <v>0</v>
      </c>
      <c r="BW149" s="17">
        <f t="shared" si="121"/>
        <v>0</v>
      </c>
      <c r="BX149" s="17">
        <f t="shared" si="122"/>
        <v>0</v>
      </c>
      <c r="BY149" s="17">
        <f t="shared" si="123"/>
        <v>0</v>
      </c>
      <c r="BZ149" s="17">
        <f t="shared" si="134"/>
        <v>0</v>
      </c>
      <c r="CA149" s="17">
        <f t="shared" si="135"/>
        <v>0</v>
      </c>
      <c r="CB149" s="17">
        <f t="shared" si="136"/>
        <v>0</v>
      </c>
      <c r="CC149" s="17">
        <f t="shared" si="137"/>
        <v>0</v>
      </c>
      <c r="CD149" s="17">
        <f t="shared" si="138"/>
        <v>0</v>
      </c>
      <c r="CE149" s="17">
        <f t="shared" si="139"/>
        <v>0</v>
      </c>
      <c r="CF149" s="17">
        <f t="shared" si="140"/>
        <v>0</v>
      </c>
      <c r="CG149" s="17">
        <f t="shared" si="141"/>
        <v>0</v>
      </c>
      <c r="CH149" s="17">
        <f t="shared" si="142"/>
        <v>0</v>
      </c>
      <c r="CI149" s="17">
        <f t="shared" si="143"/>
        <v>0</v>
      </c>
      <c r="CJ149" s="17">
        <f t="shared" si="144"/>
        <v>0</v>
      </c>
      <c r="CK149" s="17">
        <f t="shared" si="145"/>
        <v>0</v>
      </c>
      <c r="CL149" s="17">
        <f t="shared" si="146"/>
        <v>0</v>
      </c>
      <c r="CM149" s="14">
        <f t="shared" si="147"/>
        <v>17776</v>
      </c>
      <c r="CN149" s="17">
        <f t="shared" si="148"/>
        <v>75.564882139230917</v>
      </c>
      <c r="CO149" s="14">
        <f t="shared" si="149"/>
        <v>19447</v>
      </c>
      <c r="CP149" s="17">
        <f t="shared" si="150"/>
        <v>82.668219113502673</v>
      </c>
      <c r="CQ149" s="14">
        <f t="shared" si="124"/>
        <v>19538</v>
      </c>
      <c r="CR149" s="14">
        <v>66</v>
      </c>
      <c r="CS149" s="14">
        <v>319</v>
      </c>
      <c r="CT149" s="14">
        <v>13</v>
      </c>
      <c r="CU149" s="14">
        <v>208</v>
      </c>
    </row>
    <row r="150" spans="1:99" x14ac:dyDescent="0.3">
      <c r="A150" s="14">
        <v>2017</v>
      </c>
      <c r="B150" s="14" t="s">
        <v>27</v>
      </c>
      <c r="C150" s="14" t="s">
        <v>28</v>
      </c>
      <c r="D150" s="15">
        <v>62008.2</v>
      </c>
      <c r="E150" s="15">
        <v>2401839.9999999986</v>
      </c>
      <c r="F150" s="15">
        <f t="shared" si="125"/>
        <v>38.734231924164845</v>
      </c>
      <c r="AB150" s="14">
        <f t="shared" si="126"/>
        <v>0</v>
      </c>
      <c r="AM150" s="14">
        <f t="shared" si="127"/>
        <v>0</v>
      </c>
      <c r="AQ150" s="14">
        <f t="shared" si="128"/>
        <v>0</v>
      </c>
      <c r="AT150" s="14">
        <f t="shared" si="129"/>
        <v>0</v>
      </c>
      <c r="AU150" s="16">
        <v>0</v>
      </c>
      <c r="AV150" s="16">
        <v>0</v>
      </c>
      <c r="AW150" s="16">
        <v>0</v>
      </c>
      <c r="AX150" s="16">
        <v>0</v>
      </c>
      <c r="AY150" s="18">
        <f t="shared" si="130"/>
        <v>0</v>
      </c>
      <c r="AZ150" s="17">
        <f t="shared" si="131"/>
        <v>0</v>
      </c>
      <c r="BA150" s="17">
        <f t="shared" si="132"/>
        <v>0</v>
      </c>
      <c r="BB150" s="17">
        <f t="shared" si="133"/>
        <v>0</v>
      </c>
      <c r="BC150" s="17">
        <f t="shared" si="101"/>
        <v>0</v>
      </c>
      <c r="BD150" s="17">
        <f t="shared" si="102"/>
        <v>0</v>
      </c>
      <c r="BE150" s="17">
        <f t="shared" si="103"/>
        <v>0</v>
      </c>
      <c r="BF150" s="17">
        <f t="shared" si="104"/>
        <v>0</v>
      </c>
      <c r="BG150" s="17">
        <f t="shared" si="105"/>
        <v>0</v>
      </c>
      <c r="BH150" s="17">
        <f t="shared" si="106"/>
        <v>0</v>
      </c>
      <c r="BI150" s="17">
        <f t="shared" si="107"/>
        <v>0</v>
      </c>
      <c r="BJ150" s="17">
        <f t="shared" si="108"/>
        <v>0</v>
      </c>
      <c r="BK150" s="17">
        <f t="shared" si="109"/>
        <v>0</v>
      </c>
      <c r="BL150" s="17">
        <f t="shared" si="110"/>
        <v>0</v>
      </c>
      <c r="BM150" s="17">
        <f t="shared" si="111"/>
        <v>0</v>
      </c>
      <c r="BN150" s="17">
        <f t="shared" si="112"/>
        <v>0</v>
      </c>
      <c r="BO150" s="17">
        <f t="shared" si="113"/>
        <v>0</v>
      </c>
      <c r="BP150" s="17">
        <f t="shared" si="114"/>
        <v>0</v>
      </c>
      <c r="BQ150" s="17">
        <f t="shared" si="115"/>
        <v>0</v>
      </c>
      <c r="BR150" s="17">
        <f t="shared" si="116"/>
        <v>0</v>
      </c>
      <c r="BS150" s="17">
        <f t="shared" si="117"/>
        <v>0</v>
      </c>
      <c r="BT150" s="17">
        <f t="shared" si="118"/>
        <v>0</v>
      </c>
      <c r="BU150" s="17">
        <f t="shared" si="119"/>
        <v>0</v>
      </c>
      <c r="BV150" s="17">
        <f t="shared" si="120"/>
        <v>0</v>
      </c>
      <c r="BW150" s="17">
        <f t="shared" si="121"/>
        <v>0</v>
      </c>
      <c r="BX150" s="17">
        <f t="shared" si="122"/>
        <v>0</v>
      </c>
      <c r="BY150" s="17">
        <f t="shared" si="123"/>
        <v>0</v>
      </c>
      <c r="BZ150" s="17">
        <f t="shared" si="134"/>
        <v>0</v>
      </c>
      <c r="CA150" s="17">
        <f t="shared" si="135"/>
        <v>0</v>
      </c>
      <c r="CB150" s="17">
        <f t="shared" si="136"/>
        <v>0</v>
      </c>
      <c r="CC150" s="17">
        <f t="shared" si="137"/>
        <v>0</v>
      </c>
      <c r="CD150" s="17">
        <f t="shared" si="138"/>
        <v>0</v>
      </c>
      <c r="CE150" s="17">
        <f t="shared" si="139"/>
        <v>0</v>
      </c>
      <c r="CF150" s="17">
        <f t="shared" si="140"/>
        <v>0</v>
      </c>
      <c r="CG150" s="17">
        <f t="shared" si="141"/>
        <v>0</v>
      </c>
      <c r="CH150" s="17">
        <f t="shared" si="142"/>
        <v>0</v>
      </c>
      <c r="CI150" s="17">
        <f t="shared" si="143"/>
        <v>0</v>
      </c>
      <c r="CJ150" s="17">
        <f t="shared" si="144"/>
        <v>0</v>
      </c>
      <c r="CK150" s="17">
        <f t="shared" si="145"/>
        <v>0</v>
      </c>
      <c r="CL150" s="17">
        <f t="shared" si="146"/>
        <v>0</v>
      </c>
      <c r="CM150" s="14">
        <f t="shared" si="147"/>
        <v>0</v>
      </c>
      <c r="CN150" s="17">
        <f t="shared" si="148"/>
        <v>0</v>
      </c>
      <c r="CO150" s="14">
        <f t="shared" si="149"/>
        <v>0</v>
      </c>
      <c r="CP150" s="17">
        <f t="shared" si="150"/>
        <v>0</v>
      </c>
      <c r="CQ150" s="14">
        <f t="shared" si="124"/>
        <v>0</v>
      </c>
      <c r="CR150" s="14">
        <v>118</v>
      </c>
      <c r="CS150" s="14">
        <v>74</v>
      </c>
      <c r="CT150" s="14">
        <v>0</v>
      </c>
      <c r="CU150" s="14">
        <v>0</v>
      </c>
    </row>
    <row r="151" spans="1:99" x14ac:dyDescent="0.3">
      <c r="A151" s="14">
        <v>2018</v>
      </c>
      <c r="B151" s="14" t="s">
        <v>27</v>
      </c>
      <c r="C151" s="14" t="s">
        <v>28</v>
      </c>
      <c r="D151" s="15">
        <v>62387.4</v>
      </c>
      <c r="E151" s="15">
        <v>2451408.4999999995</v>
      </c>
      <c r="F151" s="15">
        <f t="shared" si="125"/>
        <v>39.293326857666763</v>
      </c>
      <c r="G151" s="14">
        <v>96</v>
      </c>
      <c r="H151" s="14">
        <v>156</v>
      </c>
      <c r="I151" s="14">
        <v>534</v>
      </c>
      <c r="J151" s="14">
        <v>927</v>
      </c>
      <c r="K151" s="14">
        <v>9</v>
      </c>
      <c r="L151" s="14">
        <v>16</v>
      </c>
      <c r="N151" s="14">
        <v>27</v>
      </c>
      <c r="O151" s="14">
        <v>27</v>
      </c>
      <c r="P151" s="14">
        <v>40</v>
      </c>
      <c r="R151" s="14">
        <v>36</v>
      </c>
      <c r="U151" s="14">
        <v>24</v>
      </c>
      <c r="V151" s="14">
        <v>134</v>
      </c>
      <c r="W151" s="14">
        <v>156</v>
      </c>
      <c r="X151" s="14">
        <v>63</v>
      </c>
      <c r="Y151" s="14">
        <v>318</v>
      </c>
      <c r="Z151" s="14">
        <v>160</v>
      </c>
      <c r="AB151" s="14">
        <f t="shared" si="126"/>
        <v>27</v>
      </c>
      <c r="AC151" s="14">
        <v>73</v>
      </c>
      <c r="AE151" s="14">
        <v>3</v>
      </c>
      <c r="AF151" s="14">
        <v>5</v>
      </c>
      <c r="AG151" s="14">
        <v>1248</v>
      </c>
      <c r="AH151" s="14">
        <v>3342</v>
      </c>
      <c r="AI151" s="14">
        <v>10</v>
      </c>
      <c r="AJ151" s="14">
        <v>435</v>
      </c>
      <c r="AK151" s="14">
        <v>42</v>
      </c>
      <c r="AM151" s="14">
        <f t="shared" si="127"/>
        <v>42</v>
      </c>
      <c r="AN151" s="14">
        <v>16</v>
      </c>
      <c r="AQ151" s="14">
        <f t="shared" si="128"/>
        <v>0</v>
      </c>
      <c r="AT151" s="14">
        <f t="shared" si="129"/>
        <v>0</v>
      </c>
      <c r="AU151" s="16">
        <v>1850</v>
      </c>
      <c r="AV151" s="16">
        <v>15290</v>
      </c>
      <c r="AW151" s="16">
        <v>0</v>
      </c>
      <c r="AX151" s="16">
        <v>1563</v>
      </c>
      <c r="AY151" s="18">
        <f t="shared" si="130"/>
        <v>7.54668183617704</v>
      </c>
      <c r="AZ151" s="17">
        <f t="shared" si="131"/>
        <v>62.372305554133483</v>
      </c>
      <c r="BA151" s="17">
        <f t="shared" si="132"/>
        <v>0</v>
      </c>
      <c r="BB151" s="17">
        <f t="shared" si="133"/>
        <v>6.375926329699845</v>
      </c>
      <c r="BC151" s="17">
        <f t="shared" si="101"/>
        <v>0.39161159798540318</v>
      </c>
      <c r="BD151" s="17">
        <f t="shared" si="102"/>
        <v>0.63636884672628014</v>
      </c>
      <c r="BE151" s="17">
        <f t="shared" si="103"/>
        <v>2.1783395137938051</v>
      </c>
      <c r="BF151" s="17">
        <f t="shared" si="104"/>
        <v>3.7814994930465491</v>
      </c>
      <c r="BG151" s="17">
        <f t="shared" si="105"/>
        <v>3.6713587311131543E-2</v>
      </c>
      <c r="BH151" s="17">
        <f t="shared" si="106"/>
        <v>6.5268599664233859E-2</v>
      </c>
      <c r="BI151" s="17">
        <f t="shared" si="107"/>
        <v>0</v>
      </c>
      <c r="BJ151" s="17">
        <f t="shared" si="108"/>
        <v>0.11014076193339464</v>
      </c>
      <c r="BK151" s="17">
        <f t="shared" si="109"/>
        <v>0.11014076193339464</v>
      </c>
      <c r="BL151" s="17">
        <f t="shared" si="110"/>
        <v>0.16317149916058465</v>
      </c>
      <c r="BM151" s="17">
        <f t="shared" si="111"/>
        <v>0</v>
      </c>
      <c r="BN151" s="17">
        <f t="shared" si="112"/>
        <v>0.14685434924452617</v>
      </c>
      <c r="BO151" s="17">
        <f t="shared" si="113"/>
        <v>0</v>
      </c>
      <c r="BP151" s="17">
        <f t="shared" si="114"/>
        <v>0</v>
      </c>
      <c r="BQ151" s="17">
        <f t="shared" si="115"/>
        <v>9.7902899496350795E-2</v>
      </c>
      <c r="BR151" s="17">
        <f t="shared" si="116"/>
        <v>0.54662452218795854</v>
      </c>
      <c r="BS151" s="17">
        <f t="shared" si="117"/>
        <v>0.63636884672628014</v>
      </c>
      <c r="BT151" s="17">
        <f t="shared" si="118"/>
        <v>0.25699511117792084</v>
      </c>
      <c r="BU151" s="17">
        <f t="shared" si="119"/>
        <v>1.2972134183266479</v>
      </c>
      <c r="BV151" s="17">
        <f t="shared" si="120"/>
        <v>0.65268599664233862</v>
      </c>
      <c r="BW151" s="17">
        <f t="shared" si="121"/>
        <v>0</v>
      </c>
      <c r="BX151" s="17">
        <f t="shared" si="122"/>
        <v>0.29778798596806699</v>
      </c>
      <c r="BY151" s="17">
        <f t="shared" si="123"/>
        <v>0</v>
      </c>
      <c r="BZ151" s="17">
        <f t="shared" si="134"/>
        <v>1.2237862437043849E-2</v>
      </c>
      <c r="CA151" s="17">
        <f t="shared" si="135"/>
        <v>2.0396437395073082E-2</v>
      </c>
      <c r="CB151" s="17">
        <f t="shared" si="136"/>
        <v>5.0909507738102411</v>
      </c>
      <c r="CC151" s="17">
        <f t="shared" si="137"/>
        <v>13.632978754866848</v>
      </c>
      <c r="CD151" s="17">
        <f t="shared" si="138"/>
        <v>4.0792874790146164E-2</v>
      </c>
      <c r="CE151" s="17">
        <f t="shared" si="139"/>
        <v>1.7744900533713581</v>
      </c>
      <c r="CF151" s="17">
        <f t="shared" si="140"/>
        <v>0.1713300741186139</v>
      </c>
      <c r="CG151" s="17">
        <f t="shared" si="141"/>
        <v>0</v>
      </c>
      <c r="CH151" s="17">
        <f t="shared" si="142"/>
        <v>6.5268599664233859E-2</v>
      </c>
      <c r="CI151" s="17">
        <f t="shared" si="143"/>
        <v>0</v>
      </c>
      <c r="CJ151" s="17">
        <f t="shared" si="144"/>
        <v>0</v>
      </c>
      <c r="CK151" s="17">
        <f t="shared" si="145"/>
        <v>0</v>
      </c>
      <c r="CL151" s="17">
        <f t="shared" si="146"/>
        <v>0</v>
      </c>
      <c r="CM151" s="14">
        <f t="shared" si="147"/>
        <v>15290</v>
      </c>
      <c r="CN151" s="17">
        <f t="shared" si="148"/>
        <v>62.372305554133483</v>
      </c>
      <c r="CO151" s="14">
        <f t="shared" si="149"/>
        <v>17140</v>
      </c>
      <c r="CP151" s="17">
        <f t="shared" si="150"/>
        <v>69.918987390310519</v>
      </c>
      <c r="CQ151" s="14">
        <f t="shared" si="124"/>
        <v>26669</v>
      </c>
      <c r="CR151" s="14">
        <v>33</v>
      </c>
      <c r="CS151" s="14">
        <v>0</v>
      </c>
      <c r="CT151" s="14">
        <v>0</v>
      </c>
      <c r="CU151" s="14">
        <v>0</v>
      </c>
    </row>
    <row r="152" spans="1:99" x14ac:dyDescent="0.3">
      <c r="A152" s="14">
        <v>2019</v>
      </c>
      <c r="B152" s="14" t="s">
        <v>27</v>
      </c>
      <c r="C152" s="14" t="s">
        <v>28</v>
      </c>
      <c r="D152" s="15">
        <v>62733.4</v>
      </c>
      <c r="E152" s="15">
        <v>2499701.5</v>
      </c>
      <c r="F152" s="15">
        <f t="shared" si="125"/>
        <v>39.84642152346278</v>
      </c>
      <c r="G152" s="14">
        <v>88</v>
      </c>
      <c r="H152" s="14">
        <v>138</v>
      </c>
      <c r="I152" s="14">
        <v>491</v>
      </c>
      <c r="J152" s="14">
        <v>843</v>
      </c>
      <c r="K152" s="14">
        <v>8</v>
      </c>
      <c r="L152" s="14">
        <v>11</v>
      </c>
      <c r="N152" s="14">
        <v>27</v>
      </c>
      <c r="O152" s="14">
        <v>33</v>
      </c>
      <c r="P152" s="14">
        <v>41</v>
      </c>
      <c r="R152" s="14">
        <v>32</v>
      </c>
      <c r="U152" s="14">
        <v>25</v>
      </c>
      <c r="V152" s="14">
        <v>116</v>
      </c>
      <c r="W152" s="14">
        <v>131</v>
      </c>
      <c r="X152" s="14">
        <v>64</v>
      </c>
      <c r="Y152" s="14">
        <v>330</v>
      </c>
      <c r="Z152" s="14">
        <v>156</v>
      </c>
      <c r="AB152" s="14">
        <f t="shared" si="126"/>
        <v>33</v>
      </c>
      <c r="AC152" s="14">
        <v>110</v>
      </c>
      <c r="AE152" s="14">
        <v>3</v>
      </c>
      <c r="AF152" s="14">
        <v>3</v>
      </c>
      <c r="AG152" s="14">
        <v>1376</v>
      </c>
      <c r="AH152" s="14">
        <v>3956</v>
      </c>
      <c r="AI152" s="14">
        <v>10</v>
      </c>
      <c r="AJ152" s="14">
        <v>408</v>
      </c>
      <c r="AK152" s="14">
        <v>38</v>
      </c>
      <c r="AM152" s="14">
        <f t="shared" si="127"/>
        <v>38</v>
      </c>
      <c r="AN152" s="14">
        <v>15</v>
      </c>
      <c r="AQ152" s="14">
        <f t="shared" si="128"/>
        <v>0</v>
      </c>
      <c r="AT152" s="14">
        <f t="shared" si="129"/>
        <v>0</v>
      </c>
      <c r="AU152" s="16">
        <v>1840</v>
      </c>
      <c r="AV152" s="16">
        <v>15526</v>
      </c>
      <c r="AW152" s="16">
        <v>0</v>
      </c>
      <c r="AX152" s="16">
        <v>1421</v>
      </c>
      <c r="AY152" s="18">
        <f t="shared" si="130"/>
        <v>7.3608788889393395</v>
      </c>
      <c r="AZ152" s="17">
        <f t="shared" si="131"/>
        <v>62.111416103082711</v>
      </c>
      <c r="BA152" s="17">
        <f t="shared" si="132"/>
        <v>0</v>
      </c>
      <c r="BB152" s="17">
        <f t="shared" si="133"/>
        <v>5.6846787506428269</v>
      </c>
      <c r="BC152" s="17">
        <f t="shared" si="101"/>
        <v>0.35204203381883797</v>
      </c>
      <c r="BD152" s="17">
        <f t="shared" si="102"/>
        <v>0.55206591667045046</v>
      </c>
      <c r="BE152" s="17">
        <f t="shared" si="103"/>
        <v>1.9642345296028345</v>
      </c>
      <c r="BF152" s="17">
        <f t="shared" si="104"/>
        <v>3.3724026648781864</v>
      </c>
      <c r="BG152" s="17">
        <f t="shared" si="105"/>
        <v>3.2003821256257996E-2</v>
      </c>
      <c r="BH152" s="17">
        <f t="shared" si="106"/>
        <v>4.4005254227354747E-2</v>
      </c>
      <c r="BI152" s="17">
        <f t="shared" si="107"/>
        <v>0</v>
      </c>
      <c r="BJ152" s="17">
        <f t="shared" si="108"/>
        <v>0.10801289673987075</v>
      </c>
      <c r="BK152" s="17">
        <f t="shared" si="109"/>
        <v>0.13201576268206425</v>
      </c>
      <c r="BL152" s="17">
        <f t="shared" si="110"/>
        <v>0.16401958393832222</v>
      </c>
      <c r="BM152" s="17">
        <f t="shared" si="111"/>
        <v>0</v>
      </c>
      <c r="BN152" s="17">
        <f t="shared" si="112"/>
        <v>0.12801528502503198</v>
      </c>
      <c r="BO152" s="17">
        <f t="shared" si="113"/>
        <v>0</v>
      </c>
      <c r="BP152" s="17">
        <f t="shared" si="114"/>
        <v>0</v>
      </c>
      <c r="BQ152" s="17">
        <f t="shared" si="115"/>
        <v>0.10001194142580624</v>
      </c>
      <c r="BR152" s="17">
        <f t="shared" si="116"/>
        <v>0.46405540821574098</v>
      </c>
      <c r="BS152" s="17">
        <f t="shared" si="117"/>
        <v>0.52406257307122472</v>
      </c>
      <c r="BT152" s="17">
        <f t="shared" si="118"/>
        <v>0.25603057005006397</v>
      </c>
      <c r="BU152" s="17">
        <f t="shared" si="119"/>
        <v>1.3201576268206423</v>
      </c>
      <c r="BV152" s="17">
        <f t="shared" si="120"/>
        <v>0.624074514497031</v>
      </c>
      <c r="BW152" s="17">
        <f t="shared" si="121"/>
        <v>0</v>
      </c>
      <c r="BX152" s="17">
        <f t="shared" si="122"/>
        <v>0.44005254227354745</v>
      </c>
      <c r="BY152" s="17">
        <f t="shared" si="123"/>
        <v>0</v>
      </c>
      <c r="BZ152" s="17">
        <f t="shared" si="134"/>
        <v>1.2001432971096749E-2</v>
      </c>
      <c r="CA152" s="17">
        <f t="shared" si="135"/>
        <v>1.2001432971096749E-2</v>
      </c>
      <c r="CB152" s="17">
        <f t="shared" si="136"/>
        <v>5.5046572560763751</v>
      </c>
      <c r="CC152" s="17">
        <f t="shared" si="137"/>
        <v>15.82588961121958</v>
      </c>
      <c r="CD152" s="17">
        <f t="shared" si="138"/>
        <v>4.0004776570322496E-2</v>
      </c>
      <c r="CE152" s="17">
        <f t="shared" si="139"/>
        <v>1.6321948840691578</v>
      </c>
      <c r="CF152" s="17">
        <f t="shared" si="140"/>
        <v>0.15201815096722548</v>
      </c>
      <c r="CG152" s="17">
        <f t="shared" si="141"/>
        <v>0</v>
      </c>
      <c r="CH152" s="17">
        <f t="shared" si="142"/>
        <v>6.0007164855483748E-2</v>
      </c>
      <c r="CI152" s="17">
        <f t="shared" si="143"/>
        <v>0</v>
      </c>
      <c r="CJ152" s="17">
        <f t="shared" si="144"/>
        <v>0</v>
      </c>
      <c r="CK152" s="17">
        <f t="shared" si="145"/>
        <v>0</v>
      </c>
      <c r="CL152" s="17">
        <f t="shared" si="146"/>
        <v>0</v>
      </c>
      <c r="CM152" s="14">
        <f t="shared" si="147"/>
        <v>15526</v>
      </c>
      <c r="CN152" s="17">
        <f t="shared" si="148"/>
        <v>62.111416103082711</v>
      </c>
      <c r="CO152" s="14">
        <f t="shared" si="149"/>
        <v>17366</v>
      </c>
      <c r="CP152" s="17">
        <f t="shared" si="150"/>
        <v>69.472294992022043</v>
      </c>
      <c r="CQ152" s="14">
        <f t="shared" si="124"/>
        <v>27311</v>
      </c>
      <c r="CR152" s="14">
        <v>84</v>
      </c>
      <c r="CS152" s="14">
        <v>0</v>
      </c>
      <c r="CT152" s="14">
        <v>0</v>
      </c>
      <c r="CU152" s="14">
        <v>0</v>
      </c>
    </row>
    <row r="153" spans="1:99" x14ac:dyDescent="0.3">
      <c r="A153" s="14">
        <v>2020</v>
      </c>
      <c r="B153" s="14" t="s">
        <v>27</v>
      </c>
      <c r="C153" s="14" t="s">
        <v>28</v>
      </c>
      <c r="D153" s="15">
        <v>62582.3</v>
      </c>
      <c r="E153" s="15">
        <v>2546401.9999999986</v>
      </c>
      <c r="F153" s="15">
        <f t="shared" si="125"/>
        <v>40.688852918476925</v>
      </c>
      <c r="G153" s="14">
        <v>89</v>
      </c>
      <c r="H153" s="14">
        <v>145</v>
      </c>
      <c r="I153" s="14">
        <v>463</v>
      </c>
      <c r="J153" s="14">
        <v>842</v>
      </c>
      <c r="K153" s="14">
        <v>7</v>
      </c>
      <c r="L153" s="14">
        <v>11</v>
      </c>
      <c r="N153" s="14">
        <v>28</v>
      </c>
      <c r="O153" s="14">
        <v>33</v>
      </c>
      <c r="P153" s="14">
        <v>40</v>
      </c>
      <c r="R153" s="14">
        <v>92</v>
      </c>
      <c r="U153" s="14">
        <v>25</v>
      </c>
      <c r="V153" s="14">
        <v>117</v>
      </c>
      <c r="W153" s="14">
        <v>125</v>
      </c>
      <c r="X153" s="14">
        <v>67</v>
      </c>
      <c r="Y153" s="14">
        <v>338</v>
      </c>
      <c r="Z153" s="14">
        <v>167</v>
      </c>
      <c r="AB153" s="14">
        <f t="shared" si="126"/>
        <v>33</v>
      </c>
      <c r="AC153" s="14">
        <v>63</v>
      </c>
      <c r="AE153" s="14">
        <v>3</v>
      </c>
      <c r="AF153" s="14">
        <v>3</v>
      </c>
      <c r="AG153" s="14">
        <v>1221</v>
      </c>
      <c r="AH153" s="14">
        <v>3691</v>
      </c>
      <c r="AI153" s="14">
        <v>10</v>
      </c>
      <c r="AJ153" s="14">
        <v>435</v>
      </c>
      <c r="AK153" s="14">
        <v>66</v>
      </c>
      <c r="AM153" s="14">
        <f t="shared" si="127"/>
        <v>66</v>
      </c>
      <c r="AN153" s="14">
        <v>13</v>
      </c>
      <c r="AQ153" s="14">
        <f t="shared" si="128"/>
        <v>0</v>
      </c>
      <c r="AT153" s="14">
        <f t="shared" si="129"/>
        <v>0</v>
      </c>
      <c r="AU153" s="16">
        <v>2048</v>
      </c>
      <c r="AV153" s="16">
        <v>15542</v>
      </c>
      <c r="AW153" s="16">
        <v>0</v>
      </c>
      <c r="AX153" s="16">
        <v>1423</v>
      </c>
      <c r="AY153" s="18">
        <f t="shared" si="130"/>
        <v>8.0427206701848384</v>
      </c>
      <c r="AZ153" s="17">
        <f t="shared" si="131"/>
        <v>61.035138992193723</v>
      </c>
      <c r="BA153" s="17">
        <f t="shared" si="132"/>
        <v>0</v>
      </c>
      <c r="BB153" s="17">
        <f t="shared" si="133"/>
        <v>5.5882771062856564</v>
      </c>
      <c r="BC153" s="17">
        <f t="shared" si="101"/>
        <v>0.34951276349924343</v>
      </c>
      <c r="BD153" s="17">
        <f t="shared" si="102"/>
        <v>0.56943090682461006</v>
      </c>
      <c r="BE153" s="17">
        <f t="shared" si="103"/>
        <v>1.8182517921365136</v>
      </c>
      <c r="BF153" s="17">
        <f t="shared" si="104"/>
        <v>3.3066263692849773</v>
      </c>
      <c r="BG153" s="17">
        <f t="shared" si="105"/>
        <v>2.7489767915670833E-2</v>
      </c>
      <c r="BH153" s="17">
        <f t="shared" si="106"/>
        <v>4.3198206724625592E-2</v>
      </c>
      <c r="BI153" s="17">
        <f t="shared" si="107"/>
        <v>0</v>
      </c>
      <c r="BJ153" s="17">
        <f t="shared" si="108"/>
        <v>0.10995907166268333</v>
      </c>
      <c r="BK153" s="17">
        <f t="shared" si="109"/>
        <v>0.12959462017387677</v>
      </c>
      <c r="BL153" s="17">
        <f t="shared" si="110"/>
        <v>0.15708438808954761</v>
      </c>
      <c r="BM153" s="17">
        <f t="shared" si="111"/>
        <v>0</v>
      </c>
      <c r="BN153" s="17">
        <f t="shared" si="112"/>
        <v>0.36129409260595952</v>
      </c>
      <c r="BO153" s="17">
        <f t="shared" si="113"/>
        <v>0</v>
      </c>
      <c r="BP153" s="17">
        <f t="shared" si="114"/>
        <v>0</v>
      </c>
      <c r="BQ153" s="17">
        <f t="shared" si="115"/>
        <v>9.8177742555967257E-2</v>
      </c>
      <c r="BR153" s="17">
        <f t="shared" si="116"/>
        <v>0.45947183516192674</v>
      </c>
      <c r="BS153" s="17">
        <f t="shared" si="117"/>
        <v>0.49088871277983631</v>
      </c>
      <c r="BT153" s="17">
        <f t="shared" si="118"/>
        <v>0.26311635004999223</v>
      </c>
      <c r="BU153" s="17">
        <f t="shared" si="119"/>
        <v>1.3273630793566773</v>
      </c>
      <c r="BV153" s="17">
        <f t="shared" si="120"/>
        <v>0.65582732027386126</v>
      </c>
      <c r="BW153" s="17">
        <f t="shared" si="121"/>
        <v>0</v>
      </c>
      <c r="BX153" s="17">
        <f t="shared" si="122"/>
        <v>0.24740791124103748</v>
      </c>
      <c r="BY153" s="17">
        <f t="shared" si="123"/>
        <v>0</v>
      </c>
      <c r="BZ153" s="17">
        <f t="shared" si="134"/>
        <v>1.178132910671607E-2</v>
      </c>
      <c r="CA153" s="17">
        <f t="shared" si="135"/>
        <v>1.178132910671607E-2</v>
      </c>
      <c r="CB153" s="17">
        <f t="shared" si="136"/>
        <v>4.7950009464334409</v>
      </c>
      <c r="CC153" s="17">
        <f t="shared" si="137"/>
        <v>14.494961910963006</v>
      </c>
      <c r="CD153" s="17">
        <f t="shared" si="138"/>
        <v>3.9271097022386903E-2</v>
      </c>
      <c r="CE153" s="17">
        <f t="shared" si="139"/>
        <v>1.7082927204738303</v>
      </c>
      <c r="CF153" s="17">
        <f t="shared" si="140"/>
        <v>0.25918924034775354</v>
      </c>
      <c r="CG153" s="17">
        <f t="shared" si="141"/>
        <v>0</v>
      </c>
      <c r="CH153" s="17">
        <f t="shared" si="142"/>
        <v>5.1052426129102976E-2</v>
      </c>
      <c r="CI153" s="17">
        <f t="shared" si="143"/>
        <v>0</v>
      </c>
      <c r="CJ153" s="17">
        <f t="shared" si="144"/>
        <v>0</v>
      </c>
      <c r="CK153" s="17">
        <f t="shared" si="145"/>
        <v>0</v>
      </c>
      <c r="CL153" s="17">
        <f t="shared" si="146"/>
        <v>0</v>
      </c>
      <c r="CM153" s="14">
        <f t="shared" si="147"/>
        <v>15542</v>
      </c>
      <c r="CN153" s="17">
        <f t="shared" si="148"/>
        <v>61.035138992193723</v>
      </c>
      <c r="CO153" s="14">
        <f t="shared" si="149"/>
        <v>17590</v>
      </c>
      <c r="CP153" s="17">
        <f t="shared" si="150"/>
        <v>69.077859662378557</v>
      </c>
      <c r="CQ153" s="14">
        <f t="shared" si="124"/>
        <v>27206</v>
      </c>
      <c r="CR153" s="14">
        <v>7018</v>
      </c>
      <c r="CS153" s="14">
        <v>2156</v>
      </c>
      <c r="CT153" s="14">
        <v>0</v>
      </c>
      <c r="CU153" s="14">
        <v>0</v>
      </c>
    </row>
    <row r="154" spans="1:99" x14ac:dyDescent="0.3">
      <c r="A154" s="14">
        <v>2021</v>
      </c>
      <c r="B154" s="14" t="s">
        <v>27</v>
      </c>
      <c r="C154" s="14" t="s">
        <v>28</v>
      </c>
      <c r="D154" s="15">
        <v>62086.9</v>
      </c>
      <c r="E154" s="15">
        <v>2588422.9999999981</v>
      </c>
      <c r="F154" s="15">
        <f t="shared" si="125"/>
        <v>41.690324367942324</v>
      </c>
      <c r="G154" s="14">
        <v>89</v>
      </c>
      <c r="H154" s="14">
        <v>158</v>
      </c>
      <c r="I154" s="14">
        <v>465</v>
      </c>
      <c r="J154" s="14">
        <v>845</v>
      </c>
      <c r="K154" s="14">
        <v>8</v>
      </c>
      <c r="L154" s="14">
        <v>12</v>
      </c>
      <c r="N154" s="14">
        <v>26</v>
      </c>
      <c r="O154" s="14">
        <v>35</v>
      </c>
      <c r="P154" s="14">
        <v>45</v>
      </c>
      <c r="R154" s="14">
        <v>35</v>
      </c>
      <c r="U154" s="14">
        <v>203</v>
      </c>
      <c r="V154" s="14">
        <v>123</v>
      </c>
      <c r="W154" s="14">
        <v>147</v>
      </c>
      <c r="X154" s="14">
        <v>66</v>
      </c>
      <c r="Y154" s="14">
        <v>337</v>
      </c>
      <c r="Z154" s="14">
        <v>161</v>
      </c>
      <c r="AB154" s="14">
        <f t="shared" si="126"/>
        <v>35</v>
      </c>
      <c r="AC154" s="14">
        <v>62</v>
      </c>
      <c r="AE154" s="14">
        <v>3</v>
      </c>
      <c r="AF154" s="14">
        <v>6</v>
      </c>
      <c r="AG154" s="14">
        <v>1355</v>
      </c>
      <c r="AH154" s="14">
        <v>3629</v>
      </c>
      <c r="AI154" s="14">
        <v>11</v>
      </c>
      <c r="AJ154" s="14">
        <v>413</v>
      </c>
      <c r="AK154" s="14">
        <v>42</v>
      </c>
      <c r="AM154" s="14">
        <f t="shared" si="127"/>
        <v>42</v>
      </c>
      <c r="AN154" s="14">
        <v>15</v>
      </c>
      <c r="AQ154" s="14">
        <f t="shared" si="128"/>
        <v>0</v>
      </c>
      <c r="AT154" s="14">
        <f t="shared" si="129"/>
        <v>0</v>
      </c>
      <c r="AU154" s="16">
        <v>2028</v>
      </c>
      <c r="AV154" s="16">
        <v>15772</v>
      </c>
      <c r="AW154" s="16">
        <v>0</v>
      </c>
      <c r="AX154" s="16">
        <v>1519</v>
      </c>
      <c r="AY154" s="18">
        <f t="shared" si="130"/>
        <v>7.8348863381294382</v>
      </c>
      <c r="AZ154" s="17">
        <f t="shared" si="131"/>
        <v>60.932853710541174</v>
      </c>
      <c r="BA154" s="17">
        <f t="shared" si="132"/>
        <v>0</v>
      </c>
      <c r="BB154" s="17">
        <f t="shared" si="133"/>
        <v>5.8684380412320598</v>
      </c>
      <c r="BC154" s="17">
        <f t="shared" si="101"/>
        <v>0.34383870024335306</v>
      </c>
      <c r="BD154" s="17">
        <f t="shared" si="102"/>
        <v>0.61041027683651439</v>
      </c>
      <c r="BE154" s="17">
        <f t="shared" si="103"/>
        <v>1.796460624866957</v>
      </c>
      <c r="BF154" s="17">
        <f t="shared" si="104"/>
        <v>3.2645359742205993</v>
      </c>
      <c r="BG154" s="17">
        <f t="shared" si="105"/>
        <v>3.0906849460076678E-2</v>
      </c>
      <c r="BH154" s="17">
        <f t="shared" si="106"/>
        <v>4.6360274190115021E-2</v>
      </c>
      <c r="BI154" s="17">
        <f t="shared" si="107"/>
        <v>0</v>
      </c>
      <c r="BJ154" s="17">
        <f t="shared" si="108"/>
        <v>0.10044726074524921</v>
      </c>
      <c r="BK154" s="17">
        <f t="shared" si="109"/>
        <v>0.13521746638783547</v>
      </c>
      <c r="BL154" s="17">
        <f t="shared" si="110"/>
        <v>0.17385102821293133</v>
      </c>
      <c r="BM154" s="17">
        <f t="shared" si="111"/>
        <v>0</v>
      </c>
      <c r="BN154" s="17">
        <f t="shared" si="112"/>
        <v>0.13521746638783547</v>
      </c>
      <c r="BO154" s="17">
        <f t="shared" si="113"/>
        <v>0</v>
      </c>
      <c r="BP154" s="17">
        <f t="shared" si="114"/>
        <v>0</v>
      </c>
      <c r="BQ154" s="17">
        <f t="shared" si="115"/>
        <v>0.78426130504944569</v>
      </c>
      <c r="BR154" s="17">
        <f t="shared" si="116"/>
        <v>0.47519281044867895</v>
      </c>
      <c r="BS154" s="17">
        <f t="shared" si="117"/>
        <v>0.56791335882890892</v>
      </c>
      <c r="BT154" s="17">
        <f t="shared" si="118"/>
        <v>0.25498150804563258</v>
      </c>
      <c r="BU154" s="17">
        <f t="shared" si="119"/>
        <v>1.30195103350573</v>
      </c>
      <c r="BV154" s="17">
        <f t="shared" si="120"/>
        <v>0.62200034538404314</v>
      </c>
      <c r="BW154" s="17">
        <f t="shared" si="121"/>
        <v>0</v>
      </c>
      <c r="BX154" s="17">
        <f t="shared" si="122"/>
        <v>0.23952808331559428</v>
      </c>
      <c r="BY154" s="17">
        <f t="shared" si="123"/>
        <v>0</v>
      </c>
      <c r="BZ154" s="17">
        <f t="shared" si="134"/>
        <v>1.1590068547528755E-2</v>
      </c>
      <c r="CA154" s="17">
        <f t="shared" si="135"/>
        <v>2.318013709505751E-2</v>
      </c>
      <c r="CB154" s="17">
        <f t="shared" si="136"/>
        <v>5.2348476273004874</v>
      </c>
      <c r="CC154" s="17">
        <f t="shared" si="137"/>
        <v>14.020119586327283</v>
      </c>
      <c r="CD154" s="17">
        <f t="shared" si="138"/>
        <v>4.2496918007605432E-2</v>
      </c>
      <c r="CE154" s="17">
        <f t="shared" si="139"/>
        <v>1.5955661033764585</v>
      </c>
      <c r="CF154" s="17">
        <f t="shared" si="140"/>
        <v>0.16226095966540258</v>
      </c>
      <c r="CG154" s="17">
        <f t="shared" si="141"/>
        <v>0</v>
      </c>
      <c r="CH154" s="17">
        <f t="shared" si="142"/>
        <v>5.7950342737643774E-2</v>
      </c>
      <c r="CI154" s="17">
        <f t="shared" si="143"/>
        <v>0</v>
      </c>
      <c r="CJ154" s="17">
        <f t="shared" si="144"/>
        <v>0</v>
      </c>
      <c r="CK154" s="17">
        <f t="shared" si="145"/>
        <v>0</v>
      </c>
      <c r="CL154" s="17">
        <f t="shared" si="146"/>
        <v>0</v>
      </c>
      <c r="CM154" s="14">
        <f t="shared" si="147"/>
        <v>15772</v>
      </c>
      <c r="CN154" s="17">
        <f t="shared" si="148"/>
        <v>60.932853710541174</v>
      </c>
      <c r="CO154" s="14">
        <f t="shared" si="149"/>
        <v>17800</v>
      </c>
      <c r="CP154" s="17">
        <f t="shared" si="150"/>
        <v>68.767740048670618</v>
      </c>
      <c r="CQ154" s="14">
        <f t="shared" si="124"/>
        <v>27687</v>
      </c>
      <c r="CR154" s="14">
        <v>0</v>
      </c>
      <c r="CS154" s="14">
        <v>0</v>
      </c>
      <c r="CT154" s="14">
        <v>0</v>
      </c>
      <c r="CU154" s="14">
        <v>0</v>
      </c>
    </row>
    <row r="155" spans="1:99" x14ac:dyDescent="0.3">
      <c r="A155" s="14">
        <v>2022</v>
      </c>
      <c r="B155" s="14" t="s">
        <v>27</v>
      </c>
      <c r="C155" s="14" t="s">
        <v>28</v>
      </c>
      <c r="D155" s="15">
        <v>61665.2</v>
      </c>
      <c r="E155" s="15">
        <v>2630296.0000000019</v>
      </c>
      <c r="F155" s="15">
        <f t="shared" si="125"/>
        <v>42.654463133177252</v>
      </c>
      <c r="G155" s="14">
        <v>86</v>
      </c>
      <c r="H155" s="14">
        <v>125</v>
      </c>
      <c r="I155" s="14">
        <v>449</v>
      </c>
      <c r="J155" s="14">
        <v>848</v>
      </c>
      <c r="K155" s="14">
        <v>11</v>
      </c>
      <c r="L155" s="14">
        <v>13</v>
      </c>
      <c r="N155" s="14">
        <v>24</v>
      </c>
      <c r="O155" s="14">
        <v>33</v>
      </c>
      <c r="P155" s="14">
        <v>40</v>
      </c>
      <c r="R155" s="14">
        <v>106</v>
      </c>
      <c r="U155" s="14">
        <v>113</v>
      </c>
      <c r="V155" s="14">
        <v>82</v>
      </c>
      <c r="W155" s="14">
        <v>159</v>
      </c>
      <c r="X155" s="14">
        <v>63</v>
      </c>
      <c r="Y155" s="14">
        <v>318</v>
      </c>
      <c r="Z155" s="14">
        <v>191</v>
      </c>
      <c r="AB155" s="14">
        <f t="shared" si="126"/>
        <v>33</v>
      </c>
      <c r="AC155" s="14">
        <v>74</v>
      </c>
      <c r="AE155" s="14">
        <v>4</v>
      </c>
      <c r="AF155" s="14">
        <v>4</v>
      </c>
      <c r="AG155" s="14">
        <v>1579</v>
      </c>
      <c r="AH155" s="14">
        <v>3204</v>
      </c>
      <c r="AI155" s="14">
        <v>6</v>
      </c>
      <c r="AJ155" s="14">
        <v>449</v>
      </c>
      <c r="AK155" s="14">
        <v>30</v>
      </c>
      <c r="AM155" s="14">
        <f t="shared" si="127"/>
        <v>30</v>
      </c>
      <c r="AN155" s="14">
        <v>17</v>
      </c>
      <c r="AQ155" s="14">
        <f t="shared" si="128"/>
        <v>0</v>
      </c>
      <c r="AT155" s="14">
        <f t="shared" si="129"/>
        <v>0</v>
      </c>
      <c r="AU155" s="16">
        <v>1984</v>
      </c>
      <c r="AV155" s="16">
        <v>16056</v>
      </c>
      <c r="AW155" s="16">
        <v>0</v>
      </c>
      <c r="AX155" s="16">
        <v>1563</v>
      </c>
      <c r="AY155" s="18">
        <f t="shared" si="130"/>
        <v>7.5428773035430181</v>
      </c>
      <c r="AZ155" s="17">
        <f t="shared" si="131"/>
        <v>61.042559468592081</v>
      </c>
      <c r="BA155" s="17">
        <f t="shared" si="132"/>
        <v>0</v>
      </c>
      <c r="BB155" s="17">
        <f t="shared" si="133"/>
        <v>5.9422969886278914</v>
      </c>
      <c r="BC155" s="17">
        <f t="shared" si="101"/>
        <v>0.32695939924632034</v>
      </c>
      <c r="BD155" s="17">
        <f t="shared" si="102"/>
        <v>0.47523168495104701</v>
      </c>
      <c r="BE155" s="17">
        <f t="shared" si="103"/>
        <v>1.7070322123441608</v>
      </c>
      <c r="BF155" s="17">
        <f t="shared" si="104"/>
        <v>3.2239717507079027</v>
      </c>
      <c r="BG155" s="17">
        <f t="shared" si="105"/>
        <v>4.1820388275692136E-2</v>
      </c>
      <c r="BH155" s="17">
        <f t="shared" si="106"/>
        <v>4.9424095234908885E-2</v>
      </c>
      <c r="BI155" s="17">
        <f t="shared" si="107"/>
        <v>0</v>
      </c>
      <c r="BJ155" s="17">
        <f t="shared" si="108"/>
        <v>9.1244483510601021E-2</v>
      </c>
      <c r="BK155" s="17">
        <f t="shared" si="109"/>
        <v>0.12546116482707642</v>
      </c>
      <c r="BL155" s="17">
        <f t="shared" si="110"/>
        <v>0.15207413918433504</v>
      </c>
      <c r="BM155" s="17">
        <f t="shared" si="111"/>
        <v>0</v>
      </c>
      <c r="BN155" s="17">
        <f t="shared" si="112"/>
        <v>0.40299646883848783</v>
      </c>
      <c r="BO155" s="17">
        <f t="shared" si="113"/>
        <v>0</v>
      </c>
      <c r="BP155" s="17">
        <f t="shared" si="114"/>
        <v>0</v>
      </c>
      <c r="BQ155" s="17">
        <f t="shared" si="115"/>
        <v>0.42960944319574651</v>
      </c>
      <c r="BR155" s="17">
        <f t="shared" si="116"/>
        <v>0.31175198532788684</v>
      </c>
      <c r="BS155" s="17">
        <f t="shared" si="117"/>
        <v>0.6044947032577318</v>
      </c>
      <c r="BT155" s="17">
        <f t="shared" si="118"/>
        <v>0.23951676921532769</v>
      </c>
      <c r="BU155" s="17">
        <f t="shared" si="119"/>
        <v>1.2089894065154636</v>
      </c>
      <c r="BV155" s="17">
        <f t="shared" si="120"/>
        <v>0.72615401460519979</v>
      </c>
      <c r="BW155" s="17">
        <f t="shared" si="121"/>
        <v>0</v>
      </c>
      <c r="BX155" s="17">
        <f t="shared" si="122"/>
        <v>0.28133715749101984</v>
      </c>
      <c r="BY155" s="17">
        <f t="shared" si="123"/>
        <v>0</v>
      </c>
      <c r="BZ155" s="17">
        <f t="shared" si="134"/>
        <v>1.5207413918433504E-2</v>
      </c>
      <c r="CA155" s="17">
        <f t="shared" si="135"/>
        <v>1.5207413918433504E-2</v>
      </c>
      <c r="CB155" s="17">
        <f t="shared" si="136"/>
        <v>6.0031266443016253</v>
      </c>
      <c r="CC155" s="17">
        <f t="shared" si="137"/>
        <v>12.181138548665237</v>
      </c>
      <c r="CD155" s="17">
        <f t="shared" si="138"/>
        <v>2.2811120877650255E-2</v>
      </c>
      <c r="CE155" s="17">
        <f t="shared" si="139"/>
        <v>1.7070322123441608</v>
      </c>
      <c r="CF155" s="17">
        <f t="shared" si="140"/>
        <v>0.11405560438825128</v>
      </c>
      <c r="CG155" s="17">
        <f t="shared" si="141"/>
        <v>0</v>
      </c>
      <c r="CH155" s="17">
        <f t="shared" si="142"/>
        <v>6.4631509153342398E-2</v>
      </c>
      <c r="CI155" s="17">
        <f t="shared" si="143"/>
        <v>0</v>
      </c>
      <c r="CJ155" s="17">
        <f t="shared" si="144"/>
        <v>0</v>
      </c>
      <c r="CK155" s="17">
        <f t="shared" si="145"/>
        <v>0</v>
      </c>
      <c r="CL155" s="17">
        <f t="shared" si="146"/>
        <v>0</v>
      </c>
      <c r="CM155" s="14">
        <f t="shared" si="147"/>
        <v>16056</v>
      </c>
      <c r="CN155" s="17">
        <f t="shared" si="148"/>
        <v>61.042559468592081</v>
      </c>
      <c r="CO155" s="14">
        <f t="shared" si="149"/>
        <v>18040</v>
      </c>
      <c r="CP155" s="17">
        <f t="shared" si="150"/>
        <v>68.585436772135097</v>
      </c>
      <c r="CQ155" s="14">
        <f t="shared" si="124"/>
        <v>27694</v>
      </c>
      <c r="CR155" s="14">
        <v>0</v>
      </c>
      <c r="CS155" s="14">
        <v>0</v>
      </c>
      <c r="CT155" s="14">
        <v>0</v>
      </c>
      <c r="CU155" s="14">
        <v>0</v>
      </c>
    </row>
    <row r="156" spans="1:99" x14ac:dyDescent="0.3">
      <c r="A156" s="14">
        <v>2012</v>
      </c>
      <c r="B156" s="14" t="s">
        <v>29</v>
      </c>
      <c r="C156" s="14" t="s">
        <v>30</v>
      </c>
      <c r="D156" s="15">
        <v>423678.2</v>
      </c>
      <c r="E156" s="15">
        <v>9795479.0000000019</v>
      </c>
      <c r="F156" s="15">
        <f t="shared" si="125"/>
        <v>23.120092088759822</v>
      </c>
      <c r="H156" s="14">
        <v>4</v>
      </c>
      <c r="AB156" s="14">
        <f t="shared" si="126"/>
        <v>0</v>
      </c>
      <c r="AM156" s="14">
        <f t="shared" si="127"/>
        <v>0</v>
      </c>
      <c r="AQ156" s="14">
        <f t="shared" si="128"/>
        <v>0</v>
      </c>
      <c r="AT156" s="14">
        <f t="shared" si="129"/>
        <v>0</v>
      </c>
      <c r="AU156" s="16">
        <v>996</v>
      </c>
      <c r="AV156" s="16">
        <v>12972</v>
      </c>
      <c r="AW156" s="16">
        <v>32</v>
      </c>
      <c r="AX156" s="16">
        <v>0</v>
      </c>
      <c r="AY156" s="18">
        <f t="shared" si="130"/>
        <v>1.0167956054012262</v>
      </c>
      <c r="AZ156" s="17">
        <f t="shared" si="131"/>
        <v>13.242843969141271</v>
      </c>
      <c r="BA156" s="17">
        <f t="shared" si="132"/>
        <v>3.2668131900441003E-2</v>
      </c>
      <c r="BB156" s="17">
        <f t="shared" si="133"/>
        <v>0</v>
      </c>
      <c r="BC156" s="17">
        <f t="shared" si="101"/>
        <v>0</v>
      </c>
      <c r="BD156" s="17">
        <f t="shared" si="102"/>
        <v>4.0835164875551253E-3</v>
      </c>
      <c r="BE156" s="17">
        <f t="shared" si="103"/>
        <v>0</v>
      </c>
      <c r="BF156" s="17">
        <f t="shared" si="104"/>
        <v>0</v>
      </c>
      <c r="BG156" s="17">
        <f t="shared" si="105"/>
        <v>0</v>
      </c>
      <c r="BH156" s="17">
        <f t="shared" si="106"/>
        <v>0</v>
      </c>
      <c r="BI156" s="17">
        <f t="shared" si="107"/>
        <v>0</v>
      </c>
      <c r="BJ156" s="17">
        <f t="shared" si="108"/>
        <v>0</v>
      </c>
      <c r="BK156" s="17">
        <f t="shared" si="109"/>
        <v>0</v>
      </c>
      <c r="BL156" s="17">
        <f t="shared" si="110"/>
        <v>0</v>
      </c>
      <c r="BM156" s="17">
        <f t="shared" si="111"/>
        <v>0</v>
      </c>
      <c r="BN156" s="17">
        <f t="shared" si="112"/>
        <v>0</v>
      </c>
      <c r="BO156" s="17">
        <f t="shared" si="113"/>
        <v>0</v>
      </c>
      <c r="BP156" s="17">
        <f t="shared" si="114"/>
        <v>0</v>
      </c>
      <c r="BQ156" s="17">
        <f t="shared" si="115"/>
        <v>0</v>
      </c>
      <c r="BR156" s="17">
        <f t="shared" si="116"/>
        <v>0</v>
      </c>
      <c r="BS156" s="17">
        <f t="shared" si="117"/>
        <v>0</v>
      </c>
      <c r="BT156" s="17">
        <f t="shared" si="118"/>
        <v>0</v>
      </c>
      <c r="BU156" s="17">
        <f t="shared" si="119"/>
        <v>0</v>
      </c>
      <c r="BV156" s="17">
        <f t="shared" si="120"/>
        <v>0</v>
      </c>
      <c r="BW156" s="17">
        <f t="shared" si="121"/>
        <v>0</v>
      </c>
      <c r="BX156" s="17">
        <f t="shared" si="122"/>
        <v>0</v>
      </c>
      <c r="BY156" s="17">
        <f t="shared" si="123"/>
        <v>0</v>
      </c>
      <c r="BZ156" s="17">
        <f t="shared" si="134"/>
        <v>0</v>
      </c>
      <c r="CA156" s="17">
        <f t="shared" si="135"/>
        <v>0</v>
      </c>
      <c r="CB156" s="17">
        <f t="shared" si="136"/>
        <v>0</v>
      </c>
      <c r="CC156" s="17">
        <f t="shared" si="137"/>
        <v>0</v>
      </c>
      <c r="CD156" s="17">
        <f t="shared" si="138"/>
        <v>0</v>
      </c>
      <c r="CE156" s="17">
        <f t="shared" si="139"/>
        <v>0</v>
      </c>
      <c r="CF156" s="17">
        <f t="shared" si="140"/>
        <v>0</v>
      </c>
      <c r="CG156" s="17">
        <f t="shared" si="141"/>
        <v>0</v>
      </c>
      <c r="CH156" s="17">
        <f t="shared" si="142"/>
        <v>0</v>
      </c>
      <c r="CI156" s="17">
        <f t="shared" si="143"/>
        <v>0</v>
      </c>
      <c r="CJ156" s="17">
        <f t="shared" si="144"/>
        <v>0</v>
      </c>
      <c r="CK156" s="17">
        <f t="shared" si="145"/>
        <v>0</v>
      </c>
      <c r="CL156" s="17">
        <f t="shared" si="146"/>
        <v>0</v>
      </c>
      <c r="CM156" s="14">
        <f t="shared" si="147"/>
        <v>13004</v>
      </c>
      <c r="CN156" s="17">
        <f t="shared" si="148"/>
        <v>13.275512101041713</v>
      </c>
      <c r="CO156" s="14">
        <f t="shared" si="149"/>
        <v>14000</v>
      </c>
      <c r="CP156" s="17">
        <f t="shared" si="150"/>
        <v>14.292307706442939</v>
      </c>
      <c r="CQ156" s="14">
        <f t="shared" si="124"/>
        <v>14004</v>
      </c>
      <c r="CR156" s="14">
        <v>115</v>
      </c>
      <c r="CS156" s="14">
        <v>546</v>
      </c>
      <c r="CT156" s="14">
        <v>44</v>
      </c>
      <c r="CU156" s="14">
        <v>0</v>
      </c>
    </row>
    <row r="157" spans="1:99" x14ac:dyDescent="0.3">
      <c r="A157" s="14">
        <v>2013</v>
      </c>
      <c r="B157" s="14" t="s">
        <v>29</v>
      </c>
      <c r="C157" s="14" t="s">
        <v>30</v>
      </c>
      <c r="D157" s="15">
        <v>429312</v>
      </c>
      <c r="E157" s="15">
        <v>10149577.500000002</v>
      </c>
      <c r="F157" s="15">
        <f t="shared" si="125"/>
        <v>23.6414949966458</v>
      </c>
      <c r="G157" s="14">
        <v>4</v>
      </c>
      <c r="AB157" s="14">
        <f t="shared" si="126"/>
        <v>0</v>
      </c>
      <c r="AM157" s="14">
        <f t="shared" si="127"/>
        <v>0</v>
      </c>
      <c r="AQ157" s="14">
        <f t="shared" si="128"/>
        <v>0</v>
      </c>
      <c r="AT157" s="14">
        <f t="shared" si="129"/>
        <v>0</v>
      </c>
      <c r="AU157" s="16">
        <v>1108</v>
      </c>
      <c r="AV157" s="16">
        <v>13146</v>
      </c>
      <c r="AW157" s="16">
        <v>70</v>
      </c>
      <c r="AX157" s="16">
        <v>0</v>
      </c>
      <c r="AY157" s="18">
        <f t="shared" si="130"/>
        <v>1.0916710572435155</v>
      </c>
      <c r="AZ157" s="17">
        <f t="shared" si="131"/>
        <v>12.952263283865754</v>
      </c>
      <c r="BA157" s="17">
        <f t="shared" si="132"/>
        <v>6.8968388093001889E-2</v>
      </c>
      <c r="BB157" s="17">
        <f t="shared" si="133"/>
        <v>0</v>
      </c>
      <c r="BC157" s="17">
        <f t="shared" si="101"/>
        <v>3.9410507481715366E-3</v>
      </c>
      <c r="BD157" s="17">
        <f t="shared" si="102"/>
        <v>0</v>
      </c>
      <c r="BE157" s="17">
        <f t="shared" si="103"/>
        <v>0</v>
      </c>
      <c r="BF157" s="17">
        <f t="shared" si="104"/>
        <v>0</v>
      </c>
      <c r="BG157" s="17">
        <f t="shared" si="105"/>
        <v>0</v>
      </c>
      <c r="BH157" s="17">
        <f t="shared" si="106"/>
        <v>0</v>
      </c>
      <c r="BI157" s="17">
        <f t="shared" si="107"/>
        <v>0</v>
      </c>
      <c r="BJ157" s="17">
        <f t="shared" si="108"/>
        <v>0</v>
      </c>
      <c r="BK157" s="17">
        <f t="shared" si="109"/>
        <v>0</v>
      </c>
      <c r="BL157" s="17">
        <f t="shared" si="110"/>
        <v>0</v>
      </c>
      <c r="BM157" s="17">
        <f t="shared" si="111"/>
        <v>0</v>
      </c>
      <c r="BN157" s="17">
        <f t="shared" si="112"/>
        <v>0</v>
      </c>
      <c r="BO157" s="17">
        <f t="shared" si="113"/>
        <v>0</v>
      </c>
      <c r="BP157" s="17">
        <f t="shared" si="114"/>
        <v>0</v>
      </c>
      <c r="BQ157" s="17">
        <f t="shared" si="115"/>
        <v>0</v>
      </c>
      <c r="BR157" s="17">
        <f t="shared" si="116"/>
        <v>0</v>
      </c>
      <c r="BS157" s="17">
        <f t="shared" si="117"/>
        <v>0</v>
      </c>
      <c r="BT157" s="17">
        <f t="shared" si="118"/>
        <v>0</v>
      </c>
      <c r="BU157" s="17">
        <f t="shared" si="119"/>
        <v>0</v>
      </c>
      <c r="BV157" s="17">
        <f t="shared" si="120"/>
        <v>0</v>
      </c>
      <c r="BW157" s="17">
        <f t="shared" si="121"/>
        <v>0</v>
      </c>
      <c r="BX157" s="17">
        <f t="shared" si="122"/>
        <v>0</v>
      </c>
      <c r="BY157" s="17">
        <f t="shared" si="123"/>
        <v>0</v>
      </c>
      <c r="BZ157" s="17">
        <f t="shared" si="134"/>
        <v>0</v>
      </c>
      <c r="CA157" s="17">
        <f t="shared" si="135"/>
        <v>0</v>
      </c>
      <c r="CB157" s="17">
        <f t="shared" si="136"/>
        <v>0</v>
      </c>
      <c r="CC157" s="17">
        <f t="shared" si="137"/>
        <v>0</v>
      </c>
      <c r="CD157" s="17">
        <f t="shared" si="138"/>
        <v>0</v>
      </c>
      <c r="CE157" s="17">
        <f t="shared" si="139"/>
        <v>0</v>
      </c>
      <c r="CF157" s="17">
        <f t="shared" si="140"/>
        <v>0</v>
      </c>
      <c r="CG157" s="17">
        <f t="shared" si="141"/>
        <v>0</v>
      </c>
      <c r="CH157" s="17">
        <f t="shared" si="142"/>
        <v>0</v>
      </c>
      <c r="CI157" s="17">
        <f t="shared" si="143"/>
        <v>0</v>
      </c>
      <c r="CJ157" s="17">
        <f t="shared" si="144"/>
        <v>0</v>
      </c>
      <c r="CK157" s="17">
        <f t="shared" si="145"/>
        <v>0</v>
      </c>
      <c r="CL157" s="17">
        <f t="shared" si="146"/>
        <v>0</v>
      </c>
      <c r="CM157" s="14">
        <f t="shared" si="147"/>
        <v>13216</v>
      </c>
      <c r="CN157" s="17">
        <f t="shared" si="148"/>
        <v>13.021231671958757</v>
      </c>
      <c r="CO157" s="14">
        <f t="shared" si="149"/>
        <v>14324</v>
      </c>
      <c r="CP157" s="17">
        <f t="shared" si="150"/>
        <v>14.112902729202272</v>
      </c>
      <c r="CQ157" s="14">
        <f t="shared" si="124"/>
        <v>14328</v>
      </c>
      <c r="CR157" s="14">
        <v>0</v>
      </c>
      <c r="CS157" s="14">
        <v>0</v>
      </c>
      <c r="CT157" s="14">
        <v>0</v>
      </c>
      <c r="CU157" s="14">
        <v>0</v>
      </c>
    </row>
    <row r="158" spans="1:99" x14ac:dyDescent="0.3">
      <c r="A158" s="14">
        <v>2014</v>
      </c>
      <c r="B158" s="14" t="s">
        <v>29</v>
      </c>
      <c r="C158" s="14" t="s">
        <v>30</v>
      </c>
      <c r="D158" s="15">
        <v>435003</v>
      </c>
      <c r="E158" s="15">
        <v>10494912.499999989</v>
      </c>
      <c r="F158" s="15">
        <f t="shared" si="125"/>
        <v>24.12606924549943</v>
      </c>
      <c r="AB158" s="14">
        <f t="shared" si="126"/>
        <v>0</v>
      </c>
      <c r="AM158" s="14">
        <f t="shared" si="127"/>
        <v>0</v>
      </c>
      <c r="AQ158" s="14">
        <f t="shared" si="128"/>
        <v>0</v>
      </c>
      <c r="AT158" s="14">
        <f t="shared" si="129"/>
        <v>0</v>
      </c>
      <c r="AU158" s="16">
        <v>1218</v>
      </c>
      <c r="AV158" s="16">
        <v>13638</v>
      </c>
      <c r="AW158" s="16">
        <v>48</v>
      </c>
      <c r="AX158" s="16">
        <v>0</v>
      </c>
      <c r="AY158" s="18">
        <f t="shared" si="130"/>
        <v>1.1605623200765145</v>
      </c>
      <c r="AZ158" s="17">
        <f t="shared" si="131"/>
        <v>12.994867751398608</v>
      </c>
      <c r="BA158" s="17">
        <f t="shared" si="132"/>
        <v>4.5736446111389731E-2</v>
      </c>
      <c r="BB158" s="17">
        <f t="shared" si="133"/>
        <v>0</v>
      </c>
      <c r="BC158" s="17">
        <f t="shared" si="101"/>
        <v>0</v>
      </c>
      <c r="BD158" s="17">
        <f t="shared" si="102"/>
        <v>0</v>
      </c>
      <c r="BE158" s="17">
        <f t="shared" si="103"/>
        <v>0</v>
      </c>
      <c r="BF158" s="17">
        <f t="shared" si="104"/>
        <v>0</v>
      </c>
      <c r="BG158" s="17">
        <f t="shared" si="105"/>
        <v>0</v>
      </c>
      <c r="BH158" s="17">
        <f t="shared" si="106"/>
        <v>0</v>
      </c>
      <c r="BI158" s="17">
        <f t="shared" si="107"/>
        <v>0</v>
      </c>
      <c r="BJ158" s="17">
        <f t="shared" si="108"/>
        <v>0</v>
      </c>
      <c r="BK158" s="17">
        <f t="shared" si="109"/>
        <v>0</v>
      </c>
      <c r="BL158" s="17">
        <f t="shared" si="110"/>
        <v>0</v>
      </c>
      <c r="BM158" s="17">
        <f t="shared" si="111"/>
        <v>0</v>
      </c>
      <c r="BN158" s="17">
        <f t="shared" si="112"/>
        <v>0</v>
      </c>
      <c r="BO158" s="17">
        <f t="shared" si="113"/>
        <v>0</v>
      </c>
      <c r="BP158" s="17">
        <f t="shared" si="114"/>
        <v>0</v>
      </c>
      <c r="BQ158" s="17">
        <f t="shared" si="115"/>
        <v>0</v>
      </c>
      <c r="BR158" s="17">
        <f t="shared" si="116"/>
        <v>0</v>
      </c>
      <c r="BS158" s="17">
        <f t="shared" si="117"/>
        <v>0</v>
      </c>
      <c r="BT158" s="17">
        <f t="shared" si="118"/>
        <v>0</v>
      </c>
      <c r="BU158" s="17">
        <f t="shared" si="119"/>
        <v>0</v>
      </c>
      <c r="BV158" s="17">
        <f t="shared" si="120"/>
        <v>0</v>
      </c>
      <c r="BW158" s="17">
        <f t="shared" si="121"/>
        <v>0</v>
      </c>
      <c r="BX158" s="17">
        <f t="shared" si="122"/>
        <v>0</v>
      </c>
      <c r="BY158" s="17">
        <f t="shared" si="123"/>
        <v>0</v>
      </c>
      <c r="BZ158" s="17">
        <f t="shared" si="134"/>
        <v>0</v>
      </c>
      <c r="CA158" s="17">
        <f t="shared" si="135"/>
        <v>0</v>
      </c>
      <c r="CB158" s="17">
        <f t="shared" si="136"/>
        <v>0</v>
      </c>
      <c r="CC158" s="17">
        <f t="shared" si="137"/>
        <v>0</v>
      </c>
      <c r="CD158" s="17">
        <f t="shared" si="138"/>
        <v>0</v>
      </c>
      <c r="CE158" s="17">
        <f t="shared" si="139"/>
        <v>0</v>
      </c>
      <c r="CF158" s="17">
        <f t="shared" si="140"/>
        <v>0</v>
      </c>
      <c r="CG158" s="17">
        <f t="shared" si="141"/>
        <v>0</v>
      </c>
      <c r="CH158" s="17">
        <f t="shared" si="142"/>
        <v>0</v>
      </c>
      <c r="CI158" s="17">
        <f t="shared" si="143"/>
        <v>0</v>
      </c>
      <c r="CJ158" s="17">
        <f t="shared" si="144"/>
        <v>0</v>
      </c>
      <c r="CK158" s="17">
        <f t="shared" si="145"/>
        <v>0</v>
      </c>
      <c r="CL158" s="17">
        <f t="shared" si="146"/>
        <v>0</v>
      </c>
      <c r="CM158" s="14">
        <f t="shared" si="147"/>
        <v>13686</v>
      </c>
      <c r="CN158" s="17">
        <f t="shared" si="148"/>
        <v>13.040604197509998</v>
      </c>
      <c r="CO158" s="14">
        <f t="shared" si="149"/>
        <v>14904</v>
      </c>
      <c r="CP158" s="17">
        <f t="shared" si="150"/>
        <v>14.201166517586513</v>
      </c>
      <c r="CQ158" s="14">
        <f t="shared" si="124"/>
        <v>14904</v>
      </c>
      <c r="CR158" s="14">
        <v>194</v>
      </c>
      <c r="CS158" s="14">
        <v>0</v>
      </c>
      <c r="CT158" s="14">
        <v>0</v>
      </c>
      <c r="CU158" s="14">
        <v>0</v>
      </c>
    </row>
    <row r="159" spans="1:99" x14ac:dyDescent="0.3">
      <c r="A159" s="14">
        <v>2015</v>
      </c>
      <c r="B159" s="14" t="s">
        <v>29</v>
      </c>
      <c r="C159" s="14" t="s">
        <v>30</v>
      </c>
      <c r="D159" s="15">
        <v>437619.8</v>
      </c>
      <c r="E159" s="15">
        <v>10727148.499999996</v>
      </c>
      <c r="F159" s="15">
        <f t="shared" si="125"/>
        <v>24.512484352856056</v>
      </c>
      <c r="AB159" s="14">
        <f t="shared" si="126"/>
        <v>0</v>
      </c>
      <c r="AM159" s="14">
        <f t="shared" si="127"/>
        <v>0</v>
      </c>
      <c r="AQ159" s="14">
        <f t="shared" si="128"/>
        <v>0</v>
      </c>
      <c r="AT159" s="14">
        <f t="shared" si="129"/>
        <v>0</v>
      </c>
      <c r="AU159" s="16">
        <v>1016</v>
      </c>
      <c r="AV159" s="16">
        <v>13376</v>
      </c>
      <c r="AW159" s="16">
        <v>158</v>
      </c>
      <c r="AX159" s="16">
        <v>0</v>
      </c>
      <c r="AY159" s="18">
        <f t="shared" si="130"/>
        <v>0.9471296123102988</v>
      </c>
      <c r="AZ159" s="17">
        <f t="shared" si="131"/>
        <v>12.469296943171807</v>
      </c>
      <c r="BA159" s="17">
        <f t="shared" si="132"/>
        <v>0.14728984128447561</v>
      </c>
      <c r="BB159" s="17">
        <f t="shared" si="133"/>
        <v>0</v>
      </c>
      <c r="BC159" s="17">
        <f t="shared" si="101"/>
        <v>0</v>
      </c>
      <c r="BD159" s="17">
        <f t="shared" si="102"/>
        <v>0</v>
      </c>
      <c r="BE159" s="17">
        <f t="shared" si="103"/>
        <v>0</v>
      </c>
      <c r="BF159" s="17">
        <f t="shared" si="104"/>
        <v>0</v>
      </c>
      <c r="BG159" s="17">
        <f t="shared" si="105"/>
        <v>0</v>
      </c>
      <c r="BH159" s="17">
        <f t="shared" si="106"/>
        <v>0</v>
      </c>
      <c r="BI159" s="17">
        <f t="shared" si="107"/>
        <v>0</v>
      </c>
      <c r="BJ159" s="17">
        <f t="shared" si="108"/>
        <v>0</v>
      </c>
      <c r="BK159" s="17">
        <f t="shared" si="109"/>
        <v>0</v>
      </c>
      <c r="BL159" s="17">
        <f t="shared" si="110"/>
        <v>0</v>
      </c>
      <c r="BM159" s="17">
        <f t="shared" si="111"/>
        <v>0</v>
      </c>
      <c r="BN159" s="17">
        <f t="shared" si="112"/>
        <v>0</v>
      </c>
      <c r="BO159" s="17">
        <f t="shared" si="113"/>
        <v>0</v>
      </c>
      <c r="BP159" s="17">
        <f t="shared" si="114"/>
        <v>0</v>
      </c>
      <c r="BQ159" s="17">
        <f t="shared" si="115"/>
        <v>0</v>
      </c>
      <c r="BR159" s="17">
        <f t="shared" si="116"/>
        <v>0</v>
      </c>
      <c r="BS159" s="17">
        <f t="shared" si="117"/>
        <v>0</v>
      </c>
      <c r="BT159" s="17">
        <f t="shared" si="118"/>
        <v>0</v>
      </c>
      <c r="BU159" s="17">
        <f t="shared" si="119"/>
        <v>0</v>
      </c>
      <c r="BV159" s="17">
        <f t="shared" si="120"/>
        <v>0</v>
      </c>
      <c r="BW159" s="17">
        <f t="shared" si="121"/>
        <v>0</v>
      </c>
      <c r="BX159" s="17">
        <f t="shared" si="122"/>
        <v>0</v>
      </c>
      <c r="BY159" s="17">
        <f t="shared" si="123"/>
        <v>0</v>
      </c>
      <c r="BZ159" s="17">
        <f t="shared" si="134"/>
        <v>0</v>
      </c>
      <c r="CA159" s="17">
        <f t="shared" si="135"/>
        <v>0</v>
      </c>
      <c r="CB159" s="17">
        <f t="shared" si="136"/>
        <v>0</v>
      </c>
      <c r="CC159" s="17">
        <f t="shared" si="137"/>
        <v>0</v>
      </c>
      <c r="CD159" s="17">
        <f t="shared" si="138"/>
        <v>0</v>
      </c>
      <c r="CE159" s="17">
        <f t="shared" si="139"/>
        <v>0</v>
      </c>
      <c r="CF159" s="17">
        <f t="shared" si="140"/>
        <v>0</v>
      </c>
      <c r="CG159" s="17">
        <f t="shared" si="141"/>
        <v>0</v>
      </c>
      <c r="CH159" s="17">
        <f t="shared" si="142"/>
        <v>0</v>
      </c>
      <c r="CI159" s="17">
        <f t="shared" si="143"/>
        <v>0</v>
      </c>
      <c r="CJ159" s="17">
        <f t="shared" si="144"/>
        <v>0</v>
      </c>
      <c r="CK159" s="17">
        <f t="shared" si="145"/>
        <v>0</v>
      </c>
      <c r="CL159" s="17">
        <f t="shared" si="146"/>
        <v>0</v>
      </c>
      <c r="CM159" s="14">
        <f t="shared" si="147"/>
        <v>13534</v>
      </c>
      <c r="CN159" s="17">
        <f t="shared" si="148"/>
        <v>12.616586784456283</v>
      </c>
      <c r="CO159" s="14">
        <f t="shared" si="149"/>
        <v>14550</v>
      </c>
      <c r="CP159" s="17">
        <f t="shared" si="150"/>
        <v>13.563716396766582</v>
      </c>
      <c r="CQ159" s="14">
        <f t="shared" si="124"/>
        <v>14550</v>
      </c>
      <c r="CR159" s="14">
        <v>300</v>
      </c>
      <c r="CS159" s="14">
        <v>0</v>
      </c>
      <c r="CT159" s="14">
        <v>0</v>
      </c>
      <c r="CU159" s="14">
        <v>0</v>
      </c>
    </row>
    <row r="160" spans="1:99" x14ac:dyDescent="0.3">
      <c r="A160" s="14">
        <v>2016</v>
      </c>
      <c r="B160" s="14" t="s">
        <v>29</v>
      </c>
      <c r="C160" s="14" t="s">
        <v>30</v>
      </c>
      <c r="D160" s="15">
        <v>431656.2</v>
      </c>
      <c r="E160" s="15">
        <v>10903327.500000004</v>
      </c>
      <c r="F160" s="15">
        <f t="shared" si="125"/>
        <v>25.259286209719686</v>
      </c>
      <c r="AB160" s="14">
        <f t="shared" si="126"/>
        <v>0</v>
      </c>
      <c r="AM160" s="14">
        <f t="shared" si="127"/>
        <v>0</v>
      </c>
      <c r="AQ160" s="14">
        <f t="shared" si="128"/>
        <v>0</v>
      </c>
      <c r="AT160" s="14">
        <f t="shared" si="129"/>
        <v>0</v>
      </c>
      <c r="AU160" s="16">
        <v>0</v>
      </c>
      <c r="AV160" s="16">
        <v>0</v>
      </c>
      <c r="AW160" s="16">
        <v>0</v>
      </c>
      <c r="AX160" s="16">
        <v>0</v>
      </c>
      <c r="AY160" s="18">
        <f t="shared" si="130"/>
        <v>0</v>
      </c>
      <c r="AZ160" s="17">
        <f t="shared" si="131"/>
        <v>0</v>
      </c>
      <c r="BA160" s="17">
        <f t="shared" si="132"/>
        <v>0</v>
      </c>
      <c r="BB160" s="17">
        <f t="shared" si="133"/>
        <v>0</v>
      </c>
      <c r="BC160" s="17">
        <f t="shared" si="101"/>
        <v>0</v>
      </c>
      <c r="BD160" s="17">
        <f t="shared" si="102"/>
        <v>0</v>
      </c>
      <c r="BE160" s="17">
        <f t="shared" si="103"/>
        <v>0</v>
      </c>
      <c r="BF160" s="17">
        <f t="shared" si="104"/>
        <v>0</v>
      </c>
      <c r="BG160" s="17">
        <f t="shared" si="105"/>
        <v>0</v>
      </c>
      <c r="BH160" s="17">
        <f t="shared" si="106"/>
        <v>0</v>
      </c>
      <c r="BI160" s="17">
        <f t="shared" si="107"/>
        <v>0</v>
      </c>
      <c r="BJ160" s="17">
        <f t="shared" si="108"/>
        <v>0</v>
      </c>
      <c r="BK160" s="17">
        <f t="shared" si="109"/>
        <v>0</v>
      </c>
      <c r="BL160" s="17">
        <f t="shared" si="110"/>
        <v>0</v>
      </c>
      <c r="BM160" s="17">
        <f t="shared" si="111"/>
        <v>0</v>
      </c>
      <c r="BN160" s="17">
        <f t="shared" si="112"/>
        <v>0</v>
      </c>
      <c r="BO160" s="17">
        <f t="shared" si="113"/>
        <v>0</v>
      </c>
      <c r="BP160" s="17">
        <f t="shared" si="114"/>
        <v>0</v>
      </c>
      <c r="BQ160" s="17">
        <f t="shared" si="115"/>
        <v>0</v>
      </c>
      <c r="BR160" s="17">
        <f t="shared" si="116"/>
        <v>0</v>
      </c>
      <c r="BS160" s="17">
        <f t="shared" si="117"/>
        <v>0</v>
      </c>
      <c r="BT160" s="17">
        <f t="shared" si="118"/>
        <v>0</v>
      </c>
      <c r="BU160" s="17">
        <f t="shared" si="119"/>
        <v>0</v>
      </c>
      <c r="BV160" s="17">
        <f t="shared" si="120"/>
        <v>0</v>
      </c>
      <c r="BW160" s="17">
        <f t="shared" si="121"/>
        <v>0</v>
      </c>
      <c r="BX160" s="17">
        <f t="shared" si="122"/>
        <v>0</v>
      </c>
      <c r="BY160" s="17">
        <f t="shared" si="123"/>
        <v>0</v>
      </c>
      <c r="BZ160" s="17">
        <f t="shared" si="134"/>
        <v>0</v>
      </c>
      <c r="CA160" s="17">
        <f t="shared" si="135"/>
        <v>0</v>
      </c>
      <c r="CB160" s="17">
        <f t="shared" si="136"/>
        <v>0</v>
      </c>
      <c r="CC160" s="17">
        <f t="shared" si="137"/>
        <v>0</v>
      </c>
      <c r="CD160" s="17">
        <f t="shared" si="138"/>
        <v>0</v>
      </c>
      <c r="CE160" s="17">
        <f t="shared" si="139"/>
        <v>0</v>
      </c>
      <c r="CF160" s="17">
        <f t="shared" si="140"/>
        <v>0</v>
      </c>
      <c r="CG160" s="17">
        <f t="shared" si="141"/>
        <v>0</v>
      </c>
      <c r="CH160" s="17">
        <f t="shared" si="142"/>
        <v>0</v>
      </c>
      <c r="CI160" s="17">
        <f t="shared" si="143"/>
        <v>0</v>
      </c>
      <c r="CJ160" s="17">
        <f t="shared" si="144"/>
        <v>0</v>
      </c>
      <c r="CK160" s="17">
        <f t="shared" si="145"/>
        <v>0</v>
      </c>
      <c r="CL160" s="17">
        <f t="shared" si="146"/>
        <v>0</v>
      </c>
      <c r="CM160" s="14">
        <f t="shared" si="147"/>
        <v>0</v>
      </c>
      <c r="CN160" s="17">
        <f t="shared" si="148"/>
        <v>0</v>
      </c>
      <c r="CO160" s="14">
        <f t="shared" si="149"/>
        <v>0</v>
      </c>
      <c r="CP160" s="17">
        <f t="shared" si="150"/>
        <v>0</v>
      </c>
      <c r="CQ160" s="14">
        <f t="shared" si="124"/>
        <v>0</v>
      </c>
      <c r="CR160" s="14">
        <v>11</v>
      </c>
      <c r="CS160" s="14">
        <v>188</v>
      </c>
      <c r="CT160" s="14">
        <v>42</v>
      </c>
      <c r="CU160" s="14">
        <v>96</v>
      </c>
    </row>
    <row r="161" spans="1:99" x14ac:dyDescent="0.3">
      <c r="A161" s="14">
        <v>2017</v>
      </c>
      <c r="B161" s="14" t="s">
        <v>29</v>
      </c>
      <c r="C161" s="14" t="s">
        <v>30</v>
      </c>
      <c r="D161" s="15">
        <v>423373</v>
      </c>
      <c r="E161" s="15">
        <v>11155593.000000002</v>
      </c>
      <c r="F161" s="15">
        <f t="shared" si="125"/>
        <v>26.349325535638791</v>
      </c>
      <c r="T161" s="14">
        <v>363</v>
      </c>
      <c r="Z161" s="14">
        <v>1073</v>
      </c>
      <c r="AB161" s="14">
        <f t="shared" si="126"/>
        <v>0</v>
      </c>
      <c r="AG161" s="14">
        <v>2946</v>
      </c>
      <c r="AH161" s="14">
        <v>9003</v>
      </c>
      <c r="AM161" s="14">
        <f t="shared" si="127"/>
        <v>0</v>
      </c>
      <c r="AN161" s="14">
        <v>93</v>
      </c>
      <c r="AQ161" s="14">
        <f t="shared" si="128"/>
        <v>0</v>
      </c>
      <c r="AT161" s="14">
        <f t="shared" si="129"/>
        <v>0</v>
      </c>
      <c r="AU161" s="16">
        <v>0</v>
      </c>
      <c r="AV161" s="16">
        <v>18142</v>
      </c>
      <c r="AW161" s="16">
        <v>320</v>
      </c>
      <c r="AX161" s="16">
        <v>0</v>
      </c>
      <c r="AY161" s="18">
        <f t="shared" si="130"/>
        <v>0</v>
      </c>
      <c r="AZ161" s="17">
        <f t="shared" si="131"/>
        <v>16.262694417051605</v>
      </c>
      <c r="BA161" s="17">
        <f t="shared" si="132"/>
        <v>0.2868516268028064</v>
      </c>
      <c r="BB161" s="17">
        <f t="shared" si="133"/>
        <v>0</v>
      </c>
      <c r="BC161" s="17">
        <f t="shared" si="101"/>
        <v>0</v>
      </c>
      <c r="BD161" s="17">
        <f t="shared" si="102"/>
        <v>0</v>
      </c>
      <c r="BE161" s="17">
        <f t="shared" si="103"/>
        <v>0</v>
      </c>
      <c r="BF161" s="17">
        <f t="shared" si="104"/>
        <v>0</v>
      </c>
      <c r="BG161" s="17">
        <f t="shared" si="105"/>
        <v>0</v>
      </c>
      <c r="BH161" s="17">
        <f t="shared" si="106"/>
        <v>0</v>
      </c>
      <c r="BI161" s="17">
        <f t="shared" si="107"/>
        <v>0</v>
      </c>
      <c r="BJ161" s="17">
        <f t="shared" si="108"/>
        <v>0</v>
      </c>
      <c r="BK161" s="17">
        <f t="shared" si="109"/>
        <v>0</v>
      </c>
      <c r="BL161" s="17">
        <f t="shared" si="110"/>
        <v>0</v>
      </c>
      <c r="BM161" s="17">
        <f t="shared" si="111"/>
        <v>0</v>
      </c>
      <c r="BN161" s="17">
        <f t="shared" si="112"/>
        <v>0</v>
      </c>
      <c r="BO161" s="17">
        <f t="shared" si="113"/>
        <v>0</v>
      </c>
      <c r="BP161" s="17">
        <f t="shared" si="114"/>
        <v>0.32539731415443351</v>
      </c>
      <c r="BQ161" s="17">
        <f t="shared" si="115"/>
        <v>0</v>
      </c>
      <c r="BR161" s="17">
        <f t="shared" si="116"/>
        <v>0</v>
      </c>
      <c r="BS161" s="17">
        <f t="shared" si="117"/>
        <v>0</v>
      </c>
      <c r="BT161" s="17">
        <f t="shared" si="118"/>
        <v>0</v>
      </c>
      <c r="BU161" s="17">
        <f t="shared" si="119"/>
        <v>0</v>
      </c>
      <c r="BV161" s="17">
        <f t="shared" si="120"/>
        <v>0.96184936112316022</v>
      </c>
      <c r="BW161" s="17">
        <f t="shared" si="121"/>
        <v>0</v>
      </c>
      <c r="BX161" s="17">
        <f t="shared" si="122"/>
        <v>0</v>
      </c>
      <c r="BY161" s="17">
        <f t="shared" si="123"/>
        <v>0</v>
      </c>
      <c r="BZ161" s="17">
        <f t="shared" si="134"/>
        <v>0</v>
      </c>
      <c r="CA161" s="17">
        <f t="shared" si="135"/>
        <v>0</v>
      </c>
      <c r="CB161" s="17">
        <f t="shared" si="136"/>
        <v>2.6408277892533363</v>
      </c>
      <c r="CC161" s="17">
        <f t="shared" si="137"/>
        <v>8.0703912378302061</v>
      </c>
      <c r="CD161" s="17">
        <f t="shared" si="138"/>
        <v>0</v>
      </c>
      <c r="CE161" s="17">
        <f t="shared" si="139"/>
        <v>0</v>
      </c>
      <c r="CF161" s="17">
        <f t="shared" si="140"/>
        <v>0</v>
      </c>
      <c r="CG161" s="17">
        <f t="shared" si="141"/>
        <v>0</v>
      </c>
      <c r="CH161" s="17">
        <f t="shared" si="142"/>
        <v>8.3366254039565615E-2</v>
      </c>
      <c r="CI161" s="17">
        <f t="shared" si="143"/>
        <v>0</v>
      </c>
      <c r="CJ161" s="17">
        <f t="shared" si="144"/>
        <v>0</v>
      </c>
      <c r="CK161" s="17">
        <f t="shared" si="145"/>
        <v>0</v>
      </c>
      <c r="CL161" s="17">
        <f t="shared" si="146"/>
        <v>0</v>
      </c>
      <c r="CM161" s="14">
        <f t="shared" si="147"/>
        <v>18462</v>
      </c>
      <c r="CN161" s="17">
        <f t="shared" si="148"/>
        <v>16.549546043854413</v>
      </c>
      <c r="CO161" s="14">
        <f t="shared" si="149"/>
        <v>18462</v>
      </c>
      <c r="CP161" s="17">
        <f t="shared" si="150"/>
        <v>16.549546043854413</v>
      </c>
      <c r="CQ161" s="14">
        <f t="shared" si="124"/>
        <v>31940</v>
      </c>
      <c r="CR161" s="14">
        <v>373</v>
      </c>
      <c r="CS161" s="14">
        <v>944</v>
      </c>
      <c r="CT161" s="14">
        <v>0</v>
      </c>
      <c r="CU161" s="14">
        <v>0</v>
      </c>
    </row>
    <row r="162" spans="1:99" x14ac:dyDescent="0.3">
      <c r="A162" s="14">
        <v>2018</v>
      </c>
      <c r="B162" s="14" t="s">
        <v>29</v>
      </c>
      <c r="C162" s="14" t="s">
        <v>30</v>
      </c>
      <c r="D162" s="15">
        <v>421562</v>
      </c>
      <c r="E162" s="15">
        <v>11493472.499999993</v>
      </c>
      <c r="F162" s="15">
        <f t="shared" si="125"/>
        <v>27.264014545903077</v>
      </c>
      <c r="G162" s="14">
        <v>14</v>
      </c>
      <c r="H162" s="14">
        <v>119</v>
      </c>
      <c r="M162" s="14">
        <v>11845</v>
      </c>
      <c r="Z162" s="14">
        <v>1071</v>
      </c>
      <c r="AB162" s="14">
        <f t="shared" si="126"/>
        <v>0</v>
      </c>
      <c r="AM162" s="14">
        <f t="shared" si="127"/>
        <v>0</v>
      </c>
      <c r="AQ162" s="14">
        <f t="shared" si="128"/>
        <v>0</v>
      </c>
      <c r="AT162" s="14">
        <f t="shared" si="129"/>
        <v>0</v>
      </c>
      <c r="AU162" s="16">
        <v>45</v>
      </c>
      <c r="AV162" s="16">
        <v>18312</v>
      </c>
      <c r="AW162" s="16">
        <v>0</v>
      </c>
      <c r="AX162" s="16">
        <v>0</v>
      </c>
      <c r="AY162" s="18">
        <f t="shared" si="130"/>
        <v>3.9152658171844955E-2</v>
      </c>
      <c r="AZ162" s="17">
        <f t="shared" si="131"/>
        <v>15.932521698729442</v>
      </c>
      <c r="BA162" s="17">
        <f t="shared" si="132"/>
        <v>0</v>
      </c>
      <c r="BB162" s="17">
        <f t="shared" si="133"/>
        <v>0</v>
      </c>
      <c r="BC162" s="17">
        <f t="shared" si="101"/>
        <v>1.2180826986796209E-2</v>
      </c>
      <c r="BD162" s="17">
        <f t="shared" si="102"/>
        <v>0.10353702938776778</v>
      </c>
      <c r="BE162" s="17">
        <f t="shared" si="103"/>
        <v>0</v>
      </c>
      <c r="BF162" s="17">
        <f t="shared" si="104"/>
        <v>0</v>
      </c>
      <c r="BG162" s="17">
        <f t="shared" si="105"/>
        <v>0</v>
      </c>
      <c r="BH162" s="17">
        <f t="shared" si="106"/>
        <v>0</v>
      </c>
      <c r="BI162" s="17">
        <f t="shared" si="107"/>
        <v>10.305849689900079</v>
      </c>
      <c r="BJ162" s="17">
        <f t="shared" si="108"/>
        <v>0</v>
      </c>
      <c r="BK162" s="17">
        <f t="shared" si="109"/>
        <v>0</v>
      </c>
      <c r="BL162" s="17">
        <f t="shared" si="110"/>
        <v>0</v>
      </c>
      <c r="BM162" s="17">
        <f t="shared" si="111"/>
        <v>0</v>
      </c>
      <c r="BN162" s="17">
        <f t="shared" si="112"/>
        <v>0</v>
      </c>
      <c r="BO162" s="17">
        <f t="shared" si="113"/>
        <v>0</v>
      </c>
      <c r="BP162" s="17">
        <f t="shared" si="114"/>
        <v>0</v>
      </c>
      <c r="BQ162" s="17">
        <f t="shared" si="115"/>
        <v>0</v>
      </c>
      <c r="BR162" s="17">
        <f t="shared" si="116"/>
        <v>0</v>
      </c>
      <c r="BS162" s="17">
        <f t="shared" si="117"/>
        <v>0</v>
      </c>
      <c r="BT162" s="17">
        <f t="shared" si="118"/>
        <v>0</v>
      </c>
      <c r="BU162" s="17">
        <f t="shared" si="119"/>
        <v>0</v>
      </c>
      <c r="BV162" s="17">
        <f t="shared" si="120"/>
        <v>0.93183326448991</v>
      </c>
      <c r="BW162" s="17">
        <f t="shared" si="121"/>
        <v>0</v>
      </c>
      <c r="BX162" s="17">
        <f t="shared" si="122"/>
        <v>0</v>
      </c>
      <c r="BY162" s="17">
        <f t="shared" si="123"/>
        <v>0</v>
      </c>
      <c r="BZ162" s="17">
        <f t="shared" si="134"/>
        <v>0</v>
      </c>
      <c r="CA162" s="17">
        <f t="shared" si="135"/>
        <v>0</v>
      </c>
      <c r="CB162" s="17">
        <f t="shared" si="136"/>
        <v>0</v>
      </c>
      <c r="CC162" s="17">
        <f t="shared" si="137"/>
        <v>0</v>
      </c>
      <c r="CD162" s="17">
        <f t="shared" si="138"/>
        <v>0</v>
      </c>
      <c r="CE162" s="17">
        <f t="shared" si="139"/>
        <v>0</v>
      </c>
      <c r="CF162" s="17">
        <f t="shared" si="140"/>
        <v>0</v>
      </c>
      <c r="CG162" s="17">
        <f t="shared" si="141"/>
        <v>0</v>
      </c>
      <c r="CH162" s="17">
        <f t="shared" si="142"/>
        <v>0</v>
      </c>
      <c r="CI162" s="17">
        <f t="shared" si="143"/>
        <v>0</v>
      </c>
      <c r="CJ162" s="17">
        <f t="shared" si="144"/>
        <v>0</v>
      </c>
      <c r="CK162" s="17">
        <f t="shared" si="145"/>
        <v>0</v>
      </c>
      <c r="CL162" s="17">
        <f t="shared" si="146"/>
        <v>0</v>
      </c>
      <c r="CM162" s="14">
        <f t="shared" si="147"/>
        <v>18312</v>
      </c>
      <c r="CN162" s="17">
        <f t="shared" si="148"/>
        <v>15.932521698729442</v>
      </c>
      <c r="CO162" s="14">
        <f t="shared" si="149"/>
        <v>18357</v>
      </c>
      <c r="CP162" s="17">
        <f t="shared" si="150"/>
        <v>15.971674356901286</v>
      </c>
      <c r="CQ162" s="14">
        <f t="shared" si="124"/>
        <v>31406</v>
      </c>
      <c r="CR162" s="14">
        <v>0</v>
      </c>
      <c r="CS162" s="14">
        <v>0</v>
      </c>
      <c r="CT162" s="14">
        <v>0</v>
      </c>
      <c r="CU162" s="14">
        <v>0</v>
      </c>
    </row>
    <row r="163" spans="1:99" x14ac:dyDescent="0.3">
      <c r="A163" s="14">
        <v>2019</v>
      </c>
      <c r="B163" s="14" t="s">
        <v>29</v>
      </c>
      <c r="C163" s="14" t="s">
        <v>30</v>
      </c>
      <c r="D163" s="15">
        <v>425247.1</v>
      </c>
      <c r="E163" s="15">
        <v>11874838</v>
      </c>
      <c r="F163" s="15">
        <f t="shared" si="125"/>
        <v>27.924559626626497</v>
      </c>
      <c r="AB163" s="14">
        <f t="shared" si="126"/>
        <v>0</v>
      </c>
      <c r="AM163" s="14">
        <f t="shared" si="127"/>
        <v>0</v>
      </c>
      <c r="AQ163" s="14">
        <f t="shared" si="128"/>
        <v>0</v>
      </c>
      <c r="AT163" s="14">
        <f t="shared" si="129"/>
        <v>0</v>
      </c>
      <c r="AU163" s="16">
        <v>0</v>
      </c>
      <c r="AV163" s="16">
        <v>15036</v>
      </c>
      <c r="AW163" s="16">
        <v>248</v>
      </c>
      <c r="AX163" s="16">
        <v>0</v>
      </c>
      <c r="AY163" s="18">
        <f t="shared" si="130"/>
        <v>0</v>
      </c>
      <c r="AZ163" s="17">
        <f t="shared" si="131"/>
        <v>12.662067474099436</v>
      </c>
      <c r="BA163" s="17">
        <f t="shared" si="132"/>
        <v>0.20884495434800879</v>
      </c>
      <c r="BB163" s="17">
        <f t="shared" si="133"/>
        <v>0</v>
      </c>
      <c r="BC163" s="17">
        <f t="shared" si="101"/>
        <v>0</v>
      </c>
      <c r="BD163" s="17">
        <f t="shared" si="102"/>
        <v>0</v>
      </c>
      <c r="BE163" s="17">
        <f t="shared" si="103"/>
        <v>0</v>
      </c>
      <c r="BF163" s="17">
        <f t="shared" si="104"/>
        <v>0</v>
      </c>
      <c r="BG163" s="17">
        <f t="shared" si="105"/>
        <v>0</v>
      </c>
      <c r="BH163" s="17">
        <f t="shared" si="106"/>
        <v>0</v>
      </c>
      <c r="BI163" s="17">
        <f t="shared" si="107"/>
        <v>0</v>
      </c>
      <c r="BJ163" s="17">
        <f t="shared" si="108"/>
        <v>0</v>
      </c>
      <c r="BK163" s="17">
        <f t="shared" si="109"/>
        <v>0</v>
      </c>
      <c r="BL163" s="17">
        <f t="shared" si="110"/>
        <v>0</v>
      </c>
      <c r="BM163" s="17">
        <f t="shared" si="111"/>
        <v>0</v>
      </c>
      <c r="BN163" s="17">
        <f t="shared" si="112"/>
        <v>0</v>
      </c>
      <c r="BO163" s="17">
        <f t="shared" si="113"/>
        <v>0</v>
      </c>
      <c r="BP163" s="17">
        <f t="shared" si="114"/>
        <v>0</v>
      </c>
      <c r="BQ163" s="17">
        <f t="shared" si="115"/>
        <v>0</v>
      </c>
      <c r="BR163" s="17">
        <f t="shared" si="116"/>
        <v>0</v>
      </c>
      <c r="BS163" s="17">
        <f t="shared" si="117"/>
        <v>0</v>
      </c>
      <c r="BT163" s="17">
        <f t="shared" si="118"/>
        <v>0</v>
      </c>
      <c r="BU163" s="17">
        <f t="shared" si="119"/>
        <v>0</v>
      </c>
      <c r="BV163" s="17">
        <f t="shared" si="120"/>
        <v>0</v>
      </c>
      <c r="BW163" s="17">
        <f t="shared" si="121"/>
        <v>0</v>
      </c>
      <c r="BX163" s="17">
        <f t="shared" si="122"/>
        <v>0</v>
      </c>
      <c r="BY163" s="17">
        <f t="shared" si="123"/>
        <v>0</v>
      </c>
      <c r="BZ163" s="17">
        <f t="shared" si="134"/>
        <v>0</v>
      </c>
      <c r="CA163" s="17">
        <f t="shared" si="135"/>
        <v>0</v>
      </c>
      <c r="CB163" s="17">
        <f t="shared" si="136"/>
        <v>0</v>
      </c>
      <c r="CC163" s="17">
        <f t="shared" si="137"/>
        <v>0</v>
      </c>
      <c r="CD163" s="17">
        <f t="shared" si="138"/>
        <v>0</v>
      </c>
      <c r="CE163" s="17">
        <f t="shared" si="139"/>
        <v>0</v>
      </c>
      <c r="CF163" s="17">
        <f t="shared" si="140"/>
        <v>0</v>
      </c>
      <c r="CG163" s="17">
        <f t="shared" si="141"/>
        <v>0</v>
      </c>
      <c r="CH163" s="17">
        <f t="shared" si="142"/>
        <v>0</v>
      </c>
      <c r="CI163" s="17">
        <f t="shared" si="143"/>
        <v>0</v>
      </c>
      <c r="CJ163" s="17">
        <f t="shared" si="144"/>
        <v>0</v>
      </c>
      <c r="CK163" s="17">
        <f t="shared" si="145"/>
        <v>0</v>
      </c>
      <c r="CL163" s="17">
        <f t="shared" si="146"/>
        <v>0</v>
      </c>
      <c r="CM163" s="14">
        <f t="shared" si="147"/>
        <v>15284</v>
      </c>
      <c r="CN163" s="17">
        <f t="shared" si="148"/>
        <v>12.870912428447445</v>
      </c>
      <c r="CO163" s="14">
        <f t="shared" si="149"/>
        <v>15284</v>
      </c>
      <c r="CP163" s="17">
        <f t="shared" si="150"/>
        <v>12.870912428447445</v>
      </c>
      <c r="CQ163" s="14">
        <f t="shared" si="124"/>
        <v>15284</v>
      </c>
      <c r="CR163" s="14">
        <v>18</v>
      </c>
      <c r="CS163" s="14">
        <v>83</v>
      </c>
      <c r="CT163" s="14">
        <v>0</v>
      </c>
      <c r="CU163" s="14">
        <v>149</v>
      </c>
    </row>
    <row r="164" spans="1:99" x14ac:dyDescent="0.3">
      <c r="A164" s="14">
        <v>2020</v>
      </c>
      <c r="B164" s="14" t="s">
        <v>29</v>
      </c>
      <c r="C164" s="14" t="s">
        <v>30</v>
      </c>
      <c r="D164" s="15">
        <v>430785.2</v>
      </c>
      <c r="E164" s="15">
        <v>12220226.500000007</v>
      </c>
      <c r="F164" s="15">
        <f t="shared" si="125"/>
        <v>28.367331328931467</v>
      </c>
      <c r="M164" s="14">
        <v>11845</v>
      </c>
      <c r="AB164" s="14">
        <f t="shared" si="126"/>
        <v>0</v>
      </c>
      <c r="AM164" s="14">
        <f t="shared" si="127"/>
        <v>0</v>
      </c>
      <c r="AQ164" s="14">
        <f t="shared" si="128"/>
        <v>0</v>
      </c>
      <c r="AT164" s="14">
        <f t="shared" si="129"/>
        <v>0</v>
      </c>
      <c r="AU164" s="16">
        <v>1704</v>
      </c>
      <c r="AV164" s="16">
        <v>15426</v>
      </c>
      <c r="AW164" s="16">
        <v>0</v>
      </c>
      <c r="AX164" s="16">
        <v>0</v>
      </c>
      <c r="AY164" s="18">
        <f t="shared" si="130"/>
        <v>1.3944095062395112</v>
      </c>
      <c r="AZ164" s="17">
        <f t="shared" si="131"/>
        <v>12.623333945569659</v>
      </c>
      <c r="BA164" s="17">
        <f t="shared" si="132"/>
        <v>0</v>
      </c>
      <c r="BB164" s="17">
        <f t="shared" si="133"/>
        <v>0</v>
      </c>
      <c r="BC164" s="17">
        <f t="shared" si="101"/>
        <v>0</v>
      </c>
      <c r="BD164" s="17">
        <f t="shared" si="102"/>
        <v>0</v>
      </c>
      <c r="BE164" s="17">
        <f t="shared" si="103"/>
        <v>0</v>
      </c>
      <c r="BF164" s="17">
        <f t="shared" si="104"/>
        <v>0</v>
      </c>
      <c r="BG164" s="17">
        <f t="shared" si="105"/>
        <v>0</v>
      </c>
      <c r="BH164" s="17">
        <f t="shared" si="106"/>
        <v>0</v>
      </c>
      <c r="BI164" s="17">
        <f t="shared" si="107"/>
        <v>9.6929463623280565</v>
      </c>
      <c r="BJ164" s="17">
        <f t="shared" si="108"/>
        <v>0</v>
      </c>
      <c r="BK164" s="17">
        <f t="shared" si="109"/>
        <v>0</v>
      </c>
      <c r="BL164" s="17">
        <f t="shared" si="110"/>
        <v>0</v>
      </c>
      <c r="BM164" s="17">
        <f t="shared" si="111"/>
        <v>0</v>
      </c>
      <c r="BN164" s="17">
        <f t="shared" si="112"/>
        <v>0</v>
      </c>
      <c r="BO164" s="17">
        <f t="shared" si="113"/>
        <v>0</v>
      </c>
      <c r="BP164" s="17">
        <f t="shared" si="114"/>
        <v>0</v>
      </c>
      <c r="BQ164" s="17">
        <f t="shared" si="115"/>
        <v>0</v>
      </c>
      <c r="BR164" s="17">
        <f t="shared" si="116"/>
        <v>0</v>
      </c>
      <c r="BS164" s="17">
        <f t="shared" si="117"/>
        <v>0</v>
      </c>
      <c r="BT164" s="17">
        <f t="shared" si="118"/>
        <v>0</v>
      </c>
      <c r="BU164" s="17">
        <f t="shared" si="119"/>
        <v>0</v>
      </c>
      <c r="BV164" s="17">
        <f t="shared" si="120"/>
        <v>0</v>
      </c>
      <c r="BW164" s="17">
        <f t="shared" si="121"/>
        <v>0</v>
      </c>
      <c r="BX164" s="17">
        <f t="shared" si="122"/>
        <v>0</v>
      </c>
      <c r="BY164" s="17">
        <f t="shared" si="123"/>
        <v>0</v>
      </c>
      <c r="BZ164" s="17">
        <f t="shared" si="134"/>
        <v>0</v>
      </c>
      <c r="CA164" s="17">
        <f t="shared" si="135"/>
        <v>0</v>
      </c>
      <c r="CB164" s="17">
        <f t="shared" si="136"/>
        <v>0</v>
      </c>
      <c r="CC164" s="17">
        <f t="shared" si="137"/>
        <v>0</v>
      </c>
      <c r="CD164" s="17">
        <f t="shared" si="138"/>
        <v>0</v>
      </c>
      <c r="CE164" s="17">
        <f t="shared" si="139"/>
        <v>0</v>
      </c>
      <c r="CF164" s="17">
        <f t="shared" si="140"/>
        <v>0</v>
      </c>
      <c r="CG164" s="17">
        <f t="shared" si="141"/>
        <v>0</v>
      </c>
      <c r="CH164" s="17">
        <f t="shared" si="142"/>
        <v>0</v>
      </c>
      <c r="CI164" s="17">
        <f t="shared" si="143"/>
        <v>0</v>
      </c>
      <c r="CJ164" s="17">
        <f t="shared" si="144"/>
        <v>0</v>
      </c>
      <c r="CK164" s="17">
        <f t="shared" si="145"/>
        <v>0</v>
      </c>
      <c r="CL164" s="17">
        <f t="shared" si="146"/>
        <v>0</v>
      </c>
      <c r="CM164" s="14">
        <f t="shared" si="147"/>
        <v>15426</v>
      </c>
      <c r="CN164" s="17">
        <f t="shared" si="148"/>
        <v>12.623333945569659</v>
      </c>
      <c r="CO164" s="14">
        <f t="shared" si="149"/>
        <v>17130</v>
      </c>
      <c r="CP164" s="17">
        <f t="shared" si="150"/>
        <v>14.017743451809171</v>
      </c>
      <c r="CQ164" s="14">
        <f t="shared" si="124"/>
        <v>28975</v>
      </c>
      <c r="CR164" s="14">
        <v>0</v>
      </c>
      <c r="CS164" s="14">
        <v>1138</v>
      </c>
      <c r="CT164" s="14">
        <v>0</v>
      </c>
      <c r="CU164" s="14">
        <v>0</v>
      </c>
    </row>
    <row r="165" spans="1:99" x14ac:dyDescent="0.3">
      <c r="A165" s="14">
        <v>2021</v>
      </c>
      <c r="B165" s="14" t="s">
        <v>29</v>
      </c>
      <c r="C165" s="14" t="s">
        <v>30</v>
      </c>
      <c r="D165" s="15">
        <v>434393</v>
      </c>
      <c r="E165" s="15">
        <v>12551212.999999998</v>
      </c>
      <c r="F165" s="15">
        <f t="shared" si="125"/>
        <v>28.89368152801725</v>
      </c>
      <c r="H165" s="14">
        <v>99</v>
      </c>
      <c r="I165" s="14">
        <v>1750</v>
      </c>
      <c r="K165" s="14">
        <v>5</v>
      </c>
      <c r="U165" s="14">
        <v>1352</v>
      </c>
      <c r="V165" s="14">
        <v>81</v>
      </c>
      <c r="Y165" s="14">
        <v>729</v>
      </c>
      <c r="AB165" s="14">
        <f t="shared" si="126"/>
        <v>0</v>
      </c>
      <c r="AE165" s="14">
        <v>7</v>
      </c>
      <c r="AG165" s="14">
        <v>7805</v>
      </c>
      <c r="AJ165" s="14">
        <v>6</v>
      </c>
      <c r="AM165" s="14">
        <f t="shared" si="127"/>
        <v>0</v>
      </c>
      <c r="AN165" s="14">
        <v>15</v>
      </c>
      <c r="AQ165" s="14">
        <f t="shared" si="128"/>
        <v>0</v>
      </c>
      <c r="AT165" s="14">
        <f t="shared" si="129"/>
        <v>0</v>
      </c>
      <c r="AU165" s="16">
        <v>1816</v>
      </c>
      <c r="AV165" s="16">
        <v>18744</v>
      </c>
      <c r="AW165" s="16">
        <v>286</v>
      </c>
      <c r="AX165" s="16">
        <v>0</v>
      </c>
      <c r="AY165" s="18">
        <f t="shared" si="130"/>
        <v>1.4468721071023178</v>
      </c>
      <c r="AZ165" s="17">
        <f t="shared" si="131"/>
        <v>14.934014744232293</v>
      </c>
      <c r="BA165" s="17">
        <f t="shared" si="132"/>
        <v>0.22786642215377911</v>
      </c>
      <c r="BB165" s="17">
        <f t="shared" si="133"/>
        <v>0</v>
      </c>
      <c r="BC165" s="17">
        <f t="shared" si="101"/>
        <v>0</v>
      </c>
      <c r="BD165" s="17">
        <f t="shared" si="102"/>
        <v>7.8876838437846611E-2</v>
      </c>
      <c r="BE165" s="17">
        <f t="shared" si="103"/>
        <v>1.3942875481437533</v>
      </c>
      <c r="BF165" s="17">
        <f t="shared" si="104"/>
        <v>0</v>
      </c>
      <c r="BG165" s="17">
        <f t="shared" si="105"/>
        <v>3.9836787089821525E-3</v>
      </c>
      <c r="BH165" s="17">
        <f t="shared" si="106"/>
        <v>0</v>
      </c>
      <c r="BI165" s="17">
        <f t="shared" si="107"/>
        <v>0</v>
      </c>
      <c r="BJ165" s="17">
        <f t="shared" si="108"/>
        <v>0</v>
      </c>
      <c r="BK165" s="17">
        <f t="shared" si="109"/>
        <v>0</v>
      </c>
      <c r="BL165" s="17">
        <f t="shared" si="110"/>
        <v>0</v>
      </c>
      <c r="BM165" s="17">
        <f t="shared" si="111"/>
        <v>0</v>
      </c>
      <c r="BN165" s="17">
        <f t="shared" si="112"/>
        <v>0</v>
      </c>
      <c r="BO165" s="17">
        <f t="shared" si="113"/>
        <v>0</v>
      </c>
      <c r="BP165" s="17">
        <f t="shared" si="114"/>
        <v>0</v>
      </c>
      <c r="BQ165" s="17">
        <f t="shared" si="115"/>
        <v>1.0771867229087739</v>
      </c>
      <c r="BR165" s="17">
        <f t="shared" si="116"/>
        <v>6.4535595085510863E-2</v>
      </c>
      <c r="BS165" s="17">
        <f t="shared" si="117"/>
        <v>0</v>
      </c>
      <c r="BT165" s="17">
        <f t="shared" si="118"/>
        <v>0</v>
      </c>
      <c r="BU165" s="17">
        <f t="shared" si="119"/>
        <v>0.58082035576959778</v>
      </c>
      <c r="BV165" s="17">
        <f t="shared" si="120"/>
        <v>0</v>
      </c>
      <c r="BW165" s="17">
        <f t="shared" si="121"/>
        <v>0</v>
      </c>
      <c r="BX165" s="17">
        <f t="shared" si="122"/>
        <v>0</v>
      </c>
      <c r="BY165" s="17">
        <f t="shared" si="123"/>
        <v>0</v>
      </c>
      <c r="BZ165" s="17">
        <f t="shared" si="134"/>
        <v>5.5771501925750136E-3</v>
      </c>
      <c r="CA165" s="17">
        <f t="shared" si="135"/>
        <v>0</v>
      </c>
      <c r="CB165" s="17">
        <f t="shared" si="136"/>
        <v>6.2185224647211399</v>
      </c>
      <c r="CC165" s="17">
        <f t="shared" si="137"/>
        <v>0</v>
      </c>
      <c r="CD165" s="17">
        <f t="shared" si="138"/>
        <v>0</v>
      </c>
      <c r="CE165" s="17">
        <f t="shared" si="139"/>
        <v>4.7804144507785831E-3</v>
      </c>
      <c r="CF165" s="17">
        <f t="shared" si="140"/>
        <v>0</v>
      </c>
      <c r="CG165" s="17">
        <f t="shared" si="141"/>
        <v>0</v>
      </c>
      <c r="CH165" s="17">
        <f t="shared" si="142"/>
        <v>1.1951036126946457E-2</v>
      </c>
      <c r="CI165" s="17">
        <f t="shared" si="143"/>
        <v>0</v>
      </c>
      <c r="CJ165" s="17">
        <f t="shared" si="144"/>
        <v>0</v>
      </c>
      <c r="CK165" s="17">
        <f t="shared" si="145"/>
        <v>0</v>
      </c>
      <c r="CL165" s="17">
        <f t="shared" si="146"/>
        <v>0</v>
      </c>
      <c r="CM165" s="14">
        <f t="shared" si="147"/>
        <v>19030</v>
      </c>
      <c r="CN165" s="17">
        <f t="shared" si="148"/>
        <v>15.161881166386072</v>
      </c>
      <c r="CO165" s="14">
        <f t="shared" si="149"/>
        <v>20846</v>
      </c>
      <c r="CP165" s="17">
        <f t="shared" si="150"/>
        <v>16.608753273488389</v>
      </c>
      <c r="CQ165" s="14">
        <f t="shared" si="124"/>
        <v>32695</v>
      </c>
      <c r="CR165" s="14">
        <v>0</v>
      </c>
      <c r="CS165" s="14">
        <v>0</v>
      </c>
      <c r="CT165" s="14">
        <v>0</v>
      </c>
      <c r="CU165" s="14">
        <v>0</v>
      </c>
    </row>
    <row r="166" spans="1:99" x14ac:dyDescent="0.3">
      <c r="A166" s="14">
        <v>2022</v>
      </c>
      <c r="B166" s="14" t="s">
        <v>29</v>
      </c>
      <c r="C166" s="14" t="s">
        <v>30</v>
      </c>
      <c r="D166" s="15">
        <v>437298.7</v>
      </c>
      <c r="E166" s="15">
        <v>12889576.499999994</v>
      </c>
      <c r="F166" s="15">
        <f t="shared" si="125"/>
        <v>29.475451219040885</v>
      </c>
      <c r="AB166" s="14">
        <f t="shared" si="126"/>
        <v>0</v>
      </c>
      <c r="AM166" s="14">
        <f t="shared" si="127"/>
        <v>0</v>
      </c>
      <c r="AQ166" s="14">
        <f t="shared" si="128"/>
        <v>0</v>
      </c>
      <c r="AT166" s="14">
        <f t="shared" si="129"/>
        <v>0</v>
      </c>
      <c r="AU166" s="16">
        <v>0</v>
      </c>
      <c r="AV166" s="16">
        <v>0</v>
      </c>
      <c r="AW166" s="16">
        <v>0</v>
      </c>
      <c r="AX166" s="16">
        <v>0</v>
      </c>
      <c r="AY166" s="18">
        <f t="shared" si="130"/>
        <v>0</v>
      </c>
      <c r="AZ166" s="17">
        <f t="shared" si="131"/>
        <v>0</v>
      </c>
      <c r="BA166" s="17">
        <f t="shared" si="132"/>
        <v>0</v>
      </c>
      <c r="BB166" s="17">
        <f t="shared" si="133"/>
        <v>0</v>
      </c>
      <c r="BC166" s="17">
        <f t="shared" si="101"/>
        <v>0</v>
      </c>
      <c r="BD166" s="17">
        <f t="shared" si="102"/>
        <v>0</v>
      </c>
      <c r="BE166" s="17">
        <f t="shared" si="103"/>
        <v>0</v>
      </c>
      <c r="BF166" s="17">
        <f t="shared" si="104"/>
        <v>0</v>
      </c>
      <c r="BG166" s="17">
        <f t="shared" si="105"/>
        <v>0</v>
      </c>
      <c r="BH166" s="17">
        <f t="shared" si="106"/>
        <v>0</v>
      </c>
      <c r="BI166" s="17">
        <f t="shared" si="107"/>
        <v>0</v>
      </c>
      <c r="BJ166" s="17">
        <f t="shared" si="108"/>
        <v>0</v>
      </c>
      <c r="BK166" s="17">
        <f t="shared" si="109"/>
        <v>0</v>
      </c>
      <c r="BL166" s="17">
        <f t="shared" si="110"/>
        <v>0</v>
      </c>
      <c r="BM166" s="17">
        <f t="shared" si="111"/>
        <v>0</v>
      </c>
      <c r="BN166" s="17">
        <f t="shared" si="112"/>
        <v>0</v>
      </c>
      <c r="BO166" s="17">
        <f t="shared" si="113"/>
        <v>0</v>
      </c>
      <c r="BP166" s="17">
        <f t="shared" si="114"/>
        <v>0</v>
      </c>
      <c r="BQ166" s="17">
        <f t="shared" si="115"/>
        <v>0</v>
      </c>
      <c r="BR166" s="17">
        <f t="shared" si="116"/>
        <v>0</v>
      </c>
      <c r="BS166" s="17">
        <f t="shared" si="117"/>
        <v>0</v>
      </c>
      <c r="BT166" s="17">
        <f t="shared" si="118"/>
        <v>0</v>
      </c>
      <c r="BU166" s="17">
        <f t="shared" si="119"/>
        <v>0</v>
      </c>
      <c r="BV166" s="17">
        <f t="shared" si="120"/>
        <v>0</v>
      </c>
      <c r="BW166" s="17">
        <f t="shared" si="121"/>
        <v>0</v>
      </c>
      <c r="BX166" s="17">
        <f t="shared" si="122"/>
        <v>0</v>
      </c>
      <c r="BY166" s="17">
        <f t="shared" si="123"/>
        <v>0</v>
      </c>
      <c r="BZ166" s="17">
        <f t="shared" si="134"/>
        <v>0</v>
      </c>
      <c r="CA166" s="17">
        <f t="shared" si="135"/>
        <v>0</v>
      </c>
      <c r="CB166" s="17">
        <f t="shared" si="136"/>
        <v>0</v>
      </c>
      <c r="CC166" s="17">
        <f t="shared" si="137"/>
        <v>0</v>
      </c>
      <c r="CD166" s="17">
        <f t="shared" si="138"/>
        <v>0</v>
      </c>
      <c r="CE166" s="17">
        <f t="shared" si="139"/>
        <v>0</v>
      </c>
      <c r="CF166" s="17">
        <f t="shared" si="140"/>
        <v>0</v>
      </c>
      <c r="CG166" s="17">
        <f t="shared" si="141"/>
        <v>0</v>
      </c>
      <c r="CH166" s="17">
        <f t="shared" si="142"/>
        <v>0</v>
      </c>
      <c r="CI166" s="17">
        <f t="shared" si="143"/>
        <v>0</v>
      </c>
      <c r="CJ166" s="17">
        <f t="shared" si="144"/>
        <v>0</v>
      </c>
      <c r="CK166" s="17">
        <f t="shared" si="145"/>
        <v>0</v>
      </c>
      <c r="CL166" s="17">
        <f t="shared" si="146"/>
        <v>0</v>
      </c>
      <c r="CM166" s="14">
        <f t="shared" si="147"/>
        <v>0</v>
      </c>
      <c r="CN166" s="17">
        <f t="shared" si="148"/>
        <v>0</v>
      </c>
      <c r="CO166" s="14">
        <f t="shared" si="149"/>
        <v>0</v>
      </c>
      <c r="CP166" s="17">
        <f t="shared" si="150"/>
        <v>0</v>
      </c>
      <c r="CQ166" s="14">
        <f t="shared" si="124"/>
        <v>0</v>
      </c>
      <c r="CR166" s="14">
        <v>0</v>
      </c>
      <c r="CS166" s="14">
        <v>0</v>
      </c>
      <c r="CT166" s="14">
        <v>0</v>
      </c>
      <c r="CU166" s="14">
        <v>0</v>
      </c>
    </row>
    <row r="167" spans="1:99" x14ac:dyDescent="0.3">
      <c r="A167" s="14">
        <v>2012</v>
      </c>
      <c r="B167" s="14" t="s">
        <v>37</v>
      </c>
      <c r="C167" s="14" t="s">
        <v>38</v>
      </c>
      <c r="D167" s="15">
        <v>808861.1</v>
      </c>
      <c r="E167" s="15">
        <v>22010711.499999996</v>
      </c>
      <c r="F167" s="15">
        <f t="shared" si="125"/>
        <v>27.211979287914819</v>
      </c>
      <c r="AB167" s="14">
        <f t="shared" si="126"/>
        <v>0</v>
      </c>
      <c r="AM167" s="14">
        <f t="shared" si="127"/>
        <v>0</v>
      </c>
      <c r="AQ167" s="14">
        <f t="shared" si="128"/>
        <v>0</v>
      </c>
      <c r="AT167" s="14">
        <f t="shared" si="129"/>
        <v>0</v>
      </c>
      <c r="AU167" s="16">
        <v>0</v>
      </c>
      <c r="AV167" s="16">
        <v>0</v>
      </c>
      <c r="AW167" s="16">
        <v>0</v>
      </c>
      <c r="AX167" s="16">
        <v>0</v>
      </c>
      <c r="AY167" s="18">
        <f t="shared" si="130"/>
        <v>0</v>
      </c>
      <c r="AZ167" s="17">
        <f t="shared" si="131"/>
        <v>0</v>
      </c>
      <c r="BA167" s="17">
        <f t="shared" si="132"/>
        <v>0</v>
      </c>
      <c r="BB167" s="17">
        <f t="shared" si="133"/>
        <v>0</v>
      </c>
      <c r="BC167" s="17">
        <f t="shared" si="101"/>
        <v>0</v>
      </c>
      <c r="BD167" s="17">
        <f t="shared" si="102"/>
        <v>0</v>
      </c>
      <c r="BE167" s="17">
        <f t="shared" si="103"/>
        <v>0</v>
      </c>
      <c r="BF167" s="17">
        <f t="shared" si="104"/>
        <v>0</v>
      </c>
      <c r="BG167" s="17">
        <f t="shared" si="105"/>
        <v>0</v>
      </c>
      <c r="BH167" s="17">
        <f t="shared" si="106"/>
        <v>0</v>
      </c>
      <c r="BI167" s="17">
        <f t="shared" si="107"/>
        <v>0</v>
      </c>
      <c r="BJ167" s="17">
        <f t="shared" si="108"/>
        <v>0</v>
      </c>
      <c r="BK167" s="17">
        <f t="shared" si="109"/>
        <v>0</v>
      </c>
      <c r="BL167" s="17">
        <f t="shared" si="110"/>
        <v>0</v>
      </c>
      <c r="BM167" s="17">
        <f t="shared" si="111"/>
        <v>0</v>
      </c>
      <c r="BN167" s="17">
        <f t="shared" si="112"/>
        <v>0</v>
      </c>
      <c r="BO167" s="17">
        <f t="shared" si="113"/>
        <v>0</v>
      </c>
      <c r="BP167" s="17">
        <f t="shared" si="114"/>
        <v>0</v>
      </c>
      <c r="BQ167" s="17">
        <f t="shared" si="115"/>
        <v>0</v>
      </c>
      <c r="BR167" s="17">
        <f t="shared" si="116"/>
        <v>0</v>
      </c>
      <c r="BS167" s="17">
        <f t="shared" si="117"/>
        <v>0</v>
      </c>
      <c r="BT167" s="17">
        <f t="shared" si="118"/>
        <v>0</v>
      </c>
      <c r="BU167" s="17">
        <f t="shared" si="119"/>
        <v>0</v>
      </c>
      <c r="BV167" s="17">
        <f t="shared" si="120"/>
        <v>0</v>
      </c>
      <c r="BW167" s="17">
        <f t="shared" si="121"/>
        <v>0</v>
      </c>
      <c r="BX167" s="17">
        <f t="shared" si="122"/>
        <v>0</v>
      </c>
      <c r="BY167" s="17">
        <f t="shared" si="123"/>
        <v>0</v>
      </c>
      <c r="BZ167" s="17">
        <f t="shared" si="134"/>
        <v>0</v>
      </c>
      <c r="CA167" s="17">
        <f t="shared" si="135"/>
        <v>0</v>
      </c>
      <c r="CB167" s="17">
        <f t="shared" si="136"/>
        <v>0</v>
      </c>
      <c r="CC167" s="17">
        <f t="shared" si="137"/>
        <v>0</v>
      </c>
      <c r="CD167" s="17">
        <f t="shared" si="138"/>
        <v>0</v>
      </c>
      <c r="CE167" s="17">
        <f t="shared" si="139"/>
        <v>0</v>
      </c>
      <c r="CF167" s="17">
        <f t="shared" si="140"/>
        <v>0</v>
      </c>
      <c r="CG167" s="17">
        <f t="shared" si="141"/>
        <v>0</v>
      </c>
      <c r="CH167" s="17">
        <f t="shared" si="142"/>
        <v>0</v>
      </c>
      <c r="CI167" s="17">
        <f t="shared" si="143"/>
        <v>0</v>
      </c>
      <c r="CJ167" s="17">
        <f t="shared" si="144"/>
        <v>0</v>
      </c>
      <c r="CK167" s="17">
        <f t="shared" si="145"/>
        <v>0</v>
      </c>
      <c r="CL167" s="17">
        <f t="shared" si="146"/>
        <v>0</v>
      </c>
      <c r="CM167" s="14">
        <f t="shared" si="147"/>
        <v>0</v>
      </c>
      <c r="CN167" s="17">
        <f t="shared" si="148"/>
        <v>0</v>
      </c>
      <c r="CO167" s="14">
        <f t="shared" si="149"/>
        <v>0</v>
      </c>
      <c r="CP167" s="17">
        <f t="shared" si="150"/>
        <v>0</v>
      </c>
      <c r="CQ167" s="14">
        <f t="shared" si="124"/>
        <v>0</v>
      </c>
      <c r="CR167" s="14">
        <v>1764</v>
      </c>
      <c r="CS167" s="14">
        <v>0</v>
      </c>
      <c r="CT167" s="14">
        <v>0</v>
      </c>
      <c r="CU167" s="14">
        <v>0</v>
      </c>
    </row>
    <row r="168" spans="1:99" x14ac:dyDescent="0.3">
      <c r="A168" s="14">
        <v>2013</v>
      </c>
      <c r="B168" s="14" t="s">
        <v>37</v>
      </c>
      <c r="C168" s="14" t="s">
        <v>38</v>
      </c>
      <c r="D168" s="15">
        <v>812933</v>
      </c>
      <c r="E168" s="15">
        <v>22469267.5</v>
      </c>
      <c r="F168" s="15">
        <f t="shared" si="125"/>
        <v>27.63975321459456</v>
      </c>
      <c r="AB168" s="14">
        <f t="shared" si="126"/>
        <v>0</v>
      </c>
      <c r="AM168" s="14">
        <f t="shared" si="127"/>
        <v>0</v>
      </c>
      <c r="AQ168" s="14">
        <f t="shared" si="128"/>
        <v>0</v>
      </c>
      <c r="AT168" s="14">
        <f t="shared" si="129"/>
        <v>0</v>
      </c>
      <c r="AU168" s="16">
        <v>0</v>
      </c>
      <c r="AV168" s="16">
        <v>17560</v>
      </c>
      <c r="AW168" s="16">
        <v>7702</v>
      </c>
      <c r="AX168" s="16">
        <v>0</v>
      </c>
      <c r="AY168" s="18">
        <f t="shared" si="130"/>
        <v>0</v>
      </c>
      <c r="AZ168" s="17">
        <f t="shared" si="131"/>
        <v>7.8151190286910781</v>
      </c>
      <c r="BA168" s="17">
        <f t="shared" si="132"/>
        <v>3.4277930956138203</v>
      </c>
      <c r="BB168" s="17">
        <f t="shared" si="133"/>
        <v>0</v>
      </c>
      <c r="BC168" s="17">
        <f t="shared" si="101"/>
        <v>0</v>
      </c>
      <c r="BD168" s="17">
        <f t="shared" si="102"/>
        <v>0</v>
      </c>
      <c r="BE168" s="17">
        <f t="shared" si="103"/>
        <v>0</v>
      </c>
      <c r="BF168" s="17">
        <f t="shared" si="104"/>
        <v>0</v>
      </c>
      <c r="BG168" s="17">
        <f t="shared" si="105"/>
        <v>0</v>
      </c>
      <c r="BH168" s="17">
        <f t="shared" si="106"/>
        <v>0</v>
      </c>
      <c r="BI168" s="17">
        <f t="shared" si="107"/>
        <v>0</v>
      </c>
      <c r="BJ168" s="17">
        <f t="shared" si="108"/>
        <v>0</v>
      </c>
      <c r="BK168" s="17">
        <f t="shared" si="109"/>
        <v>0</v>
      </c>
      <c r="BL168" s="17">
        <f t="shared" si="110"/>
        <v>0</v>
      </c>
      <c r="BM168" s="17">
        <f t="shared" si="111"/>
        <v>0</v>
      </c>
      <c r="BN168" s="17">
        <f t="shared" si="112"/>
        <v>0</v>
      </c>
      <c r="BO168" s="17">
        <f t="shared" si="113"/>
        <v>0</v>
      </c>
      <c r="BP168" s="17">
        <f t="shared" si="114"/>
        <v>0</v>
      </c>
      <c r="BQ168" s="17">
        <f t="shared" si="115"/>
        <v>0</v>
      </c>
      <c r="BR168" s="17">
        <f t="shared" si="116"/>
        <v>0</v>
      </c>
      <c r="BS168" s="17">
        <f t="shared" si="117"/>
        <v>0</v>
      </c>
      <c r="BT168" s="17">
        <f t="shared" si="118"/>
        <v>0</v>
      </c>
      <c r="BU168" s="17">
        <f t="shared" si="119"/>
        <v>0</v>
      </c>
      <c r="BV168" s="17">
        <f t="shared" si="120"/>
        <v>0</v>
      </c>
      <c r="BW168" s="17">
        <f t="shared" si="121"/>
        <v>0</v>
      </c>
      <c r="BX168" s="17">
        <f t="shared" si="122"/>
        <v>0</v>
      </c>
      <c r="BY168" s="17">
        <f t="shared" si="123"/>
        <v>0</v>
      </c>
      <c r="BZ168" s="17">
        <f t="shared" si="134"/>
        <v>0</v>
      </c>
      <c r="CA168" s="17">
        <f t="shared" si="135"/>
        <v>0</v>
      </c>
      <c r="CB168" s="17">
        <f t="shared" si="136"/>
        <v>0</v>
      </c>
      <c r="CC168" s="17">
        <f t="shared" si="137"/>
        <v>0</v>
      </c>
      <c r="CD168" s="17">
        <f t="shared" si="138"/>
        <v>0</v>
      </c>
      <c r="CE168" s="17">
        <f t="shared" si="139"/>
        <v>0</v>
      </c>
      <c r="CF168" s="17">
        <f t="shared" si="140"/>
        <v>0</v>
      </c>
      <c r="CG168" s="17">
        <f t="shared" si="141"/>
        <v>0</v>
      </c>
      <c r="CH168" s="17">
        <f t="shared" si="142"/>
        <v>0</v>
      </c>
      <c r="CI168" s="17">
        <f t="shared" si="143"/>
        <v>0</v>
      </c>
      <c r="CJ168" s="17">
        <f t="shared" si="144"/>
        <v>0</v>
      </c>
      <c r="CK168" s="17">
        <f t="shared" si="145"/>
        <v>0</v>
      </c>
      <c r="CL168" s="17">
        <f t="shared" si="146"/>
        <v>0</v>
      </c>
      <c r="CM168" s="14">
        <f t="shared" si="147"/>
        <v>25262</v>
      </c>
      <c r="CN168" s="17">
        <f t="shared" si="148"/>
        <v>11.242912124304898</v>
      </c>
      <c r="CO168" s="14">
        <f t="shared" si="149"/>
        <v>25262</v>
      </c>
      <c r="CP168" s="17">
        <f t="shared" si="150"/>
        <v>11.242912124304898</v>
      </c>
      <c r="CQ168" s="14">
        <f t="shared" si="124"/>
        <v>25262</v>
      </c>
      <c r="CR168" s="14">
        <v>4</v>
      </c>
      <c r="CS168" s="14">
        <v>255</v>
      </c>
      <c r="CT168" s="14">
        <v>0</v>
      </c>
      <c r="CU168" s="14">
        <v>0</v>
      </c>
    </row>
    <row r="169" spans="1:99" x14ac:dyDescent="0.3">
      <c r="A169" s="14">
        <v>2014</v>
      </c>
      <c r="B169" s="14" t="s">
        <v>37</v>
      </c>
      <c r="C169" s="14" t="s">
        <v>38</v>
      </c>
      <c r="D169" s="15">
        <v>819320.4</v>
      </c>
      <c r="E169" s="15">
        <v>22995555.5</v>
      </c>
      <c r="F169" s="15">
        <f t="shared" si="125"/>
        <v>28.06662143405681</v>
      </c>
      <c r="G169" s="14">
        <v>490</v>
      </c>
      <c r="H169" s="14">
        <v>2430</v>
      </c>
      <c r="N169" s="14">
        <v>120</v>
      </c>
      <c r="O169" s="14">
        <v>190</v>
      </c>
      <c r="P169" s="14">
        <v>50</v>
      </c>
      <c r="T169" s="14">
        <v>790</v>
      </c>
      <c r="V169" s="14">
        <v>820</v>
      </c>
      <c r="Y169" s="14">
        <v>1600</v>
      </c>
      <c r="Z169" s="14">
        <v>2380</v>
      </c>
      <c r="AB169" s="14">
        <f t="shared" si="126"/>
        <v>190</v>
      </c>
      <c r="AE169" s="14">
        <v>70</v>
      </c>
      <c r="AF169" s="14">
        <v>70</v>
      </c>
      <c r="AJ169" s="14">
        <v>2310</v>
      </c>
      <c r="AK169" s="14">
        <v>60</v>
      </c>
      <c r="AM169" s="14">
        <f t="shared" si="127"/>
        <v>60</v>
      </c>
      <c r="AQ169" s="14">
        <f t="shared" si="128"/>
        <v>0</v>
      </c>
      <c r="AT169" s="14">
        <f t="shared" si="129"/>
        <v>0</v>
      </c>
      <c r="AU169" s="16">
        <v>11036</v>
      </c>
      <c r="AV169" s="16">
        <v>17736</v>
      </c>
      <c r="AW169" s="16">
        <v>10600</v>
      </c>
      <c r="AX169" s="16">
        <v>0</v>
      </c>
      <c r="AY169" s="18">
        <f t="shared" si="130"/>
        <v>4.7991882605314755</v>
      </c>
      <c r="AZ169" s="17">
        <f t="shared" si="131"/>
        <v>7.7127947615790369</v>
      </c>
      <c r="BA169" s="17">
        <f t="shared" si="132"/>
        <v>4.6095864046424104</v>
      </c>
      <c r="BB169" s="17">
        <f t="shared" si="133"/>
        <v>0</v>
      </c>
      <c r="BC169" s="17">
        <f t="shared" si="101"/>
        <v>0.21308465455422462</v>
      </c>
      <c r="BD169" s="17">
        <f t="shared" si="102"/>
        <v>1.0567259399321751</v>
      </c>
      <c r="BE169" s="17">
        <f t="shared" si="103"/>
        <v>0</v>
      </c>
      <c r="BF169" s="17">
        <f t="shared" si="104"/>
        <v>0</v>
      </c>
      <c r="BG169" s="17">
        <f t="shared" si="105"/>
        <v>0</v>
      </c>
      <c r="BH169" s="17">
        <f t="shared" si="106"/>
        <v>0</v>
      </c>
      <c r="BI169" s="17">
        <f t="shared" si="107"/>
        <v>0</v>
      </c>
      <c r="BJ169" s="17">
        <f t="shared" si="108"/>
        <v>5.218399703368766E-2</v>
      </c>
      <c r="BK169" s="17">
        <f t="shared" si="109"/>
        <v>8.2624661970005467E-2</v>
      </c>
      <c r="BL169" s="17">
        <f t="shared" si="110"/>
        <v>2.1743332097369859E-2</v>
      </c>
      <c r="BM169" s="17">
        <f t="shared" si="111"/>
        <v>0</v>
      </c>
      <c r="BN169" s="17">
        <f t="shared" si="112"/>
        <v>0</v>
      </c>
      <c r="BO169" s="17">
        <f t="shared" si="113"/>
        <v>0</v>
      </c>
      <c r="BP169" s="17">
        <f t="shared" si="114"/>
        <v>0.34354464713844379</v>
      </c>
      <c r="BQ169" s="17">
        <f t="shared" si="115"/>
        <v>0</v>
      </c>
      <c r="BR169" s="17">
        <f t="shared" si="116"/>
        <v>0.35659064639686566</v>
      </c>
      <c r="BS169" s="17">
        <f t="shared" si="117"/>
        <v>0</v>
      </c>
      <c r="BT169" s="17">
        <f t="shared" si="118"/>
        <v>0</v>
      </c>
      <c r="BU169" s="17">
        <f t="shared" si="119"/>
        <v>0.6957866271158355</v>
      </c>
      <c r="BV169" s="17">
        <f t="shared" si="120"/>
        <v>1.0349826078348052</v>
      </c>
      <c r="BW169" s="17">
        <f t="shared" si="121"/>
        <v>0</v>
      </c>
      <c r="BX169" s="17">
        <f t="shared" si="122"/>
        <v>0</v>
      </c>
      <c r="BY169" s="17">
        <f t="shared" si="123"/>
        <v>0</v>
      </c>
      <c r="BZ169" s="17">
        <f t="shared" si="134"/>
        <v>3.0440664936317804E-2</v>
      </c>
      <c r="CA169" s="17">
        <f t="shared" si="135"/>
        <v>3.0440664936317804E-2</v>
      </c>
      <c r="CB169" s="17">
        <f t="shared" si="136"/>
        <v>0</v>
      </c>
      <c r="CC169" s="17">
        <f t="shared" si="137"/>
        <v>0</v>
      </c>
      <c r="CD169" s="17">
        <f t="shared" si="138"/>
        <v>0</v>
      </c>
      <c r="CE169" s="17">
        <f t="shared" si="139"/>
        <v>1.0045419428984874</v>
      </c>
      <c r="CF169" s="17">
        <f t="shared" si="140"/>
        <v>2.609199851684383E-2</v>
      </c>
      <c r="CG169" s="17">
        <f t="shared" si="141"/>
        <v>0</v>
      </c>
      <c r="CH169" s="17">
        <f t="shared" si="142"/>
        <v>0</v>
      </c>
      <c r="CI169" s="17">
        <f t="shared" si="143"/>
        <v>0</v>
      </c>
      <c r="CJ169" s="17">
        <f t="shared" si="144"/>
        <v>0</v>
      </c>
      <c r="CK169" s="17">
        <f t="shared" si="145"/>
        <v>0</v>
      </c>
      <c r="CL169" s="17">
        <f t="shared" si="146"/>
        <v>0</v>
      </c>
      <c r="CM169" s="14">
        <f t="shared" si="147"/>
        <v>28336</v>
      </c>
      <c r="CN169" s="17">
        <f t="shared" si="148"/>
        <v>12.322381166221447</v>
      </c>
      <c r="CO169" s="14">
        <f t="shared" si="149"/>
        <v>39372</v>
      </c>
      <c r="CP169" s="17">
        <f t="shared" si="150"/>
        <v>17.12156942675292</v>
      </c>
      <c r="CQ169" s="14">
        <f t="shared" si="124"/>
        <v>51002</v>
      </c>
      <c r="CR169" s="14">
        <v>21</v>
      </c>
      <c r="CS169" s="14">
        <v>0</v>
      </c>
      <c r="CT169" s="14">
        <v>0</v>
      </c>
      <c r="CU169" s="14">
        <v>0</v>
      </c>
    </row>
    <row r="170" spans="1:99" x14ac:dyDescent="0.3">
      <c r="A170" s="14">
        <v>2015</v>
      </c>
      <c r="B170" s="14" t="s">
        <v>37</v>
      </c>
      <c r="C170" s="14" t="s">
        <v>38</v>
      </c>
      <c r="D170" s="15">
        <v>830910.6</v>
      </c>
      <c r="E170" s="15">
        <v>23596741</v>
      </c>
      <c r="F170" s="15">
        <f t="shared" si="125"/>
        <v>28.39865203308274</v>
      </c>
      <c r="AB170" s="14">
        <f t="shared" si="126"/>
        <v>0</v>
      </c>
      <c r="AM170" s="14">
        <f t="shared" si="127"/>
        <v>0</v>
      </c>
      <c r="AQ170" s="14">
        <f t="shared" si="128"/>
        <v>0</v>
      </c>
      <c r="AT170" s="14">
        <f t="shared" si="129"/>
        <v>0</v>
      </c>
      <c r="AU170" s="16">
        <v>0</v>
      </c>
      <c r="AV170" s="16">
        <v>21782</v>
      </c>
      <c r="AW170" s="16">
        <v>0</v>
      </c>
      <c r="AX170" s="16">
        <v>0</v>
      </c>
      <c r="AY170" s="18">
        <f t="shared" si="130"/>
        <v>0</v>
      </c>
      <c r="AZ170" s="17">
        <f t="shared" si="131"/>
        <v>9.2309357465931416</v>
      </c>
      <c r="BA170" s="17">
        <f t="shared" si="132"/>
        <v>0</v>
      </c>
      <c r="BB170" s="17">
        <f t="shared" si="133"/>
        <v>0</v>
      </c>
      <c r="BC170" s="17">
        <f t="shared" si="101"/>
        <v>0</v>
      </c>
      <c r="BD170" s="17">
        <f t="shared" si="102"/>
        <v>0</v>
      </c>
      <c r="BE170" s="17">
        <f t="shared" si="103"/>
        <v>0</v>
      </c>
      <c r="BF170" s="17">
        <f t="shared" si="104"/>
        <v>0</v>
      </c>
      <c r="BG170" s="17">
        <f t="shared" si="105"/>
        <v>0</v>
      </c>
      <c r="BH170" s="17">
        <f t="shared" si="106"/>
        <v>0</v>
      </c>
      <c r="BI170" s="17">
        <f t="shared" si="107"/>
        <v>0</v>
      </c>
      <c r="BJ170" s="17">
        <f t="shared" si="108"/>
        <v>0</v>
      </c>
      <c r="BK170" s="17">
        <f t="shared" si="109"/>
        <v>0</v>
      </c>
      <c r="BL170" s="17">
        <f t="shared" si="110"/>
        <v>0</v>
      </c>
      <c r="BM170" s="17">
        <f t="shared" si="111"/>
        <v>0</v>
      </c>
      <c r="BN170" s="17">
        <f t="shared" si="112"/>
        <v>0</v>
      </c>
      <c r="BO170" s="17">
        <f t="shared" si="113"/>
        <v>0</v>
      </c>
      <c r="BP170" s="17">
        <f t="shared" si="114"/>
        <v>0</v>
      </c>
      <c r="BQ170" s="17">
        <f t="shared" si="115"/>
        <v>0</v>
      </c>
      <c r="BR170" s="17">
        <f t="shared" si="116"/>
        <v>0</v>
      </c>
      <c r="BS170" s="17">
        <f t="shared" si="117"/>
        <v>0</v>
      </c>
      <c r="BT170" s="17">
        <f t="shared" si="118"/>
        <v>0</v>
      </c>
      <c r="BU170" s="17">
        <f t="shared" si="119"/>
        <v>0</v>
      </c>
      <c r="BV170" s="17">
        <f t="shared" si="120"/>
        <v>0</v>
      </c>
      <c r="BW170" s="17">
        <f t="shared" si="121"/>
        <v>0</v>
      </c>
      <c r="BX170" s="17">
        <f t="shared" si="122"/>
        <v>0</v>
      </c>
      <c r="BY170" s="17">
        <f t="shared" si="123"/>
        <v>0</v>
      </c>
      <c r="BZ170" s="17">
        <f t="shared" si="134"/>
        <v>0</v>
      </c>
      <c r="CA170" s="17">
        <f t="shared" si="135"/>
        <v>0</v>
      </c>
      <c r="CB170" s="17">
        <f t="shared" si="136"/>
        <v>0</v>
      </c>
      <c r="CC170" s="17">
        <f t="shared" si="137"/>
        <v>0</v>
      </c>
      <c r="CD170" s="17">
        <f t="shared" si="138"/>
        <v>0</v>
      </c>
      <c r="CE170" s="17">
        <f t="shared" si="139"/>
        <v>0</v>
      </c>
      <c r="CF170" s="17">
        <f t="shared" si="140"/>
        <v>0</v>
      </c>
      <c r="CG170" s="17">
        <f t="shared" si="141"/>
        <v>0</v>
      </c>
      <c r="CH170" s="17">
        <f t="shared" si="142"/>
        <v>0</v>
      </c>
      <c r="CI170" s="17">
        <f t="shared" si="143"/>
        <v>0</v>
      </c>
      <c r="CJ170" s="17">
        <f t="shared" si="144"/>
        <v>0</v>
      </c>
      <c r="CK170" s="17">
        <f t="shared" si="145"/>
        <v>0</v>
      </c>
      <c r="CL170" s="17">
        <f t="shared" si="146"/>
        <v>0</v>
      </c>
      <c r="CM170" s="14">
        <f t="shared" si="147"/>
        <v>21782</v>
      </c>
      <c r="CN170" s="17"/>
      <c r="CO170" s="14">
        <f t="shared" si="149"/>
        <v>21782</v>
      </c>
      <c r="CP170" s="17"/>
      <c r="CQ170" s="14">
        <f t="shared" si="124"/>
        <v>21782</v>
      </c>
      <c r="CR170" s="14">
        <v>0</v>
      </c>
      <c r="CS170" s="14">
        <v>0</v>
      </c>
      <c r="CT170" s="14">
        <v>0</v>
      </c>
      <c r="CU170" s="14">
        <v>0</v>
      </c>
    </row>
    <row r="171" spans="1:99" x14ac:dyDescent="0.3">
      <c r="A171" s="14">
        <v>2016</v>
      </c>
      <c r="B171" s="14" t="s">
        <v>37</v>
      </c>
      <c r="C171" s="14" t="s">
        <v>38</v>
      </c>
      <c r="D171" s="15">
        <v>846051</v>
      </c>
      <c r="E171" s="15">
        <v>24213621.500000015</v>
      </c>
      <c r="F171" s="15">
        <f t="shared" si="125"/>
        <v>28.619576715824476</v>
      </c>
      <c r="AB171" s="14">
        <f t="shared" si="126"/>
        <v>0</v>
      </c>
      <c r="AM171" s="14">
        <f t="shared" si="127"/>
        <v>0</v>
      </c>
      <c r="AQ171" s="14">
        <f t="shared" si="128"/>
        <v>0</v>
      </c>
      <c r="AT171" s="14">
        <f t="shared" si="129"/>
        <v>0</v>
      </c>
      <c r="AU171" s="16">
        <v>0</v>
      </c>
      <c r="AV171" s="16">
        <v>24264</v>
      </c>
      <c r="AW171" s="16">
        <v>0</v>
      </c>
      <c r="AX171" s="16">
        <v>0</v>
      </c>
      <c r="AY171" s="18">
        <f t="shared" si="130"/>
        <v>0</v>
      </c>
      <c r="AZ171" s="17">
        <f t="shared" si="131"/>
        <v>10.02080585095459</v>
      </c>
      <c r="BA171" s="17">
        <f t="shared" si="132"/>
        <v>0</v>
      </c>
      <c r="BB171" s="17">
        <f t="shared" si="133"/>
        <v>0</v>
      </c>
      <c r="BC171" s="17">
        <f t="shared" si="101"/>
        <v>0</v>
      </c>
      <c r="BD171" s="17">
        <f t="shared" si="102"/>
        <v>0</v>
      </c>
      <c r="BE171" s="17">
        <f t="shared" si="103"/>
        <v>0</v>
      </c>
      <c r="BF171" s="17">
        <f t="shared" si="104"/>
        <v>0</v>
      </c>
      <c r="BG171" s="17">
        <f t="shared" si="105"/>
        <v>0</v>
      </c>
      <c r="BH171" s="17">
        <f t="shared" si="106"/>
        <v>0</v>
      </c>
      <c r="BI171" s="17">
        <f t="shared" si="107"/>
        <v>0</v>
      </c>
      <c r="BJ171" s="17">
        <f t="shared" si="108"/>
        <v>0</v>
      </c>
      <c r="BK171" s="17">
        <f t="shared" si="109"/>
        <v>0</v>
      </c>
      <c r="BL171" s="17">
        <f t="shared" si="110"/>
        <v>0</v>
      </c>
      <c r="BM171" s="17">
        <f t="shared" si="111"/>
        <v>0</v>
      </c>
      <c r="BN171" s="17">
        <f t="shared" si="112"/>
        <v>0</v>
      </c>
      <c r="BO171" s="17">
        <f t="shared" si="113"/>
        <v>0</v>
      </c>
      <c r="BP171" s="17">
        <f t="shared" si="114"/>
        <v>0</v>
      </c>
      <c r="BQ171" s="17">
        <f t="shared" si="115"/>
        <v>0</v>
      </c>
      <c r="BR171" s="17">
        <f t="shared" si="116"/>
        <v>0</v>
      </c>
      <c r="BS171" s="17">
        <f t="shared" si="117"/>
        <v>0</v>
      </c>
      <c r="BT171" s="17">
        <f t="shared" si="118"/>
        <v>0</v>
      </c>
      <c r="BU171" s="17">
        <f t="shared" si="119"/>
        <v>0</v>
      </c>
      <c r="BV171" s="17">
        <f t="shared" si="120"/>
        <v>0</v>
      </c>
      <c r="BW171" s="17">
        <f t="shared" si="121"/>
        <v>0</v>
      </c>
      <c r="BX171" s="17">
        <f t="shared" si="122"/>
        <v>0</v>
      </c>
      <c r="BY171" s="17">
        <f t="shared" si="123"/>
        <v>0</v>
      </c>
      <c r="BZ171" s="17">
        <f t="shared" si="134"/>
        <v>0</v>
      </c>
      <c r="CA171" s="17">
        <f t="shared" si="135"/>
        <v>0</v>
      </c>
      <c r="CB171" s="17">
        <f t="shared" si="136"/>
        <v>0</v>
      </c>
      <c r="CC171" s="17">
        <f t="shared" si="137"/>
        <v>0</v>
      </c>
      <c r="CD171" s="17">
        <f t="shared" si="138"/>
        <v>0</v>
      </c>
      <c r="CE171" s="17">
        <f t="shared" si="139"/>
        <v>0</v>
      </c>
      <c r="CF171" s="17">
        <f t="shared" si="140"/>
        <v>0</v>
      </c>
      <c r="CG171" s="17">
        <f t="shared" si="141"/>
        <v>0</v>
      </c>
      <c r="CH171" s="17">
        <f t="shared" si="142"/>
        <v>0</v>
      </c>
      <c r="CI171" s="17">
        <f t="shared" si="143"/>
        <v>0</v>
      </c>
      <c r="CJ171" s="17">
        <f t="shared" si="144"/>
        <v>0</v>
      </c>
      <c r="CK171" s="17">
        <f t="shared" si="145"/>
        <v>0</v>
      </c>
      <c r="CL171" s="17">
        <f t="shared" si="146"/>
        <v>0</v>
      </c>
      <c r="CM171" s="14">
        <f t="shared" si="147"/>
        <v>24264</v>
      </c>
      <c r="CN171" s="17"/>
      <c r="CO171" s="14">
        <f t="shared" si="149"/>
        <v>24264</v>
      </c>
      <c r="CP171" s="17"/>
      <c r="CQ171" s="14">
        <f t="shared" si="124"/>
        <v>24264</v>
      </c>
      <c r="CR171" s="14">
        <v>0</v>
      </c>
      <c r="CS171" s="14">
        <v>0</v>
      </c>
      <c r="CT171" s="14">
        <v>0</v>
      </c>
      <c r="CU171" s="14">
        <v>0</v>
      </c>
    </row>
    <row r="172" spans="1:99" x14ac:dyDescent="0.3">
      <c r="A172" s="14">
        <v>2017</v>
      </c>
      <c r="B172" s="14" t="s">
        <v>37</v>
      </c>
      <c r="C172" s="14" t="s">
        <v>38</v>
      </c>
      <c r="D172" s="15">
        <v>863980</v>
      </c>
      <c r="E172" s="15">
        <v>24848015.5</v>
      </c>
      <c r="F172" s="15">
        <f t="shared" si="125"/>
        <v>28.759942938493946</v>
      </c>
      <c r="AB172" s="14">
        <f t="shared" si="126"/>
        <v>0</v>
      </c>
      <c r="AM172" s="14">
        <f t="shared" si="127"/>
        <v>0</v>
      </c>
      <c r="AQ172" s="14">
        <f t="shared" si="128"/>
        <v>0</v>
      </c>
      <c r="AT172" s="14">
        <f t="shared" si="129"/>
        <v>0</v>
      </c>
      <c r="AU172" s="16">
        <v>0</v>
      </c>
      <c r="AV172" s="16">
        <v>27166</v>
      </c>
      <c r="AW172" s="16">
        <v>0</v>
      </c>
      <c r="AX172" s="16">
        <v>0</v>
      </c>
      <c r="AY172" s="18">
        <f t="shared" si="130"/>
        <v>0</v>
      </c>
      <c r="AZ172" s="17">
        <f t="shared" si="131"/>
        <v>10.9328650410734</v>
      </c>
      <c r="BA172" s="17">
        <f t="shared" si="132"/>
        <v>0</v>
      </c>
      <c r="BB172" s="17">
        <f t="shared" si="133"/>
        <v>0</v>
      </c>
      <c r="BC172" s="17">
        <f t="shared" si="101"/>
        <v>0</v>
      </c>
      <c r="BD172" s="17">
        <f t="shared" si="102"/>
        <v>0</v>
      </c>
      <c r="BE172" s="17">
        <f t="shared" si="103"/>
        <v>0</v>
      </c>
      <c r="BF172" s="17">
        <f t="shared" si="104"/>
        <v>0</v>
      </c>
      <c r="BG172" s="17">
        <f t="shared" si="105"/>
        <v>0</v>
      </c>
      <c r="BH172" s="17">
        <f t="shared" si="106"/>
        <v>0</v>
      </c>
      <c r="BI172" s="17">
        <f t="shared" si="107"/>
        <v>0</v>
      </c>
      <c r="BJ172" s="17">
        <f t="shared" si="108"/>
        <v>0</v>
      </c>
      <c r="BK172" s="17">
        <f t="shared" si="109"/>
        <v>0</v>
      </c>
      <c r="BL172" s="17">
        <f t="shared" si="110"/>
        <v>0</v>
      </c>
      <c r="BM172" s="17">
        <f t="shared" si="111"/>
        <v>0</v>
      </c>
      <c r="BN172" s="17">
        <f t="shared" si="112"/>
        <v>0</v>
      </c>
      <c r="BO172" s="17">
        <f t="shared" si="113"/>
        <v>0</v>
      </c>
      <c r="BP172" s="17">
        <f t="shared" si="114"/>
        <v>0</v>
      </c>
      <c r="BQ172" s="17">
        <f t="shared" si="115"/>
        <v>0</v>
      </c>
      <c r="BR172" s="17">
        <f t="shared" si="116"/>
        <v>0</v>
      </c>
      <c r="BS172" s="17">
        <f t="shared" si="117"/>
        <v>0</v>
      </c>
      <c r="BT172" s="17">
        <f t="shared" si="118"/>
        <v>0</v>
      </c>
      <c r="BU172" s="17">
        <f t="shared" si="119"/>
        <v>0</v>
      </c>
      <c r="BV172" s="17">
        <f t="shared" si="120"/>
        <v>0</v>
      </c>
      <c r="BW172" s="17">
        <f t="shared" si="121"/>
        <v>0</v>
      </c>
      <c r="BX172" s="17">
        <f t="shared" si="122"/>
        <v>0</v>
      </c>
      <c r="BY172" s="17">
        <f t="shared" si="123"/>
        <v>0</v>
      </c>
      <c r="BZ172" s="17">
        <f t="shared" si="134"/>
        <v>0</v>
      </c>
      <c r="CA172" s="17">
        <f t="shared" si="135"/>
        <v>0</v>
      </c>
      <c r="CB172" s="17">
        <f t="shared" si="136"/>
        <v>0</v>
      </c>
      <c r="CC172" s="17">
        <f t="shared" si="137"/>
        <v>0</v>
      </c>
      <c r="CD172" s="17">
        <f t="shared" si="138"/>
        <v>0</v>
      </c>
      <c r="CE172" s="17">
        <f t="shared" si="139"/>
        <v>0</v>
      </c>
      <c r="CF172" s="17">
        <f t="shared" si="140"/>
        <v>0</v>
      </c>
      <c r="CG172" s="17">
        <f t="shared" si="141"/>
        <v>0</v>
      </c>
      <c r="CH172" s="17">
        <f t="shared" si="142"/>
        <v>0</v>
      </c>
      <c r="CI172" s="17">
        <f t="shared" si="143"/>
        <v>0</v>
      </c>
      <c r="CJ172" s="17">
        <f t="shared" si="144"/>
        <v>0</v>
      </c>
      <c r="CK172" s="17">
        <f t="shared" si="145"/>
        <v>0</v>
      </c>
      <c r="CL172" s="17">
        <f t="shared" si="146"/>
        <v>0</v>
      </c>
      <c r="CM172" s="14">
        <f t="shared" si="147"/>
        <v>27166</v>
      </c>
      <c r="CN172" s="17"/>
      <c r="CO172" s="14">
        <f t="shared" si="149"/>
        <v>27166</v>
      </c>
      <c r="CP172" s="17"/>
      <c r="CQ172" s="14">
        <f t="shared" si="124"/>
        <v>27166</v>
      </c>
      <c r="CR172" s="14">
        <v>351</v>
      </c>
      <c r="CS172" s="14">
        <v>0</v>
      </c>
      <c r="CT172" s="14">
        <v>0</v>
      </c>
      <c r="CU172" s="14">
        <v>0</v>
      </c>
    </row>
    <row r="173" spans="1:99" x14ac:dyDescent="0.3">
      <c r="A173" s="14">
        <v>2018</v>
      </c>
      <c r="B173" s="14" t="s">
        <v>37</v>
      </c>
      <c r="C173" s="14" t="s">
        <v>38</v>
      </c>
      <c r="D173" s="15">
        <v>875669</v>
      </c>
      <c r="E173" s="15">
        <v>25493988.499999996</v>
      </c>
      <c r="F173" s="15">
        <f t="shared" si="125"/>
        <v>29.113727333044789</v>
      </c>
      <c r="G173" s="14">
        <v>506</v>
      </c>
      <c r="H173" s="14">
        <v>2495</v>
      </c>
      <c r="M173" s="14">
        <v>14556</v>
      </c>
      <c r="AB173" s="14">
        <f t="shared" si="126"/>
        <v>0</v>
      </c>
      <c r="AM173" s="14">
        <f t="shared" si="127"/>
        <v>0</v>
      </c>
      <c r="AQ173" s="14">
        <f t="shared" si="128"/>
        <v>0</v>
      </c>
      <c r="AT173" s="14">
        <f t="shared" si="129"/>
        <v>0</v>
      </c>
      <c r="AU173" s="16">
        <v>11204</v>
      </c>
      <c r="AV173" s="16">
        <v>30326</v>
      </c>
      <c r="AW173" s="16">
        <v>0</v>
      </c>
      <c r="AX173" s="16">
        <v>0</v>
      </c>
      <c r="AY173" s="18">
        <f t="shared" si="130"/>
        <v>4.3947615336846964</v>
      </c>
      <c r="AZ173" s="17">
        <f t="shared" si="131"/>
        <v>11.895353290835605</v>
      </c>
      <c r="BA173" s="17">
        <f t="shared" si="132"/>
        <v>0</v>
      </c>
      <c r="BB173" s="17">
        <f t="shared" si="133"/>
        <v>0</v>
      </c>
      <c r="BC173" s="17">
        <f t="shared" si="101"/>
        <v>0.19847816280296826</v>
      </c>
      <c r="BD173" s="17">
        <f t="shared" si="102"/>
        <v>0.97866208733874671</v>
      </c>
      <c r="BE173" s="17">
        <f t="shared" si="103"/>
        <v>0</v>
      </c>
      <c r="BF173" s="17">
        <f t="shared" si="104"/>
        <v>0</v>
      </c>
      <c r="BG173" s="17">
        <f t="shared" si="105"/>
        <v>0</v>
      </c>
      <c r="BH173" s="17">
        <f t="shared" si="106"/>
        <v>0</v>
      </c>
      <c r="BI173" s="17">
        <f t="shared" si="107"/>
        <v>5.709581299920961</v>
      </c>
      <c r="BJ173" s="17">
        <f t="shared" si="108"/>
        <v>0</v>
      </c>
      <c r="BK173" s="17">
        <f t="shared" si="109"/>
        <v>0</v>
      </c>
      <c r="BL173" s="17">
        <f t="shared" si="110"/>
        <v>0</v>
      </c>
      <c r="BM173" s="17">
        <f t="shared" si="111"/>
        <v>0</v>
      </c>
      <c r="BN173" s="17">
        <f t="shared" si="112"/>
        <v>0</v>
      </c>
      <c r="BO173" s="17">
        <f t="shared" si="113"/>
        <v>0</v>
      </c>
      <c r="BP173" s="17">
        <f t="shared" si="114"/>
        <v>0</v>
      </c>
      <c r="BQ173" s="17">
        <f t="shared" si="115"/>
        <v>0</v>
      </c>
      <c r="BR173" s="17">
        <f t="shared" si="116"/>
        <v>0</v>
      </c>
      <c r="BS173" s="17">
        <f t="shared" si="117"/>
        <v>0</v>
      </c>
      <c r="BT173" s="17">
        <f t="shared" si="118"/>
        <v>0</v>
      </c>
      <c r="BU173" s="17">
        <f t="shared" si="119"/>
        <v>0</v>
      </c>
      <c r="BV173" s="17">
        <f t="shared" si="120"/>
        <v>0</v>
      </c>
      <c r="BW173" s="17">
        <f t="shared" si="121"/>
        <v>0</v>
      </c>
      <c r="BX173" s="17">
        <f t="shared" si="122"/>
        <v>0</v>
      </c>
      <c r="BY173" s="17">
        <f t="shared" si="123"/>
        <v>0</v>
      </c>
      <c r="BZ173" s="17">
        <f t="shared" si="134"/>
        <v>0</v>
      </c>
      <c r="CA173" s="17">
        <f t="shared" si="135"/>
        <v>0</v>
      </c>
      <c r="CB173" s="17">
        <f t="shared" si="136"/>
        <v>0</v>
      </c>
      <c r="CC173" s="17">
        <f t="shared" si="137"/>
        <v>0</v>
      </c>
      <c r="CD173" s="17">
        <f t="shared" si="138"/>
        <v>0</v>
      </c>
      <c r="CE173" s="17">
        <f t="shared" si="139"/>
        <v>0</v>
      </c>
      <c r="CF173" s="17">
        <f t="shared" si="140"/>
        <v>0</v>
      </c>
      <c r="CG173" s="17">
        <f t="shared" si="141"/>
        <v>0</v>
      </c>
      <c r="CH173" s="17">
        <f t="shared" si="142"/>
        <v>0</v>
      </c>
      <c r="CI173" s="17">
        <f t="shared" si="143"/>
        <v>0</v>
      </c>
      <c r="CJ173" s="17">
        <f t="shared" si="144"/>
        <v>0</v>
      </c>
      <c r="CK173" s="17">
        <f t="shared" si="145"/>
        <v>0</v>
      </c>
      <c r="CL173" s="17">
        <f t="shared" si="146"/>
        <v>0</v>
      </c>
      <c r="CM173" s="14">
        <f t="shared" si="147"/>
        <v>30326</v>
      </c>
      <c r="CN173" s="17">
        <f t="shared" si="148"/>
        <v>11.895353290835605</v>
      </c>
      <c r="CO173" s="14">
        <f t="shared" si="149"/>
        <v>41530</v>
      </c>
      <c r="CP173" s="17">
        <f t="shared" si="150"/>
        <v>16.290114824520302</v>
      </c>
      <c r="CQ173" s="14">
        <f t="shared" si="124"/>
        <v>59087</v>
      </c>
      <c r="CR173" s="14">
        <v>593</v>
      </c>
      <c r="CS173" s="14">
        <v>2646</v>
      </c>
      <c r="CT173" s="14">
        <v>745</v>
      </c>
      <c r="CU173" s="14">
        <v>0</v>
      </c>
    </row>
    <row r="174" spans="1:99" x14ac:dyDescent="0.3">
      <c r="A174" s="14">
        <v>2019</v>
      </c>
      <c r="B174" s="14" t="s">
        <v>37</v>
      </c>
      <c r="C174" s="14" t="s">
        <v>38</v>
      </c>
      <c r="D174" s="15">
        <v>883020.80000000005</v>
      </c>
      <c r="E174" s="15">
        <v>26147550.999999996</v>
      </c>
      <c r="F174" s="15">
        <f t="shared" si="125"/>
        <v>29.611478008219052</v>
      </c>
      <c r="G174" s="14">
        <v>373</v>
      </c>
      <c r="H174" s="14">
        <v>944</v>
      </c>
      <c r="O174" s="14">
        <v>40</v>
      </c>
      <c r="AB174" s="14">
        <f t="shared" si="126"/>
        <v>40</v>
      </c>
      <c r="AH174" s="14">
        <v>3470</v>
      </c>
      <c r="AM174" s="14">
        <f t="shared" si="127"/>
        <v>0</v>
      </c>
      <c r="AQ174" s="14">
        <f t="shared" si="128"/>
        <v>0</v>
      </c>
      <c r="AT174" s="14">
        <f t="shared" si="129"/>
        <v>0</v>
      </c>
      <c r="AU174" s="16">
        <v>8346</v>
      </c>
      <c r="AV174" s="16">
        <v>22518</v>
      </c>
      <c r="AW174" s="16">
        <v>11202</v>
      </c>
      <c r="AX174" s="16">
        <v>4168</v>
      </c>
      <c r="AY174" s="18">
        <f t="shared" si="130"/>
        <v>3.1918859246129787</v>
      </c>
      <c r="AZ174" s="17">
        <f t="shared" si="131"/>
        <v>8.6118963875431405</v>
      </c>
      <c r="BA174" s="17">
        <f t="shared" si="132"/>
        <v>4.2841488290815466</v>
      </c>
      <c r="BB174" s="17">
        <f t="shared" si="133"/>
        <v>1.5940307373336802</v>
      </c>
      <c r="BC174" s="17">
        <f t="shared" si="101"/>
        <v>0.14265198297156015</v>
      </c>
      <c r="BD174" s="17">
        <f t="shared" si="102"/>
        <v>0.36102807486636135</v>
      </c>
      <c r="BE174" s="17">
        <f t="shared" si="103"/>
        <v>0</v>
      </c>
      <c r="BF174" s="17">
        <f t="shared" si="104"/>
        <v>0</v>
      </c>
      <c r="BG174" s="17">
        <f t="shared" si="105"/>
        <v>0</v>
      </c>
      <c r="BH174" s="17">
        <f t="shared" si="106"/>
        <v>0</v>
      </c>
      <c r="BI174" s="17">
        <f t="shared" si="107"/>
        <v>0</v>
      </c>
      <c r="BJ174" s="17">
        <f t="shared" si="108"/>
        <v>0</v>
      </c>
      <c r="BK174" s="17">
        <f t="shared" si="109"/>
        <v>1.5297799782472938E-2</v>
      </c>
      <c r="BL174" s="17">
        <f t="shared" si="110"/>
        <v>0</v>
      </c>
      <c r="BM174" s="17">
        <f t="shared" si="111"/>
        <v>0</v>
      </c>
      <c r="BN174" s="17">
        <f t="shared" si="112"/>
        <v>0</v>
      </c>
      <c r="BO174" s="17">
        <f t="shared" si="113"/>
        <v>0</v>
      </c>
      <c r="BP174" s="17">
        <f t="shared" si="114"/>
        <v>0</v>
      </c>
      <c r="BQ174" s="17">
        <f t="shared" si="115"/>
        <v>0</v>
      </c>
      <c r="BR174" s="17">
        <f t="shared" si="116"/>
        <v>0</v>
      </c>
      <c r="BS174" s="17">
        <f t="shared" si="117"/>
        <v>0</v>
      </c>
      <c r="BT174" s="17">
        <f t="shared" si="118"/>
        <v>0</v>
      </c>
      <c r="BU174" s="17">
        <f t="shared" si="119"/>
        <v>0</v>
      </c>
      <c r="BV174" s="17">
        <f t="shared" si="120"/>
        <v>0</v>
      </c>
      <c r="BW174" s="17">
        <f t="shared" si="121"/>
        <v>0</v>
      </c>
      <c r="BX174" s="17">
        <f t="shared" si="122"/>
        <v>0</v>
      </c>
      <c r="BY174" s="17">
        <f t="shared" si="123"/>
        <v>0</v>
      </c>
      <c r="BZ174" s="17">
        <f t="shared" si="134"/>
        <v>0</v>
      </c>
      <c r="CA174" s="17">
        <f t="shared" si="135"/>
        <v>0</v>
      </c>
      <c r="CB174" s="17">
        <f t="shared" si="136"/>
        <v>0</v>
      </c>
      <c r="CC174" s="17">
        <f t="shared" si="137"/>
        <v>1.3270841311295274</v>
      </c>
      <c r="CD174" s="17">
        <f t="shared" si="138"/>
        <v>0</v>
      </c>
      <c r="CE174" s="17">
        <f t="shared" si="139"/>
        <v>0</v>
      </c>
      <c r="CF174" s="17">
        <f t="shared" si="140"/>
        <v>0</v>
      </c>
      <c r="CG174" s="17">
        <f t="shared" si="141"/>
        <v>0</v>
      </c>
      <c r="CH174" s="17">
        <f t="shared" si="142"/>
        <v>0</v>
      </c>
      <c r="CI174" s="17">
        <f t="shared" si="143"/>
        <v>0</v>
      </c>
      <c r="CJ174" s="17">
        <f t="shared" si="144"/>
        <v>0</v>
      </c>
      <c r="CK174" s="17">
        <f t="shared" si="145"/>
        <v>0</v>
      </c>
      <c r="CL174" s="17">
        <f t="shared" si="146"/>
        <v>0</v>
      </c>
      <c r="CM174" s="14">
        <f t="shared" si="147"/>
        <v>33720</v>
      </c>
      <c r="CN174" s="17">
        <f t="shared" si="148"/>
        <v>12.896045216624687</v>
      </c>
      <c r="CO174" s="14">
        <f t="shared" si="149"/>
        <v>42066</v>
      </c>
      <c r="CP174" s="17">
        <f t="shared" si="150"/>
        <v>16.087931141237664</v>
      </c>
      <c r="CQ174" s="14">
        <f t="shared" si="124"/>
        <v>51101</v>
      </c>
      <c r="CR174" s="14">
        <v>160</v>
      </c>
      <c r="CS174" s="14">
        <v>814</v>
      </c>
      <c r="CT174" s="14">
        <v>29</v>
      </c>
      <c r="CU174" s="14">
        <v>148</v>
      </c>
    </row>
    <row r="175" spans="1:99" x14ac:dyDescent="0.3">
      <c r="A175" s="14">
        <v>2020</v>
      </c>
      <c r="B175" s="14" t="s">
        <v>37</v>
      </c>
      <c r="C175" s="14" t="s">
        <v>38</v>
      </c>
      <c r="D175" s="15">
        <v>896181.6</v>
      </c>
      <c r="E175" s="15">
        <v>26811790.500000004</v>
      </c>
      <c r="F175" s="15">
        <f t="shared" si="125"/>
        <v>29.917809626977395</v>
      </c>
      <c r="G175" s="14">
        <v>397</v>
      </c>
      <c r="H175" s="14">
        <v>1029</v>
      </c>
      <c r="AB175" s="14">
        <f t="shared" si="126"/>
        <v>0</v>
      </c>
      <c r="AI175" s="14">
        <v>3734</v>
      </c>
      <c r="AM175" s="14">
        <f t="shared" si="127"/>
        <v>0</v>
      </c>
      <c r="AQ175" s="14">
        <f t="shared" si="128"/>
        <v>0</v>
      </c>
      <c r="AT175" s="14">
        <f t="shared" si="129"/>
        <v>0</v>
      </c>
      <c r="AU175" s="16">
        <v>8870</v>
      </c>
      <c r="AV175" s="16">
        <v>26792</v>
      </c>
      <c r="AW175" s="16">
        <v>12690</v>
      </c>
      <c r="AX175" s="16">
        <v>0</v>
      </c>
      <c r="AY175" s="18">
        <f t="shared" si="130"/>
        <v>3.3082460494385852</v>
      </c>
      <c r="AZ175" s="17">
        <f t="shared" si="131"/>
        <v>9.9926187324192295</v>
      </c>
      <c r="BA175" s="17">
        <f t="shared" si="132"/>
        <v>4.732992375126905</v>
      </c>
      <c r="BB175" s="17">
        <f t="shared" si="133"/>
        <v>0</v>
      </c>
      <c r="BC175" s="17">
        <f t="shared" si="101"/>
        <v>0.14806918620373374</v>
      </c>
      <c r="BD175" s="17">
        <f t="shared" si="102"/>
        <v>0.38378637935426202</v>
      </c>
      <c r="BE175" s="17">
        <f t="shared" si="103"/>
        <v>0</v>
      </c>
      <c r="BF175" s="17">
        <f t="shared" si="104"/>
        <v>0</v>
      </c>
      <c r="BG175" s="17">
        <f t="shared" si="105"/>
        <v>0</v>
      </c>
      <c r="BH175" s="17">
        <f t="shared" si="106"/>
        <v>0</v>
      </c>
      <c r="BI175" s="17">
        <f t="shared" si="107"/>
        <v>0</v>
      </c>
      <c r="BJ175" s="17">
        <f t="shared" si="108"/>
        <v>0</v>
      </c>
      <c r="BK175" s="17">
        <f t="shared" si="109"/>
        <v>0</v>
      </c>
      <c r="BL175" s="17">
        <f t="shared" si="110"/>
        <v>0</v>
      </c>
      <c r="BM175" s="17">
        <f t="shared" si="111"/>
        <v>0</v>
      </c>
      <c r="BN175" s="17">
        <f t="shared" si="112"/>
        <v>0</v>
      </c>
      <c r="BO175" s="17">
        <f t="shared" si="113"/>
        <v>0</v>
      </c>
      <c r="BP175" s="17">
        <f t="shared" si="114"/>
        <v>0</v>
      </c>
      <c r="BQ175" s="17">
        <f t="shared" si="115"/>
        <v>0</v>
      </c>
      <c r="BR175" s="17">
        <f t="shared" si="116"/>
        <v>0</v>
      </c>
      <c r="BS175" s="17">
        <f t="shared" si="117"/>
        <v>0</v>
      </c>
      <c r="BT175" s="17">
        <f t="shared" si="118"/>
        <v>0</v>
      </c>
      <c r="BU175" s="17">
        <f t="shared" si="119"/>
        <v>0</v>
      </c>
      <c r="BV175" s="17">
        <f t="shared" si="120"/>
        <v>0</v>
      </c>
      <c r="BW175" s="17">
        <f t="shared" si="121"/>
        <v>0</v>
      </c>
      <c r="BX175" s="17">
        <f t="shared" si="122"/>
        <v>0</v>
      </c>
      <c r="BY175" s="17">
        <f t="shared" si="123"/>
        <v>0</v>
      </c>
      <c r="BZ175" s="17">
        <f t="shared" si="134"/>
        <v>0</v>
      </c>
      <c r="CA175" s="17">
        <f t="shared" si="135"/>
        <v>0</v>
      </c>
      <c r="CB175" s="17">
        <f t="shared" si="136"/>
        <v>0</v>
      </c>
      <c r="CC175" s="17">
        <f t="shared" si="137"/>
        <v>0</v>
      </c>
      <c r="CD175" s="17">
        <f t="shared" si="138"/>
        <v>1.3926708848482161</v>
      </c>
      <c r="CE175" s="17">
        <f t="shared" si="139"/>
        <v>0</v>
      </c>
      <c r="CF175" s="17">
        <f t="shared" si="140"/>
        <v>0</v>
      </c>
      <c r="CG175" s="17">
        <f t="shared" si="141"/>
        <v>0</v>
      </c>
      <c r="CH175" s="17">
        <f t="shared" si="142"/>
        <v>0</v>
      </c>
      <c r="CI175" s="17">
        <f t="shared" si="143"/>
        <v>0</v>
      </c>
      <c r="CJ175" s="17">
        <f t="shared" si="144"/>
        <v>0</v>
      </c>
      <c r="CK175" s="17">
        <f t="shared" si="145"/>
        <v>0</v>
      </c>
      <c r="CL175" s="17">
        <f t="shared" si="146"/>
        <v>0</v>
      </c>
      <c r="CM175" s="14">
        <f t="shared" si="147"/>
        <v>39482</v>
      </c>
      <c r="CN175" s="17">
        <f t="shared" si="148"/>
        <v>14.725611107546134</v>
      </c>
      <c r="CO175" s="14">
        <f t="shared" si="149"/>
        <v>48352</v>
      </c>
      <c r="CP175" s="17">
        <f t="shared" si="150"/>
        <v>18.03385715698472</v>
      </c>
      <c r="CQ175" s="14">
        <f t="shared" si="124"/>
        <v>53512</v>
      </c>
      <c r="CR175" s="14">
        <v>0</v>
      </c>
      <c r="CS175" s="14">
        <v>0</v>
      </c>
      <c r="CT175" s="14">
        <v>0</v>
      </c>
      <c r="CU175" s="14">
        <v>0</v>
      </c>
    </row>
    <row r="176" spans="1:99" x14ac:dyDescent="0.3">
      <c r="A176" s="14">
        <v>2021</v>
      </c>
      <c r="B176" s="14" t="s">
        <v>37</v>
      </c>
      <c r="C176" s="14" t="s">
        <v>38</v>
      </c>
      <c r="D176" s="15">
        <v>911396.5</v>
      </c>
      <c r="E176" s="15">
        <v>27478249.000000004</v>
      </c>
      <c r="F176" s="15">
        <f t="shared" si="125"/>
        <v>30.149609966683002</v>
      </c>
      <c r="G176" s="14">
        <v>416</v>
      </c>
      <c r="H176" s="14">
        <v>1117</v>
      </c>
      <c r="AB176" s="14">
        <f t="shared" si="126"/>
        <v>0</v>
      </c>
      <c r="AD176" s="14">
        <v>139</v>
      </c>
      <c r="AI176" s="14">
        <v>3480</v>
      </c>
      <c r="AJ176" s="14">
        <v>215</v>
      </c>
      <c r="AK176" s="14">
        <v>97</v>
      </c>
      <c r="AM176" s="14">
        <f t="shared" si="127"/>
        <v>97</v>
      </c>
      <c r="AQ176" s="14">
        <f t="shared" si="128"/>
        <v>0</v>
      </c>
      <c r="AT176" s="14">
        <f t="shared" si="129"/>
        <v>0</v>
      </c>
      <c r="AU176" s="16">
        <v>9902</v>
      </c>
      <c r="AV176" s="16">
        <v>25774</v>
      </c>
      <c r="AW176" s="16">
        <v>14148</v>
      </c>
      <c r="AX176" s="16">
        <v>4221</v>
      </c>
      <c r="AY176" s="18">
        <f t="shared" si="130"/>
        <v>3.6035775059757258</v>
      </c>
      <c r="AZ176" s="17">
        <f t="shared" si="131"/>
        <v>9.3797825327225173</v>
      </c>
      <c r="BA176" s="17">
        <f t="shared" si="132"/>
        <v>5.1487996924403729</v>
      </c>
      <c r="BB176" s="17">
        <f t="shared" si="133"/>
        <v>1.536124081268788</v>
      </c>
      <c r="BC176" s="17">
        <f t="shared" si="101"/>
        <v>0.15139247045908927</v>
      </c>
      <c r="BD176" s="17">
        <f t="shared" si="102"/>
        <v>0.40650334015096806</v>
      </c>
      <c r="BE176" s="17">
        <f t="shared" si="103"/>
        <v>0</v>
      </c>
      <c r="BF176" s="17">
        <f t="shared" si="104"/>
        <v>0</v>
      </c>
      <c r="BG176" s="17">
        <f t="shared" si="105"/>
        <v>0</v>
      </c>
      <c r="BH176" s="17">
        <f t="shared" si="106"/>
        <v>0</v>
      </c>
      <c r="BI176" s="17">
        <f t="shared" si="107"/>
        <v>0</v>
      </c>
      <c r="BJ176" s="17">
        <f t="shared" si="108"/>
        <v>0</v>
      </c>
      <c r="BK176" s="17">
        <f t="shared" si="109"/>
        <v>0</v>
      </c>
      <c r="BL176" s="17">
        <f t="shared" si="110"/>
        <v>0</v>
      </c>
      <c r="BM176" s="17">
        <f t="shared" si="111"/>
        <v>0</v>
      </c>
      <c r="BN176" s="17">
        <f t="shared" si="112"/>
        <v>0</v>
      </c>
      <c r="BO176" s="17">
        <f t="shared" si="113"/>
        <v>0</v>
      </c>
      <c r="BP176" s="17">
        <f t="shared" si="114"/>
        <v>0</v>
      </c>
      <c r="BQ176" s="17">
        <f t="shared" si="115"/>
        <v>0</v>
      </c>
      <c r="BR176" s="17">
        <f t="shared" si="116"/>
        <v>0</v>
      </c>
      <c r="BS176" s="17">
        <f t="shared" si="117"/>
        <v>0</v>
      </c>
      <c r="BT176" s="17">
        <f t="shared" si="118"/>
        <v>0</v>
      </c>
      <c r="BU176" s="17">
        <f t="shared" si="119"/>
        <v>0</v>
      </c>
      <c r="BV176" s="17">
        <f t="shared" si="120"/>
        <v>0</v>
      </c>
      <c r="BW176" s="17">
        <f t="shared" si="121"/>
        <v>0</v>
      </c>
      <c r="BX176" s="17">
        <f t="shared" si="122"/>
        <v>0</v>
      </c>
      <c r="BY176" s="17">
        <f t="shared" si="123"/>
        <v>5.0585464888974543E-2</v>
      </c>
      <c r="BZ176" s="17">
        <f t="shared" si="134"/>
        <v>0</v>
      </c>
      <c r="CA176" s="17">
        <f t="shared" si="135"/>
        <v>0</v>
      </c>
      <c r="CB176" s="17">
        <f t="shared" si="136"/>
        <v>0</v>
      </c>
      <c r="CC176" s="17">
        <f t="shared" si="137"/>
        <v>0</v>
      </c>
      <c r="CD176" s="17">
        <f t="shared" si="138"/>
        <v>1.2664562432635353</v>
      </c>
      <c r="CE176" s="17">
        <f t="shared" si="139"/>
        <v>7.8243704684385088E-2</v>
      </c>
      <c r="CF176" s="17">
        <f t="shared" si="140"/>
        <v>3.5300648159931877E-2</v>
      </c>
      <c r="CG176" s="17">
        <f t="shared" si="141"/>
        <v>0</v>
      </c>
      <c r="CH176" s="17">
        <f t="shared" si="142"/>
        <v>0</v>
      </c>
      <c r="CI176" s="17">
        <f t="shared" si="143"/>
        <v>0</v>
      </c>
      <c r="CJ176" s="17">
        <f t="shared" si="144"/>
        <v>0</v>
      </c>
      <c r="CK176" s="17">
        <f t="shared" si="145"/>
        <v>0</v>
      </c>
      <c r="CL176" s="17">
        <f t="shared" si="146"/>
        <v>0</v>
      </c>
      <c r="CM176" s="14">
        <f t="shared" si="147"/>
        <v>39922</v>
      </c>
      <c r="CN176" s="17">
        <f t="shared" si="148"/>
        <v>14.528582225162889</v>
      </c>
      <c r="CO176" s="14">
        <f t="shared" si="149"/>
        <v>49824</v>
      </c>
      <c r="CP176" s="17">
        <f t="shared" si="150"/>
        <v>18.132159731138614</v>
      </c>
      <c r="CQ176" s="14">
        <f t="shared" si="124"/>
        <v>59606</v>
      </c>
      <c r="CR176" s="14">
        <v>219</v>
      </c>
      <c r="CS176" s="14">
        <v>233</v>
      </c>
      <c r="CT176" s="14">
        <v>7</v>
      </c>
      <c r="CU176" s="14">
        <v>835</v>
      </c>
    </row>
    <row r="177" spans="1:99" x14ac:dyDescent="0.3">
      <c r="A177" s="14">
        <v>2022</v>
      </c>
      <c r="B177" s="14" t="s">
        <v>37</v>
      </c>
      <c r="C177" s="14" t="s">
        <v>38</v>
      </c>
      <c r="D177" s="15">
        <v>924980.8</v>
      </c>
      <c r="E177" s="15">
        <v>28160542.500000004</v>
      </c>
      <c r="F177" s="15">
        <f t="shared" si="125"/>
        <v>30.444461658014959</v>
      </c>
      <c r="G177" s="14">
        <v>418</v>
      </c>
      <c r="H177" s="14">
        <v>1162</v>
      </c>
      <c r="N177" s="14">
        <v>28</v>
      </c>
      <c r="AB177" s="14">
        <f t="shared" si="126"/>
        <v>0</v>
      </c>
      <c r="AD177" s="14">
        <v>148</v>
      </c>
      <c r="AI177" s="14">
        <v>3896</v>
      </c>
      <c r="AJ177" s="14">
        <v>200</v>
      </c>
      <c r="AK177" s="14">
        <v>95</v>
      </c>
      <c r="AM177" s="14">
        <f t="shared" si="127"/>
        <v>95</v>
      </c>
      <c r="AQ177" s="14">
        <f t="shared" si="128"/>
        <v>0</v>
      </c>
      <c r="AT177" s="14">
        <f t="shared" si="129"/>
        <v>0</v>
      </c>
      <c r="AU177" s="16">
        <v>9860</v>
      </c>
      <c r="AV177" s="16">
        <v>29958</v>
      </c>
      <c r="AW177" s="16">
        <v>14850</v>
      </c>
      <c r="AX177" s="16">
        <v>4140</v>
      </c>
      <c r="AY177" s="18">
        <f t="shared" si="130"/>
        <v>3.5013530012782952</v>
      </c>
      <c r="AZ177" s="17">
        <f t="shared" si="131"/>
        <v>10.63828937244373</v>
      </c>
      <c r="BA177" s="17">
        <f t="shared" si="132"/>
        <v>5.2733359096331327</v>
      </c>
      <c r="BB177" s="17">
        <f t="shared" si="133"/>
        <v>1.4701421323825703</v>
      </c>
      <c r="BC177" s="17">
        <f t="shared" si="101"/>
        <v>0.14843464041930299</v>
      </c>
      <c r="BD177" s="17">
        <f t="shared" si="102"/>
        <v>0.41263409609385182</v>
      </c>
      <c r="BE177" s="17">
        <f t="shared" si="103"/>
        <v>0</v>
      </c>
      <c r="BF177" s="17">
        <f t="shared" si="104"/>
        <v>0</v>
      </c>
      <c r="BG177" s="17">
        <f t="shared" si="105"/>
        <v>0</v>
      </c>
      <c r="BH177" s="17">
        <f t="shared" si="106"/>
        <v>0</v>
      </c>
      <c r="BI177" s="17">
        <f t="shared" si="107"/>
        <v>0</v>
      </c>
      <c r="BJ177" s="17">
        <f t="shared" si="108"/>
        <v>9.9429902673217312E-3</v>
      </c>
      <c r="BK177" s="17">
        <f t="shared" si="109"/>
        <v>0</v>
      </c>
      <c r="BL177" s="17">
        <f t="shared" si="110"/>
        <v>0</v>
      </c>
      <c r="BM177" s="17">
        <f t="shared" si="111"/>
        <v>0</v>
      </c>
      <c r="BN177" s="17">
        <f t="shared" si="112"/>
        <v>0</v>
      </c>
      <c r="BO177" s="17">
        <f t="shared" si="113"/>
        <v>0</v>
      </c>
      <c r="BP177" s="17">
        <f t="shared" si="114"/>
        <v>0</v>
      </c>
      <c r="BQ177" s="17">
        <f t="shared" si="115"/>
        <v>0</v>
      </c>
      <c r="BR177" s="17">
        <f t="shared" si="116"/>
        <v>0</v>
      </c>
      <c r="BS177" s="17">
        <f t="shared" si="117"/>
        <v>0</v>
      </c>
      <c r="BT177" s="17">
        <f t="shared" si="118"/>
        <v>0</v>
      </c>
      <c r="BU177" s="17">
        <f t="shared" si="119"/>
        <v>0</v>
      </c>
      <c r="BV177" s="17">
        <f t="shared" si="120"/>
        <v>0</v>
      </c>
      <c r="BW177" s="17">
        <f t="shared" si="121"/>
        <v>0</v>
      </c>
      <c r="BX177" s="17">
        <f t="shared" si="122"/>
        <v>0</v>
      </c>
      <c r="BY177" s="17">
        <f t="shared" si="123"/>
        <v>5.2555805698700581E-2</v>
      </c>
      <c r="BZ177" s="17">
        <f t="shared" si="134"/>
        <v>0</v>
      </c>
      <c r="CA177" s="17">
        <f t="shared" si="135"/>
        <v>0</v>
      </c>
      <c r="CB177" s="17">
        <f t="shared" si="136"/>
        <v>0</v>
      </c>
      <c r="CC177" s="17">
        <f t="shared" si="137"/>
        <v>0</v>
      </c>
      <c r="CD177" s="17">
        <f t="shared" si="138"/>
        <v>1.3834960743387665</v>
      </c>
      <c r="CE177" s="17">
        <f t="shared" si="139"/>
        <v>7.1021359052298075E-2</v>
      </c>
      <c r="CF177" s="17">
        <f t="shared" si="140"/>
        <v>3.373514554984159E-2</v>
      </c>
      <c r="CG177" s="17">
        <f t="shared" si="141"/>
        <v>0</v>
      </c>
      <c r="CH177" s="17">
        <f t="shared" si="142"/>
        <v>0</v>
      </c>
      <c r="CI177" s="17">
        <f t="shared" si="143"/>
        <v>0</v>
      </c>
      <c r="CJ177" s="17">
        <f t="shared" si="144"/>
        <v>0</v>
      </c>
      <c r="CK177" s="17">
        <f t="shared" si="145"/>
        <v>0</v>
      </c>
      <c r="CL177" s="17">
        <f t="shared" si="146"/>
        <v>0</v>
      </c>
      <c r="CM177" s="14">
        <f t="shared" si="147"/>
        <v>44808</v>
      </c>
      <c r="CN177" s="17">
        <f t="shared" si="148"/>
        <v>15.91162528207686</v>
      </c>
      <c r="CO177" s="14">
        <f t="shared" si="149"/>
        <v>54668</v>
      </c>
      <c r="CP177" s="17">
        <f t="shared" si="150"/>
        <v>19.412978283355155</v>
      </c>
      <c r="CQ177" s="14">
        <f t="shared" si="124"/>
        <v>64850</v>
      </c>
      <c r="CR177" s="14">
        <v>79</v>
      </c>
      <c r="CS177" s="14">
        <v>0</v>
      </c>
      <c r="CT177" s="14">
        <v>0</v>
      </c>
      <c r="CU177" s="14">
        <v>0</v>
      </c>
    </row>
    <row r="178" spans="1:99" x14ac:dyDescent="0.3">
      <c r="A178" s="14">
        <v>2012</v>
      </c>
      <c r="B178" s="14" t="s">
        <v>31</v>
      </c>
      <c r="C178" s="14" t="s">
        <v>32</v>
      </c>
      <c r="D178" s="15">
        <v>11441.9</v>
      </c>
      <c r="E178" s="15">
        <v>533864.00000000012</v>
      </c>
      <c r="F178" s="15">
        <f t="shared" si="125"/>
        <v>46.658684309424146</v>
      </c>
      <c r="AB178" s="14">
        <f t="shared" si="126"/>
        <v>0</v>
      </c>
      <c r="AM178" s="14">
        <f t="shared" si="127"/>
        <v>0</v>
      </c>
      <c r="AQ178" s="14">
        <f t="shared" si="128"/>
        <v>0</v>
      </c>
      <c r="AT178" s="14">
        <f t="shared" si="129"/>
        <v>0</v>
      </c>
      <c r="AU178" s="16">
        <v>520</v>
      </c>
      <c r="AV178" s="16">
        <v>1102</v>
      </c>
      <c r="AW178" s="16">
        <v>0</v>
      </c>
      <c r="AX178" s="16">
        <v>0</v>
      </c>
      <c r="AY178" s="18">
        <f t="shared" si="130"/>
        <v>9.7403083931488155</v>
      </c>
      <c r="AZ178" s="17">
        <f t="shared" si="131"/>
        <v>20.641961248557681</v>
      </c>
      <c r="BA178" s="17">
        <f t="shared" si="132"/>
        <v>0</v>
      </c>
      <c r="BB178" s="17">
        <f t="shared" si="133"/>
        <v>0</v>
      </c>
      <c r="BC178" s="17">
        <f t="shared" si="101"/>
        <v>0</v>
      </c>
      <c r="BD178" s="17">
        <f t="shared" si="102"/>
        <v>0</v>
      </c>
      <c r="BE178" s="17">
        <f t="shared" si="103"/>
        <v>0</v>
      </c>
      <c r="BF178" s="17">
        <f t="shared" si="104"/>
        <v>0</v>
      </c>
      <c r="BG178" s="17">
        <f t="shared" si="105"/>
        <v>0</v>
      </c>
      <c r="BH178" s="17">
        <f t="shared" si="106"/>
        <v>0</v>
      </c>
      <c r="BI178" s="17">
        <f t="shared" si="107"/>
        <v>0</v>
      </c>
      <c r="BJ178" s="17">
        <f t="shared" si="108"/>
        <v>0</v>
      </c>
      <c r="BK178" s="17">
        <f t="shared" si="109"/>
        <v>0</v>
      </c>
      <c r="BL178" s="17">
        <f t="shared" si="110"/>
        <v>0</v>
      </c>
      <c r="BM178" s="17">
        <f t="shared" si="111"/>
        <v>0</v>
      </c>
      <c r="BN178" s="17">
        <f t="shared" si="112"/>
        <v>0</v>
      </c>
      <c r="BO178" s="17">
        <f t="shared" si="113"/>
        <v>0</v>
      </c>
      <c r="BP178" s="17">
        <f t="shared" si="114"/>
        <v>0</v>
      </c>
      <c r="BQ178" s="17">
        <f t="shared" si="115"/>
        <v>0</v>
      </c>
      <c r="BR178" s="17">
        <f t="shared" si="116"/>
        <v>0</v>
      </c>
      <c r="BS178" s="17">
        <f t="shared" si="117"/>
        <v>0</v>
      </c>
      <c r="BT178" s="17">
        <f t="shared" si="118"/>
        <v>0</v>
      </c>
      <c r="BU178" s="17">
        <f t="shared" si="119"/>
        <v>0</v>
      </c>
      <c r="BV178" s="17">
        <f t="shared" si="120"/>
        <v>0</v>
      </c>
      <c r="BW178" s="17">
        <f t="shared" si="121"/>
        <v>0</v>
      </c>
      <c r="BX178" s="17">
        <f t="shared" si="122"/>
        <v>0</v>
      </c>
      <c r="BY178" s="17">
        <f t="shared" si="123"/>
        <v>0</v>
      </c>
      <c r="BZ178" s="17">
        <f t="shared" si="134"/>
        <v>0</v>
      </c>
      <c r="CA178" s="17">
        <f t="shared" si="135"/>
        <v>0</v>
      </c>
      <c r="CB178" s="17">
        <f t="shared" si="136"/>
        <v>0</v>
      </c>
      <c r="CC178" s="17">
        <f t="shared" si="137"/>
        <v>0</v>
      </c>
      <c r="CD178" s="17">
        <f t="shared" si="138"/>
        <v>0</v>
      </c>
      <c r="CE178" s="17">
        <f t="shared" si="139"/>
        <v>0</v>
      </c>
      <c r="CF178" s="17">
        <f t="shared" si="140"/>
        <v>0</v>
      </c>
      <c r="CG178" s="17">
        <f t="shared" si="141"/>
        <v>0</v>
      </c>
      <c r="CH178" s="17">
        <f t="shared" si="142"/>
        <v>0</v>
      </c>
      <c r="CI178" s="17">
        <f t="shared" si="143"/>
        <v>0</v>
      </c>
      <c r="CJ178" s="17">
        <f t="shared" si="144"/>
        <v>0</v>
      </c>
      <c r="CK178" s="17">
        <f t="shared" si="145"/>
        <v>0</v>
      </c>
      <c r="CL178" s="17">
        <f t="shared" si="146"/>
        <v>0</v>
      </c>
      <c r="CM178" s="14">
        <f t="shared" si="147"/>
        <v>1102</v>
      </c>
      <c r="CN178" s="17">
        <f t="shared" si="148"/>
        <v>20.641961248557681</v>
      </c>
      <c r="CO178" s="14">
        <f t="shared" si="149"/>
        <v>1622</v>
      </c>
      <c r="CP178" s="17">
        <f t="shared" si="150"/>
        <v>30.382269641706497</v>
      </c>
      <c r="CQ178" s="14">
        <f t="shared" si="124"/>
        <v>1622</v>
      </c>
      <c r="CR178" s="14">
        <v>147</v>
      </c>
      <c r="CS178" s="14">
        <v>377</v>
      </c>
      <c r="CT178" s="14">
        <v>130</v>
      </c>
      <c r="CU178" s="14">
        <v>121</v>
      </c>
    </row>
    <row r="179" spans="1:99" x14ac:dyDescent="0.3">
      <c r="A179" s="14">
        <v>2013</v>
      </c>
      <c r="B179" s="14" t="s">
        <v>31</v>
      </c>
      <c r="C179" s="14" t="s">
        <v>32</v>
      </c>
      <c r="D179" s="15">
        <v>11037.4</v>
      </c>
      <c r="E179" s="15">
        <v>539939.99999999988</v>
      </c>
      <c r="F179" s="15">
        <f t="shared" si="125"/>
        <v>48.919129505137072</v>
      </c>
      <c r="AB179" s="14">
        <f t="shared" si="126"/>
        <v>0</v>
      </c>
      <c r="AM179" s="14">
        <f t="shared" si="127"/>
        <v>0</v>
      </c>
      <c r="AQ179" s="14">
        <f t="shared" si="128"/>
        <v>0</v>
      </c>
      <c r="AT179" s="14">
        <f t="shared" si="129"/>
        <v>0</v>
      </c>
      <c r="AU179" s="16">
        <v>616</v>
      </c>
      <c r="AV179" s="16">
        <v>806</v>
      </c>
      <c r="AW179" s="16">
        <v>0</v>
      </c>
      <c r="AX179" s="16">
        <v>0</v>
      </c>
      <c r="AY179" s="18">
        <f t="shared" si="130"/>
        <v>11.408675037967184</v>
      </c>
      <c r="AZ179" s="17">
        <f t="shared" si="131"/>
        <v>14.927584546431088</v>
      </c>
      <c r="BA179" s="17">
        <f t="shared" si="132"/>
        <v>0</v>
      </c>
      <c r="BB179" s="17">
        <f t="shared" si="133"/>
        <v>0</v>
      </c>
      <c r="BC179" s="17">
        <f t="shared" si="101"/>
        <v>0</v>
      </c>
      <c r="BD179" s="17">
        <f t="shared" si="102"/>
        <v>0</v>
      </c>
      <c r="BE179" s="17">
        <f t="shared" si="103"/>
        <v>0</v>
      </c>
      <c r="BF179" s="17">
        <f t="shared" si="104"/>
        <v>0</v>
      </c>
      <c r="BG179" s="17">
        <f t="shared" si="105"/>
        <v>0</v>
      </c>
      <c r="BH179" s="17">
        <f t="shared" si="106"/>
        <v>0</v>
      </c>
      <c r="BI179" s="17">
        <f t="shared" si="107"/>
        <v>0</v>
      </c>
      <c r="BJ179" s="17">
        <f t="shared" si="108"/>
        <v>0</v>
      </c>
      <c r="BK179" s="17">
        <f t="shared" si="109"/>
        <v>0</v>
      </c>
      <c r="BL179" s="17">
        <f t="shared" si="110"/>
        <v>0</v>
      </c>
      <c r="BM179" s="17">
        <f t="shared" si="111"/>
        <v>0</v>
      </c>
      <c r="BN179" s="17">
        <f t="shared" si="112"/>
        <v>0</v>
      </c>
      <c r="BO179" s="17">
        <f t="shared" si="113"/>
        <v>0</v>
      </c>
      <c r="BP179" s="17">
        <f t="shared" si="114"/>
        <v>0</v>
      </c>
      <c r="BQ179" s="17">
        <f t="shared" si="115"/>
        <v>0</v>
      </c>
      <c r="BR179" s="17">
        <f t="shared" si="116"/>
        <v>0</v>
      </c>
      <c r="BS179" s="17">
        <f t="shared" si="117"/>
        <v>0</v>
      </c>
      <c r="BT179" s="17">
        <f t="shared" si="118"/>
        <v>0</v>
      </c>
      <c r="BU179" s="17">
        <f t="shared" si="119"/>
        <v>0</v>
      </c>
      <c r="BV179" s="17">
        <f t="shared" si="120"/>
        <v>0</v>
      </c>
      <c r="BW179" s="17">
        <f t="shared" si="121"/>
        <v>0</v>
      </c>
      <c r="BX179" s="17">
        <f t="shared" si="122"/>
        <v>0</v>
      </c>
      <c r="BY179" s="17">
        <f t="shared" si="123"/>
        <v>0</v>
      </c>
      <c r="BZ179" s="17">
        <f t="shared" si="134"/>
        <v>0</v>
      </c>
      <c r="CA179" s="17">
        <f t="shared" si="135"/>
        <v>0</v>
      </c>
      <c r="CB179" s="17">
        <f t="shared" si="136"/>
        <v>0</v>
      </c>
      <c r="CC179" s="17">
        <f t="shared" si="137"/>
        <v>0</v>
      </c>
      <c r="CD179" s="17">
        <f t="shared" si="138"/>
        <v>0</v>
      </c>
      <c r="CE179" s="17">
        <f t="shared" si="139"/>
        <v>0</v>
      </c>
      <c r="CF179" s="17">
        <f t="shared" si="140"/>
        <v>0</v>
      </c>
      <c r="CG179" s="17">
        <f t="shared" si="141"/>
        <v>0</v>
      </c>
      <c r="CH179" s="17">
        <f t="shared" si="142"/>
        <v>0</v>
      </c>
      <c r="CI179" s="17">
        <f t="shared" si="143"/>
        <v>0</v>
      </c>
      <c r="CJ179" s="17">
        <f t="shared" si="144"/>
        <v>0</v>
      </c>
      <c r="CK179" s="17">
        <f t="shared" si="145"/>
        <v>0</v>
      </c>
      <c r="CL179" s="17">
        <f t="shared" si="146"/>
        <v>0</v>
      </c>
      <c r="CM179" s="14">
        <f t="shared" si="147"/>
        <v>806</v>
      </c>
      <c r="CN179" s="17">
        <f t="shared" si="148"/>
        <v>14.927584546431088</v>
      </c>
      <c r="CO179" s="14">
        <f t="shared" si="149"/>
        <v>1422</v>
      </c>
      <c r="CP179" s="17">
        <f t="shared" si="150"/>
        <v>26.336259584398274</v>
      </c>
      <c r="CQ179" s="14">
        <f t="shared" si="124"/>
        <v>1422</v>
      </c>
      <c r="CR179" s="14">
        <v>6365</v>
      </c>
      <c r="CS179" s="14">
        <v>0</v>
      </c>
      <c r="CT179" s="14">
        <v>3781</v>
      </c>
      <c r="CU179" s="14">
        <v>3881</v>
      </c>
    </row>
    <row r="180" spans="1:99" x14ac:dyDescent="0.3">
      <c r="A180" s="14">
        <v>2014</v>
      </c>
      <c r="B180" s="14" t="s">
        <v>31</v>
      </c>
      <c r="C180" s="14" t="s">
        <v>32</v>
      </c>
      <c r="D180" s="15">
        <v>10993.6</v>
      </c>
      <c r="E180" s="15">
        <v>546076</v>
      </c>
      <c r="F180" s="15">
        <f t="shared" si="125"/>
        <v>49.672172900596706</v>
      </c>
      <c r="AB180" s="14">
        <f t="shared" si="126"/>
        <v>0</v>
      </c>
      <c r="AM180" s="14">
        <f t="shared" si="127"/>
        <v>0</v>
      </c>
      <c r="AQ180" s="14">
        <f t="shared" si="128"/>
        <v>0</v>
      </c>
      <c r="AT180" s="14">
        <f t="shared" si="129"/>
        <v>0</v>
      </c>
      <c r="AU180" s="16">
        <v>0</v>
      </c>
      <c r="AV180" s="16">
        <v>952</v>
      </c>
      <c r="AW180" s="16">
        <v>0</v>
      </c>
      <c r="AX180" s="16">
        <v>0</v>
      </c>
      <c r="AY180" s="18">
        <f t="shared" si="130"/>
        <v>0</v>
      </c>
      <c r="AZ180" s="17">
        <f t="shared" si="131"/>
        <v>17.433470798936412</v>
      </c>
      <c r="BA180" s="17">
        <f t="shared" si="132"/>
        <v>0</v>
      </c>
      <c r="BB180" s="17">
        <f t="shared" si="133"/>
        <v>0</v>
      </c>
      <c r="BC180" s="17">
        <f t="shared" si="101"/>
        <v>0</v>
      </c>
      <c r="BD180" s="17">
        <f t="shared" si="102"/>
        <v>0</v>
      </c>
      <c r="BE180" s="17">
        <f t="shared" si="103"/>
        <v>0</v>
      </c>
      <c r="BF180" s="17">
        <f t="shared" si="104"/>
        <v>0</v>
      </c>
      <c r="BG180" s="17">
        <f t="shared" si="105"/>
        <v>0</v>
      </c>
      <c r="BH180" s="17">
        <f t="shared" si="106"/>
        <v>0</v>
      </c>
      <c r="BI180" s="17">
        <f t="shared" si="107"/>
        <v>0</v>
      </c>
      <c r="BJ180" s="17">
        <f t="shared" si="108"/>
        <v>0</v>
      </c>
      <c r="BK180" s="17">
        <f t="shared" si="109"/>
        <v>0</v>
      </c>
      <c r="BL180" s="17">
        <f t="shared" si="110"/>
        <v>0</v>
      </c>
      <c r="BM180" s="17">
        <f t="shared" si="111"/>
        <v>0</v>
      </c>
      <c r="BN180" s="17">
        <f t="shared" si="112"/>
        <v>0</v>
      </c>
      <c r="BO180" s="17">
        <f t="shared" si="113"/>
        <v>0</v>
      </c>
      <c r="BP180" s="17">
        <f t="shared" si="114"/>
        <v>0</v>
      </c>
      <c r="BQ180" s="17">
        <f t="shared" si="115"/>
        <v>0</v>
      </c>
      <c r="BR180" s="17">
        <f t="shared" si="116"/>
        <v>0</v>
      </c>
      <c r="BS180" s="17">
        <f t="shared" si="117"/>
        <v>0</v>
      </c>
      <c r="BT180" s="17">
        <f t="shared" si="118"/>
        <v>0</v>
      </c>
      <c r="BU180" s="17">
        <f t="shared" si="119"/>
        <v>0</v>
      </c>
      <c r="BV180" s="17">
        <f t="shared" si="120"/>
        <v>0</v>
      </c>
      <c r="BW180" s="17">
        <f t="shared" si="121"/>
        <v>0</v>
      </c>
      <c r="BX180" s="17">
        <f t="shared" si="122"/>
        <v>0</v>
      </c>
      <c r="BY180" s="17">
        <f t="shared" si="123"/>
        <v>0</v>
      </c>
      <c r="BZ180" s="17">
        <f t="shared" si="134"/>
        <v>0</v>
      </c>
      <c r="CA180" s="17">
        <f t="shared" si="135"/>
        <v>0</v>
      </c>
      <c r="CB180" s="17">
        <f t="shared" si="136"/>
        <v>0</v>
      </c>
      <c r="CC180" s="17">
        <f t="shared" si="137"/>
        <v>0</v>
      </c>
      <c r="CD180" s="17">
        <f t="shared" si="138"/>
        <v>0</v>
      </c>
      <c r="CE180" s="17">
        <f t="shared" si="139"/>
        <v>0</v>
      </c>
      <c r="CF180" s="17">
        <f t="shared" si="140"/>
        <v>0</v>
      </c>
      <c r="CG180" s="17">
        <f t="shared" si="141"/>
        <v>0</v>
      </c>
      <c r="CH180" s="17">
        <f t="shared" si="142"/>
        <v>0</v>
      </c>
      <c r="CI180" s="17">
        <f t="shared" si="143"/>
        <v>0</v>
      </c>
      <c r="CJ180" s="17">
        <f t="shared" si="144"/>
        <v>0</v>
      </c>
      <c r="CK180" s="17">
        <f t="shared" si="145"/>
        <v>0</v>
      </c>
      <c r="CL180" s="17">
        <f t="shared" si="146"/>
        <v>0</v>
      </c>
      <c r="CM180" s="14">
        <f t="shared" si="147"/>
        <v>952</v>
      </c>
      <c r="CN180" s="17">
        <f t="shared" si="148"/>
        <v>17.433470798936412</v>
      </c>
      <c r="CO180" s="14">
        <f t="shared" si="149"/>
        <v>952</v>
      </c>
      <c r="CP180" s="17">
        <f t="shared" si="150"/>
        <v>17.433470798936412</v>
      </c>
      <c r="CQ180" s="14">
        <f t="shared" si="124"/>
        <v>952</v>
      </c>
      <c r="CR180" s="14">
        <v>116</v>
      </c>
      <c r="CS180" s="14">
        <v>351</v>
      </c>
      <c r="CT180" s="14">
        <v>168</v>
      </c>
      <c r="CU180" s="14">
        <v>8</v>
      </c>
    </row>
    <row r="181" spans="1:99" x14ac:dyDescent="0.3">
      <c r="A181" s="14">
        <v>2015</v>
      </c>
      <c r="B181" s="14" t="s">
        <v>31</v>
      </c>
      <c r="C181" s="14" t="s">
        <v>32</v>
      </c>
      <c r="D181" s="15">
        <v>11002.7</v>
      </c>
      <c r="E181" s="15">
        <v>552166.00000000012</v>
      </c>
      <c r="F181" s="15">
        <f t="shared" si="125"/>
        <v>50.18459105492289</v>
      </c>
      <c r="AB181" s="14">
        <f t="shared" si="126"/>
        <v>0</v>
      </c>
      <c r="AM181" s="14">
        <f t="shared" si="127"/>
        <v>0</v>
      </c>
      <c r="AQ181" s="14">
        <f t="shared" si="128"/>
        <v>0</v>
      </c>
      <c r="AT181" s="14">
        <f t="shared" si="129"/>
        <v>0</v>
      </c>
      <c r="AU181" s="16">
        <v>820</v>
      </c>
      <c r="AV181" s="16">
        <v>996</v>
      </c>
      <c r="AW181" s="16">
        <v>0</v>
      </c>
      <c r="AX181" s="16">
        <v>0</v>
      </c>
      <c r="AY181" s="18">
        <f t="shared" si="130"/>
        <v>14.85060652050289</v>
      </c>
      <c r="AZ181" s="17">
        <f t="shared" si="131"/>
        <v>18.038053773683998</v>
      </c>
      <c r="BA181" s="17">
        <f t="shared" si="132"/>
        <v>0</v>
      </c>
      <c r="BB181" s="17">
        <f t="shared" si="133"/>
        <v>0</v>
      </c>
      <c r="BC181" s="17">
        <f t="shared" si="101"/>
        <v>0</v>
      </c>
      <c r="BD181" s="17">
        <f t="shared" si="102"/>
        <v>0</v>
      </c>
      <c r="BE181" s="17">
        <f t="shared" si="103"/>
        <v>0</v>
      </c>
      <c r="BF181" s="17">
        <f t="shared" si="104"/>
        <v>0</v>
      </c>
      <c r="BG181" s="17">
        <f t="shared" si="105"/>
        <v>0</v>
      </c>
      <c r="BH181" s="17">
        <f t="shared" si="106"/>
        <v>0</v>
      </c>
      <c r="BI181" s="17">
        <f t="shared" si="107"/>
        <v>0</v>
      </c>
      <c r="BJ181" s="17">
        <f t="shared" si="108"/>
        <v>0</v>
      </c>
      <c r="BK181" s="17">
        <f t="shared" si="109"/>
        <v>0</v>
      </c>
      <c r="BL181" s="17">
        <f t="shared" si="110"/>
        <v>0</v>
      </c>
      <c r="BM181" s="17">
        <f t="shared" si="111"/>
        <v>0</v>
      </c>
      <c r="BN181" s="17">
        <f t="shared" si="112"/>
        <v>0</v>
      </c>
      <c r="BO181" s="17">
        <f t="shared" si="113"/>
        <v>0</v>
      </c>
      <c r="BP181" s="17">
        <f t="shared" si="114"/>
        <v>0</v>
      </c>
      <c r="BQ181" s="17">
        <f t="shared" si="115"/>
        <v>0</v>
      </c>
      <c r="BR181" s="17">
        <f t="shared" si="116"/>
        <v>0</v>
      </c>
      <c r="BS181" s="17">
        <f t="shared" si="117"/>
        <v>0</v>
      </c>
      <c r="BT181" s="17">
        <f t="shared" si="118"/>
        <v>0</v>
      </c>
      <c r="BU181" s="17">
        <f t="shared" si="119"/>
        <v>0</v>
      </c>
      <c r="BV181" s="17">
        <f t="shared" si="120"/>
        <v>0</v>
      </c>
      <c r="BW181" s="17">
        <f t="shared" si="121"/>
        <v>0</v>
      </c>
      <c r="BX181" s="17">
        <f t="shared" si="122"/>
        <v>0</v>
      </c>
      <c r="BY181" s="17">
        <f t="shared" si="123"/>
        <v>0</v>
      </c>
      <c r="BZ181" s="17">
        <f t="shared" si="134"/>
        <v>0</v>
      </c>
      <c r="CA181" s="17">
        <f t="shared" si="135"/>
        <v>0</v>
      </c>
      <c r="CB181" s="17">
        <f t="shared" si="136"/>
        <v>0</v>
      </c>
      <c r="CC181" s="17">
        <f t="shared" si="137"/>
        <v>0</v>
      </c>
      <c r="CD181" s="17">
        <f t="shared" si="138"/>
        <v>0</v>
      </c>
      <c r="CE181" s="17">
        <f t="shared" si="139"/>
        <v>0</v>
      </c>
      <c r="CF181" s="17">
        <f t="shared" si="140"/>
        <v>0</v>
      </c>
      <c r="CG181" s="17">
        <f t="shared" si="141"/>
        <v>0</v>
      </c>
      <c r="CH181" s="17">
        <f t="shared" si="142"/>
        <v>0</v>
      </c>
      <c r="CI181" s="17">
        <f t="shared" si="143"/>
        <v>0</v>
      </c>
      <c r="CJ181" s="17">
        <f t="shared" si="144"/>
        <v>0</v>
      </c>
      <c r="CK181" s="17">
        <f t="shared" si="145"/>
        <v>0</v>
      </c>
      <c r="CL181" s="17">
        <f t="shared" si="146"/>
        <v>0</v>
      </c>
      <c r="CM181" s="14">
        <f t="shared" si="147"/>
        <v>996</v>
      </c>
      <c r="CN181" s="17">
        <f t="shared" si="148"/>
        <v>18.038053773683998</v>
      </c>
      <c r="CO181" s="14">
        <f t="shared" si="149"/>
        <v>1816</v>
      </c>
      <c r="CP181" s="17">
        <f t="shared" si="150"/>
        <v>32.888660294186884</v>
      </c>
      <c r="CQ181" s="14">
        <f t="shared" si="124"/>
        <v>1816</v>
      </c>
      <c r="CR181" s="14">
        <v>0</v>
      </c>
      <c r="CS181" s="14">
        <v>0</v>
      </c>
      <c r="CT181" s="14">
        <v>0</v>
      </c>
      <c r="CU181" s="14">
        <v>0</v>
      </c>
    </row>
    <row r="182" spans="1:99" x14ac:dyDescent="0.3">
      <c r="A182" s="14">
        <v>2016</v>
      </c>
      <c r="B182" s="14" t="s">
        <v>31</v>
      </c>
      <c r="C182" s="14" t="s">
        <v>32</v>
      </c>
      <c r="D182" s="15">
        <v>11070.9</v>
      </c>
      <c r="E182" s="15">
        <v>558394.50000000035</v>
      </c>
      <c r="F182" s="15">
        <f t="shared" si="125"/>
        <v>50.438040267728944</v>
      </c>
      <c r="G182" s="14">
        <v>4</v>
      </c>
      <c r="H182" s="14">
        <v>4</v>
      </c>
      <c r="AB182" s="14">
        <f t="shared" si="126"/>
        <v>0</v>
      </c>
      <c r="AM182" s="14">
        <f t="shared" si="127"/>
        <v>0</v>
      </c>
      <c r="AQ182" s="14">
        <f t="shared" si="128"/>
        <v>0</v>
      </c>
      <c r="AT182" s="14">
        <f t="shared" si="129"/>
        <v>0</v>
      </c>
      <c r="AU182" s="16">
        <v>816</v>
      </c>
      <c r="AV182" s="16">
        <v>1224</v>
      </c>
      <c r="AW182" s="16">
        <v>0</v>
      </c>
      <c r="AX182" s="16">
        <v>0</v>
      </c>
      <c r="AY182" s="18">
        <f t="shared" si="130"/>
        <v>14.613324450724344</v>
      </c>
      <c r="AZ182" s="17">
        <f t="shared" si="131"/>
        <v>21.919986676086516</v>
      </c>
      <c r="BA182" s="17">
        <f t="shared" si="132"/>
        <v>0</v>
      </c>
      <c r="BB182" s="17">
        <f t="shared" si="133"/>
        <v>0</v>
      </c>
      <c r="BC182" s="17">
        <f t="shared" si="101"/>
        <v>7.1633943385903648E-2</v>
      </c>
      <c r="BD182" s="17">
        <f t="shared" si="102"/>
        <v>7.1633943385903648E-2</v>
      </c>
      <c r="BE182" s="17">
        <f t="shared" si="103"/>
        <v>0</v>
      </c>
      <c r="BF182" s="17">
        <f t="shared" si="104"/>
        <v>0</v>
      </c>
      <c r="BG182" s="17">
        <f t="shared" si="105"/>
        <v>0</v>
      </c>
      <c r="BH182" s="17">
        <f t="shared" si="106"/>
        <v>0</v>
      </c>
      <c r="BI182" s="17">
        <f t="shared" si="107"/>
        <v>0</v>
      </c>
      <c r="BJ182" s="17">
        <f t="shared" si="108"/>
        <v>0</v>
      </c>
      <c r="BK182" s="17">
        <f t="shared" si="109"/>
        <v>0</v>
      </c>
      <c r="BL182" s="17">
        <f t="shared" si="110"/>
        <v>0</v>
      </c>
      <c r="BM182" s="17">
        <f t="shared" si="111"/>
        <v>0</v>
      </c>
      <c r="BN182" s="17">
        <f t="shared" si="112"/>
        <v>0</v>
      </c>
      <c r="BO182" s="17">
        <f t="shared" si="113"/>
        <v>0</v>
      </c>
      <c r="BP182" s="17">
        <f t="shared" si="114"/>
        <v>0</v>
      </c>
      <c r="BQ182" s="17">
        <f t="shared" si="115"/>
        <v>0</v>
      </c>
      <c r="BR182" s="17">
        <f t="shared" si="116"/>
        <v>0</v>
      </c>
      <c r="BS182" s="17">
        <f t="shared" si="117"/>
        <v>0</v>
      </c>
      <c r="BT182" s="17">
        <f t="shared" si="118"/>
        <v>0</v>
      </c>
      <c r="BU182" s="17">
        <f t="shared" si="119"/>
        <v>0</v>
      </c>
      <c r="BV182" s="17">
        <f t="shared" si="120"/>
        <v>0</v>
      </c>
      <c r="BW182" s="17">
        <f t="shared" si="121"/>
        <v>0</v>
      </c>
      <c r="BX182" s="17">
        <f t="shared" si="122"/>
        <v>0</v>
      </c>
      <c r="BY182" s="17">
        <f t="shared" si="123"/>
        <v>0</v>
      </c>
      <c r="BZ182" s="17">
        <f t="shared" si="134"/>
        <v>0</v>
      </c>
      <c r="CA182" s="17">
        <f t="shared" si="135"/>
        <v>0</v>
      </c>
      <c r="CB182" s="17">
        <f t="shared" si="136"/>
        <v>0</v>
      </c>
      <c r="CC182" s="17">
        <f t="shared" si="137"/>
        <v>0</v>
      </c>
      <c r="CD182" s="17">
        <f t="shared" si="138"/>
        <v>0</v>
      </c>
      <c r="CE182" s="17">
        <f t="shared" si="139"/>
        <v>0</v>
      </c>
      <c r="CF182" s="17">
        <f t="shared" si="140"/>
        <v>0</v>
      </c>
      <c r="CG182" s="17">
        <f t="shared" si="141"/>
        <v>0</v>
      </c>
      <c r="CH182" s="17">
        <f t="shared" si="142"/>
        <v>0</v>
      </c>
      <c r="CI182" s="17">
        <f t="shared" si="143"/>
        <v>0</v>
      </c>
      <c r="CJ182" s="17">
        <f t="shared" si="144"/>
        <v>0</v>
      </c>
      <c r="CK182" s="17">
        <f t="shared" si="145"/>
        <v>0</v>
      </c>
      <c r="CL182" s="17">
        <f t="shared" si="146"/>
        <v>0</v>
      </c>
      <c r="CM182" s="14">
        <f t="shared" si="147"/>
        <v>1224</v>
      </c>
      <c r="CN182" s="17">
        <f t="shared" si="148"/>
        <v>21.919986676086516</v>
      </c>
      <c r="CO182" s="14">
        <f t="shared" si="149"/>
        <v>2040</v>
      </c>
      <c r="CP182" s="17">
        <f t="shared" si="150"/>
        <v>36.533311126810858</v>
      </c>
      <c r="CQ182" s="14">
        <f t="shared" si="124"/>
        <v>2048</v>
      </c>
      <c r="CR182" s="14">
        <v>0</v>
      </c>
      <c r="CS182" s="14">
        <v>0</v>
      </c>
      <c r="CT182" s="14">
        <v>0</v>
      </c>
      <c r="CU182" s="14">
        <v>0</v>
      </c>
    </row>
    <row r="183" spans="1:99" x14ac:dyDescent="0.3">
      <c r="A183" s="14">
        <v>2017</v>
      </c>
      <c r="B183" s="14" t="s">
        <v>31</v>
      </c>
      <c r="C183" s="14" t="s">
        <v>32</v>
      </c>
      <c r="D183" s="15">
        <v>11160.3</v>
      </c>
      <c r="E183" s="15">
        <v>564954.00000000035</v>
      </c>
      <c r="F183" s="15">
        <f t="shared" si="125"/>
        <v>50.621757479637679</v>
      </c>
      <c r="AB183" s="14">
        <f t="shared" si="126"/>
        <v>0</v>
      </c>
      <c r="AM183" s="14">
        <f t="shared" si="127"/>
        <v>0</v>
      </c>
      <c r="AQ183" s="14">
        <f t="shared" si="128"/>
        <v>0</v>
      </c>
      <c r="AT183" s="14">
        <f t="shared" si="129"/>
        <v>0</v>
      </c>
      <c r="AU183" s="16">
        <v>0</v>
      </c>
      <c r="AV183" s="16">
        <v>1376</v>
      </c>
      <c r="AW183" s="16">
        <v>0</v>
      </c>
      <c r="AX183" s="16">
        <v>0</v>
      </c>
      <c r="AY183" s="18">
        <f t="shared" si="130"/>
        <v>0</v>
      </c>
      <c r="AZ183" s="17">
        <f t="shared" si="131"/>
        <v>24.355965264428594</v>
      </c>
      <c r="BA183" s="17">
        <f t="shared" si="132"/>
        <v>0</v>
      </c>
      <c r="BB183" s="17">
        <f t="shared" si="133"/>
        <v>0</v>
      </c>
      <c r="BC183" s="17">
        <f t="shared" si="101"/>
        <v>0</v>
      </c>
      <c r="BD183" s="17">
        <f t="shared" si="102"/>
        <v>0</v>
      </c>
      <c r="BE183" s="17">
        <f t="shared" si="103"/>
        <v>0</v>
      </c>
      <c r="BF183" s="17">
        <f t="shared" si="104"/>
        <v>0</v>
      </c>
      <c r="BG183" s="17">
        <f t="shared" si="105"/>
        <v>0</v>
      </c>
      <c r="BH183" s="17">
        <f t="shared" si="106"/>
        <v>0</v>
      </c>
      <c r="BI183" s="17">
        <f t="shared" si="107"/>
        <v>0</v>
      </c>
      <c r="BJ183" s="17">
        <f t="shared" si="108"/>
        <v>0</v>
      </c>
      <c r="BK183" s="17">
        <f t="shared" si="109"/>
        <v>0</v>
      </c>
      <c r="BL183" s="17">
        <f t="shared" si="110"/>
        <v>0</v>
      </c>
      <c r="BM183" s="17">
        <f t="shared" si="111"/>
        <v>0</v>
      </c>
      <c r="BN183" s="17">
        <f t="shared" si="112"/>
        <v>0</v>
      </c>
      <c r="BO183" s="17">
        <f t="shared" si="113"/>
        <v>0</v>
      </c>
      <c r="BP183" s="17">
        <f t="shared" si="114"/>
        <v>0</v>
      </c>
      <c r="BQ183" s="17">
        <f t="shared" si="115"/>
        <v>0</v>
      </c>
      <c r="BR183" s="17">
        <f t="shared" si="116"/>
        <v>0</v>
      </c>
      <c r="BS183" s="17">
        <f t="shared" si="117"/>
        <v>0</v>
      </c>
      <c r="BT183" s="17">
        <f t="shared" si="118"/>
        <v>0</v>
      </c>
      <c r="BU183" s="17">
        <f t="shared" si="119"/>
        <v>0</v>
      </c>
      <c r="BV183" s="17">
        <f t="shared" si="120"/>
        <v>0</v>
      </c>
      <c r="BW183" s="17">
        <f t="shared" si="121"/>
        <v>0</v>
      </c>
      <c r="BX183" s="17">
        <f t="shared" si="122"/>
        <v>0</v>
      </c>
      <c r="BY183" s="17">
        <f t="shared" si="123"/>
        <v>0</v>
      </c>
      <c r="BZ183" s="17">
        <f t="shared" si="134"/>
        <v>0</v>
      </c>
      <c r="CA183" s="17">
        <f t="shared" si="135"/>
        <v>0</v>
      </c>
      <c r="CB183" s="17">
        <f t="shared" si="136"/>
        <v>0</v>
      </c>
      <c r="CC183" s="17">
        <f t="shared" si="137"/>
        <v>0</v>
      </c>
      <c r="CD183" s="17">
        <f t="shared" si="138"/>
        <v>0</v>
      </c>
      <c r="CE183" s="17">
        <f t="shared" si="139"/>
        <v>0</v>
      </c>
      <c r="CF183" s="17">
        <f t="shared" si="140"/>
        <v>0</v>
      </c>
      <c r="CG183" s="17">
        <f t="shared" si="141"/>
        <v>0</v>
      </c>
      <c r="CH183" s="17">
        <f t="shared" si="142"/>
        <v>0</v>
      </c>
      <c r="CI183" s="17">
        <f t="shared" si="143"/>
        <v>0</v>
      </c>
      <c r="CJ183" s="17">
        <f t="shared" si="144"/>
        <v>0</v>
      </c>
      <c r="CK183" s="17">
        <f t="shared" si="145"/>
        <v>0</v>
      </c>
      <c r="CL183" s="17">
        <f t="shared" si="146"/>
        <v>0</v>
      </c>
      <c r="CM183" s="14">
        <f t="shared" si="147"/>
        <v>1376</v>
      </c>
      <c r="CN183" s="17">
        <f t="shared" si="148"/>
        <v>24.355965264428594</v>
      </c>
      <c r="CO183" s="14">
        <f t="shared" si="149"/>
        <v>1376</v>
      </c>
      <c r="CP183" s="17">
        <f t="shared" si="150"/>
        <v>24.355965264428594</v>
      </c>
      <c r="CQ183" s="14">
        <f t="shared" si="124"/>
        <v>1376</v>
      </c>
      <c r="CR183" s="14">
        <v>1210</v>
      </c>
      <c r="CS183" s="14">
        <v>0</v>
      </c>
      <c r="CT183" s="14">
        <v>0</v>
      </c>
      <c r="CU183" s="14">
        <v>0</v>
      </c>
    </row>
    <row r="184" spans="1:99" x14ac:dyDescent="0.3">
      <c r="A184" s="14">
        <v>2018</v>
      </c>
      <c r="B184" s="14" t="s">
        <v>31</v>
      </c>
      <c r="C184" s="14" t="s">
        <v>32</v>
      </c>
      <c r="D184" s="15">
        <v>10880.9</v>
      </c>
      <c r="E184" s="15">
        <v>571201.5</v>
      </c>
      <c r="F184" s="15">
        <f t="shared" si="125"/>
        <v>52.495795384572972</v>
      </c>
      <c r="G184" s="14">
        <v>81</v>
      </c>
      <c r="H184" s="14">
        <v>172</v>
      </c>
      <c r="M184" s="14">
        <v>117</v>
      </c>
      <c r="Z184" s="14">
        <v>65</v>
      </c>
      <c r="AB184" s="14">
        <f t="shared" si="126"/>
        <v>0</v>
      </c>
      <c r="AM184" s="14">
        <f t="shared" si="127"/>
        <v>0</v>
      </c>
      <c r="AQ184" s="14">
        <f t="shared" si="128"/>
        <v>0</v>
      </c>
      <c r="AT184" s="14">
        <f t="shared" si="129"/>
        <v>0</v>
      </c>
      <c r="AU184" s="16">
        <v>916</v>
      </c>
      <c r="AV184" s="16">
        <v>1412</v>
      </c>
      <c r="AW184" s="16">
        <v>0</v>
      </c>
      <c r="AX184" s="16">
        <v>0</v>
      </c>
      <c r="AY184" s="18">
        <f t="shared" si="130"/>
        <v>16.036372453503709</v>
      </c>
      <c r="AZ184" s="17">
        <f t="shared" si="131"/>
        <v>24.719823039680392</v>
      </c>
      <c r="BA184" s="17">
        <f t="shared" si="132"/>
        <v>0</v>
      </c>
      <c r="BB184" s="17">
        <f t="shared" si="133"/>
        <v>0</v>
      </c>
      <c r="BC184" s="17">
        <f t="shared" si="101"/>
        <v>1.4180635029844986</v>
      </c>
      <c r="BD184" s="17">
        <f t="shared" si="102"/>
        <v>3.0111965742386881</v>
      </c>
      <c r="BE184" s="17">
        <f t="shared" si="103"/>
        <v>0</v>
      </c>
      <c r="BF184" s="17">
        <f t="shared" si="104"/>
        <v>0</v>
      </c>
      <c r="BG184" s="17">
        <f t="shared" si="105"/>
        <v>0</v>
      </c>
      <c r="BH184" s="17">
        <f t="shared" si="106"/>
        <v>0</v>
      </c>
      <c r="BI184" s="17">
        <f t="shared" si="107"/>
        <v>2.0483139487553865</v>
      </c>
      <c r="BJ184" s="17">
        <f t="shared" si="108"/>
        <v>0</v>
      </c>
      <c r="BK184" s="17">
        <f t="shared" si="109"/>
        <v>0</v>
      </c>
      <c r="BL184" s="17">
        <f t="shared" si="110"/>
        <v>0</v>
      </c>
      <c r="BM184" s="17">
        <f t="shared" si="111"/>
        <v>0</v>
      </c>
      <c r="BN184" s="17">
        <f t="shared" si="112"/>
        <v>0</v>
      </c>
      <c r="BO184" s="17">
        <f t="shared" si="113"/>
        <v>0</v>
      </c>
      <c r="BP184" s="17">
        <f t="shared" si="114"/>
        <v>0</v>
      </c>
      <c r="BQ184" s="17">
        <f t="shared" si="115"/>
        <v>0</v>
      </c>
      <c r="BR184" s="17">
        <f t="shared" si="116"/>
        <v>0</v>
      </c>
      <c r="BS184" s="17">
        <f t="shared" si="117"/>
        <v>0</v>
      </c>
      <c r="BT184" s="17">
        <f t="shared" si="118"/>
        <v>0</v>
      </c>
      <c r="BU184" s="17">
        <f t="shared" si="119"/>
        <v>0</v>
      </c>
      <c r="BV184" s="17">
        <f t="shared" si="120"/>
        <v>1.1379521937529926</v>
      </c>
      <c r="BW184" s="17">
        <f t="shared" si="121"/>
        <v>0</v>
      </c>
      <c r="BX184" s="17">
        <f t="shared" si="122"/>
        <v>0</v>
      </c>
      <c r="BY184" s="17">
        <f t="shared" si="123"/>
        <v>0</v>
      </c>
      <c r="BZ184" s="17">
        <f t="shared" si="134"/>
        <v>0</v>
      </c>
      <c r="CA184" s="17">
        <f t="shared" si="135"/>
        <v>0</v>
      </c>
      <c r="CB184" s="17">
        <f t="shared" si="136"/>
        <v>0</v>
      </c>
      <c r="CC184" s="17">
        <f t="shared" si="137"/>
        <v>0</v>
      </c>
      <c r="CD184" s="17">
        <f t="shared" si="138"/>
        <v>0</v>
      </c>
      <c r="CE184" s="17">
        <f t="shared" si="139"/>
        <v>0</v>
      </c>
      <c r="CF184" s="17">
        <f t="shared" si="140"/>
        <v>0</v>
      </c>
      <c r="CG184" s="17">
        <f t="shared" si="141"/>
        <v>0</v>
      </c>
      <c r="CH184" s="17">
        <f t="shared" si="142"/>
        <v>0</v>
      </c>
      <c r="CI184" s="17">
        <f t="shared" si="143"/>
        <v>0</v>
      </c>
      <c r="CJ184" s="17">
        <f t="shared" si="144"/>
        <v>0</v>
      </c>
      <c r="CK184" s="17">
        <f t="shared" si="145"/>
        <v>0</v>
      </c>
      <c r="CL184" s="17">
        <f t="shared" si="146"/>
        <v>0</v>
      </c>
      <c r="CM184" s="14">
        <f t="shared" si="147"/>
        <v>1412</v>
      </c>
      <c r="CN184" s="17">
        <f t="shared" si="148"/>
        <v>24.719823039680392</v>
      </c>
      <c r="CO184" s="14">
        <f t="shared" si="149"/>
        <v>2328</v>
      </c>
      <c r="CP184" s="17">
        <f t="shared" si="150"/>
        <v>40.756195493184102</v>
      </c>
      <c r="CQ184" s="14">
        <f t="shared" si="124"/>
        <v>2763</v>
      </c>
      <c r="CR184" s="14">
        <v>570</v>
      </c>
      <c r="CS184" s="14">
        <v>2168</v>
      </c>
      <c r="CT184" s="14">
        <v>0</v>
      </c>
      <c r="CU184" s="14">
        <v>3207</v>
      </c>
    </row>
    <row r="185" spans="1:99" x14ac:dyDescent="0.3">
      <c r="A185" s="14">
        <v>2019</v>
      </c>
      <c r="B185" s="14" t="s">
        <v>31</v>
      </c>
      <c r="C185" s="14" t="s">
        <v>32</v>
      </c>
      <c r="D185" s="15">
        <v>10569</v>
      </c>
      <c r="E185" s="15">
        <v>577030.49999999965</v>
      </c>
      <c r="F185" s="15">
        <f t="shared" si="125"/>
        <v>54.596508657394232</v>
      </c>
      <c r="G185" s="14">
        <v>120</v>
      </c>
      <c r="N185" s="14">
        <v>74</v>
      </c>
      <c r="O185" s="14">
        <v>20</v>
      </c>
      <c r="AB185" s="14">
        <f t="shared" si="126"/>
        <v>20</v>
      </c>
      <c r="AM185" s="14">
        <f t="shared" si="127"/>
        <v>0</v>
      </c>
      <c r="AQ185" s="14">
        <f t="shared" si="128"/>
        <v>0</v>
      </c>
      <c r="AT185" s="14">
        <f t="shared" si="129"/>
        <v>0</v>
      </c>
      <c r="AU185" s="16">
        <v>0</v>
      </c>
      <c r="AV185" s="16">
        <v>0</v>
      </c>
      <c r="AW185" s="16">
        <v>0</v>
      </c>
      <c r="AX185" s="16">
        <v>0</v>
      </c>
      <c r="AY185" s="18">
        <f t="shared" si="130"/>
        <v>0</v>
      </c>
      <c r="AZ185" s="17">
        <f t="shared" si="131"/>
        <v>0</v>
      </c>
      <c r="BA185" s="17">
        <f t="shared" si="132"/>
        <v>0</v>
      </c>
      <c r="BB185" s="17">
        <f t="shared" si="133"/>
        <v>0</v>
      </c>
      <c r="BC185" s="17">
        <f t="shared" si="101"/>
        <v>2.0796127761010914</v>
      </c>
      <c r="BD185" s="17">
        <f t="shared" si="102"/>
        <v>0</v>
      </c>
      <c r="BE185" s="17">
        <f t="shared" si="103"/>
        <v>0</v>
      </c>
      <c r="BF185" s="17">
        <f t="shared" si="104"/>
        <v>0</v>
      </c>
      <c r="BG185" s="17">
        <f t="shared" si="105"/>
        <v>0</v>
      </c>
      <c r="BH185" s="17">
        <f t="shared" si="106"/>
        <v>0</v>
      </c>
      <c r="BI185" s="17">
        <f t="shared" si="107"/>
        <v>0</v>
      </c>
      <c r="BJ185" s="17">
        <f t="shared" si="108"/>
        <v>1.2824278785956729</v>
      </c>
      <c r="BK185" s="17">
        <f t="shared" si="109"/>
        <v>0.34660212935018186</v>
      </c>
      <c r="BL185" s="17">
        <f t="shared" si="110"/>
        <v>0</v>
      </c>
      <c r="BM185" s="17">
        <f t="shared" si="111"/>
        <v>0</v>
      </c>
      <c r="BN185" s="17">
        <f t="shared" si="112"/>
        <v>0</v>
      </c>
      <c r="BO185" s="17">
        <f t="shared" si="113"/>
        <v>0</v>
      </c>
      <c r="BP185" s="17">
        <f t="shared" si="114"/>
        <v>0</v>
      </c>
      <c r="BQ185" s="17">
        <f t="shared" si="115"/>
        <v>0</v>
      </c>
      <c r="BR185" s="17">
        <f t="shared" si="116"/>
        <v>0</v>
      </c>
      <c r="BS185" s="17">
        <f t="shared" si="117"/>
        <v>0</v>
      </c>
      <c r="BT185" s="17">
        <f t="shared" si="118"/>
        <v>0</v>
      </c>
      <c r="BU185" s="17">
        <f t="shared" si="119"/>
        <v>0</v>
      </c>
      <c r="BV185" s="17">
        <f t="shared" si="120"/>
        <v>0</v>
      </c>
      <c r="BW185" s="17">
        <f t="shared" si="121"/>
        <v>0</v>
      </c>
      <c r="BX185" s="17">
        <f t="shared" si="122"/>
        <v>0</v>
      </c>
      <c r="BY185" s="17">
        <f t="shared" si="123"/>
        <v>0</v>
      </c>
      <c r="BZ185" s="17">
        <f t="shared" si="134"/>
        <v>0</v>
      </c>
      <c r="CA185" s="17">
        <f t="shared" si="135"/>
        <v>0</v>
      </c>
      <c r="CB185" s="17">
        <f t="shared" si="136"/>
        <v>0</v>
      </c>
      <c r="CC185" s="17">
        <f t="shared" si="137"/>
        <v>0</v>
      </c>
      <c r="CD185" s="17">
        <f t="shared" si="138"/>
        <v>0</v>
      </c>
      <c r="CE185" s="17">
        <f t="shared" si="139"/>
        <v>0</v>
      </c>
      <c r="CF185" s="17">
        <f t="shared" si="140"/>
        <v>0</v>
      </c>
      <c r="CG185" s="17">
        <f t="shared" si="141"/>
        <v>0</v>
      </c>
      <c r="CH185" s="17">
        <f t="shared" si="142"/>
        <v>0</v>
      </c>
      <c r="CI185" s="17">
        <f t="shared" si="143"/>
        <v>0</v>
      </c>
      <c r="CJ185" s="17">
        <f t="shared" si="144"/>
        <v>0</v>
      </c>
      <c r="CK185" s="17">
        <f t="shared" si="145"/>
        <v>0</v>
      </c>
      <c r="CL185" s="17">
        <f t="shared" si="146"/>
        <v>0</v>
      </c>
      <c r="CM185" s="14">
        <f t="shared" si="147"/>
        <v>0</v>
      </c>
      <c r="CN185" s="17">
        <f t="shared" si="148"/>
        <v>0</v>
      </c>
      <c r="CO185" s="14">
        <f t="shared" si="149"/>
        <v>0</v>
      </c>
      <c r="CP185" s="17">
        <f t="shared" si="150"/>
        <v>0</v>
      </c>
      <c r="CQ185" s="14">
        <f t="shared" si="124"/>
        <v>234</v>
      </c>
      <c r="CR185" s="14">
        <v>577</v>
      </c>
      <c r="CS185" s="14">
        <v>0</v>
      </c>
      <c r="CT185" s="14">
        <v>0</v>
      </c>
      <c r="CU185" s="14">
        <v>0</v>
      </c>
    </row>
    <row r="186" spans="1:99" x14ac:dyDescent="0.3">
      <c r="A186" s="14">
        <v>2020</v>
      </c>
      <c r="B186" s="14" t="s">
        <v>31</v>
      </c>
      <c r="C186" s="14" t="s">
        <v>32</v>
      </c>
      <c r="D186" s="15">
        <v>10491.7</v>
      </c>
      <c r="E186" s="15">
        <v>582640.00000000023</v>
      </c>
      <c r="F186" s="15">
        <f t="shared" si="125"/>
        <v>55.533421657119455</v>
      </c>
      <c r="AB186" s="14">
        <f t="shared" si="126"/>
        <v>0</v>
      </c>
      <c r="AM186" s="14">
        <f t="shared" si="127"/>
        <v>0</v>
      </c>
      <c r="AQ186" s="14">
        <f t="shared" si="128"/>
        <v>0</v>
      </c>
      <c r="AT186" s="14">
        <f t="shared" si="129"/>
        <v>0</v>
      </c>
      <c r="AU186" s="16">
        <v>0</v>
      </c>
      <c r="AV186" s="16">
        <v>0</v>
      </c>
      <c r="AW186" s="16">
        <v>0</v>
      </c>
      <c r="AX186" s="16">
        <v>0</v>
      </c>
      <c r="AY186" s="18">
        <f t="shared" si="130"/>
        <v>0</v>
      </c>
      <c r="AZ186" s="17">
        <f t="shared" si="131"/>
        <v>0</v>
      </c>
      <c r="BA186" s="17">
        <f t="shared" si="132"/>
        <v>0</v>
      </c>
      <c r="BB186" s="17">
        <f t="shared" si="133"/>
        <v>0</v>
      </c>
      <c r="BC186" s="17">
        <f t="shared" si="101"/>
        <v>0</v>
      </c>
      <c r="BD186" s="17">
        <f t="shared" si="102"/>
        <v>0</v>
      </c>
      <c r="BE186" s="17">
        <f t="shared" si="103"/>
        <v>0</v>
      </c>
      <c r="BF186" s="17">
        <f t="shared" si="104"/>
        <v>0</v>
      </c>
      <c r="BG186" s="17">
        <f t="shared" si="105"/>
        <v>0</v>
      </c>
      <c r="BH186" s="17">
        <f t="shared" si="106"/>
        <v>0</v>
      </c>
      <c r="BI186" s="17">
        <f t="shared" si="107"/>
        <v>0</v>
      </c>
      <c r="BJ186" s="17">
        <f t="shared" si="108"/>
        <v>0</v>
      </c>
      <c r="BK186" s="17">
        <f t="shared" si="109"/>
        <v>0</v>
      </c>
      <c r="BL186" s="17">
        <f t="shared" si="110"/>
        <v>0</v>
      </c>
      <c r="BM186" s="17">
        <f t="shared" si="111"/>
        <v>0</v>
      </c>
      <c r="BN186" s="17">
        <f t="shared" si="112"/>
        <v>0</v>
      </c>
      <c r="BO186" s="17">
        <f t="shared" si="113"/>
        <v>0</v>
      </c>
      <c r="BP186" s="17">
        <f t="shared" si="114"/>
        <v>0</v>
      </c>
      <c r="BQ186" s="17">
        <f t="shared" si="115"/>
        <v>0</v>
      </c>
      <c r="BR186" s="17">
        <f t="shared" si="116"/>
        <v>0</v>
      </c>
      <c r="BS186" s="17">
        <f t="shared" si="117"/>
        <v>0</v>
      </c>
      <c r="BT186" s="17">
        <f t="shared" si="118"/>
        <v>0</v>
      </c>
      <c r="BU186" s="17">
        <f t="shared" si="119"/>
        <v>0</v>
      </c>
      <c r="BV186" s="17">
        <f t="shared" si="120"/>
        <v>0</v>
      </c>
      <c r="BW186" s="17">
        <f t="shared" si="121"/>
        <v>0</v>
      </c>
      <c r="BX186" s="17">
        <f t="shared" si="122"/>
        <v>0</v>
      </c>
      <c r="BY186" s="17">
        <f t="shared" si="123"/>
        <v>0</v>
      </c>
      <c r="BZ186" s="17">
        <f t="shared" si="134"/>
        <v>0</v>
      </c>
      <c r="CA186" s="17">
        <f t="shared" si="135"/>
        <v>0</v>
      </c>
      <c r="CB186" s="17">
        <f t="shared" si="136"/>
        <v>0</v>
      </c>
      <c r="CC186" s="17">
        <f t="shared" si="137"/>
        <v>0</v>
      </c>
      <c r="CD186" s="17">
        <f t="shared" si="138"/>
        <v>0</v>
      </c>
      <c r="CE186" s="17">
        <f t="shared" si="139"/>
        <v>0</v>
      </c>
      <c r="CF186" s="17">
        <f t="shared" si="140"/>
        <v>0</v>
      </c>
      <c r="CG186" s="17">
        <f t="shared" si="141"/>
        <v>0</v>
      </c>
      <c r="CH186" s="17">
        <f t="shared" si="142"/>
        <v>0</v>
      </c>
      <c r="CI186" s="17">
        <f t="shared" si="143"/>
        <v>0</v>
      </c>
      <c r="CJ186" s="17">
        <f t="shared" si="144"/>
        <v>0</v>
      </c>
      <c r="CK186" s="17">
        <f t="shared" si="145"/>
        <v>0</v>
      </c>
      <c r="CL186" s="17">
        <f t="shared" si="146"/>
        <v>0</v>
      </c>
      <c r="CM186" s="14">
        <f t="shared" si="147"/>
        <v>0</v>
      </c>
      <c r="CN186" s="17">
        <f t="shared" si="148"/>
        <v>0</v>
      </c>
      <c r="CO186" s="14">
        <f t="shared" si="149"/>
        <v>0</v>
      </c>
      <c r="CP186" s="17">
        <f t="shared" si="150"/>
        <v>0</v>
      </c>
      <c r="CQ186" s="14">
        <f t="shared" si="124"/>
        <v>0</v>
      </c>
      <c r="CR186" s="14">
        <v>0</v>
      </c>
      <c r="CS186" s="14">
        <v>0</v>
      </c>
      <c r="CT186" s="14">
        <v>0</v>
      </c>
      <c r="CU186" s="14">
        <v>0</v>
      </c>
    </row>
    <row r="187" spans="1:99" x14ac:dyDescent="0.3">
      <c r="A187" s="14">
        <v>2021</v>
      </c>
      <c r="B187" s="14" t="s">
        <v>31</v>
      </c>
      <c r="C187" s="14" t="s">
        <v>32</v>
      </c>
      <c r="D187" s="15">
        <v>10447</v>
      </c>
      <c r="E187" s="15">
        <v>587925</v>
      </c>
      <c r="F187" s="15">
        <f t="shared" si="125"/>
        <v>56.276921604288312</v>
      </c>
      <c r="AB187" s="14">
        <f t="shared" si="126"/>
        <v>0</v>
      </c>
      <c r="AM187" s="14">
        <f t="shared" si="127"/>
        <v>0</v>
      </c>
      <c r="AQ187" s="14">
        <f t="shared" si="128"/>
        <v>0</v>
      </c>
      <c r="AT187" s="14">
        <f t="shared" si="129"/>
        <v>0</v>
      </c>
      <c r="AU187" s="16">
        <v>0</v>
      </c>
      <c r="AV187" s="16">
        <v>0</v>
      </c>
      <c r="AW187" s="16">
        <v>0</v>
      </c>
      <c r="AX187" s="16">
        <v>0</v>
      </c>
      <c r="AY187" s="18">
        <f t="shared" si="130"/>
        <v>0</v>
      </c>
      <c r="AZ187" s="17">
        <f t="shared" si="131"/>
        <v>0</v>
      </c>
      <c r="BA187" s="17">
        <f t="shared" si="132"/>
        <v>0</v>
      </c>
      <c r="BB187" s="17">
        <f t="shared" si="133"/>
        <v>0</v>
      </c>
      <c r="BC187" s="17">
        <f t="shared" si="101"/>
        <v>0</v>
      </c>
      <c r="BD187" s="17">
        <f t="shared" si="102"/>
        <v>0</v>
      </c>
      <c r="BE187" s="17">
        <f t="shared" si="103"/>
        <v>0</v>
      </c>
      <c r="BF187" s="17">
        <f t="shared" si="104"/>
        <v>0</v>
      </c>
      <c r="BG187" s="17">
        <f t="shared" si="105"/>
        <v>0</v>
      </c>
      <c r="BH187" s="17">
        <f t="shared" si="106"/>
        <v>0</v>
      </c>
      <c r="BI187" s="17">
        <f t="shared" si="107"/>
        <v>0</v>
      </c>
      <c r="BJ187" s="17">
        <f t="shared" si="108"/>
        <v>0</v>
      </c>
      <c r="BK187" s="17">
        <f t="shared" si="109"/>
        <v>0</v>
      </c>
      <c r="BL187" s="17">
        <f t="shared" si="110"/>
        <v>0</v>
      </c>
      <c r="BM187" s="17">
        <f t="shared" si="111"/>
        <v>0</v>
      </c>
      <c r="BN187" s="17">
        <f t="shared" si="112"/>
        <v>0</v>
      </c>
      <c r="BO187" s="17">
        <f t="shared" si="113"/>
        <v>0</v>
      </c>
      <c r="BP187" s="17">
        <f t="shared" si="114"/>
        <v>0</v>
      </c>
      <c r="BQ187" s="17">
        <f t="shared" si="115"/>
        <v>0</v>
      </c>
      <c r="BR187" s="17">
        <f t="shared" si="116"/>
        <v>0</v>
      </c>
      <c r="BS187" s="17">
        <f t="shared" si="117"/>
        <v>0</v>
      </c>
      <c r="BT187" s="17">
        <f t="shared" si="118"/>
        <v>0</v>
      </c>
      <c r="BU187" s="17">
        <f t="shared" si="119"/>
        <v>0</v>
      </c>
      <c r="BV187" s="17">
        <f t="shared" si="120"/>
        <v>0</v>
      </c>
      <c r="BW187" s="17">
        <f t="shared" si="121"/>
        <v>0</v>
      </c>
      <c r="BX187" s="17">
        <f t="shared" si="122"/>
        <v>0</v>
      </c>
      <c r="BY187" s="17">
        <f t="shared" si="123"/>
        <v>0</v>
      </c>
      <c r="BZ187" s="17">
        <f t="shared" si="134"/>
        <v>0</v>
      </c>
      <c r="CA187" s="17">
        <f t="shared" si="135"/>
        <v>0</v>
      </c>
      <c r="CB187" s="17">
        <f t="shared" si="136"/>
        <v>0</v>
      </c>
      <c r="CC187" s="17">
        <f t="shared" si="137"/>
        <v>0</v>
      </c>
      <c r="CD187" s="17">
        <f t="shared" si="138"/>
        <v>0</v>
      </c>
      <c r="CE187" s="17">
        <f t="shared" si="139"/>
        <v>0</v>
      </c>
      <c r="CF187" s="17">
        <f t="shared" si="140"/>
        <v>0</v>
      </c>
      <c r="CG187" s="17">
        <f t="shared" si="141"/>
        <v>0</v>
      </c>
      <c r="CH187" s="17">
        <f t="shared" si="142"/>
        <v>0</v>
      </c>
      <c r="CI187" s="17">
        <f t="shared" si="143"/>
        <v>0</v>
      </c>
      <c r="CJ187" s="17">
        <f t="shared" si="144"/>
        <v>0</v>
      </c>
      <c r="CK187" s="17">
        <f t="shared" si="145"/>
        <v>0</v>
      </c>
      <c r="CL187" s="17">
        <f t="shared" si="146"/>
        <v>0</v>
      </c>
      <c r="CM187" s="14">
        <f t="shared" si="147"/>
        <v>0</v>
      </c>
      <c r="CN187" s="17">
        <f t="shared" si="148"/>
        <v>0</v>
      </c>
      <c r="CO187" s="14">
        <f t="shared" si="149"/>
        <v>0</v>
      </c>
      <c r="CP187" s="17">
        <f t="shared" si="150"/>
        <v>0</v>
      </c>
      <c r="CQ187" s="14">
        <f t="shared" si="124"/>
        <v>0</v>
      </c>
      <c r="CR187" s="14">
        <v>25</v>
      </c>
      <c r="CS187" s="14">
        <v>254</v>
      </c>
      <c r="CT187" s="14">
        <v>6</v>
      </c>
      <c r="CU187" s="14">
        <v>353</v>
      </c>
    </row>
    <row r="188" spans="1:99" x14ac:dyDescent="0.3">
      <c r="A188" s="14">
        <v>2022</v>
      </c>
      <c r="B188" s="14" t="s">
        <v>31</v>
      </c>
      <c r="C188" s="14" t="s">
        <v>32</v>
      </c>
      <c r="D188" s="15">
        <v>10405.299999999999</v>
      </c>
      <c r="E188" s="15">
        <v>593149.50000000012</v>
      </c>
      <c r="F188" s="15">
        <f t="shared" si="125"/>
        <v>57.004555370820654</v>
      </c>
      <c r="G188" s="14">
        <v>10</v>
      </c>
      <c r="H188" s="14">
        <v>23</v>
      </c>
      <c r="I188" s="14">
        <v>0</v>
      </c>
      <c r="J188" s="14">
        <v>0</v>
      </c>
      <c r="K188" s="14">
        <v>0</v>
      </c>
      <c r="L188" s="14">
        <v>0</v>
      </c>
      <c r="M188" s="14">
        <v>155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f t="shared" si="126"/>
        <v>0</v>
      </c>
      <c r="AC188" s="14">
        <v>0</v>
      </c>
      <c r="AD188" s="14">
        <v>0</v>
      </c>
      <c r="AE188" s="14">
        <v>11</v>
      </c>
      <c r="AF188" s="14">
        <v>4</v>
      </c>
      <c r="AG188" s="14">
        <v>0</v>
      </c>
      <c r="AH188" s="14">
        <v>0</v>
      </c>
      <c r="AI188" s="14">
        <v>0</v>
      </c>
      <c r="AJ188" s="14">
        <v>6</v>
      </c>
      <c r="AK188" s="14">
        <v>10</v>
      </c>
      <c r="AL188" s="14">
        <v>0</v>
      </c>
      <c r="AM188" s="14">
        <f t="shared" si="127"/>
        <v>10</v>
      </c>
      <c r="AN188" s="14">
        <v>0</v>
      </c>
      <c r="AO188" s="14">
        <v>0</v>
      </c>
      <c r="AP188" s="14">
        <v>0</v>
      </c>
      <c r="AQ188" s="14">
        <f t="shared" si="128"/>
        <v>0</v>
      </c>
      <c r="AR188" s="14">
        <v>0</v>
      </c>
      <c r="AS188" s="14">
        <v>0</v>
      </c>
      <c r="AT188" s="14">
        <f t="shared" si="129"/>
        <v>0</v>
      </c>
      <c r="AU188" s="16">
        <v>5532</v>
      </c>
      <c r="AV188" s="16">
        <v>1882</v>
      </c>
      <c r="AW188" s="16">
        <v>0</v>
      </c>
      <c r="AX188" s="16">
        <v>0</v>
      </c>
      <c r="AY188" s="18">
        <f t="shared" si="130"/>
        <v>93.264851441331388</v>
      </c>
      <c r="AZ188" s="17">
        <f t="shared" si="131"/>
        <v>31.72893174486364</v>
      </c>
      <c r="BA188" s="17">
        <f t="shared" si="132"/>
        <v>0</v>
      </c>
      <c r="BB188" s="17">
        <f t="shared" si="133"/>
        <v>0</v>
      </c>
      <c r="BC188" s="17">
        <f t="shared" si="101"/>
        <v>0.16859156081224039</v>
      </c>
      <c r="BD188" s="17">
        <f t="shared" si="102"/>
        <v>0.38776058986815287</v>
      </c>
      <c r="BE188" s="17">
        <f t="shared" si="103"/>
        <v>0</v>
      </c>
      <c r="BF188" s="17">
        <f t="shared" si="104"/>
        <v>0</v>
      </c>
      <c r="BG188" s="17">
        <f t="shared" si="105"/>
        <v>0</v>
      </c>
      <c r="BH188" s="17">
        <f t="shared" si="106"/>
        <v>0</v>
      </c>
      <c r="BI188" s="17">
        <f t="shared" si="107"/>
        <v>2.613169192589726</v>
      </c>
      <c r="BJ188" s="17">
        <f t="shared" si="108"/>
        <v>0</v>
      </c>
      <c r="BK188" s="17">
        <f t="shared" si="109"/>
        <v>0</v>
      </c>
      <c r="BL188" s="17">
        <f t="shared" si="110"/>
        <v>0</v>
      </c>
      <c r="BM188" s="17">
        <f t="shared" si="111"/>
        <v>0</v>
      </c>
      <c r="BN188" s="17">
        <f t="shared" si="112"/>
        <v>0</v>
      </c>
      <c r="BO188" s="17">
        <f t="shared" si="113"/>
        <v>0</v>
      </c>
      <c r="BP188" s="17">
        <f t="shared" si="114"/>
        <v>0</v>
      </c>
      <c r="BQ188" s="17">
        <f t="shared" si="115"/>
        <v>0</v>
      </c>
      <c r="BR188" s="17">
        <f t="shared" si="116"/>
        <v>0</v>
      </c>
      <c r="BS188" s="17">
        <f t="shared" si="117"/>
        <v>0</v>
      </c>
      <c r="BT188" s="17">
        <f t="shared" si="118"/>
        <v>0</v>
      </c>
      <c r="BU188" s="17">
        <f t="shared" si="119"/>
        <v>0</v>
      </c>
      <c r="BV188" s="17">
        <f t="shared" si="120"/>
        <v>0</v>
      </c>
      <c r="BW188" s="17">
        <f t="shared" si="121"/>
        <v>0</v>
      </c>
      <c r="BX188" s="17">
        <f t="shared" si="122"/>
        <v>0</v>
      </c>
      <c r="BY188" s="17">
        <f t="shared" si="123"/>
        <v>0</v>
      </c>
      <c r="BZ188" s="17">
        <f t="shared" si="134"/>
        <v>0.18545071689346443</v>
      </c>
      <c r="CA188" s="17">
        <f t="shared" si="135"/>
        <v>6.7436624324896152E-2</v>
      </c>
      <c r="CB188" s="17">
        <f t="shared" si="136"/>
        <v>0</v>
      </c>
      <c r="CC188" s="17">
        <f t="shared" si="137"/>
        <v>0</v>
      </c>
      <c r="CD188" s="17">
        <f t="shared" si="138"/>
        <v>0</v>
      </c>
      <c r="CE188" s="17">
        <f t="shared" si="139"/>
        <v>0.10115493648734424</v>
      </c>
      <c r="CF188" s="17">
        <f t="shared" si="140"/>
        <v>0.16859156081224039</v>
      </c>
      <c r="CG188" s="17">
        <f t="shared" si="141"/>
        <v>0</v>
      </c>
      <c r="CH188" s="17">
        <f t="shared" si="142"/>
        <v>0</v>
      </c>
      <c r="CI188" s="17">
        <f t="shared" si="143"/>
        <v>0</v>
      </c>
      <c r="CJ188" s="17">
        <f t="shared" si="144"/>
        <v>0</v>
      </c>
      <c r="CK188" s="17">
        <f t="shared" si="145"/>
        <v>0</v>
      </c>
      <c r="CL188" s="17">
        <f t="shared" si="146"/>
        <v>0</v>
      </c>
      <c r="CM188" s="14">
        <f t="shared" si="147"/>
        <v>1882</v>
      </c>
      <c r="CN188" s="17">
        <f t="shared" si="148"/>
        <v>31.72893174486364</v>
      </c>
      <c r="CO188" s="14">
        <f t="shared" si="149"/>
        <v>7414</v>
      </c>
      <c r="CP188" s="17">
        <f t="shared" si="150"/>
        <v>124.99378318619502</v>
      </c>
      <c r="CQ188" s="14">
        <f t="shared" si="124"/>
        <v>7643</v>
      </c>
      <c r="CR188" s="14">
        <v>0</v>
      </c>
      <c r="CS188" s="14">
        <v>0</v>
      </c>
      <c r="CT188" s="14">
        <v>0</v>
      </c>
      <c r="CU188" s="14">
        <v>0</v>
      </c>
    </row>
    <row r="189" spans="1:99" x14ac:dyDescent="0.3">
      <c r="A189" s="14">
        <v>2012</v>
      </c>
      <c r="B189" s="14" t="s">
        <v>33</v>
      </c>
      <c r="C189" s="14" t="s">
        <v>34</v>
      </c>
      <c r="D189" s="15">
        <v>791411.5</v>
      </c>
      <c r="E189" s="15">
        <v>21032684.000000004</v>
      </c>
      <c r="F189" s="15">
        <f t="shared" si="125"/>
        <v>26.57616676027579</v>
      </c>
      <c r="AB189" s="14">
        <f t="shared" si="126"/>
        <v>0</v>
      </c>
      <c r="AM189" s="14">
        <f t="shared" si="127"/>
        <v>0</v>
      </c>
      <c r="AQ189" s="14">
        <f t="shared" si="128"/>
        <v>0</v>
      </c>
      <c r="AT189" s="14">
        <f t="shared" si="129"/>
        <v>0</v>
      </c>
      <c r="AU189" s="16">
        <v>0</v>
      </c>
      <c r="AV189" s="16">
        <v>0</v>
      </c>
      <c r="AW189" s="16">
        <v>0</v>
      </c>
      <c r="AX189" s="16">
        <v>0</v>
      </c>
      <c r="AY189" s="18">
        <f t="shared" si="130"/>
        <v>0</v>
      </c>
      <c r="AZ189" s="17">
        <f t="shared" si="131"/>
        <v>0</v>
      </c>
      <c r="BA189" s="17">
        <f t="shared" si="132"/>
        <v>0</v>
      </c>
      <c r="BB189" s="17">
        <f t="shared" si="133"/>
        <v>0</v>
      </c>
      <c r="BC189" s="17">
        <f t="shared" si="101"/>
        <v>0</v>
      </c>
      <c r="BD189" s="17">
        <f t="shared" si="102"/>
        <v>0</v>
      </c>
      <c r="BE189" s="17">
        <f t="shared" si="103"/>
        <v>0</v>
      </c>
      <c r="BF189" s="17">
        <f t="shared" si="104"/>
        <v>0</v>
      </c>
      <c r="BG189" s="17">
        <f t="shared" si="105"/>
        <v>0</v>
      </c>
      <c r="BH189" s="17">
        <f t="shared" si="106"/>
        <v>0</v>
      </c>
      <c r="BI189" s="17">
        <f t="shared" si="107"/>
        <v>0</v>
      </c>
      <c r="BJ189" s="17">
        <f t="shared" si="108"/>
        <v>0</v>
      </c>
      <c r="BK189" s="17">
        <f t="shared" si="109"/>
        <v>0</v>
      </c>
      <c r="BL189" s="17">
        <f t="shared" si="110"/>
        <v>0</v>
      </c>
      <c r="BM189" s="17">
        <f t="shared" si="111"/>
        <v>0</v>
      </c>
      <c r="BN189" s="17">
        <f t="shared" si="112"/>
        <v>0</v>
      </c>
      <c r="BO189" s="17">
        <f t="shared" si="113"/>
        <v>0</v>
      </c>
      <c r="BP189" s="17">
        <f t="shared" si="114"/>
        <v>0</v>
      </c>
      <c r="BQ189" s="17">
        <f t="shared" si="115"/>
        <v>0</v>
      </c>
      <c r="BR189" s="17">
        <f t="shared" si="116"/>
        <v>0</v>
      </c>
      <c r="BS189" s="17">
        <f t="shared" si="117"/>
        <v>0</v>
      </c>
      <c r="BT189" s="17">
        <f t="shared" si="118"/>
        <v>0</v>
      </c>
      <c r="BU189" s="17">
        <f t="shared" si="119"/>
        <v>0</v>
      </c>
      <c r="BV189" s="17">
        <f t="shared" si="120"/>
        <v>0</v>
      </c>
      <c r="BW189" s="17">
        <f t="shared" si="121"/>
        <v>0</v>
      </c>
      <c r="BX189" s="17">
        <f t="shared" si="122"/>
        <v>0</v>
      </c>
      <c r="BY189" s="17">
        <f t="shared" si="123"/>
        <v>0</v>
      </c>
      <c r="BZ189" s="17">
        <f t="shared" si="134"/>
        <v>0</v>
      </c>
      <c r="CA189" s="17">
        <f t="shared" si="135"/>
        <v>0</v>
      </c>
      <c r="CB189" s="17">
        <f t="shared" si="136"/>
        <v>0</v>
      </c>
      <c r="CC189" s="17">
        <f t="shared" si="137"/>
        <v>0</v>
      </c>
      <c r="CD189" s="17">
        <f t="shared" si="138"/>
        <v>0</v>
      </c>
      <c r="CE189" s="17">
        <f t="shared" si="139"/>
        <v>0</v>
      </c>
      <c r="CF189" s="17">
        <f t="shared" si="140"/>
        <v>0</v>
      </c>
      <c r="CG189" s="17">
        <f t="shared" si="141"/>
        <v>0</v>
      </c>
      <c r="CH189" s="17">
        <f t="shared" si="142"/>
        <v>0</v>
      </c>
      <c r="CI189" s="17">
        <f t="shared" si="143"/>
        <v>0</v>
      </c>
      <c r="CJ189" s="17">
        <f t="shared" si="144"/>
        <v>0</v>
      </c>
      <c r="CK189" s="17">
        <f t="shared" si="145"/>
        <v>0</v>
      </c>
      <c r="CL189" s="17">
        <f t="shared" si="146"/>
        <v>0</v>
      </c>
      <c r="CM189" s="14">
        <f t="shared" si="147"/>
        <v>0</v>
      </c>
      <c r="CN189" s="17">
        <f t="shared" si="148"/>
        <v>0</v>
      </c>
      <c r="CO189" s="14">
        <f t="shared" si="149"/>
        <v>0</v>
      </c>
      <c r="CP189" s="17">
        <f t="shared" si="150"/>
        <v>0</v>
      </c>
      <c r="CQ189" s="14">
        <f t="shared" si="124"/>
        <v>0</v>
      </c>
      <c r="CR189" s="14">
        <v>0</v>
      </c>
      <c r="CS189" s="14">
        <v>0</v>
      </c>
      <c r="CT189" s="14">
        <v>0</v>
      </c>
      <c r="CU189" s="14">
        <v>0</v>
      </c>
    </row>
    <row r="190" spans="1:99" x14ac:dyDescent="0.3">
      <c r="A190" s="14">
        <v>2013</v>
      </c>
      <c r="B190" s="14" t="s">
        <v>33</v>
      </c>
      <c r="C190" s="14" t="s">
        <v>34</v>
      </c>
      <c r="D190" s="15">
        <v>803500.2</v>
      </c>
      <c r="E190" s="15">
        <v>21632850.000000004</v>
      </c>
      <c r="F190" s="15">
        <f t="shared" si="125"/>
        <v>26.923266478340647</v>
      </c>
      <c r="AB190" s="14">
        <f t="shared" si="126"/>
        <v>0</v>
      </c>
      <c r="AM190" s="14">
        <f t="shared" si="127"/>
        <v>0</v>
      </c>
      <c r="AQ190" s="14">
        <f t="shared" si="128"/>
        <v>0</v>
      </c>
      <c r="AT190" s="14">
        <f t="shared" si="129"/>
        <v>0</v>
      </c>
      <c r="AU190" s="16">
        <v>0</v>
      </c>
      <c r="AV190" s="16">
        <v>0</v>
      </c>
      <c r="AW190" s="16">
        <v>254</v>
      </c>
      <c r="AX190" s="16">
        <v>0</v>
      </c>
      <c r="AY190" s="18">
        <f t="shared" si="130"/>
        <v>0</v>
      </c>
      <c r="AZ190" s="17">
        <f t="shared" si="131"/>
        <v>0</v>
      </c>
      <c r="BA190" s="17">
        <f t="shared" si="132"/>
        <v>0.11741402542891942</v>
      </c>
      <c r="BB190" s="17">
        <f t="shared" si="133"/>
        <v>0</v>
      </c>
      <c r="BC190" s="17">
        <f t="shared" si="101"/>
        <v>0</v>
      </c>
      <c r="BD190" s="17">
        <f t="shared" si="102"/>
        <v>0</v>
      </c>
      <c r="BE190" s="17">
        <f t="shared" si="103"/>
        <v>0</v>
      </c>
      <c r="BF190" s="17">
        <f t="shared" si="104"/>
        <v>0</v>
      </c>
      <c r="BG190" s="17">
        <f t="shared" si="105"/>
        <v>0</v>
      </c>
      <c r="BH190" s="17">
        <f t="shared" si="106"/>
        <v>0</v>
      </c>
      <c r="BI190" s="17">
        <f t="shared" si="107"/>
        <v>0</v>
      </c>
      <c r="BJ190" s="17">
        <f t="shared" si="108"/>
        <v>0</v>
      </c>
      <c r="BK190" s="17">
        <f t="shared" si="109"/>
        <v>0</v>
      </c>
      <c r="BL190" s="17">
        <f t="shared" si="110"/>
        <v>0</v>
      </c>
      <c r="BM190" s="17">
        <f t="shared" si="111"/>
        <v>0</v>
      </c>
      <c r="BN190" s="17">
        <f t="shared" si="112"/>
        <v>0</v>
      </c>
      <c r="BO190" s="17">
        <f t="shared" si="113"/>
        <v>0</v>
      </c>
      <c r="BP190" s="17">
        <f t="shared" si="114"/>
        <v>0</v>
      </c>
      <c r="BQ190" s="17">
        <f t="shared" si="115"/>
        <v>0</v>
      </c>
      <c r="BR190" s="17">
        <f t="shared" si="116"/>
        <v>0</v>
      </c>
      <c r="BS190" s="17">
        <f t="shared" si="117"/>
        <v>0</v>
      </c>
      <c r="BT190" s="17">
        <f t="shared" si="118"/>
        <v>0</v>
      </c>
      <c r="BU190" s="17">
        <f t="shared" si="119"/>
        <v>0</v>
      </c>
      <c r="BV190" s="17">
        <f t="shared" si="120"/>
        <v>0</v>
      </c>
      <c r="BW190" s="17">
        <f t="shared" si="121"/>
        <v>0</v>
      </c>
      <c r="BX190" s="17">
        <f t="shared" si="122"/>
        <v>0</v>
      </c>
      <c r="BY190" s="17">
        <f t="shared" si="123"/>
        <v>0</v>
      </c>
      <c r="BZ190" s="17">
        <f t="shared" si="134"/>
        <v>0</v>
      </c>
      <c r="CA190" s="17">
        <f t="shared" si="135"/>
        <v>0</v>
      </c>
      <c r="CB190" s="17">
        <f t="shared" si="136"/>
        <v>0</v>
      </c>
      <c r="CC190" s="17">
        <f t="shared" si="137"/>
        <v>0</v>
      </c>
      <c r="CD190" s="17">
        <f t="shared" si="138"/>
        <v>0</v>
      </c>
      <c r="CE190" s="17">
        <f t="shared" si="139"/>
        <v>0</v>
      </c>
      <c r="CF190" s="17">
        <f t="shared" si="140"/>
        <v>0</v>
      </c>
      <c r="CG190" s="17">
        <f t="shared" si="141"/>
        <v>0</v>
      </c>
      <c r="CH190" s="17">
        <f t="shared" si="142"/>
        <v>0</v>
      </c>
      <c r="CI190" s="17">
        <f t="shared" si="143"/>
        <v>0</v>
      </c>
      <c r="CJ190" s="17">
        <f t="shared" si="144"/>
        <v>0</v>
      </c>
      <c r="CK190" s="17">
        <f t="shared" si="145"/>
        <v>0</v>
      </c>
      <c r="CL190" s="17">
        <f t="shared" si="146"/>
        <v>0</v>
      </c>
      <c r="CM190" s="14">
        <f t="shared" si="147"/>
        <v>254</v>
      </c>
      <c r="CN190" s="17"/>
      <c r="CO190" s="14">
        <f t="shared" si="149"/>
        <v>254</v>
      </c>
      <c r="CP190" s="17"/>
      <c r="CQ190" s="14">
        <f t="shared" si="124"/>
        <v>254</v>
      </c>
      <c r="CR190" s="14">
        <v>276</v>
      </c>
      <c r="CS190" s="14">
        <v>239</v>
      </c>
      <c r="CT190" s="14">
        <v>0</v>
      </c>
      <c r="CU190" s="14">
        <v>0</v>
      </c>
    </row>
    <row r="191" spans="1:99" x14ac:dyDescent="0.3">
      <c r="A191" s="14">
        <v>2014</v>
      </c>
      <c r="B191" s="14" t="s">
        <v>33</v>
      </c>
      <c r="C191" s="14" t="s">
        <v>34</v>
      </c>
      <c r="D191" s="15">
        <v>818448.6</v>
      </c>
      <c r="E191" s="15">
        <v>22299584.999999989</v>
      </c>
      <c r="F191" s="15">
        <f t="shared" si="125"/>
        <v>27.246164267371206</v>
      </c>
      <c r="AB191" s="14">
        <f t="shared" si="126"/>
        <v>0</v>
      </c>
      <c r="AM191" s="14">
        <f t="shared" si="127"/>
        <v>0</v>
      </c>
      <c r="AQ191" s="14">
        <f t="shared" si="128"/>
        <v>0</v>
      </c>
      <c r="AT191" s="14">
        <f t="shared" si="129"/>
        <v>0</v>
      </c>
      <c r="AU191" s="16">
        <v>0</v>
      </c>
      <c r="AV191" s="16">
        <v>0</v>
      </c>
      <c r="AW191" s="16">
        <v>0</v>
      </c>
      <c r="AX191" s="16">
        <v>0</v>
      </c>
      <c r="AY191" s="18">
        <f t="shared" si="130"/>
        <v>0</v>
      </c>
      <c r="AZ191" s="17">
        <f t="shared" si="131"/>
        <v>0</v>
      </c>
      <c r="BA191" s="17">
        <f t="shared" si="132"/>
        <v>0</v>
      </c>
      <c r="BB191" s="17">
        <f t="shared" si="133"/>
        <v>0</v>
      </c>
      <c r="BC191" s="17">
        <f t="shared" si="101"/>
        <v>0</v>
      </c>
      <c r="BD191" s="17">
        <f t="shared" si="102"/>
        <v>0</v>
      </c>
      <c r="BE191" s="17">
        <f t="shared" si="103"/>
        <v>0</v>
      </c>
      <c r="BF191" s="17">
        <f t="shared" si="104"/>
        <v>0</v>
      </c>
      <c r="BG191" s="17">
        <f t="shared" si="105"/>
        <v>0</v>
      </c>
      <c r="BH191" s="17">
        <f t="shared" si="106"/>
        <v>0</v>
      </c>
      <c r="BI191" s="17">
        <f t="shared" si="107"/>
        <v>0</v>
      </c>
      <c r="BJ191" s="17">
        <f t="shared" si="108"/>
        <v>0</v>
      </c>
      <c r="BK191" s="17">
        <f t="shared" si="109"/>
        <v>0</v>
      </c>
      <c r="BL191" s="17">
        <f t="shared" si="110"/>
        <v>0</v>
      </c>
      <c r="BM191" s="17">
        <f t="shared" si="111"/>
        <v>0</v>
      </c>
      <c r="BN191" s="17">
        <f t="shared" si="112"/>
        <v>0</v>
      </c>
      <c r="BO191" s="17">
        <f t="shared" si="113"/>
        <v>0</v>
      </c>
      <c r="BP191" s="17">
        <f t="shared" si="114"/>
        <v>0</v>
      </c>
      <c r="BQ191" s="17">
        <f t="shared" si="115"/>
        <v>0</v>
      </c>
      <c r="BR191" s="17">
        <f t="shared" si="116"/>
        <v>0</v>
      </c>
      <c r="BS191" s="17">
        <f t="shared" si="117"/>
        <v>0</v>
      </c>
      <c r="BT191" s="17">
        <f t="shared" si="118"/>
        <v>0</v>
      </c>
      <c r="BU191" s="17">
        <f t="shared" si="119"/>
        <v>0</v>
      </c>
      <c r="BV191" s="17">
        <f t="shared" si="120"/>
        <v>0</v>
      </c>
      <c r="BW191" s="17">
        <f t="shared" si="121"/>
        <v>0</v>
      </c>
      <c r="BX191" s="17">
        <f t="shared" si="122"/>
        <v>0</v>
      </c>
      <c r="BY191" s="17">
        <f t="shared" si="123"/>
        <v>0</v>
      </c>
      <c r="BZ191" s="17">
        <f t="shared" si="134"/>
        <v>0</v>
      </c>
      <c r="CA191" s="17">
        <f t="shared" si="135"/>
        <v>0</v>
      </c>
      <c r="CB191" s="17">
        <f t="shared" si="136"/>
        <v>0</v>
      </c>
      <c r="CC191" s="17">
        <f t="shared" si="137"/>
        <v>0</v>
      </c>
      <c r="CD191" s="17">
        <f t="shared" si="138"/>
        <v>0</v>
      </c>
      <c r="CE191" s="17">
        <f t="shared" si="139"/>
        <v>0</v>
      </c>
      <c r="CF191" s="17">
        <f t="shared" si="140"/>
        <v>0</v>
      </c>
      <c r="CG191" s="17">
        <f t="shared" si="141"/>
        <v>0</v>
      </c>
      <c r="CH191" s="17">
        <f t="shared" si="142"/>
        <v>0</v>
      </c>
      <c r="CI191" s="17">
        <f t="shared" si="143"/>
        <v>0</v>
      </c>
      <c r="CJ191" s="17">
        <f t="shared" si="144"/>
        <v>0</v>
      </c>
      <c r="CK191" s="17">
        <f t="shared" si="145"/>
        <v>0</v>
      </c>
      <c r="CL191" s="17">
        <f t="shared" si="146"/>
        <v>0</v>
      </c>
      <c r="CM191" s="14">
        <f t="shared" si="147"/>
        <v>0</v>
      </c>
      <c r="CN191" s="17">
        <f t="shared" si="148"/>
        <v>0</v>
      </c>
      <c r="CO191" s="14">
        <f t="shared" si="149"/>
        <v>0</v>
      </c>
      <c r="CP191" s="17">
        <f t="shared" si="150"/>
        <v>0</v>
      </c>
      <c r="CQ191" s="14">
        <f t="shared" si="124"/>
        <v>0</v>
      </c>
      <c r="CR191" s="14">
        <v>10</v>
      </c>
      <c r="CS191" s="14">
        <v>36</v>
      </c>
      <c r="CT191" s="14">
        <v>0</v>
      </c>
      <c r="CU191" s="14">
        <v>0</v>
      </c>
    </row>
    <row r="192" spans="1:99" x14ac:dyDescent="0.3">
      <c r="A192" s="14">
        <v>2015</v>
      </c>
      <c r="B192" s="14" t="s">
        <v>33</v>
      </c>
      <c r="C192" s="14" t="s">
        <v>34</v>
      </c>
      <c r="D192" s="15">
        <v>840650.2</v>
      </c>
      <c r="E192" s="15">
        <v>23012646.5</v>
      </c>
      <c r="F192" s="15">
        <f t="shared" si="125"/>
        <v>27.374818325148798</v>
      </c>
      <c r="AB192" s="14">
        <f t="shared" si="126"/>
        <v>0</v>
      </c>
      <c r="AM192" s="14">
        <f t="shared" si="127"/>
        <v>0</v>
      </c>
      <c r="AQ192" s="14">
        <f t="shared" si="128"/>
        <v>0</v>
      </c>
      <c r="AT192" s="14">
        <f t="shared" si="129"/>
        <v>0</v>
      </c>
      <c r="AU192" s="16">
        <v>0</v>
      </c>
      <c r="AV192" s="16">
        <v>0</v>
      </c>
      <c r="AW192" s="16">
        <v>0</v>
      </c>
      <c r="AX192" s="16">
        <v>0</v>
      </c>
      <c r="AY192" s="18">
        <f t="shared" si="130"/>
        <v>0</v>
      </c>
      <c r="AZ192" s="17">
        <f t="shared" si="131"/>
        <v>0</v>
      </c>
      <c r="BA192" s="17">
        <f t="shared" si="132"/>
        <v>0</v>
      </c>
      <c r="BB192" s="17">
        <f t="shared" si="133"/>
        <v>0</v>
      </c>
      <c r="BC192" s="17">
        <f t="shared" si="101"/>
        <v>0</v>
      </c>
      <c r="BD192" s="17">
        <f t="shared" si="102"/>
        <v>0</v>
      </c>
      <c r="BE192" s="17">
        <f t="shared" si="103"/>
        <v>0</v>
      </c>
      <c r="BF192" s="17">
        <f t="shared" si="104"/>
        <v>0</v>
      </c>
      <c r="BG192" s="17">
        <f t="shared" si="105"/>
        <v>0</v>
      </c>
      <c r="BH192" s="17">
        <f t="shared" si="106"/>
        <v>0</v>
      </c>
      <c r="BI192" s="17">
        <f t="shared" si="107"/>
        <v>0</v>
      </c>
      <c r="BJ192" s="17">
        <f t="shared" si="108"/>
        <v>0</v>
      </c>
      <c r="BK192" s="17">
        <f t="shared" si="109"/>
        <v>0</v>
      </c>
      <c r="BL192" s="17">
        <f t="shared" si="110"/>
        <v>0</v>
      </c>
      <c r="BM192" s="17">
        <f t="shared" si="111"/>
        <v>0</v>
      </c>
      <c r="BN192" s="17">
        <f t="shared" si="112"/>
        <v>0</v>
      </c>
      <c r="BO192" s="17">
        <f t="shared" si="113"/>
        <v>0</v>
      </c>
      <c r="BP192" s="17">
        <f t="shared" si="114"/>
        <v>0</v>
      </c>
      <c r="BQ192" s="17">
        <f t="shared" si="115"/>
        <v>0</v>
      </c>
      <c r="BR192" s="17">
        <f t="shared" si="116"/>
        <v>0</v>
      </c>
      <c r="BS192" s="17">
        <f t="shared" si="117"/>
        <v>0</v>
      </c>
      <c r="BT192" s="17">
        <f t="shared" si="118"/>
        <v>0</v>
      </c>
      <c r="BU192" s="17">
        <f t="shared" si="119"/>
        <v>0</v>
      </c>
      <c r="BV192" s="17">
        <f t="shared" si="120"/>
        <v>0</v>
      </c>
      <c r="BW192" s="17">
        <f t="shared" si="121"/>
        <v>0</v>
      </c>
      <c r="BX192" s="17">
        <f t="shared" si="122"/>
        <v>0</v>
      </c>
      <c r="BY192" s="17">
        <f t="shared" si="123"/>
        <v>0</v>
      </c>
      <c r="BZ192" s="17">
        <f t="shared" si="134"/>
        <v>0</v>
      </c>
      <c r="CA192" s="17">
        <f t="shared" si="135"/>
        <v>0</v>
      </c>
      <c r="CB192" s="17">
        <f t="shared" si="136"/>
        <v>0</v>
      </c>
      <c r="CC192" s="17">
        <f t="shared" si="137"/>
        <v>0</v>
      </c>
      <c r="CD192" s="17">
        <f t="shared" si="138"/>
        <v>0</v>
      </c>
      <c r="CE192" s="17">
        <f t="shared" si="139"/>
        <v>0</v>
      </c>
      <c r="CF192" s="17">
        <f t="shared" si="140"/>
        <v>0</v>
      </c>
      <c r="CG192" s="17">
        <f t="shared" si="141"/>
        <v>0</v>
      </c>
      <c r="CH192" s="17">
        <f t="shared" si="142"/>
        <v>0</v>
      </c>
      <c r="CI192" s="17">
        <f t="shared" si="143"/>
        <v>0</v>
      </c>
      <c r="CJ192" s="17">
        <f t="shared" si="144"/>
        <v>0</v>
      </c>
      <c r="CK192" s="17">
        <f t="shared" si="145"/>
        <v>0</v>
      </c>
      <c r="CL192" s="17">
        <f t="shared" si="146"/>
        <v>0</v>
      </c>
      <c r="CM192" s="14">
        <f t="shared" si="147"/>
        <v>0</v>
      </c>
      <c r="CN192" s="17">
        <f t="shared" si="148"/>
        <v>0</v>
      </c>
      <c r="CO192" s="14">
        <f t="shared" si="149"/>
        <v>0</v>
      </c>
      <c r="CP192" s="17">
        <f t="shared" si="150"/>
        <v>0</v>
      </c>
      <c r="CQ192" s="14">
        <f t="shared" si="124"/>
        <v>0</v>
      </c>
      <c r="CR192" s="14">
        <v>0</v>
      </c>
      <c r="CS192" s="14">
        <v>0</v>
      </c>
      <c r="CT192" s="14">
        <v>0</v>
      </c>
      <c r="CU192" s="14">
        <v>0</v>
      </c>
    </row>
    <row r="193" spans="1:99" x14ac:dyDescent="0.3">
      <c r="A193" s="14">
        <v>2016</v>
      </c>
      <c r="B193" s="14" t="s">
        <v>33</v>
      </c>
      <c r="C193" s="14" t="s">
        <v>34</v>
      </c>
      <c r="D193" s="15">
        <v>867237.3</v>
      </c>
      <c r="E193" s="15">
        <v>23711630.000000004</v>
      </c>
      <c r="F193" s="15">
        <f t="shared" si="125"/>
        <v>27.34157075577815</v>
      </c>
      <c r="G193" s="14">
        <v>88</v>
      </c>
      <c r="H193" s="14">
        <v>199</v>
      </c>
      <c r="AB193" s="14">
        <f t="shared" si="126"/>
        <v>0</v>
      </c>
      <c r="AM193" s="14">
        <f t="shared" si="127"/>
        <v>0</v>
      </c>
      <c r="AQ193" s="14">
        <f t="shared" si="128"/>
        <v>0</v>
      </c>
      <c r="AT193" s="14">
        <f t="shared" si="129"/>
        <v>0</v>
      </c>
      <c r="AU193" s="16">
        <v>0</v>
      </c>
      <c r="AV193" s="16">
        <v>0</v>
      </c>
      <c r="AW193" s="16">
        <v>0</v>
      </c>
      <c r="AX193" s="16">
        <v>0</v>
      </c>
      <c r="AY193" s="18">
        <f t="shared" si="130"/>
        <v>0</v>
      </c>
      <c r="AZ193" s="17">
        <f t="shared" si="131"/>
        <v>0</v>
      </c>
      <c r="BA193" s="17">
        <f t="shared" si="132"/>
        <v>0</v>
      </c>
      <c r="BB193" s="17">
        <f t="shared" si="133"/>
        <v>0</v>
      </c>
      <c r="BC193" s="17">
        <f t="shared" si="101"/>
        <v>3.7112589897868677E-2</v>
      </c>
      <c r="BD193" s="17">
        <f t="shared" si="102"/>
        <v>8.3925061246316671E-2</v>
      </c>
      <c r="BE193" s="17">
        <f t="shared" si="103"/>
        <v>0</v>
      </c>
      <c r="BF193" s="17">
        <f t="shared" si="104"/>
        <v>0</v>
      </c>
      <c r="BG193" s="17">
        <f t="shared" si="105"/>
        <v>0</v>
      </c>
      <c r="BH193" s="17">
        <f t="shared" si="106"/>
        <v>0</v>
      </c>
      <c r="BI193" s="17">
        <f t="shared" si="107"/>
        <v>0</v>
      </c>
      <c r="BJ193" s="17">
        <f t="shared" si="108"/>
        <v>0</v>
      </c>
      <c r="BK193" s="17">
        <f t="shared" si="109"/>
        <v>0</v>
      </c>
      <c r="BL193" s="17">
        <f t="shared" si="110"/>
        <v>0</v>
      </c>
      <c r="BM193" s="17">
        <f t="shared" si="111"/>
        <v>0</v>
      </c>
      <c r="BN193" s="17">
        <f t="shared" si="112"/>
        <v>0</v>
      </c>
      <c r="BO193" s="17">
        <f t="shared" si="113"/>
        <v>0</v>
      </c>
      <c r="BP193" s="17">
        <f t="shared" si="114"/>
        <v>0</v>
      </c>
      <c r="BQ193" s="17">
        <f t="shared" si="115"/>
        <v>0</v>
      </c>
      <c r="BR193" s="17">
        <f t="shared" si="116"/>
        <v>0</v>
      </c>
      <c r="BS193" s="17">
        <f t="shared" si="117"/>
        <v>0</v>
      </c>
      <c r="BT193" s="17">
        <f t="shared" si="118"/>
        <v>0</v>
      </c>
      <c r="BU193" s="17">
        <f t="shared" si="119"/>
        <v>0</v>
      </c>
      <c r="BV193" s="17">
        <f t="shared" si="120"/>
        <v>0</v>
      </c>
      <c r="BW193" s="17">
        <f t="shared" si="121"/>
        <v>0</v>
      </c>
      <c r="BX193" s="17">
        <f t="shared" si="122"/>
        <v>0</v>
      </c>
      <c r="BY193" s="17">
        <f t="shared" si="123"/>
        <v>0</v>
      </c>
      <c r="BZ193" s="17">
        <f t="shared" si="134"/>
        <v>0</v>
      </c>
      <c r="CA193" s="17">
        <f t="shared" si="135"/>
        <v>0</v>
      </c>
      <c r="CB193" s="17">
        <f t="shared" si="136"/>
        <v>0</v>
      </c>
      <c r="CC193" s="17">
        <f t="shared" si="137"/>
        <v>0</v>
      </c>
      <c r="CD193" s="17">
        <f t="shared" si="138"/>
        <v>0</v>
      </c>
      <c r="CE193" s="17">
        <f t="shared" si="139"/>
        <v>0</v>
      </c>
      <c r="CF193" s="17">
        <f t="shared" si="140"/>
        <v>0</v>
      </c>
      <c r="CG193" s="17">
        <f t="shared" si="141"/>
        <v>0</v>
      </c>
      <c r="CH193" s="17">
        <f t="shared" si="142"/>
        <v>0</v>
      </c>
      <c r="CI193" s="17">
        <f t="shared" si="143"/>
        <v>0</v>
      </c>
      <c r="CJ193" s="17">
        <f t="shared" si="144"/>
        <v>0</v>
      </c>
      <c r="CK193" s="17">
        <f t="shared" si="145"/>
        <v>0</v>
      </c>
      <c r="CL193" s="17">
        <f t="shared" si="146"/>
        <v>0</v>
      </c>
      <c r="CM193" s="14">
        <f t="shared" si="147"/>
        <v>0</v>
      </c>
      <c r="CN193" s="17">
        <f t="shared" si="148"/>
        <v>0</v>
      </c>
      <c r="CO193" s="14">
        <f t="shared" si="149"/>
        <v>0</v>
      </c>
      <c r="CP193" s="17">
        <f t="shared" si="150"/>
        <v>0</v>
      </c>
      <c r="CQ193" s="14">
        <f t="shared" si="124"/>
        <v>287</v>
      </c>
      <c r="CR193" s="14">
        <v>404</v>
      </c>
      <c r="CS193" s="14">
        <v>1687</v>
      </c>
      <c r="CT193" s="14">
        <v>0</v>
      </c>
      <c r="CU193" s="14">
        <v>0</v>
      </c>
    </row>
    <row r="194" spans="1:99" x14ac:dyDescent="0.3">
      <c r="A194" s="14">
        <v>2017</v>
      </c>
      <c r="B194" s="14" t="s">
        <v>33</v>
      </c>
      <c r="C194" s="14" t="s">
        <v>34</v>
      </c>
      <c r="D194" s="15">
        <v>889229.5</v>
      </c>
      <c r="E194" s="15">
        <v>24393181.5</v>
      </c>
      <c r="F194" s="15">
        <f t="shared" si="125"/>
        <v>27.431817657871225</v>
      </c>
      <c r="AB194" s="14">
        <f t="shared" si="126"/>
        <v>0</v>
      </c>
      <c r="AM194" s="14">
        <f t="shared" si="127"/>
        <v>0</v>
      </c>
      <c r="AQ194" s="14">
        <f t="shared" si="128"/>
        <v>0</v>
      </c>
      <c r="AT194" s="14">
        <f t="shared" si="129"/>
        <v>0</v>
      </c>
      <c r="AU194" s="16">
        <v>0</v>
      </c>
      <c r="AV194" s="16">
        <v>0</v>
      </c>
      <c r="AW194" s="16">
        <v>0</v>
      </c>
      <c r="AX194" s="16">
        <v>0</v>
      </c>
      <c r="AY194" s="18">
        <f t="shared" si="130"/>
        <v>0</v>
      </c>
      <c r="AZ194" s="17">
        <f t="shared" si="131"/>
        <v>0</v>
      </c>
      <c r="BA194" s="17">
        <f t="shared" si="132"/>
        <v>0</v>
      </c>
      <c r="BB194" s="17">
        <f t="shared" si="133"/>
        <v>0</v>
      </c>
      <c r="BC194" s="17">
        <f t="shared" ref="BC194:BC257" si="151">(G194*10000)/$E194</f>
        <v>0</v>
      </c>
      <c r="BD194" s="17">
        <f t="shared" ref="BD194:BD257" si="152">(H194*10000)/$E194</f>
        <v>0</v>
      </c>
      <c r="BE194" s="17">
        <f t="shared" ref="BE194:BE257" si="153">(I194*10000)/$E194</f>
        <v>0</v>
      </c>
      <c r="BF194" s="17">
        <f t="shared" ref="BF194:BF257" si="154">(J194*10000)/$E194</f>
        <v>0</v>
      </c>
      <c r="BG194" s="17">
        <f t="shared" ref="BG194:BG257" si="155">(K194*10000)/$E194</f>
        <v>0</v>
      </c>
      <c r="BH194" s="17">
        <f t="shared" ref="BH194:BH257" si="156">(L194*10000)/$E194</f>
        <v>0</v>
      </c>
      <c r="BI194" s="17">
        <f t="shared" ref="BI194:BI257" si="157">(M194*10000)/$E194</f>
        <v>0</v>
      </c>
      <c r="BJ194" s="17">
        <f t="shared" ref="BJ194:BJ257" si="158">(N194*10000)/$E194</f>
        <v>0</v>
      </c>
      <c r="BK194" s="17">
        <f t="shared" ref="BK194:BK257" si="159">(O194*10000)/$E194</f>
        <v>0</v>
      </c>
      <c r="BL194" s="17">
        <f t="shared" ref="BL194:BL257" si="160">(P194*10000)/$E194</f>
        <v>0</v>
      </c>
      <c r="BM194" s="17">
        <f t="shared" ref="BM194:BM257" si="161">(Q194*10000)/$E194</f>
        <v>0</v>
      </c>
      <c r="BN194" s="17">
        <f t="shared" ref="BN194:BN257" si="162">(R194*10000)/$E194</f>
        <v>0</v>
      </c>
      <c r="BO194" s="17">
        <f t="shared" ref="BO194:BO257" si="163">(S194*10000)/$E194</f>
        <v>0</v>
      </c>
      <c r="BP194" s="17">
        <f t="shared" ref="BP194:BP257" si="164">(T194*10000)/$E194</f>
        <v>0</v>
      </c>
      <c r="BQ194" s="17">
        <f t="shared" ref="BQ194:BQ257" si="165">(U194*10000)/$E194</f>
        <v>0</v>
      </c>
      <c r="BR194" s="17">
        <f t="shared" ref="BR194:BR257" si="166">(V194*10000)/$E194</f>
        <v>0</v>
      </c>
      <c r="BS194" s="17">
        <f t="shared" ref="BS194:BS257" si="167">(W194*10000)/$E194</f>
        <v>0</v>
      </c>
      <c r="BT194" s="17">
        <f t="shared" ref="BT194:BT257" si="168">(X194*10000)/$E194</f>
        <v>0</v>
      </c>
      <c r="BU194" s="17">
        <f t="shared" ref="BU194:BU257" si="169">(Y194*10000)/$E194</f>
        <v>0</v>
      </c>
      <c r="BV194" s="17">
        <f t="shared" ref="BV194:BV257" si="170">(Z194*10000)/$E194</f>
        <v>0</v>
      </c>
      <c r="BW194" s="17">
        <f t="shared" ref="BW194:BW257" si="171">(AA194*10000)/$E194</f>
        <v>0</v>
      </c>
      <c r="BX194" s="17">
        <f t="shared" ref="BX194:BX257" si="172">(AC194*10000)/$E194</f>
        <v>0</v>
      </c>
      <c r="BY194" s="17">
        <f t="shared" ref="BY194:BY257" si="173">(AD194*10000)/$E194</f>
        <v>0</v>
      </c>
      <c r="BZ194" s="17">
        <f t="shared" si="134"/>
        <v>0</v>
      </c>
      <c r="CA194" s="17">
        <f t="shared" si="135"/>
        <v>0</v>
      </c>
      <c r="CB194" s="17">
        <f t="shared" si="136"/>
        <v>0</v>
      </c>
      <c r="CC194" s="17">
        <f t="shared" si="137"/>
        <v>0</v>
      </c>
      <c r="CD194" s="17">
        <f t="shared" si="138"/>
        <v>0</v>
      </c>
      <c r="CE194" s="17">
        <f t="shared" si="139"/>
        <v>0</v>
      </c>
      <c r="CF194" s="17">
        <f t="shared" si="140"/>
        <v>0</v>
      </c>
      <c r="CG194" s="17">
        <f t="shared" si="141"/>
        <v>0</v>
      </c>
      <c r="CH194" s="17">
        <f t="shared" si="142"/>
        <v>0</v>
      </c>
      <c r="CI194" s="17">
        <f t="shared" si="143"/>
        <v>0</v>
      </c>
      <c r="CJ194" s="17">
        <f t="shared" si="144"/>
        <v>0</v>
      </c>
      <c r="CK194" s="17">
        <f t="shared" si="145"/>
        <v>0</v>
      </c>
      <c r="CL194" s="17">
        <f t="shared" si="146"/>
        <v>0</v>
      </c>
      <c r="CM194" s="14">
        <f t="shared" si="147"/>
        <v>0</v>
      </c>
      <c r="CN194" s="17">
        <f t="shared" si="148"/>
        <v>0</v>
      </c>
      <c r="CO194" s="14">
        <f t="shared" si="149"/>
        <v>0</v>
      </c>
      <c r="CP194" s="17">
        <f t="shared" si="150"/>
        <v>0</v>
      </c>
      <c r="CQ194" s="14">
        <f t="shared" ref="CQ194:CQ257" si="174">SUM(G194:AX194)</f>
        <v>0</v>
      </c>
      <c r="CR194" s="14">
        <v>1889</v>
      </c>
      <c r="CS194" s="14">
        <v>10752</v>
      </c>
      <c r="CT194" s="14">
        <v>0</v>
      </c>
      <c r="CU194" s="14">
        <v>0</v>
      </c>
    </row>
    <row r="195" spans="1:99" x14ac:dyDescent="0.3">
      <c r="A195" s="14">
        <v>2018</v>
      </c>
      <c r="B195" s="14" t="s">
        <v>33</v>
      </c>
      <c r="C195" s="14" t="s">
        <v>34</v>
      </c>
      <c r="D195" s="15">
        <v>903131.8</v>
      </c>
      <c r="E195" s="15">
        <v>25076746.500000015</v>
      </c>
      <c r="F195" s="15">
        <f t="shared" ref="F195:F258" si="175">E195/D195</f>
        <v>27.766430658293743</v>
      </c>
      <c r="H195" s="14">
        <v>14</v>
      </c>
      <c r="Z195" s="14">
        <v>241</v>
      </c>
      <c r="AB195" s="14">
        <f t="shared" ref="AB195:AB258" si="176">AA195+O195</f>
        <v>0</v>
      </c>
      <c r="AM195" s="14">
        <f t="shared" ref="AM195:AM258" si="177">AK195+AL195</f>
        <v>0</v>
      </c>
      <c r="AQ195" s="14">
        <f t="shared" ref="AQ195:AQ258" si="178">AO195+AP195</f>
        <v>0</v>
      </c>
      <c r="AT195" s="14">
        <f t="shared" ref="AT195:AT258" si="179">AR195+AS195</f>
        <v>0</v>
      </c>
      <c r="AU195" s="16">
        <v>6518</v>
      </c>
      <c r="AV195" s="16">
        <v>18312</v>
      </c>
      <c r="AW195" s="16">
        <v>0</v>
      </c>
      <c r="AX195" s="16">
        <v>0</v>
      </c>
      <c r="AY195" s="18">
        <f t="shared" ref="AY195:AY258" si="180">(AU195*10000)/$E195</f>
        <v>2.5992207561694642</v>
      </c>
      <c r="AZ195" s="17">
        <f t="shared" ref="AZ195:AZ258" si="181">(AV195*10000)/$E195</f>
        <v>7.3023827074217902</v>
      </c>
      <c r="BA195" s="17">
        <f t="shared" ref="BA195:BA258" si="182">(AW195*10000)/$E195</f>
        <v>0</v>
      </c>
      <c r="BB195" s="17">
        <f t="shared" ref="BB195:BB258" si="183">(AX195*10000)/$E195</f>
        <v>0</v>
      </c>
      <c r="BC195" s="17">
        <f t="shared" si="151"/>
        <v>0</v>
      </c>
      <c r="BD195" s="17">
        <f t="shared" si="152"/>
        <v>5.5828613971114598E-3</v>
      </c>
      <c r="BE195" s="17">
        <f t="shared" si="153"/>
        <v>0</v>
      </c>
      <c r="BF195" s="17">
        <f t="shared" si="154"/>
        <v>0</v>
      </c>
      <c r="BG195" s="17">
        <f t="shared" si="155"/>
        <v>0</v>
      </c>
      <c r="BH195" s="17">
        <f t="shared" si="156"/>
        <v>0</v>
      </c>
      <c r="BI195" s="17">
        <f t="shared" si="157"/>
        <v>0</v>
      </c>
      <c r="BJ195" s="17">
        <f t="shared" si="158"/>
        <v>0</v>
      </c>
      <c r="BK195" s="17">
        <f t="shared" si="159"/>
        <v>0</v>
      </c>
      <c r="BL195" s="17">
        <f t="shared" si="160"/>
        <v>0</v>
      </c>
      <c r="BM195" s="17">
        <f t="shared" si="161"/>
        <v>0</v>
      </c>
      <c r="BN195" s="17">
        <f t="shared" si="162"/>
        <v>0</v>
      </c>
      <c r="BO195" s="17">
        <f t="shared" si="163"/>
        <v>0</v>
      </c>
      <c r="BP195" s="17">
        <f t="shared" si="164"/>
        <v>0</v>
      </c>
      <c r="BQ195" s="17">
        <f t="shared" si="165"/>
        <v>0</v>
      </c>
      <c r="BR195" s="17">
        <f t="shared" si="166"/>
        <v>0</v>
      </c>
      <c r="BS195" s="17">
        <f t="shared" si="167"/>
        <v>0</v>
      </c>
      <c r="BT195" s="17">
        <f t="shared" si="168"/>
        <v>0</v>
      </c>
      <c r="BU195" s="17">
        <f t="shared" si="169"/>
        <v>0</v>
      </c>
      <c r="BV195" s="17">
        <f t="shared" si="170"/>
        <v>9.6104971193132993E-2</v>
      </c>
      <c r="BW195" s="17">
        <f t="shared" si="171"/>
        <v>0</v>
      </c>
      <c r="BX195" s="17">
        <f t="shared" si="172"/>
        <v>0</v>
      </c>
      <c r="BY195" s="17">
        <f t="shared" si="173"/>
        <v>0</v>
      </c>
      <c r="BZ195" s="17">
        <f t="shared" ref="BZ195:BZ258" si="184">(AE195*10000)/$E195</f>
        <v>0</v>
      </c>
      <c r="CA195" s="17">
        <f t="shared" ref="CA195:CA258" si="185">(AF195*10000)/$E195</f>
        <v>0</v>
      </c>
      <c r="CB195" s="17">
        <f t="shared" ref="CB195:CB258" si="186">(AG195*10000)/$E195</f>
        <v>0</v>
      </c>
      <c r="CC195" s="17">
        <f t="shared" ref="CC195:CC258" si="187">(AH195*10000)/$E195</f>
        <v>0</v>
      </c>
      <c r="CD195" s="17">
        <f t="shared" ref="CD195:CD258" si="188">(AI195*10000)/$E195</f>
        <v>0</v>
      </c>
      <c r="CE195" s="17">
        <f t="shared" ref="CE195:CE258" si="189">(AJ195*10000)/$E195</f>
        <v>0</v>
      </c>
      <c r="CF195" s="17">
        <f t="shared" ref="CF195:CF258" si="190">(AK195*10000)/$E195</f>
        <v>0</v>
      </c>
      <c r="CG195" s="17">
        <f t="shared" ref="CG195:CG258" si="191">(AL195*10000)/$E195</f>
        <v>0</v>
      </c>
      <c r="CH195" s="17">
        <f t="shared" ref="CH195:CH258" si="192">(AN195*10000)/$E195</f>
        <v>0</v>
      </c>
      <c r="CI195" s="17">
        <f t="shared" ref="CI195:CI258" si="193">(AO195*10000)/$E195</f>
        <v>0</v>
      </c>
      <c r="CJ195" s="17">
        <f t="shared" ref="CJ195:CJ258" si="194">(AP195*10000)/$E195</f>
        <v>0</v>
      </c>
      <c r="CK195" s="17">
        <f t="shared" ref="CK195:CK258" si="195">(AR195*10000)/$E195</f>
        <v>0</v>
      </c>
      <c r="CL195" s="17">
        <f t="shared" ref="CL195:CL258" si="196">(AS195*10000)/$E195</f>
        <v>0</v>
      </c>
      <c r="CM195" s="14">
        <f t="shared" ref="CM195:CM258" si="197">AV195+AW195</f>
        <v>18312</v>
      </c>
      <c r="CN195" s="17">
        <f t="shared" ref="CN195:CN258" si="198">(CM195*10000)/$E195</f>
        <v>7.3023827074217902</v>
      </c>
      <c r="CO195" s="14">
        <f t="shared" ref="CO195:CO258" si="199">AU195+AV195+AW195</f>
        <v>24830</v>
      </c>
      <c r="CP195" s="17">
        <f t="shared" ref="CP195:CP258" si="200">(CO195*10000)/$E195</f>
        <v>9.901603463591254</v>
      </c>
      <c r="CQ195" s="14">
        <f t="shared" si="174"/>
        <v>25085</v>
      </c>
      <c r="CR195" s="14">
        <v>23627</v>
      </c>
      <c r="CS195" s="14">
        <v>30461</v>
      </c>
      <c r="CT195" s="14">
        <v>0</v>
      </c>
      <c r="CU195" s="14">
        <v>0</v>
      </c>
    </row>
    <row r="196" spans="1:99" x14ac:dyDescent="0.3">
      <c r="A196" s="14">
        <v>2019</v>
      </c>
      <c r="B196" s="14" t="s">
        <v>33</v>
      </c>
      <c r="C196" s="14" t="s">
        <v>34</v>
      </c>
      <c r="D196" s="15">
        <v>914051.2</v>
      </c>
      <c r="E196" s="15">
        <v>25782340.999999996</v>
      </c>
      <c r="F196" s="15">
        <f t="shared" si="175"/>
        <v>28.206670479728047</v>
      </c>
      <c r="G196" s="14">
        <v>300</v>
      </c>
      <c r="AB196" s="14">
        <f t="shared" si="176"/>
        <v>0</v>
      </c>
      <c r="AM196" s="14">
        <f t="shared" si="177"/>
        <v>0</v>
      </c>
      <c r="AQ196" s="14">
        <f t="shared" si="178"/>
        <v>0</v>
      </c>
      <c r="AT196" s="14">
        <f t="shared" si="179"/>
        <v>0</v>
      </c>
      <c r="AU196" s="16">
        <v>0</v>
      </c>
      <c r="AV196" s="16">
        <v>0</v>
      </c>
      <c r="AW196" s="16">
        <v>0</v>
      </c>
      <c r="AX196" s="16">
        <v>0</v>
      </c>
      <c r="AY196" s="18">
        <f t="shared" si="180"/>
        <v>0</v>
      </c>
      <c r="AZ196" s="17">
        <f t="shared" si="181"/>
        <v>0</v>
      </c>
      <c r="BA196" s="17">
        <f t="shared" si="182"/>
        <v>0</v>
      </c>
      <c r="BB196" s="17">
        <f t="shared" si="183"/>
        <v>0</v>
      </c>
      <c r="BC196" s="17">
        <f t="shared" si="151"/>
        <v>0.11635871234501166</v>
      </c>
      <c r="BD196" s="17">
        <f t="shared" si="152"/>
        <v>0</v>
      </c>
      <c r="BE196" s="17">
        <f t="shared" si="153"/>
        <v>0</v>
      </c>
      <c r="BF196" s="17">
        <f t="shared" si="154"/>
        <v>0</v>
      </c>
      <c r="BG196" s="17">
        <f t="shared" si="155"/>
        <v>0</v>
      </c>
      <c r="BH196" s="17">
        <f t="shared" si="156"/>
        <v>0</v>
      </c>
      <c r="BI196" s="17">
        <f t="shared" si="157"/>
        <v>0</v>
      </c>
      <c r="BJ196" s="17">
        <f t="shared" si="158"/>
        <v>0</v>
      </c>
      <c r="BK196" s="17">
        <f t="shared" si="159"/>
        <v>0</v>
      </c>
      <c r="BL196" s="17">
        <f t="shared" si="160"/>
        <v>0</v>
      </c>
      <c r="BM196" s="17">
        <f t="shared" si="161"/>
        <v>0</v>
      </c>
      <c r="BN196" s="17">
        <f t="shared" si="162"/>
        <v>0</v>
      </c>
      <c r="BO196" s="17">
        <f t="shared" si="163"/>
        <v>0</v>
      </c>
      <c r="BP196" s="17">
        <f t="shared" si="164"/>
        <v>0</v>
      </c>
      <c r="BQ196" s="17">
        <f t="shared" si="165"/>
        <v>0</v>
      </c>
      <c r="BR196" s="17">
        <f t="shared" si="166"/>
        <v>0</v>
      </c>
      <c r="BS196" s="17">
        <f t="shared" si="167"/>
        <v>0</v>
      </c>
      <c r="BT196" s="17">
        <f t="shared" si="168"/>
        <v>0</v>
      </c>
      <c r="BU196" s="17">
        <f t="shared" si="169"/>
        <v>0</v>
      </c>
      <c r="BV196" s="17">
        <f t="shared" si="170"/>
        <v>0</v>
      </c>
      <c r="BW196" s="17">
        <f t="shared" si="171"/>
        <v>0</v>
      </c>
      <c r="BX196" s="17">
        <f t="shared" si="172"/>
        <v>0</v>
      </c>
      <c r="BY196" s="17">
        <f t="shared" si="173"/>
        <v>0</v>
      </c>
      <c r="BZ196" s="17">
        <f t="shared" si="184"/>
        <v>0</v>
      </c>
      <c r="CA196" s="17">
        <f t="shared" si="185"/>
        <v>0</v>
      </c>
      <c r="CB196" s="17">
        <f t="shared" si="186"/>
        <v>0</v>
      </c>
      <c r="CC196" s="17">
        <f t="shared" si="187"/>
        <v>0</v>
      </c>
      <c r="CD196" s="17">
        <f t="shared" si="188"/>
        <v>0</v>
      </c>
      <c r="CE196" s="17">
        <f t="shared" si="189"/>
        <v>0</v>
      </c>
      <c r="CF196" s="17">
        <f t="shared" si="190"/>
        <v>0</v>
      </c>
      <c r="CG196" s="17">
        <f t="shared" si="191"/>
        <v>0</v>
      </c>
      <c r="CH196" s="17">
        <f t="shared" si="192"/>
        <v>0</v>
      </c>
      <c r="CI196" s="17">
        <f t="shared" si="193"/>
        <v>0</v>
      </c>
      <c r="CJ196" s="17">
        <f t="shared" si="194"/>
        <v>0</v>
      </c>
      <c r="CK196" s="17">
        <f t="shared" si="195"/>
        <v>0</v>
      </c>
      <c r="CL196" s="17">
        <f t="shared" si="196"/>
        <v>0</v>
      </c>
      <c r="CM196" s="14">
        <f t="shared" si="197"/>
        <v>0</v>
      </c>
      <c r="CN196" s="17">
        <f t="shared" si="198"/>
        <v>0</v>
      </c>
      <c r="CO196" s="14">
        <f t="shared" si="199"/>
        <v>0</v>
      </c>
      <c r="CP196" s="17">
        <f t="shared" si="200"/>
        <v>0</v>
      </c>
      <c r="CQ196" s="14">
        <f t="shared" si="174"/>
        <v>300</v>
      </c>
      <c r="CR196" s="14">
        <v>40</v>
      </c>
      <c r="CS196" s="14">
        <v>227</v>
      </c>
      <c r="CT196" s="14">
        <v>0</v>
      </c>
      <c r="CU196" s="14">
        <v>0</v>
      </c>
    </row>
    <row r="197" spans="1:99" x14ac:dyDescent="0.3">
      <c r="A197" s="14">
        <v>2020</v>
      </c>
      <c r="B197" s="14" t="s">
        <v>33</v>
      </c>
      <c r="C197" s="14" t="s">
        <v>34</v>
      </c>
      <c r="D197" s="15">
        <v>925124.6</v>
      </c>
      <c r="E197" s="15">
        <v>26491086.500000011</v>
      </c>
      <c r="F197" s="15">
        <f t="shared" si="175"/>
        <v>28.635155199634742</v>
      </c>
      <c r="G197" s="14">
        <v>179</v>
      </c>
      <c r="H197" s="14">
        <v>337</v>
      </c>
      <c r="I197" s="14">
        <v>2735</v>
      </c>
      <c r="J197" s="14">
        <v>16</v>
      </c>
      <c r="K197" s="14">
        <v>2</v>
      </c>
      <c r="L197" s="14">
        <v>15</v>
      </c>
      <c r="M197" s="14">
        <v>154</v>
      </c>
      <c r="N197" s="14">
        <v>45</v>
      </c>
      <c r="O197" s="14">
        <v>12</v>
      </c>
      <c r="P197" s="14">
        <v>3</v>
      </c>
      <c r="Q197" s="14">
        <v>10</v>
      </c>
      <c r="R197" s="14">
        <v>137</v>
      </c>
      <c r="S197" s="14">
        <v>5</v>
      </c>
      <c r="T197" s="14">
        <v>194</v>
      </c>
      <c r="U197" s="14">
        <v>21</v>
      </c>
      <c r="V197" s="14">
        <v>73</v>
      </c>
      <c r="W197" s="14">
        <v>21</v>
      </c>
      <c r="X197" s="14">
        <v>6</v>
      </c>
      <c r="Y197" s="14">
        <v>48</v>
      </c>
      <c r="Z197" s="14">
        <v>112</v>
      </c>
      <c r="AA197" s="14">
        <v>19</v>
      </c>
      <c r="AB197" s="14">
        <f t="shared" si="176"/>
        <v>31</v>
      </c>
      <c r="AC197" s="14">
        <v>4</v>
      </c>
      <c r="AD197" s="14">
        <v>13</v>
      </c>
      <c r="AE197" s="14">
        <v>17</v>
      </c>
      <c r="AF197" s="14">
        <v>207</v>
      </c>
      <c r="AG197" s="14">
        <v>1406</v>
      </c>
      <c r="AH197" s="14">
        <v>152</v>
      </c>
      <c r="AI197" s="14">
        <v>2098</v>
      </c>
      <c r="AJ197" s="14">
        <v>54</v>
      </c>
      <c r="AK197" s="14">
        <v>5</v>
      </c>
      <c r="AL197" s="14">
        <v>64</v>
      </c>
      <c r="AM197" s="14">
        <f t="shared" si="177"/>
        <v>69</v>
      </c>
      <c r="AN197" s="14">
        <v>6</v>
      </c>
      <c r="AO197" s="14">
        <v>16</v>
      </c>
      <c r="AP197" s="14">
        <v>48</v>
      </c>
      <c r="AQ197" s="14">
        <f t="shared" si="178"/>
        <v>64</v>
      </c>
      <c r="AR197" s="14">
        <v>4</v>
      </c>
      <c r="AS197" s="14">
        <v>3</v>
      </c>
      <c r="AT197" s="14">
        <f t="shared" si="179"/>
        <v>7</v>
      </c>
      <c r="AU197" s="16">
        <v>5930</v>
      </c>
      <c r="AV197" s="16">
        <v>23436</v>
      </c>
      <c r="AW197" s="16">
        <v>2516</v>
      </c>
      <c r="AX197" s="16">
        <v>5390</v>
      </c>
      <c r="AY197" s="18">
        <f t="shared" si="180"/>
        <v>2.2384887837650589</v>
      </c>
      <c r="AZ197" s="17">
        <f t="shared" si="181"/>
        <v>8.8467492641345569</v>
      </c>
      <c r="BA197" s="17">
        <f t="shared" si="182"/>
        <v>0.94975341989087492</v>
      </c>
      <c r="BB197" s="17">
        <f t="shared" si="183"/>
        <v>2.0346466348218666</v>
      </c>
      <c r="BC197" s="17">
        <f t="shared" si="151"/>
        <v>6.7569897520058278E-2</v>
      </c>
      <c r="BD197" s="17">
        <f t="shared" si="152"/>
        <v>0.1272126003589924</v>
      </c>
      <c r="BE197" s="17">
        <f t="shared" si="153"/>
        <v>1.0324227358511697</v>
      </c>
      <c r="BF197" s="17">
        <f t="shared" si="154"/>
        <v>6.0397673760945944E-3</v>
      </c>
      <c r="BG197" s="17">
        <f t="shared" si="155"/>
        <v>7.549709220118243E-4</v>
      </c>
      <c r="BH197" s="17">
        <f t="shared" si="156"/>
        <v>5.6622819150886818E-3</v>
      </c>
      <c r="BI197" s="17">
        <f t="shared" si="157"/>
        <v>5.8132760994910472E-2</v>
      </c>
      <c r="BJ197" s="17">
        <f t="shared" si="158"/>
        <v>1.6986845745266047E-2</v>
      </c>
      <c r="BK197" s="17">
        <f t="shared" si="159"/>
        <v>4.5298255320709458E-3</v>
      </c>
      <c r="BL197" s="17">
        <f t="shared" si="160"/>
        <v>1.1324563830177365E-3</v>
      </c>
      <c r="BM197" s="17">
        <f t="shared" si="161"/>
        <v>3.7748546100591215E-3</v>
      </c>
      <c r="BN197" s="17">
        <f t="shared" si="162"/>
        <v>5.1715508157809967E-2</v>
      </c>
      <c r="BO197" s="17">
        <f t="shared" si="163"/>
        <v>1.8874273050295608E-3</v>
      </c>
      <c r="BP197" s="17">
        <f t="shared" si="164"/>
        <v>7.3232179435146955E-2</v>
      </c>
      <c r="BQ197" s="17">
        <f t="shared" si="165"/>
        <v>7.9271946811241556E-3</v>
      </c>
      <c r="BR197" s="17">
        <f t="shared" si="166"/>
        <v>2.7556438653431586E-2</v>
      </c>
      <c r="BS197" s="17">
        <f t="shared" si="167"/>
        <v>7.9271946811241556E-3</v>
      </c>
      <c r="BT197" s="17">
        <f t="shared" si="168"/>
        <v>2.2649127660354729E-3</v>
      </c>
      <c r="BU197" s="17">
        <f t="shared" si="169"/>
        <v>1.8119302128283783E-2</v>
      </c>
      <c r="BV197" s="17">
        <f t="shared" si="170"/>
        <v>4.2278371632662161E-2</v>
      </c>
      <c r="BW197" s="17">
        <f t="shared" si="171"/>
        <v>7.1722237591123304E-3</v>
      </c>
      <c r="BX197" s="17">
        <f t="shared" si="172"/>
        <v>1.5099418440236486E-3</v>
      </c>
      <c r="BY197" s="17">
        <f t="shared" si="173"/>
        <v>4.9073109930768575E-3</v>
      </c>
      <c r="BZ197" s="17">
        <f t="shared" si="184"/>
        <v>6.4172528371005061E-3</v>
      </c>
      <c r="CA197" s="17">
        <f t="shared" si="185"/>
        <v>7.813949042822381E-2</v>
      </c>
      <c r="CB197" s="17">
        <f t="shared" si="186"/>
        <v>0.53074455817431243</v>
      </c>
      <c r="CC197" s="17">
        <f t="shared" si="187"/>
        <v>5.7377790072898643E-2</v>
      </c>
      <c r="CD197" s="17">
        <f t="shared" si="188"/>
        <v>0.79196449719040374</v>
      </c>
      <c r="CE197" s="17">
        <f t="shared" si="189"/>
        <v>2.0384214894319255E-2</v>
      </c>
      <c r="CF197" s="17">
        <f t="shared" si="190"/>
        <v>1.8874273050295608E-3</v>
      </c>
      <c r="CG197" s="17">
        <f t="shared" si="191"/>
        <v>2.4159069504378378E-2</v>
      </c>
      <c r="CH197" s="17">
        <f t="shared" si="192"/>
        <v>2.2649127660354729E-3</v>
      </c>
      <c r="CI197" s="17">
        <f t="shared" si="193"/>
        <v>6.0397673760945944E-3</v>
      </c>
      <c r="CJ197" s="17">
        <f t="shared" si="194"/>
        <v>1.8119302128283783E-2</v>
      </c>
      <c r="CK197" s="17">
        <f t="shared" si="195"/>
        <v>1.5099418440236486E-3</v>
      </c>
      <c r="CL197" s="17">
        <f t="shared" si="196"/>
        <v>1.1324563830177365E-3</v>
      </c>
      <c r="CM197" s="14">
        <f t="shared" si="197"/>
        <v>25952</v>
      </c>
      <c r="CN197" s="17">
        <f t="shared" si="198"/>
        <v>9.7965026840254321</v>
      </c>
      <c r="CO197" s="14">
        <f t="shared" si="199"/>
        <v>31882</v>
      </c>
      <c r="CP197" s="17">
        <f t="shared" si="200"/>
        <v>12.034991467790491</v>
      </c>
      <c r="CQ197" s="14">
        <f t="shared" si="174"/>
        <v>45684</v>
      </c>
      <c r="CR197" s="14">
        <v>112</v>
      </c>
      <c r="CS197" s="14">
        <v>78</v>
      </c>
      <c r="CT197" s="14">
        <v>0</v>
      </c>
      <c r="CU197" s="14">
        <v>5</v>
      </c>
    </row>
    <row r="198" spans="1:99" x14ac:dyDescent="0.3">
      <c r="A198" s="14">
        <v>2021</v>
      </c>
      <c r="B198" s="14" t="s">
        <v>33</v>
      </c>
      <c r="C198" s="14" t="s">
        <v>34</v>
      </c>
      <c r="D198" s="15">
        <v>935437.5</v>
      </c>
      <c r="E198" s="15">
        <v>27198627.999999985</v>
      </c>
      <c r="F198" s="15">
        <f t="shared" si="175"/>
        <v>29.075836707422983</v>
      </c>
      <c r="G198" s="14">
        <v>133</v>
      </c>
      <c r="H198" s="14">
        <v>264</v>
      </c>
      <c r="I198" s="14">
        <v>3229</v>
      </c>
      <c r="J198" s="14">
        <v>37</v>
      </c>
      <c r="L198" s="14">
        <v>22</v>
      </c>
      <c r="N198" s="14">
        <v>97</v>
      </c>
      <c r="O198" s="14">
        <v>3</v>
      </c>
      <c r="P198" s="14">
        <v>6</v>
      </c>
      <c r="R198" s="14">
        <v>364</v>
      </c>
      <c r="U198" s="14">
        <v>339</v>
      </c>
      <c r="V198" s="14">
        <v>267</v>
      </c>
      <c r="W198" s="14">
        <v>4216</v>
      </c>
      <c r="Y198" s="14">
        <v>249</v>
      </c>
      <c r="Z198" s="14">
        <v>2247</v>
      </c>
      <c r="AB198" s="14">
        <f t="shared" si="176"/>
        <v>3</v>
      </c>
      <c r="AD198" s="14">
        <v>639</v>
      </c>
      <c r="AE198" s="14">
        <v>65</v>
      </c>
      <c r="AJ198" s="14">
        <v>324</v>
      </c>
      <c r="AK198" s="14">
        <v>21</v>
      </c>
      <c r="AM198" s="14">
        <f t="shared" si="177"/>
        <v>21</v>
      </c>
      <c r="AN198" s="14">
        <v>44</v>
      </c>
      <c r="AP198" s="14">
        <v>584</v>
      </c>
      <c r="AQ198" s="14">
        <f t="shared" si="178"/>
        <v>584</v>
      </c>
      <c r="AT198" s="14">
        <f t="shared" si="179"/>
        <v>0</v>
      </c>
      <c r="AU198" s="16">
        <v>7653</v>
      </c>
      <c r="AV198" s="16">
        <v>9254</v>
      </c>
      <c r="AW198" s="16">
        <v>1408</v>
      </c>
      <c r="AX198" s="16">
        <v>0</v>
      </c>
      <c r="AY198" s="18">
        <f t="shared" si="180"/>
        <v>2.8137448697779917</v>
      </c>
      <c r="AZ198" s="17">
        <f t="shared" si="181"/>
        <v>3.4023775022769551</v>
      </c>
      <c r="BA198" s="17">
        <f t="shared" si="182"/>
        <v>0.51767317086729547</v>
      </c>
      <c r="BB198" s="17">
        <f t="shared" si="183"/>
        <v>0</v>
      </c>
      <c r="BC198" s="17">
        <f t="shared" si="151"/>
        <v>4.8899525373118112E-2</v>
      </c>
      <c r="BD198" s="17">
        <f t="shared" si="152"/>
        <v>9.7063719537617901E-2</v>
      </c>
      <c r="BE198" s="17">
        <f t="shared" si="153"/>
        <v>1.1871922363142735</v>
      </c>
      <c r="BF198" s="17">
        <f t="shared" si="154"/>
        <v>1.3603627359438873E-2</v>
      </c>
      <c r="BG198" s="17">
        <f t="shared" si="155"/>
        <v>0</v>
      </c>
      <c r="BH198" s="17">
        <f t="shared" si="156"/>
        <v>8.0886432948014918E-3</v>
      </c>
      <c r="BI198" s="17">
        <f t="shared" si="157"/>
        <v>0</v>
      </c>
      <c r="BJ198" s="17">
        <f t="shared" si="158"/>
        <v>3.5663563617988399E-2</v>
      </c>
      <c r="BK198" s="17">
        <f t="shared" si="159"/>
        <v>1.1029968129274762E-3</v>
      </c>
      <c r="BL198" s="17">
        <f t="shared" si="160"/>
        <v>2.2059936258549523E-3</v>
      </c>
      <c r="BM198" s="17">
        <f t="shared" si="161"/>
        <v>0</v>
      </c>
      <c r="BN198" s="17">
        <f t="shared" si="162"/>
        <v>0.13383027996853378</v>
      </c>
      <c r="BO198" s="17">
        <f t="shared" si="163"/>
        <v>0</v>
      </c>
      <c r="BP198" s="17">
        <f t="shared" si="164"/>
        <v>0</v>
      </c>
      <c r="BQ198" s="17">
        <f t="shared" si="165"/>
        <v>0.12463863986080481</v>
      </c>
      <c r="BR198" s="17">
        <f t="shared" si="166"/>
        <v>9.8166716350545385E-2</v>
      </c>
      <c r="BS198" s="17">
        <f t="shared" si="167"/>
        <v>1.5500781877674132</v>
      </c>
      <c r="BT198" s="17">
        <f t="shared" si="168"/>
        <v>0</v>
      </c>
      <c r="BU198" s="17">
        <f t="shared" si="169"/>
        <v>9.1548735472980522E-2</v>
      </c>
      <c r="BV198" s="17">
        <f t="shared" si="170"/>
        <v>0.82614461288267971</v>
      </c>
      <c r="BW198" s="17">
        <f t="shared" si="171"/>
        <v>0</v>
      </c>
      <c r="BX198" s="17">
        <f t="shared" si="172"/>
        <v>0</v>
      </c>
      <c r="BY198" s="17">
        <f t="shared" si="173"/>
        <v>0.23493832115355243</v>
      </c>
      <c r="BZ198" s="17">
        <f t="shared" si="184"/>
        <v>2.3898264280095317E-2</v>
      </c>
      <c r="CA198" s="17">
        <f t="shared" si="185"/>
        <v>0</v>
      </c>
      <c r="CB198" s="17">
        <f t="shared" si="186"/>
        <v>0</v>
      </c>
      <c r="CC198" s="17">
        <f t="shared" si="187"/>
        <v>0</v>
      </c>
      <c r="CD198" s="17">
        <f t="shared" si="188"/>
        <v>0</v>
      </c>
      <c r="CE198" s="17">
        <f t="shared" si="189"/>
        <v>0.11912365579616743</v>
      </c>
      <c r="CF198" s="17">
        <f t="shared" si="190"/>
        <v>7.7209776904923338E-3</v>
      </c>
      <c r="CG198" s="17">
        <f t="shared" si="191"/>
        <v>0</v>
      </c>
      <c r="CH198" s="17">
        <f t="shared" si="192"/>
        <v>1.6177286589602984E-2</v>
      </c>
      <c r="CI198" s="17">
        <f t="shared" si="193"/>
        <v>0</v>
      </c>
      <c r="CJ198" s="17">
        <f t="shared" si="194"/>
        <v>0.2147167129165487</v>
      </c>
      <c r="CK198" s="17">
        <f t="shared" si="195"/>
        <v>0</v>
      </c>
      <c r="CL198" s="17">
        <f t="shared" si="196"/>
        <v>0</v>
      </c>
      <c r="CM198" s="14">
        <f t="shared" si="197"/>
        <v>10662</v>
      </c>
      <c r="CN198" s="17"/>
      <c r="CO198" s="14">
        <f t="shared" si="199"/>
        <v>18315</v>
      </c>
      <c r="CP198" s="17"/>
      <c r="CQ198" s="14">
        <f t="shared" si="174"/>
        <v>32073</v>
      </c>
      <c r="CR198" s="14">
        <v>74</v>
      </c>
      <c r="CS198" s="14">
        <v>281</v>
      </c>
      <c r="CT198" s="14">
        <v>0</v>
      </c>
      <c r="CU198" s="14">
        <v>0</v>
      </c>
    </row>
    <row r="199" spans="1:99" x14ac:dyDescent="0.3">
      <c r="A199" s="14">
        <v>2022</v>
      </c>
      <c r="B199" s="14" t="s">
        <v>33</v>
      </c>
      <c r="C199" s="14" t="s">
        <v>34</v>
      </c>
      <c r="D199" s="15">
        <v>946149.4</v>
      </c>
      <c r="E199" s="15">
        <v>27914536.499999989</v>
      </c>
      <c r="F199" s="15">
        <f t="shared" si="175"/>
        <v>29.503307300094455</v>
      </c>
      <c r="G199" s="14">
        <v>317</v>
      </c>
      <c r="H199" s="14">
        <v>602</v>
      </c>
      <c r="I199" s="14">
        <v>3699</v>
      </c>
      <c r="J199" s="14">
        <v>61</v>
      </c>
      <c r="K199" s="14">
        <v>0</v>
      </c>
      <c r="L199" s="14">
        <v>85</v>
      </c>
      <c r="M199" s="14">
        <v>310</v>
      </c>
      <c r="N199" s="14">
        <v>88</v>
      </c>
      <c r="O199" s="14">
        <v>11</v>
      </c>
      <c r="P199" s="14">
        <v>6</v>
      </c>
      <c r="Q199" s="14">
        <v>1</v>
      </c>
      <c r="R199" s="14">
        <v>89</v>
      </c>
      <c r="S199" s="14">
        <v>1</v>
      </c>
      <c r="T199" s="14">
        <v>668</v>
      </c>
      <c r="U199" s="14">
        <v>20</v>
      </c>
      <c r="V199" s="14">
        <v>4864</v>
      </c>
      <c r="W199" s="14">
        <v>1195</v>
      </c>
      <c r="X199" s="14">
        <v>118</v>
      </c>
      <c r="Y199" s="14">
        <v>161</v>
      </c>
      <c r="Z199" s="14">
        <v>293</v>
      </c>
      <c r="AA199" s="14">
        <v>8</v>
      </c>
      <c r="AB199" s="14">
        <f t="shared" si="176"/>
        <v>19</v>
      </c>
      <c r="AC199" s="14">
        <v>85</v>
      </c>
      <c r="AD199" s="14">
        <v>83</v>
      </c>
      <c r="AE199" s="14">
        <v>49</v>
      </c>
      <c r="AF199" s="14">
        <v>10</v>
      </c>
      <c r="AG199" s="14">
        <v>5</v>
      </c>
      <c r="AH199" s="14">
        <v>74</v>
      </c>
      <c r="AI199" s="14">
        <v>34</v>
      </c>
      <c r="AJ199" s="14">
        <v>369</v>
      </c>
      <c r="AK199" s="14">
        <v>24</v>
      </c>
      <c r="AL199" s="14">
        <v>167</v>
      </c>
      <c r="AM199" s="14">
        <f t="shared" si="177"/>
        <v>191</v>
      </c>
      <c r="AN199" s="14">
        <v>32</v>
      </c>
      <c r="AO199" s="14">
        <v>11</v>
      </c>
      <c r="AP199" s="14">
        <v>595</v>
      </c>
      <c r="AQ199" s="14">
        <f t="shared" si="178"/>
        <v>606</v>
      </c>
      <c r="AR199" s="14">
        <v>11</v>
      </c>
      <c r="AS199" s="14">
        <v>5</v>
      </c>
      <c r="AT199" s="14">
        <f t="shared" si="179"/>
        <v>16</v>
      </c>
      <c r="AU199" s="16">
        <v>8865</v>
      </c>
      <c r="AV199" s="16">
        <v>32946</v>
      </c>
      <c r="AW199" s="16">
        <v>3348</v>
      </c>
      <c r="AX199" s="16">
        <v>146</v>
      </c>
      <c r="AY199" s="18">
        <f t="shared" si="180"/>
        <v>3.1757647131271565</v>
      </c>
      <c r="AZ199" s="17">
        <f t="shared" si="181"/>
        <v>11.802452818802854</v>
      </c>
      <c r="BA199" s="17">
        <f t="shared" si="182"/>
        <v>1.1993750997800021</v>
      </c>
      <c r="BB199" s="17">
        <f t="shared" si="183"/>
        <v>5.230249837750308E-2</v>
      </c>
      <c r="BC199" s="17">
        <f t="shared" si="151"/>
        <v>0.11356090401142793</v>
      </c>
      <c r="BD199" s="17">
        <f t="shared" si="152"/>
        <v>0.21565824673463599</v>
      </c>
      <c r="BE199" s="17">
        <f t="shared" si="153"/>
        <v>1.3251160376601636</v>
      </c>
      <c r="BF199" s="17">
        <f t="shared" si="154"/>
        <v>2.1852413705669097E-2</v>
      </c>
      <c r="BG199" s="17">
        <f t="shared" si="155"/>
        <v>0</v>
      </c>
      <c r="BH199" s="17">
        <f t="shared" si="156"/>
        <v>3.0450084671833987E-2</v>
      </c>
      <c r="BI199" s="17">
        <f t="shared" si="157"/>
        <v>0.11105324997962983</v>
      </c>
      <c r="BJ199" s="17">
        <f t="shared" si="158"/>
        <v>3.1524793542604596E-2</v>
      </c>
      <c r="BK199" s="17">
        <f t="shared" si="159"/>
        <v>3.9405991928255744E-3</v>
      </c>
      <c r="BL199" s="17">
        <f t="shared" si="160"/>
        <v>2.1494177415412228E-3</v>
      </c>
      <c r="BM199" s="17">
        <f t="shared" si="161"/>
        <v>3.5823629025687041E-4</v>
      </c>
      <c r="BN199" s="17">
        <f t="shared" si="162"/>
        <v>3.1883029832861468E-2</v>
      </c>
      <c r="BO199" s="17">
        <f t="shared" si="163"/>
        <v>3.5823629025687041E-4</v>
      </c>
      <c r="BP199" s="17">
        <f t="shared" si="164"/>
        <v>0.23930184189158946</v>
      </c>
      <c r="BQ199" s="17">
        <f t="shared" si="165"/>
        <v>7.1647258051374084E-3</v>
      </c>
      <c r="BR199" s="17">
        <f t="shared" si="166"/>
        <v>1.7424613158094178</v>
      </c>
      <c r="BS199" s="17">
        <f t="shared" si="167"/>
        <v>0.42809236685696017</v>
      </c>
      <c r="BT199" s="17">
        <f t="shared" si="168"/>
        <v>4.2271882250310713E-2</v>
      </c>
      <c r="BU199" s="17">
        <f t="shared" si="169"/>
        <v>5.7676042731356139E-2</v>
      </c>
      <c r="BV199" s="17">
        <f t="shared" si="170"/>
        <v>0.10496323304526303</v>
      </c>
      <c r="BW199" s="17">
        <f t="shared" si="171"/>
        <v>2.8658903220549633E-3</v>
      </c>
      <c r="BX199" s="17">
        <f t="shared" si="172"/>
        <v>3.0450084671833987E-2</v>
      </c>
      <c r="BY199" s="17">
        <f t="shared" si="173"/>
        <v>2.9733612091320246E-2</v>
      </c>
      <c r="BZ199" s="17">
        <f t="shared" si="184"/>
        <v>1.7553578222586651E-2</v>
      </c>
      <c r="CA199" s="17">
        <f t="shared" si="185"/>
        <v>3.5823629025687042E-3</v>
      </c>
      <c r="CB199" s="17">
        <f t="shared" si="186"/>
        <v>1.7911814512843521E-3</v>
      </c>
      <c r="CC199" s="17">
        <f t="shared" si="187"/>
        <v>2.6509485479008412E-2</v>
      </c>
      <c r="CD199" s="17">
        <f t="shared" si="188"/>
        <v>1.2180033868733595E-2</v>
      </c>
      <c r="CE199" s="17">
        <f t="shared" si="189"/>
        <v>0.13218919110478519</v>
      </c>
      <c r="CF199" s="17">
        <f t="shared" si="190"/>
        <v>8.5976709661648911E-3</v>
      </c>
      <c r="CG199" s="17">
        <f t="shared" si="191"/>
        <v>5.9825460472897364E-2</v>
      </c>
      <c r="CH199" s="17">
        <f t="shared" si="192"/>
        <v>1.1463561288219853E-2</v>
      </c>
      <c r="CI199" s="17">
        <f t="shared" si="193"/>
        <v>3.9405991928255744E-3</v>
      </c>
      <c r="CJ199" s="17">
        <f t="shared" si="194"/>
        <v>0.2131505927028379</v>
      </c>
      <c r="CK199" s="17">
        <f t="shared" si="195"/>
        <v>3.9405991928255744E-3</v>
      </c>
      <c r="CL199" s="17">
        <f t="shared" si="196"/>
        <v>1.7911814512843521E-3</v>
      </c>
      <c r="CM199" s="14">
        <f t="shared" si="197"/>
        <v>36294</v>
      </c>
      <c r="CN199" s="17">
        <f t="shared" si="198"/>
        <v>13.001827918582855</v>
      </c>
      <c r="CO199" s="14">
        <f t="shared" si="199"/>
        <v>45159</v>
      </c>
      <c r="CP199" s="17">
        <f t="shared" si="200"/>
        <v>16.177592631710013</v>
      </c>
      <c r="CQ199" s="14">
        <f t="shared" si="174"/>
        <v>60288</v>
      </c>
      <c r="CR199" s="14">
        <v>159</v>
      </c>
      <c r="CS199" s="14">
        <v>398</v>
      </c>
      <c r="CT199" s="14">
        <v>0</v>
      </c>
      <c r="CU199" s="14">
        <v>0</v>
      </c>
    </row>
    <row r="200" spans="1:99" x14ac:dyDescent="0.3">
      <c r="A200" s="14">
        <v>2012</v>
      </c>
      <c r="B200" s="14" t="s">
        <v>35</v>
      </c>
      <c r="C200" s="14" t="s">
        <v>36</v>
      </c>
      <c r="D200" s="15">
        <v>579359.69999999995</v>
      </c>
      <c r="E200" s="15">
        <v>12754906</v>
      </c>
      <c r="F200" s="15">
        <f t="shared" si="175"/>
        <v>22.015521618089764</v>
      </c>
      <c r="H200" s="14">
        <v>68</v>
      </c>
      <c r="AB200" s="14">
        <f t="shared" si="176"/>
        <v>0</v>
      </c>
      <c r="AM200" s="14">
        <f t="shared" si="177"/>
        <v>0</v>
      </c>
      <c r="AQ200" s="14">
        <f t="shared" si="178"/>
        <v>0</v>
      </c>
      <c r="AT200" s="14">
        <f t="shared" si="179"/>
        <v>0</v>
      </c>
      <c r="AU200" s="16">
        <v>1056</v>
      </c>
      <c r="AV200" s="16">
        <v>6282</v>
      </c>
      <c r="AW200" s="16">
        <v>832</v>
      </c>
      <c r="AX200" s="16">
        <v>0</v>
      </c>
      <c r="AY200" s="18">
        <f t="shared" si="180"/>
        <v>0.82791672474889266</v>
      </c>
      <c r="AZ200" s="17">
        <f t="shared" si="181"/>
        <v>4.9251636977959699</v>
      </c>
      <c r="BA200" s="17">
        <f t="shared" si="182"/>
        <v>0.6522980255597336</v>
      </c>
      <c r="BB200" s="17">
        <f t="shared" si="183"/>
        <v>0</v>
      </c>
      <c r="BC200" s="17">
        <f t="shared" si="151"/>
        <v>0</v>
      </c>
      <c r="BD200" s="17">
        <f t="shared" si="152"/>
        <v>5.3312819396708996E-2</v>
      </c>
      <c r="BE200" s="17">
        <f t="shared" si="153"/>
        <v>0</v>
      </c>
      <c r="BF200" s="17">
        <f t="shared" si="154"/>
        <v>0</v>
      </c>
      <c r="BG200" s="17">
        <f t="shared" si="155"/>
        <v>0</v>
      </c>
      <c r="BH200" s="17">
        <f t="shared" si="156"/>
        <v>0</v>
      </c>
      <c r="BI200" s="17">
        <f t="shared" si="157"/>
        <v>0</v>
      </c>
      <c r="BJ200" s="17">
        <f t="shared" si="158"/>
        <v>0</v>
      </c>
      <c r="BK200" s="17">
        <f t="shared" si="159"/>
        <v>0</v>
      </c>
      <c r="BL200" s="17">
        <f t="shared" si="160"/>
        <v>0</v>
      </c>
      <c r="BM200" s="17">
        <f t="shared" si="161"/>
        <v>0</v>
      </c>
      <c r="BN200" s="17">
        <f t="shared" si="162"/>
        <v>0</v>
      </c>
      <c r="BO200" s="17">
        <f t="shared" si="163"/>
        <v>0</v>
      </c>
      <c r="BP200" s="17">
        <f t="shared" si="164"/>
        <v>0</v>
      </c>
      <c r="BQ200" s="17">
        <f t="shared" si="165"/>
        <v>0</v>
      </c>
      <c r="BR200" s="17">
        <f t="shared" si="166"/>
        <v>0</v>
      </c>
      <c r="BS200" s="17">
        <f t="shared" si="167"/>
        <v>0</v>
      </c>
      <c r="BT200" s="17">
        <f t="shared" si="168"/>
        <v>0</v>
      </c>
      <c r="BU200" s="17">
        <f t="shared" si="169"/>
        <v>0</v>
      </c>
      <c r="BV200" s="17">
        <f t="shared" si="170"/>
        <v>0</v>
      </c>
      <c r="BW200" s="17">
        <f t="shared" si="171"/>
        <v>0</v>
      </c>
      <c r="BX200" s="17">
        <f t="shared" si="172"/>
        <v>0</v>
      </c>
      <c r="BY200" s="17">
        <f t="shared" si="173"/>
        <v>0</v>
      </c>
      <c r="BZ200" s="17">
        <f t="shared" si="184"/>
        <v>0</v>
      </c>
      <c r="CA200" s="17">
        <f t="shared" si="185"/>
        <v>0</v>
      </c>
      <c r="CB200" s="17">
        <f t="shared" si="186"/>
        <v>0</v>
      </c>
      <c r="CC200" s="17">
        <f t="shared" si="187"/>
        <v>0</v>
      </c>
      <c r="CD200" s="17">
        <f t="shared" si="188"/>
        <v>0</v>
      </c>
      <c r="CE200" s="17">
        <f t="shared" si="189"/>
        <v>0</v>
      </c>
      <c r="CF200" s="17">
        <f t="shared" si="190"/>
        <v>0</v>
      </c>
      <c r="CG200" s="17">
        <f t="shared" si="191"/>
        <v>0</v>
      </c>
      <c r="CH200" s="17">
        <f t="shared" si="192"/>
        <v>0</v>
      </c>
      <c r="CI200" s="17">
        <f t="shared" si="193"/>
        <v>0</v>
      </c>
      <c r="CJ200" s="17">
        <f t="shared" si="194"/>
        <v>0</v>
      </c>
      <c r="CK200" s="17">
        <f t="shared" si="195"/>
        <v>0</v>
      </c>
      <c r="CL200" s="17">
        <f t="shared" si="196"/>
        <v>0</v>
      </c>
      <c r="CM200" s="14">
        <f t="shared" si="197"/>
        <v>7114</v>
      </c>
      <c r="CN200" s="17">
        <f t="shared" si="198"/>
        <v>5.5774617233557029</v>
      </c>
      <c r="CO200" s="14">
        <f t="shared" si="199"/>
        <v>8170</v>
      </c>
      <c r="CP200" s="17">
        <f t="shared" si="200"/>
        <v>6.4053784481045959</v>
      </c>
      <c r="CQ200" s="14">
        <f t="shared" si="174"/>
        <v>8238</v>
      </c>
      <c r="CR200" s="14">
        <v>15483</v>
      </c>
      <c r="CS200" s="14">
        <v>19687</v>
      </c>
      <c r="CT200" s="14">
        <v>406</v>
      </c>
      <c r="CU200" s="14">
        <v>1258</v>
      </c>
    </row>
    <row r="201" spans="1:99" x14ac:dyDescent="0.3">
      <c r="A201" s="14">
        <v>2013</v>
      </c>
      <c r="B201" s="14" t="s">
        <v>35</v>
      </c>
      <c r="C201" s="14" t="s">
        <v>36</v>
      </c>
      <c r="D201" s="15">
        <v>595182.19999999995</v>
      </c>
      <c r="E201" s="15">
        <v>13216766.5</v>
      </c>
      <c r="F201" s="15">
        <f t="shared" si="175"/>
        <v>22.206252975979456</v>
      </c>
      <c r="H201" s="14">
        <v>72</v>
      </c>
      <c r="AB201" s="14">
        <f t="shared" si="176"/>
        <v>0</v>
      </c>
      <c r="AM201" s="14">
        <f t="shared" si="177"/>
        <v>0</v>
      </c>
      <c r="AQ201" s="14">
        <f t="shared" si="178"/>
        <v>0</v>
      </c>
      <c r="AT201" s="14">
        <f t="shared" si="179"/>
        <v>0</v>
      </c>
      <c r="AU201" s="16">
        <v>1146</v>
      </c>
      <c r="AV201" s="16">
        <v>7212</v>
      </c>
      <c r="AW201" s="16">
        <v>902</v>
      </c>
      <c r="AX201" s="16">
        <v>0</v>
      </c>
      <c r="AY201" s="18">
        <f t="shared" si="180"/>
        <v>0.86708046177557874</v>
      </c>
      <c r="AZ201" s="17">
        <f t="shared" si="181"/>
        <v>5.4567053144201347</v>
      </c>
      <c r="BA201" s="17">
        <f t="shared" si="182"/>
        <v>0.6824664716593124</v>
      </c>
      <c r="BB201" s="17">
        <f t="shared" si="183"/>
        <v>0</v>
      </c>
      <c r="BC201" s="17">
        <f t="shared" si="151"/>
        <v>0</v>
      </c>
      <c r="BD201" s="17">
        <f t="shared" si="152"/>
        <v>5.4476259378570396E-2</v>
      </c>
      <c r="BE201" s="17">
        <f t="shared" si="153"/>
        <v>0</v>
      </c>
      <c r="BF201" s="17">
        <f t="shared" si="154"/>
        <v>0</v>
      </c>
      <c r="BG201" s="17">
        <f t="shared" si="155"/>
        <v>0</v>
      </c>
      <c r="BH201" s="17">
        <f t="shared" si="156"/>
        <v>0</v>
      </c>
      <c r="BI201" s="17">
        <f t="shared" si="157"/>
        <v>0</v>
      </c>
      <c r="BJ201" s="17">
        <f t="shared" si="158"/>
        <v>0</v>
      </c>
      <c r="BK201" s="17">
        <f t="shared" si="159"/>
        <v>0</v>
      </c>
      <c r="BL201" s="17">
        <f t="shared" si="160"/>
        <v>0</v>
      </c>
      <c r="BM201" s="17">
        <f t="shared" si="161"/>
        <v>0</v>
      </c>
      <c r="BN201" s="17">
        <f t="shared" si="162"/>
        <v>0</v>
      </c>
      <c r="BO201" s="17">
        <f t="shared" si="163"/>
        <v>0</v>
      </c>
      <c r="BP201" s="17">
        <f t="shared" si="164"/>
        <v>0</v>
      </c>
      <c r="BQ201" s="17">
        <f t="shared" si="165"/>
        <v>0</v>
      </c>
      <c r="BR201" s="17">
        <f t="shared" si="166"/>
        <v>0</v>
      </c>
      <c r="BS201" s="17">
        <f t="shared" si="167"/>
        <v>0</v>
      </c>
      <c r="BT201" s="17">
        <f t="shared" si="168"/>
        <v>0</v>
      </c>
      <c r="BU201" s="17">
        <f t="shared" si="169"/>
        <v>0</v>
      </c>
      <c r="BV201" s="17">
        <f t="shared" si="170"/>
        <v>0</v>
      </c>
      <c r="BW201" s="17">
        <f t="shared" si="171"/>
        <v>0</v>
      </c>
      <c r="BX201" s="17">
        <f t="shared" si="172"/>
        <v>0</v>
      </c>
      <c r="BY201" s="17">
        <f t="shared" si="173"/>
        <v>0</v>
      </c>
      <c r="BZ201" s="17">
        <f t="shared" si="184"/>
        <v>0</v>
      </c>
      <c r="CA201" s="17">
        <f t="shared" si="185"/>
        <v>0</v>
      </c>
      <c r="CB201" s="17">
        <f t="shared" si="186"/>
        <v>0</v>
      </c>
      <c r="CC201" s="17">
        <f t="shared" si="187"/>
        <v>0</v>
      </c>
      <c r="CD201" s="17">
        <f t="shared" si="188"/>
        <v>0</v>
      </c>
      <c r="CE201" s="17">
        <f t="shared" si="189"/>
        <v>0</v>
      </c>
      <c r="CF201" s="17">
        <f t="shared" si="190"/>
        <v>0</v>
      </c>
      <c r="CG201" s="17">
        <f t="shared" si="191"/>
        <v>0</v>
      </c>
      <c r="CH201" s="17">
        <f t="shared" si="192"/>
        <v>0</v>
      </c>
      <c r="CI201" s="17">
        <f t="shared" si="193"/>
        <v>0</v>
      </c>
      <c r="CJ201" s="17">
        <f t="shared" si="194"/>
        <v>0</v>
      </c>
      <c r="CK201" s="17">
        <f t="shared" si="195"/>
        <v>0</v>
      </c>
      <c r="CL201" s="17">
        <f t="shared" si="196"/>
        <v>0</v>
      </c>
      <c r="CM201" s="14">
        <f t="shared" si="197"/>
        <v>8114</v>
      </c>
      <c r="CN201" s="17">
        <f t="shared" si="198"/>
        <v>6.139171786079447</v>
      </c>
      <c r="CO201" s="14">
        <f t="shared" si="199"/>
        <v>9260</v>
      </c>
      <c r="CP201" s="17">
        <f t="shared" si="200"/>
        <v>7.0062522478550253</v>
      </c>
      <c r="CQ201" s="14">
        <f t="shared" si="174"/>
        <v>9332</v>
      </c>
      <c r="CR201" s="14">
        <v>1652</v>
      </c>
      <c r="CS201" s="14">
        <v>2302</v>
      </c>
      <c r="CT201" s="14">
        <v>0</v>
      </c>
      <c r="CU201" s="14">
        <v>0</v>
      </c>
    </row>
    <row r="202" spans="1:99" x14ac:dyDescent="0.3">
      <c r="A202" s="14">
        <v>2014</v>
      </c>
      <c r="B202" s="14" t="s">
        <v>35</v>
      </c>
      <c r="C202" s="14" t="s">
        <v>36</v>
      </c>
      <c r="D202" s="15">
        <v>610899.30000000005</v>
      </c>
      <c r="E202" s="15">
        <v>13697125.5</v>
      </c>
      <c r="F202" s="15">
        <f t="shared" si="175"/>
        <v>22.421249295915054</v>
      </c>
      <c r="H202" s="14">
        <v>78</v>
      </c>
      <c r="AB202" s="14">
        <f t="shared" si="176"/>
        <v>0</v>
      </c>
      <c r="AM202" s="14">
        <f t="shared" si="177"/>
        <v>0</v>
      </c>
      <c r="AQ202" s="14">
        <f t="shared" si="178"/>
        <v>0</v>
      </c>
      <c r="AT202" s="14">
        <f t="shared" si="179"/>
        <v>0</v>
      </c>
      <c r="AU202" s="16">
        <v>1216</v>
      </c>
      <c r="AV202" s="16">
        <v>7212</v>
      </c>
      <c r="AW202" s="16">
        <v>0</v>
      </c>
      <c r="AX202" s="16">
        <v>0</v>
      </c>
      <c r="AY202" s="18">
        <f t="shared" si="180"/>
        <v>0.88777751215026834</v>
      </c>
      <c r="AZ202" s="17">
        <f t="shared" si="181"/>
        <v>5.2653383368649136</v>
      </c>
      <c r="BA202" s="17">
        <f t="shared" si="182"/>
        <v>0</v>
      </c>
      <c r="BB202" s="17">
        <f t="shared" si="183"/>
        <v>0</v>
      </c>
      <c r="BC202" s="17">
        <f t="shared" si="151"/>
        <v>0</v>
      </c>
      <c r="BD202" s="17">
        <f t="shared" si="152"/>
        <v>5.6946254891217872E-2</v>
      </c>
      <c r="BE202" s="17">
        <f t="shared" si="153"/>
        <v>0</v>
      </c>
      <c r="BF202" s="17">
        <f t="shared" si="154"/>
        <v>0</v>
      </c>
      <c r="BG202" s="17">
        <f t="shared" si="155"/>
        <v>0</v>
      </c>
      <c r="BH202" s="17">
        <f t="shared" si="156"/>
        <v>0</v>
      </c>
      <c r="BI202" s="17">
        <f t="shared" si="157"/>
        <v>0</v>
      </c>
      <c r="BJ202" s="17">
        <f t="shared" si="158"/>
        <v>0</v>
      </c>
      <c r="BK202" s="17">
        <f t="shared" si="159"/>
        <v>0</v>
      </c>
      <c r="BL202" s="17">
        <f t="shared" si="160"/>
        <v>0</v>
      </c>
      <c r="BM202" s="17">
        <f t="shared" si="161"/>
        <v>0</v>
      </c>
      <c r="BN202" s="17">
        <f t="shared" si="162"/>
        <v>0</v>
      </c>
      <c r="BO202" s="17">
        <f t="shared" si="163"/>
        <v>0</v>
      </c>
      <c r="BP202" s="17">
        <f t="shared" si="164"/>
        <v>0</v>
      </c>
      <c r="BQ202" s="17">
        <f t="shared" si="165"/>
        <v>0</v>
      </c>
      <c r="BR202" s="17">
        <f t="shared" si="166"/>
        <v>0</v>
      </c>
      <c r="BS202" s="17">
        <f t="shared" si="167"/>
        <v>0</v>
      </c>
      <c r="BT202" s="17">
        <f t="shared" si="168"/>
        <v>0</v>
      </c>
      <c r="BU202" s="17">
        <f t="shared" si="169"/>
        <v>0</v>
      </c>
      <c r="BV202" s="17">
        <f t="shared" si="170"/>
        <v>0</v>
      </c>
      <c r="BW202" s="17">
        <f t="shared" si="171"/>
        <v>0</v>
      </c>
      <c r="BX202" s="17">
        <f t="shared" si="172"/>
        <v>0</v>
      </c>
      <c r="BY202" s="17">
        <f t="shared" si="173"/>
        <v>0</v>
      </c>
      <c r="BZ202" s="17">
        <f t="shared" si="184"/>
        <v>0</v>
      </c>
      <c r="CA202" s="17">
        <f t="shared" si="185"/>
        <v>0</v>
      </c>
      <c r="CB202" s="17">
        <f t="shared" si="186"/>
        <v>0</v>
      </c>
      <c r="CC202" s="17">
        <f t="shared" si="187"/>
        <v>0</v>
      </c>
      <c r="CD202" s="17">
        <f t="shared" si="188"/>
        <v>0</v>
      </c>
      <c r="CE202" s="17">
        <f t="shared" si="189"/>
        <v>0</v>
      </c>
      <c r="CF202" s="17">
        <f t="shared" si="190"/>
        <v>0</v>
      </c>
      <c r="CG202" s="17">
        <f t="shared" si="191"/>
        <v>0</v>
      </c>
      <c r="CH202" s="17">
        <f t="shared" si="192"/>
        <v>0</v>
      </c>
      <c r="CI202" s="17">
        <f t="shared" si="193"/>
        <v>0</v>
      </c>
      <c r="CJ202" s="17">
        <f t="shared" si="194"/>
        <v>0</v>
      </c>
      <c r="CK202" s="17">
        <f t="shared" si="195"/>
        <v>0</v>
      </c>
      <c r="CL202" s="17">
        <f t="shared" si="196"/>
        <v>0</v>
      </c>
      <c r="CM202" s="14">
        <f t="shared" si="197"/>
        <v>7212</v>
      </c>
      <c r="CN202" s="17">
        <f t="shared" si="198"/>
        <v>5.2653383368649136</v>
      </c>
      <c r="CO202" s="14">
        <f t="shared" si="199"/>
        <v>8428</v>
      </c>
      <c r="CP202" s="17">
        <f t="shared" si="200"/>
        <v>6.1531158490151823</v>
      </c>
      <c r="CQ202" s="14">
        <f t="shared" si="174"/>
        <v>8506</v>
      </c>
      <c r="CR202" s="14">
        <v>12</v>
      </c>
      <c r="CS202" s="14">
        <v>351</v>
      </c>
      <c r="CT202" s="14">
        <v>0</v>
      </c>
      <c r="CU202" s="14">
        <v>255</v>
      </c>
    </row>
    <row r="203" spans="1:99" x14ac:dyDescent="0.3">
      <c r="A203" s="14">
        <v>2015</v>
      </c>
      <c r="B203" s="14" t="s">
        <v>35</v>
      </c>
      <c r="C203" s="14" t="s">
        <v>36</v>
      </c>
      <c r="D203" s="15">
        <v>625581.19999999995</v>
      </c>
      <c r="E203" s="15">
        <v>14140274</v>
      </c>
      <c r="F203" s="15">
        <f t="shared" si="175"/>
        <v>22.603419028576948</v>
      </c>
      <c r="H203" s="14">
        <v>79</v>
      </c>
      <c r="AB203" s="14">
        <f t="shared" si="176"/>
        <v>0</v>
      </c>
      <c r="AM203" s="14">
        <f t="shared" si="177"/>
        <v>0</v>
      </c>
      <c r="AQ203" s="14">
        <f t="shared" si="178"/>
        <v>0</v>
      </c>
      <c r="AT203" s="14">
        <f t="shared" si="179"/>
        <v>0</v>
      </c>
      <c r="AU203" s="16">
        <v>1392</v>
      </c>
      <c r="AV203" s="16">
        <v>7126</v>
      </c>
      <c r="AW203" s="16">
        <v>0</v>
      </c>
      <c r="AX203" s="16">
        <v>0</v>
      </c>
      <c r="AY203" s="18">
        <f t="shared" si="180"/>
        <v>0.98442222548162783</v>
      </c>
      <c r="AZ203" s="17">
        <f t="shared" si="181"/>
        <v>5.0395063065963219</v>
      </c>
      <c r="BA203" s="17">
        <f t="shared" si="182"/>
        <v>0</v>
      </c>
      <c r="BB203" s="17">
        <f t="shared" si="183"/>
        <v>0</v>
      </c>
      <c r="BC203" s="17">
        <f t="shared" si="151"/>
        <v>0</v>
      </c>
      <c r="BD203" s="17">
        <f t="shared" si="152"/>
        <v>5.5868790095580892E-2</v>
      </c>
      <c r="BE203" s="17">
        <f t="shared" si="153"/>
        <v>0</v>
      </c>
      <c r="BF203" s="17">
        <f t="shared" si="154"/>
        <v>0</v>
      </c>
      <c r="BG203" s="17">
        <f t="shared" si="155"/>
        <v>0</v>
      </c>
      <c r="BH203" s="17">
        <f t="shared" si="156"/>
        <v>0</v>
      </c>
      <c r="BI203" s="17">
        <f t="shared" si="157"/>
        <v>0</v>
      </c>
      <c r="BJ203" s="17">
        <f t="shared" si="158"/>
        <v>0</v>
      </c>
      <c r="BK203" s="17">
        <f t="shared" si="159"/>
        <v>0</v>
      </c>
      <c r="BL203" s="17">
        <f t="shared" si="160"/>
        <v>0</v>
      </c>
      <c r="BM203" s="17">
        <f t="shared" si="161"/>
        <v>0</v>
      </c>
      <c r="BN203" s="17">
        <f t="shared" si="162"/>
        <v>0</v>
      </c>
      <c r="BO203" s="17">
        <f t="shared" si="163"/>
        <v>0</v>
      </c>
      <c r="BP203" s="17">
        <f t="shared" si="164"/>
        <v>0</v>
      </c>
      <c r="BQ203" s="17">
        <f t="shared" si="165"/>
        <v>0</v>
      </c>
      <c r="BR203" s="17">
        <f t="shared" si="166"/>
        <v>0</v>
      </c>
      <c r="BS203" s="17">
        <f t="shared" si="167"/>
        <v>0</v>
      </c>
      <c r="BT203" s="17">
        <f t="shared" si="168"/>
        <v>0</v>
      </c>
      <c r="BU203" s="17">
        <f t="shared" si="169"/>
        <v>0</v>
      </c>
      <c r="BV203" s="17">
        <f t="shared" si="170"/>
        <v>0</v>
      </c>
      <c r="BW203" s="17">
        <f t="shared" si="171"/>
        <v>0</v>
      </c>
      <c r="BX203" s="17">
        <f t="shared" si="172"/>
        <v>0</v>
      </c>
      <c r="BY203" s="17">
        <f t="shared" si="173"/>
        <v>0</v>
      </c>
      <c r="BZ203" s="17">
        <f t="shared" si="184"/>
        <v>0</v>
      </c>
      <c r="CA203" s="17">
        <f t="shared" si="185"/>
        <v>0</v>
      </c>
      <c r="CB203" s="17">
        <f t="shared" si="186"/>
        <v>0</v>
      </c>
      <c r="CC203" s="17">
        <f t="shared" si="187"/>
        <v>0</v>
      </c>
      <c r="CD203" s="17">
        <f t="shared" si="188"/>
        <v>0</v>
      </c>
      <c r="CE203" s="17">
        <f t="shared" si="189"/>
        <v>0</v>
      </c>
      <c r="CF203" s="17">
        <f t="shared" si="190"/>
        <v>0</v>
      </c>
      <c r="CG203" s="17">
        <f t="shared" si="191"/>
        <v>0</v>
      </c>
      <c r="CH203" s="17">
        <f t="shared" si="192"/>
        <v>0</v>
      </c>
      <c r="CI203" s="17">
        <f t="shared" si="193"/>
        <v>0</v>
      </c>
      <c r="CJ203" s="17">
        <f t="shared" si="194"/>
        <v>0</v>
      </c>
      <c r="CK203" s="17">
        <f t="shared" si="195"/>
        <v>0</v>
      </c>
      <c r="CL203" s="17">
        <f t="shared" si="196"/>
        <v>0</v>
      </c>
      <c r="CM203" s="14">
        <f t="shared" si="197"/>
        <v>7126</v>
      </c>
      <c r="CN203" s="17">
        <f t="shared" si="198"/>
        <v>5.0395063065963219</v>
      </c>
      <c r="CO203" s="14">
        <f t="shared" si="199"/>
        <v>8518</v>
      </c>
      <c r="CP203" s="17">
        <f t="shared" si="200"/>
        <v>6.0239285320779494</v>
      </c>
      <c r="CQ203" s="14">
        <f t="shared" si="174"/>
        <v>8597</v>
      </c>
      <c r="CR203" s="14">
        <v>123</v>
      </c>
      <c r="CS203" s="14">
        <v>591</v>
      </c>
      <c r="CT203" s="14">
        <v>43</v>
      </c>
      <c r="CU203" s="14">
        <v>0</v>
      </c>
    </row>
    <row r="204" spans="1:99" x14ac:dyDescent="0.3">
      <c r="A204" s="14">
        <v>2016</v>
      </c>
      <c r="B204" s="14" t="s">
        <v>35</v>
      </c>
      <c r="C204" s="14" t="s">
        <v>36</v>
      </c>
      <c r="D204" s="15">
        <v>635851.69999999995</v>
      </c>
      <c r="E204" s="15">
        <v>14592585.000000004</v>
      </c>
      <c r="F204" s="15">
        <f t="shared" si="175"/>
        <v>22.949667351679654</v>
      </c>
      <c r="AB204" s="14">
        <f t="shared" si="176"/>
        <v>0</v>
      </c>
      <c r="AM204" s="14">
        <f t="shared" si="177"/>
        <v>0</v>
      </c>
      <c r="AQ204" s="14">
        <f t="shared" si="178"/>
        <v>0</v>
      </c>
      <c r="AT204" s="14">
        <f t="shared" si="179"/>
        <v>0</v>
      </c>
      <c r="AU204" s="16">
        <v>1080</v>
      </c>
      <c r="AV204" s="16">
        <v>6212</v>
      </c>
      <c r="AW204" s="16">
        <v>0</v>
      </c>
      <c r="AX204" s="16">
        <v>0</v>
      </c>
      <c r="AY204" s="18">
        <f t="shared" si="180"/>
        <v>0.74010190792104324</v>
      </c>
      <c r="AZ204" s="17">
        <f t="shared" si="181"/>
        <v>4.2569565296347411</v>
      </c>
      <c r="BA204" s="17">
        <f t="shared" si="182"/>
        <v>0</v>
      </c>
      <c r="BB204" s="17">
        <f t="shared" si="183"/>
        <v>0</v>
      </c>
      <c r="BC204" s="17">
        <f t="shared" si="151"/>
        <v>0</v>
      </c>
      <c r="BD204" s="17">
        <f t="shared" si="152"/>
        <v>0</v>
      </c>
      <c r="BE204" s="17">
        <f t="shared" si="153"/>
        <v>0</v>
      </c>
      <c r="BF204" s="17">
        <f t="shared" si="154"/>
        <v>0</v>
      </c>
      <c r="BG204" s="17">
        <f t="shared" si="155"/>
        <v>0</v>
      </c>
      <c r="BH204" s="17">
        <f t="shared" si="156"/>
        <v>0</v>
      </c>
      <c r="BI204" s="17">
        <f t="shared" si="157"/>
        <v>0</v>
      </c>
      <c r="BJ204" s="17">
        <f t="shared" si="158"/>
        <v>0</v>
      </c>
      <c r="BK204" s="17">
        <f t="shared" si="159"/>
        <v>0</v>
      </c>
      <c r="BL204" s="17">
        <f t="shared" si="160"/>
        <v>0</v>
      </c>
      <c r="BM204" s="17">
        <f t="shared" si="161"/>
        <v>0</v>
      </c>
      <c r="BN204" s="17">
        <f t="shared" si="162"/>
        <v>0</v>
      </c>
      <c r="BO204" s="17">
        <f t="shared" si="163"/>
        <v>0</v>
      </c>
      <c r="BP204" s="17">
        <f t="shared" si="164"/>
        <v>0</v>
      </c>
      <c r="BQ204" s="17">
        <f t="shared" si="165"/>
        <v>0</v>
      </c>
      <c r="BR204" s="17">
        <f t="shared" si="166"/>
        <v>0</v>
      </c>
      <c r="BS204" s="17">
        <f t="shared" si="167"/>
        <v>0</v>
      </c>
      <c r="BT204" s="17">
        <f t="shared" si="168"/>
        <v>0</v>
      </c>
      <c r="BU204" s="17">
        <f t="shared" si="169"/>
        <v>0</v>
      </c>
      <c r="BV204" s="17">
        <f t="shared" si="170"/>
        <v>0</v>
      </c>
      <c r="BW204" s="17">
        <f t="shared" si="171"/>
        <v>0</v>
      </c>
      <c r="BX204" s="17">
        <f t="shared" si="172"/>
        <v>0</v>
      </c>
      <c r="BY204" s="17">
        <f t="shared" si="173"/>
        <v>0</v>
      </c>
      <c r="BZ204" s="17">
        <f t="shared" si="184"/>
        <v>0</v>
      </c>
      <c r="CA204" s="17">
        <f t="shared" si="185"/>
        <v>0</v>
      </c>
      <c r="CB204" s="17">
        <f t="shared" si="186"/>
        <v>0</v>
      </c>
      <c r="CC204" s="17">
        <f t="shared" si="187"/>
        <v>0</v>
      </c>
      <c r="CD204" s="17">
        <f t="shared" si="188"/>
        <v>0</v>
      </c>
      <c r="CE204" s="17">
        <f t="shared" si="189"/>
        <v>0</v>
      </c>
      <c r="CF204" s="17">
        <f t="shared" si="190"/>
        <v>0</v>
      </c>
      <c r="CG204" s="17">
        <f t="shared" si="191"/>
        <v>0</v>
      </c>
      <c r="CH204" s="17">
        <f t="shared" si="192"/>
        <v>0</v>
      </c>
      <c r="CI204" s="17">
        <f t="shared" si="193"/>
        <v>0</v>
      </c>
      <c r="CJ204" s="17">
        <f t="shared" si="194"/>
        <v>0</v>
      </c>
      <c r="CK204" s="17">
        <f t="shared" si="195"/>
        <v>0</v>
      </c>
      <c r="CL204" s="17">
        <f t="shared" si="196"/>
        <v>0</v>
      </c>
      <c r="CM204" s="14">
        <f t="shared" si="197"/>
        <v>6212</v>
      </c>
      <c r="CN204" s="17">
        <f t="shared" si="198"/>
        <v>4.2569565296347411</v>
      </c>
      <c r="CO204" s="14">
        <f t="shared" si="199"/>
        <v>7292</v>
      </c>
      <c r="CP204" s="17">
        <f t="shared" si="200"/>
        <v>4.9970584375557845</v>
      </c>
      <c r="CQ204" s="14">
        <f t="shared" si="174"/>
        <v>7292</v>
      </c>
      <c r="CR204" s="14">
        <v>14</v>
      </c>
      <c r="CS204" s="14">
        <v>119</v>
      </c>
      <c r="CT204" s="14">
        <v>0</v>
      </c>
      <c r="CU204" s="14">
        <v>0</v>
      </c>
    </row>
    <row r="205" spans="1:99" x14ac:dyDescent="0.3">
      <c r="A205" s="14">
        <v>2017</v>
      </c>
      <c r="B205" s="14" t="s">
        <v>35</v>
      </c>
      <c r="C205" s="14" t="s">
        <v>36</v>
      </c>
      <c r="D205" s="15">
        <v>646467.9</v>
      </c>
      <c r="E205" s="15">
        <v>15085884.000000006</v>
      </c>
      <c r="F205" s="15">
        <f t="shared" si="175"/>
        <v>23.335859367495285</v>
      </c>
      <c r="H205" s="14">
        <v>71</v>
      </c>
      <c r="AB205" s="14">
        <f t="shared" si="176"/>
        <v>0</v>
      </c>
      <c r="AM205" s="14">
        <f t="shared" si="177"/>
        <v>0</v>
      </c>
      <c r="AQ205" s="14">
        <f t="shared" si="178"/>
        <v>0</v>
      </c>
      <c r="AT205" s="14">
        <f t="shared" si="179"/>
        <v>0</v>
      </c>
      <c r="AU205" s="16">
        <v>1302</v>
      </c>
      <c r="AV205" s="16">
        <v>6974</v>
      </c>
      <c r="AW205" s="16">
        <v>0</v>
      </c>
      <c r="AX205" s="16">
        <v>0</v>
      </c>
      <c r="AY205" s="18">
        <f t="shared" si="180"/>
        <v>0.86305847241036693</v>
      </c>
      <c r="AZ205" s="17">
        <f t="shared" si="181"/>
        <v>4.6228646594392462</v>
      </c>
      <c r="BA205" s="17">
        <f t="shared" si="182"/>
        <v>0</v>
      </c>
      <c r="BB205" s="17">
        <f t="shared" si="183"/>
        <v>0</v>
      </c>
      <c r="BC205" s="17">
        <f t="shared" si="151"/>
        <v>0</v>
      </c>
      <c r="BD205" s="17">
        <f t="shared" si="152"/>
        <v>4.7063864470918627E-2</v>
      </c>
      <c r="BE205" s="17">
        <f t="shared" si="153"/>
        <v>0</v>
      </c>
      <c r="BF205" s="17">
        <f t="shared" si="154"/>
        <v>0</v>
      </c>
      <c r="BG205" s="17">
        <f t="shared" si="155"/>
        <v>0</v>
      </c>
      <c r="BH205" s="17">
        <f t="shared" si="156"/>
        <v>0</v>
      </c>
      <c r="BI205" s="17">
        <f t="shared" si="157"/>
        <v>0</v>
      </c>
      <c r="BJ205" s="17">
        <f t="shared" si="158"/>
        <v>0</v>
      </c>
      <c r="BK205" s="17">
        <f t="shared" si="159"/>
        <v>0</v>
      </c>
      <c r="BL205" s="17">
        <f t="shared" si="160"/>
        <v>0</v>
      </c>
      <c r="BM205" s="17">
        <f t="shared" si="161"/>
        <v>0</v>
      </c>
      <c r="BN205" s="17">
        <f t="shared" si="162"/>
        <v>0</v>
      </c>
      <c r="BO205" s="17">
        <f t="shared" si="163"/>
        <v>0</v>
      </c>
      <c r="BP205" s="17">
        <f t="shared" si="164"/>
        <v>0</v>
      </c>
      <c r="BQ205" s="17">
        <f t="shared" si="165"/>
        <v>0</v>
      </c>
      <c r="BR205" s="17">
        <f t="shared" si="166"/>
        <v>0</v>
      </c>
      <c r="BS205" s="17">
        <f t="shared" si="167"/>
        <v>0</v>
      </c>
      <c r="BT205" s="17">
        <f t="shared" si="168"/>
        <v>0</v>
      </c>
      <c r="BU205" s="17">
        <f t="shared" si="169"/>
        <v>0</v>
      </c>
      <c r="BV205" s="17">
        <f t="shared" si="170"/>
        <v>0</v>
      </c>
      <c r="BW205" s="17">
        <f t="shared" si="171"/>
        <v>0</v>
      </c>
      <c r="BX205" s="17">
        <f t="shared" si="172"/>
        <v>0</v>
      </c>
      <c r="BY205" s="17">
        <f t="shared" si="173"/>
        <v>0</v>
      </c>
      <c r="BZ205" s="17">
        <f t="shared" si="184"/>
        <v>0</v>
      </c>
      <c r="CA205" s="17">
        <f t="shared" si="185"/>
        <v>0</v>
      </c>
      <c r="CB205" s="17">
        <f t="shared" si="186"/>
        <v>0</v>
      </c>
      <c r="CC205" s="17">
        <f t="shared" si="187"/>
        <v>0</v>
      </c>
      <c r="CD205" s="17">
        <f t="shared" si="188"/>
        <v>0</v>
      </c>
      <c r="CE205" s="17">
        <f t="shared" si="189"/>
        <v>0</v>
      </c>
      <c r="CF205" s="17">
        <f t="shared" si="190"/>
        <v>0</v>
      </c>
      <c r="CG205" s="17">
        <f t="shared" si="191"/>
        <v>0</v>
      </c>
      <c r="CH205" s="17">
        <f t="shared" si="192"/>
        <v>0</v>
      </c>
      <c r="CI205" s="17">
        <f t="shared" si="193"/>
        <v>0</v>
      </c>
      <c r="CJ205" s="17">
        <f t="shared" si="194"/>
        <v>0</v>
      </c>
      <c r="CK205" s="17">
        <f t="shared" si="195"/>
        <v>0</v>
      </c>
      <c r="CL205" s="17">
        <f t="shared" si="196"/>
        <v>0</v>
      </c>
      <c r="CM205" s="14">
        <f t="shared" si="197"/>
        <v>6974</v>
      </c>
      <c r="CN205" s="17">
        <f t="shared" si="198"/>
        <v>4.6228646594392462</v>
      </c>
      <c r="CO205" s="14">
        <f t="shared" si="199"/>
        <v>8276</v>
      </c>
      <c r="CP205" s="17">
        <f t="shared" si="200"/>
        <v>5.4859231318496136</v>
      </c>
      <c r="CQ205" s="14">
        <f t="shared" si="174"/>
        <v>8347</v>
      </c>
      <c r="CR205" s="14">
        <v>81</v>
      </c>
      <c r="CS205" s="14">
        <v>172</v>
      </c>
      <c r="CT205" s="14">
        <v>0</v>
      </c>
      <c r="CU205" s="14">
        <v>0</v>
      </c>
    </row>
    <row r="206" spans="1:99" x14ac:dyDescent="0.3">
      <c r="A206" s="14">
        <v>2018</v>
      </c>
      <c r="B206" s="14" t="s">
        <v>35</v>
      </c>
      <c r="C206" s="14" t="s">
        <v>36</v>
      </c>
      <c r="D206" s="15">
        <v>661394.80000000005</v>
      </c>
      <c r="E206" s="15">
        <v>15604210</v>
      </c>
      <c r="F206" s="15">
        <f t="shared" si="175"/>
        <v>23.592882798594726</v>
      </c>
      <c r="G206" s="14">
        <v>3</v>
      </c>
      <c r="H206" s="14">
        <v>269</v>
      </c>
      <c r="Z206" s="14">
        <v>749</v>
      </c>
      <c r="AB206" s="14">
        <f t="shared" si="176"/>
        <v>0</v>
      </c>
      <c r="AM206" s="14">
        <f t="shared" si="177"/>
        <v>0</v>
      </c>
      <c r="AQ206" s="14">
        <f t="shared" si="178"/>
        <v>0</v>
      </c>
      <c r="AT206" s="14">
        <f t="shared" si="179"/>
        <v>0</v>
      </c>
      <c r="AU206" s="16">
        <v>1606</v>
      </c>
      <c r="AV206" s="16">
        <v>9598</v>
      </c>
      <c r="AW206" s="16">
        <v>0</v>
      </c>
      <c r="AX206" s="16">
        <v>0</v>
      </c>
      <c r="AY206" s="18">
        <f t="shared" si="180"/>
        <v>1.0292094248923849</v>
      </c>
      <c r="AZ206" s="17">
        <f t="shared" si="181"/>
        <v>6.1509041470218611</v>
      </c>
      <c r="BA206" s="17">
        <f t="shared" si="182"/>
        <v>0</v>
      </c>
      <c r="BB206" s="17">
        <f t="shared" si="183"/>
        <v>0</v>
      </c>
      <c r="BC206" s="17">
        <f t="shared" si="151"/>
        <v>1.9225580788774311E-3</v>
      </c>
      <c r="BD206" s="17">
        <f t="shared" si="152"/>
        <v>0.17238937440600965</v>
      </c>
      <c r="BE206" s="17">
        <f t="shared" si="153"/>
        <v>0</v>
      </c>
      <c r="BF206" s="17">
        <f t="shared" si="154"/>
        <v>0</v>
      </c>
      <c r="BG206" s="17">
        <f t="shared" si="155"/>
        <v>0</v>
      </c>
      <c r="BH206" s="17">
        <f t="shared" si="156"/>
        <v>0</v>
      </c>
      <c r="BI206" s="17">
        <f t="shared" si="157"/>
        <v>0</v>
      </c>
      <c r="BJ206" s="17">
        <f t="shared" si="158"/>
        <v>0</v>
      </c>
      <c r="BK206" s="17">
        <f t="shared" si="159"/>
        <v>0</v>
      </c>
      <c r="BL206" s="17">
        <f t="shared" si="160"/>
        <v>0</v>
      </c>
      <c r="BM206" s="17">
        <f t="shared" si="161"/>
        <v>0</v>
      </c>
      <c r="BN206" s="17">
        <f t="shared" si="162"/>
        <v>0</v>
      </c>
      <c r="BO206" s="17">
        <f t="shared" si="163"/>
        <v>0</v>
      </c>
      <c r="BP206" s="17">
        <f t="shared" si="164"/>
        <v>0</v>
      </c>
      <c r="BQ206" s="17">
        <f t="shared" si="165"/>
        <v>0</v>
      </c>
      <c r="BR206" s="17">
        <f t="shared" si="166"/>
        <v>0</v>
      </c>
      <c r="BS206" s="17">
        <f t="shared" si="167"/>
        <v>0</v>
      </c>
      <c r="BT206" s="17">
        <f t="shared" si="168"/>
        <v>0</v>
      </c>
      <c r="BU206" s="17">
        <f t="shared" si="169"/>
        <v>0</v>
      </c>
      <c r="BV206" s="17">
        <f t="shared" si="170"/>
        <v>0.47999866702639865</v>
      </c>
      <c r="BW206" s="17">
        <f t="shared" si="171"/>
        <v>0</v>
      </c>
      <c r="BX206" s="17">
        <f t="shared" si="172"/>
        <v>0</v>
      </c>
      <c r="BY206" s="17">
        <f t="shared" si="173"/>
        <v>0</v>
      </c>
      <c r="BZ206" s="17">
        <f t="shared" si="184"/>
        <v>0</v>
      </c>
      <c r="CA206" s="17">
        <f t="shared" si="185"/>
        <v>0</v>
      </c>
      <c r="CB206" s="17">
        <f t="shared" si="186"/>
        <v>0</v>
      </c>
      <c r="CC206" s="17">
        <f t="shared" si="187"/>
        <v>0</v>
      </c>
      <c r="CD206" s="17">
        <f t="shared" si="188"/>
        <v>0</v>
      </c>
      <c r="CE206" s="17">
        <f t="shared" si="189"/>
        <v>0</v>
      </c>
      <c r="CF206" s="17">
        <f t="shared" si="190"/>
        <v>0</v>
      </c>
      <c r="CG206" s="17">
        <f t="shared" si="191"/>
        <v>0</v>
      </c>
      <c r="CH206" s="17">
        <f t="shared" si="192"/>
        <v>0</v>
      </c>
      <c r="CI206" s="17">
        <f t="shared" si="193"/>
        <v>0</v>
      </c>
      <c r="CJ206" s="17">
        <f t="shared" si="194"/>
        <v>0</v>
      </c>
      <c r="CK206" s="17">
        <f t="shared" si="195"/>
        <v>0</v>
      </c>
      <c r="CL206" s="17">
        <f t="shared" si="196"/>
        <v>0</v>
      </c>
      <c r="CM206" s="14">
        <f t="shared" si="197"/>
        <v>9598</v>
      </c>
      <c r="CN206" s="17">
        <f t="shared" si="198"/>
        <v>6.1509041470218611</v>
      </c>
      <c r="CO206" s="14">
        <f t="shared" si="199"/>
        <v>11204</v>
      </c>
      <c r="CP206" s="17">
        <f t="shared" si="200"/>
        <v>7.1801135719142462</v>
      </c>
      <c r="CQ206" s="14">
        <f t="shared" si="174"/>
        <v>12225</v>
      </c>
      <c r="CR206" s="14">
        <v>0</v>
      </c>
      <c r="CS206" s="14">
        <v>14</v>
      </c>
      <c r="CT206" s="14">
        <v>0</v>
      </c>
      <c r="CU206" s="14">
        <v>0</v>
      </c>
    </row>
    <row r="207" spans="1:99" x14ac:dyDescent="0.3">
      <c r="A207" s="14">
        <v>2019</v>
      </c>
      <c r="B207" s="14" t="s">
        <v>35</v>
      </c>
      <c r="C207" s="14" t="s">
        <v>36</v>
      </c>
      <c r="D207" s="15">
        <v>680354</v>
      </c>
      <c r="E207" s="15">
        <v>16126866</v>
      </c>
      <c r="F207" s="15">
        <f t="shared" si="175"/>
        <v>23.703639575867857</v>
      </c>
      <c r="H207" s="14">
        <v>52</v>
      </c>
      <c r="I207" s="14">
        <v>335</v>
      </c>
      <c r="L207" s="14">
        <v>560</v>
      </c>
      <c r="N207" s="14">
        <v>11</v>
      </c>
      <c r="R207" s="14">
        <v>26</v>
      </c>
      <c r="T207" s="14">
        <v>96</v>
      </c>
      <c r="V207" s="14">
        <v>48</v>
      </c>
      <c r="W207" s="14">
        <v>109</v>
      </c>
      <c r="AB207" s="14">
        <f t="shared" si="176"/>
        <v>0</v>
      </c>
      <c r="AD207" s="14">
        <v>150</v>
      </c>
      <c r="AE207" s="14">
        <v>42</v>
      </c>
      <c r="AF207" s="14">
        <v>50</v>
      </c>
      <c r="AG207" s="14">
        <v>6</v>
      </c>
      <c r="AH207" s="14">
        <v>791</v>
      </c>
      <c r="AJ207" s="14">
        <v>136</v>
      </c>
      <c r="AK207" s="14">
        <v>18</v>
      </c>
      <c r="AM207" s="14">
        <f t="shared" si="177"/>
        <v>18</v>
      </c>
      <c r="AO207" s="14">
        <v>19</v>
      </c>
      <c r="AQ207" s="14">
        <f t="shared" si="178"/>
        <v>19</v>
      </c>
      <c r="AT207" s="14">
        <f t="shared" si="179"/>
        <v>0</v>
      </c>
      <c r="AU207" s="16">
        <v>1905</v>
      </c>
      <c r="AV207" s="16">
        <v>0</v>
      </c>
      <c r="AW207" s="16">
        <v>1178</v>
      </c>
      <c r="AX207" s="16">
        <v>208</v>
      </c>
      <c r="AY207" s="18">
        <f t="shared" si="180"/>
        <v>1.1812586524870983</v>
      </c>
      <c r="AZ207" s="17">
        <f t="shared" si="181"/>
        <v>0</v>
      </c>
      <c r="BA207" s="17">
        <f t="shared" si="182"/>
        <v>0.73045810636734998</v>
      </c>
      <c r="BB207" s="17">
        <f t="shared" si="183"/>
        <v>0.12897732268625534</v>
      </c>
      <c r="BC207" s="17">
        <f t="shared" si="151"/>
        <v>0</v>
      </c>
      <c r="BD207" s="17">
        <f t="shared" si="152"/>
        <v>3.2244330671563834E-2</v>
      </c>
      <c r="BE207" s="17">
        <f t="shared" si="153"/>
        <v>0.20772789951872855</v>
      </c>
      <c r="BF207" s="17">
        <f t="shared" si="154"/>
        <v>0</v>
      </c>
      <c r="BG207" s="17">
        <f t="shared" si="155"/>
        <v>0</v>
      </c>
      <c r="BH207" s="17">
        <f t="shared" si="156"/>
        <v>0.34724663800145672</v>
      </c>
      <c r="BI207" s="17">
        <f t="shared" si="157"/>
        <v>0</v>
      </c>
      <c r="BJ207" s="17">
        <f t="shared" si="158"/>
        <v>6.8209161036000424E-3</v>
      </c>
      <c r="BK207" s="17">
        <f t="shared" si="159"/>
        <v>0</v>
      </c>
      <c r="BL207" s="17">
        <f t="shared" si="160"/>
        <v>0</v>
      </c>
      <c r="BM207" s="17">
        <f t="shared" si="161"/>
        <v>0</v>
      </c>
      <c r="BN207" s="17">
        <f t="shared" si="162"/>
        <v>1.6122165335781917E-2</v>
      </c>
      <c r="BO207" s="17">
        <f t="shared" si="163"/>
        <v>0</v>
      </c>
      <c r="BP207" s="17">
        <f t="shared" si="164"/>
        <v>5.9527995085964007E-2</v>
      </c>
      <c r="BQ207" s="17">
        <f t="shared" si="165"/>
        <v>0</v>
      </c>
      <c r="BR207" s="17">
        <f t="shared" si="166"/>
        <v>2.9763997542982003E-2</v>
      </c>
      <c r="BS207" s="17">
        <f t="shared" si="167"/>
        <v>6.7589077753854962E-2</v>
      </c>
      <c r="BT207" s="17">
        <f t="shared" si="168"/>
        <v>0</v>
      </c>
      <c r="BU207" s="17">
        <f t="shared" si="169"/>
        <v>0</v>
      </c>
      <c r="BV207" s="17">
        <f t="shared" si="170"/>
        <v>0</v>
      </c>
      <c r="BW207" s="17">
        <f t="shared" si="171"/>
        <v>0</v>
      </c>
      <c r="BX207" s="17">
        <f t="shared" si="172"/>
        <v>0</v>
      </c>
      <c r="BY207" s="17">
        <f t="shared" si="173"/>
        <v>9.3012492321818754E-2</v>
      </c>
      <c r="BZ207" s="17">
        <f t="shared" si="184"/>
        <v>2.6043497850109253E-2</v>
      </c>
      <c r="CA207" s="17">
        <f t="shared" si="185"/>
        <v>3.100416410727292E-2</v>
      </c>
      <c r="CB207" s="17">
        <f t="shared" si="186"/>
        <v>3.7204996928727504E-3</v>
      </c>
      <c r="CC207" s="17">
        <f t="shared" si="187"/>
        <v>0.49048587617705758</v>
      </c>
      <c r="CD207" s="17">
        <f t="shared" si="188"/>
        <v>0</v>
      </c>
      <c r="CE207" s="17">
        <f t="shared" si="189"/>
        <v>8.4331326371782339E-2</v>
      </c>
      <c r="CF207" s="17">
        <f t="shared" si="190"/>
        <v>1.1161499078618251E-2</v>
      </c>
      <c r="CG207" s="17">
        <f t="shared" si="191"/>
        <v>0</v>
      </c>
      <c r="CH207" s="17">
        <f t="shared" si="192"/>
        <v>0</v>
      </c>
      <c r="CI207" s="17">
        <f t="shared" si="193"/>
        <v>1.1781582360763709E-2</v>
      </c>
      <c r="CJ207" s="17">
        <f t="shared" si="194"/>
        <v>0</v>
      </c>
      <c r="CK207" s="17">
        <f t="shared" si="195"/>
        <v>0</v>
      </c>
      <c r="CL207" s="17">
        <f t="shared" si="196"/>
        <v>0</v>
      </c>
      <c r="CM207" s="14">
        <f t="shared" si="197"/>
        <v>1178</v>
      </c>
      <c r="CN207" s="17">
        <f t="shared" si="198"/>
        <v>0.73045810636734998</v>
      </c>
      <c r="CO207" s="14">
        <f t="shared" si="199"/>
        <v>3083</v>
      </c>
      <c r="CP207" s="17"/>
      <c r="CQ207" s="14">
        <f t="shared" si="174"/>
        <v>5777</v>
      </c>
      <c r="CR207" s="14">
        <v>3</v>
      </c>
      <c r="CS207" s="14">
        <v>269</v>
      </c>
      <c r="CT207" s="14">
        <v>0</v>
      </c>
      <c r="CU207" s="14">
        <v>0</v>
      </c>
    </row>
    <row r="208" spans="1:99" x14ac:dyDescent="0.3">
      <c r="A208" s="14">
        <v>2020</v>
      </c>
      <c r="B208" s="14" t="s">
        <v>35</v>
      </c>
      <c r="C208" s="14" t="s">
        <v>36</v>
      </c>
      <c r="D208" s="15">
        <v>699467.2</v>
      </c>
      <c r="E208" s="15">
        <v>16644701.499999996</v>
      </c>
      <c r="F208" s="15">
        <f t="shared" si="175"/>
        <v>23.796257351309677</v>
      </c>
      <c r="H208" s="14">
        <v>54</v>
      </c>
      <c r="L208" s="14">
        <v>2</v>
      </c>
      <c r="M208" s="14">
        <v>592</v>
      </c>
      <c r="AB208" s="14">
        <f t="shared" si="176"/>
        <v>0</v>
      </c>
      <c r="AE208" s="14">
        <v>1</v>
      </c>
      <c r="AF208" s="14">
        <v>1</v>
      </c>
      <c r="AM208" s="14">
        <f t="shared" si="177"/>
        <v>0</v>
      </c>
      <c r="AQ208" s="14">
        <f t="shared" si="178"/>
        <v>0</v>
      </c>
      <c r="AT208" s="14">
        <f t="shared" si="179"/>
        <v>0</v>
      </c>
      <c r="AU208" s="16">
        <v>2023</v>
      </c>
      <c r="AV208" s="16">
        <v>5246</v>
      </c>
      <c r="AW208" s="16">
        <v>1420</v>
      </c>
      <c r="AX208" s="16">
        <v>0</v>
      </c>
      <c r="AY208" s="18">
        <f t="shared" si="180"/>
        <v>1.2154017901732876</v>
      </c>
      <c r="AZ208" s="17">
        <f t="shared" si="181"/>
        <v>3.1517537277553469</v>
      </c>
      <c r="BA208" s="17">
        <f t="shared" si="182"/>
        <v>0.85312434110037982</v>
      </c>
      <c r="BB208" s="17">
        <f t="shared" si="183"/>
        <v>0</v>
      </c>
      <c r="BC208" s="17">
        <f t="shared" si="151"/>
        <v>0</v>
      </c>
      <c r="BD208" s="17">
        <f t="shared" si="152"/>
        <v>3.2442756633394722E-2</v>
      </c>
      <c r="BE208" s="17">
        <f t="shared" si="153"/>
        <v>0</v>
      </c>
      <c r="BF208" s="17">
        <f t="shared" si="154"/>
        <v>0</v>
      </c>
      <c r="BG208" s="17">
        <f t="shared" si="155"/>
        <v>0</v>
      </c>
      <c r="BH208" s="17">
        <f t="shared" si="156"/>
        <v>1.2015835790146194E-3</v>
      </c>
      <c r="BI208" s="17">
        <f t="shared" si="157"/>
        <v>0.35566873938832733</v>
      </c>
      <c r="BJ208" s="17">
        <f t="shared" si="158"/>
        <v>0</v>
      </c>
      <c r="BK208" s="17">
        <f t="shared" si="159"/>
        <v>0</v>
      </c>
      <c r="BL208" s="17">
        <f t="shared" si="160"/>
        <v>0</v>
      </c>
      <c r="BM208" s="17">
        <f t="shared" si="161"/>
        <v>0</v>
      </c>
      <c r="BN208" s="17">
        <f t="shared" si="162"/>
        <v>0</v>
      </c>
      <c r="BO208" s="17">
        <f t="shared" si="163"/>
        <v>0</v>
      </c>
      <c r="BP208" s="17">
        <f t="shared" si="164"/>
        <v>0</v>
      </c>
      <c r="BQ208" s="17">
        <f t="shared" si="165"/>
        <v>0</v>
      </c>
      <c r="BR208" s="17">
        <f t="shared" si="166"/>
        <v>0</v>
      </c>
      <c r="BS208" s="17">
        <f t="shared" si="167"/>
        <v>0</v>
      </c>
      <c r="BT208" s="17">
        <f t="shared" si="168"/>
        <v>0</v>
      </c>
      <c r="BU208" s="17">
        <f t="shared" si="169"/>
        <v>0</v>
      </c>
      <c r="BV208" s="17">
        <f t="shared" si="170"/>
        <v>0</v>
      </c>
      <c r="BW208" s="17">
        <f t="shared" si="171"/>
        <v>0</v>
      </c>
      <c r="BX208" s="17">
        <f t="shared" si="172"/>
        <v>0</v>
      </c>
      <c r="BY208" s="17">
        <f t="shared" si="173"/>
        <v>0</v>
      </c>
      <c r="BZ208" s="17">
        <f t="shared" si="184"/>
        <v>6.0079178950730972E-4</v>
      </c>
      <c r="CA208" s="17">
        <f t="shared" si="185"/>
        <v>6.0079178950730972E-4</v>
      </c>
      <c r="CB208" s="17">
        <f t="shared" si="186"/>
        <v>0</v>
      </c>
      <c r="CC208" s="17">
        <f t="shared" si="187"/>
        <v>0</v>
      </c>
      <c r="CD208" s="17">
        <f t="shared" si="188"/>
        <v>0</v>
      </c>
      <c r="CE208" s="17">
        <f t="shared" si="189"/>
        <v>0</v>
      </c>
      <c r="CF208" s="17">
        <f t="shared" si="190"/>
        <v>0</v>
      </c>
      <c r="CG208" s="17">
        <f t="shared" si="191"/>
        <v>0</v>
      </c>
      <c r="CH208" s="17">
        <f t="shared" si="192"/>
        <v>0</v>
      </c>
      <c r="CI208" s="17">
        <f t="shared" si="193"/>
        <v>0</v>
      </c>
      <c r="CJ208" s="17">
        <f t="shared" si="194"/>
        <v>0</v>
      </c>
      <c r="CK208" s="17">
        <f t="shared" si="195"/>
        <v>0</v>
      </c>
      <c r="CL208" s="17">
        <f t="shared" si="196"/>
        <v>0</v>
      </c>
      <c r="CM208" s="14">
        <f t="shared" si="197"/>
        <v>6666</v>
      </c>
      <c r="CN208" s="17">
        <f t="shared" si="198"/>
        <v>4.0048780688557262</v>
      </c>
      <c r="CO208" s="14">
        <f t="shared" si="199"/>
        <v>8689</v>
      </c>
      <c r="CP208" s="17">
        <f t="shared" si="200"/>
        <v>5.2202798590290138</v>
      </c>
      <c r="CQ208" s="14">
        <f t="shared" si="174"/>
        <v>9339</v>
      </c>
      <c r="CR208" s="14">
        <v>506</v>
      </c>
      <c r="CS208" s="14">
        <v>2495</v>
      </c>
      <c r="CT208" s="14">
        <v>0</v>
      </c>
      <c r="CU208" s="14">
        <v>0</v>
      </c>
    </row>
    <row r="209" spans="1:99" x14ac:dyDescent="0.3">
      <c r="A209" s="14">
        <v>2021</v>
      </c>
      <c r="B209" s="14" t="s">
        <v>35</v>
      </c>
      <c r="C209" s="14" t="s">
        <v>36</v>
      </c>
      <c r="D209" s="15">
        <v>715665.6</v>
      </c>
      <c r="E209" s="15">
        <v>17179739.999999996</v>
      </c>
      <c r="F209" s="15">
        <f t="shared" si="175"/>
        <v>24.005261675285212</v>
      </c>
      <c r="G209" s="14">
        <v>19</v>
      </c>
      <c r="H209" s="14">
        <v>142</v>
      </c>
      <c r="M209" s="14">
        <v>8077</v>
      </c>
      <c r="N209" s="14">
        <v>11</v>
      </c>
      <c r="O209" s="14">
        <v>4</v>
      </c>
      <c r="R209" s="14">
        <v>30</v>
      </c>
      <c r="U209" s="14">
        <v>18</v>
      </c>
      <c r="W209" s="14">
        <v>371</v>
      </c>
      <c r="X209" s="14">
        <v>104</v>
      </c>
      <c r="Y209" s="14">
        <v>848</v>
      </c>
      <c r="Z209" s="14">
        <v>848</v>
      </c>
      <c r="AB209" s="14">
        <f t="shared" si="176"/>
        <v>4</v>
      </c>
      <c r="AE209" s="14">
        <v>77</v>
      </c>
      <c r="AJ209" s="14">
        <v>277</v>
      </c>
      <c r="AM209" s="14">
        <f t="shared" si="177"/>
        <v>0</v>
      </c>
      <c r="AQ209" s="14">
        <f t="shared" si="178"/>
        <v>0</v>
      </c>
      <c r="AT209" s="14">
        <f t="shared" si="179"/>
        <v>0</v>
      </c>
      <c r="AU209" s="16">
        <v>2260</v>
      </c>
      <c r="AV209" s="16">
        <v>5354</v>
      </c>
      <c r="AW209" s="16">
        <v>1442</v>
      </c>
      <c r="AX209" s="16">
        <v>0</v>
      </c>
      <c r="AY209" s="18">
        <f t="shared" si="180"/>
        <v>1.315503028567371</v>
      </c>
      <c r="AZ209" s="17">
        <f t="shared" si="181"/>
        <v>3.1164615995352674</v>
      </c>
      <c r="BA209" s="17">
        <f t="shared" si="182"/>
        <v>0.83936078194431363</v>
      </c>
      <c r="BB209" s="17">
        <f t="shared" si="183"/>
        <v>0</v>
      </c>
      <c r="BC209" s="17">
        <f t="shared" si="151"/>
        <v>1.1059538735743384E-2</v>
      </c>
      <c r="BD209" s="17">
        <f t="shared" si="152"/>
        <v>8.2655500025029499E-2</v>
      </c>
      <c r="BE209" s="17">
        <f t="shared" si="153"/>
        <v>0</v>
      </c>
      <c r="BF209" s="17">
        <f t="shared" si="154"/>
        <v>0</v>
      </c>
      <c r="BG209" s="17">
        <f t="shared" si="155"/>
        <v>0</v>
      </c>
      <c r="BH209" s="17">
        <f t="shared" si="156"/>
        <v>0</v>
      </c>
      <c r="BI209" s="17">
        <f t="shared" si="157"/>
        <v>4.7014681246631218</v>
      </c>
      <c r="BJ209" s="17">
        <f t="shared" si="158"/>
        <v>6.4028908470093278E-3</v>
      </c>
      <c r="BK209" s="17">
        <f t="shared" si="159"/>
        <v>2.3283239443670284E-3</v>
      </c>
      <c r="BL209" s="17">
        <f t="shared" si="160"/>
        <v>0</v>
      </c>
      <c r="BM209" s="17">
        <f t="shared" si="161"/>
        <v>0</v>
      </c>
      <c r="BN209" s="17">
        <f t="shared" si="162"/>
        <v>1.7462429582752712E-2</v>
      </c>
      <c r="BO209" s="17">
        <f t="shared" si="163"/>
        <v>0</v>
      </c>
      <c r="BP209" s="17">
        <f t="shared" si="164"/>
        <v>0</v>
      </c>
      <c r="BQ209" s="17">
        <f t="shared" si="165"/>
        <v>1.0477457749651626E-2</v>
      </c>
      <c r="BR209" s="17">
        <f t="shared" si="166"/>
        <v>0</v>
      </c>
      <c r="BS209" s="17">
        <f t="shared" si="167"/>
        <v>0.21595204584004185</v>
      </c>
      <c r="BT209" s="17">
        <f t="shared" si="168"/>
        <v>6.0536422553542732E-2</v>
      </c>
      <c r="BU209" s="17">
        <f t="shared" si="169"/>
        <v>0.49360467620581</v>
      </c>
      <c r="BV209" s="17">
        <f t="shared" si="170"/>
        <v>0.49360467620581</v>
      </c>
      <c r="BW209" s="17">
        <f t="shared" si="171"/>
        <v>0</v>
      </c>
      <c r="BX209" s="17">
        <f t="shared" si="172"/>
        <v>0</v>
      </c>
      <c r="BY209" s="17">
        <f t="shared" si="173"/>
        <v>0</v>
      </c>
      <c r="BZ209" s="17">
        <f t="shared" si="184"/>
        <v>4.482023592906529E-2</v>
      </c>
      <c r="CA209" s="17">
        <f t="shared" si="185"/>
        <v>0</v>
      </c>
      <c r="CB209" s="17">
        <f t="shared" si="186"/>
        <v>0</v>
      </c>
      <c r="CC209" s="17">
        <f t="shared" si="187"/>
        <v>0</v>
      </c>
      <c r="CD209" s="17">
        <f t="shared" si="188"/>
        <v>0</v>
      </c>
      <c r="CE209" s="17">
        <f t="shared" si="189"/>
        <v>0.1612364331474167</v>
      </c>
      <c r="CF209" s="17">
        <f t="shared" si="190"/>
        <v>0</v>
      </c>
      <c r="CG209" s="17">
        <f t="shared" si="191"/>
        <v>0</v>
      </c>
      <c r="CH209" s="17">
        <f t="shared" si="192"/>
        <v>0</v>
      </c>
      <c r="CI209" s="17">
        <f t="shared" si="193"/>
        <v>0</v>
      </c>
      <c r="CJ209" s="17">
        <f t="shared" si="194"/>
        <v>0</v>
      </c>
      <c r="CK209" s="17">
        <f t="shared" si="195"/>
        <v>0</v>
      </c>
      <c r="CL209" s="17">
        <f t="shared" si="196"/>
        <v>0</v>
      </c>
      <c r="CM209" s="14">
        <f t="shared" si="197"/>
        <v>6796</v>
      </c>
      <c r="CN209" s="17">
        <f t="shared" si="198"/>
        <v>3.9558223814795808</v>
      </c>
      <c r="CO209" s="14">
        <f t="shared" si="199"/>
        <v>9056</v>
      </c>
      <c r="CP209" s="17">
        <f t="shared" si="200"/>
        <v>5.271325410046952</v>
      </c>
      <c r="CQ209" s="14">
        <f t="shared" si="174"/>
        <v>19886</v>
      </c>
      <c r="CR209" s="14">
        <v>0</v>
      </c>
      <c r="CS209" s="14">
        <v>10</v>
      </c>
      <c r="CT209" s="14">
        <v>0</v>
      </c>
      <c r="CU209" s="14">
        <v>0</v>
      </c>
    </row>
    <row r="210" spans="1:99" x14ac:dyDescent="0.3">
      <c r="A210" s="14">
        <v>2022</v>
      </c>
      <c r="B210" s="14" t="s">
        <v>35</v>
      </c>
      <c r="C210" s="14" t="s">
        <v>36</v>
      </c>
      <c r="D210" s="15">
        <v>734070.3</v>
      </c>
      <c r="E210" s="15">
        <v>17723314.500000004</v>
      </c>
      <c r="F210" s="15">
        <f t="shared" si="175"/>
        <v>24.143892621728469</v>
      </c>
      <c r="G210" s="14">
        <v>21</v>
      </c>
      <c r="H210" s="14">
        <v>163</v>
      </c>
      <c r="I210" s="14">
        <v>431</v>
      </c>
      <c r="O210" s="14">
        <v>11</v>
      </c>
      <c r="R210" s="14">
        <v>30</v>
      </c>
      <c r="U210" s="14">
        <v>18</v>
      </c>
      <c r="X210" s="14">
        <v>104</v>
      </c>
      <c r="Y210" s="14">
        <v>1028</v>
      </c>
      <c r="Z210" s="14">
        <v>1028</v>
      </c>
      <c r="AB210" s="14">
        <f t="shared" si="176"/>
        <v>11</v>
      </c>
      <c r="AE210" s="14">
        <v>77</v>
      </c>
      <c r="AJ210" s="14">
        <v>320</v>
      </c>
      <c r="AM210" s="14">
        <f t="shared" si="177"/>
        <v>0</v>
      </c>
      <c r="AQ210" s="14">
        <f t="shared" si="178"/>
        <v>0</v>
      </c>
      <c r="AS210" s="14">
        <v>21983</v>
      </c>
      <c r="AT210" s="14">
        <f t="shared" si="179"/>
        <v>21983</v>
      </c>
      <c r="AU210" s="16">
        <v>3311</v>
      </c>
      <c r="AV210" s="16">
        <v>5866</v>
      </c>
      <c r="AW210" s="16">
        <v>1566</v>
      </c>
      <c r="AX210" s="16">
        <v>0</v>
      </c>
      <c r="AY210" s="18">
        <f t="shared" si="180"/>
        <v>1.8681607212917197</v>
      </c>
      <c r="AZ210" s="17">
        <f t="shared" si="181"/>
        <v>3.3097646605548858</v>
      </c>
      <c r="BA210" s="17">
        <f t="shared" si="182"/>
        <v>0.8835819056305747</v>
      </c>
      <c r="BB210" s="17">
        <f t="shared" si="183"/>
        <v>0</v>
      </c>
      <c r="BC210" s="17">
        <f t="shared" si="151"/>
        <v>1.1848799500793148E-2</v>
      </c>
      <c r="BD210" s="17">
        <f t="shared" si="152"/>
        <v>9.1969253268061102E-2</v>
      </c>
      <c r="BE210" s="17">
        <f t="shared" si="153"/>
        <v>0.24318250404008793</v>
      </c>
      <c r="BF210" s="17">
        <f t="shared" si="154"/>
        <v>0</v>
      </c>
      <c r="BG210" s="17">
        <f t="shared" si="155"/>
        <v>0</v>
      </c>
      <c r="BH210" s="17">
        <f t="shared" si="156"/>
        <v>0</v>
      </c>
      <c r="BI210" s="17">
        <f t="shared" si="157"/>
        <v>0</v>
      </c>
      <c r="BJ210" s="17">
        <f t="shared" si="158"/>
        <v>0</v>
      </c>
      <c r="BK210" s="17">
        <f t="shared" si="159"/>
        <v>6.206514024224982E-3</v>
      </c>
      <c r="BL210" s="17">
        <f t="shared" si="160"/>
        <v>0</v>
      </c>
      <c r="BM210" s="17">
        <f t="shared" si="161"/>
        <v>0</v>
      </c>
      <c r="BN210" s="17">
        <f t="shared" si="162"/>
        <v>1.6926856429704498E-2</v>
      </c>
      <c r="BO210" s="17">
        <f t="shared" si="163"/>
        <v>0</v>
      </c>
      <c r="BP210" s="17">
        <f t="shared" si="164"/>
        <v>0</v>
      </c>
      <c r="BQ210" s="17">
        <f t="shared" si="165"/>
        <v>1.0156113857822698E-2</v>
      </c>
      <c r="BR210" s="17">
        <f t="shared" si="166"/>
        <v>0</v>
      </c>
      <c r="BS210" s="17">
        <f t="shared" si="167"/>
        <v>0</v>
      </c>
      <c r="BT210" s="17">
        <f t="shared" si="168"/>
        <v>5.8679768956308921E-2</v>
      </c>
      <c r="BU210" s="17">
        <f t="shared" si="169"/>
        <v>0.58002694699120738</v>
      </c>
      <c r="BV210" s="17">
        <f t="shared" si="170"/>
        <v>0.58002694699120738</v>
      </c>
      <c r="BW210" s="17">
        <f t="shared" si="171"/>
        <v>0</v>
      </c>
      <c r="BX210" s="17">
        <f t="shared" si="172"/>
        <v>0</v>
      </c>
      <c r="BY210" s="17">
        <f t="shared" si="173"/>
        <v>0</v>
      </c>
      <c r="BZ210" s="17">
        <f t="shared" si="184"/>
        <v>4.3445598169574877E-2</v>
      </c>
      <c r="CA210" s="17">
        <f t="shared" si="185"/>
        <v>0</v>
      </c>
      <c r="CB210" s="17">
        <f t="shared" si="186"/>
        <v>0</v>
      </c>
      <c r="CC210" s="17">
        <f t="shared" si="187"/>
        <v>0</v>
      </c>
      <c r="CD210" s="17">
        <f t="shared" si="188"/>
        <v>0</v>
      </c>
      <c r="CE210" s="17">
        <f t="shared" si="189"/>
        <v>0.1805531352501813</v>
      </c>
      <c r="CF210" s="17">
        <f t="shared" si="190"/>
        <v>0</v>
      </c>
      <c r="CG210" s="17">
        <f t="shared" si="191"/>
        <v>0</v>
      </c>
      <c r="CH210" s="17">
        <f t="shared" si="192"/>
        <v>0</v>
      </c>
      <c r="CI210" s="17">
        <f t="shared" si="193"/>
        <v>0</v>
      </c>
      <c r="CJ210" s="17">
        <f t="shared" si="194"/>
        <v>0</v>
      </c>
      <c r="CK210" s="17">
        <f t="shared" si="195"/>
        <v>0</v>
      </c>
      <c r="CL210" s="17">
        <f t="shared" si="196"/>
        <v>12.403436163139798</v>
      </c>
      <c r="CM210" s="14">
        <f t="shared" si="197"/>
        <v>7432</v>
      </c>
      <c r="CN210" s="17">
        <f t="shared" si="198"/>
        <v>4.1933465661854603</v>
      </c>
      <c r="CO210" s="14">
        <f t="shared" si="199"/>
        <v>10743</v>
      </c>
      <c r="CP210" s="17">
        <f t="shared" si="200"/>
        <v>6.0615072874771805</v>
      </c>
      <c r="CQ210" s="14">
        <f t="shared" si="174"/>
        <v>57951</v>
      </c>
      <c r="CR210" s="14">
        <v>14</v>
      </c>
      <c r="CS210" s="14">
        <v>78</v>
      </c>
      <c r="CT210" s="14">
        <v>0</v>
      </c>
      <c r="CU210" s="14">
        <v>0</v>
      </c>
    </row>
    <row r="211" spans="1:99" x14ac:dyDescent="0.3">
      <c r="A211" s="14">
        <v>2012</v>
      </c>
      <c r="B211" s="14" t="s">
        <v>39</v>
      </c>
      <c r="C211" s="14" t="s">
        <v>40</v>
      </c>
      <c r="D211" s="15">
        <v>42828</v>
      </c>
      <c r="E211" s="15">
        <v>1193635.4999999998</v>
      </c>
      <c r="F211" s="15">
        <f t="shared" si="175"/>
        <v>27.870446903894642</v>
      </c>
      <c r="AB211" s="14">
        <f t="shared" si="176"/>
        <v>0</v>
      </c>
      <c r="AM211" s="14">
        <f t="shared" si="177"/>
        <v>0</v>
      </c>
      <c r="AQ211" s="14">
        <f t="shared" si="178"/>
        <v>0</v>
      </c>
      <c r="AT211" s="14">
        <f t="shared" si="179"/>
        <v>0</v>
      </c>
      <c r="AU211" s="16">
        <v>0</v>
      </c>
      <c r="AV211" s="16">
        <v>0</v>
      </c>
      <c r="AW211" s="16">
        <v>0</v>
      </c>
      <c r="AX211" s="16">
        <v>0</v>
      </c>
      <c r="AY211" s="18">
        <f t="shared" si="180"/>
        <v>0</v>
      </c>
      <c r="AZ211" s="17">
        <f t="shared" si="181"/>
        <v>0</v>
      </c>
      <c r="BA211" s="17">
        <f t="shared" si="182"/>
        <v>0</v>
      </c>
      <c r="BB211" s="17">
        <f t="shared" si="183"/>
        <v>0</v>
      </c>
      <c r="BC211" s="17">
        <f t="shared" si="151"/>
        <v>0</v>
      </c>
      <c r="BD211" s="17">
        <f t="shared" si="152"/>
        <v>0</v>
      </c>
      <c r="BE211" s="17">
        <f t="shared" si="153"/>
        <v>0</v>
      </c>
      <c r="BF211" s="17">
        <f t="shared" si="154"/>
        <v>0</v>
      </c>
      <c r="BG211" s="17">
        <f t="shared" si="155"/>
        <v>0</v>
      </c>
      <c r="BH211" s="17">
        <f t="shared" si="156"/>
        <v>0</v>
      </c>
      <c r="BI211" s="17">
        <f t="shared" si="157"/>
        <v>0</v>
      </c>
      <c r="BJ211" s="17">
        <f t="shared" si="158"/>
        <v>0</v>
      </c>
      <c r="BK211" s="17">
        <f t="shared" si="159"/>
        <v>0</v>
      </c>
      <c r="BL211" s="17">
        <f t="shared" si="160"/>
        <v>0</v>
      </c>
      <c r="BM211" s="17">
        <f t="shared" si="161"/>
        <v>0</v>
      </c>
      <c r="BN211" s="17">
        <f t="shared" si="162"/>
        <v>0</v>
      </c>
      <c r="BO211" s="17">
        <f t="shared" si="163"/>
        <v>0</v>
      </c>
      <c r="BP211" s="17">
        <f t="shared" si="164"/>
        <v>0</v>
      </c>
      <c r="BQ211" s="17">
        <f t="shared" si="165"/>
        <v>0</v>
      </c>
      <c r="BR211" s="17">
        <f t="shared" si="166"/>
        <v>0</v>
      </c>
      <c r="BS211" s="17">
        <f t="shared" si="167"/>
        <v>0</v>
      </c>
      <c r="BT211" s="17">
        <f t="shared" si="168"/>
        <v>0</v>
      </c>
      <c r="BU211" s="17">
        <f t="shared" si="169"/>
        <v>0</v>
      </c>
      <c r="BV211" s="17">
        <f t="shared" si="170"/>
        <v>0</v>
      </c>
      <c r="BW211" s="17">
        <f t="shared" si="171"/>
        <v>0</v>
      </c>
      <c r="BX211" s="17">
        <f t="shared" si="172"/>
        <v>0</v>
      </c>
      <c r="BY211" s="17">
        <f t="shared" si="173"/>
        <v>0</v>
      </c>
      <c r="BZ211" s="17">
        <f t="shared" si="184"/>
        <v>0</v>
      </c>
      <c r="CA211" s="17">
        <f t="shared" si="185"/>
        <v>0</v>
      </c>
      <c r="CB211" s="17">
        <f t="shared" si="186"/>
        <v>0</v>
      </c>
      <c r="CC211" s="17">
        <f t="shared" si="187"/>
        <v>0</v>
      </c>
      <c r="CD211" s="17">
        <f t="shared" si="188"/>
        <v>0</v>
      </c>
      <c r="CE211" s="17">
        <f t="shared" si="189"/>
        <v>0</v>
      </c>
      <c r="CF211" s="17">
        <f t="shared" si="190"/>
        <v>0</v>
      </c>
      <c r="CG211" s="17">
        <f t="shared" si="191"/>
        <v>0</v>
      </c>
      <c r="CH211" s="17">
        <f t="shared" si="192"/>
        <v>0</v>
      </c>
      <c r="CI211" s="17">
        <f t="shared" si="193"/>
        <v>0</v>
      </c>
      <c r="CJ211" s="17">
        <f t="shared" si="194"/>
        <v>0</v>
      </c>
      <c r="CK211" s="17">
        <f t="shared" si="195"/>
        <v>0</v>
      </c>
      <c r="CL211" s="17">
        <f t="shared" si="196"/>
        <v>0</v>
      </c>
      <c r="CM211" s="14">
        <f t="shared" si="197"/>
        <v>0</v>
      </c>
      <c r="CN211" s="17">
        <f t="shared" si="198"/>
        <v>0</v>
      </c>
      <c r="CO211" s="14">
        <f t="shared" si="199"/>
        <v>0</v>
      </c>
      <c r="CP211" s="17">
        <f t="shared" si="200"/>
        <v>0</v>
      </c>
      <c r="CQ211" s="14">
        <f t="shared" si="174"/>
        <v>0</v>
      </c>
      <c r="CR211" s="14">
        <v>713</v>
      </c>
      <c r="CS211" s="14">
        <v>918</v>
      </c>
      <c r="CT211" s="14">
        <v>0</v>
      </c>
      <c r="CU211" s="14">
        <v>0</v>
      </c>
    </row>
    <row r="212" spans="1:99" x14ac:dyDescent="0.3">
      <c r="A212" s="14">
        <v>2013</v>
      </c>
      <c r="B212" s="14" t="s">
        <v>39</v>
      </c>
      <c r="C212" s="14" t="s">
        <v>40</v>
      </c>
      <c r="D212" s="15">
        <v>44010.1</v>
      </c>
      <c r="E212" s="15">
        <v>1243941.0000000002</v>
      </c>
      <c r="F212" s="15">
        <f t="shared" si="175"/>
        <v>28.264898284711926</v>
      </c>
      <c r="AB212" s="14">
        <f t="shared" si="176"/>
        <v>0</v>
      </c>
      <c r="AM212" s="14">
        <f t="shared" si="177"/>
        <v>0</v>
      </c>
      <c r="AQ212" s="14">
        <f t="shared" si="178"/>
        <v>0</v>
      </c>
      <c r="AT212" s="14">
        <f t="shared" si="179"/>
        <v>0</v>
      </c>
      <c r="AU212" s="16">
        <v>0</v>
      </c>
      <c r="AV212" s="16">
        <v>0</v>
      </c>
      <c r="AW212" s="16">
        <v>0</v>
      </c>
      <c r="AX212" s="16">
        <v>0</v>
      </c>
      <c r="AY212" s="18">
        <f t="shared" si="180"/>
        <v>0</v>
      </c>
      <c r="AZ212" s="17">
        <f t="shared" si="181"/>
        <v>0</v>
      </c>
      <c r="BA212" s="17">
        <f t="shared" si="182"/>
        <v>0</v>
      </c>
      <c r="BB212" s="17">
        <f t="shared" si="183"/>
        <v>0</v>
      </c>
      <c r="BC212" s="17">
        <f t="shared" si="151"/>
        <v>0</v>
      </c>
      <c r="BD212" s="17">
        <f t="shared" si="152"/>
        <v>0</v>
      </c>
      <c r="BE212" s="17">
        <f t="shared" si="153"/>
        <v>0</v>
      </c>
      <c r="BF212" s="17">
        <f t="shared" si="154"/>
        <v>0</v>
      </c>
      <c r="BG212" s="17">
        <f t="shared" si="155"/>
        <v>0</v>
      </c>
      <c r="BH212" s="17">
        <f t="shared" si="156"/>
        <v>0</v>
      </c>
      <c r="BI212" s="17">
        <f t="shared" si="157"/>
        <v>0</v>
      </c>
      <c r="BJ212" s="17">
        <f t="shared" si="158"/>
        <v>0</v>
      </c>
      <c r="BK212" s="17">
        <f t="shared" si="159"/>
        <v>0</v>
      </c>
      <c r="BL212" s="17">
        <f t="shared" si="160"/>
        <v>0</v>
      </c>
      <c r="BM212" s="17">
        <f t="shared" si="161"/>
        <v>0</v>
      </c>
      <c r="BN212" s="17">
        <f t="shared" si="162"/>
        <v>0</v>
      </c>
      <c r="BO212" s="17">
        <f t="shared" si="163"/>
        <v>0</v>
      </c>
      <c r="BP212" s="17">
        <f t="shared" si="164"/>
        <v>0</v>
      </c>
      <c r="BQ212" s="17">
        <f t="shared" si="165"/>
        <v>0</v>
      </c>
      <c r="BR212" s="17">
        <f t="shared" si="166"/>
        <v>0</v>
      </c>
      <c r="BS212" s="17">
        <f t="shared" si="167"/>
        <v>0</v>
      </c>
      <c r="BT212" s="17">
        <f t="shared" si="168"/>
        <v>0</v>
      </c>
      <c r="BU212" s="17">
        <f t="shared" si="169"/>
        <v>0</v>
      </c>
      <c r="BV212" s="17">
        <f t="shared" si="170"/>
        <v>0</v>
      </c>
      <c r="BW212" s="17">
        <f t="shared" si="171"/>
        <v>0</v>
      </c>
      <c r="BX212" s="17">
        <f t="shared" si="172"/>
        <v>0</v>
      </c>
      <c r="BY212" s="17">
        <f t="shared" si="173"/>
        <v>0</v>
      </c>
      <c r="BZ212" s="17">
        <f t="shared" si="184"/>
        <v>0</v>
      </c>
      <c r="CA212" s="17">
        <f t="shared" si="185"/>
        <v>0</v>
      </c>
      <c r="CB212" s="17">
        <f t="shared" si="186"/>
        <v>0</v>
      </c>
      <c r="CC212" s="17">
        <f t="shared" si="187"/>
        <v>0</v>
      </c>
      <c r="CD212" s="17">
        <f t="shared" si="188"/>
        <v>0</v>
      </c>
      <c r="CE212" s="17">
        <f t="shared" si="189"/>
        <v>0</v>
      </c>
      <c r="CF212" s="17">
        <f t="shared" si="190"/>
        <v>0</v>
      </c>
      <c r="CG212" s="17">
        <f t="shared" si="191"/>
        <v>0</v>
      </c>
      <c r="CH212" s="17">
        <f t="shared" si="192"/>
        <v>0</v>
      </c>
      <c r="CI212" s="17">
        <f t="shared" si="193"/>
        <v>0</v>
      </c>
      <c r="CJ212" s="17">
        <f t="shared" si="194"/>
        <v>0</v>
      </c>
      <c r="CK212" s="17">
        <f t="shared" si="195"/>
        <v>0</v>
      </c>
      <c r="CL212" s="17">
        <f t="shared" si="196"/>
        <v>0</v>
      </c>
      <c r="CM212" s="14">
        <f t="shared" si="197"/>
        <v>0</v>
      </c>
      <c r="CN212" s="17">
        <f t="shared" si="198"/>
        <v>0</v>
      </c>
      <c r="CO212" s="14">
        <f t="shared" si="199"/>
        <v>0</v>
      </c>
      <c r="CP212" s="17">
        <f t="shared" si="200"/>
        <v>0</v>
      </c>
      <c r="CQ212" s="14">
        <f t="shared" si="174"/>
        <v>0</v>
      </c>
      <c r="CR212" s="14">
        <v>73</v>
      </c>
      <c r="CS212" s="14">
        <v>255</v>
      </c>
      <c r="CT212" s="14">
        <v>0</v>
      </c>
      <c r="CU212" s="14">
        <v>0</v>
      </c>
    </row>
    <row r="213" spans="1:99" x14ac:dyDescent="0.3">
      <c r="A213" s="14">
        <v>2014</v>
      </c>
      <c r="B213" s="14" t="s">
        <v>39</v>
      </c>
      <c r="C213" s="14" t="s">
        <v>40</v>
      </c>
      <c r="D213" s="15">
        <v>45062.400000000001</v>
      </c>
      <c r="E213" s="15">
        <v>1295183.0000000005</v>
      </c>
      <c r="F213" s="15">
        <f t="shared" si="175"/>
        <v>28.74198888652181</v>
      </c>
      <c r="AB213" s="14">
        <f t="shared" si="176"/>
        <v>0</v>
      </c>
      <c r="AM213" s="14">
        <f t="shared" si="177"/>
        <v>0</v>
      </c>
      <c r="AQ213" s="14">
        <f t="shared" si="178"/>
        <v>0</v>
      </c>
      <c r="AT213" s="14">
        <f t="shared" si="179"/>
        <v>0</v>
      </c>
      <c r="AU213" s="16">
        <v>0</v>
      </c>
      <c r="AV213" s="16">
        <v>0</v>
      </c>
      <c r="AW213" s="16">
        <v>0</v>
      </c>
      <c r="AX213" s="16">
        <v>0</v>
      </c>
      <c r="AY213" s="18">
        <f t="shared" si="180"/>
        <v>0</v>
      </c>
      <c r="AZ213" s="17">
        <f t="shared" si="181"/>
        <v>0</v>
      </c>
      <c r="BA213" s="17">
        <f t="shared" si="182"/>
        <v>0</v>
      </c>
      <c r="BB213" s="17">
        <f t="shared" si="183"/>
        <v>0</v>
      </c>
      <c r="BC213" s="17">
        <f t="shared" si="151"/>
        <v>0</v>
      </c>
      <c r="BD213" s="17">
        <f t="shared" si="152"/>
        <v>0</v>
      </c>
      <c r="BE213" s="17">
        <f t="shared" si="153"/>
        <v>0</v>
      </c>
      <c r="BF213" s="17">
        <f t="shared" si="154"/>
        <v>0</v>
      </c>
      <c r="BG213" s="17">
        <f t="shared" si="155"/>
        <v>0</v>
      </c>
      <c r="BH213" s="17">
        <f t="shared" si="156"/>
        <v>0</v>
      </c>
      <c r="BI213" s="17">
        <f t="shared" si="157"/>
        <v>0</v>
      </c>
      <c r="BJ213" s="17">
        <f t="shared" si="158"/>
        <v>0</v>
      </c>
      <c r="BK213" s="17">
        <f t="shared" si="159"/>
        <v>0</v>
      </c>
      <c r="BL213" s="17">
        <f t="shared" si="160"/>
        <v>0</v>
      </c>
      <c r="BM213" s="17">
        <f t="shared" si="161"/>
        <v>0</v>
      </c>
      <c r="BN213" s="17">
        <f t="shared" si="162"/>
        <v>0</v>
      </c>
      <c r="BO213" s="17">
        <f t="shared" si="163"/>
        <v>0</v>
      </c>
      <c r="BP213" s="17">
        <f t="shared" si="164"/>
        <v>0</v>
      </c>
      <c r="BQ213" s="17">
        <f t="shared" si="165"/>
        <v>0</v>
      </c>
      <c r="BR213" s="17">
        <f t="shared" si="166"/>
        <v>0</v>
      </c>
      <c r="BS213" s="17">
        <f t="shared" si="167"/>
        <v>0</v>
      </c>
      <c r="BT213" s="17">
        <f t="shared" si="168"/>
        <v>0</v>
      </c>
      <c r="BU213" s="17">
        <f t="shared" si="169"/>
        <v>0</v>
      </c>
      <c r="BV213" s="17">
        <f t="shared" si="170"/>
        <v>0</v>
      </c>
      <c r="BW213" s="17">
        <f t="shared" si="171"/>
        <v>0</v>
      </c>
      <c r="BX213" s="17">
        <f t="shared" si="172"/>
        <v>0</v>
      </c>
      <c r="BY213" s="17">
        <f t="shared" si="173"/>
        <v>0</v>
      </c>
      <c r="BZ213" s="17">
        <f t="shared" si="184"/>
        <v>0</v>
      </c>
      <c r="CA213" s="17">
        <f t="shared" si="185"/>
        <v>0</v>
      </c>
      <c r="CB213" s="17">
        <f t="shared" si="186"/>
        <v>0</v>
      </c>
      <c r="CC213" s="17">
        <f t="shared" si="187"/>
        <v>0</v>
      </c>
      <c r="CD213" s="17">
        <f t="shared" si="188"/>
        <v>0</v>
      </c>
      <c r="CE213" s="17">
        <f t="shared" si="189"/>
        <v>0</v>
      </c>
      <c r="CF213" s="17">
        <f t="shared" si="190"/>
        <v>0</v>
      </c>
      <c r="CG213" s="17">
        <f t="shared" si="191"/>
        <v>0</v>
      </c>
      <c r="CH213" s="17">
        <f t="shared" si="192"/>
        <v>0</v>
      </c>
      <c r="CI213" s="17">
        <f t="shared" si="193"/>
        <v>0</v>
      </c>
      <c r="CJ213" s="17">
        <f t="shared" si="194"/>
        <v>0</v>
      </c>
      <c r="CK213" s="17">
        <f t="shared" si="195"/>
        <v>0</v>
      </c>
      <c r="CL213" s="17">
        <f t="shared" si="196"/>
        <v>0</v>
      </c>
      <c r="CM213" s="14">
        <f t="shared" si="197"/>
        <v>0</v>
      </c>
      <c r="CN213" s="17">
        <f t="shared" si="198"/>
        <v>0</v>
      </c>
      <c r="CO213" s="14">
        <f t="shared" si="199"/>
        <v>0</v>
      </c>
      <c r="CP213" s="17">
        <f t="shared" si="200"/>
        <v>0</v>
      </c>
      <c r="CQ213" s="14">
        <f t="shared" si="174"/>
        <v>0</v>
      </c>
      <c r="CR213" s="14">
        <v>8</v>
      </c>
      <c r="CS213" s="14">
        <v>29</v>
      </c>
      <c r="CT213" s="14">
        <v>5</v>
      </c>
      <c r="CU213" s="14">
        <v>1</v>
      </c>
    </row>
    <row r="214" spans="1:99" x14ac:dyDescent="0.3">
      <c r="A214" s="14">
        <v>2015</v>
      </c>
      <c r="B214" s="14" t="s">
        <v>39</v>
      </c>
      <c r="C214" s="14" t="s">
        <v>40</v>
      </c>
      <c r="D214" s="15">
        <v>45967.3</v>
      </c>
      <c r="E214" s="15">
        <v>1346973.0000000005</v>
      </c>
      <c r="F214" s="15">
        <f t="shared" si="175"/>
        <v>29.30285224496545</v>
      </c>
      <c r="AB214" s="14">
        <f t="shared" si="176"/>
        <v>0</v>
      </c>
      <c r="AM214" s="14">
        <f t="shared" si="177"/>
        <v>0</v>
      </c>
      <c r="AQ214" s="14">
        <f t="shared" si="178"/>
        <v>0</v>
      </c>
      <c r="AT214" s="14">
        <f t="shared" si="179"/>
        <v>0</v>
      </c>
      <c r="AU214" s="16">
        <v>0</v>
      </c>
      <c r="AV214" s="16">
        <v>0</v>
      </c>
      <c r="AW214" s="16">
        <v>0</v>
      </c>
      <c r="AX214" s="16">
        <v>0</v>
      </c>
      <c r="AY214" s="18">
        <f t="shared" si="180"/>
        <v>0</v>
      </c>
      <c r="AZ214" s="17">
        <f t="shared" si="181"/>
        <v>0</v>
      </c>
      <c r="BA214" s="17">
        <f t="shared" si="182"/>
        <v>0</v>
      </c>
      <c r="BB214" s="17">
        <f t="shared" si="183"/>
        <v>0</v>
      </c>
      <c r="BC214" s="17">
        <f t="shared" si="151"/>
        <v>0</v>
      </c>
      <c r="BD214" s="17">
        <f t="shared" si="152"/>
        <v>0</v>
      </c>
      <c r="BE214" s="17">
        <f t="shared" si="153"/>
        <v>0</v>
      </c>
      <c r="BF214" s="17">
        <f t="shared" si="154"/>
        <v>0</v>
      </c>
      <c r="BG214" s="17">
        <f t="shared" si="155"/>
        <v>0</v>
      </c>
      <c r="BH214" s="17">
        <f t="shared" si="156"/>
        <v>0</v>
      </c>
      <c r="BI214" s="17">
        <f t="shared" si="157"/>
        <v>0</v>
      </c>
      <c r="BJ214" s="17">
        <f t="shared" si="158"/>
        <v>0</v>
      </c>
      <c r="BK214" s="17">
        <f t="shared" si="159"/>
        <v>0</v>
      </c>
      <c r="BL214" s="17">
        <f t="shared" si="160"/>
        <v>0</v>
      </c>
      <c r="BM214" s="17">
        <f t="shared" si="161"/>
        <v>0</v>
      </c>
      <c r="BN214" s="17">
        <f t="shared" si="162"/>
        <v>0</v>
      </c>
      <c r="BO214" s="17">
        <f t="shared" si="163"/>
        <v>0</v>
      </c>
      <c r="BP214" s="17">
        <f t="shared" si="164"/>
        <v>0</v>
      </c>
      <c r="BQ214" s="17">
        <f t="shared" si="165"/>
        <v>0</v>
      </c>
      <c r="BR214" s="17">
        <f t="shared" si="166"/>
        <v>0</v>
      </c>
      <c r="BS214" s="17">
        <f t="shared" si="167"/>
        <v>0</v>
      </c>
      <c r="BT214" s="17">
        <f t="shared" si="168"/>
        <v>0</v>
      </c>
      <c r="BU214" s="17">
        <f t="shared" si="169"/>
        <v>0</v>
      </c>
      <c r="BV214" s="17">
        <f t="shared" si="170"/>
        <v>0</v>
      </c>
      <c r="BW214" s="17">
        <f t="shared" si="171"/>
        <v>0</v>
      </c>
      <c r="BX214" s="17">
        <f t="shared" si="172"/>
        <v>0</v>
      </c>
      <c r="BY214" s="17">
        <f t="shared" si="173"/>
        <v>0</v>
      </c>
      <c r="BZ214" s="17">
        <f t="shared" si="184"/>
        <v>0</v>
      </c>
      <c r="CA214" s="17">
        <f t="shared" si="185"/>
        <v>0</v>
      </c>
      <c r="CB214" s="17">
        <f t="shared" si="186"/>
        <v>0</v>
      </c>
      <c r="CC214" s="17">
        <f t="shared" si="187"/>
        <v>0</v>
      </c>
      <c r="CD214" s="17">
        <f t="shared" si="188"/>
        <v>0</v>
      </c>
      <c r="CE214" s="17">
        <f t="shared" si="189"/>
        <v>0</v>
      </c>
      <c r="CF214" s="17">
        <f t="shared" si="190"/>
        <v>0</v>
      </c>
      <c r="CG214" s="17">
        <f t="shared" si="191"/>
        <v>0</v>
      </c>
      <c r="CH214" s="17">
        <f t="shared" si="192"/>
        <v>0</v>
      </c>
      <c r="CI214" s="17">
        <f t="shared" si="193"/>
        <v>0</v>
      </c>
      <c r="CJ214" s="17">
        <f t="shared" si="194"/>
        <v>0</v>
      </c>
      <c r="CK214" s="17">
        <f t="shared" si="195"/>
        <v>0</v>
      </c>
      <c r="CL214" s="17">
        <f t="shared" si="196"/>
        <v>0</v>
      </c>
      <c r="CM214" s="14">
        <f t="shared" si="197"/>
        <v>0</v>
      </c>
      <c r="CN214" s="17">
        <f t="shared" si="198"/>
        <v>0</v>
      </c>
      <c r="CO214" s="14">
        <f t="shared" si="199"/>
        <v>0</v>
      </c>
      <c r="CP214" s="17">
        <f t="shared" si="200"/>
        <v>0</v>
      </c>
      <c r="CQ214" s="14">
        <f t="shared" si="174"/>
        <v>0</v>
      </c>
      <c r="CR214" s="14">
        <v>841</v>
      </c>
      <c r="CS214" s="14">
        <v>2295</v>
      </c>
      <c r="CT214" s="14">
        <v>1147</v>
      </c>
      <c r="CU214" s="14">
        <v>5310</v>
      </c>
    </row>
    <row r="215" spans="1:99" x14ac:dyDescent="0.3">
      <c r="A215" s="14">
        <v>2016</v>
      </c>
      <c r="B215" s="14" t="s">
        <v>39</v>
      </c>
      <c r="C215" s="14" t="s">
        <v>40</v>
      </c>
      <c r="D215" s="15">
        <v>46750.5</v>
      </c>
      <c r="E215" s="15">
        <v>1398926.5</v>
      </c>
      <c r="F215" s="15">
        <f t="shared" si="175"/>
        <v>29.923241462658154</v>
      </c>
      <c r="AB215" s="14">
        <f t="shared" si="176"/>
        <v>0</v>
      </c>
      <c r="AM215" s="14">
        <f t="shared" si="177"/>
        <v>0</v>
      </c>
      <c r="AQ215" s="14">
        <f t="shared" si="178"/>
        <v>0</v>
      </c>
      <c r="AT215" s="14">
        <f t="shared" si="179"/>
        <v>0</v>
      </c>
      <c r="AU215" s="16">
        <v>0</v>
      </c>
      <c r="AV215" s="16">
        <v>0</v>
      </c>
      <c r="AW215" s="16">
        <v>0</v>
      </c>
      <c r="AX215" s="16">
        <v>0</v>
      </c>
      <c r="AY215" s="18">
        <f t="shared" si="180"/>
        <v>0</v>
      </c>
      <c r="AZ215" s="17">
        <f t="shared" si="181"/>
        <v>0</v>
      </c>
      <c r="BA215" s="17">
        <f t="shared" si="182"/>
        <v>0</v>
      </c>
      <c r="BB215" s="17">
        <f t="shared" si="183"/>
        <v>0</v>
      </c>
      <c r="BC215" s="17">
        <f t="shared" si="151"/>
        <v>0</v>
      </c>
      <c r="BD215" s="17">
        <f t="shared" si="152"/>
        <v>0</v>
      </c>
      <c r="BE215" s="17">
        <f t="shared" si="153"/>
        <v>0</v>
      </c>
      <c r="BF215" s="17">
        <f t="shared" si="154"/>
        <v>0</v>
      </c>
      <c r="BG215" s="17">
        <f t="shared" si="155"/>
        <v>0</v>
      </c>
      <c r="BH215" s="17">
        <f t="shared" si="156"/>
        <v>0</v>
      </c>
      <c r="BI215" s="17">
        <f t="shared" si="157"/>
        <v>0</v>
      </c>
      <c r="BJ215" s="17">
        <f t="shared" si="158"/>
        <v>0</v>
      </c>
      <c r="BK215" s="17">
        <f t="shared" si="159"/>
        <v>0</v>
      </c>
      <c r="BL215" s="17">
        <f t="shared" si="160"/>
        <v>0</v>
      </c>
      <c r="BM215" s="17">
        <f t="shared" si="161"/>
        <v>0</v>
      </c>
      <c r="BN215" s="17">
        <f t="shared" si="162"/>
        <v>0</v>
      </c>
      <c r="BO215" s="17">
        <f t="shared" si="163"/>
        <v>0</v>
      </c>
      <c r="BP215" s="17">
        <f t="shared" si="164"/>
        <v>0</v>
      </c>
      <c r="BQ215" s="17">
        <f t="shared" si="165"/>
        <v>0</v>
      </c>
      <c r="BR215" s="17">
        <f t="shared" si="166"/>
        <v>0</v>
      </c>
      <c r="BS215" s="17">
        <f t="shared" si="167"/>
        <v>0</v>
      </c>
      <c r="BT215" s="17">
        <f t="shared" si="168"/>
        <v>0</v>
      </c>
      <c r="BU215" s="17">
        <f t="shared" si="169"/>
        <v>0</v>
      </c>
      <c r="BV215" s="17">
        <f t="shared" si="170"/>
        <v>0</v>
      </c>
      <c r="BW215" s="17">
        <f t="shared" si="171"/>
        <v>0</v>
      </c>
      <c r="BX215" s="17">
        <f t="shared" si="172"/>
        <v>0</v>
      </c>
      <c r="BY215" s="17">
        <f t="shared" si="173"/>
        <v>0</v>
      </c>
      <c r="BZ215" s="17">
        <f t="shared" si="184"/>
        <v>0</v>
      </c>
      <c r="CA215" s="17">
        <f t="shared" si="185"/>
        <v>0</v>
      </c>
      <c r="CB215" s="17">
        <f t="shared" si="186"/>
        <v>0</v>
      </c>
      <c r="CC215" s="17">
        <f t="shared" si="187"/>
        <v>0</v>
      </c>
      <c r="CD215" s="17">
        <f t="shared" si="188"/>
        <v>0</v>
      </c>
      <c r="CE215" s="17">
        <f t="shared" si="189"/>
        <v>0</v>
      </c>
      <c r="CF215" s="17">
        <f t="shared" si="190"/>
        <v>0</v>
      </c>
      <c r="CG215" s="17">
        <f t="shared" si="191"/>
        <v>0</v>
      </c>
      <c r="CH215" s="17">
        <f t="shared" si="192"/>
        <v>0</v>
      </c>
      <c r="CI215" s="17">
        <f t="shared" si="193"/>
        <v>0</v>
      </c>
      <c r="CJ215" s="17">
        <f t="shared" si="194"/>
        <v>0</v>
      </c>
      <c r="CK215" s="17">
        <f t="shared" si="195"/>
        <v>0</v>
      </c>
      <c r="CL215" s="17">
        <f t="shared" si="196"/>
        <v>0</v>
      </c>
      <c r="CM215" s="14">
        <f t="shared" si="197"/>
        <v>0</v>
      </c>
      <c r="CN215" s="17">
        <f t="shared" si="198"/>
        <v>0</v>
      </c>
      <c r="CO215" s="14">
        <f t="shared" si="199"/>
        <v>0</v>
      </c>
      <c r="CP215" s="17">
        <f t="shared" si="200"/>
        <v>0</v>
      </c>
      <c r="CQ215" s="14">
        <f t="shared" si="174"/>
        <v>0</v>
      </c>
      <c r="CR215" s="14">
        <v>3</v>
      </c>
      <c r="CS215" s="14">
        <v>93</v>
      </c>
      <c r="CT215" s="14">
        <v>0</v>
      </c>
      <c r="CU215" s="14">
        <v>0</v>
      </c>
    </row>
    <row r="216" spans="1:99" x14ac:dyDescent="0.3">
      <c r="A216" s="14">
        <v>2017</v>
      </c>
      <c r="B216" s="14" t="s">
        <v>39</v>
      </c>
      <c r="C216" s="14" t="s">
        <v>40</v>
      </c>
      <c r="D216" s="15">
        <v>47406.7</v>
      </c>
      <c r="E216" s="15">
        <v>1450694.0000000005</v>
      </c>
      <c r="F216" s="15">
        <f t="shared" si="175"/>
        <v>30.601033187292103</v>
      </c>
      <c r="AB216" s="14">
        <f t="shared" si="176"/>
        <v>0</v>
      </c>
      <c r="AM216" s="14">
        <f t="shared" si="177"/>
        <v>0</v>
      </c>
      <c r="AQ216" s="14">
        <f t="shared" si="178"/>
        <v>0</v>
      </c>
      <c r="AT216" s="14">
        <f t="shared" si="179"/>
        <v>0</v>
      </c>
      <c r="AU216" s="16">
        <v>1014</v>
      </c>
      <c r="AV216" s="16">
        <v>1268</v>
      </c>
      <c r="AW216" s="16">
        <v>0</v>
      </c>
      <c r="AX216" s="16">
        <v>0</v>
      </c>
      <c r="AY216" s="18">
        <f t="shared" si="180"/>
        <v>6.9897580054787545</v>
      </c>
      <c r="AZ216" s="17">
        <f t="shared" si="181"/>
        <v>8.7406441330838867</v>
      </c>
      <c r="BA216" s="17">
        <f t="shared" si="182"/>
        <v>0</v>
      </c>
      <c r="BB216" s="17">
        <f t="shared" si="183"/>
        <v>0</v>
      </c>
      <c r="BC216" s="17">
        <f t="shared" si="151"/>
        <v>0</v>
      </c>
      <c r="BD216" s="17">
        <f t="shared" si="152"/>
        <v>0</v>
      </c>
      <c r="BE216" s="17">
        <f t="shared" si="153"/>
        <v>0</v>
      </c>
      <c r="BF216" s="17">
        <f t="shared" si="154"/>
        <v>0</v>
      </c>
      <c r="BG216" s="17">
        <f t="shared" si="155"/>
        <v>0</v>
      </c>
      <c r="BH216" s="17">
        <f t="shared" si="156"/>
        <v>0</v>
      </c>
      <c r="BI216" s="17">
        <f t="shared" si="157"/>
        <v>0</v>
      </c>
      <c r="BJ216" s="17">
        <f t="shared" si="158"/>
        <v>0</v>
      </c>
      <c r="BK216" s="17">
        <f t="shared" si="159"/>
        <v>0</v>
      </c>
      <c r="BL216" s="17">
        <f t="shared" si="160"/>
        <v>0</v>
      </c>
      <c r="BM216" s="17">
        <f t="shared" si="161"/>
        <v>0</v>
      </c>
      <c r="BN216" s="17">
        <f t="shared" si="162"/>
        <v>0</v>
      </c>
      <c r="BO216" s="17">
        <f t="shared" si="163"/>
        <v>0</v>
      </c>
      <c r="BP216" s="17">
        <f t="shared" si="164"/>
        <v>0</v>
      </c>
      <c r="BQ216" s="17">
        <f t="shared" si="165"/>
        <v>0</v>
      </c>
      <c r="BR216" s="17">
        <f t="shared" si="166"/>
        <v>0</v>
      </c>
      <c r="BS216" s="17">
        <f t="shared" si="167"/>
        <v>0</v>
      </c>
      <c r="BT216" s="17">
        <f t="shared" si="168"/>
        <v>0</v>
      </c>
      <c r="BU216" s="17">
        <f t="shared" si="169"/>
        <v>0</v>
      </c>
      <c r="BV216" s="17">
        <f t="shared" si="170"/>
        <v>0</v>
      </c>
      <c r="BW216" s="17">
        <f t="shared" si="171"/>
        <v>0</v>
      </c>
      <c r="BX216" s="17">
        <f t="shared" si="172"/>
        <v>0</v>
      </c>
      <c r="BY216" s="17">
        <f t="shared" si="173"/>
        <v>0</v>
      </c>
      <c r="BZ216" s="17">
        <f t="shared" si="184"/>
        <v>0</v>
      </c>
      <c r="CA216" s="17">
        <f t="shared" si="185"/>
        <v>0</v>
      </c>
      <c r="CB216" s="17">
        <f t="shared" si="186"/>
        <v>0</v>
      </c>
      <c r="CC216" s="17">
        <f t="shared" si="187"/>
        <v>0</v>
      </c>
      <c r="CD216" s="17">
        <f t="shared" si="188"/>
        <v>0</v>
      </c>
      <c r="CE216" s="17">
        <f t="shared" si="189"/>
        <v>0</v>
      </c>
      <c r="CF216" s="17">
        <f t="shared" si="190"/>
        <v>0</v>
      </c>
      <c r="CG216" s="17">
        <f t="shared" si="191"/>
        <v>0</v>
      </c>
      <c r="CH216" s="17">
        <f t="shared" si="192"/>
        <v>0</v>
      </c>
      <c r="CI216" s="17">
        <f t="shared" si="193"/>
        <v>0</v>
      </c>
      <c r="CJ216" s="17">
        <f t="shared" si="194"/>
        <v>0</v>
      </c>
      <c r="CK216" s="17">
        <f t="shared" si="195"/>
        <v>0</v>
      </c>
      <c r="CL216" s="17">
        <f t="shared" si="196"/>
        <v>0</v>
      </c>
      <c r="CM216" s="14">
        <f t="shared" si="197"/>
        <v>1268</v>
      </c>
      <c r="CN216" s="17">
        <f t="shared" si="198"/>
        <v>8.7406441330838867</v>
      </c>
      <c r="CO216" s="14">
        <f t="shared" si="199"/>
        <v>2282</v>
      </c>
      <c r="CP216" s="17">
        <f t="shared" si="200"/>
        <v>15.730402138562642</v>
      </c>
      <c r="CQ216" s="14">
        <f t="shared" si="174"/>
        <v>2282</v>
      </c>
      <c r="CR216" s="14">
        <v>225</v>
      </c>
      <c r="CS216" s="14">
        <v>27</v>
      </c>
      <c r="CT216" s="14">
        <v>0</v>
      </c>
      <c r="CU216" s="14">
        <v>0</v>
      </c>
    </row>
    <row r="217" spans="1:99" x14ac:dyDescent="0.3">
      <c r="A217" s="14">
        <v>2018</v>
      </c>
      <c r="B217" s="14" t="s">
        <v>39</v>
      </c>
      <c r="C217" s="14" t="s">
        <v>40</v>
      </c>
      <c r="D217" s="15">
        <v>47969.599999999999</v>
      </c>
      <c r="E217" s="15">
        <v>1502091.5000000002</v>
      </c>
      <c r="F217" s="15">
        <f t="shared" si="175"/>
        <v>31.313404739668464</v>
      </c>
      <c r="H217" s="14">
        <v>10</v>
      </c>
      <c r="Z217" s="14">
        <v>2</v>
      </c>
      <c r="AB217" s="14">
        <f t="shared" si="176"/>
        <v>0</v>
      </c>
      <c r="AM217" s="14">
        <f t="shared" si="177"/>
        <v>0</v>
      </c>
      <c r="AQ217" s="14">
        <f t="shared" si="178"/>
        <v>0</v>
      </c>
      <c r="AT217" s="14">
        <f t="shared" si="179"/>
        <v>0</v>
      </c>
      <c r="AU217" s="16">
        <v>0</v>
      </c>
      <c r="AV217" s="16">
        <v>0</v>
      </c>
      <c r="AW217" s="16">
        <v>0</v>
      </c>
      <c r="AX217" s="16">
        <v>0</v>
      </c>
      <c r="AY217" s="18">
        <f t="shared" si="180"/>
        <v>0</v>
      </c>
      <c r="AZ217" s="17">
        <f t="shared" si="181"/>
        <v>0</v>
      </c>
      <c r="BA217" s="17">
        <f t="shared" si="182"/>
        <v>0</v>
      </c>
      <c r="BB217" s="17">
        <f t="shared" si="183"/>
        <v>0</v>
      </c>
      <c r="BC217" s="17">
        <f t="shared" si="151"/>
        <v>0</v>
      </c>
      <c r="BD217" s="17">
        <f t="shared" si="152"/>
        <v>6.6573840541671384E-2</v>
      </c>
      <c r="BE217" s="17">
        <f t="shared" si="153"/>
        <v>0</v>
      </c>
      <c r="BF217" s="17">
        <f t="shared" si="154"/>
        <v>0</v>
      </c>
      <c r="BG217" s="17">
        <f t="shared" si="155"/>
        <v>0</v>
      </c>
      <c r="BH217" s="17">
        <f t="shared" si="156"/>
        <v>0</v>
      </c>
      <c r="BI217" s="17">
        <f t="shared" si="157"/>
        <v>0</v>
      </c>
      <c r="BJ217" s="17">
        <f t="shared" si="158"/>
        <v>0</v>
      </c>
      <c r="BK217" s="17">
        <f t="shared" si="159"/>
        <v>0</v>
      </c>
      <c r="BL217" s="17">
        <f t="shared" si="160"/>
        <v>0</v>
      </c>
      <c r="BM217" s="17">
        <f t="shared" si="161"/>
        <v>0</v>
      </c>
      <c r="BN217" s="17">
        <f t="shared" si="162"/>
        <v>0</v>
      </c>
      <c r="BO217" s="17">
        <f t="shared" si="163"/>
        <v>0</v>
      </c>
      <c r="BP217" s="17">
        <f t="shared" si="164"/>
        <v>0</v>
      </c>
      <c r="BQ217" s="17">
        <f t="shared" si="165"/>
        <v>0</v>
      </c>
      <c r="BR217" s="17">
        <f t="shared" si="166"/>
        <v>0</v>
      </c>
      <c r="BS217" s="17">
        <f t="shared" si="167"/>
        <v>0</v>
      </c>
      <c r="BT217" s="17">
        <f t="shared" si="168"/>
        <v>0</v>
      </c>
      <c r="BU217" s="17">
        <f t="shared" si="169"/>
        <v>0</v>
      </c>
      <c r="BV217" s="17">
        <f t="shared" si="170"/>
        <v>1.3314768108334277E-2</v>
      </c>
      <c r="BW217" s="17">
        <f t="shared" si="171"/>
        <v>0</v>
      </c>
      <c r="BX217" s="17">
        <f t="shared" si="172"/>
        <v>0</v>
      </c>
      <c r="BY217" s="17">
        <f t="shared" si="173"/>
        <v>0</v>
      </c>
      <c r="BZ217" s="17">
        <f t="shared" si="184"/>
        <v>0</v>
      </c>
      <c r="CA217" s="17">
        <f t="shared" si="185"/>
        <v>0</v>
      </c>
      <c r="CB217" s="17">
        <f t="shared" si="186"/>
        <v>0</v>
      </c>
      <c r="CC217" s="17">
        <f t="shared" si="187"/>
        <v>0</v>
      </c>
      <c r="CD217" s="17">
        <f t="shared" si="188"/>
        <v>0</v>
      </c>
      <c r="CE217" s="17">
        <f t="shared" si="189"/>
        <v>0</v>
      </c>
      <c r="CF217" s="17">
        <f t="shared" si="190"/>
        <v>0</v>
      </c>
      <c r="CG217" s="17">
        <f t="shared" si="191"/>
        <v>0</v>
      </c>
      <c r="CH217" s="17">
        <f t="shared" si="192"/>
        <v>0</v>
      </c>
      <c r="CI217" s="17">
        <f t="shared" si="193"/>
        <v>0</v>
      </c>
      <c r="CJ217" s="17">
        <f t="shared" si="194"/>
        <v>0</v>
      </c>
      <c r="CK217" s="17">
        <f t="shared" si="195"/>
        <v>0</v>
      </c>
      <c r="CL217" s="17">
        <f t="shared" si="196"/>
        <v>0</v>
      </c>
      <c r="CM217" s="14">
        <f t="shared" si="197"/>
        <v>0</v>
      </c>
      <c r="CN217" s="17">
        <f t="shared" si="198"/>
        <v>0</v>
      </c>
      <c r="CO217" s="14">
        <f t="shared" si="199"/>
        <v>0</v>
      </c>
      <c r="CP217" s="17">
        <f t="shared" si="200"/>
        <v>0</v>
      </c>
      <c r="CQ217" s="14">
        <f t="shared" si="174"/>
        <v>12</v>
      </c>
      <c r="CR217" s="14">
        <v>112</v>
      </c>
      <c r="CS217" s="14">
        <v>621</v>
      </c>
      <c r="CT217" s="14">
        <v>0</v>
      </c>
      <c r="CU217" s="14">
        <v>0</v>
      </c>
    </row>
    <row r="218" spans="1:99" x14ac:dyDescent="0.3">
      <c r="A218" s="14">
        <v>2019</v>
      </c>
      <c r="B218" s="14" t="s">
        <v>39</v>
      </c>
      <c r="C218" s="14" t="s">
        <v>40</v>
      </c>
      <c r="D218" s="15">
        <v>48504</v>
      </c>
      <c r="E218" s="15">
        <v>1553030.5000000002</v>
      </c>
      <c r="F218" s="15">
        <f t="shared" si="175"/>
        <v>32.018606712848431</v>
      </c>
      <c r="AB218" s="14">
        <f t="shared" si="176"/>
        <v>0</v>
      </c>
      <c r="AM218" s="14">
        <f t="shared" si="177"/>
        <v>0</v>
      </c>
      <c r="AQ218" s="14">
        <f t="shared" si="178"/>
        <v>0</v>
      </c>
      <c r="AT218" s="14">
        <f t="shared" si="179"/>
        <v>0</v>
      </c>
      <c r="AU218" s="16">
        <v>0</v>
      </c>
      <c r="AV218" s="16">
        <v>0</v>
      </c>
      <c r="AW218" s="16">
        <v>0</v>
      </c>
      <c r="AX218" s="16">
        <v>0</v>
      </c>
      <c r="AY218" s="18">
        <f t="shared" si="180"/>
        <v>0</v>
      </c>
      <c r="AZ218" s="17">
        <f t="shared" si="181"/>
        <v>0</v>
      </c>
      <c r="BA218" s="17">
        <f t="shared" si="182"/>
        <v>0</v>
      </c>
      <c r="BB218" s="17">
        <f t="shared" si="183"/>
        <v>0</v>
      </c>
      <c r="BC218" s="17">
        <f t="shared" si="151"/>
        <v>0</v>
      </c>
      <c r="BD218" s="17">
        <f t="shared" si="152"/>
        <v>0</v>
      </c>
      <c r="BE218" s="17">
        <f t="shared" si="153"/>
        <v>0</v>
      </c>
      <c r="BF218" s="17">
        <f t="shared" si="154"/>
        <v>0</v>
      </c>
      <c r="BG218" s="17">
        <f t="shared" si="155"/>
        <v>0</v>
      </c>
      <c r="BH218" s="17">
        <f t="shared" si="156"/>
        <v>0</v>
      </c>
      <c r="BI218" s="17">
        <f t="shared" si="157"/>
        <v>0</v>
      </c>
      <c r="BJ218" s="17">
        <f t="shared" si="158"/>
        <v>0</v>
      </c>
      <c r="BK218" s="17">
        <f t="shared" si="159"/>
        <v>0</v>
      </c>
      <c r="BL218" s="17">
        <f t="shared" si="160"/>
        <v>0</v>
      </c>
      <c r="BM218" s="17">
        <f t="shared" si="161"/>
        <v>0</v>
      </c>
      <c r="BN218" s="17">
        <f t="shared" si="162"/>
        <v>0</v>
      </c>
      <c r="BO218" s="17">
        <f t="shared" si="163"/>
        <v>0</v>
      </c>
      <c r="BP218" s="17">
        <f t="shared" si="164"/>
        <v>0</v>
      </c>
      <c r="BQ218" s="17">
        <f t="shared" si="165"/>
        <v>0</v>
      </c>
      <c r="BR218" s="17">
        <f t="shared" si="166"/>
        <v>0</v>
      </c>
      <c r="BS218" s="17">
        <f t="shared" si="167"/>
        <v>0</v>
      </c>
      <c r="BT218" s="17">
        <f t="shared" si="168"/>
        <v>0</v>
      </c>
      <c r="BU218" s="17">
        <f t="shared" si="169"/>
        <v>0</v>
      </c>
      <c r="BV218" s="17">
        <f t="shared" si="170"/>
        <v>0</v>
      </c>
      <c r="BW218" s="17">
        <f t="shared" si="171"/>
        <v>0</v>
      </c>
      <c r="BX218" s="17">
        <f t="shared" si="172"/>
        <v>0</v>
      </c>
      <c r="BY218" s="17">
        <f t="shared" si="173"/>
        <v>0</v>
      </c>
      <c r="BZ218" s="17">
        <f t="shared" si="184"/>
        <v>0</v>
      </c>
      <c r="CA218" s="17">
        <f t="shared" si="185"/>
        <v>0</v>
      </c>
      <c r="CB218" s="17">
        <f t="shared" si="186"/>
        <v>0</v>
      </c>
      <c r="CC218" s="17">
        <f t="shared" si="187"/>
        <v>0</v>
      </c>
      <c r="CD218" s="17">
        <f t="shared" si="188"/>
        <v>0</v>
      </c>
      <c r="CE218" s="17">
        <f t="shared" si="189"/>
        <v>0</v>
      </c>
      <c r="CF218" s="17">
        <f t="shared" si="190"/>
        <v>0</v>
      </c>
      <c r="CG218" s="17">
        <f t="shared" si="191"/>
        <v>0</v>
      </c>
      <c r="CH218" s="17">
        <f t="shared" si="192"/>
        <v>0</v>
      </c>
      <c r="CI218" s="17">
        <f t="shared" si="193"/>
        <v>0</v>
      </c>
      <c r="CJ218" s="17">
        <f t="shared" si="194"/>
        <v>0</v>
      </c>
      <c r="CK218" s="17">
        <f t="shared" si="195"/>
        <v>0</v>
      </c>
      <c r="CL218" s="17">
        <f t="shared" si="196"/>
        <v>0</v>
      </c>
      <c r="CM218" s="14">
        <f t="shared" si="197"/>
        <v>0</v>
      </c>
      <c r="CN218" s="17">
        <f t="shared" si="198"/>
        <v>0</v>
      </c>
      <c r="CO218" s="14">
        <f t="shared" si="199"/>
        <v>0</v>
      </c>
      <c r="CP218" s="17">
        <f t="shared" si="200"/>
        <v>0</v>
      </c>
      <c r="CQ218" s="14">
        <f t="shared" si="174"/>
        <v>0</v>
      </c>
      <c r="CR218" s="14">
        <v>83</v>
      </c>
      <c r="CS218" s="14">
        <v>182</v>
      </c>
      <c r="CT218" s="14">
        <v>6</v>
      </c>
      <c r="CU218" s="14">
        <v>0</v>
      </c>
    </row>
    <row r="219" spans="1:99" x14ac:dyDescent="0.3">
      <c r="A219" s="14">
        <v>2020</v>
      </c>
      <c r="B219" s="14" t="s">
        <v>39</v>
      </c>
      <c r="C219" s="14" t="s">
        <v>40</v>
      </c>
      <c r="D219" s="15">
        <v>48954.6</v>
      </c>
      <c r="E219" s="15">
        <v>1596048.5000000009</v>
      </c>
      <c r="F219" s="15">
        <f t="shared" si="175"/>
        <v>32.602625698095807</v>
      </c>
      <c r="AB219" s="14">
        <f t="shared" si="176"/>
        <v>0</v>
      </c>
      <c r="AM219" s="14">
        <f t="shared" si="177"/>
        <v>0</v>
      </c>
      <c r="AQ219" s="14">
        <f t="shared" si="178"/>
        <v>0</v>
      </c>
      <c r="AT219" s="14">
        <f t="shared" si="179"/>
        <v>0</v>
      </c>
      <c r="AU219" s="16">
        <v>0</v>
      </c>
      <c r="AV219" s="16">
        <v>0</v>
      </c>
      <c r="AW219" s="16">
        <v>0</v>
      </c>
      <c r="AX219" s="16">
        <v>0</v>
      </c>
      <c r="AY219" s="18">
        <f t="shared" si="180"/>
        <v>0</v>
      </c>
      <c r="AZ219" s="17">
        <f t="shared" si="181"/>
        <v>0</v>
      </c>
      <c r="BA219" s="17">
        <f t="shared" si="182"/>
        <v>0</v>
      </c>
      <c r="BB219" s="17">
        <f t="shared" si="183"/>
        <v>0</v>
      </c>
      <c r="BC219" s="17">
        <f t="shared" si="151"/>
        <v>0</v>
      </c>
      <c r="BD219" s="17">
        <f t="shared" si="152"/>
        <v>0</v>
      </c>
      <c r="BE219" s="17">
        <f t="shared" si="153"/>
        <v>0</v>
      </c>
      <c r="BF219" s="17">
        <f t="shared" si="154"/>
        <v>0</v>
      </c>
      <c r="BG219" s="17">
        <f t="shared" si="155"/>
        <v>0</v>
      </c>
      <c r="BH219" s="17">
        <f t="shared" si="156"/>
        <v>0</v>
      </c>
      <c r="BI219" s="17">
        <f t="shared" si="157"/>
        <v>0</v>
      </c>
      <c r="BJ219" s="17">
        <f t="shared" si="158"/>
        <v>0</v>
      </c>
      <c r="BK219" s="17">
        <f t="shared" si="159"/>
        <v>0</v>
      </c>
      <c r="BL219" s="17">
        <f t="shared" si="160"/>
        <v>0</v>
      </c>
      <c r="BM219" s="17">
        <f t="shared" si="161"/>
        <v>0</v>
      </c>
      <c r="BN219" s="17">
        <f t="shared" si="162"/>
        <v>0</v>
      </c>
      <c r="BO219" s="17">
        <f t="shared" si="163"/>
        <v>0</v>
      </c>
      <c r="BP219" s="17">
        <f t="shared" si="164"/>
        <v>0</v>
      </c>
      <c r="BQ219" s="17">
        <f t="shared" si="165"/>
        <v>0</v>
      </c>
      <c r="BR219" s="17">
        <f t="shared" si="166"/>
        <v>0</v>
      </c>
      <c r="BS219" s="17">
        <f t="shared" si="167"/>
        <v>0</v>
      </c>
      <c r="BT219" s="17">
        <f t="shared" si="168"/>
        <v>0</v>
      </c>
      <c r="BU219" s="17">
        <f t="shared" si="169"/>
        <v>0</v>
      </c>
      <c r="BV219" s="17">
        <f t="shared" si="170"/>
        <v>0</v>
      </c>
      <c r="BW219" s="17">
        <f t="shared" si="171"/>
        <v>0</v>
      </c>
      <c r="BX219" s="17">
        <f t="shared" si="172"/>
        <v>0</v>
      </c>
      <c r="BY219" s="17">
        <f t="shared" si="173"/>
        <v>0</v>
      </c>
      <c r="BZ219" s="17">
        <f t="shared" si="184"/>
        <v>0</v>
      </c>
      <c r="CA219" s="17">
        <f t="shared" si="185"/>
        <v>0</v>
      </c>
      <c r="CB219" s="17">
        <f t="shared" si="186"/>
        <v>0</v>
      </c>
      <c r="CC219" s="17">
        <f t="shared" si="187"/>
        <v>0</v>
      </c>
      <c r="CD219" s="17">
        <f t="shared" si="188"/>
        <v>0</v>
      </c>
      <c r="CE219" s="17">
        <f t="shared" si="189"/>
        <v>0</v>
      </c>
      <c r="CF219" s="17">
        <f t="shared" si="190"/>
        <v>0</v>
      </c>
      <c r="CG219" s="17">
        <f t="shared" si="191"/>
        <v>0</v>
      </c>
      <c r="CH219" s="17">
        <f t="shared" si="192"/>
        <v>0</v>
      </c>
      <c r="CI219" s="17">
        <f t="shared" si="193"/>
        <v>0</v>
      </c>
      <c r="CJ219" s="17">
        <f t="shared" si="194"/>
        <v>0</v>
      </c>
      <c r="CK219" s="17">
        <f t="shared" si="195"/>
        <v>0</v>
      </c>
      <c r="CL219" s="17">
        <f t="shared" si="196"/>
        <v>0</v>
      </c>
      <c r="CM219" s="14">
        <f t="shared" si="197"/>
        <v>0</v>
      </c>
      <c r="CN219" s="17">
        <f t="shared" si="198"/>
        <v>0</v>
      </c>
      <c r="CO219" s="14">
        <f t="shared" si="199"/>
        <v>0</v>
      </c>
      <c r="CP219" s="17">
        <f t="shared" si="200"/>
        <v>0</v>
      </c>
      <c r="CQ219" s="14">
        <f t="shared" si="174"/>
        <v>0</v>
      </c>
      <c r="CR219" s="14">
        <v>466</v>
      </c>
      <c r="CS219" s="14">
        <v>748</v>
      </c>
      <c r="CT219" s="14">
        <v>0</v>
      </c>
      <c r="CU219" s="14">
        <v>0</v>
      </c>
    </row>
    <row r="220" spans="1:99" x14ac:dyDescent="0.3">
      <c r="A220" s="14">
        <v>2021</v>
      </c>
      <c r="B220" s="14" t="s">
        <v>39</v>
      </c>
      <c r="C220" s="14" t="s">
        <v>40</v>
      </c>
      <c r="D220" s="15">
        <v>49221.8</v>
      </c>
      <c r="E220" s="15">
        <v>1634465.5000000002</v>
      </c>
      <c r="F220" s="15">
        <f t="shared" si="175"/>
        <v>33.206130210597749</v>
      </c>
      <c r="AB220" s="14">
        <f t="shared" si="176"/>
        <v>0</v>
      </c>
      <c r="AM220" s="14">
        <f t="shared" si="177"/>
        <v>0</v>
      </c>
      <c r="AQ220" s="14">
        <f t="shared" si="178"/>
        <v>0</v>
      </c>
      <c r="AT220" s="14">
        <f t="shared" si="179"/>
        <v>0</v>
      </c>
      <c r="AU220" s="16">
        <v>0</v>
      </c>
      <c r="AV220" s="16">
        <v>0</v>
      </c>
      <c r="AW220" s="16">
        <v>0</v>
      </c>
      <c r="AX220" s="16">
        <v>0</v>
      </c>
      <c r="AY220" s="18">
        <f t="shared" si="180"/>
        <v>0</v>
      </c>
      <c r="AZ220" s="17">
        <f t="shared" si="181"/>
        <v>0</v>
      </c>
      <c r="BA220" s="17">
        <f t="shared" si="182"/>
        <v>0</v>
      </c>
      <c r="BB220" s="17">
        <f t="shared" si="183"/>
        <v>0</v>
      </c>
      <c r="BC220" s="17">
        <f t="shared" si="151"/>
        <v>0</v>
      </c>
      <c r="BD220" s="17">
        <f t="shared" si="152"/>
        <v>0</v>
      </c>
      <c r="BE220" s="17">
        <f t="shared" si="153"/>
        <v>0</v>
      </c>
      <c r="BF220" s="17">
        <f t="shared" si="154"/>
        <v>0</v>
      </c>
      <c r="BG220" s="17">
        <f t="shared" si="155"/>
        <v>0</v>
      </c>
      <c r="BH220" s="17">
        <f t="shared" si="156"/>
        <v>0</v>
      </c>
      <c r="BI220" s="17">
        <f t="shared" si="157"/>
        <v>0</v>
      </c>
      <c r="BJ220" s="17">
        <f t="shared" si="158"/>
        <v>0</v>
      </c>
      <c r="BK220" s="17">
        <f t="shared" si="159"/>
        <v>0</v>
      </c>
      <c r="BL220" s="17">
        <f t="shared" si="160"/>
        <v>0</v>
      </c>
      <c r="BM220" s="17">
        <f t="shared" si="161"/>
        <v>0</v>
      </c>
      <c r="BN220" s="17">
        <f t="shared" si="162"/>
        <v>0</v>
      </c>
      <c r="BO220" s="17">
        <f t="shared" si="163"/>
        <v>0</v>
      </c>
      <c r="BP220" s="17">
        <f t="shared" si="164"/>
        <v>0</v>
      </c>
      <c r="BQ220" s="17">
        <f t="shared" si="165"/>
        <v>0</v>
      </c>
      <c r="BR220" s="17">
        <f t="shared" si="166"/>
        <v>0</v>
      </c>
      <c r="BS220" s="17">
        <f t="shared" si="167"/>
        <v>0</v>
      </c>
      <c r="BT220" s="17">
        <f t="shared" si="168"/>
        <v>0</v>
      </c>
      <c r="BU220" s="17">
        <f t="shared" si="169"/>
        <v>0</v>
      </c>
      <c r="BV220" s="17">
        <f t="shared" si="170"/>
        <v>0</v>
      </c>
      <c r="BW220" s="17">
        <f t="shared" si="171"/>
        <v>0</v>
      </c>
      <c r="BX220" s="17">
        <f t="shared" si="172"/>
        <v>0</v>
      </c>
      <c r="BY220" s="17">
        <f t="shared" si="173"/>
        <v>0</v>
      </c>
      <c r="BZ220" s="17">
        <f t="shared" si="184"/>
        <v>0</v>
      </c>
      <c r="CA220" s="17">
        <f t="shared" si="185"/>
        <v>0</v>
      </c>
      <c r="CB220" s="17">
        <f t="shared" si="186"/>
        <v>0</v>
      </c>
      <c r="CC220" s="17">
        <f t="shared" si="187"/>
        <v>0</v>
      </c>
      <c r="CD220" s="17">
        <f t="shared" si="188"/>
        <v>0</v>
      </c>
      <c r="CE220" s="17">
        <f t="shared" si="189"/>
        <v>0</v>
      </c>
      <c r="CF220" s="17">
        <f t="shared" si="190"/>
        <v>0</v>
      </c>
      <c r="CG220" s="17">
        <f t="shared" si="191"/>
        <v>0</v>
      </c>
      <c r="CH220" s="17">
        <f t="shared" si="192"/>
        <v>0</v>
      </c>
      <c r="CI220" s="17">
        <f t="shared" si="193"/>
        <v>0</v>
      </c>
      <c r="CJ220" s="17">
        <f t="shared" si="194"/>
        <v>0</v>
      </c>
      <c r="CK220" s="17">
        <f t="shared" si="195"/>
        <v>0</v>
      </c>
      <c r="CL220" s="17">
        <f t="shared" si="196"/>
        <v>0</v>
      </c>
      <c r="CM220" s="14">
        <f t="shared" si="197"/>
        <v>0</v>
      </c>
      <c r="CN220" s="17">
        <f t="shared" si="198"/>
        <v>0</v>
      </c>
      <c r="CO220" s="14">
        <f t="shared" si="199"/>
        <v>0</v>
      </c>
      <c r="CP220" s="17">
        <f t="shared" si="200"/>
        <v>0</v>
      </c>
      <c r="CQ220" s="14">
        <f t="shared" si="174"/>
        <v>0</v>
      </c>
      <c r="CR220" s="14">
        <v>294</v>
      </c>
      <c r="CS220" s="14">
        <v>2192</v>
      </c>
      <c r="CT220" s="14">
        <v>620</v>
      </c>
      <c r="CU220" s="14">
        <v>0</v>
      </c>
    </row>
    <row r="221" spans="1:99" x14ac:dyDescent="0.3">
      <c r="A221" s="14">
        <v>2022</v>
      </c>
      <c r="B221" s="14" t="s">
        <v>39</v>
      </c>
      <c r="C221" s="14" t="s">
        <v>40</v>
      </c>
      <c r="D221" s="15">
        <v>49447.1</v>
      </c>
      <c r="E221" s="15">
        <v>1674908</v>
      </c>
      <c r="F221" s="15">
        <f t="shared" si="175"/>
        <v>33.872724588499629</v>
      </c>
      <c r="H221" s="14">
        <v>14</v>
      </c>
      <c r="M221" s="14">
        <v>146</v>
      </c>
      <c r="X221" s="14">
        <v>282</v>
      </c>
      <c r="Y221" s="14">
        <v>228</v>
      </c>
      <c r="AB221" s="14">
        <f t="shared" si="176"/>
        <v>0</v>
      </c>
      <c r="AI221" s="14">
        <v>101</v>
      </c>
      <c r="AJ221" s="14">
        <v>91</v>
      </c>
      <c r="AM221" s="14">
        <f t="shared" si="177"/>
        <v>0</v>
      </c>
      <c r="AQ221" s="14">
        <f t="shared" si="178"/>
        <v>0</v>
      </c>
      <c r="AT221" s="14">
        <f t="shared" si="179"/>
        <v>0</v>
      </c>
      <c r="AU221" s="16">
        <v>478</v>
      </c>
      <c r="AV221" s="16">
        <v>2750</v>
      </c>
      <c r="AW221" s="16">
        <v>46</v>
      </c>
      <c r="AX221" s="16">
        <v>0</v>
      </c>
      <c r="AY221" s="18">
        <f t="shared" si="180"/>
        <v>2.8538880941520368</v>
      </c>
      <c r="AZ221" s="17">
        <f t="shared" si="181"/>
        <v>16.41881225715084</v>
      </c>
      <c r="BA221" s="17">
        <f t="shared" si="182"/>
        <v>0.27464195048325041</v>
      </c>
      <c r="BB221" s="17">
        <f t="shared" si="183"/>
        <v>0</v>
      </c>
      <c r="BC221" s="17">
        <f t="shared" si="151"/>
        <v>0</v>
      </c>
      <c r="BD221" s="17">
        <f t="shared" si="152"/>
        <v>8.3586680581858822E-2</v>
      </c>
      <c r="BE221" s="17">
        <f t="shared" si="153"/>
        <v>0</v>
      </c>
      <c r="BF221" s="17">
        <f t="shared" si="154"/>
        <v>0</v>
      </c>
      <c r="BG221" s="17">
        <f t="shared" si="155"/>
        <v>0</v>
      </c>
      <c r="BH221" s="17">
        <f t="shared" si="156"/>
        <v>0</v>
      </c>
      <c r="BI221" s="17">
        <f t="shared" si="157"/>
        <v>0.87168966892509914</v>
      </c>
      <c r="BJ221" s="17">
        <f t="shared" si="158"/>
        <v>0</v>
      </c>
      <c r="BK221" s="17">
        <f t="shared" si="159"/>
        <v>0</v>
      </c>
      <c r="BL221" s="17">
        <f t="shared" si="160"/>
        <v>0</v>
      </c>
      <c r="BM221" s="17">
        <f t="shared" si="161"/>
        <v>0</v>
      </c>
      <c r="BN221" s="17">
        <f t="shared" si="162"/>
        <v>0</v>
      </c>
      <c r="BO221" s="17">
        <f t="shared" si="163"/>
        <v>0</v>
      </c>
      <c r="BP221" s="17">
        <f t="shared" si="164"/>
        <v>0</v>
      </c>
      <c r="BQ221" s="17">
        <f t="shared" si="165"/>
        <v>0</v>
      </c>
      <c r="BR221" s="17">
        <f t="shared" si="166"/>
        <v>0</v>
      </c>
      <c r="BS221" s="17">
        <f t="shared" si="167"/>
        <v>0</v>
      </c>
      <c r="BT221" s="17">
        <f t="shared" si="168"/>
        <v>1.6836745660060135</v>
      </c>
      <c r="BU221" s="17">
        <f t="shared" si="169"/>
        <v>1.3612687980474152</v>
      </c>
      <c r="BV221" s="17">
        <f t="shared" si="170"/>
        <v>0</v>
      </c>
      <c r="BW221" s="17">
        <f t="shared" si="171"/>
        <v>0</v>
      </c>
      <c r="BX221" s="17">
        <f t="shared" si="172"/>
        <v>0</v>
      </c>
      <c r="BY221" s="17">
        <f t="shared" si="173"/>
        <v>0</v>
      </c>
      <c r="BZ221" s="17">
        <f t="shared" si="184"/>
        <v>0</v>
      </c>
      <c r="CA221" s="17">
        <f t="shared" si="185"/>
        <v>0</v>
      </c>
      <c r="CB221" s="17">
        <f t="shared" si="186"/>
        <v>0</v>
      </c>
      <c r="CC221" s="17">
        <f t="shared" si="187"/>
        <v>0</v>
      </c>
      <c r="CD221" s="17">
        <f t="shared" si="188"/>
        <v>0.60301819562626724</v>
      </c>
      <c r="CE221" s="17">
        <f t="shared" si="189"/>
        <v>0.54331342378208236</v>
      </c>
      <c r="CF221" s="17">
        <f t="shared" si="190"/>
        <v>0</v>
      </c>
      <c r="CG221" s="17">
        <f t="shared" si="191"/>
        <v>0</v>
      </c>
      <c r="CH221" s="17">
        <f t="shared" si="192"/>
        <v>0</v>
      </c>
      <c r="CI221" s="17">
        <f t="shared" si="193"/>
        <v>0</v>
      </c>
      <c r="CJ221" s="17">
        <f t="shared" si="194"/>
        <v>0</v>
      </c>
      <c r="CK221" s="17">
        <f t="shared" si="195"/>
        <v>0</v>
      </c>
      <c r="CL221" s="17">
        <f t="shared" si="196"/>
        <v>0</v>
      </c>
      <c r="CM221" s="14">
        <f t="shared" si="197"/>
        <v>2796</v>
      </c>
      <c r="CN221" s="17">
        <f t="shared" si="198"/>
        <v>16.69345420763409</v>
      </c>
      <c r="CO221" s="14">
        <f t="shared" si="199"/>
        <v>3274</v>
      </c>
      <c r="CP221" s="17">
        <f t="shared" si="200"/>
        <v>19.547342301786127</v>
      </c>
      <c r="CQ221" s="14">
        <f t="shared" si="174"/>
        <v>4136</v>
      </c>
      <c r="CR221" s="14">
        <v>128</v>
      </c>
      <c r="CS221" s="14">
        <v>690</v>
      </c>
      <c r="CT221" s="14">
        <v>25</v>
      </c>
      <c r="CU221" s="14">
        <v>134</v>
      </c>
    </row>
    <row r="222" spans="1:99" x14ac:dyDescent="0.3">
      <c r="A222" s="14">
        <v>2012</v>
      </c>
      <c r="B222" s="14" t="s">
        <v>41</v>
      </c>
      <c r="C222" s="14" t="s">
        <v>42</v>
      </c>
      <c r="D222" s="15">
        <v>81185.8</v>
      </c>
      <c r="E222" s="15">
        <v>2061013.9999999993</v>
      </c>
      <c r="F222" s="15">
        <f t="shared" si="175"/>
        <v>25.386385303833912</v>
      </c>
      <c r="AB222" s="14">
        <f t="shared" si="176"/>
        <v>0</v>
      </c>
      <c r="AM222" s="14">
        <f t="shared" si="177"/>
        <v>0</v>
      </c>
      <c r="AP222" s="14">
        <v>127</v>
      </c>
      <c r="AQ222" s="14">
        <f t="shared" si="178"/>
        <v>127</v>
      </c>
      <c r="AR222" s="14">
        <v>656</v>
      </c>
      <c r="AT222" s="14">
        <f t="shared" si="179"/>
        <v>656</v>
      </c>
      <c r="AU222" s="16">
        <v>0</v>
      </c>
      <c r="AV222" s="16">
        <v>4772</v>
      </c>
      <c r="AW222" s="16">
        <v>0</v>
      </c>
      <c r="AX222" s="16">
        <v>0</v>
      </c>
      <c r="AY222" s="18">
        <f t="shared" si="180"/>
        <v>0</v>
      </c>
      <c r="AZ222" s="17">
        <f t="shared" si="181"/>
        <v>23.15365155210009</v>
      </c>
      <c r="BA222" s="17">
        <f t="shared" si="182"/>
        <v>0</v>
      </c>
      <c r="BB222" s="17">
        <f t="shared" si="183"/>
        <v>0</v>
      </c>
      <c r="BC222" s="17">
        <f t="shared" si="151"/>
        <v>0</v>
      </c>
      <c r="BD222" s="17">
        <f t="shared" si="152"/>
        <v>0</v>
      </c>
      <c r="BE222" s="17">
        <f t="shared" si="153"/>
        <v>0</v>
      </c>
      <c r="BF222" s="17">
        <f t="shared" si="154"/>
        <v>0</v>
      </c>
      <c r="BG222" s="17">
        <f t="shared" si="155"/>
        <v>0</v>
      </c>
      <c r="BH222" s="17">
        <f t="shared" si="156"/>
        <v>0</v>
      </c>
      <c r="BI222" s="17">
        <f t="shared" si="157"/>
        <v>0</v>
      </c>
      <c r="BJ222" s="17">
        <f t="shared" si="158"/>
        <v>0</v>
      </c>
      <c r="BK222" s="17">
        <f t="shared" si="159"/>
        <v>0</v>
      </c>
      <c r="BL222" s="17">
        <f t="shared" si="160"/>
        <v>0</v>
      </c>
      <c r="BM222" s="17">
        <f t="shared" si="161"/>
        <v>0</v>
      </c>
      <c r="BN222" s="17">
        <f t="shared" si="162"/>
        <v>0</v>
      </c>
      <c r="BO222" s="17">
        <f t="shared" si="163"/>
        <v>0</v>
      </c>
      <c r="BP222" s="17">
        <f t="shared" si="164"/>
        <v>0</v>
      </c>
      <c r="BQ222" s="17">
        <f t="shared" si="165"/>
        <v>0</v>
      </c>
      <c r="BR222" s="17">
        <f t="shared" si="166"/>
        <v>0</v>
      </c>
      <c r="BS222" s="17">
        <f t="shared" si="167"/>
        <v>0</v>
      </c>
      <c r="BT222" s="17">
        <f t="shared" si="168"/>
        <v>0</v>
      </c>
      <c r="BU222" s="17">
        <f t="shared" si="169"/>
        <v>0</v>
      </c>
      <c r="BV222" s="17">
        <f t="shared" si="170"/>
        <v>0</v>
      </c>
      <c r="BW222" s="17">
        <f t="shared" si="171"/>
        <v>0</v>
      </c>
      <c r="BX222" s="17">
        <f t="shared" si="172"/>
        <v>0</v>
      </c>
      <c r="BY222" s="17">
        <f t="shared" si="173"/>
        <v>0</v>
      </c>
      <c r="BZ222" s="17">
        <f t="shared" si="184"/>
        <v>0</v>
      </c>
      <c r="CA222" s="17">
        <f t="shared" si="185"/>
        <v>0</v>
      </c>
      <c r="CB222" s="17">
        <f t="shared" si="186"/>
        <v>0</v>
      </c>
      <c r="CC222" s="17">
        <f t="shared" si="187"/>
        <v>0</v>
      </c>
      <c r="CD222" s="17">
        <f t="shared" si="188"/>
        <v>0</v>
      </c>
      <c r="CE222" s="17">
        <f t="shared" si="189"/>
        <v>0</v>
      </c>
      <c r="CF222" s="17">
        <f t="shared" si="190"/>
        <v>0</v>
      </c>
      <c r="CG222" s="17">
        <f t="shared" si="191"/>
        <v>0</v>
      </c>
      <c r="CH222" s="17">
        <f t="shared" si="192"/>
        <v>0</v>
      </c>
      <c r="CI222" s="17">
        <f t="shared" si="193"/>
        <v>0</v>
      </c>
      <c r="CJ222" s="17">
        <f t="shared" si="194"/>
        <v>0.61620153963049273</v>
      </c>
      <c r="CK222" s="17">
        <f t="shared" si="195"/>
        <v>3.1828992913197105</v>
      </c>
      <c r="CL222" s="17">
        <f t="shared" si="196"/>
        <v>0</v>
      </c>
      <c r="CM222" s="14">
        <f t="shared" si="197"/>
        <v>4772</v>
      </c>
      <c r="CN222" s="17">
        <f t="shared" si="198"/>
        <v>23.15365155210009</v>
      </c>
      <c r="CO222" s="14">
        <f t="shared" si="199"/>
        <v>4772</v>
      </c>
      <c r="CP222" s="17">
        <f t="shared" si="200"/>
        <v>23.15365155210009</v>
      </c>
      <c r="CQ222" s="14">
        <f t="shared" si="174"/>
        <v>6338</v>
      </c>
      <c r="CR222" s="14">
        <v>228</v>
      </c>
      <c r="CS222" s="14">
        <v>886</v>
      </c>
      <c r="CT222" s="14">
        <v>0</v>
      </c>
      <c r="CU222" s="14">
        <v>0</v>
      </c>
    </row>
    <row r="223" spans="1:99" x14ac:dyDescent="0.3">
      <c r="A223" s="14">
        <v>2013</v>
      </c>
      <c r="B223" s="14" t="s">
        <v>41</v>
      </c>
      <c r="C223" s="14" t="s">
        <v>42</v>
      </c>
      <c r="D223" s="15">
        <v>82489.399999999994</v>
      </c>
      <c r="E223" s="15">
        <v>2124869.5</v>
      </c>
      <c r="F223" s="15">
        <f t="shared" si="175"/>
        <v>25.759303619616581</v>
      </c>
      <c r="AB223" s="14">
        <f t="shared" si="176"/>
        <v>0</v>
      </c>
      <c r="AM223" s="14">
        <f t="shared" si="177"/>
        <v>0</v>
      </c>
      <c r="AQ223" s="14">
        <f t="shared" si="178"/>
        <v>0</v>
      </c>
      <c r="AT223" s="14">
        <f t="shared" si="179"/>
        <v>0</v>
      </c>
      <c r="AU223" s="16">
        <v>0</v>
      </c>
      <c r="AV223" s="16">
        <v>0</v>
      </c>
      <c r="AW223" s="16">
        <v>518</v>
      </c>
      <c r="AX223" s="16">
        <v>0</v>
      </c>
      <c r="AY223" s="18">
        <f t="shared" si="180"/>
        <v>0</v>
      </c>
      <c r="AZ223" s="17">
        <f t="shared" si="181"/>
        <v>0</v>
      </c>
      <c r="BA223" s="17">
        <f t="shared" si="182"/>
        <v>2.4377967682250605</v>
      </c>
      <c r="BB223" s="17">
        <f t="shared" si="183"/>
        <v>0</v>
      </c>
      <c r="BC223" s="17">
        <f t="shared" si="151"/>
        <v>0</v>
      </c>
      <c r="BD223" s="17">
        <f t="shared" si="152"/>
        <v>0</v>
      </c>
      <c r="BE223" s="17">
        <f t="shared" si="153"/>
        <v>0</v>
      </c>
      <c r="BF223" s="17">
        <f t="shared" si="154"/>
        <v>0</v>
      </c>
      <c r="BG223" s="17">
        <f t="shared" si="155"/>
        <v>0</v>
      </c>
      <c r="BH223" s="17">
        <f t="shared" si="156"/>
        <v>0</v>
      </c>
      <c r="BI223" s="17">
        <f t="shared" si="157"/>
        <v>0</v>
      </c>
      <c r="BJ223" s="17">
        <f t="shared" si="158"/>
        <v>0</v>
      </c>
      <c r="BK223" s="17">
        <f t="shared" si="159"/>
        <v>0</v>
      </c>
      <c r="BL223" s="17">
        <f t="shared" si="160"/>
        <v>0</v>
      </c>
      <c r="BM223" s="17">
        <f t="shared" si="161"/>
        <v>0</v>
      </c>
      <c r="BN223" s="17">
        <f t="shared" si="162"/>
        <v>0</v>
      </c>
      <c r="BO223" s="17">
        <f t="shared" si="163"/>
        <v>0</v>
      </c>
      <c r="BP223" s="17">
        <f t="shared" si="164"/>
        <v>0</v>
      </c>
      <c r="BQ223" s="17">
        <f t="shared" si="165"/>
        <v>0</v>
      </c>
      <c r="BR223" s="17">
        <f t="shared" si="166"/>
        <v>0</v>
      </c>
      <c r="BS223" s="17">
        <f t="shared" si="167"/>
        <v>0</v>
      </c>
      <c r="BT223" s="17">
        <f t="shared" si="168"/>
        <v>0</v>
      </c>
      <c r="BU223" s="17">
        <f t="shared" si="169"/>
        <v>0</v>
      </c>
      <c r="BV223" s="17">
        <f t="shared" si="170"/>
        <v>0</v>
      </c>
      <c r="BW223" s="17">
        <f t="shared" si="171"/>
        <v>0</v>
      </c>
      <c r="BX223" s="17">
        <f t="shared" si="172"/>
        <v>0</v>
      </c>
      <c r="BY223" s="17">
        <f t="shared" si="173"/>
        <v>0</v>
      </c>
      <c r="BZ223" s="17">
        <f t="shared" si="184"/>
        <v>0</v>
      </c>
      <c r="CA223" s="17">
        <f t="shared" si="185"/>
        <v>0</v>
      </c>
      <c r="CB223" s="17">
        <f t="shared" si="186"/>
        <v>0</v>
      </c>
      <c r="CC223" s="17">
        <f t="shared" si="187"/>
        <v>0</v>
      </c>
      <c r="CD223" s="17">
        <f t="shared" si="188"/>
        <v>0</v>
      </c>
      <c r="CE223" s="17">
        <f t="shared" si="189"/>
        <v>0</v>
      </c>
      <c r="CF223" s="17">
        <f t="shared" si="190"/>
        <v>0</v>
      </c>
      <c r="CG223" s="17">
        <f t="shared" si="191"/>
        <v>0</v>
      </c>
      <c r="CH223" s="17">
        <f t="shared" si="192"/>
        <v>0</v>
      </c>
      <c r="CI223" s="17">
        <f t="shared" si="193"/>
        <v>0</v>
      </c>
      <c r="CJ223" s="17">
        <f t="shared" si="194"/>
        <v>0</v>
      </c>
      <c r="CK223" s="17">
        <f t="shared" si="195"/>
        <v>0</v>
      </c>
      <c r="CL223" s="17">
        <f t="shared" si="196"/>
        <v>0</v>
      </c>
      <c r="CM223" s="14">
        <f t="shared" si="197"/>
        <v>518</v>
      </c>
      <c r="CN223" s="17"/>
      <c r="CO223" s="14">
        <f t="shared" si="199"/>
        <v>518</v>
      </c>
      <c r="CP223" s="17"/>
      <c r="CQ223" s="14">
        <f t="shared" si="174"/>
        <v>518</v>
      </c>
      <c r="CR223" s="14">
        <v>0</v>
      </c>
      <c r="CS223" s="14">
        <v>0</v>
      </c>
      <c r="CT223" s="14">
        <v>0</v>
      </c>
      <c r="CU223" s="14">
        <v>0</v>
      </c>
    </row>
    <row r="224" spans="1:99" x14ac:dyDescent="0.3">
      <c r="A224" s="14">
        <v>2014</v>
      </c>
      <c r="B224" s="14" t="s">
        <v>41</v>
      </c>
      <c r="C224" s="14" t="s">
        <v>42</v>
      </c>
      <c r="D224" s="15">
        <v>83366.8</v>
      </c>
      <c r="E224" s="15">
        <v>2189019</v>
      </c>
      <c r="F224" s="15">
        <f t="shared" si="175"/>
        <v>26.257682914541519</v>
      </c>
      <c r="AB224" s="14">
        <f t="shared" si="176"/>
        <v>0</v>
      </c>
      <c r="AM224" s="14">
        <f t="shared" si="177"/>
        <v>0</v>
      </c>
      <c r="AQ224" s="14">
        <f t="shared" si="178"/>
        <v>0</v>
      </c>
      <c r="AT224" s="14">
        <f t="shared" si="179"/>
        <v>0</v>
      </c>
      <c r="AU224" s="16">
        <v>0</v>
      </c>
      <c r="AV224" s="16">
        <v>0</v>
      </c>
      <c r="AW224" s="16">
        <v>0</v>
      </c>
      <c r="AX224" s="16">
        <v>0</v>
      </c>
      <c r="AY224" s="18">
        <f t="shared" si="180"/>
        <v>0</v>
      </c>
      <c r="AZ224" s="17">
        <f t="shared" si="181"/>
        <v>0</v>
      </c>
      <c r="BA224" s="17">
        <f t="shared" si="182"/>
        <v>0</v>
      </c>
      <c r="BB224" s="17">
        <f t="shared" si="183"/>
        <v>0</v>
      </c>
      <c r="BC224" s="17">
        <f t="shared" si="151"/>
        <v>0</v>
      </c>
      <c r="BD224" s="17">
        <f t="shared" si="152"/>
        <v>0</v>
      </c>
      <c r="BE224" s="17">
        <f t="shared" si="153"/>
        <v>0</v>
      </c>
      <c r="BF224" s="17">
        <f t="shared" si="154"/>
        <v>0</v>
      </c>
      <c r="BG224" s="17">
        <f t="shared" si="155"/>
        <v>0</v>
      </c>
      <c r="BH224" s="17">
        <f t="shared" si="156"/>
        <v>0</v>
      </c>
      <c r="BI224" s="17">
        <f t="shared" si="157"/>
        <v>0</v>
      </c>
      <c r="BJ224" s="17">
        <f t="shared" si="158"/>
        <v>0</v>
      </c>
      <c r="BK224" s="17">
        <f t="shared" si="159"/>
        <v>0</v>
      </c>
      <c r="BL224" s="17">
        <f t="shared" si="160"/>
        <v>0</v>
      </c>
      <c r="BM224" s="17">
        <f t="shared" si="161"/>
        <v>0</v>
      </c>
      <c r="BN224" s="17">
        <f t="shared" si="162"/>
        <v>0</v>
      </c>
      <c r="BO224" s="17">
        <f t="shared" si="163"/>
        <v>0</v>
      </c>
      <c r="BP224" s="17">
        <f t="shared" si="164"/>
        <v>0</v>
      </c>
      <c r="BQ224" s="17">
        <f t="shared" si="165"/>
        <v>0</v>
      </c>
      <c r="BR224" s="17">
        <f t="shared" si="166"/>
        <v>0</v>
      </c>
      <c r="BS224" s="17">
        <f t="shared" si="167"/>
        <v>0</v>
      </c>
      <c r="BT224" s="17">
        <f t="shared" si="168"/>
        <v>0</v>
      </c>
      <c r="BU224" s="17">
        <f t="shared" si="169"/>
        <v>0</v>
      </c>
      <c r="BV224" s="17">
        <f t="shared" si="170"/>
        <v>0</v>
      </c>
      <c r="BW224" s="17">
        <f t="shared" si="171"/>
        <v>0</v>
      </c>
      <c r="BX224" s="17">
        <f t="shared" si="172"/>
        <v>0</v>
      </c>
      <c r="BY224" s="17">
        <f t="shared" si="173"/>
        <v>0</v>
      </c>
      <c r="BZ224" s="17">
        <f t="shared" si="184"/>
        <v>0</v>
      </c>
      <c r="CA224" s="17">
        <f t="shared" si="185"/>
        <v>0</v>
      </c>
      <c r="CB224" s="17">
        <f t="shared" si="186"/>
        <v>0</v>
      </c>
      <c r="CC224" s="17">
        <f t="shared" si="187"/>
        <v>0</v>
      </c>
      <c r="CD224" s="17">
        <f t="shared" si="188"/>
        <v>0</v>
      </c>
      <c r="CE224" s="17">
        <f t="shared" si="189"/>
        <v>0</v>
      </c>
      <c r="CF224" s="17">
        <f t="shared" si="190"/>
        <v>0</v>
      </c>
      <c r="CG224" s="17">
        <f t="shared" si="191"/>
        <v>0</v>
      </c>
      <c r="CH224" s="17">
        <f t="shared" si="192"/>
        <v>0</v>
      </c>
      <c r="CI224" s="17">
        <f t="shared" si="193"/>
        <v>0</v>
      </c>
      <c r="CJ224" s="17">
        <f t="shared" si="194"/>
        <v>0</v>
      </c>
      <c r="CK224" s="17">
        <f t="shared" si="195"/>
        <v>0</v>
      </c>
      <c r="CL224" s="17">
        <f t="shared" si="196"/>
        <v>0</v>
      </c>
      <c r="CM224" s="14">
        <f t="shared" si="197"/>
        <v>0</v>
      </c>
      <c r="CN224" s="17"/>
      <c r="CO224" s="14">
        <f t="shared" si="199"/>
        <v>0</v>
      </c>
      <c r="CP224" s="17"/>
      <c r="CQ224" s="14">
        <f t="shared" si="174"/>
        <v>0</v>
      </c>
      <c r="CR224" s="14">
        <v>0</v>
      </c>
      <c r="CS224" s="14">
        <v>124</v>
      </c>
      <c r="CT224" s="14">
        <v>0</v>
      </c>
      <c r="CU224" s="14">
        <v>0</v>
      </c>
    </row>
    <row r="225" spans="1:99" x14ac:dyDescent="0.3">
      <c r="A225" s="14">
        <v>2015</v>
      </c>
      <c r="B225" s="14" t="s">
        <v>41</v>
      </c>
      <c r="C225" s="14" t="s">
        <v>42</v>
      </c>
      <c r="D225" s="15">
        <v>83965.3</v>
      </c>
      <c r="E225" s="15">
        <v>2253133.5000000009</v>
      </c>
      <c r="F225" s="15">
        <f t="shared" si="175"/>
        <v>26.834102897268288</v>
      </c>
      <c r="G225" s="14">
        <v>17</v>
      </c>
      <c r="H225" s="14">
        <v>5</v>
      </c>
      <c r="O225" s="14">
        <v>3</v>
      </c>
      <c r="T225" s="14">
        <v>172</v>
      </c>
      <c r="V225" s="14">
        <v>32</v>
      </c>
      <c r="Y225" s="14">
        <v>141</v>
      </c>
      <c r="Z225" s="14">
        <v>11</v>
      </c>
      <c r="AB225" s="14">
        <f t="shared" si="176"/>
        <v>3</v>
      </c>
      <c r="AF225" s="14">
        <v>17</v>
      </c>
      <c r="AJ225" s="14">
        <v>99</v>
      </c>
      <c r="AK225" s="14">
        <v>5</v>
      </c>
      <c r="AL225" s="14">
        <v>15</v>
      </c>
      <c r="AM225" s="14">
        <f t="shared" si="177"/>
        <v>20</v>
      </c>
      <c r="AQ225" s="14">
        <f t="shared" si="178"/>
        <v>0</v>
      </c>
      <c r="AT225" s="14">
        <f t="shared" si="179"/>
        <v>0</v>
      </c>
      <c r="AU225" s="16">
        <v>426</v>
      </c>
      <c r="AV225" s="16">
        <v>4744</v>
      </c>
      <c r="AW225" s="16">
        <v>1700</v>
      </c>
      <c r="AX225" s="16">
        <v>0</v>
      </c>
      <c r="AY225" s="18">
        <f t="shared" si="180"/>
        <v>1.8907002181628378</v>
      </c>
      <c r="AZ225" s="17">
        <f t="shared" si="181"/>
        <v>21.055121678320429</v>
      </c>
      <c r="BA225" s="17">
        <f t="shared" si="182"/>
        <v>7.5450478189596817</v>
      </c>
      <c r="BB225" s="17">
        <f t="shared" si="183"/>
        <v>0</v>
      </c>
      <c r="BC225" s="17">
        <f t="shared" si="151"/>
        <v>7.5450478189596812E-2</v>
      </c>
      <c r="BD225" s="17">
        <f t="shared" si="152"/>
        <v>2.2191317114587297E-2</v>
      </c>
      <c r="BE225" s="17">
        <f t="shared" si="153"/>
        <v>0</v>
      </c>
      <c r="BF225" s="17">
        <f t="shared" si="154"/>
        <v>0</v>
      </c>
      <c r="BG225" s="17">
        <f t="shared" si="155"/>
        <v>0</v>
      </c>
      <c r="BH225" s="17">
        <f t="shared" si="156"/>
        <v>0</v>
      </c>
      <c r="BI225" s="17">
        <f t="shared" si="157"/>
        <v>0</v>
      </c>
      <c r="BJ225" s="17">
        <f t="shared" si="158"/>
        <v>0</v>
      </c>
      <c r="BK225" s="17">
        <f t="shared" si="159"/>
        <v>1.3314790268752378E-2</v>
      </c>
      <c r="BL225" s="17">
        <f t="shared" si="160"/>
        <v>0</v>
      </c>
      <c r="BM225" s="17">
        <f t="shared" si="161"/>
        <v>0</v>
      </c>
      <c r="BN225" s="17">
        <f t="shared" si="162"/>
        <v>0</v>
      </c>
      <c r="BO225" s="17">
        <f t="shared" si="163"/>
        <v>0</v>
      </c>
      <c r="BP225" s="17">
        <f t="shared" si="164"/>
        <v>0.7633813087418031</v>
      </c>
      <c r="BQ225" s="17">
        <f t="shared" si="165"/>
        <v>0</v>
      </c>
      <c r="BR225" s="17">
        <f t="shared" si="166"/>
        <v>0.1420244295333587</v>
      </c>
      <c r="BS225" s="17">
        <f t="shared" si="167"/>
        <v>0</v>
      </c>
      <c r="BT225" s="17">
        <f t="shared" si="168"/>
        <v>0</v>
      </c>
      <c r="BU225" s="17">
        <f t="shared" si="169"/>
        <v>0.62579514263136182</v>
      </c>
      <c r="BV225" s="17">
        <f t="shared" si="170"/>
        <v>4.8820897652092056E-2</v>
      </c>
      <c r="BW225" s="17">
        <f t="shared" si="171"/>
        <v>0</v>
      </c>
      <c r="BX225" s="17">
        <f t="shared" si="172"/>
        <v>0</v>
      </c>
      <c r="BY225" s="17">
        <f t="shared" si="173"/>
        <v>0</v>
      </c>
      <c r="BZ225" s="17">
        <f t="shared" si="184"/>
        <v>0</v>
      </c>
      <c r="CA225" s="17">
        <f t="shared" si="185"/>
        <v>7.5450478189596812E-2</v>
      </c>
      <c r="CB225" s="17">
        <f t="shared" si="186"/>
        <v>0</v>
      </c>
      <c r="CC225" s="17">
        <f t="shared" si="187"/>
        <v>0</v>
      </c>
      <c r="CD225" s="17">
        <f t="shared" si="188"/>
        <v>0</v>
      </c>
      <c r="CE225" s="17">
        <f t="shared" si="189"/>
        <v>0.43938807886882847</v>
      </c>
      <c r="CF225" s="17">
        <f t="shared" si="190"/>
        <v>2.2191317114587297E-2</v>
      </c>
      <c r="CG225" s="17">
        <f t="shared" si="191"/>
        <v>6.65739513437619E-2</v>
      </c>
      <c r="CH225" s="17">
        <f t="shared" si="192"/>
        <v>0</v>
      </c>
      <c r="CI225" s="17">
        <f t="shared" si="193"/>
        <v>0</v>
      </c>
      <c r="CJ225" s="17">
        <f t="shared" si="194"/>
        <v>0</v>
      </c>
      <c r="CK225" s="17">
        <f t="shared" si="195"/>
        <v>0</v>
      </c>
      <c r="CL225" s="17">
        <f t="shared" si="196"/>
        <v>0</v>
      </c>
      <c r="CM225" s="14">
        <f t="shared" si="197"/>
        <v>6444</v>
      </c>
      <c r="CN225" s="17">
        <f t="shared" si="198"/>
        <v>28.60016949728011</v>
      </c>
      <c r="CO225" s="14">
        <f t="shared" si="199"/>
        <v>6870</v>
      </c>
      <c r="CP225" s="17">
        <f t="shared" si="200"/>
        <v>30.490869715442948</v>
      </c>
      <c r="CQ225" s="14">
        <f t="shared" si="174"/>
        <v>7410</v>
      </c>
      <c r="CR225" s="14">
        <v>15</v>
      </c>
      <c r="CS225" s="14">
        <v>156</v>
      </c>
      <c r="CT225" s="14">
        <v>0</v>
      </c>
      <c r="CU225" s="14">
        <v>0</v>
      </c>
    </row>
    <row r="226" spans="1:99" x14ac:dyDescent="0.3">
      <c r="A226" s="14">
        <v>2016</v>
      </c>
      <c r="B226" s="14" t="s">
        <v>41</v>
      </c>
      <c r="C226" s="14" t="s">
        <v>42</v>
      </c>
      <c r="D226" s="15">
        <v>84366.1</v>
      </c>
      <c r="E226" s="15">
        <v>2317205.5</v>
      </c>
      <c r="F226" s="15">
        <f t="shared" si="175"/>
        <v>27.466073458415167</v>
      </c>
      <c r="AB226" s="14">
        <f t="shared" si="176"/>
        <v>0</v>
      </c>
      <c r="AM226" s="14">
        <f t="shared" si="177"/>
        <v>0</v>
      </c>
      <c r="AQ226" s="14">
        <f t="shared" si="178"/>
        <v>0</v>
      </c>
      <c r="AT226" s="14">
        <f t="shared" si="179"/>
        <v>0</v>
      </c>
      <c r="AU226" s="16">
        <v>1</v>
      </c>
      <c r="AV226" s="16">
        <v>0</v>
      </c>
      <c r="AW226" s="16">
        <v>0</v>
      </c>
      <c r="AX226" s="16">
        <v>0</v>
      </c>
      <c r="AY226" s="18"/>
      <c r="AZ226" s="17">
        <f t="shared" si="181"/>
        <v>0</v>
      </c>
      <c r="BA226" s="17">
        <f t="shared" si="182"/>
        <v>0</v>
      </c>
      <c r="BB226" s="17">
        <f t="shared" si="183"/>
        <v>0</v>
      </c>
      <c r="BC226" s="17">
        <f t="shared" si="151"/>
        <v>0</v>
      </c>
      <c r="BD226" s="17">
        <f t="shared" si="152"/>
        <v>0</v>
      </c>
      <c r="BE226" s="17">
        <f t="shared" si="153"/>
        <v>0</v>
      </c>
      <c r="BF226" s="17">
        <f t="shared" si="154"/>
        <v>0</v>
      </c>
      <c r="BG226" s="17">
        <f t="shared" si="155"/>
        <v>0</v>
      </c>
      <c r="BH226" s="17">
        <f t="shared" si="156"/>
        <v>0</v>
      </c>
      <c r="BI226" s="17">
        <f t="shared" si="157"/>
        <v>0</v>
      </c>
      <c r="BJ226" s="17">
        <f t="shared" si="158"/>
        <v>0</v>
      </c>
      <c r="BK226" s="17">
        <f t="shared" si="159"/>
        <v>0</v>
      </c>
      <c r="BL226" s="17">
        <f t="shared" si="160"/>
        <v>0</v>
      </c>
      <c r="BM226" s="17">
        <f t="shared" si="161"/>
        <v>0</v>
      </c>
      <c r="BN226" s="17">
        <f t="shared" si="162"/>
        <v>0</v>
      </c>
      <c r="BO226" s="17">
        <f t="shared" si="163"/>
        <v>0</v>
      </c>
      <c r="BP226" s="17">
        <f t="shared" si="164"/>
        <v>0</v>
      </c>
      <c r="BQ226" s="17">
        <f t="shared" si="165"/>
        <v>0</v>
      </c>
      <c r="BR226" s="17">
        <f t="shared" si="166"/>
        <v>0</v>
      </c>
      <c r="BS226" s="17">
        <f t="shared" si="167"/>
        <v>0</v>
      </c>
      <c r="BT226" s="17">
        <f t="shared" si="168"/>
        <v>0</v>
      </c>
      <c r="BU226" s="17">
        <f t="shared" si="169"/>
        <v>0</v>
      </c>
      <c r="BV226" s="17">
        <f t="shared" si="170"/>
        <v>0</v>
      </c>
      <c r="BW226" s="17">
        <f t="shared" si="171"/>
        <v>0</v>
      </c>
      <c r="BX226" s="17">
        <f t="shared" si="172"/>
        <v>0</v>
      </c>
      <c r="BY226" s="17">
        <f t="shared" si="173"/>
        <v>0</v>
      </c>
      <c r="BZ226" s="17">
        <f t="shared" si="184"/>
        <v>0</v>
      </c>
      <c r="CA226" s="17">
        <f t="shared" si="185"/>
        <v>0</v>
      </c>
      <c r="CB226" s="17">
        <f t="shared" si="186"/>
        <v>0</v>
      </c>
      <c r="CC226" s="17">
        <f t="shared" si="187"/>
        <v>0</v>
      </c>
      <c r="CD226" s="17">
        <f t="shared" si="188"/>
        <v>0</v>
      </c>
      <c r="CE226" s="17">
        <f t="shared" si="189"/>
        <v>0</v>
      </c>
      <c r="CF226" s="17">
        <f t="shared" si="190"/>
        <v>0</v>
      </c>
      <c r="CG226" s="17">
        <f t="shared" si="191"/>
        <v>0</v>
      </c>
      <c r="CH226" s="17">
        <f t="shared" si="192"/>
        <v>0</v>
      </c>
      <c r="CI226" s="17">
        <f t="shared" si="193"/>
        <v>0</v>
      </c>
      <c r="CJ226" s="17">
        <f t="shared" si="194"/>
        <v>0</v>
      </c>
      <c r="CK226" s="17">
        <f t="shared" si="195"/>
        <v>0</v>
      </c>
      <c r="CL226" s="17">
        <f t="shared" si="196"/>
        <v>0</v>
      </c>
      <c r="CM226" s="14">
        <f t="shared" si="197"/>
        <v>0</v>
      </c>
      <c r="CN226" s="17"/>
      <c r="CO226" s="14">
        <f t="shared" si="199"/>
        <v>1</v>
      </c>
      <c r="CP226" s="17"/>
      <c r="CQ226" s="14">
        <f t="shared" si="174"/>
        <v>1</v>
      </c>
      <c r="CR226" s="14">
        <v>6433</v>
      </c>
      <c r="CS226" s="14">
        <v>0</v>
      </c>
      <c r="CT226" s="14">
        <v>3652</v>
      </c>
      <c r="CU226" s="14">
        <v>3831</v>
      </c>
    </row>
    <row r="227" spans="1:99" x14ac:dyDescent="0.3">
      <c r="A227" s="14">
        <v>2017</v>
      </c>
      <c r="B227" s="14" t="s">
        <v>41</v>
      </c>
      <c r="C227" s="14" t="s">
        <v>42</v>
      </c>
      <c r="D227" s="15">
        <v>84719.8</v>
      </c>
      <c r="E227" s="15">
        <v>2381181.5</v>
      </c>
      <c r="F227" s="15">
        <f t="shared" si="175"/>
        <v>28.106552423400434</v>
      </c>
      <c r="AB227" s="14">
        <f t="shared" si="176"/>
        <v>0</v>
      </c>
      <c r="AJ227" s="14">
        <v>74</v>
      </c>
      <c r="AM227" s="14">
        <f t="shared" si="177"/>
        <v>0</v>
      </c>
      <c r="AQ227" s="14">
        <f t="shared" si="178"/>
        <v>0</v>
      </c>
      <c r="AT227" s="14">
        <f t="shared" si="179"/>
        <v>0</v>
      </c>
      <c r="AU227" s="16">
        <v>464</v>
      </c>
      <c r="AV227" s="16">
        <v>2648</v>
      </c>
      <c r="AW227" s="16">
        <v>844</v>
      </c>
      <c r="AX227" s="16">
        <v>0</v>
      </c>
      <c r="AY227" s="18">
        <f t="shared" si="180"/>
        <v>1.9486124850205664</v>
      </c>
      <c r="AZ227" s="17">
        <f t="shared" si="181"/>
        <v>11.120529871410474</v>
      </c>
      <c r="BA227" s="17">
        <f t="shared" si="182"/>
        <v>3.5444589167184444</v>
      </c>
      <c r="BB227" s="17">
        <f t="shared" si="183"/>
        <v>0</v>
      </c>
      <c r="BC227" s="17">
        <f t="shared" si="151"/>
        <v>0</v>
      </c>
      <c r="BD227" s="17">
        <f t="shared" si="152"/>
        <v>0</v>
      </c>
      <c r="BE227" s="17">
        <f t="shared" si="153"/>
        <v>0</v>
      </c>
      <c r="BF227" s="17">
        <f t="shared" si="154"/>
        <v>0</v>
      </c>
      <c r="BG227" s="17">
        <f t="shared" si="155"/>
        <v>0</v>
      </c>
      <c r="BH227" s="17">
        <f t="shared" si="156"/>
        <v>0</v>
      </c>
      <c r="BI227" s="17">
        <f t="shared" si="157"/>
        <v>0</v>
      </c>
      <c r="BJ227" s="17">
        <f t="shared" si="158"/>
        <v>0</v>
      </c>
      <c r="BK227" s="17">
        <f t="shared" si="159"/>
        <v>0</v>
      </c>
      <c r="BL227" s="17">
        <f t="shared" si="160"/>
        <v>0</v>
      </c>
      <c r="BM227" s="17">
        <f t="shared" si="161"/>
        <v>0</v>
      </c>
      <c r="BN227" s="17">
        <f t="shared" si="162"/>
        <v>0</v>
      </c>
      <c r="BO227" s="17">
        <f t="shared" si="163"/>
        <v>0</v>
      </c>
      <c r="BP227" s="17">
        <f t="shared" si="164"/>
        <v>0</v>
      </c>
      <c r="BQ227" s="17">
        <f t="shared" si="165"/>
        <v>0</v>
      </c>
      <c r="BR227" s="17">
        <f t="shared" si="166"/>
        <v>0</v>
      </c>
      <c r="BS227" s="17">
        <f t="shared" si="167"/>
        <v>0</v>
      </c>
      <c r="BT227" s="17">
        <f t="shared" si="168"/>
        <v>0</v>
      </c>
      <c r="BU227" s="17">
        <f t="shared" si="169"/>
        <v>0</v>
      </c>
      <c r="BV227" s="17">
        <f t="shared" si="170"/>
        <v>0</v>
      </c>
      <c r="BW227" s="17">
        <f t="shared" si="171"/>
        <v>0</v>
      </c>
      <c r="BX227" s="17">
        <f t="shared" si="172"/>
        <v>0</v>
      </c>
      <c r="BY227" s="17">
        <f t="shared" si="173"/>
        <v>0</v>
      </c>
      <c r="BZ227" s="17">
        <f t="shared" si="184"/>
        <v>0</v>
      </c>
      <c r="CA227" s="17">
        <f t="shared" si="185"/>
        <v>0</v>
      </c>
      <c r="CB227" s="17">
        <f t="shared" si="186"/>
        <v>0</v>
      </c>
      <c r="CC227" s="17">
        <f t="shared" si="187"/>
        <v>0</v>
      </c>
      <c r="CD227" s="17">
        <f t="shared" si="188"/>
        <v>0</v>
      </c>
      <c r="CE227" s="17">
        <f t="shared" si="189"/>
        <v>0.31077009459379723</v>
      </c>
      <c r="CF227" s="17">
        <f t="shared" si="190"/>
        <v>0</v>
      </c>
      <c r="CG227" s="17">
        <f t="shared" si="191"/>
        <v>0</v>
      </c>
      <c r="CH227" s="17">
        <f t="shared" si="192"/>
        <v>0</v>
      </c>
      <c r="CI227" s="17">
        <f t="shared" si="193"/>
        <v>0</v>
      </c>
      <c r="CJ227" s="17">
        <f t="shared" si="194"/>
        <v>0</v>
      </c>
      <c r="CK227" s="17">
        <f t="shared" si="195"/>
        <v>0</v>
      </c>
      <c r="CL227" s="17">
        <f t="shared" si="196"/>
        <v>0</v>
      </c>
      <c r="CM227" s="14">
        <f t="shared" si="197"/>
        <v>3492</v>
      </c>
      <c r="CN227" s="17">
        <f t="shared" si="198"/>
        <v>14.664988788128918</v>
      </c>
      <c r="CO227" s="14">
        <f t="shared" si="199"/>
        <v>3956</v>
      </c>
      <c r="CP227" s="17">
        <f t="shared" si="200"/>
        <v>16.613601273149484</v>
      </c>
      <c r="CQ227" s="14">
        <f t="shared" si="174"/>
        <v>4030</v>
      </c>
      <c r="CR227" s="14">
        <v>54</v>
      </c>
      <c r="CS227" s="14">
        <v>360</v>
      </c>
      <c r="CT227" s="14">
        <v>0</v>
      </c>
      <c r="CU227" s="14">
        <v>0</v>
      </c>
    </row>
    <row r="228" spans="1:99" x14ac:dyDescent="0.3">
      <c r="A228" s="14">
        <v>2018</v>
      </c>
      <c r="B228" s="14" t="s">
        <v>41</v>
      </c>
      <c r="C228" s="14" t="s">
        <v>42</v>
      </c>
      <c r="D228" s="15">
        <v>85148.1</v>
      </c>
      <c r="E228" s="15">
        <v>2444915.5000000014</v>
      </c>
      <c r="F228" s="15">
        <f t="shared" si="175"/>
        <v>28.713682395731688</v>
      </c>
      <c r="G228" s="14">
        <v>4</v>
      </c>
      <c r="H228" s="14">
        <v>2</v>
      </c>
      <c r="M228" s="14">
        <v>1553</v>
      </c>
      <c r="N228" s="14">
        <v>10</v>
      </c>
      <c r="O228" s="14">
        <v>7</v>
      </c>
      <c r="Z228" s="14">
        <v>138</v>
      </c>
      <c r="AB228" s="14">
        <f t="shared" si="176"/>
        <v>7</v>
      </c>
      <c r="AJ228" s="14">
        <v>76</v>
      </c>
      <c r="AM228" s="14">
        <f t="shared" si="177"/>
        <v>0</v>
      </c>
      <c r="AQ228" s="14">
        <f t="shared" si="178"/>
        <v>0</v>
      </c>
      <c r="AT228" s="14">
        <f t="shared" si="179"/>
        <v>0</v>
      </c>
      <c r="AU228" s="16">
        <v>596</v>
      </c>
      <c r="AV228" s="16">
        <v>2996</v>
      </c>
      <c r="AW228" s="16">
        <v>0</v>
      </c>
      <c r="AX228" s="16">
        <v>0</v>
      </c>
      <c r="AY228" s="18">
        <f t="shared" si="180"/>
        <v>2.4377120599873479</v>
      </c>
      <c r="AZ228" s="17">
        <f t="shared" si="181"/>
        <v>12.254002234433043</v>
      </c>
      <c r="BA228" s="17">
        <f t="shared" si="182"/>
        <v>0</v>
      </c>
      <c r="BB228" s="17">
        <f t="shared" si="183"/>
        <v>0</v>
      </c>
      <c r="BC228" s="17">
        <f t="shared" si="151"/>
        <v>1.6360483624076161E-2</v>
      </c>
      <c r="BD228" s="17">
        <f t="shared" si="152"/>
        <v>8.1802418120380804E-3</v>
      </c>
      <c r="BE228" s="17">
        <f t="shared" si="153"/>
        <v>0</v>
      </c>
      <c r="BF228" s="17">
        <f t="shared" si="154"/>
        <v>0</v>
      </c>
      <c r="BG228" s="17">
        <f t="shared" si="155"/>
        <v>0</v>
      </c>
      <c r="BH228" s="17">
        <f t="shared" si="156"/>
        <v>0</v>
      </c>
      <c r="BI228" s="17">
        <f t="shared" si="157"/>
        <v>6.3519577670475691</v>
      </c>
      <c r="BJ228" s="17">
        <f t="shared" si="158"/>
        <v>4.0901209060190402E-2</v>
      </c>
      <c r="BK228" s="17">
        <f t="shared" si="159"/>
        <v>2.8630846342133282E-2</v>
      </c>
      <c r="BL228" s="17">
        <f t="shared" si="160"/>
        <v>0</v>
      </c>
      <c r="BM228" s="17">
        <f t="shared" si="161"/>
        <v>0</v>
      </c>
      <c r="BN228" s="17">
        <f t="shared" si="162"/>
        <v>0</v>
      </c>
      <c r="BO228" s="17">
        <f t="shared" si="163"/>
        <v>0</v>
      </c>
      <c r="BP228" s="17">
        <f t="shared" si="164"/>
        <v>0</v>
      </c>
      <c r="BQ228" s="17">
        <f t="shared" si="165"/>
        <v>0</v>
      </c>
      <c r="BR228" s="17">
        <f t="shared" si="166"/>
        <v>0</v>
      </c>
      <c r="BS228" s="17">
        <f t="shared" si="167"/>
        <v>0</v>
      </c>
      <c r="BT228" s="17">
        <f t="shared" si="168"/>
        <v>0</v>
      </c>
      <c r="BU228" s="17">
        <f t="shared" si="169"/>
        <v>0</v>
      </c>
      <c r="BV228" s="17">
        <f t="shared" si="170"/>
        <v>0.56443668503062749</v>
      </c>
      <c r="BW228" s="17">
        <f t="shared" si="171"/>
        <v>0</v>
      </c>
      <c r="BX228" s="17">
        <f t="shared" si="172"/>
        <v>0</v>
      </c>
      <c r="BY228" s="17">
        <f t="shared" si="173"/>
        <v>0</v>
      </c>
      <c r="BZ228" s="17">
        <f t="shared" si="184"/>
        <v>0</v>
      </c>
      <c r="CA228" s="17">
        <f t="shared" si="185"/>
        <v>0</v>
      </c>
      <c r="CB228" s="17">
        <f t="shared" si="186"/>
        <v>0</v>
      </c>
      <c r="CC228" s="17">
        <f t="shared" si="187"/>
        <v>0</v>
      </c>
      <c r="CD228" s="17">
        <f t="shared" si="188"/>
        <v>0</v>
      </c>
      <c r="CE228" s="17">
        <f t="shared" si="189"/>
        <v>0.31084918885744706</v>
      </c>
      <c r="CF228" s="17">
        <f t="shared" si="190"/>
        <v>0</v>
      </c>
      <c r="CG228" s="17">
        <f t="shared" si="191"/>
        <v>0</v>
      </c>
      <c r="CH228" s="17">
        <f t="shared" si="192"/>
        <v>0</v>
      </c>
      <c r="CI228" s="17">
        <f t="shared" si="193"/>
        <v>0</v>
      </c>
      <c r="CJ228" s="17">
        <f t="shared" si="194"/>
        <v>0</v>
      </c>
      <c r="CK228" s="17">
        <f t="shared" si="195"/>
        <v>0</v>
      </c>
      <c r="CL228" s="17">
        <f t="shared" si="196"/>
        <v>0</v>
      </c>
      <c r="CM228" s="14">
        <f t="shared" si="197"/>
        <v>2996</v>
      </c>
      <c r="CN228" s="17">
        <f t="shared" si="198"/>
        <v>12.254002234433043</v>
      </c>
      <c r="CO228" s="14">
        <f t="shared" si="199"/>
        <v>3592</v>
      </c>
      <c r="CP228" s="17">
        <f t="shared" si="200"/>
        <v>14.691714294420391</v>
      </c>
      <c r="CQ228" s="14">
        <f t="shared" si="174"/>
        <v>5389</v>
      </c>
      <c r="CR228" s="14">
        <v>27</v>
      </c>
      <c r="CS228" s="14">
        <v>157</v>
      </c>
      <c r="CT228" s="14">
        <v>0</v>
      </c>
      <c r="CU228" s="14">
        <v>0</v>
      </c>
    </row>
    <row r="229" spans="1:99" x14ac:dyDescent="0.3">
      <c r="A229" s="14">
        <v>2019</v>
      </c>
      <c r="B229" s="14" t="s">
        <v>41</v>
      </c>
      <c r="C229" s="14" t="s">
        <v>42</v>
      </c>
      <c r="D229" s="15">
        <v>85715.6</v>
      </c>
      <c r="E229" s="15">
        <v>2508883.5000000009</v>
      </c>
      <c r="F229" s="15">
        <f t="shared" si="175"/>
        <v>29.269858695500012</v>
      </c>
      <c r="G229" s="14">
        <v>12</v>
      </c>
      <c r="H229" s="14">
        <v>2</v>
      </c>
      <c r="I229" s="14">
        <v>0</v>
      </c>
      <c r="J229" s="14">
        <v>0</v>
      </c>
      <c r="K229" s="14">
        <v>0</v>
      </c>
      <c r="L229" s="14">
        <v>10</v>
      </c>
      <c r="M229" s="14">
        <v>0</v>
      </c>
      <c r="N229" s="14">
        <v>6</v>
      </c>
      <c r="O229" s="14">
        <v>95</v>
      </c>
      <c r="P229" s="14">
        <v>0</v>
      </c>
      <c r="Q229" s="14">
        <v>4</v>
      </c>
      <c r="R229" s="14">
        <v>0</v>
      </c>
      <c r="S229" s="14">
        <v>106</v>
      </c>
      <c r="T229" s="14">
        <v>43</v>
      </c>
      <c r="U229" s="14">
        <v>0</v>
      </c>
      <c r="V229" s="14">
        <v>149</v>
      </c>
      <c r="W229" s="14">
        <v>246</v>
      </c>
      <c r="X229" s="14">
        <v>0</v>
      </c>
      <c r="Y229" s="14">
        <v>0</v>
      </c>
      <c r="Z229" s="14">
        <v>22</v>
      </c>
      <c r="AA229" s="14">
        <v>0</v>
      </c>
      <c r="AB229" s="14">
        <f t="shared" si="176"/>
        <v>95</v>
      </c>
      <c r="AC229" s="14">
        <v>0</v>
      </c>
      <c r="AD229" s="14">
        <v>0</v>
      </c>
      <c r="AE229" s="14">
        <v>0</v>
      </c>
      <c r="AF229" s="14">
        <v>16</v>
      </c>
      <c r="AG229" s="14">
        <v>0</v>
      </c>
      <c r="AH229" s="14">
        <v>0</v>
      </c>
      <c r="AI229" s="14">
        <v>0</v>
      </c>
      <c r="AJ229" s="14">
        <v>81</v>
      </c>
      <c r="AK229" s="14">
        <v>3</v>
      </c>
      <c r="AL229" s="14">
        <v>20</v>
      </c>
      <c r="AM229" s="14">
        <f t="shared" si="177"/>
        <v>23</v>
      </c>
      <c r="AN229" s="14">
        <v>0</v>
      </c>
      <c r="AO229" s="14">
        <v>0</v>
      </c>
      <c r="AP229" s="14">
        <v>0</v>
      </c>
      <c r="AQ229" s="14">
        <f t="shared" si="178"/>
        <v>0</v>
      </c>
      <c r="AR229" s="14">
        <v>0</v>
      </c>
      <c r="AS229" s="14">
        <v>0</v>
      </c>
      <c r="AT229" s="14">
        <f t="shared" si="179"/>
        <v>0</v>
      </c>
      <c r="AU229" s="16">
        <v>457</v>
      </c>
      <c r="AV229" s="16">
        <v>1498</v>
      </c>
      <c r="AW229" s="16">
        <v>682</v>
      </c>
      <c r="AX229" s="16">
        <v>0</v>
      </c>
      <c r="AY229" s="18">
        <f t="shared" si="180"/>
        <v>1.8215273845915916</v>
      </c>
      <c r="AZ229" s="17">
        <f t="shared" si="181"/>
        <v>5.9707834182017594</v>
      </c>
      <c r="BA229" s="17">
        <f t="shared" si="182"/>
        <v>2.7183406483401868</v>
      </c>
      <c r="BB229" s="17">
        <f t="shared" si="183"/>
        <v>0</v>
      </c>
      <c r="BC229" s="17">
        <f t="shared" si="151"/>
        <v>4.7830040733258423E-2</v>
      </c>
      <c r="BD229" s="17">
        <f t="shared" si="152"/>
        <v>7.9716734555430706E-3</v>
      </c>
      <c r="BE229" s="17">
        <f t="shared" si="153"/>
        <v>0</v>
      </c>
      <c r="BF229" s="17">
        <f t="shared" si="154"/>
        <v>0</v>
      </c>
      <c r="BG229" s="17">
        <f t="shared" si="155"/>
        <v>0</v>
      </c>
      <c r="BH229" s="17">
        <f t="shared" si="156"/>
        <v>3.9858367277715349E-2</v>
      </c>
      <c r="BI229" s="17">
        <f t="shared" si="157"/>
        <v>0</v>
      </c>
      <c r="BJ229" s="17">
        <f t="shared" si="158"/>
        <v>2.3915020366629212E-2</v>
      </c>
      <c r="BK229" s="17">
        <f t="shared" si="159"/>
        <v>0.37865448913829586</v>
      </c>
      <c r="BL229" s="17">
        <f t="shared" si="160"/>
        <v>0</v>
      </c>
      <c r="BM229" s="17">
        <f t="shared" si="161"/>
        <v>1.5943346911086141E-2</v>
      </c>
      <c r="BN229" s="17">
        <f t="shared" si="162"/>
        <v>0</v>
      </c>
      <c r="BO229" s="17">
        <f t="shared" si="163"/>
        <v>0.42249869314378274</v>
      </c>
      <c r="BP229" s="17">
        <f t="shared" si="164"/>
        <v>0.17139097929417602</v>
      </c>
      <c r="BQ229" s="17">
        <f t="shared" si="165"/>
        <v>0</v>
      </c>
      <c r="BR229" s="17">
        <f t="shared" si="166"/>
        <v>0.59388967243795876</v>
      </c>
      <c r="BS229" s="17">
        <f t="shared" si="167"/>
        <v>0.98051583503179762</v>
      </c>
      <c r="BT229" s="17">
        <f t="shared" si="168"/>
        <v>0</v>
      </c>
      <c r="BU229" s="17">
        <f t="shared" si="169"/>
        <v>0</v>
      </c>
      <c r="BV229" s="17">
        <f t="shared" si="170"/>
        <v>8.7688408010973773E-2</v>
      </c>
      <c r="BW229" s="17">
        <f t="shared" si="171"/>
        <v>0</v>
      </c>
      <c r="BX229" s="17">
        <f t="shared" si="172"/>
        <v>0</v>
      </c>
      <c r="BY229" s="17">
        <f t="shared" si="173"/>
        <v>0</v>
      </c>
      <c r="BZ229" s="17">
        <f t="shared" si="184"/>
        <v>0</v>
      </c>
      <c r="CA229" s="17">
        <f t="shared" si="185"/>
        <v>6.3773387644344565E-2</v>
      </c>
      <c r="CB229" s="17">
        <f t="shared" si="186"/>
        <v>0</v>
      </c>
      <c r="CC229" s="17">
        <f t="shared" si="187"/>
        <v>0</v>
      </c>
      <c r="CD229" s="17">
        <f t="shared" si="188"/>
        <v>0</v>
      </c>
      <c r="CE229" s="17">
        <f t="shared" si="189"/>
        <v>0.32285277494949433</v>
      </c>
      <c r="CF229" s="17">
        <f t="shared" si="190"/>
        <v>1.1957510183314606E-2</v>
      </c>
      <c r="CG229" s="17">
        <f t="shared" si="191"/>
        <v>7.9716734555430699E-2</v>
      </c>
      <c r="CH229" s="17">
        <f t="shared" si="192"/>
        <v>0</v>
      </c>
      <c r="CI229" s="17">
        <f t="shared" si="193"/>
        <v>0</v>
      </c>
      <c r="CJ229" s="17">
        <f t="shared" si="194"/>
        <v>0</v>
      </c>
      <c r="CK229" s="17">
        <f t="shared" si="195"/>
        <v>0</v>
      </c>
      <c r="CL229" s="17">
        <f t="shared" si="196"/>
        <v>0</v>
      </c>
      <c r="CM229" s="14">
        <f t="shared" si="197"/>
        <v>2180</v>
      </c>
      <c r="CN229" s="17">
        <f t="shared" si="198"/>
        <v>8.6891240665419467</v>
      </c>
      <c r="CO229" s="14">
        <f t="shared" si="199"/>
        <v>2637</v>
      </c>
      <c r="CP229" s="17">
        <f t="shared" si="200"/>
        <v>10.510651451133539</v>
      </c>
      <c r="CQ229" s="14">
        <f t="shared" si="174"/>
        <v>3570</v>
      </c>
      <c r="CR229" s="14">
        <v>30</v>
      </c>
      <c r="CS229" s="14">
        <v>60</v>
      </c>
      <c r="CT229" s="14">
        <v>0</v>
      </c>
      <c r="CU229" s="14">
        <v>0</v>
      </c>
    </row>
    <row r="230" spans="1:99" x14ac:dyDescent="0.3">
      <c r="A230" s="14">
        <v>2020</v>
      </c>
      <c r="B230" s="14" t="s">
        <v>41</v>
      </c>
      <c r="C230" s="14" t="s">
        <v>42</v>
      </c>
      <c r="D230" s="15">
        <v>86528</v>
      </c>
      <c r="E230" s="15">
        <v>2573994.9999999995</v>
      </c>
      <c r="F230" s="15">
        <f t="shared" si="175"/>
        <v>29.747538369082836</v>
      </c>
      <c r="G230" s="14">
        <v>8</v>
      </c>
      <c r="H230" s="14">
        <v>0</v>
      </c>
      <c r="I230" s="14">
        <v>0</v>
      </c>
      <c r="J230" s="14">
        <v>0</v>
      </c>
      <c r="K230" s="14">
        <v>0</v>
      </c>
      <c r="L230" s="14">
        <v>10</v>
      </c>
      <c r="M230" s="14">
        <v>0</v>
      </c>
      <c r="N230" s="14">
        <v>17</v>
      </c>
      <c r="O230" s="14">
        <v>4</v>
      </c>
      <c r="P230" s="14">
        <v>0</v>
      </c>
      <c r="Q230" s="14">
        <v>9</v>
      </c>
      <c r="R230" s="14">
        <v>0</v>
      </c>
      <c r="S230" s="14">
        <v>237</v>
      </c>
      <c r="T230" s="14">
        <v>67</v>
      </c>
      <c r="U230" s="14">
        <v>0</v>
      </c>
      <c r="V230" s="14">
        <v>173</v>
      </c>
      <c r="W230" s="14">
        <v>479</v>
      </c>
      <c r="X230" s="14">
        <v>0</v>
      </c>
      <c r="Y230" s="14">
        <v>0</v>
      </c>
      <c r="Z230" s="14">
        <v>13</v>
      </c>
      <c r="AA230" s="14">
        <v>0</v>
      </c>
      <c r="AB230" s="14">
        <f t="shared" si="176"/>
        <v>4</v>
      </c>
      <c r="AC230" s="14">
        <v>0</v>
      </c>
      <c r="AD230" s="14">
        <v>0</v>
      </c>
      <c r="AE230" s="14">
        <v>0</v>
      </c>
      <c r="AF230" s="14">
        <v>20</v>
      </c>
      <c r="AG230" s="14">
        <v>0</v>
      </c>
      <c r="AH230" s="14">
        <v>2253</v>
      </c>
      <c r="AI230" s="14">
        <v>0</v>
      </c>
      <c r="AJ230" s="14">
        <v>81</v>
      </c>
      <c r="AK230" s="14">
        <v>7</v>
      </c>
      <c r="AL230" s="14">
        <v>25</v>
      </c>
      <c r="AM230" s="14">
        <f t="shared" si="177"/>
        <v>32</v>
      </c>
      <c r="AN230" s="14">
        <v>0</v>
      </c>
      <c r="AO230" s="14">
        <v>0</v>
      </c>
      <c r="AP230" s="14">
        <v>0</v>
      </c>
      <c r="AQ230" s="14">
        <f t="shared" si="178"/>
        <v>0</v>
      </c>
      <c r="AR230" s="14">
        <v>0</v>
      </c>
      <c r="AS230" s="14">
        <v>0</v>
      </c>
      <c r="AT230" s="14">
        <f t="shared" si="179"/>
        <v>0</v>
      </c>
      <c r="AU230" s="16">
        <v>466</v>
      </c>
      <c r="AV230" s="16">
        <v>2458</v>
      </c>
      <c r="AW230" s="16">
        <v>1080</v>
      </c>
      <c r="AX230" s="16">
        <v>0</v>
      </c>
      <c r="AY230" s="18">
        <f t="shared" si="180"/>
        <v>1.8104153271471004</v>
      </c>
      <c r="AZ230" s="17">
        <f t="shared" si="181"/>
        <v>9.5493580989862075</v>
      </c>
      <c r="BA230" s="17">
        <f t="shared" si="182"/>
        <v>4.1958123461778296</v>
      </c>
      <c r="BB230" s="17">
        <f t="shared" si="183"/>
        <v>0</v>
      </c>
      <c r="BC230" s="17">
        <f t="shared" si="151"/>
        <v>3.1080091453169107E-2</v>
      </c>
      <c r="BD230" s="17">
        <f t="shared" si="152"/>
        <v>0</v>
      </c>
      <c r="BE230" s="17">
        <f t="shared" si="153"/>
        <v>0</v>
      </c>
      <c r="BF230" s="17">
        <f t="shared" si="154"/>
        <v>0</v>
      </c>
      <c r="BG230" s="17">
        <f t="shared" si="155"/>
        <v>0</v>
      </c>
      <c r="BH230" s="17">
        <f t="shared" si="156"/>
        <v>3.8850114316461383E-2</v>
      </c>
      <c r="BI230" s="17">
        <f t="shared" si="157"/>
        <v>0</v>
      </c>
      <c r="BJ230" s="17">
        <f t="shared" si="158"/>
        <v>6.604519433798435E-2</v>
      </c>
      <c r="BK230" s="17">
        <f t="shared" si="159"/>
        <v>1.5540045726584554E-2</v>
      </c>
      <c r="BL230" s="17">
        <f t="shared" si="160"/>
        <v>0</v>
      </c>
      <c r="BM230" s="17">
        <f t="shared" si="161"/>
        <v>3.4965102884815247E-2</v>
      </c>
      <c r="BN230" s="17">
        <f t="shared" si="162"/>
        <v>0</v>
      </c>
      <c r="BO230" s="17">
        <f t="shared" si="163"/>
        <v>0.92074770930013483</v>
      </c>
      <c r="BP230" s="17">
        <f t="shared" si="164"/>
        <v>0.26029576592029124</v>
      </c>
      <c r="BQ230" s="17">
        <f t="shared" si="165"/>
        <v>0</v>
      </c>
      <c r="BR230" s="17">
        <f t="shared" si="166"/>
        <v>0.67210697767478189</v>
      </c>
      <c r="BS230" s="17">
        <f t="shared" si="167"/>
        <v>1.8609204757585003</v>
      </c>
      <c r="BT230" s="17">
        <f t="shared" si="168"/>
        <v>0</v>
      </c>
      <c r="BU230" s="17">
        <f t="shared" si="169"/>
        <v>0</v>
      </c>
      <c r="BV230" s="17">
        <f t="shared" si="170"/>
        <v>5.0505148611399799E-2</v>
      </c>
      <c r="BW230" s="17">
        <f t="shared" si="171"/>
        <v>0</v>
      </c>
      <c r="BX230" s="17">
        <f t="shared" si="172"/>
        <v>0</v>
      </c>
      <c r="BY230" s="17">
        <f t="shared" si="173"/>
        <v>0</v>
      </c>
      <c r="BZ230" s="17">
        <f t="shared" si="184"/>
        <v>0</v>
      </c>
      <c r="CA230" s="17">
        <f t="shared" si="185"/>
        <v>7.7700228632922766E-2</v>
      </c>
      <c r="CB230" s="17">
        <f t="shared" si="186"/>
        <v>0</v>
      </c>
      <c r="CC230" s="17">
        <f t="shared" si="187"/>
        <v>8.752930755498749</v>
      </c>
      <c r="CD230" s="17">
        <f t="shared" si="188"/>
        <v>0</v>
      </c>
      <c r="CE230" s="17">
        <f t="shared" si="189"/>
        <v>0.31468592596333722</v>
      </c>
      <c r="CF230" s="17">
        <f t="shared" si="190"/>
        <v>2.7195080021522967E-2</v>
      </c>
      <c r="CG230" s="17">
        <f t="shared" si="191"/>
        <v>9.7125285791153454E-2</v>
      </c>
      <c r="CH230" s="17">
        <f t="shared" si="192"/>
        <v>0</v>
      </c>
      <c r="CI230" s="17">
        <f t="shared" si="193"/>
        <v>0</v>
      </c>
      <c r="CJ230" s="17">
        <f t="shared" si="194"/>
        <v>0</v>
      </c>
      <c r="CK230" s="17">
        <f t="shared" si="195"/>
        <v>0</v>
      </c>
      <c r="CL230" s="17">
        <f t="shared" si="196"/>
        <v>0</v>
      </c>
      <c r="CM230" s="14">
        <f t="shared" si="197"/>
        <v>3538</v>
      </c>
      <c r="CN230" s="17">
        <f t="shared" si="198"/>
        <v>13.745170445164037</v>
      </c>
      <c r="CO230" s="14">
        <f t="shared" si="199"/>
        <v>4004</v>
      </c>
      <c r="CP230" s="17">
        <f t="shared" si="200"/>
        <v>15.555585772311138</v>
      </c>
      <c r="CQ230" s="14">
        <f t="shared" si="174"/>
        <v>7443</v>
      </c>
      <c r="CR230" s="14">
        <v>26</v>
      </c>
      <c r="CS230" s="14">
        <v>324</v>
      </c>
      <c r="CT230" s="14">
        <v>0</v>
      </c>
      <c r="CU230" s="14">
        <v>0</v>
      </c>
    </row>
    <row r="231" spans="1:99" x14ac:dyDescent="0.3">
      <c r="A231" s="14">
        <v>2021</v>
      </c>
      <c r="B231" s="14" t="s">
        <v>41</v>
      </c>
      <c r="C231" s="14" t="s">
        <v>42</v>
      </c>
      <c r="D231" s="15">
        <v>87525.9</v>
      </c>
      <c r="E231" s="15">
        <v>2639915.5000000005</v>
      </c>
      <c r="F231" s="15">
        <f t="shared" si="175"/>
        <v>30.161535042770204</v>
      </c>
      <c r="G231" s="14">
        <v>9</v>
      </c>
      <c r="H231" s="14">
        <v>4</v>
      </c>
      <c r="I231" s="14">
        <v>0</v>
      </c>
      <c r="J231" s="14">
        <v>0</v>
      </c>
      <c r="K231" s="14">
        <v>0</v>
      </c>
      <c r="L231" s="14">
        <v>3</v>
      </c>
      <c r="M231" s="14">
        <v>0</v>
      </c>
      <c r="N231" s="14">
        <v>16</v>
      </c>
      <c r="O231" s="14">
        <v>6</v>
      </c>
      <c r="P231" s="14">
        <v>0</v>
      </c>
      <c r="Q231" s="14">
        <v>2</v>
      </c>
      <c r="R231" s="14">
        <v>0</v>
      </c>
      <c r="S231" s="14">
        <v>252</v>
      </c>
      <c r="T231" s="14">
        <v>44</v>
      </c>
      <c r="U231" s="14">
        <v>0</v>
      </c>
      <c r="V231" s="14">
        <v>172</v>
      </c>
      <c r="W231" s="14">
        <v>522</v>
      </c>
      <c r="X231" s="14">
        <v>0</v>
      </c>
      <c r="Y231" s="14">
        <v>0</v>
      </c>
      <c r="Z231" s="14">
        <v>18</v>
      </c>
      <c r="AA231" s="14">
        <v>0</v>
      </c>
      <c r="AB231" s="14">
        <f t="shared" si="176"/>
        <v>6</v>
      </c>
      <c r="AC231" s="14">
        <v>0</v>
      </c>
      <c r="AD231" s="14">
        <v>0</v>
      </c>
      <c r="AE231" s="14">
        <v>0</v>
      </c>
      <c r="AF231" s="14">
        <v>18</v>
      </c>
      <c r="AG231" s="14">
        <v>0</v>
      </c>
      <c r="AH231" s="14">
        <v>2193</v>
      </c>
      <c r="AI231" s="14">
        <v>0</v>
      </c>
      <c r="AJ231" s="14">
        <v>94</v>
      </c>
      <c r="AK231" s="14">
        <v>1</v>
      </c>
      <c r="AL231" s="14">
        <v>23</v>
      </c>
      <c r="AM231" s="14">
        <f t="shared" si="177"/>
        <v>24</v>
      </c>
      <c r="AN231" s="14">
        <v>0</v>
      </c>
      <c r="AO231" s="14">
        <v>0</v>
      </c>
      <c r="AP231" s="14">
        <v>0</v>
      </c>
      <c r="AQ231" s="14">
        <f t="shared" si="178"/>
        <v>0</v>
      </c>
      <c r="AR231" s="14">
        <v>0</v>
      </c>
      <c r="AS231" s="14">
        <v>0</v>
      </c>
      <c r="AT231" s="14">
        <f t="shared" si="179"/>
        <v>0</v>
      </c>
      <c r="AU231" s="16">
        <v>651</v>
      </c>
      <c r="AV231" s="16">
        <v>2808</v>
      </c>
      <c r="AW231" s="16">
        <v>758</v>
      </c>
      <c r="AX231" s="16">
        <v>0</v>
      </c>
      <c r="AY231" s="18">
        <f t="shared" si="180"/>
        <v>2.4659880212074965</v>
      </c>
      <c r="AZ231" s="17">
        <f t="shared" si="181"/>
        <v>10.636704091475654</v>
      </c>
      <c r="BA231" s="17">
        <f t="shared" si="182"/>
        <v>2.871304024693214</v>
      </c>
      <c r="BB231" s="17">
        <f t="shared" si="183"/>
        <v>0</v>
      </c>
      <c r="BC231" s="17">
        <f t="shared" si="151"/>
        <v>3.4092000293191198E-2</v>
      </c>
      <c r="BD231" s="17">
        <f t="shared" si="152"/>
        <v>1.5152000130307198E-2</v>
      </c>
      <c r="BE231" s="17">
        <f t="shared" si="153"/>
        <v>0</v>
      </c>
      <c r="BF231" s="17">
        <f t="shared" si="154"/>
        <v>0</v>
      </c>
      <c r="BG231" s="17">
        <f t="shared" si="155"/>
        <v>0</v>
      </c>
      <c r="BH231" s="17">
        <f t="shared" si="156"/>
        <v>1.1364000097730399E-2</v>
      </c>
      <c r="BI231" s="17">
        <f t="shared" si="157"/>
        <v>0</v>
      </c>
      <c r="BJ231" s="17">
        <f t="shared" si="158"/>
        <v>6.0608000521228791E-2</v>
      </c>
      <c r="BK231" s="17">
        <f t="shared" si="159"/>
        <v>2.2728000195460799E-2</v>
      </c>
      <c r="BL231" s="17">
        <f t="shared" si="160"/>
        <v>0</v>
      </c>
      <c r="BM231" s="17">
        <f t="shared" si="161"/>
        <v>7.5760000651535989E-3</v>
      </c>
      <c r="BN231" s="17">
        <f t="shared" si="162"/>
        <v>0</v>
      </c>
      <c r="BO231" s="17">
        <f t="shared" si="163"/>
        <v>0.95457600820935351</v>
      </c>
      <c r="BP231" s="17">
        <f t="shared" si="164"/>
        <v>0.16667200143337918</v>
      </c>
      <c r="BQ231" s="17">
        <f t="shared" si="165"/>
        <v>0</v>
      </c>
      <c r="BR231" s="17">
        <f t="shared" si="166"/>
        <v>0.65153600560320957</v>
      </c>
      <c r="BS231" s="17">
        <f t="shared" si="167"/>
        <v>1.9773360170050893</v>
      </c>
      <c r="BT231" s="17">
        <f t="shared" si="168"/>
        <v>0</v>
      </c>
      <c r="BU231" s="17">
        <f t="shared" si="169"/>
        <v>0</v>
      </c>
      <c r="BV231" s="17">
        <f t="shared" si="170"/>
        <v>6.8184000586382396E-2</v>
      </c>
      <c r="BW231" s="17">
        <f t="shared" si="171"/>
        <v>0</v>
      </c>
      <c r="BX231" s="17">
        <f t="shared" si="172"/>
        <v>0</v>
      </c>
      <c r="BY231" s="17">
        <f t="shared" si="173"/>
        <v>0</v>
      </c>
      <c r="BZ231" s="17">
        <f t="shared" si="184"/>
        <v>0</v>
      </c>
      <c r="CA231" s="17">
        <f t="shared" si="185"/>
        <v>6.8184000586382396E-2</v>
      </c>
      <c r="CB231" s="17">
        <f t="shared" si="186"/>
        <v>0</v>
      </c>
      <c r="CC231" s="17">
        <f t="shared" si="187"/>
        <v>8.3070840714409222</v>
      </c>
      <c r="CD231" s="17">
        <f t="shared" si="188"/>
        <v>0</v>
      </c>
      <c r="CE231" s="17">
        <f t="shared" si="189"/>
        <v>0.35607200306221914</v>
      </c>
      <c r="CF231" s="17">
        <f t="shared" si="190"/>
        <v>3.7880000325767995E-3</v>
      </c>
      <c r="CG231" s="17">
        <f t="shared" si="191"/>
        <v>8.7124000749266392E-2</v>
      </c>
      <c r="CH231" s="17">
        <f t="shared" si="192"/>
        <v>0</v>
      </c>
      <c r="CI231" s="17">
        <f t="shared" si="193"/>
        <v>0</v>
      </c>
      <c r="CJ231" s="17">
        <f t="shared" si="194"/>
        <v>0</v>
      </c>
      <c r="CK231" s="17">
        <f t="shared" si="195"/>
        <v>0</v>
      </c>
      <c r="CL231" s="17">
        <f t="shared" si="196"/>
        <v>0</v>
      </c>
      <c r="CM231" s="14">
        <f t="shared" si="197"/>
        <v>3566</v>
      </c>
      <c r="CN231" s="17">
        <f t="shared" si="198"/>
        <v>13.508008116168867</v>
      </c>
      <c r="CO231" s="14">
        <f t="shared" si="199"/>
        <v>4217</v>
      </c>
      <c r="CP231" s="17">
        <f t="shared" si="200"/>
        <v>15.973996137376364</v>
      </c>
      <c r="CQ231" s="14">
        <f t="shared" si="174"/>
        <v>7624</v>
      </c>
      <c r="CR231" s="14">
        <v>513</v>
      </c>
      <c r="CS231" s="14">
        <v>1859</v>
      </c>
      <c r="CT231" s="14">
        <v>1</v>
      </c>
      <c r="CU231" s="14">
        <v>2742</v>
      </c>
    </row>
    <row r="232" spans="1:99" x14ac:dyDescent="0.3">
      <c r="A232" s="14">
        <v>2022</v>
      </c>
      <c r="B232" s="14" t="s">
        <v>41</v>
      </c>
      <c r="C232" s="14" t="s">
        <v>42</v>
      </c>
      <c r="D232" s="15">
        <v>88529.1</v>
      </c>
      <c r="E232" s="15">
        <v>2705991.9999999995</v>
      </c>
      <c r="F232" s="15">
        <f t="shared" si="175"/>
        <v>30.566130232883868</v>
      </c>
      <c r="AB232" s="14">
        <f t="shared" si="176"/>
        <v>0</v>
      </c>
      <c r="AM232" s="14">
        <f t="shared" si="177"/>
        <v>0</v>
      </c>
      <c r="AQ232" s="14">
        <f t="shared" si="178"/>
        <v>0</v>
      </c>
      <c r="AT232" s="14">
        <f t="shared" si="179"/>
        <v>0</v>
      </c>
      <c r="AU232" s="16">
        <v>0</v>
      </c>
      <c r="AV232" s="16">
        <v>0</v>
      </c>
      <c r="AW232" s="16">
        <v>0</v>
      </c>
      <c r="AX232" s="16">
        <v>0</v>
      </c>
      <c r="AY232" s="18">
        <f t="shared" si="180"/>
        <v>0</v>
      </c>
      <c r="AZ232" s="17">
        <f t="shared" si="181"/>
        <v>0</v>
      </c>
      <c r="BA232" s="17">
        <f t="shared" si="182"/>
        <v>0</v>
      </c>
      <c r="BB232" s="17">
        <f t="shared" si="183"/>
        <v>0</v>
      </c>
      <c r="BC232" s="17">
        <f t="shared" si="151"/>
        <v>0</v>
      </c>
      <c r="BD232" s="17">
        <f t="shared" si="152"/>
        <v>0</v>
      </c>
      <c r="BE232" s="17">
        <f t="shared" si="153"/>
        <v>0</v>
      </c>
      <c r="BF232" s="17">
        <f t="shared" si="154"/>
        <v>0</v>
      </c>
      <c r="BG232" s="17">
        <f t="shared" si="155"/>
        <v>0</v>
      </c>
      <c r="BH232" s="17">
        <f t="shared" si="156"/>
        <v>0</v>
      </c>
      <c r="BI232" s="17">
        <f t="shared" si="157"/>
        <v>0</v>
      </c>
      <c r="BJ232" s="17">
        <f t="shared" si="158"/>
        <v>0</v>
      </c>
      <c r="BK232" s="17">
        <f t="shared" si="159"/>
        <v>0</v>
      </c>
      <c r="BL232" s="17">
        <f t="shared" si="160"/>
        <v>0</v>
      </c>
      <c r="BM232" s="17">
        <f t="shared" si="161"/>
        <v>0</v>
      </c>
      <c r="BN232" s="17">
        <f t="shared" si="162"/>
        <v>0</v>
      </c>
      <c r="BO232" s="17">
        <f t="shared" si="163"/>
        <v>0</v>
      </c>
      <c r="BP232" s="17">
        <f t="shared" si="164"/>
        <v>0</v>
      </c>
      <c r="BQ232" s="17">
        <f t="shared" si="165"/>
        <v>0</v>
      </c>
      <c r="BR232" s="17">
        <f t="shared" si="166"/>
        <v>0</v>
      </c>
      <c r="BS232" s="17">
        <f t="shared" si="167"/>
        <v>0</v>
      </c>
      <c r="BT232" s="17">
        <f t="shared" si="168"/>
        <v>0</v>
      </c>
      <c r="BU232" s="17">
        <f t="shared" si="169"/>
        <v>0</v>
      </c>
      <c r="BV232" s="17">
        <f t="shared" si="170"/>
        <v>0</v>
      </c>
      <c r="BW232" s="17">
        <f t="shared" si="171"/>
        <v>0</v>
      </c>
      <c r="BX232" s="17">
        <f t="shared" si="172"/>
        <v>0</v>
      </c>
      <c r="BY232" s="17">
        <f t="shared" si="173"/>
        <v>0</v>
      </c>
      <c r="BZ232" s="17">
        <f t="shared" si="184"/>
        <v>0</v>
      </c>
      <c r="CA232" s="17">
        <f t="shared" si="185"/>
        <v>0</v>
      </c>
      <c r="CB232" s="17">
        <f t="shared" si="186"/>
        <v>0</v>
      </c>
      <c r="CC232" s="17">
        <f t="shared" si="187"/>
        <v>0</v>
      </c>
      <c r="CD232" s="17">
        <f t="shared" si="188"/>
        <v>0</v>
      </c>
      <c r="CE232" s="17">
        <f t="shared" si="189"/>
        <v>0</v>
      </c>
      <c r="CF232" s="17">
        <f t="shared" si="190"/>
        <v>0</v>
      </c>
      <c r="CG232" s="17">
        <f t="shared" si="191"/>
        <v>0</v>
      </c>
      <c r="CH232" s="17">
        <f t="shared" si="192"/>
        <v>0</v>
      </c>
      <c r="CI232" s="17">
        <f t="shared" si="193"/>
        <v>0</v>
      </c>
      <c r="CJ232" s="17">
        <f t="shared" si="194"/>
        <v>0</v>
      </c>
      <c r="CK232" s="17">
        <f t="shared" si="195"/>
        <v>0</v>
      </c>
      <c r="CL232" s="17">
        <f t="shared" si="196"/>
        <v>0</v>
      </c>
      <c r="CM232" s="14">
        <f t="shared" si="197"/>
        <v>0</v>
      </c>
      <c r="CN232" s="17">
        <f t="shared" si="198"/>
        <v>0</v>
      </c>
      <c r="CO232" s="14">
        <f t="shared" si="199"/>
        <v>0</v>
      </c>
      <c r="CP232" s="17">
        <f t="shared" si="200"/>
        <v>0</v>
      </c>
      <c r="CQ232" s="14">
        <f t="shared" si="174"/>
        <v>0</v>
      </c>
      <c r="CR232" s="14">
        <v>612</v>
      </c>
      <c r="CS232" s="14">
        <v>3224</v>
      </c>
      <c r="CT232" s="14">
        <v>59</v>
      </c>
      <c r="CU232" s="14">
        <v>2305</v>
      </c>
    </row>
    <row r="233" spans="1:99" x14ac:dyDescent="0.3">
      <c r="A233" s="14">
        <v>2012</v>
      </c>
      <c r="B233" s="14" t="s">
        <v>43</v>
      </c>
      <c r="C233" s="14" t="s">
        <v>44</v>
      </c>
      <c r="D233" s="15">
        <v>867829</v>
      </c>
      <c r="E233" s="15">
        <v>26858761.999999993</v>
      </c>
      <c r="F233" s="15">
        <f t="shared" si="175"/>
        <v>30.949371362330588</v>
      </c>
      <c r="AB233" s="14">
        <f t="shared" si="176"/>
        <v>0</v>
      </c>
      <c r="AM233" s="14">
        <f t="shared" si="177"/>
        <v>0</v>
      </c>
      <c r="AQ233" s="14">
        <f t="shared" si="178"/>
        <v>0</v>
      </c>
      <c r="AT233" s="14">
        <f t="shared" si="179"/>
        <v>0</v>
      </c>
      <c r="AU233" s="16">
        <v>4972</v>
      </c>
      <c r="AV233" s="16">
        <v>0</v>
      </c>
      <c r="AW233" s="16">
        <v>0</v>
      </c>
      <c r="AX233" s="16">
        <v>0</v>
      </c>
      <c r="AY233" s="18">
        <f t="shared" si="180"/>
        <v>1.8511649941274291</v>
      </c>
      <c r="AZ233" s="17">
        <f t="shared" si="181"/>
        <v>0</v>
      </c>
      <c r="BA233" s="17">
        <f t="shared" si="182"/>
        <v>0</v>
      </c>
      <c r="BB233" s="17">
        <f t="shared" si="183"/>
        <v>0</v>
      </c>
      <c r="BC233" s="17">
        <f t="shared" si="151"/>
        <v>0</v>
      </c>
      <c r="BD233" s="17">
        <f t="shared" si="152"/>
        <v>0</v>
      </c>
      <c r="BE233" s="17">
        <f t="shared" si="153"/>
        <v>0</v>
      </c>
      <c r="BF233" s="17">
        <f t="shared" si="154"/>
        <v>0</v>
      </c>
      <c r="BG233" s="17">
        <f t="shared" si="155"/>
        <v>0</v>
      </c>
      <c r="BH233" s="17">
        <f t="shared" si="156"/>
        <v>0</v>
      </c>
      <c r="BI233" s="17">
        <f t="shared" si="157"/>
        <v>0</v>
      </c>
      <c r="BJ233" s="17">
        <f t="shared" si="158"/>
        <v>0</v>
      </c>
      <c r="BK233" s="17">
        <f t="shared" si="159"/>
        <v>0</v>
      </c>
      <c r="BL233" s="17">
        <f t="shared" si="160"/>
        <v>0</v>
      </c>
      <c r="BM233" s="17">
        <f t="shared" si="161"/>
        <v>0</v>
      </c>
      <c r="BN233" s="17">
        <f t="shared" si="162"/>
        <v>0</v>
      </c>
      <c r="BO233" s="17">
        <f t="shared" si="163"/>
        <v>0</v>
      </c>
      <c r="BP233" s="17">
        <f t="shared" si="164"/>
        <v>0</v>
      </c>
      <c r="BQ233" s="17">
        <f t="shared" si="165"/>
        <v>0</v>
      </c>
      <c r="BR233" s="17">
        <f t="shared" si="166"/>
        <v>0</v>
      </c>
      <c r="BS233" s="17">
        <f t="shared" si="167"/>
        <v>0</v>
      </c>
      <c r="BT233" s="17">
        <f t="shared" si="168"/>
        <v>0</v>
      </c>
      <c r="BU233" s="17">
        <f t="shared" si="169"/>
        <v>0</v>
      </c>
      <c r="BV233" s="17">
        <f t="shared" si="170"/>
        <v>0</v>
      </c>
      <c r="BW233" s="17">
        <f t="shared" si="171"/>
        <v>0</v>
      </c>
      <c r="BX233" s="17">
        <f t="shared" si="172"/>
        <v>0</v>
      </c>
      <c r="BY233" s="17">
        <f t="shared" si="173"/>
        <v>0</v>
      </c>
      <c r="BZ233" s="17">
        <f t="shared" si="184"/>
        <v>0</v>
      </c>
      <c r="CA233" s="17">
        <f t="shared" si="185"/>
        <v>0</v>
      </c>
      <c r="CB233" s="17">
        <f t="shared" si="186"/>
        <v>0</v>
      </c>
      <c r="CC233" s="17">
        <f t="shared" si="187"/>
        <v>0</v>
      </c>
      <c r="CD233" s="17">
        <f t="shared" si="188"/>
        <v>0</v>
      </c>
      <c r="CE233" s="17">
        <f t="shared" si="189"/>
        <v>0</v>
      </c>
      <c r="CF233" s="17">
        <f t="shared" si="190"/>
        <v>0</v>
      </c>
      <c r="CG233" s="17">
        <f t="shared" si="191"/>
        <v>0</v>
      </c>
      <c r="CH233" s="17">
        <f t="shared" si="192"/>
        <v>0</v>
      </c>
      <c r="CI233" s="17">
        <f t="shared" si="193"/>
        <v>0</v>
      </c>
      <c r="CJ233" s="17">
        <f t="shared" si="194"/>
        <v>0</v>
      </c>
      <c r="CK233" s="17">
        <f t="shared" si="195"/>
        <v>0</v>
      </c>
      <c r="CL233" s="17">
        <f t="shared" si="196"/>
        <v>0</v>
      </c>
      <c r="CM233" s="14">
        <f t="shared" si="197"/>
        <v>0</v>
      </c>
      <c r="CN233" s="17"/>
      <c r="CO233" s="14">
        <f t="shared" si="199"/>
        <v>4972</v>
      </c>
      <c r="CP233" s="17"/>
      <c r="CQ233" s="14">
        <f t="shared" si="174"/>
        <v>4972</v>
      </c>
      <c r="CR233" s="14">
        <v>186</v>
      </c>
      <c r="CS233" s="14">
        <v>451</v>
      </c>
      <c r="CT233" s="14">
        <v>0</v>
      </c>
      <c r="CU233" s="14">
        <v>0</v>
      </c>
    </row>
    <row r="234" spans="1:99" x14ac:dyDescent="0.3">
      <c r="A234" s="14">
        <v>2013</v>
      </c>
      <c r="B234" s="14" t="s">
        <v>43</v>
      </c>
      <c r="C234" s="14" t="s">
        <v>44</v>
      </c>
      <c r="D234" s="15">
        <v>884877.4</v>
      </c>
      <c r="E234" s="15">
        <v>27525596.999999989</v>
      </c>
      <c r="F234" s="15">
        <f t="shared" si="175"/>
        <v>31.106678733121658</v>
      </c>
      <c r="M234" s="14">
        <v>5293</v>
      </c>
      <c r="S234" s="14">
        <v>1473</v>
      </c>
      <c r="T234" s="14">
        <v>3639</v>
      </c>
      <c r="Y234" s="14">
        <v>3987</v>
      </c>
      <c r="AB234" s="14">
        <f t="shared" si="176"/>
        <v>0</v>
      </c>
      <c r="AM234" s="14">
        <f t="shared" si="177"/>
        <v>0</v>
      </c>
      <c r="AO234" s="14">
        <v>3482</v>
      </c>
      <c r="AP234" s="14">
        <v>2636</v>
      </c>
      <c r="AQ234" s="14">
        <f t="shared" si="178"/>
        <v>6118</v>
      </c>
      <c r="AR234" s="14">
        <v>4472</v>
      </c>
      <c r="AS234" s="14">
        <v>4166</v>
      </c>
      <c r="AT234" s="14">
        <f t="shared" si="179"/>
        <v>8638</v>
      </c>
      <c r="AU234" s="16">
        <v>5460</v>
      </c>
      <c r="AV234" s="16">
        <v>0</v>
      </c>
      <c r="AW234" s="16">
        <v>22574</v>
      </c>
      <c r="AX234" s="16">
        <v>0</v>
      </c>
      <c r="AY234" s="18">
        <f t="shared" si="180"/>
        <v>1.9836082029392503</v>
      </c>
      <c r="AZ234" s="17">
        <f t="shared" si="181"/>
        <v>0</v>
      </c>
      <c r="BA234" s="17">
        <f t="shared" si="182"/>
        <v>8.2010936947162349</v>
      </c>
      <c r="BB234" s="17">
        <f t="shared" si="183"/>
        <v>0</v>
      </c>
      <c r="BC234" s="17">
        <f t="shared" si="151"/>
        <v>0</v>
      </c>
      <c r="BD234" s="17">
        <f t="shared" si="152"/>
        <v>0</v>
      </c>
      <c r="BE234" s="17">
        <f t="shared" si="153"/>
        <v>0</v>
      </c>
      <c r="BF234" s="17">
        <f t="shared" si="154"/>
        <v>0</v>
      </c>
      <c r="BG234" s="17">
        <f t="shared" si="155"/>
        <v>0</v>
      </c>
      <c r="BH234" s="17">
        <f t="shared" si="156"/>
        <v>0</v>
      </c>
      <c r="BI234" s="17">
        <f t="shared" si="157"/>
        <v>1.92293740259294</v>
      </c>
      <c r="BJ234" s="17">
        <f t="shared" si="158"/>
        <v>0</v>
      </c>
      <c r="BK234" s="17">
        <f t="shared" si="159"/>
        <v>0</v>
      </c>
      <c r="BL234" s="17">
        <f t="shared" si="160"/>
        <v>0</v>
      </c>
      <c r="BM234" s="17">
        <f t="shared" si="161"/>
        <v>0</v>
      </c>
      <c r="BN234" s="17">
        <f t="shared" si="162"/>
        <v>0</v>
      </c>
      <c r="BO234" s="17">
        <f t="shared" si="163"/>
        <v>0.53513825694679773</v>
      </c>
      <c r="BP234" s="17">
        <f t="shared" si="164"/>
        <v>1.3220421704205003</v>
      </c>
      <c r="BQ234" s="17">
        <f t="shared" si="165"/>
        <v>0</v>
      </c>
      <c r="BR234" s="17">
        <f t="shared" si="166"/>
        <v>0</v>
      </c>
      <c r="BS234" s="17">
        <f t="shared" si="167"/>
        <v>0</v>
      </c>
      <c r="BT234" s="17">
        <f t="shared" si="168"/>
        <v>0</v>
      </c>
      <c r="BU234" s="17">
        <f t="shared" si="169"/>
        <v>1.4484699459924526</v>
      </c>
      <c r="BV234" s="17">
        <f t="shared" si="170"/>
        <v>0</v>
      </c>
      <c r="BW234" s="17">
        <f t="shared" si="171"/>
        <v>0</v>
      </c>
      <c r="BX234" s="17">
        <f t="shared" si="172"/>
        <v>0</v>
      </c>
      <c r="BY234" s="17">
        <f t="shared" si="173"/>
        <v>0</v>
      </c>
      <c r="BZ234" s="17">
        <f t="shared" si="184"/>
        <v>0</v>
      </c>
      <c r="CA234" s="17">
        <f t="shared" si="185"/>
        <v>0</v>
      </c>
      <c r="CB234" s="17">
        <f t="shared" si="186"/>
        <v>0</v>
      </c>
      <c r="CC234" s="17">
        <f t="shared" si="187"/>
        <v>0</v>
      </c>
      <c r="CD234" s="17">
        <f t="shared" si="188"/>
        <v>0</v>
      </c>
      <c r="CE234" s="17">
        <f t="shared" si="189"/>
        <v>0</v>
      </c>
      <c r="CF234" s="17">
        <f t="shared" si="190"/>
        <v>0</v>
      </c>
      <c r="CG234" s="17">
        <f t="shared" si="191"/>
        <v>0</v>
      </c>
      <c r="CH234" s="17">
        <f t="shared" si="192"/>
        <v>0</v>
      </c>
      <c r="CI234" s="17">
        <f t="shared" si="193"/>
        <v>1.2650043521308554</v>
      </c>
      <c r="CJ234" s="17">
        <f t="shared" si="194"/>
        <v>0.95765407013697146</v>
      </c>
      <c r="CK234" s="17">
        <f t="shared" si="195"/>
        <v>1.6246695757407195</v>
      </c>
      <c r="CL234" s="17">
        <f t="shared" si="196"/>
        <v>1.5135003248067613</v>
      </c>
      <c r="CM234" s="14">
        <f t="shared" si="197"/>
        <v>22574</v>
      </c>
      <c r="CN234" s="17">
        <f t="shared" si="198"/>
        <v>8.2010936947162349</v>
      </c>
      <c r="CO234" s="14">
        <f t="shared" si="199"/>
        <v>28034</v>
      </c>
      <c r="CP234" s="17">
        <f t="shared" si="200"/>
        <v>10.184701897655485</v>
      </c>
      <c r="CQ234" s="14">
        <f t="shared" si="174"/>
        <v>71938</v>
      </c>
      <c r="CR234" s="14">
        <v>21</v>
      </c>
      <c r="CS234" s="14">
        <v>216</v>
      </c>
      <c r="CT234" s="14">
        <v>4</v>
      </c>
      <c r="CU234" s="14">
        <v>351</v>
      </c>
    </row>
    <row r="235" spans="1:99" x14ac:dyDescent="0.3">
      <c r="A235" s="14">
        <v>2014</v>
      </c>
      <c r="B235" s="14" t="s">
        <v>43</v>
      </c>
      <c r="C235" s="14" t="s">
        <v>44</v>
      </c>
      <c r="D235" s="15">
        <v>893372.3</v>
      </c>
      <c r="E235" s="15">
        <v>28196358.499999996</v>
      </c>
      <c r="F235" s="15">
        <f t="shared" si="175"/>
        <v>31.561711170135894</v>
      </c>
      <c r="AB235" s="14">
        <f t="shared" si="176"/>
        <v>0</v>
      </c>
      <c r="AM235" s="14">
        <f t="shared" si="177"/>
        <v>0</v>
      </c>
      <c r="AQ235" s="14">
        <f t="shared" si="178"/>
        <v>0</v>
      </c>
      <c r="AT235" s="14">
        <f t="shared" si="179"/>
        <v>0</v>
      </c>
      <c r="AU235" s="16">
        <v>6032</v>
      </c>
      <c r="AV235" s="16">
        <v>74808</v>
      </c>
      <c r="AW235" s="16">
        <v>0</v>
      </c>
      <c r="AX235" s="16">
        <v>0</v>
      </c>
      <c r="AY235" s="18">
        <f t="shared" si="180"/>
        <v>2.1392833404356102</v>
      </c>
      <c r="AZ235" s="17">
        <f t="shared" si="181"/>
        <v>26.531085565535001</v>
      </c>
      <c r="BA235" s="17">
        <f t="shared" si="182"/>
        <v>0</v>
      </c>
      <c r="BB235" s="17">
        <f t="shared" si="183"/>
        <v>0</v>
      </c>
      <c r="BC235" s="17">
        <f t="shared" si="151"/>
        <v>0</v>
      </c>
      <c r="BD235" s="17">
        <f t="shared" si="152"/>
        <v>0</v>
      </c>
      <c r="BE235" s="17">
        <f t="shared" si="153"/>
        <v>0</v>
      </c>
      <c r="BF235" s="17">
        <f t="shared" si="154"/>
        <v>0</v>
      </c>
      <c r="BG235" s="17">
        <f t="shared" si="155"/>
        <v>0</v>
      </c>
      <c r="BH235" s="17">
        <f t="shared" si="156"/>
        <v>0</v>
      </c>
      <c r="BI235" s="17">
        <f t="shared" si="157"/>
        <v>0</v>
      </c>
      <c r="BJ235" s="17">
        <f t="shared" si="158"/>
        <v>0</v>
      </c>
      <c r="BK235" s="17">
        <f t="shared" si="159"/>
        <v>0</v>
      </c>
      <c r="BL235" s="17">
        <f t="shared" si="160"/>
        <v>0</v>
      </c>
      <c r="BM235" s="17">
        <f t="shared" si="161"/>
        <v>0</v>
      </c>
      <c r="BN235" s="17">
        <f t="shared" si="162"/>
        <v>0</v>
      </c>
      <c r="BO235" s="17">
        <f t="shared" si="163"/>
        <v>0</v>
      </c>
      <c r="BP235" s="17">
        <f t="shared" si="164"/>
        <v>0</v>
      </c>
      <c r="BQ235" s="17">
        <f t="shared" si="165"/>
        <v>0</v>
      </c>
      <c r="BR235" s="17">
        <f t="shared" si="166"/>
        <v>0</v>
      </c>
      <c r="BS235" s="17">
        <f t="shared" si="167"/>
        <v>0</v>
      </c>
      <c r="BT235" s="17">
        <f t="shared" si="168"/>
        <v>0</v>
      </c>
      <c r="BU235" s="17">
        <f t="shared" si="169"/>
        <v>0</v>
      </c>
      <c r="BV235" s="17">
        <f t="shared" si="170"/>
        <v>0</v>
      </c>
      <c r="BW235" s="17">
        <f t="shared" si="171"/>
        <v>0</v>
      </c>
      <c r="BX235" s="17">
        <f t="shared" si="172"/>
        <v>0</v>
      </c>
      <c r="BY235" s="17">
        <f t="shared" si="173"/>
        <v>0</v>
      </c>
      <c r="BZ235" s="17">
        <f t="shared" si="184"/>
        <v>0</v>
      </c>
      <c r="CA235" s="17">
        <f t="shared" si="185"/>
        <v>0</v>
      </c>
      <c r="CB235" s="17">
        <f t="shared" si="186"/>
        <v>0</v>
      </c>
      <c r="CC235" s="17">
        <f t="shared" si="187"/>
        <v>0</v>
      </c>
      <c r="CD235" s="17">
        <f t="shared" si="188"/>
        <v>0</v>
      </c>
      <c r="CE235" s="17">
        <f t="shared" si="189"/>
        <v>0</v>
      </c>
      <c r="CF235" s="17">
        <f t="shared" si="190"/>
        <v>0</v>
      </c>
      <c r="CG235" s="17">
        <f t="shared" si="191"/>
        <v>0</v>
      </c>
      <c r="CH235" s="17">
        <f t="shared" si="192"/>
        <v>0</v>
      </c>
      <c r="CI235" s="17">
        <f t="shared" si="193"/>
        <v>0</v>
      </c>
      <c r="CJ235" s="17">
        <f t="shared" si="194"/>
        <v>0</v>
      </c>
      <c r="CK235" s="17">
        <f t="shared" si="195"/>
        <v>0</v>
      </c>
      <c r="CL235" s="17">
        <f t="shared" si="196"/>
        <v>0</v>
      </c>
      <c r="CM235" s="14">
        <f t="shared" si="197"/>
        <v>74808</v>
      </c>
      <c r="CN235" s="17">
        <f t="shared" si="198"/>
        <v>26.531085565535001</v>
      </c>
      <c r="CO235" s="14">
        <f t="shared" si="199"/>
        <v>80840</v>
      </c>
      <c r="CP235" s="17">
        <f t="shared" si="200"/>
        <v>28.670368905970609</v>
      </c>
      <c r="CQ235" s="14">
        <f t="shared" si="174"/>
        <v>80840</v>
      </c>
      <c r="CR235" s="14">
        <v>32</v>
      </c>
      <c r="CS235" s="14">
        <v>55</v>
      </c>
      <c r="CT235" s="14">
        <v>0</v>
      </c>
      <c r="CU235" s="14">
        <v>0</v>
      </c>
    </row>
    <row r="236" spans="1:99" x14ac:dyDescent="0.3">
      <c r="A236" s="14">
        <v>2015</v>
      </c>
      <c r="B236" s="14" t="s">
        <v>43</v>
      </c>
      <c r="C236" s="14" t="s">
        <v>44</v>
      </c>
      <c r="D236" s="15">
        <v>904717.2</v>
      </c>
      <c r="E236" s="15">
        <v>28870939.000000007</v>
      </c>
      <c r="F236" s="15">
        <f t="shared" si="175"/>
        <v>31.911561977599199</v>
      </c>
      <c r="AB236" s="14">
        <f t="shared" si="176"/>
        <v>0</v>
      </c>
      <c r="AM236" s="14">
        <f t="shared" si="177"/>
        <v>0</v>
      </c>
      <c r="AQ236" s="14">
        <f t="shared" si="178"/>
        <v>0</v>
      </c>
      <c r="AT236" s="14">
        <f t="shared" si="179"/>
        <v>0</v>
      </c>
      <c r="AU236" s="16">
        <v>6526</v>
      </c>
      <c r="AV236" s="16">
        <v>97878</v>
      </c>
      <c r="AW236" s="16">
        <v>13616</v>
      </c>
      <c r="AX236" s="16">
        <v>0</v>
      </c>
      <c r="AY236" s="18">
        <f t="shared" si="180"/>
        <v>2.2604044849389893</v>
      </c>
      <c r="AZ236" s="17">
        <f t="shared" si="181"/>
        <v>33.901910845365983</v>
      </c>
      <c r="BA236" s="17">
        <f t="shared" si="182"/>
        <v>4.7161611196643092</v>
      </c>
      <c r="BB236" s="17">
        <f t="shared" si="183"/>
        <v>0</v>
      </c>
      <c r="BC236" s="17">
        <f t="shared" si="151"/>
        <v>0</v>
      </c>
      <c r="BD236" s="17">
        <f t="shared" si="152"/>
        <v>0</v>
      </c>
      <c r="BE236" s="17">
        <f t="shared" si="153"/>
        <v>0</v>
      </c>
      <c r="BF236" s="17">
        <f t="shared" si="154"/>
        <v>0</v>
      </c>
      <c r="BG236" s="17">
        <f t="shared" si="155"/>
        <v>0</v>
      </c>
      <c r="BH236" s="17">
        <f t="shared" si="156"/>
        <v>0</v>
      </c>
      <c r="BI236" s="17">
        <f t="shared" si="157"/>
        <v>0</v>
      </c>
      <c r="BJ236" s="17">
        <f t="shared" si="158"/>
        <v>0</v>
      </c>
      <c r="BK236" s="17">
        <f t="shared" si="159"/>
        <v>0</v>
      </c>
      <c r="BL236" s="17">
        <f t="shared" si="160"/>
        <v>0</v>
      </c>
      <c r="BM236" s="17">
        <f t="shared" si="161"/>
        <v>0</v>
      </c>
      <c r="BN236" s="17">
        <f t="shared" si="162"/>
        <v>0</v>
      </c>
      <c r="BO236" s="17">
        <f t="shared" si="163"/>
        <v>0</v>
      </c>
      <c r="BP236" s="17">
        <f t="shared" si="164"/>
        <v>0</v>
      </c>
      <c r="BQ236" s="17">
        <f t="shared" si="165"/>
        <v>0</v>
      </c>
      <c r="BR236" s="17">
        <f t="shared" si="166"/>
        <v>0</v>
      </c>
      <c r="BS236" s="17">
        <f t="shared" si="167"/>
        <v>0</v>
      </c>
      <c r="BT236" s="17">
        <f t="shared" si="168"/>
        <v>0</v>
      </c>
      <c r="BU236" s="17">
        <f t="shared" si="169"/>
        <v>0</v>
      </c>
      <c r="BV236" s="17">
        <f t="shared" si="170"/>
        <v>0</v>
      </c>
      <c r="BW236" s="17">
        <f t="shared" si="171"/>
        <v>0</v>
      </c>
      <c r="BX236" s="17">
        <f t="shared" si="172"/>
        <v>0</v>
      </c>
      <c r="BY236" s="17">
        <f t="shared" si="173"/>
        <v>0</v>
      </c>
      <c r="BZ236" s="17">
        <f t="shared" si="184"/>
        <v>0</v>
      </c>
      <c r="CA236" s="17">
        <f t="shared" si="185"/>
        <v>0</v>
      </c>
      <c r="CB236" s="17">
        <f t="shared" si="186"/>
        <v>0</v>
      </c>
      <c r="CC236" s="17">
        <f t="shared" si="187"/>
        <v>0</v>
      </c>
      <c r="CD236" s="17">
        <f t="shared" si="188"/>
        <v>0</v>
      </c>
      <c r="CE236" s="17">
        <f t="shared" si="189"/>
        <v>0</v>
      </c>
      <c r="CF236" s="17">
        <f t="shared" si="190"/>
        <v>0</v>
      </c>
      <c r="CG236" s="17">
        <f t="shared" si="191"/>
        <v>0</v>
      </c>
      <c r="CH236" s="17">
        <f t="shared" si="192"/>
        <v>0</v>
      </c>
      <c r="CI236" s="17">
        <f t="shared" si="193"/>
        <v>0</v>
      </c>
      <c r="CJ236" s="17">
        <f t="shared" si="194"/>
        <v>0</v>
      </c>
      <c r="CK236" s="17">
        <f t="shared" si="195"/>
        <v>0</v>
      </c>
      <c r="CL236" s="17">
        <f t="shared" si="196"/>
        <v>0</v>
      </c>
      <c r="CM236" s="14">
        <f t="shared" si="197"/>
        <v>111494</v>
      </c>
      <c r="CN236" s="17">
        <f t="shared" si="198"/>
        <v>38.618071965030296</v>
      </c>
      <c r="CO236" s="14">
        <f t="shared" si="199"/>
        <v>118020</v>
      </c>
      <c r="CP236" s="17">
        <f t="shared" si="200"/>
        <v>40.878476449969284</v>
      </c>
      <c r="CQ236" s="14">
        <f t="shared" si="174"/>
        <v>118020</v>
      </c>
      <c r="CR236" s="14">
        <v>1450</v>
      </c>
      <c r="CS236" s="14">
        <v>1845</v>
      </c>
      <c r="CT236" s="14">
        <v>0</v>
      </c>
      <c r="CU236" s="14">
        <v>0</v>
      </c>
    </row>
    <row r="237" spans="1:99" x14ac:dyDescent="0.3">
      <c r="A237" s="14">
        <v>2016</v>
      </c>
      <c r="B237" s="14" t="s">
        <v>43</v>
      </c>
      <c r="C237" s="14" t="s">
        <v>44</v>
      </c>
      <c r="D237" s="15">
        <v>908452.5</v>
      </c>
      <c r="E237" s="15">
        <v>29554302.499999993</v>
      </c>
      <c r="F237" s="15">
        <f t="shared" si="175"/>
        <v>32.53257875342959</v>
      </c>
      <c r="G237" s="14">
        <v>400</v>
      </c>
      <c r="H237" s="14">
        <v>570</v>
      </c>
      <c r="N237" s="14">
        <v>516</v>
      </c>
      <c r="O237" s="14">
        <v>30</v>
      </c>
      <c r="AB237" s="14">
        <f t="shared" si="176"/>
        <v>30</v>
      </c>
      <c r="AM237" s="14">
        <f t="shared" si="177"/>
        <v>0</v>
      </c>
      <c r="AQ237" s="14">
        <f t="shared" si="178"/>
        <v>0</v>
      </c>
      <c r="AT237" s="14">
        <f t="shared" si="179"/>
        <v>0</v>
      </c>
      <c r="AU237" s="16">
        <v>7236</v>
      </c>
      <c r="AV237" s="16">
        <v>105210</v>
      </c>
      <c r="AW237" s="16">
        <v>15324</v>
      </c>
      <c r="AX237" s="16">
        <v>0</v>
      </c>
      <c r="AY237" s="18">
        <f t="shared" si="180"/>
        <v>2.4483744794856865</v>
      </c>
      <c r="AZ237" s="17">
        <f t="shared" si="181"/>
        <v>35.598877693019496</v>
      </c>
      <c r="BA237" s="17">
        <f t="shared" si="182"/>
        <v>5.1850318578826222</v>
      </c>
      <c r="BB237" s="17">
        <f t="shared" si="183"/>
        <v>0</v>
      </c>
      <c r="BC237" s="17">
        <f t="shared" si="151"/>
        <v>0.13534408399589201</v>
      </c>
      <c r="BD237" s="17">
        <f t="shared" si="152"/>
        <v>0.19286531969414611</v>
      </c>
      <c r="BE237" s="17">
        <f t="shared" si="153"/>
        <v>0</v>
      </c>
      <c r="BF237" s="17">
        <f t="shared" si="154"/>
        <v>0</v>
      </c>
      <c r="BG237" s="17">
        <f t="shared" si="155"/>
        <v>0</v>
      </c>
      <c r="BH237" s="17">
        <f t="shared" si="156"/>
        <v>0</v>
      </c>
      <c r="BI237" s="17">
        <f t="shared" si="157"/>
        <v>0</v>
      </c>
      <c r="BJ237" s="17">
        <f t="shared" si="158"/>
        <v>0.17459386835470067</v>
      </c>
      <c r="BK237" s="17">
        <f t="shared" si="159"/>
        <v>1.01508062996919E-2</v>
      </c>
      <c r="BL237" s="17">
        <f t="shared" si="160"/>
        <v>0</v>
      </c>
      <c r="BM237" s="17">
        <f t="shared" si="161"/>
        <v>0</v>
      </c>
      <c r="BN237" s="17">
        <f t="shared" si="162"/>
        <v>0</v>
      </c>
      <c r="BO237" s="17">
        <f t="shared" si="163"/>
        <v>0</v>
      </c>
      <c r="BP237" s="17">
        <f t="shared" si="164"/>
        <v>0</v>
      </c>
      <c r="BQ237" s="17">
        <f t="shared" si="165"/>
        <v>0</v>
      </c>
      <c r="BR237" s="17">
        <f t="shared" si="166"/>
        <v>0</v>
      </c>
      <c r="BS237" s="17">
        <f t="shared" si="167"/>
        <v>0</v>
      </c>
      <c r="BT237" s="17">
        <f t="shared" si="168"/>
        <v>0</v>
      </c>
      <c r="BU237" s="17">
        <f t="shared" si="169"/>
        <v>0</v>
      </c>
      <c r="BV237" s="17">
        <f t="shared" si="170"/>
        <v>0</v>
      </c>
      <c r="BW237" s="17">
        <f t="shared" si="171"/>
        <v>0</v>
      </c>
      <c r="BX237" s="17">
        <f t="shared" si="172"/>
        <v>0</v>
      </c>
      <c r="BY237" s="17">
        <f t="shared" si="173"/>
        <v>0</v>
      </c>
      <c r="BZ237" s="17">
        <f t="shared" si="184"/>
        <v>0</v>
      </c>
      <c r="CA237" s="17">
        <f t="shared" si="185"/>
        <v>0</v>
      </c>
      <c r="CB237" s="17">
        <f t="shared" si="186"/>
        <v>0</v>
      </c>
      <c r="CC237" s="17">
        <f t="shared" si="187"/>
        <v>0</v>
      </c>
      <c r="CD237" s="17">
        <f t="shared" si="188"/>
        <v>0</v>
      </c>
      <c r="CE237" s="17">
        <f t="shared" si="189"/>
        <v>0</v>
      </c>
      <c r="CF237" s="17">
        <f t="shared" si="190"/>
        <v>0</v>
      </c>
      <c r="CG237" s="17">
        <f t="shared" si="191"/>
        <v>0</v>
      </c>
      <c r="CH237" s="17">
        <f t="shared" si="192"/>
        <v>0</v>
      </c>
      <c r="CI237" s="17">
        <f t="shared" si="193"/>
        <v>0</v>
      </c>
      <c r="CJ237" s="17">
        <f t="shared" si="194"/>
        <v>0</v>
      </c>
      <c r="CK237" s="17">
        <f t="shared" si="195"/>
        <v>0</v>
      </c>
      <c r="CL237" s="17">
        <f t="shared" si="196"/>
        <v>0</v>
      </c>
      <c r="CM237" s="14">
        <f t="shared" si="197"/>
        <v>120534</v>
      </c>
      <c r="CN237" s="17">
        <f t="shared" si="198"/>
        <v>40.783909550902116</v>
      </c>
      <c r="CO237" s="14">
        <f t="shared" si="199"/>
        <v>127770</v>
      </c>
      <c r="CP237" s="17">
        <f t="shared" si="200"/>
        <v>43.232284030387802</v>
      </c>
      <c r="CQ237" s="14">
        <f t="shared" si="174"/>
        <v>129316</v>
      </c>
      <c r="CR237" s="14">
        <v>80</v>
      </c>
      <c r="CS237" s="14">
        <v>440</v>
      </c>
      <c r="CT237" s="14">
        <v>19</v>
      </c>
      <c r="CU237" s="14">
        <v>160</v>
      </c>
    </row>
    <row r="238" spans="1:99" x14ac:dyDescent="0.3">
      <c r="A238" s="14">
        <v>2017</v>
      </c>
      <c r="B238" s="14" t="s">
        <v>43</v>
      </c>
      <c r="C238" s="14" t="s">
        <v>44</v>
      </c>
      <c r="D238" s="15">
        <v>890481.1</v>
      </c>
      <c r="E238" s="15">
        <v>30222261.500000004</v>
      </c>
      <c r="F238" s="15">
        <f t="shared" si="175"/>
        <v>33.939250928514937</v>
      </c>
      <c r="H238" s="14">
        <v>718</v>
      </c>
      <c r="M238" s="14">
        <v>15456</v>
      </c>
      <c r="N238" s="14">
        <v>46</v>
      </c>
      <c r="O238" s="14">
        <v>167</v>
      </c>
      <c r="P238" s="14">
        <v>34</v>
      </c>
      <c r="X238" s="14">
        <v>240</v>
      </c>
      <c r="AB238" s="14">
        <f t="shared" si="176"/>
        <v>167</v>
      </c>
      <c r="AE238" s="14">
        <v>462</v>
      </c>
      <c r="AF238" s="14">
        <v>133</v>
      </c>
      <c r="AJ238" s="14">
        <v>821</v>
      </c>
      <c r="AK238" s="14">
        <v>324</v>
      </c>
      <c r="AM238" s="14">
        <f t="shared" si="177"/>
        <v>324</v>
      </c>
      <c r="AQ238" s="14">
        <f t="shared" si="178"/>
        <v>0</v>
      </c>
      <c r="AT238" s="14">
        <f t="shared" si="179"/>
        <v>0</v>
      </c>
      <c r="AU238" s="16">
        <v>5358</v>
      </c>
      <c r="AV238" s="16">
        <v>117216</v>
      </c>
      <c r="AW238" s="16">
        <v>19108</v>
      </c>
      <c r="AX238" s="16">
        <v>0</v>
      </c>
      <c r="AY238" s="18">
        <f t="shared" si="180"/>
        <v>1.7728653429856662</v>
      </c>
      <c r="AZ238" s="17">
        <f t="shared" si="181"/>
        <v>38.784655476559884</v>
      </c>
      <c r="BA238" s="17">
        <f t="shared" si="182"/>
        <v>6.3224917830851268</v>
      </c>
      <c r="BB238" s="17">
        <f t="shared" si="183"/>
        <v>0</v>
      </c>
      <c r="BC238" s="17">
        <f t="shared" si="151"/>
        <v>0</v>
      </c>
      <c r="BD238" s="17">
        <f t="shared" si="152"/>
        <v>0.23757322065392092</v>
      </c>
      <c r="BE238" s="17">
        <f t="shared" si="153"/>
        <v>0</v>
      </c>
      <c r="BF238" s="17">
        <f t="shared" si="154"/>
        <v>0</v>
      </c>
      <c r="BG238" s="17">
        <f t="shared" si="155"/>
        <v>0</v>
      </c>
      <c r="BH238" s="17">
        <f t="shared" si="156"/>
        <v>0</v>
      </c>
      <c r="BI238" s="17">
        <f t="shared" si="157"/>
        <v>5.1141110005947104</v>
      </c>
      <c r="BJ238" s="17">
        <f t="shared" si="158"/>
        <v>1.5220568454150922E-2</v>
      </c>
      <c r="BK238" s="17">
        <f t="shared" si="159"/>
        <v>5.5257281127026173E-2</v>
      </c>
      <c r="BL238" s="17">
        <f t="shared" si="160"/>
        <v>1.1249985379155029E-2</v>
      </c>
      <c r="BM238" s="17">
        <f t="shared" si="161"/>
        <v>0</v>
      </c>
      <c r="BN238" s="17">
        <f t="shared" si="162"/>
        <v>0</v>
      </c>
      <c r="BO238" s="17">
        <f t="shared" si="163"/>
        <v>0</v>
      </c>
      <c r="BP238" s="17">
        <f t="shared" si="164"/>
        <v>0</v>
      </c>
      <c r="BQ238" s="17">
        <f t="shared" si="165"/>
        <v>0</v>
      </c>
      <c r="BR238" s="17">
        <f t="shared" si="166"/>
        <v>0</v>
      </c>
      <c r="BS238" s="17">
        <f t="shared" si="167"/>
        <v>0</v>
      </c>
      <c r="BT238" s="17">
        <f t="shared" si="168"/>
        <v>7.9411661499917852E-2</v>
      </c>
      <c r="BU238" s="17">
        <f t="shared" si="169"/>
        <v>0</v>
      </c>
      <c r="BV238" s="17">
        <f t="shared" si="170"/>
        <v>0</v>
      </c>
      <c r="BW238" s="17">
        <f t="shared" si="171"/>
        <v>0</v>
      </c>
      <c r="BX238" s="17">
        <f t="shared" si="172"/>
        <v>0</v>
      </c>
      <c r="BY238" s="17">
        <f t="shared" si="173"/>
        <v>0</v>
      </c>
      <c r="BZ238" s="17">
        <f t="shared" si="184"/>
        <v>0.15286744838734187</v>
      </c>
      <c r="CA238" s="17">
        <f t="shared" si="185"/>
        <v>4.4007295747871149E-2</v>
      </c>
      <c r="CB238" s="17">
        <f t="shared" si="186"/>
        <v>0</v>
      </c>
      <c r="CC238" s="17">
        <f t="shared" si="187"/>
        <v>0</v>
      </c>
      <c r="CD238" s="17">
        <f t="shared" si="188"/>
        <v>0</v>
      </c>
      <c r="CE238" s="17">
        <f t="shared" si="189"/>
        <v>0.27165405871430232</v>
      </c>
      <c r="CF238" s="17">
        <f t="shared" si="190"/>
        <v>0.10720574302488911</v>
      </c>
      <c r="CG238" s="17">
        <f t="shared" si="191"/>
        <v>0</v>
      </c>
      <c r="CH238" s="17">
        <f t="shared" si="192"/>
        <v>0</v>
      </c>
      <c r="CI238" s="17">
        <f t="shared" si="193"/>
        <v>0</v>
      </c>
      <c r="CJ238" s="17">
        <f t="shared" si="194"/>
        <v>0</v>
      </c>
      <c r="CK238" s="17">
        <f t="shared" si="195"/>
        <v>0</v>
      </c>
      <c r="CL238" s="17">
        <f t="shared" si="196"/>
        <v>0</v>
      </c>
      <c r="CM238" s="14">
        <f t="shared" si="197"/>
        <v>136324</v>
      </c>
      <c r="CN238" s="17">
        <f t="shared" si="198"/>
        <v>45.107147259645011</v>
      </c>
      <c r="CO238" s="14">
        <f t="shared" si="199"/>
        <v>141682</v>
      </c>
      <c r="CP238" s="17">
        <f t="shared" si="200"/>
        <v>46.880012602630671</v>
      </c>
      <c r="CQ238" s="14">
        <f t="shared" si="174"/>
        <v>160574</v>
      </c>
      <c r="CR238" s="14">
        <v>0</v>
      </c>
      <c r="CS238" s="14">
        <v>0</v>
      </c>
      <c r="CT238" s="14">
        <v>0</v>
      </c>
      <c r="CU238" s="14">
        <v>0</v>
      </c>
    </row>
    <row r="239" spans="1:99" x14ac:dyDescent="0.3">
      <c r="A239" s="14">
        <v>2018</v>
      </c>
      <c r="B239" s="14" t="s">
        <v>43</v>
      </c>
      <c r="C239" s="14" t="s">
        <v>44</v>
      </c>
      <c r="D239" s="15">
        <v>889062.6</v>
      </c>
      <c r="E239" s="15">
        <v>30870640.5</v>
      </c>
      <c r="F239" s="15">
        <f t="shared" si="175"/>
        <v>34.722684881806977</v>
      </c>
      <c r="G239" s="14">
        <v>713</v>
      </c>
      <c r="H239" s="14">
        <v>918</v>
      </c>
      <c r="M239" s="14">
        <v>15820</v>
      </c>
      <c r="Z239" s="14">
        <v>1563</v>
      </c>
      <c r="AB239" s="14">
        <f t="shared" si="176"/>
        <v>0</v>
      </c>
      <c r="AM239" s="14">
        <f t="shared" si="177"/>
        <v>0</v>
      </c>
      <c r="AQ239" s="14">
        <f t="shared" si="178"/>
        <v>0</v>
      </c>
      <c r="AT239" s="14">
        <f t="shared" si="179"/>
        <v>0</v>
      </c>
      <c r="AU239" s="16">
        <v>8812</v>
      </c>
      <c r="AV239" s="16">
        <v>250048</v>
      </c>
      <c r="AW239" s="16">
        <v>20978</v>
      </c>
      <c r="AX239" s="16">
        <v>0</v>
      </c>
      <c r="AY239" s="18">
        <f t="shared" si="180"/>
        <v>2.8544921184903824</v>
      </c>
      <c r="AZ239" s="17">
        <f t="shared" si="181"/>
        <v>80.998643355002628</v>
      </c>
      <c r="BA239" s="17">
        <f t="shared" si="182"/>
        <v>6.7954534341456245</v>
      </c>
      <c r="BB239" s="17">
        <f t="shared" si="183"/>
        <v>0</v>
      </c>
      <c r="BC239" s="17">
        <f t="shared" si="151"/>
        <v>0.2309637858015936</v>
      </c>
      <c r="BD239" s="17">
        <f t="shared" si="152"/>
        <v>0.29736992337428181</v>
      </c>
      <c r="BE239" s="17">
        <f t="shared" si="153"/>
        <v>0</v>
      </c>
      <c r="BF239" s="17">
        <f t="shared" si="154"/>
        <v>0</v>
      </c>
      <c r="BG239" s="17">
        <f t="shared" si="155"/>
        <v>0</v>
      </c>
      <c r="BH239" s="17">
        <f t="shared" si="156"/>
        <v>0</v>
      </c>
      <c r="BI239" s="17">
        <f t="shared" si="157"/>
        <v>5.1246102263411091</v>
      </c>
      <c r="BJ239" s="17">
        <f t="shared" si="158"/>
        <v>0</v>
      </c>
      <c r="BK239" s="17">
        <f t="shared" si="159"/>
        <v>0</v>
      </c>
      <c r="BL239" s="17">
        <f t="shared" si="160"/>
        <v>0</v>
      </c>
      <c r="BM239" s="17">
        <f t="shared" si="161"/>
        <v>0</v>
      </c>
      <c r="BN239" s="17">
        <f t="shared" si="162"/>
        <v>0</v>
      </c>
      <c r="BO239" s="17">
        <f t="shared" si="163"/>
        <v>0</v>
      </c>
      <c r="BP239" s="17">
        <f t="shared" si="164"/>
        <v>0</v>
      </c>
      <c r="BQ239" s="17">
        <f t="shared" si="165"/>
        <v>0</v>
      </c>
      <c r="BR239" s="17">
        <f t="shared" si="166"/>
        <v>0</v>
      </c>
      <c r="BS239" s="17">
        <f t="shared" si="167"/>
        <v>0</v>
      </c>
      <c r="BT239" s="17">
        <f t="shared" si="168"/>
        <v>0</v>
      </c>
      <c r="BU239" s="17">
        <f t="shared" si="169"/>
        <v>0</v>
      </c>
      <c r="BV239" s="17">
        <f t="shared" si="170"/>
        <v>0.50630630744444705</v>
      </c>
      <c r="BW239" s="17">
        <f t="shared" si="171"/>
        <v>0</v>
      </c>
      <c r="BX239" s="17">
        <f t="shared" si="172"/>
        <v>0</v>
      </c>
      <c r="BY239" s="17">
        <f t="shared" si="173"/>
        <v>0</v>
      </c>
      <c r="BZ239" s="17">
        <f t="shared" si="184"/>
        <v>0</v>
      </c>
      <c r="CA239" s="17">
        <f t="shared" si="185"/>
        <v>0</v>
      </c>
      <c r="CB239" s="17">
        <f t="shared" si="186"/>
        <v>0</v>
      </c>
      <c r="CC239" s="17">
        <f t="shared" si="187"/>
        <v>0</v>
      </c>
      <c r="CD239" s="17">
        <f t="shared" si="188"/>
        <v>0</v>
      </c>
      <c r="CE239" s="17">
        <f t="shared" si="189"/>
        <v>0</v>
      </c>
      <c r="CF239" s="17">
        <f t="shared" si="190"/>
        <v>0</v>
      </c>
      <c r="CG239" s="17">
        <f t="shared" si="191"/>
        <v>0</v>
      </c>
      <c r="CH239" s="17">
        <f t="shared" si="192"/>
        <v>0</v>
      </c>
      <c r="CI239" s="17">
        <f t="shared" si="193"/>
        <v>0</v>
      </c>
      <c r="CJ239" s="17">
        <f t="shared" si="194"/>
        <v>0</v>
      </c>
      <c r="CK239" s="17">
        <f t="shared" si="195"/>
        <v>0</v>
      </c>
      <c r="CL239" s="17">
        <f t="shared" si="196"/>
        <v>0</v>
      </c>
      <c r="CM239" s="14">
        <f t="shared" si="197"/>
        <v>271026</v>
      </c>
      <c r="CN239" s="17">
        <f t="shared" si="198"/>
        <v>87.794096789148256</v>
      </c>
      <c r="CO239" s="14">
        <f t="shared" si="199"/>
        <v>279838</v>
      </c>
      <c r="CP239" s="17">
        <f t="shared" si="200"/>
        <v>90.64858890763864</v>
      </c>
      <c r="CQ239" s="14">
        <f t="shared" si="174"/>
        <v>298852</v>
      </c>
      <c r="CR239" s="14">
        <v>0</v>
      </c>
      <c r="CS239" s="14">
        <v>0</v>
      </c>
      <c r="CT239" s="14">
        <v>0</v>
      </c>
      <c r="CU239" s="14">
        <v>0</v>
      </c>
    </row>
    <row r="240" spans="1:99" x14ac:dyDescent="0.3">
      <c r="A240" s="14">
        <v>2019</v>
      </c>
      <c r="B240" s="14" t="s">
        <v>43</v>
      </c>
      <c r="C240" s="14" t="s">
        <v>44</v>
      </c>
      <c r="D240" s="15">
        <v>902628.3</v>
      </c>
      <c r="E240" s="15">
        <v>31522289.999999996</v>
      </c>
      <c r="F240" s="15">
        <f t="shared" si="175"/>
        <v>34.922780506660374</v>
      </c>
      <c r="H240" s="14">
        <v>1138</v>
      </c>
      <c r="AB240" s="14">
        <f t="shared" si="176"/>
        <v>0</v>
      </c>
      <c r="AM240" s="14">
        <f t="shared" si="177"/>
        <v>0</v>
      </c>
      <c r="AQ240" s="14">
        <f t="shared" si="178"/>
        <v>0</v>
      </c>
      <c r="AT240" s="14">
        <f t="shared" si="179"/>
        <v>0</v>
      </c>
      <c r="AU240" s="16">
        <v>6634</v>
      </c>
      <c r="AV240" s="16">
        <v>139578</v>
      </c>
      <c r="AW240" s="16">
        <v>25346</v>
      </c>
      <c r="AX240" s="16">
        <v>0</v>
      </c>
      <c r="AY240" s="18">
        <f t="shared" si="180"/>
        <v>2.1045425316498263</v>
      </c>
      <c r="AZ240" s="17">
        <f t="shared" si="181"/>
        <v>44.279143425176287</v>
      </c>
      <c r="BA240" s="17">
        <f t="shared" si="182"/>
        <v>8.0406594825439406</v>
      </c>
      <c r="BB240" s="17">
        <f t="shared" si="183"/>
        <v>0</v>
      </c>
      <c r="BC240" s="17">
        <f t="shared" si="151"/>
        <v>0</v>
      </c>
      <c r="BD240" s="17">
        <f t="shared" si="152"/>
        <v>0.36101438061765184</v>
      </c>
      <c r="BE240" s="17">
        <f t="shared" si="153"/>
        <v>0</v>
      </c>
      <c r="BF240" s="17">
        <f t="shared" si="154"/>
        <v>0</v>
      </c>
      <c r="BG240" s="17">
        <f t="shared" si="155"/>
        <v>0</v>
      </c>
      <c r="BH240" s="17">
        <f t="shared" si="156"/>
        <v>0</v>
      </c>
      <c r="BI240" s="17">
        <f t="shared" si="157"/>
        <v>0</v>
      </c>
      <c r="BJ240" s="17">
        <f t="shared" si="158"/>
        <v>0</v>
      </c>
      <c r="BK240" s="17">
        <f t="shared" si="159"/>
        <v>0</v>
      </c>
      <c r="BL240" s="17">
        <f t="shared" si="160"/>
        <v>0</v>
      </c>
      <c r="BM240" s="17">
        <f t="shared" si="161"/>
        <v>0</v>
      </c>
      <c r="BN240" s="17">
        <f t="shared" si="162"/>
        <v>0</v>
      </c>
      <c r="BO240" s="17">
        <f t="shared" si="163"/>
        <v>0</v>
      </c>
      <c r="BP240" s="17">
        <f t="shared" si="164"/>
        <v>0</v>
      </c>
      <c r="BQ240" s="17">
        <f t="shared" si="165"/>
        <v>0</v>
      </c>
      <c r="BR240" s="17">
        <f t="shared" si="166"/>
        <v>0</v>
      </c>
      <c r="BS240" s="17">
        <f t="shared" si="167"/>
        <v>0</v>
      </c>
      <c r="BT240" s="17">
        <f t="shared" si="168"/>
        <v>0</v>
      </c>
      <c r="BU240" s="17">
        <f t="shared" si="169"/>
        <v>0</v>
      </c>
      <c r="BV240" s="17">
        <f t="shared" si="170"/>
        <v>0</v>
      </c>
      <c r="BW240" s="17">
        <f t="shared" si="171"/>
        <v>0</v>
      </c>
      <c r="BX240" s="17">
        <f t="shared" si="172"/>
        <v>0</v>
      </c>
      <c r="BY240" s="17">
        <f t="shared" si="173"/>
        <v>0</v>
      </c>
      <c r="BZ240" s="17">
        <f t="shared" si="184"/>
        <v>0</v>
      </c>
      <c r="CA240" s="17">
        <f t="shared" si="185"/>
        <v>0</v>
      </c>
      <c r="CB240" s="17">
        <f t="shared" si="186"/>
        <v>0</v>
      </c>
      <c r="CC240" s="17">
        <f t="shared" si="187"/>
        <v>0</v>
      </c>
      <c r="CD240" s="17">
        <f t="shared" si="188"/>
        <v>0</v>
      </c>
      <c r="CE240" s="17">
        <f t="shared" si="189"/>
        <v>0</v>
      </c>
      <c r="CF240" s="17">
        <f t="shared" si="190"/>
        <v>0</v>
      </c>
      <c r="CG240" s="17">
        <f t="shared" si="191"/>
        <v>0</v>
      </c>
      <c r="CH240" s="17">
        <f t="shared" si="192"/>
        <v>0</v>
      </c>
      <c r="CI240" s="17">
        <f t="shared" si="193"/>
        <v>0</v>
      </c>
      <c r="CJ240" s="17">
        <f t="shared" si="194"/>
        <v>0</v>
      </c>
      <c r="CK240" s="17">
        <f t="shared" si="195"/>
        <v>0</v>
      </c>
      <c r="CL240" s="17">
        <f t="shared" si="196"/>
        <v>0</v>
      </c>
      <c r="CM240" s="14">
        <f t="shared" si="197"/>
        <v>164924</v>
      </c>
      <c r="CN240" s="17">
        <f t="shared" si="198"/>
        <v>52.319802907720224</v>
      </c>
      <c r="CO240" s="14">
        <f t="shared" si="199"/>
        <v>171558</v>
      </c>
      <c r="CP240" s="17">
        <f t="shared" si="200"/>
        <v>54.42434543937005</v>
      </c>
      <c r="CQ240" s="14">
        <f t="shared" si="174"/>
        <v>172696</v>
      </c>
      <c r="CR240" s="14">
        <v>0</v>
      </c>
      <c r="CS240" s="14">
        <v>0</v>
      </c>
      <c r="CT240" s="14">
        <v>0</v>
      </c>
      <c r="CU240" s="14">
        <v>0</v>
      </c>
    </row>
    <row r="241" spans="1:99" x14ac:dyDescent="0.3">
      <c r="A241" s="14">
        <v>2020</v>
      </c>
      <c r="B241" s="14" t="s">
        <v>43</v>
      </c>
      <c r="C241" s="14" t="s">
        <v>44</v>
      </c>
      <c r="D241" s="15">
        <v>906937.8</v>
      </c>
      <c r="E241" s="15">
        <v>32180401.499999981</v>
      </c>
      <c r="F241" s="15">
        <f t="shared" si="175"/>
        <v>35.482479063062513</v>
      </c>
      <c r="H241" s="14">
        <v>1388</v>
      </c>
      <c r="AB241" s="14">
        <f t="shared" si="176"/>
        <v>0</v>
      </c>
      <c r="AM241" s="14">
        <f t="shared" si="177"/>
        <v>0</v>
      </c>
      <c r="AQ241" s="14">
        <f t="shared" si="178"/>
        <v>0</v>
      </c>
      <c r="AT241" s="14">
        <f t="shared" si="179"/>
        <v>0</v>
      </c>
      <c r="AU241" s="16">
        <v>10570</v>
      </c>
      <c r="AV241" s="16">
        <v>191578</v>
      </c>
      <c r="AW241" s="16">
        <v>33400</v>
      </c>
      <c r="AX241" s="16">
        <v>0</v>
      </c>
      <c r="AY241" s="18">
        <f t="shared" si="180"/>
        <v>3.2846078691715532</v>
      </c>
      <c r="AZ241" s="17">
        <f t="shared" si="181"/>
        <v>59.532507697270376</v>
      </c>
      <c r="BA241" s="17">
        <f t="shared" si="182"/>
        <v>10.378987968810774</v>
      </c>
      <c r="BB241" s="17">
        <f t="shared" si="183"/>
        <v>0</v>
      </c>
      <c r="BC241" s="17">
        <f t="shared" si="151"/>
        <v>0</v>
      </c>
      <c r="BD241" s="17">
        <f t="shared" si="152"/>
        <v>0.43131842217692679</v>
      </c>
      <c r="BE241" s="17">
        <f t="shared" si="153"/>
        <v>0</v>
      </c>
      <c r="BF241" s="17">
        <f t="shared" si="154"/>
        <v>0</v>
      </c>
      <c r="BG241" s="17">
        <f t="shared" si="155"/>
        <v>0</v>
      </c>
      <c r="BH241" s="17">
        <f t="shared" si="156"/>
        <v>0</v>
      </c>
      <c r="BI241" s="17">
        <f t="shared" si="157"/>
        <v>0</v>
      </c>
      <c r="BJ241" s="17">
        <f t="shared" si="158"/>
        <v>0</v>
      </c>
      <c r="BK241" s="17">
        <f t="shared" si="159"/>
        <v>0</v>
      </c>
      <c r="BL241" s="17">
        <f t="shared" si="160"/>
        <v>0</v>
      </c>
      <c r="BM241" s="17">
        <f t="shared" si="161"/>
        <v>0</v>
      </c>
      <c r="BN241" s="17">
        <f t="shared" si="162"/>
        <v>0</v>
      </c>
      <c r="BO241" s="17">
        <f t="shared" si="163"/>
        <v>0</v>
      </c>
      <c r="BP241" s="17">
        <f t="shared" si="164"/>
        <v>0</v>
      </c>
      <c r="BQ241" s="17">
        <f t="shared" si="165"/>
        <v>0</v>
      </c>
      <c r="BR241" s="17">
        <f t="shared" si="166"/>
        <v>0</v>
      </c>
      <c r="BS241" s="17">
        <f t="shared" si="167"/>
        <v>0</v>
      </c>
      <c r="BT241" s="17">
        <f t="shared" si="168"/>
        <v>0</v>
      </c>
      <c r="BU241" s="17">
        <f t="shared" si="169"/>
        <v>0</v>
      </c>
      <c r="BV241" s="17">
        <f t="shared" si="170"/>
        <v>0</v>
      </c>
      <c r="BW241" s="17">
        <f t="shared" si="171"/>
        <v>0</v>
      </c>
      <c r="BX241" s="17">
        <f t="shared" si="172"/>
        <v>0</v>
      </c>
      <c r="BY241" s="17">
        <f t="shared" si="173"/>
        <v>0</v>
      </c>
      <c r="BZ241" s="17">
        <f t="shared" si="184"/>
        <v>0</v>
      </c>
      <c r="CA241" s="17">
        <f t="shared" si="185"/>
        <v>0</v>
      </c>
      <c r="CB241" s="17">
        <f t="shared" si="186"/>
        <v>0</v>
      </c>
      <c r="CC241" s="17">
        <f t="shared" si="187"/>
        <v>0</v>
      </c>
      <c r="CD241" s="17">
        <f t="shared" si="188"/>
        <v>0</v>
      </c>
      <c r="CE241" s="17">
        <f t="shared" si="189"/>
        <v>0</v>
      </c>
      <c r="CF241" s="17">
        <f t="shared" si="190"/>
        <v>0</v>
      </c>
      <c r="CG241" s="17">
        <f t="shared" si="191"/>
        <v>0</v>
      </c>
      <c r="CH241" s="17">
        <f t="shared" si="192"/>
        <v>0</v>
      </c>
      <c r="CI241" s="17">
        <f t="shared" si="193"/>
        <v>0</v>
      </c>
      <c r="CJ241" s="17">
        <f t="shared" si="194"/>
        <v>0</v>
      </c>
      <c r="CK241" s="17">
        <f t="shared" si="195"/>
        <v>0</v>
      </c>
      <c r="CL241" s="17">
        <f t="shared" si="196"/>
        <v>0</v>
      </c>
      <c r="CM241" s="14">
        <f t="shared" si="197"/>
        <v>224978</v>
      </c>
      <c r="CN241" s="17">
        <f t="shared" si="198"/>
        <v>69.911495666081152</v>
      </c>
      <c r="CO241" s="14">
        <f t="shared" si="199"/>
        <v>235548</v>
      </c>
      <c r="CP241" s="17">
        <f t="shared" si="200"/>
        <v>73.196103535252703</v>
      </c>
      <c r="CQ241" s="14">
        <f t="shared" si="174"/>
        <v>236936</v>
      </c>
      <c r="CR241" s="14">
        <v>0</v>
      </c>
      <c r="CS241" s="14">
        <v>0</v>
      </c>
      <c r="CT241" s="14">
        <v>0</v>
      </c>
      <c r="CU241" s="14">
        <v>0</v>
      </c>
    </row>
    <row r="242" spans="1:99" x14ac:dyDescent="0.3">
      <c r="A242" s="14">
        <v>2021</v>
      </c>
      <c r="B242" s="14" t="s">
        <v>43</v>
      </c>
      <c r="C242" s="14" t="s">
        <v>44</v>
      </c>
      <c r="D242" s="15">
        <v>910102.9</v>
      </c>
      <c r="E242" s="15">
        <v>32833031.499999996</v>
      </c>
      <c r="F242" s="15">
        <f t="shared" si="175"/>
        <v>36.076175012737565</v>
      </c>
      <c r="G242" s="14">
        <v>0</v>
      </c>
      <c r="H242" s="14">
        <v>1035</v>
      </c>
      <c r="I242" s="14">
        <v>4274</v>
      </c>
      <c r="J242" s="14">
        <v>2091</v>
      </c>
      <c r="K242" s="14">
        <v>9</v>
      </c>
      <c r="L242" s="14">
        <v>0</v>
      </c>
      <c r="M242" s="14">
        <v>0</v>
      </c>
      <c r="N242" s="14">
        <v>396</v>
      </c>
      <c r="O242" s="14">
        <v>0</v>
      </c>
      <c r="P242" s="14">
        <v>112</v>
      </c>
      <c r="Q242" s="14">
        <v>0</v>
      </c>
      <c r="R242" s="14">
        <v>380</v>
      </c>
      <c r="S242" s="14">
        <v>0</v>
      </c>
      <c r="T242" s="14">
        <v>6</v>
      </c>
      <c r="U242" s="14">
        <v>0</v>
      </c>
      <c r="V242" s="14">
        <v>1673</v>
      </c>
      <c r="W242" s="14">
        <v>0</v>
      </c>
      <c r="X242" s="14">
        <v>2352</v>
      </c>
      <c r="Y242" s="14">
        <v>6276</v>
      </c>
      <c r="Z242" s="14">
        <v>1759</v>
      </c>
      <c r="AA242" s="14">
        <v>0</v>
      </c>
      <c r="AB242" s="14">
        <f t="shared" si="176"/>
        <v>0</v>
      </c>
      <c r="AC242" s="14">
        <v>3238</v>
      </c>
      <c r="AD242" s="14">
        <v>0</v>
      </c>
      <c r="AE242" s="14">
        <v>887</v>
      </c>
      <c r="AF242" s="14">
        <v>235</v>
      </c>
      <c r="AG242" s="14">
        <v>0</v>
      </c>
      <c r="AH242" s="14">
        <v>0</v>
      </c>
      <c r="AI242" s="14">
        <v>0</v>
      </c>
      <c r="AJ242" s="14">
        <v>1096</v>
      </c>
      <c r="AK242" s="14">
        <v>159</v>
      </c>
      <c r="AL242" s="14">
        <v>149</v>
      </c>
      <c r="AM242" s="14">
        <f t="shared" si="177"/>
        <v>308</v>
      </c>
      <c r="AN242" s="14">
        <v>48</v>
      </c>
      <c r="AO242" s="14">
        <v>0</v>
      </c>
      <c r="AP242" s="14">
        <v>0</v>
      </c>
      <c r="AQ242" s="14">
        <f t="shared" si="178"/>
        <v>0</v>
      </c>
      <c r="AR242" s="14">
        <v>0</v>
      </c>
      <c r="AS242" s="14">
        <v>7</v>
      </c>
      <c r="AT242" s="14">
        <f t="shared" si="179"/>
        <v>7</v>
      </c>
      <c r="AU242" s="16">
        <v>8338</v>
      </c>
      <c r="AV242" s="16">
        <v>186288</v>
      </c>
      <c r="AW242" s="16">
        <v>38282</v>
      </c>
      <c r="AX242" s="16">
        <v>3453</v>
      </c>
      <c r="AY242" s="18">
        <f t="shared" si="180"/>
        <v>2.5395157312842103</v>
      </c>
      <c r="AZ242" s="17">
        <f t="shared" si="181"/>
        <v>56.73798351516826</v>
      </c>
      <c r="BA242" s="17">
        <f t="shared" si="182"/>
        <v>11.65959957124276</v>
      </c>
      <c r="BB242" s="17">
        <f t="shared" si="183"/>
        <v>1.0516847949297647</v>
      </c>
      <c r="BC242" s="17">
        <f t="shared" si="151"/>
        <v>0</v>
      </c>
      <c r="BD242" s="17">
        <f t="shared" si="152"/>
        <v>0.31523132428389994</v>
      </c>
      <c r="BE242" s="17">
        <f t="shared" si="153"/>
        <v>1.301737855062211</v>
      </c>
      <c r="BF242" s="17">
        <f t="shared" si="154"/>
        <v>0.636858646451821</v>
      </c>
      <c r="BG242" s="17">
        <f t="shared" si="155"/>
        <v>2.741141950294782E-3</v>
      </c>
      <c r="BH242" s="17">
        <f t="shared" si="156"/>
        <v>0</v>
      </c>
      <c r="BI242" s="17">
        <f t="shared" si="157"/>
        <v>0</v>
      </c>
      <c r="BJ242" s="17">
        <f t="shared" si="158"/>
        <v>0.1206102458129704</v>
      </c>
      <c r="BK242" s="17">
        <f t="shared" si="159"/>
        <v>0</v>
      </c>
      <c r="BL242" s="17">
        <f t="shared" si="160"/>
        <v>3.4111988714779509E-2</v>
      </c>
      <c r="BM242" s="17">
        <f t="shared" si="161"/>
        <v>0</v>
      </c>
      <c r="BN242" s="17">
        <f t="shared" si="162"/>
        <v>0.1157371045680019</v>
      </c>
      <c r="BO242" s="17">
        <f t="shared" si="163"/>
        <v>0</v>
      </c>
      <c r="BP242" s="17">
        <f t="shared" si="164"/>
        <v>1.827427966863188E-3</v>
      </c>
      <c r="BQ242" s="17">
        <f t="shared" si="165"/>
        <v>0</v>
      </c>
      <c r="BR242" s="17">
        <f t="shared" si="166"/>
        <v>0.50954783142701887</v>
      </c>
      <c r="BS242" s="17">
        <f t="shared" si="167"/>
        <v>0</v>
      </c>
      <c r="BT242" s="17">
        <f t="shared" si="168"/>
        <v>0.71635176301036974</v>
      </c>
      <c r="BU242" s="17">
        <f t="shared" si="169"/>
        <v>1.9114896533388945</v>
      </c>
      <c r="BV242" s="17">
        <f t="shared" si="170"/>
        <v>0.53574096561872464</v>
      </c>
      <c r="BW242" s="17">
        <f t="shared" si="171"/>
        <v>0</v>
      </c>
      <c r="BX242" s="17">
        <f t="shared" si="172"/>
        <v>0.98620195945050049</v>
      </c>
      <c r="BY242" s="17">
        <f t="shared" si="173"/>
        <v>0</v>
      </c>
      <c r="BZ242" s="17">
        <f t="shared" si="184"/>
        <v>0.27015476776794128</v>
      </c>
      <c r="CA242" s="17">
        <f t="shared" si="185"/>
        <v>7.1574262035474859E-2</v>
      </c>
      <c r="CB242" s="17">
        <f t="shared" si="186"/>
        <v>0</v>
      </c>
      <c r="CC242" s="17">
        <f t="shared" si="187"/>
        <v>0</v>
      </c>
      <c r="CD242" s="17">
        <f t="shared" si="188"/>
        <v>0</v>
      </c>
      <c r="CE242" s="17">
        <f t="shared" si="189"/>
        <v>0.33381017528034235</v>
      </c>
      <c r="CF242" s="17">
        <f t="shared" si="190"/>
        <v>4.8426841121874481E-2</v>
      </c>
      <c r="CG242" s="17">
        <f t="shared" si="191"/>
        <v>4.5381127843769166E-2</v>
      </c>
      <c r="CH242" s="17">
        <f t="shared" si="192"/>
        <v>1.4619423734905504E-2</v>
      </c>
      <c r="CI242" s="17">
        <f t="shared" si="193"/>
        <v>0</v>
      </c>
      <c r="CJ242" s="17">
        <f t="shared" si="194"/>
        <v>0</v>
      </c>
      <c r="CK242" s="17">
        <f t="shared" si="195"/>
        <v>0</v>
      </c>
      <c r="CL242" s="17">
        <f t="shared" si="196"/>
        <v>2.1319992946737193E-3</v>
      </c>
      <c r="CM242" s="14">
        <f t="shared" si="197"/>
        <v>224570</v>
      </c>
      <c r="CN242" s="17">
        <f t="shared" si="198"/>
        <v>68.397583086411018</v>
      </c>
      <c r="CO242" s="14">
        <f t="shared" si="199"/>
        <v>232908</v>
      </c>
      <c r="CP242" s="17">
        <f t="shared" si="200"/>
        <v>70.93709881769523</v>
      </c>
      <c r="CQ242" s="14">
        <f t="shared" si="174"/>
        <v>262858</v>
      </c>
      <c r="CR242" s="14">
        <v>0</v>
      </c>
      <c r="CS242" s="14">
        <v>0</v>
      </c>
      <c r="CT242" s="14">
        <v>0</v>
      </c>
      <c r="CU242" s="14">
        <v>0</v>
      </c>
    </row>
    <row r="243" spans="1:99" x14ac:dyDescent="0.3">
      <c r="A243" s="14">
        <v>2022</v>
      </c>
      <c r="B243" s="14" t="s">
        <v>43</v>
      </c>
      <c r="C243" s="14" t="s">
        <v>44</v>
      </c>
      <c r="D243" s="15">
        <v>913289.2</v>
      </c>
      <c r="E243" s="15">
        <v>33475870.500000011</v>
      </c>
      <c r="F243" s="15">
        <f t="shared" si="175"/>
        <v>36.654184129189325</v>
      </c>
      <c r="G243" s="14">
        <v>0</v>
      </c>
      <c r="H243" s="14">
        <v>1188</v>
      </c>
      <c r="I243" s="14">
        <v>4065</v>
      </c>
      <c r="J243" s="14">
        <v>3583</v>
      </c>
      <c r="K243" s="14">
        <v>30</v>
      </c>
      <c r="L243" s="14">
        <v>0</v>
      </c>
      <c r="M243" s="14">
        <v>0</v>
      </c>
      <c r="N243" s="14">
        <v>488</v>
      </c>
      <c r="O243" s="14">
        <v>0</v>
      </c>
      <c r="P243" s="14">
        <v>153</v>
      </c>
      <c r="Q243" s="14">
        <v>0</v>
      </c>
      <c r="R243" s="14">
        <v>436</v>
      </c>
      <c r="S243" s="14">
        <v>0</v>
      </c>
      <c r="T243" s="14">
        <v>47</v>
      </c>
      <c r="U243" s="14">
        <v>0</v>
      </c>
      <c r="V243" s="14">
        <v>2703</v>
      </c>
      <c r="W243" s="14">
        <v>0</v>
      </c>
      <c r="X243" s="14">
        <v>2471</v>
      </c>
      <c r="Y243" s="14">
        <v>477</v>
      </c>
      <c r="Z243" s="14">
        <v>2139</v>
      </c>
      <c r="AA243" s="14">
        <v>0</v>
      </c>
      <c r="AB243" s="14">
        <f t="shared" si="176"/>
        <v>0</v>
      </c>
      <c r="AC243" s="14">
        <v>3555</v>
      </c>
      <c r="AD243" s="14">
        <v>0</v>
      </c>
      <c r="AE243" s="14">
        <v>1481</v>
      </c>
      <c r="AF243" s="14">
        <v>309</v>
      </c>
      <c r="AG243" s="14">
        <v>0</v>
      </c>
      <c r="AH243" s="14">
        <v>0</v>
      </c>
      <c r="AI243" s="14">
        <v>0</v>
      </c>
      <c r="AJ243" s="14">
        <v>1507</v>
      </c>
      <c r="AK243" s="14">
        <v>196</v>
      </c>
      <c r="AL243" s="14">
        <v>185</v>
      </c>
      <c r="AM243" s="14">
        <f t="shared" si="177"/>
        <v>381</v>
      </c>
      <c r="AN243" s="14">
        <v>65</v>
      </c>
      <c r="AO243" s="14">
        <v>0</v>
      </c>
      <c r="AP243" s="14">
        <v>0</v>
      </c>
      <c r="AQ243" s="14">
        <f t="shared" si="178"/>
        <v>0</v>
      </c>
      <c r="AR243" s="14">
        <v>0</v>
      </c>
      <c r="AS243" s="14">
        <v>0</v>
      </c>
      <c r="AT243" s="14">
        <f t="shared" si="179"/>
        <v>0</v>
      </c>
      <c r="AU243" s="16">
        <v>9452</v>
      </c>
      <c r="AV243" s="16">
        <v>205886</v>
      </c>
      <c r="AW243" s="16">
        <v>47764</v>
      </c>
      <c r="AX243" s="16">
        <v>3602</v>
      </c>
      <c r="AY243" s="18">
        <f t="shared" si="180"/>
        <v>2.8235262769343059</v>
      </c>
      <c r="AZ243" s="17">
        <f t="shared" si="181"/>
        <v>61.50280692476688</v>
      </c>
      <c r="BA243" s="17">
        <f t="shared" si="182"/>
        <v>14.26818758902774</v>
      </c>
      <c r="BB243" s="17">
        <f t="shared" si="183"/>
        <v>1.0759989049425911</v>
      </c>
      <c r="BC243" s="17">
        <f t="shared" si="151"/>
        <v>0</v>
      </c>
      <c r="BD243" s="17">
        <f t="shared" si="152"/>
        <v>0.35488248169677905</v>
      </c>
      <c r="BE243" s="17">
        <f t="shared" si="153"/>
        <v>1.2143074815634738</v>
      </c>
      <c r="BF243" s="17">
        <f t="shared" si="154"/>
        <v>1.0703231750164641</v>
      </c>
      <c r="BG243" s="17">
        <f t="shared" si="155"/>
        <v>8.9616788307267433E-3</v>
      </c>
      <c r="BH243" s="17">
        <f t="shared" si="156"/>
        <v>0</v>
      </c>
      <c r="BI243" s="17">
        <f t="shared" si="157"/>
        <v>0</v>
      </c>
      <c r="BJ243" s="17">
        <f t="shared" si="158"/>
        <v>0.14577664231315504</v>
      </c>
      <c r="BK243" s="17">
        <f t="shared" si="159"/>
        <v>0</v>
      </c>
      <c r="BL243" s="17">
        <f t="shared" si="160"/>
        <v>4.5704562036706392E-2</v>
      </c>
      <c r="BM243" s="17">
        <f t="shared" si="161"/>
        <v>0</v>
      </c>
      <c r="BN243" s="17">
        <f t="shared" si="162"/>
        <v>0.13024306567322869</v>
      </c>
      <c r="BO243" s="17">
        <f t="shared" si="163"/>
        <v>0</v>
      </c>
      <c r="BP243" s="17">
        <f t="shared" si="164"/>
        <v>1.40399635014719E-2</v>
      </c>
      <c r="BQ243" s="17">
        <f t="shared" si="165"/>
        <v>0</v>
      </c>
      <c r="BR243" s="17">
        <f t="shared" si="166"/>
        <v>0.80744726264847966</v>
      </c>
      <c r="BS243" s="17">
        <f t="shared" si="167"/>
        <v>0</v>
      </c>
      <c r="BT243" s="17">
        <f t="shared" si="168"/>
        <v>0.73814361302419285</v>
      </c>
      <c r="BU243" s="17">
        <f t="shared" si="169"/>
        <v>0.14249069340855522</v>
      </c>
      <c r="BV243" s="17">
        <f t="shared" si="170"/>
        <v>0.63896770063081687</v>
      </c>
      <c r="BW243" s="17">
        <f t="shared" si="171"/>
        <v>0</v>
      </c>
      <c r="BX243" s="17">
        <f t="shared" si="172"/>
        <v>1.0619589414411192</v>
      </c>
      <c r="BY243" s="17">
        <f t="shared" si="173"/>
        <v>0</v>
      </c>
      <c r="BZ243" s="17">
        <f t="shared" si="184"/>
        <v>0.44240821161021027</v>
      </c>
      <c r="CA243" s="17">
        <f t="shared" si="185"/>
        <v>9.2305291956485458E-2</v>
      </c>
      <c r="CB243" s="17">
        <f t="shared" si="186"/>
        <v>0</v>
      </c>
      <c r="CC243" s="17">
        <f t="shared" si="187"/>
        <v>0</v>
      </c>
      <c r="CD243" s="17">
        <f t="shared" si="188"/>
        <v>0</v>
      </c>
      <c r="CE243" s="17">
        <f t="shared" si="189"/>
        <v>0.45017499993017346</v>
      </c>
      <c r="CF243" s="17">
        <f t="shared" si="190"/>
        <v>5.8549635027414726E-2</v>
      </c>
      <c r="CG243" s="17">
        <f t="shared" si="191"/>
        <v>5.5263686122814917E-2</v>
      </c>
      <c r="CH243" s="17">
        <f t="shared" si="192"/>
        <v>1.9416970799907944E-2</v>
      </c>
      <c r="CI243" s="17">
        <f t="shared" si="193"/>
        <v>0</v>
      </c>
      <c r="CJ243" s="17">
        <f t="shared" si="194"/>
        <v>0</v>
      </c>
      <c r="CK243" s="17">
        <f t="shared" si="195"/>
        <v>0</v>
      </c>
      <c r="CL243" s="17">
        <f t="shared" si="196"/>
        <v>0</v>
      </c>
      <c r="CM243" s="14">
        <f t="shared" si="197"/>
        <v>253650</v>
      </c>
      <c r="CN243" s="17">
        <f t="shared" si="198"/>
        <v>75.770994513794619</v>
      </c>
      <c r="CO243" s="14">
        <f t="shared" si="199"/>
        <v>263102</v>
      </c>
      <c r="CP243" s="17">
        <f t="shared" si="200"/>
        <v>78.594520790728922</v>
      </c>
      <c r="CQ243" s="14">
        <f t="shared" si="174"/>
        <v>292163</v>
      </c>
      <c r="CR243" s="14">
        <v>40</v>
      </c>
      <c r="CS243" s="14">
        <v>227</v>
      </c>
      <c r="CT243" s="14">
        <v>6</v>
      </c>
      <c r="CU243" s="14">
        <v>0</v>
      </c>
    </row>
    <row r="244" spans="1:99" x14ac:dyDescent="0.3">
      <c r="A244" s="14">
        <v>2012</v>
      </c>
      <c r="B244" s="14" t="s">
        <v>45</v>
      </c>
      <c r="C244" s="14" t="s">
        <v>46</v>
      </c>
      <c r="D244" s="15">
        <v>399755.3</v>
      </c>
      <c r="E244" s="15">
        <v>10788692</v>
      </c>
      <c r="F244" s="15">
        <f t="shared" si="175"/>
        <v>26.98824005585417</v>
      </c>
      <c r="AB244" s="14">
        <f t="shared" si="176"/>
        <v>0</v>
      </c>
      <c r="AM244" s="14">
        <f t="shared" si="177"/>
        <v>0</v>
      </c>
      <c r="AQ244" s="14">
        <f t="shared" si="178"/>
        <v>0</v>
      </c>
      <c r="AT244" s="14">
        <f t="shared" si="179"/>
        <v>0</v>
      </c>
      <c r="AU244" s="16">
        <v>0</v>
      </c>
      <c r="AV244" s="16">
        <v>0</v>
      </c>
      <c r="AW244" s="16">
        <v>0</v>
      </c>
      <c r="AX244" s="16">
        <v>0</v>
      </c>
      <c r="AY244" s="18">
        <f t="shared" si="180"/>
        <v>0</v>
      </c>
      <c r="AZ244" s="17">
        <f t="shared" si="181"/>
        <v>0</v>
      </c>
      <c r="BA244" s="17">
        <f t="shared" si="182"/>
        <v>0</v>
      </c>
      <c r="BB244" s="17">
        <f t="shared" si="183"/>
        <v>0</v>
      </c>
      <c r="BC244" s="17">
        <f t="shared" si="151"/>
        <v>0</v>
      </c>
      <c r="BD244" s="17">
        <f t="shared" si="152"/>
        <v>0</v>
      </c>
      <c r="BE244" s="17">
        <f t="shared" si="153"/>
        <v>0</v>
      </c>
      <c r="BF244" s="17">
        <f t="shared" si="154"/>
        <v>0</v>
      </c>
      <c r="BG244" s="17">
        <f t="shared" si="155"/>
        <v>0</v>
      </c>
      <c r="BH244" s="17">
        <f t="shared" si="156"/>
        <v>0</v>
      </c>
      <c r="BI244" s="17">
        <f t="shared" si="157"/>
        <v>0</v>
      </c>
      <c r="BJ244" s="17">
        <f t="shared" si="158"/>
        <v>0</v>
      </c>
      <c r="BK244" s="17">
        <f t="shared" si="159"/>
        <v>0</v>
      </c>
      <c r="BL244" s="17">
        <f t="shared" si="160"/>
        <v>0</v>
      </c>
      <c r="BM244" s="17">
        <f t="shared" si="161"/>
        <v>0</v>
      </c>
      <c r="BN244" s="17">
        <f t="shared" si="162"/>
        <v>0</v>
      </c>
      <c r="BO244" s="17">
        <f t="shared" si="163"/>
        <v>0</v>
      </c>
      <c r="BP244" s="17">
        <f t="shared" si="164"/>
        <v>0</v>
      </c>
      <c r="BQ244" s="17">
        <f t="shared" si="165"/>
        <v>0</v>
      </c>
      <c r="BR244" s="17">
        <f t="shared" si="166"/>
        <v>0</v>
      </c>
      <c r="BS244" s="17">
        <f t="shared" si="167"/>
        <v>0</v>
      </c>
      <c r="BT244" s="17">
        <f t="shared" si="168"/>
        <v>0</v>
      </c>
      <c r="BU244" s="17">
        <f t="shared" si="169"/>
        <v>0</v>
      </c>
      <c r="BV244" s="17">
        <f t="shared" si="170"/>
        <v>0</v>
      </c>
      <c r="BW244" s="17">
        <f t="shared" si="171"/>
        <v>0</v>
      </c>
      <c r="BX244" s="17">
        <f t="shared" si="172"/>
        <v>0</v>
      </c>
      <c r="BY244" s="17">
        <f t="shared" si="173"/>
        <v>0</v>
      </c>
      <c r="BZ244" s="17">
        <f t="shared" si="184"/>
        <v>0</v>
      </c>
      <c r="CA244" s="17">
        <f t="shared" si="185"/>
        <v>0</v>
      </c>
      <c r="CB244" s="17">
        <f t="shared" si="186"/>
        <v>0</v>
      </c>
      <c r="CC244" s="17">
        <f t="shared" si="187"/>
        <v>0</v>
      </c>
      <c r="CD244" s="17">
        <f t="shared" si="188"/>
        <v>0</v>
      </c>
      <c r="CE244" s="17">
        <f t="shared" si="189"/>
        <v>0</v>
      </c>
      <c r="CF244" s="17">
        <f t="shared" si="190"/>
        <v>0</v>
      </c>
      <c r="CG244" s="17">
        <f t="shared" si="191"/>
        <v>0</v>
      </c>
      <c r="CH244" s="17">
        <f t="shared" si="192"/>
        <v>0</v>
      </c>
      <c r="CI244" s="17">
        <f t="shared" si="193"/>
        <v>0</v>
      </c>
      <c r="CJ244" s="17">
        <f t="shared" si="194"/>
        <v>0</v>
      </c>
      <c r="CK244" s="17">
        <f t="shared" si="195"/>
        <v>0</v>
      </c>
      <c r="CL244" s="17">
        <f t="shared" si="196"/>
        <v>0</v>
      </c>
      <c r="CM244" s="14">
        <f t="shared" si="197"/>
        <v>0</v>
      </c>
      <c r="CN244" s="17">
        <f t="shared" si="198"/>
        <v>0</v>
      </c>
      <c r="CO244" s="14">
        <f t="shared" si="199"/>
        <v>0</v>
      </c>
      <c r="CP244" s="17">
        <f t="shared" si="200"/>
        <v>0</v>
      </c>
      <c r="CQ244" s="14">
        <f t="shared" si="174"/>
        <v>0</v>
      </c>
      <c r="CR244" s="14">
        <v>0</v>
      </c>
      <c r="CS244" s="14">
        <v>0</v>
      </c>
      <c r="CT244" s="14">
        <v>0</v>
      </c>
      <c r="CU244" s="14">
        <v>0</v>
      </c>
    </row>
    <row r="245" spans="1:99" x14ac:dyDescent="0.3">
      <c r="A245" s="14">
        <v>2013</v>
      </c>
      <c r="B245" s="14" t="s">
        <v>45</v>
      </c>
      <c r="C245" s="14" t="s">
        <v>46</v>
      </c>
      <c r="D245" s="15">
        <v>405974.1</v>
      </c>
      <c r="E245" s="15">
        <v>11055430.000000004</v>
      </c>
      <c r="F245" s="15">
        <f t="shared" si="175"/>
        <v>27.23186035759425</v>
      </c>
      <c r="AB245" s="14">
        <f t="shared" si="176"/>
        <v>0</v>
      </c>
      <c r="AM245" s="14">
        <f t="shared" si="177"/>
        <v>0</v>
      </c>
      <c r="AQ245" s="14">
        <f t="shared" si="178"/>
        <v>0</v>
      </c>
      <c r="AT245" s="14">
        <f t="shared" si="179"/>
        <v>0</v>
      </c>
      <c r="AU245" s="16">
        <v>0</v>
      </c>
      <c r="AV245" s="16">
        <v>0</v>
      </c>
      <c r="AW245" s="16">
        <v>1000</v>
      </c>
      <c r="AX245" s="16">
        <v>0</v>
      </c>
      <c r="AY245" s="18">
        <f t="shared" si="180"/>
        <v>0</v>
      </c>
      <c r="AZ245" s="17">
        <f t="shared" si="181"/>
        <v>0</v>
      </c>
      <c r="BA245" s="17">
        <f t="shared" si="182"/>
        <v>0.90453288564985679</v>
      </c>
      <c r="BB245" s="17">
        <f t="shared" si="183"/>
        <v>0</v>
      </c>
      <c r="BC245" s="17">
        <f t="shared" si="151"/>
        <v>0</v>
      </c>
      <c r="BD245" s="17">
        <f t="shared" si="152"/>
        <v>0</v>
      </c>
      <c r="BE245" s="17">
        <f t="shared" si="153"/>
        <v>0</v>
      </c>
      <c r="BF245" s="17">
        <f t="shared" si="154"/>
        <v>0</v>
      </c>
      <c r="BG245" s="17">
        <f t="shared" si="155"/>
        <v>0</v>
      </c>
      <c r="BH245" s="17">
        <f t="shared" si="156"/>
        <v>0</v>
      </c>
      <c r="BI245" s="17">
        <f t="shared" si="157"/>
        <v>0</v>
      </c>
      <c r="BJ245" s="17">
        <f t="shared" si="158"/>
        <v>0</v>
      </c>
      <c r="BK245" s="17">
        <f t="shared" si="159"/>
        <v>0</v>
      </c>
      <c r="BL245" s="17">
        <f t="shared" si="160"/>
        <v>0</v>
      </c>
      <c r="BM245" s="17">
        <f t="shared" si="161"/>
        <v>0</v>
      </c>
      <c r="BN245" s="17">
        <f t="shared" si="162"/>
        <v>0</v>
      </c>
      <c r="BO245" s="17">
        <f t="shared" si="163"/>
        <v>0</v>
      </c>
      <c r="BP245" s="17">
        <f t="shared" si="164"/>
        <v>0</v>
      </c>
      <c r="BQ245" s="17">
        <f t="shared" si="165"/>
        <v>0</v>
      </c>
      <c r="BR245" s="17">
        <f t="shared" si="166"/>
        <v>0</v>
      </c>
      <c r="BS245" s="17">
        <f t="shared" si="167"/>
        <v>0</v>
      </c>
      <c r="BT245" s="17">
        <f t="shared" si="168"/>
        <v>0</v>
      </c>
      <c r="BU245" s="17">
        <f t="shared" si="169"/>
        <v>0</v>
      </c>
      <c r="BV245" s="17">
        <f t="shared" si="170"/>
        <v>0</v>
      </c>
      <c r="BW245" s="17">
        <f t="shared" si="171"/>
        <v>0</v>
      </c>
      <c r="BX245" s="17">
        <f t="shared" si="172"/>
        <v>0</v>
      </c>
      <c r="BY245" s="17">
        <f t="shared" si="173"/>
        <v>0</v>
      </c>
      <c r="BZ245" s="17">
        <f t="shared" si="184"/>
        <v>0</v>
      </c>
      <c r="CA245" s="17">
        <f t="shared" si="185"/>
        <v>0</v>
      </c>
      <c r="CB245" s="17">
        <f t="shared" si="186"/>
        <v>0</v>
      </c>
      <c r="CC245" s="17">
        <f t="shared" si="187"/>
        <v>0</v>
      </c>
      <c r="CD245" s="17">
        <f t="shared" si="188"/>
        <v>0</v>
      </c>
      <c r="CE245" s="17">
        <f t="shared" si="189"/>
        <v>0</v>
      </c>
      <c r="CF245" s="17">
        <f t="shared" si="190"/>
        <v>0</v>
      </c>
      <c r="CG245" s="17">
        <f t="shared" si="191"/>
        <v>0</v>
      </c>
      <c r="CH245" s="17">
        <f t="shared" si="192"/>
        <v>0</v>
      </c>
      <c r="CI245" s="17">
        <f t="shared" si="193"/>
        <v>0</v>
      </c>
      <c r="CJ245" s="17">
        <f t="shared" si="194"/>
        <v>0</v>
      </c>
      <c r="CK245" s="17">
        <f t="shared" si="195"/>
        <v>0</v>
      </c>
      <c r="CL245" s="17">
        <f t="shared" si="196"/>
        <v>0</v>
      </c>
      <c r="CM245" s="14">
        <f t="shared" si="197"/>
        <v>1000</v>
      </c>
      <c r="CN245" s="17">
        <f t="shared" si="198"/>
        <v>0.90453288564985679</v>
      </c>
      <c r="CO245" s="14">
        <f t="shared" si="199"/>
        <v>1000</v>
      </c>
      <c r="CP245" s="17"/>
      <c r="CQ245" s="14">
        <f t="shared" si="174"/>
        <v>1000</v>
      </c>
      <c r="CR245" s="14">
        <v>0</v>
      </c>
      <c r="CS245" s="14">
        <v>0</v>
      </c>
      <c r="CT245" s="14">
        <v>0</v>
      </c>
      <c r="CU245" s="14">
        <v>0</v>
      </c>
    </row>
    <row r="246" spans="1:99" x14ac:dyDescent="0.3">
      <c r="A246" s="14">
        <v>2014</v>
      </c>
      <c r="B246" s="14" t="s">
        <v>45</v>
      </c>
      <c r="C246" s="14" t="s">
        <v>46</v>
      </c>
      <c r="D246" s="15">
        <v>413410.9</v>
      </c>
      <c r="E246" s="15">
        <v>11333365.500000002</v>
      </c>
      <c r="F246" s="15">
        <f t="shared" si="175"/>
        <v>27.414288060619594</v>
      </c>
      <c r="AB246" s="14">
        <f t="shared" si="176"/>
        <v>0</v>
      </c>
      <c r="AM246" s="14">
        <f t="shared" si="177"/>
        <v>0</v>
      </c>
      <c r="AQ246" s="14">
        <f t="shared" si="178"/>
        <v>0</v>
      </c>
      <c r="AT246" s="14">
        <f t="shared" si="179"/>
        <v>0</v>
      </c>
      <c r="AU246" s="16">
        <v>3688</v>
      </c>
      <c r="AV246" s="16">
        <v>11578</v>
      </c>
      <c r="AW246" s="16">
        <v>1000</v>
      </c>
      <c r="AX246" s="16">
        <v>0</v>
      </c>
      <c r="AY246" s="18">
        <f t="shared" si="180"/>
        <v>3.2541084111334797</v>
      </c>
      <c r="AZ246" s="17">
        <f t="shared" si="181"/>
        <v>10.215853357945615</v>
      </c>
      <c r="BA246" s="17">
        <f t="shared" si="182"/>
        <v>0.88235043685831882</v>
      </c>
      <c r="BB246" s="17">
        <f t="shared" si="183"/>
        <v>0</v>
      </c>
      <c r="BC246" s="17">
        <f t="shared" si="151"/>
        <v>0</v>
      </c>
      <c r="BD246" s="17">
        <f t="shared" si="152"/>
        <v>0</v>
      </c>
      <c r="BE246" s="17">
        <f t="shared" si="153"/>
        <v>0</v>
      </c>
      <c r="BF246" s="17">
        <f t="shared" si="154"/>
        <v>0</v>
      </c>
      <c r="BG246" s="17">
        <f t="shared" si="155"/>
        <v>0</v>
      </c>
      <c r="BH246" s="17">
        <f t="shared" si="156"/>
        <v>0</v>
      </c>
      <c r="BI246" s="17">
        <f t="shared" si="157"/>
        <v>0</v>
      </c>
      <c r="BJ246" s="17">
        <f t="shared" si="158"/>
        <v>0</v>
      </c>
      <c r="BK246" s="17">
        <f t="shared" si="159"/>
        <v>0</v>
      </c>
      <c r="BL246" s="17">
        <f t="shared" si="160"/>
        <v>0</v>
      </c>
      <c r="BM246" s="17">
        <f t="shared" si="161"/>
        <v>0</v>
      </c>
      <c r="BN246" s="17">
        <f t="shared" si="162"/>
        <v>0</v>
      </c>
      <c r="BO246" s="17">
        <f t="shared" si="163"/>
        <v>0</v>
      </c>
      <c r="BP246" s="17">
        <f t="shared" si="164"/>
        <v>0</v>
      </c>
      <c r="BQ246" s="17">
        <f t="shared" si="165"/>
        <v>0</v>
      </c>
      <c r="BR246" s="17">
        <f t="shared" si="166"/>
        <v>0</v>
      </c>
      <c r="BS246" s="17">
        <f t="shared" si="167"/>
        <v>0</v>
      </c>
      <c r="BT246" s="17">
        <f t="shared" si="168"/>
        <v>0</v>
      </c>
      <c r="BU246" s="17">
        <f t="shared" si="169"/>
        <v>0</v>
      </c>
      <c r="BV246" s="17">
        <f t="shared" si="170"/>
        <v>0</v>
      </c>
      <c r="BW246" s="17">
        <f t="shared" si="171"/>
        <v>0</v>
      </c>
      <c r="BX246" s="17">
        <f t="shared" si="172"/>
        <v>0</v>
      </c>
      <c r="BY246" s="17">
        <f t="shared" si="173"/>
        <v>0</v>
      </c>
      <c r="BZ246" s="17">
        <f t="shared" si="184"/>
        <v>0</v>
      </c>
      <c r="CA246" s="17">
        <f t="shared" si="185"/>
        <v>0</v>
      </c>
      <c r="CB246" s="17">
        <f t="shared" si="186"/>
        <v>0</v>
      </c>
      <c r="CC246" s="17">
        <f t="shared" si="187"/>
        <v>0</v>
      </c>
      <c r="CD246" s="17">
        <f t="shared" si="188"/>
        <v>0</v>
      </c>
      <c r="CE246" s="17">
        <f t="shared" si="189"/>
        <v>0</v>
      </c>
      <c r="CF246" s="17">
        <f t="shared" si="190"/>
        <v>0</v>
      </c>
      <c r="CG246" s="17">
        <f t="shared" si="191"/>
        <v>0</v>
      </c>
      <c r="CH246" s="17">
        <f t="shared" si="192"/>
        <v>0</v>
      </c>
      <c r="CI246" s="17">
        <f t="shared" si="193"/>
        <v>0</v>
      </c>
      <c r="CJ246" s="17">
        <f t="shared" si="194"/>
        <v>0</v>
      </c>
      <c r="CK246" s="17">
        <f t="shared" si="195"/>
        <v>0</v>
      </c>
      <c r="CL246" s="17">
        <f t="shared" si="196"/>
        <v>0</v>
      </c>
      <c r="CM246" s="14">
        <f t="shared" si="197"/>
        <v>12578</v>
      </c>
      <c r="CN246" s="17">
        <f t="shared" si="198"/>
        <v>11.098203794803933</v>
      </c>
      <c r="CO246" s="14">
        <f t="shared" si="199"/>
        <v>16266</v>
      </c>
      <c r="CP246" s="17">
        <f t="shared" si="200"/>
        <v>14.352312205937412</v>
      </c>
      <c r="CQ246" s="14">
        <f t="shared" si="174"/>
        <v>16266</v>
      </c>
      <c r="CR246" s="14">
        <v>0</v>
      </c>
      <c r="CS246" s="14">
        <v>0</v>
      </c>
      <c r="CT246" s="14">
        <v>0</v>
      </c>
      <c r="CU246" s="14">
        <v>0</v>
      </c>
    </row>
    <row r="247" spans="1:99" x14ac:dyDescent="0.3">
      <c r="A247" s="14">
        <v>2015</v>
      </c>
      <c r="B247" s="14" t="s">
        <v>45</v>
      </c>
      <c r="C247" s="14" t="s">
        <v>46</v>
      </c>
      <c r="D247" s="15">
        <v>422845.4</v>
      </c>
      <c r="E247" s="15">
        <v>11625998.500000007</v>
      </c>
      <c r="F247" s="15">
        <f t="shared" si="175"/>
        <v>27.494678906285859</v>
      </c>
      <c r="H247" s="14">
        <v>142</v>
      </c>
      <c r="M247" s="14">
        <v>6700</v>
      </c>
      <c r="AB247" s="14">
        <f t="shared" si="176"/>
        <v>0</v>
      </c>
      <c r="AM247" s="14">
        <f t="shared" si="177"/>
        <v>0</v>
      </c>
      <c r="AQ247" s="14">
        <f t="shared" si="178"/>
        <v>0</v>
      </c>
      <c r="AT247" s="14">
        <f t="shared" si="179"/>
        <v>0</v>
      </c>
      <c r="AU247" s="16">
        <v>1954</v>
      </c>
      <c r="AV247" s="16">
        <v>8778</v>
      </c>
      <c r="AW247" s="16">
        <v>752</v>
      </c>
      <c r="AX247" s="16">
        <v>0</v>
      </c>
      <c r="AY247" s="18">
        <f t="shared" si="180"/>
        <v>1.680715854212435</v>
      </c>
      <c r="AZ247" s="17">
        <f t="shared" si="181"/>
        <v>7.5503192263442962</v>
      </c>
      <c r="BA247" s="17">
        <f t="shared" si="182"/>
        <v>0.64682616293129536</v>
      </c>
      <c r="BB247" s="17">
        <f t="shared" si="183"/>
        <v>0</v>
      </c>
      <c r="BC247" s="17">
        <f t="shared" si="151"/>
        <v>0</v>
      </c>
      <c r="BD247" s="17">
        <f t="shared" si="152"/>
        <v>0.12214004672372863</v>
      </c>
      <c r="BE247" s="17">
        <f t="shared" si="153"/>
        <v>0</v>
      </c>
      <c r="BF247" s="17">
        <f t="shared" si="154"/>
        <v>0</v>
      </c>
      <c r="BG247" s="17">
        <f t="shared" si="155"/>
        <v>0</v>
      </c>
      <c r="BH247" s="17">
        <f t="shared" si="156"/>
        <v>0</v>
      </c>
      <c r="BI247" s="17">
        <f t="shared" si="157"/>
        <v>5.7629458665421263</v>
      </c>
      <c r="BJ247" s="17">
        <f t="shared" si="158"/>
        <v>0</v>
      </c>
      <c r="BK247" s="17">
        <f t="shared" si="159"/>
        <v>0</v>
      </c>
      <c r="BL247" s="17">
        <f t="shared" si="160"/>
        <v>0</v>
      </c>
      <c r="BM247" s="17">
        <f t="shared" si="161"/>
        <v>0</v>
      </c>
      <c r="BN247" s="17">
        <f t="shared" si="162"/>
        <v>0</v>
      </c>
      <c r="BO247" s="17">
        <f t="shared" si="163"/>
        <v>0</v>
      </c>
      <c r="BP247" s="17">
        <f t="shared" si="164"/>
        <v>0</v>
      </c>
      <c r="BQ247" s="17">
        <f t="shared" si="165"/>
        <v>0</v>
      </c>
      <c r="BR247" s="17">
        <f t="shared" si="166"/>
        <v>0</v>
      </c>
      <c r="BS247" s="17">
        <f t="shared" si="167"/>
        <v>0</v>
      </c>
      <c r="BT247" s="17">
        <f t="shared" si="168"/>
        <v>0</v>
      </c>
      <c r="BU247" s="17">
        <f t="shared" si="169"/>
        <v>0</v>
      </c>
      <c r="BV247" s="17">
        <f t="shared" si="170"/>
        <v>0</v>
      </c>
      <c r="BW247" s="17">
        <f t="shared" si="171"/>
        <v>0</v>
      </c>
      <c r="BX247" s="17">
        <f t="shared" si="172"/>
        <v>0</v>
      </c>
      <c r="BY247" s="17">
        <f t="shared" si="173"/>
        <v>0</v>
      </c>
      <c r="BZ247" s="17">
        <f t="shared" si="184"/>
        <v>0</v>
      </c>
      <c r="CA247" s="17">
        <f t="shared" si="185"/>
        <v>0</v>
      </c>
      <c r="CB247" s="17">
        <f t="shared" si="186"/>
        <v>0</v>
      </c>
      <c r="CC247" s="17">
        <f t="shared" si="187"/>
        <v>0</v>
      </c>
      <c r="CD247" s="17">
        <f t="shared" si="188"/>
        <v>0</v>
      </c>
      <c r="CE247" s="17">
        <f t="shared" si="189"/>
        <v>0</v>
      </c>
      <c r="CF247" s="17">
        <f t="shared" si="190"/>
        <v>0</v>
      </c>
      <c r="CG247" s="17">
        <f t="shared" si="191"/>
        <v>0</v>
      </c>
      <c r="CH247" s="17">
        <f t="shared" si="192"/>
        <v>0</v>
      </c>
      <c r="CI247" s="17">
        <f t="shared" si="193"/>
        <v>0</v>
      </c>
      <c r="CJ247" s="17">
        <f t="shared" si="194"/>
        <v>0</v>
      </c>
      <c r="CK247" s="17">
        <f t="shared" si="195"/>
        <v>0</v>
      </c>
      <c r="CL247" s="17">
        <f t="shared" si="196"/>
        <v>0</v>
      </c>
      <c r="CM247" s="14">
        <f t="shared" si="197"/>
        <v>9530</v>
      </c>
      <c r="CN247" s="17">
        <f t="shared" si="198"/>
        <v>8.1971453892755903</v>
      </c>
      <c r="CO247" s="14">
        <f t="shared" si="199"/>
        <v>11484</v>
      </c>
      <c r="CP247" s="17">
        <f t="shared" si="200"/>
        <v>9.8778612434880255</v>
      </c>
      <c r="CQ247" s="14">
        <f t="shared" si="174"/>
        <v>18326</v>
      </c>
      <c r="CR247" s="14">
        <v>14263</v>
      </c>
      <c r="CS247" s="14">
        <v>0</v>
      </c>
      <c r="CT247" s="14">
        <v>0</v>
      </c>
      <c r="CU247" s="14">
        <v>0</v>
      </c>
    </row>
    <row r="248" spans="1:99" x14ac:dyDescent="0.3">
      <c r="A248" s="14">
        <v>2016</v>
      </c>
      <c r="B248" s="14" t="s">
        <v>45</v>
      </c>
      <c r="C248" s="14" t="s">
        <v>46</v>
      </c>
      <c r="D248" s="15">
        <v>431325.2</v>
      </c>
      <c r="E248" s="15">
        <v>11930984.999999998</v>
      </c>
      <c r="F248" s="15">
        <f t="shared" si="175"/>
        <v>27.66122869704807</v>
      </c>
      <c r="G248" s="14">
        <v>50</v>
      </c>
      <c r="H248" s="14">
        <v>107</v>
      </c>
      <c r="M248" s="14">
        <v>6700</v>
      </c>
      <c r="V248" s="14">
        <v>8</v>
      </c>
      <c r="Y248" s="14">
        <v>209</v>
      </c>
      <c r="AB248" s="14">
        <f t="shared" si="176"/>
        <v>0</v>
      </c>
      <c r="AM248" s="14">
        <f t="shared" si="177"/>
        <v>0</v>
      </c>
      <c r="AQ248" s="14">
        <f t="shared" si="178"/>
        <v>0</v>
      </c>
      <c r="AT248" s="14">
        <f t="shared" si="179"/>
        <v>0</v>
      </c>
      <c r="AU248" s="16">
        <v>1954</v>
      </c>
      <c r="AV248" s="16">
        <v>2020</v>
      </c>
      <c r="AW248" s="16">
        <v>886</v>
      </c>
      <c r="AX248" s="16">
        <v>0</v>
      </c>
      <c r="AY248" s="18">
        <f t="shared" si="180"/>
        <v>1.6377524571525321</v>
      </c>
      <c r="AZ248" s="17">
        <f t="shared" si="181"/>
        <v>1.6930706056541018</v>
      </c>
      <c r="BA248" s="17">
        <f t="shared" si="182"/>
        <v>0.74260423594531388</v>
      </c>
      <c r="BB248" s="17">
        <f t="shared" si="183"/>
        <v>0</v>
      </c>
      <c r="BC248" s="17">
        <f t="shared" si="151"/>
        <v>4.1907688258764897E-2</v>
      </c>
      <c r="BD248" s="17">
        <f t="shared" si="152"/>
        <v>8.9682452873756868E-2</v>
      </c>
      <c r="BE248" s="17">
        <f t="shared" si="153"/>
        <v>0</v>
      </c>
      <c r="BF248" s="17">
        <f t="shared" si="154"/>
        <v>0</v>
      </c>
      <c r="BG248" s="17">
        <f t="shared" si="155"/>
        <v>0</v>
      </c>
      <c r="BH248" s="17">
        <f t="shared" si="156"/>
        <v>0</v>
      </c>
      <c r="BI248" s="17">
        <f t="shared" si="157"/>
        <v>5.6156302266744955</v>
      </c>
      <c r="BJ248" s="17">
        <f t="shared" si="158"/>
        <v>0</v>
      </c>
      <c r="BK248" s="17">
        <f t="shared" si="159"/>
        <v>0</v>
      </c>
      <c r="BL248" s="17">
        <f t="shared" si="160"/>
        <v>0</v>
      </c>
      <c r="BM248" s="17">
        <f t="shared" si="161"/>
        <v>0</v>
      </c>
      <c r="BN248" s="17">
        <f t="shared" si="162"/>
        <v>0</v>
      </c>
      <c r="BO248" s="17">
        <f t="shared" si="163"/>
        <v>0</v>
      </c>
      <c r="BP248" s="17">
        <f t="shared" si="164"/>
        <v>0</v>
      </c>
      <c r="BQ248" s="17">
        <f t="shared" si="165"/>
        <v>0</v>
      </c>
      <c r="BR248" s="17">
        <f t="shared" si="166"/>
        <v>6.7052301214023833E-3</v>
      </c>
      <c r="BS248" s="17">
        <f t="shared" si="167"/>
        <v>0</v>
      </c>
      <c r="BT248" s="17">
        <f t="shared" si="168"/>
        <v>0</v>
      </c>
      <c r="BU248" s="17">
        <f t="shared" si="169"/>
        <v>0.17517413692163725</v>
      </c>
      <c r="BV248" s="17">
        <f t="shared" si="170"/>
        <v>0</v>
      </c>
      <c r="BW248" s="17">
        <f t="shared" si="171"/>
        <v>0</v>
      </c>
      <c r="BX248" s="17">
        <f t="shared" si="172"/>
        <v>0</v>
      </c>
      <c r="BY248" s="17">
        <f t="shared" si="173"/>
        <v>0</v>
      </c>
      <c r="BZ248" s="17">
        <f t="shared" si="184"/>
        <v>0</v>
      </c>
      <c r="CA248" s="17">
        <f t="shared" si="185"/>
        <v>0</v>
      </c>
      <c r="CB248" s="17">
        <f t="shared" si="186"/>
        <v>0</v>
      </c>
      <c r="CC248" s="17">
        <f t="shared" si="187"/>
        <v>0</v>
      </c>
      <c r="CD248" s="17">
        <f t="shared" si="188"/>
        <v>0</v>
      </c>
      <c r="CE248" s="17">
        <f t="shared" si="189"/>
        <v>0</v>
      </c>
      <c r="CF248" s="17">
        <f t="shared" si="190"/>
        <v>0</v>
      </c>
      <c r="CG248" s="17">
        <f t="shared" si="191"/>
        <v>0</v>
      </c>
      <c r="CH248" s="17">
        <f t="shared" si="192"/>
        <v>0</v>
      </c>
      <c r="CI248" s="17">
        <f t="shared" si="193"/>
        <v>0</v>
      </c>
      <c r="CJ248" s="17">
        <f t="shared" si="194"/>
        <v>0</v>
      </c>
      <c r="CK248" s="17">
        <f t="shared" si="195"/>
        <v>0</v>
      </c>
      <c r="CL248" s="17">
        <f t="shared" si="196"/>
        <v>0</v>
      </c>
      <c r="CM248" s="14">
        <f t="shared" si="197"/>
        <v>2906</v>
      </c>
      <c r="CN248" s="17"/>
      <c r="CO248" s="14">
        <f t="shared" si="199"/>
        <v>4860</v>
      </c>
      <c r="CP248" s="17"/>
      <c r="CQ248" s="14">
        <f t="shared" si="174"/>
        <v>11934</v>
      </c>
      <c r="CR248" s="14">
        <v>0</v>
      </c>
      <c r="CS248" s="14">
        <v>0</v>
      </c>
      <c r="CT248" s="14">
        <v>0</v>
      </c>
      <c r="CU248" s="14">
        <v>0</v>
      </c>
    </row>
    <row r="249" spans="1:99" x14ac:dyDescent="0.3">
      <c r="A249" s="14">
        <v>2017</v>
      </c>
      <c r="B249" s="14" t="s">
        <v>45</v>
      </c>
      <c r="C249" s="14" t="s">
        <v>46</v>
      </c>
      <c r="D249" s="15">
        <v>435595</v>
      </c>
      <c r="E249" s="15">
        <v>12240788.500000004</v>
      </c>
      <c r="F249" s="15">
        <f t="shared" si="175"/>
        <v>28.101306259254592</v>
      </c>
      <c r="AB249" s="14">
        <f t="shared" si="176"/>
        <v>0</v>
      </c>
      <c r="AM249" s="14">
        <f t="shared" si="177"/>
        <v>0</v>
      </c>
      <c r="AQ249" s="14">
        <f t="shared" si="178"/>
        <v>0</v>
      </c>
      <c r="AT249" s="14">
        <f t="shared" si="179"/>
        <v>0</v>
      </c>
      <c r="AU249" s="16">
        <v>0</v>
      </c>
      <c r="AV249" s="16">
        <v>0</v>
      </c>
      <c r="AW249" s="16">
        <v>0</v>
      </c>
      <c r="AX249" s="16">
        <v>0</v>
      </c>
      <c r="AY249" s="18">
        <f t="shared" si="180"/>
        <v>0</v>
      </c>
      <c r="AZ249" s="17">
        <f t="shared" si="181"/>
        <v>0</v>
      </c>
      <c r="BA249" s="17">
        <f t="shared" si="182"/>
        <v>0</v>
      </c>
      <c r="BB249" s="17">
        <f t="shared" si="183"/>
        <v>0</v>
      </c>
      <c r="BC249" s="17">
        <f t="shared" si="151"/>
        <v>0</v>
      </c>
      <c r="BD249" s="17">
        <f t="shared" si="152"/>
        <v>0</v>
      </c>
      <c r="BE249" s="17">
        <f t="shared" si="153"/>
        <v>0</v>
      </c>
      <c r="BF249" s="17">
        <f t="shared" si="154"/>
        <v>0</v>
      </c>
      <c r="BG249" s="17">
        <f t="shared" si="155"/>
        <v>0</v>
      </c>
      <c r="BH249" s="17">
        <f t="shared" si="156"/>
        <v>0</v>
      </c>
      <c r="BI249" s="17">
        <f t="shared" si="157"/>
        <v>0</v>
      </c>
      <c r="BJ249" s="17">
        <f t="shared" si="158"/>
        <v>0</v>
      </c>
      <c r="BK249" s="17">
        <f t="shared" si="159"/>
        <v>0</v>
      </c>
      <c r="BL249" s="17">
        <f t="shared" si="160"/>
        <v>0</v>
      </c>
      <c r="BM249" s="17">
        <f t="shared" si="161"/>
        <v>0</v>
      </c>
      <c r="BN249" s="17">
        <f t="shared" si="162"/>
        <v>0</v>
      </c>
      <c r="BO249" s="17">
        <f t="shared" si="163"/>
        <v>0</v>
      </c>
      <c r="BP249" s="17">
        <f t="shared" si="164"/>
        <v>0</v>
      </c>
      <c r="BQ249" s="17">
        <f t="shared" si="165"/>
        <v>0</v>
      </c>
      <c r="BR249" s="17">
        <f t="shared" si="166"/>
        <v>0</v>
      </c>
      <c r="BS249" s="17">
        <f t="shared" si="167"/>
        <v>0</v>
      </c>
      <c r="BT249" s="17">
        <f t="shared" si="168"/>
        <v>0</v>
      </c>
      <c r="BU249" s="17">
        <f t="shared" si="169"/>
        <v>0</v>
      </c>
      <c r="BV249" s="17">
        <f t="shared" si="170"/>
        <v>0</v>
      </c>
      <c r="BW249" s="17">
        <f t="shared" si="171"/>
        <v>0</v>
      </c>
      <c r="BX249" s="17">
        <f t="shared" si="172"/>
        <v>0</v>
      </c>
      <c r="BY249" s="17">
        <f t="shared" si="173"/>
        <v>0</v>
      </c>
      <c r="BZ249" s="17">
        <f t="shared" si="184"/>
        <v>0</v>
      </c>
      <c r="CA249" s="17">
        <f t="shared" si="185"/>
        <v>0</v>
      </c>
      <c r="CB249" s="17">
        <f t="shared" si="186"/>
        <v>0</v>
      </c>
      <c r="CC249" s="17">
        <f t="shared" si="187"/>
        <v>0</v>
      </c>
      <c r="CD249" s="17">
        <f t="shared" si="188"/>
        <v>0</v>
      </c>
      <c r="CE249" s="17">
        <f t="shared" si="189"/>
        <v>0</v>
      </c>
      <c r="CF249" s="17">
        <f t="shared" si="190"/>
        <v>0</v>
      </c>
      <c r="CG249" s="17">
        <f t="shared" si="191"/>
        <v>0</v>
      </c>
      <c r="CH249" s="17">
        <f t="shared" si="192"/>
        <v>0</v>
      </c>
      <c r="CI249" s="17">
        <f t="shared" si="193"/>
        <v>0</v>
      </c>
      <c r="CJ249" s="17">
        <f t="shared" si="194"/>
        <v>0</v>
      </c>
      <c r="CK249" s="17">
        <f t="shared" si="195"/>
        <v>0</v>
      </c>
      <c r="CL249" s="17">
        <f t="shared" si="196"/>
        <v>0</v>
      </c>
      <c r="CM249" s="14">
        <f t="shared" si="197"/>
        <v>0</v>
      </c>
      <c r="CN249" s="17">
        <f t="shared" si="198"/>
        <v>0</v>
      </c>
      <c r="CO249" s="14">
        <f t="shared" si="199"/>
        <v>0</v>
      </c>
      <c r="CP249" s="17">
        <f t="shared" si="200"/>
        <v>0</v>
      </c>
      <c r="CQ249" s="14">
        <f t="shared" si="174"/>
        <v>0</v>
      </c>
      <c r="CR249" s="14">
        <v>106</v>
      </c>
      <c r="CS249" s="14">
        <v>0</v>
      </c>
      <c r="CT249" s="14">
        <v>0</v>
      </c>
      <c r="CU249" s="14">
        <v>0</v>
      </c>
    </row>
    <row r="250" spans="1:99" x14ac:dyDescent="0.3">
      <c r="A250" s="14">
        <v>2018</v>
      </c>
      <c r="B250" s="14" t="s">
        <v>45</v>
      </c>
      <c r="C250" s="14" t="s">
        <v>46</v>
      </c>
      <c r="D250" s="15">
        <v>438506.5</v>
      </c>
      <c r="E250" s="15">
        <v>12554864.499999998</v>
      </c>
      <c r="F250" s="15">
        <f t="shared" si="175"/>
        <v>28.630965561513907</v>
      </c>
      <c r="G250" s="14">
        <v>73</v>
      </c>
      <c r="H250" s="14">
        <v>255</v>
      </c>
      <c r="M250" s="14">
        <v>16567</v>
      </c>
      <c r="Z250" s="14">
        <v>181</v>
      </c>
      <c r="AB250" s="14">
        <f t="shared" si="176"/>
        <v>0</v>
      </c>
      <c r="AM250" s="14">
        <f t="shared" si="177"/>
        <v>0</v>
      </c>
      <c r="AQ250" s="14">
        <f t="shared" si="178"/>
        <v>0</v>
      </c>
      <c r="AT250" s="14">
        <f t="shared" si="179"/>
        <v>0</v>
      </c>
      <c r="AU250" s="16">
        <v>5574</v>
      </c>
      <c r="AV250" s="16">
        <v>14390</v>
      </c>
      <c r="AW250" s="16">
        <v>0</v>
      </c>
      <c r="AX250" s="16">
        <v>0</v>
      </c>
      <c r="AY250" s="18">
        <f t="shared" si="180"/>
        <v>4.4397133875877364</v>
      </c>
      <c r="AZ250" s="17">
        <f t="shared" si="181"/>
        <v>11.461692796445554</v>
      </c>
      <c r="BA250" s="17">
        <f t="shared" si="182"/>
        <v>0</v>
      </c>
      <c r="BB250" s="17">
        <f t="shared" si="183"/>
        <v>0</v>
      </c>
      <c r="BC250" s="17">
        <f t="shared" si="151"/>
        <v>5.8144793199480578E-2</v>
      </c>
      <c r="BD250" s="17">
        <f t="shared" si="152"/>
        <v>0.20310852418996639</v>
      </c>
      <c r="BE250" s="17">
        <f t="shared" si="153"/>
        <v>0</v>
      </c>
      <c r="BF250" s="17">
        <f t="shared" si="154"/>
        <v>0</v>
      </c>
      <c r="BG250" s="17">
        <f t="shared" si="155"/>
        <v>0</v>
      </c>
      <c r="BH250" s="17">
        <f t="shared" si="156"/>
        <v>0</v>
      </c>
      <c r="BI250" s="17">
        <f t="shared" si="157"/>
        <v>13.195682040216365</v>
      </c>
      <c r="BJ250" s="17">
        <f t="shared" si="158"/>
        <v>0</v>
      </c>
      <c r="BK250" s="17">
        <f t="shared" si="159"/>
        <v>0</v>
      </c>
      <c r="BL250" s="17">
        <f t="shared" si="160"/>
        <v>0</v>
      </c>
      <c r="BM250" s="17">
        <f t="shared" si="161"/>
        <v>0</v>
      </c>
      <c r="BN250" s="17">
        <f t="shared" si="162"/>
        <v>0</v>
      </c>
      <c r="BO250" s="17">
        <f t="shared" si="163"/>
        <v>0</v>
      </c>
      <c r="BP250" s="17">
        <f t="shared" si="164"/>
        <v>0</v>
      </c>
      <c r="BQ250" s="17">
        <f t="shared" si="165"/>
        <v>0</v>
      </c>
      <c r="BR250" s="17">
        <f t="shared" si="166"/>
        <v>0</v>
      </c>
      <c r="BS250" s="17">
        <f t="shared" si="167"/>
        <v>0</v>
      </c>
      <c r="BT250" s="17">
        <f t="shared" si="168"/>
        <v>0</v>
      </c>
      <c r="BU250" s="17">
        <f t="shared" si="169"/>
        <v>0</v>
      </c>
      <c r="BV250" s="17">
        <f t="shared" si="170"/>
        <v>0.14416722697405457</v>
      </c>
      <c r="BW250" s="17">
        <f t="shared" si="171"/>
        <v>0</v>
      </c>
      <c r="BX250" s="17">
        <f t="shared" si="172"/>
        <v>0</v>
      </c>
      <c r="BY250" s="17">
        <f t="shared" si="173"/>
        <v>0</v>
      </c>
      <c r="BZ250" s="17">
        <f t="shared" si="184"/>
        <v>0</v>
      </c>
      <c r="CA250" s="17">
        <f t="shared" si="185"/>
        <v>0</v>
      </c>
      <c r="CB250" s="17">
        <f t="shared" si="186"/>
        <v>0</v>
      </c>
      <c r="CC250" s="17">
        <f t="shared" si="187"/>
        <v>0</v>
      </c>
      <c r="CD250" s="17">
        <f t="shared" si="188"/>
        <v>0</v>
      </c>
      <c r="CE250" s="17">
        <f t="shared" si="189"/>
        <v>0</v>
      </c>
      <c r="CF250" s="17">
        <f t="shared" si="190"/>
        <v>0</v>
      </c>
      <c r="CG250" s="17">
        <f t="shared" si="191"/>
        <v>0</v>
      </c>
      <c r="CH250" s="17">
        <f t="shared" si="192"/>
        <v>0</v>
      </c>
      <c r="CI250" s="17">
        <f t="shared" si="193"/>
        <v>0</v>
      </c>
      <c r="CJ250" s="17">
        <f t="shared" si="194"/>
        <v>0</v>
      </c>
      <c r="CK250" s="17">
        <f t="shared" si="195"/>
        <v>0</v>
      </c>
      <c r="CL250" s="17">
        <f t="shared" si="196"/>
        <v>0</v>
      </c>
      <c r="CM250" s="14">
        <f t="shared" si="197"/>
        <v>14390</v>
      </c>
      <c r="CN250" s="17">
        <f t="shared" si="198"/>
        <v>11.461692796445554</v>
      </c>
      <c r="CO250" s="14">
        <f t="shared" si="199"/>
        <v>19964</v>
      </c>
      <c r="CP250" s="17">
        <f t="shared" si="200"/>
        <v>15.901406184033291</v>
      </c>
      <c r="CQ250" s="14">
        <f t="shared" si="174"/>
        <v>37040</v>
      </c>
      <c r="CR250" s="14">
        <v>0</v>
      </c>
      <c r="CS250" s="14">
        <v>0</v>
      </c>
      <c r="CT250" s="14">
        <v>0</v>
      </c>
      <c r="CU250" s="14">
        <v>0</v>
      </c>
    </row>
    <row r="251" spans="1:99" x14ac:dyDescent="0.3">
      <c r="A251" s="14">
        <v>2019</v>
      </c>
      <c r="B251" s="14" t="s">
        <v>45</v>
      </c>
      <c r="C251" s="14" t="s">
        <v>46</v>
      </c>
      <c r="D251" s="15">
        <v>442929.1</v>
      </c>
      <c r="E251" s="15">
        <v>12877538.499999994</v>
      </c>
      <c r="F251" s="15">
        <f t="shared" si="175"/>
        <v>29.073588752692011</v>
      </c>
      <c r="AB251" s="14">
        <f t="shared" si="176"/>
        <v>0</v>
      </c>
      <c r="AM251" s="14">
        <f t="shared" si="177"/>
        <v>0</v>
      </c>
      <c r="AQ251" s="14">
        <f t="shared" si="178"/>
        <v>0</v>
      </c>
      <c r="AT251" s="14">
        <f t="shared" si="179"/>
        <v>0</v>
      </c>
      <c r="AU251" s="16">
        <v>0</v>
      </c>
      <c r="AV251" s="16">
        <v>0</v>
      </c>
      <c r="AW251" s="16">
        <v>0</v>
      </c>
      <c r="AX251" s="16">
        <v>0</v>
      </c>
      <c r="AY251" s="18">
        <f t="shared" si="180"/>
        <v>0</v>
      </c>
      <c r="AZ251" s="17">
        <f t="shared" si="181"/>
        <v>0</v>
      </c>
      <c r="BA251" s="17">
        <f t="shared" si="182"/>
        <v>0</v>
      </c>
      <c r="BB251" s="17">
        <f t="shared" si="183"/>
        <v>0</v>
      </c>
      <c r="BC251" s="17">
        <f t="shared" si="151"/>
        <v>0</v>
      </c>
      <c r="BD251" s="17">
        <f t="shared" si="152"/>
        <v>0</v>
      </c>
      <c r="BE251" s="17">
        <f t="shared" si="153"/>
        <v>0</v>
      </c>
      <c r="BF251" s="17">
        <f t="shared" si="154"/>
        <v>0</v>
      </c>
      <c r="BG251" s="17">
        <f t="shared" si="155"/>
        <v>0</v>
      </c>
      <c r="BH251" s="17">
        <f t="shared" si="156"/>
        <v>0</v>
      </c>
      <c r="BI251" s="17">
        <f t="shared" si="157"/>
        <v>0</v>
      </c>
      <c r="BJ251" s="17">
        <f t="shared" si="158"/>
        <v>0</v>
      </c>
      <c r="BK251" s="17">
        <f t="shared" si="159"/>
        <v>0</v>
      </c>
      <c r="BL251" s="17">
        <f t="shared" si="160"/>
        <v>0</v>
      </c>
      <c r="BM251" s="17">
        <f t="shared" si="161"/>
        <v>0</v>
      </c>
      <c r="BN251" s="17">
        <f t="shared" si="162"/>
        <v>0</v>
      </c>
      <c r="BO251" s="17">
        <f t="shared" si="163"/>
        <v>0</v>
      </c>
      <c r="BP251" s="17">
        <f t="shared" si="164"/>
        <v>0</v>
      </c>
      <c r="BQ251" s="17">
        <f t="shared" si="165"/>
        <v>0</v>
      </c>
      <c r="BR251" s="17">
        <f t="shared" si="166"/>
        <v>0</v>
      </c>
      <c r="BS251" s="17">
        <f t="shared" si="167"/>
        <v>0</v>
      </c>
      <c r="BT251" s="17">
        <f t="shared" si="168"/>
        <v>0</v>
      </c>
      <c r="BU251" s="17">
        <f t="shared" si="169"/>
        <v>0</v>
      </c>
      <c r="BV251" s="17">
        <f t="shared" si="170"/>
        <v>0</v>
      </c>
      <c r="BW251" s="17">
        <f t="shared" si="171"/>
        <v>0</v>
      </c>
      <c r="BX251" s="17">
        <f t="shared" si="172"/>
        <v>0</v>
      </c>
      <c r="BY251" s="17">
        <f t="shared" si="173"/>
        <v>0</v>
      </c>
      <c r="BZ251" s="17">
        <f t="shared" si="184"/>
        <v>0</v>
      </c>
      <c r="CA251" s="17">
        <f t="shared" si="185"/>
        <v>0</v>
      </c>
      <c r="CB251" s="17">
        <f t="shared" si="186"/>
        <v>0</v>
      </c>
      <c r="CC251" s="17">
        <f t="shared" si="187"/>
        <v>0</v>
      </c>
      <c r="CD251" s="17">
        <f t="shared" si="188"/>
        <v>0</v>
      </c>
      <c r="CE251" s="17">
        <f t="shared" si="189"/>
        <v>0</v>
      </c>
      <c r="CF251" s="17">
        <f t="shared" si="190"/>
        <v>0</v>
      </c>
      <c r="CG251" s="17">
        <f t="shared" si="191"/>
        <v>0</v>
      </c>
      <c r="CH251" s="17">
        <f t="shared" si="192"/>
        <v>0</v>
      </c>
      <c r="CI251" s="17">
        <f t="shared" si="193"/>
        <v>0</v>
      </c>
      <c r="CJ251" s="17">
        <f t="shared" si="194"/>
        <v>0</v>
      </c>
      <c r="CK251" s="17">
        <f t="shared" si="195"/>
        <v>0</v>
      </c>
      <c r="CL251" s="17">
        <f t="shared" si="196"/>
        <v>0</v>
      </c>
      <c r="CM251" s="14">
        <f t="shared" si="197"/>
        <v>0</v>
      </c>
      <c r="CN251" s="17">
        <f t="shared" si="198"/>
        <v>0</v>
      </c>
      <c r="CO251" s="14">
        <f t="shared" si="199"/>
        <v>0</v>
      </c>
      <c r="CP251" s="17">
        <f t="shared" si="200"/>
        <v>0</v>
      </c>
      <c r="CQ251" s="14">
        <f t="shared" si="174"/>
        <v>0</v>
      </c>
      <c r="CR251" s="14">
        <v>0</v>
      </c>
      <c r="CS251" s="14">
        <v>0</v>
      </c>
      <c r="CT251" s="14">
        <v>0</v>
      </c>
      <c r="CU251" s="14">
        <v>363</v>
      </c>
    </row>
    <row r="252" spans="1:99" x14ac:dyDescent="0.3">
      <c r="A252" s="14">
        <v>2020</v>
      </c>
      <c r="B252" s="14" t="s">
        <v>45</v>
      </c>
      <c r="C252" s="14" t="s">
        <v>46</v>
      </c>
      <c r="D252" s="15">
        <v>448514.4</v>
      </c>
      <c r="E252" s="15">
        <v>13205152.499999998</v>
      </c>
      <c r="F252" s="15">
        <f t="shared" si="175"/>
        <v>29.441981127027354</v>
      </c>
      <c r="AB252" s="14">
        <f t="shared" si="176"/>
        <v>0</v>
      </c>
      <c r="AM252" s="14">
        <f t="shared" si="177"/>
        <v>0</v>
      </c>
      <c r="AQ252" s="14">
        <f t="shared" si="178"/>
        <v>0</v>
      </c>
      <c r="AT252" s="14">
        <f t="shared" si="179"/>
        <v>0</v>
      </c>
      <c r="AU252" s="16">
        <v>0</v>
      </c>
      <c r="AV252" s="16">
        <v>0</v>
      </c>
      <c r="AW252" s="16">
        <v>0</v>
      </c>
      <c r="AX252" s="16">
        <v>0</v>
      </c>
      <c r="AY252" s="18">
        <f t="shared" si="180"/>
        <v>0</v>
      </c>
      <c r="AZ252" s="17">
        <f t="shared" si="181"/>
        <v>0</v>
      </c>
      <c r="BA252" s="17">
        <f t="shared" si="182"/>
        <v>0</v>
      </c>
      <c r="BB252" s="17">
        <f t="shared" si="183"/>
        <v>0</v>
      </c>
      <c r="BC252" s="17">
        <f t="shared" si="151"/>
        <v>0</v>
      </c>
      <c r="BD252" s="17">
        <f t="shared" si="152"/>
        <v>0</v>
      </c>
      <c r="BE252" s="17">
        <f t="shared" si="153"/>
        <v>0</v>
      </c>
      <c r="BF252" s="17">
        <f t="shared" si="154"/>
        <v>0</v>
      </c>
      <c r="BG252" s="17">
        <f t="shared" si="155"/>
        <v>0</v>
      </c>
      <c r="BH252" s="17">
        <f t="shared" si="156"/>
        <v>0</v>
      </c>
      <c r="BI252" s="17">
        <f t="shared" si="157"/>
        <v>0</v>
      </c>
      <c r="BJ252" s="17">
        <f t="shared" si="158"/>
        <v>0</v>
      </c>
      <c r="BK252" s="17">
        <f t="shared" si="159"/>
        <v>0</v>
      </c>
      <c r="BL252" s="17">
        <f t="shared" si="160"/>
        <v>0</v>
      </c>
      <c r="BM252" s="17">
        <f t="shared" si="161"/>
        <v>0</v>
      </c>
      <c r="BN252" s="17">
        <f t="shared" si="162"/>
        <v>0</v>
      </c>
      <c r="BO252" s="17">
        <f t="shared" si="163"/>
        <v>0</v>
      </c>
      <c r="BP252" s="17">
        <f t="shared" si="164"/>
        <v>0</v>
      </c>
      <c r="BQ252" s="17">
        <f t="shared" si="165"/>
        <v>0</v>
      </c>
      <c r="BR252" s="17">
        <f t="shared" si="166"/>
        <v>0</v>
      </c>
      <c r="BS252" s="17">
        <f t="shared" si="167"/>
        <v>0</v>
      </c>
      <c r="BT252" s="17">
        <f t="shared" si="168"/>
        <v>0</v>
      </c>
      <c r="BU252" s="17">
        <f t="shared" si="169"/>
        <v>0</v>
      </c>
      <c r="BV252" s="17">
        <f t="shared" si="170"/>
        <v>0</v>
      </c>
      <c r="BW252" s="17">
        <f t="shared" si="171"/>
        <v>0</v>
      </c>
      <c r="BX252" s="17">
        <f t="shared" si="172"/>
        <v>0</v>
      </c>
      <c r="BY252" s="17">
        <f t="shared" si="173"/>
        <v>0</v>
      </c>
      <c r="BZ252" s="17">
        <f t="shared" si="184"/>
        <v>0</v>
      </c>
      <c r="CA252" s="17">
        <f t="shared" si="185"/>
        <v>0</v>
      </c>
      <c r="CB252" s="17">
        <f t="shared" si="186"/>
        <v>0</v>
      </c>
      <c r="CC252" s="17">
        <f t="shared" si="187"/>
        <v>0</v>
      </c>
      <c r="CD252" s="17">
        <f t="shared" si="188"/>
        <v>0</v>
      </c>
      <c r="CE252" s="17">
        <f t="shared" si="189"/>
        <v>0</v>
      </c>
      <c r="CF252" s="17">
        <f t="shared" si="190"/>
        <v>0</v>
      </c>
      <c r="CG252" s="17">
        <f t="shared" si="191"/>
        <v>0</v>
      </c>
      <c r="CH252" s="17">
        <f t="shared" si="192"/>
        <v>0</v>
      </c>
      <c r="CI252" s="17">
        <f t="shared" si="193"/>
        <v>0</v>
      </c>
      <c r="CJ252" s="17">
        <f t="shared" si="194"/>
        <v>0</v>
      </c>
      <c r="CK252" s="17">
        <f t="shared" si="195"/>
        <v>0</v>
      </c>
      <c r="CL252" s="17">
        <f t="shared" si="196"/>
        <v>0</v>
      </c>
      <c r="CM252" s="14">
        <f t="shared" si="197"/>
        <v>0</v>
      </c>
      <c r="CN252" s="17">
        <f t="shared" si="198"/>
        <v>0</v>
      </c>
      <c r="CO252" s="14">
        <f t="shared" si="199"/>
        <v>0</v>
      </c>
      <c r="CP252" s="17">
        <f t="shared" si="200"/>
        <v>0</v>
      </c>
      <c r="CQ252" s="14">
        <f t="shared" si="174"/>
        <v>0</v>
      </c>
      <c r="CR252" s="14">
        <v>0</v>
      </c>
      <c r="CS252" s="14">
        <v>0</v>
      </c>
      <c r="CT252" s="14">
        <v>0</v>
      </c>
      <c r="CU252" s="14">
        <v>0</v>
      </c>
    </row>
    <row r="253" spans="1:99" x14ac:dyDescent="0.3">
      <c r="A253" s="14">
        <v>2021</v>
      </c>
      <c r="B253" s="14" t="s">
        <v>45</v>
      </c>
      <c r="C253" s="14" t="s">
        <v>46</v>
      </c>
      <c r="D253" s="15">
        <v>453737.3</v>
      </c>
      <c r="E253" s="15">
        <v>13531906.000000004</v>
      </c>
      <c r="F253" s="15">
        <f t="shared" si="175"/>
        <v>29.82321709059406</v>
      </c>
      <c r="AB253" s="14">
        <f t="shared" si="176"/>
        <v>0</v>
      </c>
      <c r="AM253" s="14">
        <f t="shared" si="177"/>
        <v>0</v>
      </c>
      <c r="AQ253" s="14">
        <f t="shared" si="178"/>
        <v>0</v>
      </c>
      <c r="AT253" s="14">
        <f t="shared" si="179"/>
        <v>0</v>
      </c>
      <c r="AU253" s="16">
        <v>0</v>
      </c>
      <c r="AV253" s="16">
        <v>0</v>
      </c>
      <c r="AW253" s="16">
        <v>0</v>
      </c>
      <c r="AX253" s="16">
        <v>0</v>
      </c>
      <c r="AY253" s="18">
        <f t="shared" si="180"/>
        <v>0</v>
      </c>
      <c r="AZ253" s="17">
        <f t="shared" si="181"/>
        <v>0</v>
      </c>
      <c r="BA253" s="17">
        <f t="shared" si="182"/>
        <v>0</v>
      </c>
      <c r="BB253" s="17">
        <f t="shared" si="183"/>
        <v>0</v>
      </c>
      <c r="BC253" s="17">
        <f t="shared" si="151"/>
        <v>0</v>
      </c>
      <c r="BD253" s="17">
        <f t="shared" si="152"/>
        <v>0</v>
      </c>
      <c r="BE253" s="17">
        <f t="shared" si="153"/>
        <v>0</v>
      </c>
      <c r="BF253" s="17">
        <f t="shared" si="154"/>
        <v>0</v>
      </c>
      <c r="BG253" s="17">
        <f t="shared" si="155"/>
        <v>0</v>
      </c>
      <c r="BH253" s="17">
        <f t="shared" si="156"/>
        <v>0</v>
      </c>
      <c r="BI253" s="17">
        <f t="shared" si="157"/>
        <v>0</v>
      </c>
      <c r="BJ253" s="17">
        <f t="shared" si="158"/>
        <v>0</v>
      </c>
      <c r="BK253" s="17">
        <f t="shared" si="159"/>
        <v>0</v>
      </c>
      <c r="BL253" s="17">
        <f t="shared" si="160"/>
        <v>0</v>
      </c>
      <c r="BM253" s="17">
        <f t="shared" si="161"/>
        <v>0</v>
      </c>
      <c r="BN253" s="17">
        <f t="shared" si="162"/>
        <v>0</v>
      </c>
      <c r="BO253" s="17">
        <f t="shared" si="163"/>
        <v>0</v>
      </c>
      <c r="BP253" s="17">
        <f t="shared" si="164"/>
        <v>0</v>
      </c>
      <c r="BQ253" s="17">
        <f t="shared" si="165"/>
        <v>0</v>
      </c>
      <c r="BR253" s="17">
        <f t="shared" si="166"/>
        <v>0</v>
      </c>
      <c r="BS253" s="17">
        <f t="shared" si="167"/>
        <v>0</v>
      </c>
      <c r="BT253" s="17">
        <f t="shared" si="168"/>
        <v>0</v>
      </c>
      <c r="BU253" s="17">
        <f t="shared" si="169"/>
        <v>0</v>
      </c>
      <c r="BV253" s="17">
        <f t="shared" si="170"/>
        <v>0</v>
      </c>
      <c r="BW253" s="17">
        <f t="shared" si="171"/>
        <v>0</v>
      </c>
      <c r="BX253" s="17">
        <f t="shared" si="172"/>
        <v>0</v>
      </c>
      <c r="BY253" s="17">
        <f t="shared" si="173"/>
        <v>0</v>
      </c>
      <c r="BZ253" s="17">
        <f t="shared" si="184"/>
        <v>0</v>
      </c>
      <c r="CA253" s="17">
        <f t="shared" si="185"/>
        <v>0</v>
      </c>
      <c r="CB253" s="17">
        <f t="shared" si="186"/>
        <v>0</v>
      </c>
      <c r="CC253" s="17">
        <f t="shared" si="187"/>
        <v>0</v>
      </c>
      <c r="CD253" s="17">
        <f t="shared" si="188"/>
        <v>0</v>
      </c>
      <c r="CE253" s="17">
        <f t="shared" si="189"/>
        <v>0</v>
      </c>
      <c r="CF253" s="17">
        <f t="shared" si="190"/>
        <v>0</v>
      </c>
      <c r="CG253" s="17">
        <f t="shared" si="191"/>
        <v>0</v>
      </c>
      <c r="CH253" s="17">
        <f t="shared" si="192"/>
        <v>0</v>
      </c>
      <c r="CI253" s="17">
        <f t="shared" si="193"/>
        <v>0</v>
      </c>
      <c r="CJ253" s="17">
        <f t="shared" si="194"/>
        <v>0</v>
      </c>
      <c r="CK253" s="17">
        <f t="shared" si="195"/>
        <v>0</v>
      </c>
      <c r="CL253" s="17">
        <f t="shared" si="196"/>
        <v>0</v>
      </c>
      <c r="CM253" s="14">
        <f t="shared" si="197"/>
        <v>0</v>
      </c>
      <c r="CN253" s="17">
        <f t="shared" si="198"/>
        <v>0</v>
      </c>
      <c r="CO253" s="14">
        <f t="shared" si="199"/>
        <v>0</v>
      </c>
      <c r="CP253" s="17">
        <f t="shared" si="200"/>
        <v>0</v>
      </c>
      <c r="CQ253" s="14">
        <f t="shared" si="174"/>
        <v>0</v>
      </c>
      <c r="CR253" s="14">
        <v>0</v>
      </c>
      <c r="CS253" s="14">
        <v>0</v>
      </c>
      <c r="CT253" s="14">
        <v>0</v>
      </c>
      <c r="CU253" s="14">
        <v>0</v>
      </c>
    </row>
    <row r="254" spans="1:99" x14ac:dyDescent="0.3">
      <c r="A254" s="14">
        <v>2022</v>
      </c>
      <c r="B254" s="14" t="s">
        <v>45</v>
      </c>
      <c r="C254" s="14" t="s">
        <v>46</v>
      </c>
      <c r="D254" s="15">
        <v>458014.7</v>
      </c>
      <c r="E254" s="15">
        <v>13859340.500000006</v>
      </c>
      <c r="F254" s="15">
        <f t="shared" si="175"/>
        <v>30.259597563134992</v>
      </c>
      <c r="G254" s="14">
        <v>34</v>
      </c>
      <c r="N254" s="14">
        <v>50</v>
      </c>
      <c r="AB254" s="14">
        <f t="shared" si="176"/>
        <v>0</v>
      </c>
      <c r="AM254" s="14">
        <f t="shared" si="177"/>
        <v>0</v>
      </c>
      <c r="AQ254" s="14">
        <f t="shared" si="178"/>
        <v>0</v>
      </c>
      <c r="AT254" s="14">
        <f t="shared" si="179"/>
        <v>0</v>
      </c>
      <c r="AU254" s="16">
        <v>856</v>
      </c>
      <c r="AV254" s="16">
        <v>8734</v>
      </c>
      <c r="AW254" s="16">
        <v>1554</v>
      </c>
      <c r="AX254" s="16">
        <v>0</v>
      </c>
      <c r="AY254" s="18">
        <f t="shared" si="180"/>
        <v>0.61763400646661337</v>
      </c>
      <c r="AZ254" s="17">
        <f t="shared" si="181"/>
        <v>6.3018871641114496</v>
      </c>
      <c r="BA254" s="17">
        <f t="shared" si="182"/>
        <v>1.1212654743564452</v>
      </c>
      <c r="BB254" s="17">
        <f t="shared" si="183"/>
        <v>0</v>
      </c>
      <c r="BC254" s="17">
        <f t="shared" si="151"/>
        <v>2.4532191845636514E-2</v>
      </c>
      <c r="BD254" s="17">
        <f t="shared" si="152"/>
        <v>0</v>
      </c>
      <c r="BE254" s="17">
        <f t="shared" si="153"/>
        <v>0</v>
      </c>
      <c r="BF254" s="17">
        <f t="shared" si="154"/>
        <v>0</v>
      </c>
      <c r="BG254" s="17">
        <f t="shared" si="155"/>
        <v>0</v>
      </c>
      <c r="BH254" s="17">
        <f t="shared" si="156"/>
        <v>0</v>
      </c>
      <c r="BI254" s="17">
        <f t="shared" si="157"/>
        <v>0</v>
      </c>
      <c r="BJ254" s="17">
        <f t="shared" si="158"/>
        <v>3.6076752714171344E-2</v>
      </c>
      <c r="BK254" s="17">
        <f t="shared" si="159"/>
        <v>0</v>
      </c>
      <c r="BL254" s="17">
        <f t="shared" si="160"/>
        <v>0</v>
      </c>
      <c r="BM254" s="17">
        <f t="shared" si="161"/>
        <v>0</v>
      </c>
      <c r="BN254" s="17">
        <f t="shared" si="162"/>
        <v>0</v>
      </c>
      <c r="BO254" s="17">
        <f t="shared" si="163"/>
        <v>0</v>
      </c>
      <c r="BP254" s="17">
        <f t="shared" si="164"/>
        <v>0</v>
      </c>
      <c r="BQ254" s="17">
        <f t="shared" si="165"/>
        <v>0</v>
      </c>
      <c r="BR254" s="17">
        <f t="shared" si="166"/>
        <v>0</v>
      </c>
      <c r="BS254" s="17">
        <f t="shared" si="167"/>
        <v>0</v>
      </c>
      <c r="BT254" s="17">
        <f t="shared" si="168"/>
        <v>0</v>
      </c>
      <c r="BU254" s="17">
        <f t="shared" si="169"/>
        <v>0</v>
      </c>
      <c r="BV254" s="17">
        <f t="shared" si="170"/>
        <v>0</v>
      </c>
      <c r="BW254" s="17">
        <f t="shared" si="171"/>
        <v>0</v>
      </c>
      <c r="BX254" s="17">
        <f t="shared" si="172"/>
        <v>0</v>
      </c>
      <c r="BY254" s="17">
        <f t="shared" si="173"/>
        <v>0</v>
      </c>
      <c r="BZ254" s="17">
        <f t="shared" si="184"/>
        <v>0</v>
      </c>
      <c r="CA254" s="17">
        <f t="shared" si="185"/>
        <v>0</v>
      </c>
      <c r="CB254" s="17">
        <f t="shared" si="186"/>
        <v>0</v>
      </c>
      <c r="CC254" s="17">
        <f t="shared" si="187"/>
        <v>0</v>
      </c>
      <c r="CD254" s="17">
        <f t="shared" si="188"/>
        <v>0</v>
      </c>
      <c r="CE254" s="17">
        <f t="shared" si="189"/>
        <v>0</v>
      </c>
      <c r="CF254" s="17">
        <f t="shared" si="190"/>
        <v>0</v>
      </c>
      <c r="CG254" s="17">
        <f t="shared" si="191"/>
        <v>0</v>
      </c>
      <c r="CH254" s="17">
        <f t="shared" si="192"/>
        <v>0</v>
      </c>
      <c r="CI254" s="17">
        <f t="shared" si="193"/>
        <v>0</v>
      </c>
      <c r="CJ254" s="17">
        <f t="shared" si="194"/>
        <v>0</v>
      </c>
      <c r="CK254" s="17">
        <f t="shared" si="195"/>
        <v>0</v>
      </c>
      <c r="CL254" s="17">
        <f t="shared" si="196"/>
        <v>0</v>
      </c>
      <c r="CM254" s="14">
        <f t="shared" si="197"/>
        <v>10288</v>
      </c>
      <c r="CN254" s="17">
        <f t="shared" si="198"/>
        <v>7.4231526384678954</v>
      </c>
      <c r="CO254" s="14">
        <f t="shared" si="199"/>
        <v>11144</v>
      </c>
      <c r="CP254" s="17">
        <f t="shared" si="200"/>
        <v>8.0407866449345082</v>
      </c>
      <c r="CQ254" s="14">
        <f t="shared" si="174"/>
        <v>11228</v>
      </c>
      <c r="CR254" s="14">
        <v>0</v>
      </c>
      <c r="CS254" s="14">
        <v>71</v>
      </c>
      <c r="CT254" s="14">
        <v>0</v>
      </c>
      <c r="CU254" s="14">
        <v>0</v>
      </c>
    </row>
    <row r="255" spans="1:99" x14ac:dyDescent="0.3">
      <c r="A255" s="14">
        <v>2012</v>
      </c>
      <c r="B255" s="14" t="s">
        <v>47</v>
      </c>
      <c r="C255" s="14" t="s">
        <v>48</v>
      </c>
      <c r="D255" s="15">
        <v>60700.6</v>
      </c>
      <c r="E255" s="15">
        <v>1652717.4999999998</v>
      </c>
      <c r="F255" s="15">
        <f t="shared" si="175"/>
        <v>27.227366780559002</v>
      </c>
      <c r="AB255" s="14">
        <f t="shared" si="176"/>
        <v>0</v>
      </c>
      <c r="AM255" s="14">
        <f t="shared" si="177"/>
        <v>0</v>
      </c>
      <c r="AQ255" s="14">
        <f t="shared" si="178"/>
        <v>0</v>
      </c>
      <c r="AT255" s="14">
        <f t="shared" si="179"/>
        <v>0</v>
      </c>
      <c r="AU255" s="16">
        <v>0</v>
      </c>
      <c r="AV255" s="16">
        <v>0</v>
      </c>
      <c r="AW255" s="16">
        <v>0</v>
      </c>
      <c r="AX255" s="16">
        <v>0</v>
      </c>
      <c r="AY255" s="18">
        <f t="shared" si="180"/>
        <v>0</v>
      </c>
      <c r="AZ255" s="17">
        <f t="shared" si="181"/>
        <v>0</v>
      </c>
      <c r="BA255" s="17">
        <f t="shared" si="182"/>
        <v>0</v>
      </c>
      <c r="BB255" s="17">
        <f t="shared" si="183"/>
        <v>0</v>
      </c>
      <c r="BC255" s="17">
        <f t="shared" si="151"/>
        <v>0</v>
      </c>
      <c r="BD255" s="17">
        <f t="shared" si="152"/>
        <v>0</v>
      </c>
      <c r="BE255" s="17">
        <f t="shared" si="153"/>
        <v>0</v>
      </c>
      <c r="BF255" s="17">
        <f t="shared" si="154"/>
        <v>0</v>
      </c>
      <c r="BG255" s="17">
        <f t="shared" si="155"/>
        <v>0</v>
      </c>
      <c r="BH255" s="17">
        <f t="shared" si="156"/>
        <v>0</v>
      </c>
      <c r="BI255" s="17">
        <f t="shared" si="157"/>
        <v>0</v>
      </c>
      <c r="BJ255" s="17">
        <f t="shared" si="158"/>
        <v>0</v>
      </c>
      <c r="BK255" s="17">
        <f t="shared" si="159"/>
        <v>0</v>
      </c>
      <c r="BL255" s="17">
        <f t="shared" si="160"/>
        <v>0</v>
      </c>
      <c r="BM255" s="17">
        <f t="shared" si="161"/>
        <v>0</v>
      </c>
      <c r="BN255" s="17">
        <f t="shared" si="162"/>
        <v>0</v>
      </c>
      <c r="BO255" s="17">
        <f t="shared" si="163"/>
        <v>0</v>
      </c>
      <c r="BP255" s="17">
        <f t="shared" si="164"/>
        <v>0</v>
      </c>
      <c r="BQ255" s="17">
        <f t="shared" si="165"/>
        <v>0</v>
      </c>
      <c r="BR255" s="17">
        <f t="shared" si="166"/>
        <v>0</v>
      </c>
      <c r="BS255" s="17">
        <f t="shared" si="167"/>
        <v>0</v>
      </c>
      <c r="BT255" s="17">
        <f t="shared" si="168"/>
        <v>0</v>
      </c>
      <c r="BU255" s="17">
        <f t="shared" si="169"/>
        <v>0</v>
      </c>
      <c r="BV255" s="17">
        <f t="shared" si="170"/>
        <v>0</v>
      </c>
      <c r="BW255" s="17">
        <f t="shared" si="171"/>
        <v>0</v>
      </c>
      <c r="BX255" s="17">
        <f t="shared" si="172"/>
        <v>0</v>
      </c>
      <c r="BY255" s="17">
        <f t="shared" si="173"/>
        <v>0</v>
      </c>
      <c r="BZ255" s="17">
        <f t="shared" si="184"/>
        <v>0</v>
      </c>
      <c r="CA255" s="17">
        <f t="shared" si="185"/>
        <v>0</v>
      </c>
      <c r="CB255" s="17">
        <f t="shared" si="186"/>
        <v>0</v>
      </c>
      <c r="CC255" s="17">
        <f t="shared" si="187"/>
        <v>0</v>
      </c>
      <c r="CD255" s="17">
        <f t="shared" si="188"/>
        <v>0</v>
      </c>
      <c r="CE255" s="17">
        <f t="shared" si="189"/>
        <v>0</v>
      </c>
      <c r="CF255" s="17">
        <f t="shared" si="190"/>
        <v>0</v>
      </c>
      <c r="CG255" s="17">
        <f t="shared" si="191"/>
        <v>0</v>
      </c>
      <c r="CH255" s="17">
        <f t="shared" si="192"/>
        <v>0</v>
      </c>
      <c r="CI255" s="17">
        <f t="shared" si="193"/>
        <v>0</v>
      </c>
      <c r="CJ255" s="17">
        <f t="shared" si="194"/>
        <v>0</v>
      </c>
      <c r="CK255" s="17">
        <f t="shared" si="195"/>
        <v>0</v>
      </c>
      <c r="CL255" s="17">
        <f t="shared" si="196"/>
        <v>0</v>
      </c>
      <c r="CM255" s="14">
        <f t="shared" si="197"/>
        <v>0</v>
      </c>
      <c r="CN255" s="17">
        <f t="shared" si="198"/>
        <v>0</v>
      </c>
      <c r="CO255" s="14">
        <f t="shared" si="199"/>
        <v>0</v>
      </c>
      <c r="CP255" s="17">
        <f t="shared" si="200"/>
        <v>0</v>
      </c>
      <c r="CQ255" s="14">
        <f t="shared" si="174"/>
        <v>0</v>
      </c>
      <c r="CR255" s="14">
        <v>0</v>
      </c>
      <c r="CS255" s="14">
        <v>0</v>
      </c>
      <c r="CT255" s="14">
        <v>0</v>
      </c>
      <c r="CU255" s="14">
        <v>0</v>
      </c>
    </row>
    <row r="256" spans="1:99" x14ac:dyDescent="0.3">
      <c r="A256" s="14">
        <v>2013</v>
      </c>
      <c r="B256" s="14" t="s">
        <v>47</v>
      </c>
      <c r="C256" s="14" t="s">
        <v>48</v>
      </c>
      <c r="D256" s="15">
        <v>61757.599999999999</v>
      </c>
      <c r="E256" s="15">
        <v>1697752.4999999995</v>
      </c>
      <c r="F256" s="15">
        <f t="shared" si="175"/>
        <v>27.490584154824663</v>
      </c>
      <c r="AB256" s="14">
        <f t="shared" si="176"/>
        <v>0</v>
      </c>
      <c r="AM256" s="14">
        <f t="shared" si="177"/>
        <v>0</v>
      </c>
      <c r="AQ256" s="14">
        <f t="shared" si="178"/>
        <v>0</v>
      </c>
      <c r="AT256" s="14">
        <f t="shared" si="179"/>
        <v>0</v>
      </c>
      <c r="AU256" s="16">
        <v>0</v>
      </c>
      <c r="AV256" s="16">
        <v>1468</v>
      </c>
      <c r="AW256" s="16">
        <v>306</v>
      </c>
      <c r="AX256" s="16">
        <v>0</v>
      </c>
      <c r="AY256" s="18">
        <f t="shared" si="180"/>
        <v>0</v>
      </c>
      <c r="AZ256" s="17">
        <f t="shared" si="181"/>
        <v>8.6467255975178965</v>
      </c>
      <c r="BA256" s="17">
        <f t="shared" si="182"/>
        <v>1.8023828561583628</v>
      </c>
      <c r="BB256" s="17">
        <f t="shared" si="183"/>
        <v>0</v>
      </c>
      <c r="BC256" s="17">
        <f t="shared" si="151"/>
        <v>0</v>
      </c>
      <c r="BD256" s="17">
        <f t="shared" si="152"/>
        <v>0</v>
      </c>
      <c r="BE256" s="17">
        <f t="shared" si="153"/>
        <v>0</v>
      </c>
      <c r="BF256" s="17">
        <f t="shared" si="154"/>
        <v>0</v>
      </c>
      <c r="BG256" s="17">
        <f t="shared" si="155"/>
        <v>0</v>
      </c>
      <c r="BH256" s="17">
        <f t="shared" si="156"/>
        <v>0</v>
      </c>
      <c r="BI256" s="17">
        <f t="shared" si="157"/>
        <v>0</v>
      </c>
      <c r="BJ256" s="17">
        <f t="shared" si="158"/>
        <v>0</v>
      </c>
      <c r="BK256" s="17">
        <f t="shared" si="159"/>
        <v>0</v>
      </c>
      <c r="BL256" s="17">
        <f t="shared" si="160"/>
        <v>0</v>
      </c>
      <c r="BM256" s="17">
        <f t="shared" si="161"/>
        <v>0</v>
      </c>
      <c r="BN256" s="17">
        <f t="shared" si="162"/>
        <v>0</v>
      </c>
      <c r="BO256" s="17">
        <f t="shared" si="163"/>
        <v>0</v>
      </c>
      <c r="BP256" s="17">
        <f t="shared" si="164"/>
        <v>0</v>
      </c>
      <c r="BQ256" s="17">
        <f t="shared" si="165"/>
        <v>0</v>
      </c>
      <c r="BR256" s="17">
        <f t="shared" si="166"/>
        <v>0</v>
      </c>
      <c r="BS256" s="17">
        <f t="shared" si="167"/>
        <v>0</v>
      </c>
      <c r="BT256" s="17">
        <f t="shared" si="168"/>
        <v>0</v>
      </c>
      <c r="BU256" s="17">
        <f t="shared" si="169"/>
        <v>0</v>
      </c>
      <c r="BV256" s="17">
        <f t="shared" si="170"/>
        <v>0</v>
      </c>
      <c r="BW256" s="17">
        <f t="shared" si="171"/>
        <v>0</v>
      </c>
      <c r="BX256" s="17">
        <f t="shared" si="172"/>
        <v>0</v>
      </c>
      <c r="BY256" s="17">
        <f t="shared" si="173"/>
        <v>0</v>
      </c>
      <c r="BZ256" s="17">
        <f t="shared" si="184"/>
        <v>0</v>
      </c>
      <c r="CA256" s="17">
        <f t="shared" si="185"/>
        <v>0</v>
      </c>
      <c r="CB256" s="17">
        <f t="shared" si="186"/>
        <v>0</v>
      </c>
      <c r="CC256" s="17">
        <f t="shared" si="187"/>
        <v>0</v>
      </c>
      <c r="CD256" s="17">
        <f t="shared" si="188"/>
        <v>0</v>
      </c>
      <c r="CE256" s="17">
        <f t="shared" si="189"/>
        <v>0</v>
      </c>
      <c r="CF256" s="17">
        <f t="shared" si="190"/>
        <v>0</v>
      </c>
      <c r="CG256" s="17">
        <f t="shared" si="191"/>
        <v>0</v>
      </c>
      <c r="CH256" s="17">
        <f t="shared" si="192"/>
        <v>0</v>
      </c>
      <c r="CI256" s="17">
        <f t="shared" si="193"/>
        <v>0</v>
      </c>
      <c r="CJ256" s="17">
        <f t="shared" si="194"/>
        <v>0</v>
      </c>
      <c r="CK256" s="17">
        <f t="shared" si="195"/>
        <v>0</v>
      </c>
      <c r="CL256" s="17">
        <f t="shared" si="196"/>
        <v>0</v>
      </c>
      <c r="CM256" s="14">
        <f t="shared" si="197"/>
        <v>1774</v>
      </c>
      <c r="CN256" s="17">
        <f t="shared" si="198"/>
        <v>10.44910845367626</v>
      </c>
      <c r="CO256" s="14">
        <f t="shared" si="199"/>
        <v>1774</v>
      </c>
      <c r="CP256" s="17">
        <f t="shared" si="200"/>
        <v>10.44910845367626</v>
      </c>
      <c r="CQ256" s="14">
        <f t="shared" si="174"/>
        <v>1774</v>
      </c>
      <c r="CR256" s="14">
        <v>0</v>
      </c>
      <c r="CS256" s="14">
        <v>0</v>
      </c>
      <c r="CT256" s="14">
        <v>0</v>
      </c>
      <c r="CU256" s="14">
        <v>0</v>
      </c>
    </row>
    <row r="257" spans="1:99" x14ac:dyDescent="0.3">
      <c r="A257" s="14">
        <v>2014</v>
      </c>
      <c r="B257" s="14" t="s">
        <v>47</v>
      </c>
      <c r="C257" s="14" t="s">
        <v>48</v>
      </c>
      <c r="D257" s="15">
        <v>62283.7</v>
      </c>
      <c r="E257" s="15">
        <v>1743309.0000000002</v>
      </c>
      <c r="F257" s="15">
        <f t="shared" si="175"/>
        <v>27.989811138387736</v>
      </c>
      <c r="AB257" s="14">
        <f t="shared" si="176"/>
        <v>0</v>
      </c>
      <c r="AM257" s="14">
        <f t="shared" si="177"/>
        <v>0</v>
      </c>
      <c r="AQ257" s="14">
        <f t="shared" si="178"/>
        <v>0</v>
      </c>
      <c r="AT257" s="14">
        <f t="shared" si="179"/>
        <v>0</v>
      </c>
      <c r="AU257" s="16">
        <v>0</v>
      </c>
      <c r="AV257" s="16">
        <v>1899</v>
      </c>
      <c r="AW257" s="16">
        <v>0</v>
      </c>
      <c r="AX257" s="16">
        <v>0</v>
      </c>
      <c r="AY257" s="18">
        <f t="shared" si="180"/>
        <v>0</v>
      </c>
      <c r="AZ257" s="17">
        <f t="shared" si="181"/>
        <v>10.893077475077567</v>
      </c>
      <c r="BA257" s="17">
        <f t="shared" si="182"/>
        <v>0</v>
      </c>
      <c r="BB257" s="17">
        <f t="shared" si="183"/>
        <v>0</v>
      </c>
      <c r="BC257" s="17">
        <f t="shared" si="151"/>
        <v>0</v>
      </c>
      <c r="BD257" s="17">
        <f t="shared" si="152"/>
        <v>0</v>
      </c>
      <c r="BE257" s="17">
        <f t="shared" si="153"/>
        <v>0</v>
      </c>
      <c r="BF257" s="17">
        <f t="shared" si="154"/>
        <v>0</v>
      </c>
      <c r="BG257" s="17">
        <f t="shared" si="155"/>
        <v>0</v>
      </c>
      <c r="BH257" s="17">
        <f t="shared" si="156"/>
        <v>0</v>
      </c>
      <c r="BI257" s="17">
        <f t="shared" si="157"/>
        <v>0</v>
      </c>
      <c r="BJ257" s="17">
        <f t="shared" si="158"/>
        <v>0</v>
      </c>
      <c r="BK257" s="17">
        <f t="shared" si="159"/>
        <v>0</v>
      </c>
      <c r="BL257" s="17">
        <f t="shared" si="160"/>
        <v>0</v>
      </c>
      <c r="BM257" s="17">
        <f t="shared" si="161"/>
        <v>0</v>
      </c>
      <c r="BN257" s="17">
        <f t="shared" si="162"/>
        <v>0</v>
      </c>
      <c r="BO257" s="17">
        <f t="shared" si="163"/>
        <v>0</v>
      </c>
      <c r="BP257" s="17">
        <f t="shared" si="164"/>
        <v>0</v>
      </c>
      <c r="BQ257" s="17">
        <f t="shared" si="165"/>
        <v>0</v>
      </c>
      <c r="BR257" s="17">
        <f t="shared" si="166"/>
        <v>0</v>
      </c>
      <c r="BS257" s="17">
        <f t="shared" si="167"/>
        <v>0</v>
      </c>
      <c r="BT257" s="17">
        <f t="shared" si="168"/>
        <v>0</v>
      </c>
      <c r="BU257" s="17">
        <f t="shared" si="169"/>
        <v>0</v>
      </c>
      <c r="BV257" s="17">
        <f t="shared" si="170"/>
        <v>0</v>
      </c>
      <c r="BW257" s="17">
        <f t="shared" si="171"/>
        <v>0</v>
      </c>
      <c r="BX257" s="17">
        <f t="shared" si="172"/>
        <v>0</v>
      </c>
      <c r="BY257" s="17">
        <f t="shared" si="173"/>
        <v>0</v>
      </c>
      <c r="BZ257" s="17">
        <f t="shared" si="184"/>
        <v>0</v>
      </c>
      <c r="CA257" s="17">
        <f t="shared" si="185"/>
        <v>0</v>
      </c>
      <c r="CB257" s="17">
        <f t="shared" si="186"/>
        <v>0</v>
      </c>
      <c r="CC257" s="17">
        <f t="shared" si="187"/>
        <v>0</v>
      </c>
      <c r="CD257" s="17">
        <f t="shared" si="188"/>
        <v>0</v>
      </c>
      <c r="CE257" s="17">
        <f t="shared" si="189"/>
        <v>0</v>
      </c>
      <c r="CF257" s="17">
        <f t="shared" si="190"/>
        <v>0</v>
      </c>
      <c r="CG257" s="17">
        <f t="shared" si="191"/>
        <v>0</v>
      </c>
      <c r="CH257" s="17">
        <f t="shared" si="192"/>
        <v>0</v>
      </c>
      <c r="CI257" s="17">
        <f t="shared" si="193"/>
        <v>0</v>
      </c>
      <c r="CJ257" s="17">
        <f t="shared" si="194"/>
        <v>0</v>
      </c>
      <c r="CK257" s="17">
        <f t="shared" si="195"/>
        <v>0</v>
      </c>
      <c r="CL257" s="17">
        <f t="shared" si="196"/>
        <v>0</v>
      </c>
      <c r="CM257" s="14">
        <f t="shared" si="197"/>
        <v>1899</v>
      </c>
      <c r="CN257" s="17">
        <f t="shared" si="198"/>
        <v>10.893077475077567</v>
      </c>
      <c r="CO257" s="14">
        <f t="shared" si="199"/>
        <v>1899</v>
      </c>
      <c r="CP257" s="17">
        <f t="shared" si="200"/>
        <v>10.893077475077567</v>
      </c>
      <c r="CQ257" s="14">
        <f t="shared" si="174"/>
        <v>1899</v>
      </c>
      <c r="CR257" s="14">
        <v>0</v>
      </c>
      <c r="CS257" s="14">
        <v>74</v>
      </c>
      <c r="CT257" s="14">
        <v>0</v>
      </c>
      <c r="CU257" s="14">
        <v>0</v>
      </c>
    </row>
    <row r="258" spans="1:99" x14ac:dyDescent="0.3">
      <c r="A258" s="14">
        <v>2015</v>
      </c>
      <c r="B258" s="14" t="s">
        <v>47</v>
      </c>
      <c r="C258" s="14" t="s">
        <v>48</v>
      </c>
      <c r="D258" s="15">
        <v>62364.3</v>
      </c>
      <c r="E258" s="15">
        <v>1788919.0000000005</v>
      </c>
      <c r="F258" s="15">
        <f t="shared" si="175"/>
        <v>28.684984839082624</v>
      </c>
      <c r="AB258" s="14">
        <f t="shared" si="176"/>
        <v>0</v>
      </c>
      <c r="AM258" s="14">
        <f t="shared" si="177"/>
        <v>0</v>
      </c>
      <c r="AQ258" s="14">
        <f t="shared" si="178"/>
        <v>0</v>
      </c>
      <c r="AT258" s="14">
        <f t="shared" si="179"/>
        <v>0</v>
      </c>
      <c r="AU258" s="16">
        <v>708</v>
      </c>
      <c r="AV258" s="16">
        <v>2098</v>
      </c>
      <c r="AW258" s="16">
        <v>0</v>
      </c>
      <c r="AX258" s="16">
        <v>0</v>
      </c>
      <c r="AY258" s="18">
        <f t="shared" si="180"/>
        <v>3.9576973580134136</v>
      </c>
      <c r="AZ258" s="17">
        <f t="shared" si="181"/>
        <v>11.727752905525625</v>
      </c>
      <c r="BA258" s="17">
        <f t="shared" si="182"/>
        <v>0</v>
      </c>
      <c r="BB258" s="17">
        <f t="shared" si="183"/>
        <v>0</v>
      </c>
      <c r="BC258" s="17">
        <f t="shared" ref="BC258:BC321" si="201">(G258*10000)/$E258</f>
        <v>0</v>
      </c>
      <c r="BD258" s="17">
        <f t="shared" ref="BD258:BD321" si="202">(H258*10000)/$E258</f>
        <v>0</v>
      </c>
      <c r="BE258" s="17">
        <f t="shared" ref="BE258:BE321" si="203">(I258*10000)/$E258</f>
        <v>0</v>
      </c>
      <c r="BF258" s="17">
        <f t="shared" ref="BF258:BF321" si="204">(J258*10000)/$E258</f>
        <v>0</v>
      </c>
      <c r="BG258" s="17">
        <f t="shared" ref="BG258:BG321" si="205">(K258*10000)/$E258</f>
        <v>0</v>
      </c>
      <c r="BH258" s="17">
        <f t="shared" ref="BH258:BH321" si="206">(L258*10000)/$E258</f>
        <v>0</v>
      </c>
      <c r="BI258" s="17">
        <f t="shared" ref="BI258:BI321" si="207">(M258*10000)/$E258</f>
        <v>0</v>
      </c>
      <c r="BJ258" s="17">
        <f t="shared" ref="BJ258:BJ321" si="208">(N258*10000)/$E258</f>
        <v>0</v>
      </c>
      <c r="BK258" s="17">
        <f t="shared" ref="BK258:BK321" si="209">(O258*10000)/$E258</f>
        <v>0</v>
      </c>
      <c r="BL258" s="17">
        <f t="shared" ref="BL258:BL321" si="210">(P258*10000)/$E258</f>
        <v>0</v>
      </c>
      <c r="BM258" s="17">
        <f t="shared" ref="BM258:BM321" si="211">(Q258*10000)/$E258</f>
        <v>0</v>
      </c>
      <c r="BN258" s="17">
        <f t="shared" ref="BN258:BN321" si="212">(R258*10000)/$E258</f>
        <v>0</v>
      </c>
      <c r="BO258" s="17">
        <f t="shared" ref="BO258:BO321" si="213">(S258*10000)/$E258</f>
        <v>0</v>
      </c>
      <c r="BP258" s="17">
        <f t="shared" ref="BP258:BP321" si="214">(T258*10000)/$E258</f>
        <v>0</v>
      </c>
      <c r="BQ258" s="17">
        <f t="shared" ref="BQ258:BQ321" si="215">(U258*10000)/$E258</f>
        <v>0</v>
      </c>
      <c r="BR258" s="17">
        <f t="shared" ref="BR258:BR321" si="216">(V258*10000)/$E258</f>
        <v>0</v>
      </c>
      <c r="BS258" s="17">
        <f t="shared" ref="BS258:BS321" si="217">(W258*10000)/$E258</f>
        <v>0</v>
      </c>
      <c r="BT258" s="17">
        <f t="shared" ref="BT258:BT321" si="218">(X258*10000)/$E258</f>
        <v>0</v>
      </c>
      <c r="BU258" s="17">
        <f t="shared" ref="BU258:BU321" si="219">(Y258*10000)/$E258</f>
        <v>0</v>
      </c>
      <c r="BV258" s="17">
        <f t="shared" ref="BV258:BV321" si="220">(Z258*10000)/$E258</f>
        <v>0</v>
      </c>
      <c r="BW258" s="17">
        <f t="shared" ref="BW258:BW321" si="221">(AA258*10000)/$E258</f>
        <v>0</v>
      </c>
      <c r="BX258" s="17">
        <f t="shared" ref="BX258:BX321" si="222">(AC258*10000)/$E258</f>
        <v>0</v>
      </c>
      <c r="BY258" s="17">
        <f t="shared" ref="BY258:BY321" si="223">(AD258*10000)/$E258</f>
        <v>0</v>
      </c>
      <c r="BZ258" s="17">
        <f t="shared" si="184"/>
        <v>0</v>
      </c>
      <c r="CA258" s="17">
        <f t="shared" si="185"/>
        <v>0</v>
      </c>
      <c r="CB258" s="17">
        <f t="shared" si="186"/>
        <v>0</v>
      </c>
      <c r="CC258" s="17">
        <f t="shared" si="187"/>
        <v>0</v>
      </c>
      <c r="CD258" s="17">
        <f t="shared" si="188"/>
        <v>0</v>
      </c>
      <c r="CE258" s="17">
        <f t="shared" si="189"/>
        <v>0</v>
      </c>
      <c r="CF258" s="17">
        <f t="shared" si="190"/>
        <v>0</v>
      </c>
      <c r="CG258" s="17">
        <f t="shared" si="191"/>
        <v>0</v>
      </c>
      <c r="CH258" s="17">
        <f t="shared" si="192"/>
        <v>0</v>
      </c>
      <c r="CI258" s="17">
        <f t="shared" si="193"/>
        <v>0</v>
      </c>
      <c r="CJ258" s="17">
        <f t="shared" si="194"/>
        <v>0</v>
      </c>
      <c r="CK258" s="17">
        <f t="shared" si="195"/>
        <v>0</v>
      </c>
      <c r="CL258" s="17">
        <f t="shared" si="196"/>
        <v>0</v>
      </c>
      <c r="CM258" s="14">
        <f t="shared" si="197"/>
        <v>2098</v>
      </c>
      <c r="CN258" s="17">
        <f t="shared" si="198"/>
        <v>11.727752905525625</v>
      </c>
      <c r="CO258" s="14">
        <f t="shared" si="199"/>
        <v>2806</v>
      </c>
      <c r="CP258" s="17">
        <f t="shared" si="200"/>
        <v>15.685450263539039</v>
      </c>
      <c r="CQ258" s="14">
        <f t="shared" ref="CQ258:CQ321" si="224">SUM(G258:AX258)</f>
        <v>2806</v>
      </c>
      <c r="CR258" s="14">
        <v>46</v>
      </c>
      <c r="CS258" s="14">
        <v>1539</v>
      </c>
      <c r="CT258" s="14">
        <v>496</v>
      </c>
      <c r="CU258" s="14">
        <v>0</v>
      </c>
    </row>
    <row r="259" spans="1:99" x14ac:dyDescent="0.3">
      <c r="A259" s="14">
        <v>2016</v>
      </c>
      <c r="B259" s="14" t="s">
        <v>47</v>
      </c>
      <c r="C259" s="14" t="s">
        <v>48</v>
      </c>
      <c r="D259" s="15">
        <v>62337</v>
      </c>
      <c r="E259" s="15">
        <v>1834551.4999999995</v>
      </c>
      <c r="F259" s="15">
        <f t="shared" ref="F259:F322" si="225">E259/D259</f>
        <v>29.429576335081887</v>
      </c>
      <c r="G259" s="14">
        <v>7</v>
      </c>
      <c r="H259" s="14">
        <v>5</v>
      </c>
      <c r="N259" s="14">
        <v>8</v>
      </c>
      <c r="O259" s="14">
        <v>4</v>
      </c>
      <c r="P259" s="14">
        <v>4</v>
      </c>
      <c r="Y259" s="14">
        <v>16</v>
      </c>
      <c r="Z259" s="14">
        <v>158</v>
      </c>
      <c r="AB259" s="14">
        <f t="shared" ref="AB259:AB322" si="226">AA259+O259</f>
        <v>4</v>
      </c>
      <c r="AE259" s="14">
        <v>5</v>
      </c>
      <c r="AI259" s="14">
        <v>11</v>
      </c>
      <c r="AJ259" s="14">
        <v>35</v>
      </c>
      <c r="AM259" s="14">
        <f t="shared" ref="AM259:AM322" si="227">AK259+AL259</f>
        <v>0</v>
      </c>
      <c r="AQ259" s="14">
        <f t="shared" ref="AQ259:AQ322" si="228">AO259+AP259</f>
        <v>0</v>
      </c>
      <c r="AT259" s="14">
        <f t="shared" ref="AT259:AT322" si="229">AR259+AS259</f>
        <v>0</v>
      </c>
      <c r="AU259" s="16">
        <v>388</v>
      </c>
      <c r="AV259" s="16">
        <v>2006</v>
      </c>
      <c r="AW259" s="16">
        <v>250</v>
      </c>
      <c r="AX259" s="16">
        <v>0</v>
      </c>
      <c r="AY259" s="18">
        <f t="shared" ref="AY259:AY322" si="230">(AU259*10000)/$E259</f>
        <v>2.1149583426793965</v>
      </c>
      <c r="AZ259" s="17">
        <f t="shared" ref="AZ259:AZ322" si="231">(AV259*10000)/$E259</f>
        <v>10.934552668595025</v>
      </c>
      <c r="BA259" s="17">
        <f t="shared" ref="BA259:BA322" si="232">(AW259*10000)/$E259</f>
        <v>1.3627308909016731</v>
      </c>
      <c r="BB259" s="17">
        <f t="shared" ref="BB259:BB322" si="233">(AX259*10000)/$E259</f>
        <v>0</v>
      </c>
      <c r="BC259" s="17">
        <f t="shared" si="201"/>
        <v>3.8156464945246847E-2</v>
      </c>
      <c r="BD259" s="17">
        <f t="shared" si="202"/>
        <v>2.7254617818033462E-2</v>
      </c>
      <c r="BE259" s="17">
        <f t="shared" si="203"/>
        <v>0</v>
      </c>
      <c r="BF259" s="17">
        <f t="shared" si="204"/>
        <v>0</v>
      </c>
      <c r="BG259" s="17">
        <f t="shared" si="205"/>
        <v>0</v>
      </c>
      <c r="BH259" s="17">
        <f t="shared" si="206"/>
        <v>0</v>
      </c>
      <c r="BI259" s="17">
        <f t="shared" si="207"/>
        <v>0</v>
      </c>
      <c r="BJ259" s="17">
        <f t="shared" si="208"/>
        <v>4.360738850885354E-2</v>
      </c>
      <c r="BK259" s="17">
        <f t="shared" si="209"/>
        <v>2.180369425442677E-2</v>
      </c>
      <c r="BL259" s="17">
        <f t="shared" si="210"/>
        <v>2.180369425442677E-2</v>
      </c>
      <c r="BM259" s="17">
        <f t="shared" si="211"/>
        <v>0</v>
      </c>
      <c r="BN259" s="17">
        <f t="shared" si="212"/>
        <v>0</v>
      </c>
      <c r="BO259" s="17">
        <f t="shared" si="213"/>
        <v>0</v>
      </c>
      <c r="BP259" s="17">
        <f t="shared" si="214"/>
        <v>0</v>
      </c>
      <c r="BQ259" s="17">
        <f t="shared" si="215"/>
        <v>0</v>
      </c>
      <c r="BR259" s="17">
        <f t="shared" si="216"/>
        <v>0</v>
      </c>
      <c r="BS259" s="17">
        <f t="shared" si="217"/>
        <v>0</v>
      </c>
      <c r="BT259" s="17">
        <f t="shared" si="218"/>
        <v>0</v>
      </c>
      <c r="BU259" s="17">
        <f t="shared" si="219"/>
        <v>8.7214777017707079E-2</v>
      </c>
      <c r="BV259" s="17">
        <f t="shared" si="220"/>
        <v>0.86124592304985736</v>
      </c>
      <c r="BW259" s="17">
        <f t="shared" si="221"/>
        <v>0</v>
      </c>
      <c r="BX259" s="17">
        <f t="shared" si="222"/>
        <v>0</v>
      </c>
      <c r="BY259" s="17">
        <f t="shared" si="223"/>
        <v>0</v>
      </c>
      <c r="BZ259" s="17">
        <f t="shared" ref="BZ259:BZ322" si="234">(AE259*10000)/$E259</f>
        <v>2.7254617818033462E-2</v>
      </c>
      <c r="CA259" s="17">
        <f t="shared" ref="CA259:CA322" si="235">(AF259*10000)/$E259</f>
        <v>0</v>
      </c>
      <c r="CB259" s="17">
        <f t="shared" ref="CB259:CB322" si="236">(AG259*10000)/$E259</f>
        <v>0</v>
      </c>
      <c r="CC259" s="17">
        <f t="shared" ref="CC259:CC322" si="237">(AH259*10000)/$E259</f>
        <v>0</v>
      </c>
      <c r="CD259" s="17">
        <f t="shared" ref="CD259:CD322" si="238">(AI259*10000)/$E259</f>
        <v>5.9960159199673617E-2</v>
      </c>
      <c r="CE259" s="17">
        <f t="shared" ref="CE259:CE322" si="239">(AJ259*10000)/$E259</f>
        <v>0.19078232472623421</v>
      </c>
      <c r="CF259" s="17">
        <f t="shared" ref="CF259:CF322" si="240">(AK259*10000)/$E259</f>
        <v>0</v>
      </c>
      <c r="CG259" s="17">
        <f t="shared" ref="CG259:CG322" si="241">(AL259*10000)/$E259</f>
        <v>0</v>
      </c>
      <c r="CH259" s="17">
        <f t="shared" ref="CH259:CH322" si="242">(AN259*10000)/$E259</f>
        <v>0</v>
      </c>
      <c r="CI259" s="17">
        <f t="shared" ref="CI259:CI322" si="243">(AO259*10000)/$E259</f>
        <v>0</v>
      </c>
      <c r="CJ259" s="17">
        <f t="shared" ref="CJ259:CJ322" si="244">(AP259*10000)/$E259</f>
        <v>0</v>
      </c>
      <c r="CK259" s="17">
        <f t="shared" ref="CK259:CK322" si="245">(AR259*10000)/$E259</f>
        <v>0</v>
      </c>
      <c r="CL259" s="17">
        <f t="shared" ref="CL259:CL322" si="246">(AS259*10000)/$E259</f>
        <v>0</v>
      </c>
      <c r="CM259" s="14">
        <f t="shared" ref="CM259:CM322" si="247">AV259+AW259</f>
        <v>2256</v>
      </c>
      <c r="CN259" s="17">
        <f t="shared" ref="CN259:CN322" si="248">(CM259*10000)/$E259</f>
        <v>12.297283559496698</v>
      </c>
      <c r="CO259" s="14">
        <f t="shared" ref="CO259:CO322" si="249">AU259+AV259+AW259</f>
        <v>2644</v>
      </c>
      <c r="CP259" s="17">
        <f t="shared" ref="CP259:CP322" si="250">(CO259*10000)/$E259</f>
        <v>14.412241902176094</v>
      </c>
      <c r="CQ259" s="14">
        <f t="shared" si="224"/>
        <v>2901</v>
      </c>
      <c r="CR259" s="14">
        <v>0</v>
      </c>
      <c r="CS259" s="14">
        <v>0</v>
      </c>
      <c r="CT259" s="14">
        <v>0</v>
      </c>
      <c r="CU259" s="14">
        <v>0</v>
      </c>
    </row>
    <row r="260" spans="1:99" x14ac:dyDescent="0.3">
      <c r="A260" s="14">
        <v>2017</v>
      </c>
      <c r="B260" s="14" t="s">
        <v>47</v>
      </c>
      <c r="C260" s="14" t="s">
        <v>48</v>
      </c>
      <c r="D260" s="15">
        <v>61977.7</v>
      </c>
      <c r="E260" s="15">
        <v>1879826.5000000005</v>
      </c>
      <c r="F260" s="15">
        <f t="shared" si="225"/>
        <v>30.330691522918737</v>
      </c>
      <c r="AB260" s="14">
        <f t="shared" si="226"/>
        <v>0</v>
      </c>
      <c r="AM260" s="14">
        <f t="shared" si="227"/>
        <v>0</v>
      </c>
      <c r="AQ260" s="14">
        <f t="shared" si="228"/>
        <v>0</v>
      </c>
      <c r="AT260" s="14">
        <f t="shared" si="229"/>
        <v>0</v>
      </c>
      <c r="AU260" s="16">
        <v>0</v>
      </c>
      <c r="AV260" s="16">
        <v>0</v>
      </c>
      <c r="AW260" s="16">
        <v>0</v>
      </c>
      <c r="AX260" s="16">
        <v>0</v>
      </c>
      <c r="AY260" s="18">
        <f t="shared" si="230"/>
        <v>0</v>
      </c>
      <c r="AZ260" s="17">
        <f t="shared" si="231"/>
        <v>0</v>
      </c>
      <c r="BA260" s="17">
        <f t="shared" si="232"/>
        <v>0</v>
      </c>
      <c r="BB260" s="17">
        <f t="shared" si="233"/>
        <v>0</v>
      </c>
      <c r="BC260" s="17">
        <f t="shared" si="201"/>
        <v>0</v>
      </c>
      <c r="BD260" s="17">
        <f t="shared" si="202"/>
        <v>0</v>
      </c>
      <c r="BE260" s="17">
        <f t="shared" si="203"/>
        <v>0</v>
      </c>
      <c r="BF260" s="17">
        <f t="shared" si="204"/>
        <v>0</v>
      </c>
      <c r="BG260" s="17">
        <f t="shared" si="205"/>
        <v>0</v>
      </c>
      <c r="BH260" s="17">
        <f t="shared" si="206"/>
        <v>0</v>
      </c>
      <c r="BI260" s="17">
        <f t="shared" si="207"/>
        <v>0</v>
      </c>
      <c r="BJ260" s="17">
        <f t="shared" si="208"/>
        <v>0</v>
      </c>
      <c r="BK260" s="17">
        <f t="shared" si="209"/>
        <v>0</v>
      </c>
      <c r="BL260" s="17">
        <f t="shared" si="210"/>
        <v>0</v>
      </c>
      <c r="BM260" s="17">
        <f t="shared" si="211"/>
        <v>0</v>
      </c>
      <c r="BN260" s="17">
        <f t="shared" si="212"/>
        <v>0</v>
      </c>
      <c r="BO260" s="17">
        <f t="shared" si="213"/>
        <v>0</v>
      </c>
      <c r="BP260" s="17">
        <f t="shared" si="214"/>
        <v>0</v>
      </c>
      <c r="BQ260" s="17">
        <f t="shared" si="215"/>
        <v>0</v>
      </c>
      <c r="BR260" s="17">
        <f t="shared" si="216"/>
        <v>0</v>
      </c>
      <c r="BS260" s="17">
        <f t="shared" si="217"/>
        <v>0</v>
      </c>
      <c r="BT260" s="17">
        <f t="shared" si="218"/>
        <v>0</v>
      </c>
      <c r="BU260" s="17">
        <f t="shared" si="219"/>
        <v>0</v>
      </c>
      <c r="BV260" s="17">
        <f t="shared" si="220"/>
        <v>0</v>
      </c>
      <c r="BW260" s="17">
        <f t="shared" si="221"/>
        <v>0</v>
      </c>
      <c r="BX260" s="17">
        <f t="shared" si="222"/>
        <v>0</v>
      </c>
      <c r="BY260" s="17">
        <f t="shared" si="223"/>
        <v>0</v>
      </c>
      <c r="BZ260" s="17">
        <f t="shared" si="234"/>
        <v>0</v>
      </c>
      <c r="CA260" s="17">
        <f t="shared" si="235"/>
        <v>0</v>
      </c>
      <c r="CB260" s="17">
        <f t="shared" si="236"/>
        <v>0</v>
      </c>
      <c r="CC260" s="17">
        <f t="shared" si="237"/>
        <v>0</v>
      </c>
      <c r="CD260" s="17">
        <f t="shared" si="238"/>
        <v>0</v>
      </c>
      <c r="CE260" s="17">
        <f t="shared" si="239"/>
        <v>0</v>
      </c>
      <c r="CF260" s="17">
        <f t="shared" si="240"/>
        <v>0</v>
      </c>
      <c r="CG260" s="17">
        <f t="shared" si="241"/>
        <v>0</v>
      </c>
      <c r="CH260" s="17">
        <f t="shared" si="242"/>
        <v>0</v>
      </c>
      <c r="CI260" s="17">
        <f t="shared" si="243"/>
        <v>0</v>
      </c>
      <c r="CJ260" s="17">
        <f t="shared" si="244"/>
        <v>0</v>
      </c>
      <c r="CK260" s="17">
        <f t="shared" si="245"/>
        <v>0</v>
      </c>
      <c r="CL260" s="17">
        <f t="shared" si="246"/>
        <v>0</v>
      </c>
      <c r="CM260" s="14">
        <f t="shared" si="247"/>
        <v>0</v>
      </c>
      <c r="CN260" s="17">
        <f t="shared" si="248"/>
        <v>0</v>
      </c>
      <c r="CO260" s="14">
        <f t="shared" si="249"/>
        <v>0</v>
      </c>
      <c r="CP260" s="17">
        <f t="shared" si="250"/>
        <v>0</v>
      </c>
      <c r="CQ260" s="14">
        <f t="shared" si="224"/>
        <v>0</v>
      </c>
      <c r="CR260" s="14">
        <v>0</v>
      </c>
      <c r="CS260" s="14">
        <v>0</v>
      </c>
      <c r="CT260" s="14">
        <v>0</v>
      </c>
      <c r="CU260" s="14">
        <v>0</v>
      </c>
    </row>
    <row r="261" spans="1:99" x14ac:dyDescent="0.3">
      <c r="A261" s="14">
        <v>2018</v>
      </c>
      <c r="B261" s="14" t="s">
        <v>47</v>
      </c>
      <c r="C261" s="14" t="s">
        <v>48</v>
      </c>
      <c r="D261" s="15">
        <v>61876.9</v>
      </c>
      <c r="E261" s="15">
        <v>1924954.4999999988</v>
      </c>
      <c r="F261" s="15">
        <f t="shared" si="225"/>
        <v>31.10942047840145</v>
      </c>
      <c r="G261" s="14">
        <v>0</v>
      </c>
      <c r="H261" s="14">
        <v>11</v>
      </c>
      <c r="I261" s="14">
        <v>3</v>
      </c>
      <c r="J261" s="14">
        <v>15</v>
      </c>
      <c r="K261" s="14">
        <v>0</v>
      </c>
      <c r="L261" s="14">
        <v>2</v>
      </c>
      <c r="M261" s="14">
        <v>3481</v>
      </c>
      <c r="N261" s="14">
        <v>8</v>
      </c>
      <c r="O261" s="14">
        <v>0</v>
      </c>
      <c r="P261" s="14">
        <v>5</v>
      </c>
      <c r="Q261" s="14">
        <v>0</v>
      </c>
      <c r="R261" s="14">
        <v>0</v>
      </c>
      <c r="S261" s="14">
        <v>0</v>
      </c>
      <c r="T261" s="14">
        <v>1</v>
      </c>
      <c r="U261" s="14">
        <v>1</v>
      </c>
      <c r="V261" s="14">
        <v>17</v>
      </c>
      <c r="W261" s="14">
        <v>0</v>
      </c>
      <c r="X261" s="14">
        <v>0</v>
      </c>
      <c r="Y261" s="14">
        <v>0</v>
      </c>
      <c r="Z261" s="14">
        <v>53</v>
      </c>
      <c r="AA261" s="14">
        <v>0</v>
      </c>
      <c r="AB261" s="14">
        <f t="shared" si="226"/>
        <v>0</v>
      </c>
      <c r="AC261" s="14">
        <v>1</v>
      </c>
      <c r="AD261" s="14">
        <v>221</v>
      </c>
      <c r="AE261" s="14">
        <v>0</v>
      </c>
      <c r="AF261" s="14">
        <v>1</v>
      </c>
      <c r="AG261" s="14">
        <v>0</v>
      </c>
      <c r="AH261" s="14">
        <v>0</v>
      </c>
      <c r="AI261" s="14">
        <v>0</v>
      </c>
      <c r="AJ261" s="14">
        <v>18</v>
      </c>
      <c r="AK261" s="14">
        <v>15</v>
      </c>
      <c r="AL261" s="14">
        <v>0</v>
      </c>
      <c r="AM261" s="14">
        <f t="shared" si="227"/>
        <v>15</v>
      </c>
      <c r="AN261" s="14">
        <v>2</v>
      </c>
      <c r="AO261" s="14">
        <v>0</v>
      </c>
      <c r="AP261" s="14">
        <v>53</v>
      </c>
      <c r="AQ261" s="14">
        <f t="shared" si="228"/>
        <v>53</v>
      </c>
      <c r="AS261" s="14">
        <v>0</v>
      </c>
      <c r="AT261" s="14">
        <f t="shared" si="229"/>
        <v>0</v>
      </c>
      <c r="AU261" s="16">
        <v>1181</v>
      </c>
      <c r="AV261" s="16">
        <v>1488</v>
      </c>
      <c r="AW261" s="16">
        <v>0</v>
      </c>
      <c r="AX261" s="16">
        <v>0</v>
      </c>
      <c r="AY261" s="18">
        <f t="shared" si="230"/>
        <v>6.1352099491182814</v>
      </c>
      <c r="AZ261" s="17">
        <f t="shared" si="231"/>
        <v>7.7300528402099937</v>
      </c>
      <c r="BA261" s="17">
        <f t="shared" si="232"/>
        <v>0</v>
      </c>
      <c r="BB261" s="17">
        <f t="shared" si="233"/>
        <v>0</v>
      </c>
      <c r="BC261" s="17">
        <f t="shared" si="201"/>
        <v>0</v>
      </c>
      <c r="BD261" s="17">
        <f t="shared" si="202"/>
        <v>5.7144207824133021E-2</v>
      </c>
      <c r="BE261" s="17">
        <f t="shared" si="203"/>
        <v>1.5584783952036278E-2</v>
      </c>
      <c r="BF261" s="17">
        <f t="shared" si="204"/>
        <v>7.7923919760181398E-2</v>
      </c>
      <c r="BG261" s="17">
        <f t="shared" si="205"/>
        <v>0</v>
      </c>
      <c r="BH261" s="17">
        <f t="shared" si="206"/>
        <v>1.0389855968024185E-2</v>
      </c>
      <c r="BI261" s="17">
        <f t="shared" si="207"/>
        <v>18.083544312346095</v>
      </c>
      <c r="BJ261" s="17">
        <f t="shared" si="208"/>
        <v>4.155942387209674E-2</v>
      </c>
      <c r="BK261" s="17">
        <f t="shared" si="209"/>
        <v>0</v>
      </c>
      <c r="BL261" s="17">
        <f t="shared" si="210"/>
        <v>2.5974639920060463E-2</v>
      </c>
      <c r="BM261" s="17">
        <f t="shared" si="211"/>
        <v>0</v>
      </c>
      <c r="BN261" s="17">
        <f t="shared" si="212"/>
        <v>0</v>
      </c>
      <c r="BO261" s="17">
        <f t="shared" si="213"/>
        <v>0</v>
      </c>
      <c r="BP261" s="17">
        <f t="shared" si="214"/>
        <v>5.1949279840120925E-3</v>
      </c>
      <c r="BQ261" s="17">
        <f t="shared" si="215"/>
        <v>5.1949279840120925E-3</v>
      </c>
      <c r="BR261" s="17">
        <f t="shared" si="216"/>
        <v>8.8313775728205576E-2</v>
      </c>
      <c r="BS261" s="17">
        <f t="shared" si="217"/>
        <v>0</v>
      </c>
      <c r="BT261" s="17">
        <f t="shared" si="218"/>
        <v>0</v>
      </c>
      <c r="BU261" s="17">
        <f t="shared" si="219"/>
        <v>0</v>
      </c>
      <c r="BV261" s="17">
        <f t="shared" si="220"/>
        <v>0.27533118315264093</v>
      </c>
      <c r="BW261" s="17">
        <f t="shared" si="221"/>
        <v>0</v>
      </c>
      <c r="BX261" s="17">
        <f t="shared" si="222"/>
        <v>5.1949279840120925E-3</v>
      </c>
      <c r="BY261" s="17">
        <f t="shared" si="223"/>
        <v>1.1480790844666724</v>
      </c>
      <c r="BZ261" s="17">
        <f t="shared" si="234"/>
        <v>0</v>
      </c>
      <c r="CA261" s="17">
        <f t="shared" si="235"/>
        <v>5.1949279840120925E-3</v>
      </c>
      <c r="CB261" s="17">
        <f t="shared" si="236"/>
        <v>0</v>
      </c>
      <c r="CC261" s="17">
        <f t="shared" si="237"/>
        <v>0</v>
      </c>
      <c r="CD261" s="17">
        <f t="shared" si="238"/>
        <v>0</v>
      </c>
      <c r="CE261" s="17">
        <f t="shared" si="239"/>
        <v>9.3508703712217672E-2</v>
      </c>
      <c r="CF261" s="17">
        <f t="shared" si="240"/>
        <v>7.7923919760181398E-2</v>
      </c>
      <c r="CG261" s="17">
        <f t="shared" si="241"/>
        <v>0</v>
      </c>
      <c r="CH261" s="17">
        <f t="shared" si="242"/>
        <v>1.0389855968024185E-2</v>
      </c>
      <c r="CI261" s="17">
        <f t="shared" si="243"/>
        <v>0</v>
      </c>
      <c r="CJ261" s="17">
        <f t="shared" si="244"/>
        <v>0.27533118315264093</v>
      </c>
      <c r="CK261" s="17">
        <f t="shared" si="245"/>
        <v>0</v>
      </c>
      <c r="CL261" s="17">
        <f t="shared" si="246"/>
        <v>0</v>
      </c>
      <c r="CM261" s="14">
        <f t="shared" si="247"/>
        <v>1488</v>
      </c>
      <c r="CN261" s="17">
        <f t="shared" si="248"/>
        <v>7.7300528402099937</v>
      </c>
      <c r="CO261" s="14">
        <f t="shared" si="249"/>
        <v>2669</v>
      </c>
      <c r="CP261" s="17">
        <f t="shared" si="250"/>
        <v>13.865262789328275</v>
      </c>
      <c r="CQ261" s="14">
        <f t="shared" si="224"/>
        <v>6645</v>
      </c>
      <c r="CR261" s="14">
        <v>0</v>
      </c>
      <c r="CS261" s="14">
        <v>0</v>
      </c>
      <c r="CT261" s="14">
        <v>0</v>
      </c>
      <c r="CU261" s="14">
        <v>0</v>
      </c>
    </row>
    <row r="262" spans="1:99" x14ac:dyDescent="0.3">
      <c r="A262" s="14">
        <v>2019</v>
      </c>
      <c r="B262" s="14" t="s">
        <v>47</v>
      </c>
      <c r="C262" s="14" t="s">
        <v>48</v>
      </c>
      <c r="D262" s="15">
        <v>62304.1</v>
      </c>
      <c r="E262" s="15">
        <v>1970456.5</v>
      </c>
      <c r="F262" s="15">
        <f t="shared" si="225"/>
        <v>31.626433894398605</v>
      </c>
      <c r="AB262" s="14">
        <f t="shared" si="226"/>
        <v>0</v>
      </c>
      <c r="AM262" s="14">
        <f t="shared" si="227"/>
        <v>0</v>
      </c>
      <c r="AQ262" s="14">
        <f t="shared" si="228"/>
        <v>0</v>
      </c>
      <c r="AT262" s="14">
        <f t="shared" si="229"/>
        <v>0</v>
      </c>
      <c r="AU262" s="16">
        <v>0</v>
      </c>
      <c r="AV262" s="16">
        <v>0</v>
      </c>
      <c r="AW262" s="16">
        <v>0</v>
      </c>
      <c r="AX262" s="16">
        <v>0</v>
      </c>
      <c r="AY262" s="18">
        <f t="shared" si="230"/>
        <v>0</v>
      </c>
      <c r="AZ262" s="17">
        <f t="shared" si="231"/>
        <v>0</v>
      </c>
      <c r="BA262" s="17">
        <f t="shared" si="232"/>
        <v>0</v>
      </c>
      <c r="BB262" s="17">
        <f t="shared" si="233"/>
        <v>0</v>
      </c>
      <c r="BC262" s="17">
        <f t="shared" si="201"/>
        <v>0</v>
      </c>
      <c r="BD262" s="17">
        <f t="shared" si="202"/>
        <v>0</v>
      </c>
      <c r="BE262" s="17">
        <f t="shared" si="203"/>
        <v>0</v>
      </c>
      <c r="BF262" s="17">
        <f t="shared" si="204"/>
        <v>0</v>
      </c>
      <c r="BG262" s="17">
        <f t="shared" si="205"/>
        <v>0</v>
      </c>
      <c r="BH262" s="17">
        <f t="shared" si="206"/>
        <v>0</v>
      </c>
      <c r="BI262" s="17">
        <f t="shared" si="207"/>
        <v>0</v>
      </c>
      <c r="BJ262" s="17">
        <f t="shared" si="208"/>
        <v>0</v>
      </c>
      <c r="BK262" s="17">
        <f t="shared" si="209"/>
        <v>0</v>
      </c>
      <c r="BL262" s="17">
        <f t="shared" si="210"/>
        <v>0</v>
      </c>
      <c r="BM262" s="17">
        <f t="shared" si="211"/>
        <v>0</v>
      </c>
      <c r="BN262" s="17">
        <f t="shared" si="212"/>
        <v>0</v>
      </c>
      <c r="BO262" s="17">
        <f t="shared" si="213"/>
        <v>0</v>
      </c>
      <c r="BP262" s="17">
        <f t="shared" si="214"/>
        <v>0</v>
      </c>
      <c r="BQ262" s="17">
        <f t="shared" si="215"/>
        <v>0</v>
      </c>
      <c r="BR262" s="17">
        <f t="shared" si="216"/>
        <v>0</v>
      </c>
      <c r="BS262" s="17">
        <f t="shared" si="217"/>
        <v>0</v>
      </c>
      <c r="BT262" s="17">
        <f t="shared" si="218"/>
        <v>0</v>
      </c>
      <c r="BU262" s="17">
        <f t="shared" si="219"/>
        <v>0</v>
      </c>
      <c r="BV262" s="17">
        <f t="shared" si="220"/>
        <v>0</v>
      </c>
      <c r="BW262" s="17">
        <f t="shared" si="221"/>
        <v>0</v>
      </c>
      <c r="BX262" s="17">
        <f t="shared" si="222"/>
        <v>0</v>
      </c>
      <c r="BY262" s="17">
        <f t="shared" si="223"/>
        <v>0</v>
      </c>
      <c r="BZ262" s="17">
        <f t="shared" si="234"/>
        <v>0</v>
      </c>
      <c r="CA262" s="17">
        <f t="shared" si="235"/>
        <v>0</v>
      </c>
      <c r="CB262" s="17">
        <f t="shared" si="236"/>
        <v>0</v>
      </c>
      <c r="CC262" s="17">
        <f t="shared" si="237"/>
        <v>0</v>
      </c>
      <c r="CD262" s="17">
        <f t="shared" si="238"/>
        <v>0</v>
      </c>
      <c r="CE262" s="17">
        <f t="shared" si="239"/>
        <v>0</v>
      </c>
      <c r="CF262" s="17">
        <f t="shared" si="240"/>
        <v>0</v>
      </c>
      <c r="CG262" s="17">
        <f t="shared" si="241"/>
        <v>0</v>
      </c>
      <c r="CH262" s="17">
        <f t="shared" si="242"/>
        <v>0</v>
      </c>
      <c r="CI262" s="17">
        <f t="shared" si="243"/>
        <v>0</v>
      </c>
      <c r="CJ262" s="17">
        <f t="shared" si="244"/>
        <v>0</v>
      </c>
      <c r="CK262" s="17">
        <f t="shared" si="245"/>
        <v>0</v>
      </c>
      <c r="CL262" s="17">
        <f t="shared" si="246"/>
        <v>0</v>
      </c>
      <c r="CM262" s="14">
        <f t="shared" si="247"/>
        <v>0</v>
      </c>
      <c r="CN262" s="17">
        <f t="shared" si="248"/>
        <v>0</v>
      </c>
      <c r="CO262" s="14">
        <f t="shared" si="249"/>
        <v>0</v>
      </c>
      <c r="CP262" s="17">
        <f t="shared" si="250"/>
        <v>0</v>
      </c>
      <c r="CQ262" s="14">
        <f t="shared" si="224"/>
        <v>0</v>
      </c>
      <c r="CR262" s="14">
        <v>0</v>
      </c>
      <c r="CS262" s="14">
        <v>0</v>
      </c>
      <c r="CT262" s="14">
        <v>0</v>
      </c>
      <c r="CU262" s="14">
        <v>0</v>
      </c>
    </row>
    <row r="263" spans="1:99" x14ac:dyDescent="0.3">
      <c r="A263" s="14">
        <v>2020</v>
      </c>
      <c r="B263" s="14" t="s">
        <v>47</v>
      </c>
      <c r="C263" s="14" t="s">
        <v>48</v>
      </c>
      <c r="D263" s="15">
        <v>62815</v>
      </c>
      <c r="E263" s="15">
        <v>2015827.9999999998</v>
      </c>
      <c r="F263" s="15">
        <f t="shared" si="225"/>
        <v>32.091506805699275</v>
      </c>
      <c r="G263" s="14">
        <v>5</v>
      </c>
      <c r="H263" s="14">
        <v>13</v>
      </c>
      <c r="I263" s="14">
        <v>119</v>
      </c>
      <c r="L263" s="14">
        <v>4</v>
      </c>
      <c r="M263" s="14">
        <v>3711</v>
      </c>
      <c r="N263" s="14">
        <v>0</v>
      </c>
      <c r="O263" s="14">
        <v>8</v>
      </c>
      <c r="P263" s="14">
        <v>3</v>
      </c>
      <c r="Q263" s="14">
        <v>1</v>
      </c>
      <c r="R263" s="14">
        <v>9</v>
      </c>
      <c r="S263" s="14">
        <v>18</v>
      </c>
      <c r="T263" s="14">
        <v>2</v>
      </c>
      <c r="U263" s="14">
        <v>10</v>
      </c>
      <c r="V263" s="14">
        <v>3</v>
      </c>
      <c r="Y263" s="14">
        <v>1</v>
      </c>
      <c r="Z263" s="14">
        <v>285</v>
      </c>
      <c r="AB263" s="14">
        <f t="shared" si="226"/>
        <v>8</v>
      </c>
      <c r="AE263" s="14">
        <v>4</v>
      </c>
      <c r="AF263" s="14">
        <v>9</v>
      </c>
      <c r="AG263" s="14">
        <v>149</v>
      </c>
      <c r="AH263" s="14">
        <v>115</v>
      </c>
      <c r="AI263" s="14">
        <v>2</v>
      </c>
      <c r="AJ263" s="14">
        <v>73</v>
      </c>
      <c r="AK263" s="14">
        <v>4</v>
      </c>
      <c r="AM263" s="14">
        <f t="shared" si="227"/>
        <v>4</v>
      </c>
      <c r="AN263" s="14">
        <v>11</v>
      </c>
      <c r="AO263" s="14">
        <v>61</v>
      </c>
      <c r="AQ263" s="14">
        <f t="shared" si="228"/>
        <v>61</v>
      </c>
      <c r="AT263" s="14">
        <f t="shared" si="229"/>
        <v>0</v>
      </c>
      <c r="AU263" s="16">
        <v>781</v>
      </c>
      <c r="AV263" s="16">
        <v>2782</v>
      </c>
      <c r="AW263" s="16">
        <v>370</v>
      </c>
      <c r="AX263" s="16">
        <v>0</v>
      </c>
      <c r="AY263" s="18">
        <f t="shared" si="230"/>
        <v>3.8743384852279066</v>
      </c>
      <c r="AZ263" s="17">
        <f t="shared" si="231"/>
        <v>13.800780622156257</v>
      </c>
      <c r="BA263" s="17">
        <f t="shared" si="232"/>
        <v>1.8354740583025935</v>
      </c>
      <c r="BB263" s="17">
        <f t="shared" si="233"/>
        <v>0</v>
      </c>
      <c r="BC263" s="17">
        <f t="shared" si="201"/>
        <v>2.4803703490575587E-2</v>
      </c>
      <c r="BD263" s="17">
        <f t="shared" si="202"/>
        <v>6.4489629075496532E-2</v>
      </c>
      <c r="BE263" s="17">
        <f t="shared" si="203"/>
        <v>0.59032814307569903</v>
      </c>
      <c r="BF263" s="17">
        <f t="shared" si="204"/>
        <v>0</v>
      </c>
      <c r="BG263" s="17">
        <f t="shared" si="205"/>
        <v>0</v>
      </c>
      <c r="BH263" s="17">
        <f t="shared" si="206"/>
        <v>1.9842962792460471E-2</v>
      </c>
      <c r="BI263" s="17">
        <f t="shared" si="207"/>
        <v>18.409308730705202</v>
      </c>
      <c r="BJ263" s="17">
        <f t="shared" si="208"/>
        <v>0</v>
      </c>
      <c r="BK263" s="17">
        <f t="shared" si="209"/>
        <v>3.9685925584920942E-2</v>
      </c>
      <c r="BL263" s="17">
        <f t="shared" si="210"/>
        <v>1.4882222094345353E-2</v>
      </c>
      <c r="BM263" s="17">
        <f t="shared" si="211"/>
        <v>4.9607406981151177E-3</v>
      </c>
      <c r="BN263" s="17">
        <f t="shared" si="212"/>
        <v>4.4646666283036054E-2</v>
      </c>
      <c r="BO263" s="17">
        <f t="shared" si="213"/>
        <v>8.9293332566072109E-2</v>
      </c>
      <c r="BP263" s="17">
        <f t="shared" si="214"/>
        <v>9.9214813962302355E-3</v>
      </c>
      <c r="BQ263" s="17">
        <f t="shared" si="215"/>
        <v>4.9607406981151174E-2</v>
      </c>
      <c r="BR263" s="17">
        <f t="shared" si="216"/>
        <v>1.4882222094345353E-2</v>
      </c>
      <c r="BS263" s="17">
        <f t="shared" si="217"/>
        <v>0</v>
      </c>
      <c r="BT263" s="17">
        <f t="shared" si="218"/>
        <v>0</v>
      </c>
      <c r="BU263" s="17">
        <f t="shared" si="219"/>
        <v>4.9607406981151177E-3</v>
      </c>
      <c r="BV263" s="17">
        <f t="shared" si="220"/>
        <v>1.4138110989628085</v>
      </c>
      <c r="BW263" s="17">
        <f t="shared" si="221"/>
        <v>0</v>
      </c>
      <c r="BX263" s="17">
        <f t="shared" si="222"/>
        <v>0</v>
      </c>
      <c r="BY263" s="17">
        <f t="shared" si="223"/>
        <v>0</v>
      </c>
      <c r="BZ263" s="17">
        <f t="shared" si="234"/>
        <v>1.9842962792460471E-2</v>
      </c>
      <c r="CA263" s="17">
        <f t="shared" si="235"/>
        <v>4.4646666283036054E-2</v>
      </c>
      <c r="CB263" s="17">
        <f t="shared" si="236"/>
        <v>0.73915036401915246</v>
      </c>
      <c r="CC263" s="17">
        <f t="shared" si="237"/>
        <v>0.57048518028323847</v>
      </c>
      <c r="CD263" s="17">
        <f t="shared" si="238"/>
        <v>9.9214813962302355E-3</v>
      </c>
      <c r="CE263" s="17">
        <f t="shared" si="239"/>
        <v>0.36213407096240358</v>
      </c>
      <c r="CF263" s="17">
        <f t="shared" si="240"/>
        <v>1.9842962792460471E-2</v>
      </c>
      <c r="CG263" s="17">
        <f t="shared" si="241"/>
        <v>0</v>
      </c>
      <c r="CH263" s="17">
        <f t="shared" si="242"/>
        <v>5.4568147679266293E-2</v>
      </c>
      <c r="CI263" s="17">
        <f t="shared" si="243"/>
        <v>0.30260518258502217</v>
      </c>
      <c r="CJ263" s="17">
        <f t="shared" si="244"/>
        <v>0</v>
      </c>
      <c r="CK263" s="17">
        <f t="shared" si="245"/>
        <v>0</v>
      </c>
      <c r="CL263" s="17">
        <f t="shared" si="246"/>
        <v>0</v>
      </c>
      <c r="CM263" s="14">
        <f t="shared" si="247"/>
        <v>3152</v>
      </c>
      <c r="CN263" s="17">
        <f t="shared" si="248"/>
        <v>15.636254680458851</v>
      </c>
      <c r="CO263" s="14">
        <f t="shared" si="249"/>
        <v>3933</v>
      </c>
      <c r="CP263" s="17">
        <f t="shared" si="250"/>
        <v>19.510593165686757</v>
      </c>
      <c r="CQ263" s="14">
        <f t="shared" si="224"/>
        <v>8626</v>
      </c>
      <c r="CR263" s="14">
        <v>0</v>
      </c>
      <c r="CS263" s="14">
        <v>0</v>
      </c>
      <c r="CT263" s="14">
        <v>0</v>
      </c>
      <c r="CU263" s="14">
        <v>0</v>
      </c>
    </row>
    <row r="264" spans="1:99" x14ac:dyDescent="0.3">
      <c r="A264" s="14">
        <v>2021</v>
      </c>
      <c r="B264" s="14" t="s">
        <v>47</v>
      </c>
      <c r="C264" s="14" t="s">
        <v>48</v>
      </c>
      <c r="D264" s="15">
        <v>63310.400000000001</v>
      </c>
      <c r="E264" s="15">
        <v>2060720.9999999991</v>
      </c>
      <c r="F264" s="15">
        <f t="shared" si="225"/>
        <v>32.549486340316896</v>
      </c>
      <c r="G264" s="14">
        <v>2</v>
      </c>
      <c r="H264" s="14">
        <v>2</v>
      </c>
      <c r="I264" s="14">
        <v>196</v>
      </c>
      <c r="J264" s="14">
        <v>0</v>
      </c>
      <c r="K264" s="14">
        <v>0</v>
      </c>
      <c r="L264" s="14">
        <v>0</v>
      </c>
      <c r="M264" s="14">
        <v>0</v>
      </c>
      <c r="N264" s="14">
        <v>21</v>
      </c>
      <c r="O264" s="14">
        <v>3</v>
      </c>
      <c r="P264" s="14">
        <v>2</v>
      </c>
      <c r="Q264" s="14">
        <v>0</v>
      </c>
      <c r="R264" s="14">
        <v>0</v>
      </c>
      <c r="S264" s="14">
        <v>28</v>
      </c>
      <c r="T264" s="14">
        <v>1</v>
      </c>
      <c r="U264" s="14">
        <v>0</v>
      </c>
      <c r="V264" s="14">
        <v>2</v>
      </c>
      <c r="W264" s="14">
        <v>0</v>
      </c>
      <c r="X264" s="14">
        <v>0</v>
      </c>
      <c r="Y264" s="14">
        <v>1</v>
      </c>
      <c r="Z264" s="14">
        <v>200</v>
      </c>
      <c r="AA264" s="14">
        <v>0</v>
      </c>
      <c r="AB264" s="14">
        <f t="shared" si="226"/>
        <v>3</v>
      </c>
      <c r="AC264" s="14">
        <v>0</v>
      </c>
      <c r="AD264" s="14">
        <v>0</v>
      </c>
      <c r="AE264" s="14">
        <v>2</v>
      </c>
      <c r="AF264" s="14">
        <v>10</v>
      </c>
      <c r="AG264" s="14">
        <v>0</v>
      </c>
      <c r="AH264" s="14">
        <v>86</v>
      </c>
      <c r="AI264" s="14">
        <v>0</v>
      </c>
      <c r="AJ264" s="14">
        <v>76</v>
      </c>
      <c r="AK264" s="14">
        <v>6</v>
      </c>
      <c r="AL264" s="14">
        <v>0</v>
      </c>
      <c r="AM264" s="14">
        <f t="shared" si="227"/>
        <v>6</v>
      </c>
      <c r="AN264" s="14">
        <v>12</v>
      </c>
      <c r="AO264" s="14">
        <v>0</v>
      </c>
      <c r="AP264" s="14">
        <v>16</v>
      </c>
      <c r="AQ264" s="14">
        <f t="shared" si="228"/>
        <v>16</v>
      </c>
      <c r="AR264" s="14">
        <v>0</v>
      </c>
      <c r="AS264" s="14">
        <v>0</v>
      </c>
      <c r="AT264" s="14">
        <f t="shared" si="229"/>
        <v>0</v>
      </c>
      <c r="AU264" s="16">
        <v>916</v>
      </c>
      <c r="AV264" s="16">
        <v>3912</v>
      </c>
      <c r="AW264" s="16">
        <v>426</v>
      </c>
      <c r="AX264" s="16">
        <v>0</v>
      </c>
      <c r="AY264" s="18">
        <f t="shared" si="230"/>
        <v>4.4450461755861195</v>
      </c>
      <c r="AZ264" s="17">
        <f t="shared" si="231"/>
        <v>18.983646985690939</v>
      </c>
      <c r="BA264" s="17">
        <f t="shared" si="232"/>
        <v>2.0672376318773877</v>
      </c>
      <c r="BB264" s="17">
        <f t="shared" si="233"/>
        <v>0</v>
      </c>
      <c r="BC264" s="17">
        <f t="shared" si="201"/>
        <v>9.705340994729519E-3</v>
      </c>
      <c r="BD264" s="17">
        <f t="shared" si="202"/>
        <v>9.705340994729519E-3</v>
      </c>
      <c r="BE264" s="17">
        <f t="shared" si="203"/>
        <v>0.95112341748349283</v>
      </c>
      <c r="BF264" s="17">
        <f t="shared" si="204"/>
        <v>0</v>
      </c>
      <c r="BG264" s="17">
        <f t="shared" si="205"/>
        <v>0</v>
      </c>
      <c r="BH264" s="17">
        <f t="shared" si="206"/>
        <v>0</v>
      </c>
      <c r="BI264" s="17">
        <f t="shared" si="207"/>
        <v>0</v>
      </c>
      <c r="BJ264" s="17">
        <f t="shared" si="208"/>
        <v>0.10190608044465994</v>
      </c>
      <c r="BK264" s="17">
        <f t="shared" si="209"/>
        <v>1.4558011492094278E-2</v>
      </c>
      <c r="BL264" s="17">
        <f t="shared" si="210"/>
        <v>9.705340994729519E-3</v>
      </c>
      <c r="BM264" s="17">
        <f t="shared" si="211"/>
        <v>0</v>
      </c>
      <c r="BN264" s="17">
        <f t="shared" si="212"/>
        <v>0</v>
      </c>
      <c r="BO264" s="17">
        <f t="shared" si="213"/>
        <v>0.13587477392621328</v>
      </c>
      <c r="BP264" s="17">
        <f t="shared" si="214"/>
        <v>4.8526704973647595E-3</v>
      </c>
      <c r="BQ264" s="17">
        <f t="shared" si="215"/>
        <v>0</v>
      </c>
      <c r="BR264" s="17">
        <f t="shared" si="216"/>
        <v>9.705340994729519E-3</v>
      </c>
      <c r="BS264" s="17">
        <f t="shared" si="217"/>
        <v>0</v>
      </c>
      <c r="BT264" s="17">
        <f t="shared" si="218"/>
        <v>0</v>
      </c>
      <c r="BU264" s="17">
        <f t="shared" si="219"/>
        <v>4.8526704973647595E-3</v>
      </c>
      <c r="BV264" s="17">
        <f t="shared" si="220"/>
        <v>0.97053409947295188</v>
      </c>
      <c r="BW264" s="17">
        <f t="shared" si="221"/>
        <v>0</v>
      </c>
      <c r="BX264" s="17">
        <f t="shared" si="222"/>
        <v>0</v>
      </c>
      <c r="BY264" s="17">
        <f t="shared" si="223"/>
        <v>0</v>
      </c>
      <c r="BZ264" s="17">
        <f t="shared" si="234"/>
        <v>9.705340994729519E-3</v>
      </c>
      <c r="CA264" s="17">
        <f t="shared" si="235"/>
        <v>4.8526704973647597E-2</v>
      </c>
      <c r="CB264" s="17">
        <f t="shared" si="236"/>
        <v>0</v>
      </c>
      <c r="CC264" s="17">
        <f t="shared" si="237"/>
        <v>0.4173296627733693</v>
      </c>
      <c r="CD264" s="17">
        <f t="shared" si="238"/>
        <v>0</v>
      </c>
      <c r="CE264" s="17">
        <f t="shared" si="239"/>
        <v>0.36880295779972172</v>
      </c>
      <c r="CF264" s="17">
        <f t="shared" si="240"/>
        <v>2.9116022984188555E-2</v>
      </c>
      <c r="CG264" s="17">
        <f t="shared" si="241"/>
        <v>0</v>
      </c>
      <c r="CH264" s="17">
        <f t="shared" si="242"/>
        <v>5.8232045968377111E-2</v>
      </c>
      <c r="CI264" s="17">
        <f t="shared" si="243"/>
        <v>0</v>
      </c>
      <c r="CJ264" s="17">
        <f t="shared" si="244"/>
        <v>7.7642727957836152E-2</v>
      </c>
      <c r="CK264" s="17">
        <f t="shared" si="245"/>
        <v>0</v>
      </c>
      <c r="CL264" s="17">
        <f t="shared" si="246"/>
        <v>0</v>
      </c>
      <c r="CM264" s="14">
        <f t="shared" si="247"/>
        <v>4338</v>
      </c>
      <c r="CN264" s="17">
        <f t="shared" si="248"/>
        <v>21.050884617568325</v>
      </c>
      <c r="CO264" s="14">
        <f t="shared" si="249"/>
        <v>5254</v>
      </c>
      <c r="CP264" s="17">
        <f t="shared" si="250"/>
        <v>25.495930793154447</v>
      </c>
      <c r="CQ264" s="14">
        <f t="shared" si="224"/>
        <v>5945</v>
      </c>
      <c r="CR264" s="14">
        <v>0</v>
      </c>
      <c r="CS264" s="14">
        <v>0</v>
      </c>
      <c r="CT264" s="14">
        <v>0</v>
      </c>
      <c r="CU264" s="14">
        <v>0</v>
      </c>
    </row>
    <row r="265" spans="1:99" x14ac:dyDescent="0.3">
      <c r="A265" s="14">
        <v>2022</v>
      </c>
      <c r="B265" s="14" t="s">
        <v>47</v>
      </c>
      <c r="C265" s="14" t="s">
        <v>48</v>
      </c>
      <c r="D265" s="15">
        <v>63757.9</v>
      </c>
      <c r="E265" s="15">
        <v>2105565.4999999991</v>
      </c>
      <c r="F265" s="15">
        <f t="shared" si="225"/>
        <v>33.024385997656744</v>
      </c>
      <c r="G265" s="14">
        <v>20</v>
      </c>
      <c r="H265" s="14">
        <v>2</v>
      </c>
      <c r="I265" s="14">
        <v>181</v>
      </c>
      <c r="J265" s="14">
        <v>0</v>
      </c>
      <c r="K265" s="14">
        <v>0</v>
      </c>
      <c r="L265" s="14">
        <v>11</v>
      </c>
      <c r="M265" s="14">
        <v>3975</v>
      </c>
      <c r="N265" s="14">
        <v>2</v>
      </c>
      <c r="O265" s="14">
        <v>2</v>
      </c>
      <c r="P265" s="14">
        <v>3</v>
      </c>
      <c r="Q265" s="14">
        <v>1</v>
      </c>
      <c r="R265" s="14">
        <v>1</v>
      </c>
      <c r="S265" s="14">
        <v>24</v>
      </c>
      <c r="T265" s="14">
        <v>0</v>
      </c>
      <c r="U265" s="14">
        <v>0</v>
      </c>
      <c r="V265" s="14">
        <v>51</v>
      </c>
      <c r="W265" s="14">
        <v>0</v>
      </c>
      <c r="X265" s="14">
        <v>0</v>
      </c>
      <c r="Y265" s="14">
        <v>197</v>
      </c>
      <c r="Z265" s="14">
        <v>1</v>
      </c>
      <c r="AA265" s="14">
        <v>0</v>
      </c>
      <c r="AB265" s="14">
        <f t="shared" si="226"/>
        <v>2</v>
      </c>
      <c r="AC265" s="14">
        <v>0</v>
      </c>
      <c r="AD265" s="14">
        <v>0</v>
      </c>
      <c r="AE265" s="14">
        <v>1</v>
      </c>
      <c r="AF265" s="14">
        <v>0</v>
      </c>
      <c r="AG265" s="14">
        <v>10</v>
      </c>
      <c r="AH265" s="14">
        <v>64</v>
      </c>
      <c r="AI265" s="14">
        <v>0</v>
      </c>
      <c r="AJ265" s="14">
        <v>80</v>
      </c>
      <c r="AK265" s="14">
        <v>5</v>
      </c>
      <c r="AL265" s="14">
        <v>0</v>
      </c>
      <c r="AM265" s="14">
        <f t="shared" si="227"/>
        <v>5</v>
      </c>
      <c r="AN265" s="14">
        <v>11</v>
      </c>
      <c r="AO265" s="14">
        <v>68</v>
      </c>
      <c r="AP265" s="14">
        <v>0</v>
      </c>
      <c r="AQ265" s="14">
        <f t="shared" si="228"/>
        <v>68</v>
      </c>
      <c r="AR265" s="14">
        <v>0</v>
      </c>
      <c r="AS265" s="14">
        <v>0</v>
      </c>
      <c r="AT265" s="14">
        <f t="shared" si="229"/>
        <v>0</v>
      </c>
      <c r="AU265" s="16">
        <v>885</v>
      </c>
      <c r="AV265" s="16">
        <v>3758</v>
      </c>
      <c r="AW265" s="16">
        <v>394</v>
      </c>
      <c r="AX265" s="16">
        <v>0</v>
      </c>
      <c r="AY265" s="18">
        <f t="shared" si="230"/>
        <v>4.20314637564113</v>
      </c>
      <c r="AZ265" s="17">
        <f t="shared" si="231"/>
        <v>17.847936813174424</v>
      </c>
      <c r="BA265" s="17">
        <f t="shared" si="232"/>
        <v>1.871231267799554</v>
      </c>
      <c r="BB265" s="17">
        <f t="shared" si="233"/>
        <v>0</v>
      </c>
      <c r="BC265" s="17">
        <f t="shared" si="201"/>
        <v>9.4986358771550969E-2</v>
      </c>
      <c r="BD265" s="17">
        <f t="shared" si="202"/>
        <v>9.4986358771550969E-3</v>
      </c>
      <c r="BE265" s="17">
        <f t="shared" si="203"/>
        <v>0.85962654688253626</v>
      </c>
      <c r="BF265" s="17">
        <f t="shared" si="204"/>
        <v>0</v>
      </c>
      <c r="BG265" s="17">
        <f t="shared" si="205"/>
        <v>0</v>
      </c>
      <c r="BH265" s="17">
        <f t="shared" si="206"/>
        <v>5.2242497324353029E-2</v>
      </c>
      <c r="BI265" s="17">
        <f t="shared" si="207"/>
        <v>18.878538805845754</v>
      </c>
      <c r="BJ265" s="17">
        <f t="shared" si="208"/>
        <v>9.4986358771550969E-3</v>
      </c>
      <c r="BK265" s="17">
        <f t="shared" si="209"/>
        <v>9.4986358771550969E-3</v>
      </c>
      <c r="BL265" s="17">
        <f t="shared" si="210"/>
        <v>1.4247953815732644E-2</v>
      </c>
      <c r="BM265" s="17">
        <f t="shared" si="211"/>
        <v>4.7493179385775484E-3</v>
      </c>
      <c r="BN265" s="17">
        <f t="shared" si="212"/>
        <v>4.7493179385775484E-3</v>
      </c>
      <c r="BO265" s="17">
        <f t="shared" si="213"/>
        <v>0.11398363052586115</v>
      </c>
      <c r="BP265" s="17">
        <f t="shared" si="214"/>
        <v>0</v>
      </c>
      <c r="BQ265" s="17">
        <f t="shared" si="215"/>
        <v>0</v>
      </c>
      <c r="BR265" s="17">
        <f t="shared" si="216"/>
        <v>0.24221521486745495</v>
      </c>
      <c r="BS265" s="17">
        <f t="shared" si="217"/>
        <v>0</v>
      </c>
      <c r="BT265" s="17">
        <f t="shared" si="218"/>
        <v>0</v>
      </c>
      <c r="BU265" s="17">
        <f t="shared" si="219"/>
        <v>0.93561563389977698</v>
      </c>
      <c r="BV265" s="17">
        <f t="shared" si="220"/>
        <v>4.7493179385775484E-3</v>
      </c>
      <c r="BW265" s="17">
        <f t="shared" si="221"/>
        <v>0</v>
      </c>
      <c r="BX265" s="17">
        <f t="shared" si="222"/>
        <v>0</v>
      </c>
      <c r="BY265" s="17">
        <f t="shared" si="223"/>
        <v>0</v>
      </c>
      <c r="BZ265" s="17">
        <f t="shared" si="234"/>
        <v>4.7493179385775484E-3</v>
      </c>
      <c r="CA265" s="17">
        <f t="shared" si="235"/>
        <v>0</v>
      </c>
      <c r="CB265" s="17">
        <f t="shared" si="236"/>
        <v>4.7493179385775484E-2</v>
      </c>
      <c r="CC265" s="17">
        <f t="shared" si="237"/>
        <v>0.3039563480689631</v>
      </c>
      <c r="CD265" s="17">
        <f t="shared" si="238"/>
        <v>0</v>
      </c>
      <c r="CE265" s="17">
        <f t="shared" si="239"/>
        <v>0.37994543508620388</v>
      </c>
      <c r="CF265" s="17">
        <f t="shared" si="240"/>
        <v>2.3746589692887742E-2</v>
      </c>
      <c r="CG265" s="17">
        <f t="shared" si="241"/>
        <v>0</v>
      </c>
      <c r="CH265" s="17">
        <f t="shared" si="242"/>
        <v>5.2242497324353029E-2</v>
      </c>
      <c r="CI265" s="17">
        <f t="shared" si="243"/>
        <v>0.32295361982327325</v>
      </c>
      <c r="CJ265" s="17">
        <f t="shared" si="244"/>
        <v>0</v>
      </c>
      <c r="CK265" s="17">
        <f t="shared" si="245"/>
        <v>0</v>
      </c>
      <c r="CL265" s="17">
        <f t="shared" si="246"/>
        <v>0</v>
      </c>
      <c r="CM265" s="14">
        <f t="shared" si="247"/>
        <v>4152</v>
      </c>
      <c r="CN265" s="17">
        <f t="shared" si="248"/>
        <v>19.719168080973979</v>
      </c>
      <c r="CO265" s="14">
        <f t="shared" si="249"/>
        <v>5037</v>
      </c>
      <c r="CP265" s="17">
        <f t="shared" si="250"/>
        <v>23.922314456615108</v>
      </c>
      <c r="CQ265" s="14">
        <f t="shared" si="224"/>
        <v>9822</v>
      </c>
      <c r="CR265" s="14">
        <v>53</v>
      </c>
      <c r="CS265" s="14">
        <v>0</v>
      </c>
      <c r="CT265" s="14">
        <v>0</v>
      </c>
      <c r="CU265" s="14">
        <v>0</v>
      </c>
    </row>
    <row r="266" spans="1:99" x14ac:dyDescent="0.3">
      <c r="A266" s="14">
        <v>2012</v>
      </c>
      <c r="B266" s="14" t="s">
        <v>49</v>
      </c>
      <c r="C266" s="14" t="s">
        <v>50</v>
      </c>
      <c r="D266" s="15">
        <v>1436441.7</v>
      </c>
      <c r="E266" s="15">
        <v>43725806.500000007</v>
      </c>
      <c r="F266" s="15">
        <f t="shared" si="225"/>
        <v>30.440362807623874</v>
      </c>
      <c r="G266" s="14">
        <v>985</v>
      </c>
      <c r="H266" s="14">
        <v>2076</v>
      </c>
      <c r="AB266" s="14">
        <f t="shared" si="226"/>
        <v>0</v>
      </c>
      <c r="AM266" s="14">
        <f t="shared" si="227"/>
        <v>0</v>
      </c>
      <c r="AQ266" s="14">
        <f t="shared" si="228"/>
        <v>0</v>
      </c>
      <c r="AT266" s="14">
        <f t="shared" si="229"/>
        <v>0</v>
      </c>
      <c r="AU266" s="16">
        <v>16184</v>
      </c>
      <c r="AV266" s="16">
        <v>123538</v>
      </c>
      <c r="AW266" s="16">
        <v>0</v>
      </c>
      <c r="AX266" s="16">
        <v>0</v>
      </c>
      <c r="AY266" s="18">
        <f t="shared" si="230"/>
        <v>3.7012467683128949</v>
      </c>
      <c r="AZ266" s="17">
        <f t="shared" si="231"/>
        <v>28.252880824508058</v>
      </c>
      <c r="BA266" s="17">
        <f t="shared" si="232"/>
        <v>0</v>
      </c>
      <c r="BB266" s="17">
        <f t="shared" si="233"/>
        <v>0</v>
      </c>
      <c r="BC266" s="17">
        <f t="shared" si="201"/>
        <v>0.22526742874370992</v>
      </c>
      <c r="BD266" s="17">
        <f t="shared" si="202"/>
        <v>0.47477683459080389</v>
      </c>
      <c r="BE266" s="17">
        <f t="shared" si="203"/>
        <v>0</v>
      </c>
      <c r="BF266" s="17">
        <f t="shared" si="204"/>
        <v>0</v>
      </c>
      <c r="BG266" s="17">
        <f t="shared" si="205"/>
        <v>0</v>
      </c>
      <c r="BH266" s="17">
        <f t="shared" si="206"/>
        <v>0</v>
      </c>
      <c r="BI266" s="17">
        <f t="shared" si="207"/>
        <v>0</v>
      </c>
      <c r="BJ266" s="17">
        <f t="shared" si="208"/>
        <v>0</v>
      </c>
      <c r="BK266" s="17">
        <f t="shared" si="209"/>
        <v>0</v>
      </c>
      <c r="BL266" s="17">
        <f t="shared" si="210"/>
        <v>0</v>
      </c>
      <c r="BM266" s="17">
        <f t="shared" si="211"/>
        <v>0</v>
      </c>
      <c r="BN266" s="17">
        <f t="shared" si="212"/>
        <v>0</v>
      </c>
      <c r="BO266" s="17">
        <f t="shared" si="213"/>
        <v>0</v>
      </c>
      <c r="BP266" s="17">
        <f t="shared" si="214"/>
        <v>0</v>
      </c>
      <c r="BQ266" s="17">
        <f t="shared" si="215"/>
        <v>0</v>
      </c>
      <c r="BR266" s="17">
        <f t="shared" si="216"/>
        <v>0</v>
      </c>
      <c r="BS266" s="17">
        <f t="shared" si="217"/>
        <v>0</v>
      </c>
      <c r="BT266" s="17">
        <f t="shared" si="218"/>
        <v>0</v>
      </c>
      <c r="BU266" s="17">
        <f t="shared" si="219"/>
        <v>0</v>
      </c>
      <c r="BV266" s="17">
        <f t="shared" si="220"/>
        <v>0</v>
      </c>
      <c r="BW266" s="17">
        <f t="shared" si="221"/>
        <v>0</v>
      </c>
      <c r="BX266" s="17">
        <f t="shared" si="222"/>
        <v>0</v>
      </c>
      <c r="BY266" s="17">
        <f t="shared" si="223"/>
        <v>0</v>
      </c>
      <c r="BZ266" s="17">
        <f t="shared" si="234"/>
        <v>0</v>
      </c>
      <c r="CA266" s="17">
        <f t="shared" si="235"/>
        <v>0</v>
      </c>
      <c r="CB266" s="17">
        <f t="shared" si="236"/>
        <v>0</v>
      </c>
      <c r="CC266" s="17">
        <f t="shared" si="237"/>
        <v>0</v>
      </c>
      <c r="CD266" s="17">
        <f t="shared" si="238"/>
        <v>0</v>
      </c>
      <c r="CE266" s="17">
        <f t="shared" si="239"/>
        <v>0</v>
      </c>
      <c r="CF266" s="17">
        <f t="shared" si="240"/>
        <v>0</v>
      </c>
      <c r="CG266" s="17">
        <f t="shared" si="241"/>
        <v>0</v>
      </c>
      <c r="CH266" s="17">
        <f t="shared" si="242"/>
        <v>0</v>
      </c>
      <c r="CI266" s="17">
        <f t="shared" si="243"/>
        <v>0</v>
      </c>
      <c r="CJ266" s="17">
        <f t="shared" si="244"/>
        <v>0</v>
      </c>
      <c r="CK266" s="17">
        <f t="shared" si="245"/>
        <v>0</v>
      </c>
      <c r="CL266" s="17">
        <f t="shared" si="246"/>
        <v>0</v>
      </c>
      <c r="CM266" s="14">
        <f t="shared" si="247"/>
        <v>123538</v>
      </c>
      <c r="CN266" s="17">
        <f t="shared" si="248"/>
        <v>28.252880824508058</v>
      </c>
      <c r="CO266" s="14">
        <f t="shared" si="249"/>
        <v>139722</v>
      </c>
      <c r="CP266" s="17">
        <f t="shared" si="250"/>
        <v>31.954127592820953</v>
      </c>
      <c r="CQ266" s="14">
        <f t="shared" si="224"/>
        <v>142783</v>
      </c>
      <c r="CR266" s="14">
        <v>401</v>
      </c>
      <c r="CS266" s="14">
        <v>531</v>
      </c>
      <c r="CT266" s="14">
        <v>0</v>
      </c>
      <c r="CU266" s="14">
        <v>0</v>
      </c>
    </row>
    <row r="267" spans="1:99" x14ac:dyDescent="0.3">
      <c r="A267" s="14">
        <v>2013</v>
      </c>
      <c r="B267" s="14" t="s">
        <v>49</v>
      </c>
      <c r="C267" s="14" t="s">
        <v>50</v>
      </c>
      <c r="D267" s="15">
        <v>1427073.7</v>
      </c>
      <c r="E267" s="15">
        <v>44792368.000000007</v>
      </c>
      <c r="F267" s="15">
        <f t="shared" si="225"/>
        <v>31.387564636640708</v>
      </c>
      <c r="G267" s="14">
        <v>1045</v>
      </c>
      <c r="H267" s="14">
        <v>2202</v>
      </c>
      <c r="AB267" s="14">
        <f t="shared" si="226"/>
        <v>0</v>
      </c>
      <c r="AM267" s="14">
        <f t="shared" si="227"/>
        <v>0</v>
      </c>
      <c r="AQ267" s="14">
        <f t="shared" si="228"/>
        <v>0</v>
      </c>
      <c r="AT267" s="14">
        <f t="shared" si="229"/>
        <v>0</v>
      </c>
      <c r="AU267" s="16">
        <v>17493</v>
      </c>
      <c r="AV267" s="16">
        <v>80584</v>
      </c>
      <c r="AW267" s="16">
        <v>0</v>
      </c>
      <c r="AX267" s="16">
        <v>0</v>
      </c>
      <c r="AY267" s="18">
        <f t="shared" si="230"/>
        <v>3.9053528047456649</v>
      </c>
      <c r="AZ267" s="17">
        <f t="shared" si="231"/>
        <v>17.990564821221326</v>
      </c>
      <c r="BA267" s="17">
        <f t="shared" si="232"/>
        <v>0</v>
      </c>
      <c r="BB267" s="17">
        <f t="shared" si="233"/>
        <v>0</v>
      </c>
      <c r="BC267" s="17">
        <f t="shared" si="201"/>
        <v>0.2332986726667364</v>
      </c>
      <c r="BD267" s="17">
        <f t="shared" si="202"/>
        <v>0.49160160498770678</v>
      </c>
      <c r="BE267" s="17">
        <f t="shared" si="203"/>
        <v>0</v>
      </c>
      <c r="BF267" s="17">
        <f t="shared" si="204"/>
        <v>0</v>
      </c>
      <c r="BG267" s="17">
        <f t="shared" si="205"/>
        <v>0</v>
      </c>
      <c r="BH267" s="17">
        <f t="shared" si="206"/>
        <v>0</v>
      </c>
      <c r="BI267" s="17">
        <f t="shared" si="207"/>
        <v>0</v>
      </c>
      <c r="BJ267" s="17">
        <f t="shared" si="208"/>
        <v>0</v>
      </c>
      <c r="BK267" s="17">
        <f t="shared" si="209"/>
        <v>0</v>
      </c>
      <c r="BL267" s="17">
        <f t="shared" si="210"/>
        <v>0</v>
      </c>
      <c r="BM267" s="17">
        <f t="shared" si="211"/>
        <v>0</v>
      </c>
      <c r="BN267" s="17">
        <f t="shared" si="212"/>
        <v>0</v>
      </c>
      <c r="BO267" s="17">
        <f t="shared" si="213"/>
        <v>0</v>
      </c>
      <c r="BP267" s="17">
        <f t="shared" si="214"/>
        <v>0</v>
      </c>
      <c r="BQ267" s="17">
        <f t="shared" si="215"/>
        <v>0</v>
      </c>
      <c r="BR267" s="17">
        <f t="shared" si="216"/>
        <v>0</v>
      </c>
      <c r="BS267" s="17">
        <f t="shared" si="217"/>
        <v>0</v>
      </c>
      <c r="BT267" s="17">
        <f t="shared" si="218"/>
        <v>0</v>
      </c>
      <c r="BU267" s="17">
        <f t="shared" si="219"/>
        <v>0</v>
      </c>
      <c r="BV267" s="17">
        <f t="shared" si="220"/>
        <v>0</v>
      </c>
      <c r="BW267" s="17">
        <f t="shared" si="221"/>
        <v>0</v>
      </c>
      <c r="BX267" s="17">
        <f t="shared" si="222"/>
        <v>0</v>
      </c>
      <c r="BY267" s="17">
        <f t="shared" si="223"/>
        <v>0</v>
      </c>
      <c r="BZ267" s="17">
        <f t="shared" si="234"/>
        <v>0</v>
      </c>
      <c r="CA267" s="17">
        <f t="shared" si="235"/>
        <v>0</v>
      </c>
      <c r="CB267" s="17">
        <f t="shared" si="236"/>
        <v>0</v>
      </c>
      <c r="CC267" s="17">
        <f t="shared" si="237"/>
        <v>0</v>
      </c>
      <c r="CD267" s="17">
        <f t="shared" si="238"/>
        <v>0</v>
      </c>
      <c r="CE267" s="17">
        <f t="shared" si="239"/>
        <v>0</v>
      </c>
      <c r="CF267" s="17">
        <f t="shared" si="240"/>
        <v>0</v>
      </c>
      <c r="CG267" s="17">
        <f t="shared" si="241"/>
        <v>0</v>
      </c>
      <c r="CH267" s="17">
        <f t="shared" si="242"/>
        <v>0</v>
      </c>
      <c r="CI267" s="17">
        <f t="shared" si="243"/>
        <v>0</v>
      </c>
      <c r="CJ267" s="17">
        <f t="shared" si="244"/>
        <v>0</v>
      </c>
      <c r="CK267" s="17">
        <f t="shared" si="245"/>
        <v>0</v>
      </c>
      <c r="CL267" s="17">
        <f t="shared" si="246"/>
        <v>0</v>
      </c>
      <c r="CM267" s="14">
        <f t="shared" si="247"/>
        <v>80584</v>
      </c>
      <c r="CN267" s="17">
        <f t="shared" si="248"/>
        <v>17.990564821221326</v>
      </c>
      <c r="CO267" s="14">
        <f t="shared" si="249"/>
        <v>98077</v>
      </c>
      <c r="CP267" s="17">
        <f t="shared" si="250"/>
        <v>21.895917625966991</v>
      </c>
      <c r="CQ267" s="14">
        <f t="shared" si="224"/>
        <v>101324</v>
      </c>
      <c r="CR267" s="14">
        <v>536</v>
      </c>
      <c r="CS267" s="14">
        <v>2310</v>
      </c>
      <c r="CT267" s="14">
        <v>211</v>
      </c>
      <c r="CU267" s="14">
        <v>0</v>
      </c>
    </row>
    <row r="268" spans="1:99" x14ac:dyDescent="0.3">
      <c r="A268" s="14">
        <v>2014</v>
      </c>
      <c r="B268" s="14" t="s">
        <v>49</v>
      </c>
      <c r="C268" s="14" t="s">
        <v>50</v>
      </c>
      <c r="D268" s="15">
        <v>1418695.6</v>
      </c>
      <c r="E268" s="15">
        <v>45831863.500000007</v>
      </c>
      <c r="F268" s="15">
        <f t="shared" si="225"/>
        <v>32.305635895395746</v>
      </c>
      <c r="G268" s="14">
        <v>1090</v>
      </c>
      <c r="H268" s="14">
        <v>2355</v>
      </c>
      <c r="AB268" s="14">
        <f t="shared" si="226"/>
        <v>0</v>
      </c>
      <c r="AM268" s="14">
        <f t="shared" si="227"/>
        <v>0</v>
      </c>
      <c r="AQ268" s="14">
        <f t="shared" si="228"/>
        <v>0</v>
      </c>
      <c r="AT268" s="14">
        <f t="shared" si="229"/>
        <v>0</v>
      </c>
      <c r="AU268" s="16">
        <v>18971</v>
      </c>
      <c r="AV268" s="16">
        <v>86622</v>
      </c>
      <c r="AW268" s="16">
        <v>0</v>
      </c>
      <c r="AX268" s="16">
        <v>0</v>
      </c>
      <c r="AY268" s="18">
        <f t="shared" si="230"/>
        <v>4.1392600150329901</v>
      </c>
      <c r="AZ268" s="17">
        <f t="shared" si="231"/>
        <v>18.899951558810169</v>
      </c>
      <c r="BA268" s="17">
        <f t="shared" si="232"/>
        <v>0</v>
      </c>
      <c r="BB268" s="17">
        <f t="shared" si="233"/>
        <v>0</v>
      </c>
      <c r="BC268" s="17">
        <f t="shared" si="201"/>
        <v>0.23782580867566072</v>
      </c>
      <c r="BD268" s="17">
        <f t="shared" si="202"/>
        <v>0.51383466002860645</v>
      </c>
      <c r="BE268" s="17">
        <f t="shared" si="203"/>
        <v>0</v>
      </c>
      <c r="BF268" s="17">
        <f t="shared" si="204"/>
        <v>0</v>
      </c>
      <c r="BG268" s="17">
        <f t="shared" si="205"/>
        <v>0</v>
      </c>
      <c r="BH268" s="17">
        <f t="shared" si="206"/>
        <v>0</v>
      </c>
      <c r="BI268" s="17">
        <f t="shared" si="207"/>
        <v>0</v>
      </c>
      <c r="BJ268" s="17">
        <f t="shared" si="208"/>
        <v>0</v>
      </c>
      <c r="BK268" s="17">
        <f t="shared" si="209"/>
        <v>0</v>
      </c>
      <c r="BL268" s="17">
        <f t="shared" si="210"/>
        <v>0</v>
      </c>
      <c r="BM268" s="17">
        <f t="shared" si="211"/>
        <v>0</v>
      </c>
      <c r="BN268" s="17">
        <f t="shared" si="212"/>
        <v>0</v>
      </c>
      <c r="BO268" s="17">
        <f t="shared" si="213"/>
        <v>0</v>
      </c>
      <c r="BP268" s="17">
        <f t="shared" si="214"/>
        <v>0</v>
      </c>
      <c r="BQ268" s="17">
        <f t="shared" si="215"/>
        <v>0</v>
      </c>
      <c r="BR268" s="17">
        <f t="shared" si="216"/>
        <v>0</v>
      </c>
      <c r="BS268" s="17">
        <f t="shared" si="217"/>
        <v>0</v>
      </c>
      <c r="BT268" s="17">
        <f t="shared" si="218"/>
        <v>0</v>
      </c>
      <c r="BU268" s="17">
        <f t="shared" si="219"/>
        <v>0</v>
      </c>
      <c r="BV268" s="17">
        <f t="shared" si="220"/>
        <v>0</v>
      </c>
      <c r="BW268" s="17">
        <f t="shared" si="221"/>
        <v>0</v>
      </c>
      <c r="BX268" s="17">
        <f t="shared" si="222"/>
        <v>0</v>
      </c>
      <c r="BY268" s="17">
        <f t="shared" si="223"/>
        <v>0</v>
      </c>
      <c r="BZ268" s="17">
        <f t="shared" si="234"/>
        <v>0</v>
      </c>
      <c r="CA268" s="17">
        <f t="shared" si="235"/>
        <v>0</v>
      </c>
      <c r="CB268" s="17">
        <f t="shared" si="236"/>
        <v>0</v>
      </c>
      <c r="CC268" s="17">
        <f t="shared" si="237"/>
        <v>0</v>
      </c>
      <c r="CD268" s="17">
        <f t="shared" si="238"/>
        <v>0</v>
      </c>
      <c r="CE268" s="17">
        <f t="shared" si="239"/>
        <v>0</v>
      </c>
      <c r="CF268" s="17">
        <f t="shared" si="240"/>
        <v>0</v>
      </c>
      <c r="CG268" s="17">
        <f t="shared" si="241"/>
        <v>0</v>
      </c>
      <c r="CH268" s="17">
        <f t="shared" si="242"/>
        <v>0</v>
      </c>
      <c r="CI268" s="17">
        <f t="shared" si="243"/>
        <v>0</v>
      </c>
      <c r="CJ268" s="17">
        <f t="shared" si="244"/>
        <v>0</v>
      </c>
      <c r="CK268" s="17">
        <f t="shared" si="245"/>
        <v>0</v>
      </c>
      <c r="CL268" s="17">
        <f t="shared" si="246"/>
        <v>0</v>
      </c>
      <c r="CM268" s="14">
        <f t="shared" si="247"/>
        <v>86622</v>
      </c>
      <c r="CN268" s="17">
        <f t="shared" si="248"/>
        <v>18.899951558810169</v>
      </c>
      <c r="CO268" s="14">
        <f t="shared" si="249"/>
        <v>105593</v>
      </c>
      <c r="CP268" s="17">
        <f t="shared" si="250"/>
        <v>23.039211573843158</v>
      </c>
      <c r="CQ268" s="14">
        <f t="shared" si="224"/>
        <v>109038</v>
      </c>
      <c r="CR268" s="14">
        <v>0</v>
      </c>
      <c r="CS268" s="14">
        <v>0</v>
      </c>
      <c r="CT268" s="14">
        <v>0</v>
      </c>
      <c r="CU268" s="14">
        <v>0</v>
      </c>
    </row>
    <row r="269" spans="1:99" x14ac:dyDescent="0.3">
      <c r="A269" s="14">
        <v>2015</v>
      </c>
      <c r="B269" s="14" t="s">
        <v>49</v>
      </c>
      <c r="C269" s="14" t="s">
        <v>50</v>
      </c>
      <c r="D269" s="15">
        <v>1423217.7</v>
      </c>
      <c r="E269" s="15">
        <v>46851488.499999993</v>
      </c>
      <c r="F269" s="15">
        <f t="shared" si="225"/>
        <v>32.919411064097922</v>
      </c>
      <c r="AB269" s="14">
        <f t="shared" si="226"/>
        <v>0</v>
      </c>
      <c r="AM269" s="14">
        <f t="shared" si="227"/>
        <v>0</v>
      </c>
      <c r="AQ269" s="14">
        <f t="shared" si="228"/>
        <v>0</v>
      </c>
      <c r="AT269" s="14">
        <f t="shared" si="229"/>
        <v>0</v>
      </c>
      <c r="AU269" s="16">
        <v>0</v>
      </c>
      <c r="AV269" s="16">
        <v>82826</v>
      </c>
      <c r="AW269" s="16">
        <v>0</v>
      </c>
      <c r="AX269" s="16">
        <v>0</v>
      </c>
      <c r="AY269" s="18">
        <f t="shared" si="230"/>
        <v>0</v>
      </c>
      <c r="AZ269" s="17">
        <f t="shared" si="231"/>
        <v>17.678413781880167</v>
      </c>
      <c r="BA269" s="17">
        <f t="shared" si="232"/>
        <v>0</v>
      </c>
      <c r="BB269" s="17">
        <f t="shared" si="233"/>
        <v>0</v>
      </c>
      <c r="BC269" s="17">
        <f t="shared" si="201"/>
        <v>0</v>
      </c>
      <c r="BD269" s="17">
        <f t="shared" si="202"/>
        <v>0</v>
      </c>
      <c r="BE269" s="17">
        <f t="shared" si="203"/>
        <v>0</v>
      </c>
      <c r="BF269" s="17">
        <f t="shared" si="204"/>
        <v>0</v>
      </c>
      <c r="BG269" s="17">
        <f t="shared" si="205"/>
        <v>0</v>
      </c>
      <c r="BH269" s="17">
        <f t="shared" si="206"/>
        <v>0</v>
      </c>
      <c r="BI269" s="17">
        <f t="shared" si="207"/>
        <v>0</v>
      </c>
      <c r="BJ269" s="17">
        <f t="shared" si="208"/>
        <v>0</v>
      </c>
      <c r="BK269" s="17">
        <f t="shared" si="209"/>
        <v>0</v>
      </c>
      <c r="BL269" s="17">
        <f t="shared" si="210"/>
        <v>0</v>
      </c>
      <c r="BM269" s="17">
        <f t="shared" si="211"/>
        <v>0</v>
      </c>
      <c r="BN269" s="17">
        <f t="shared" si="212"/>
        <v>0</v>
      </c>
      <c r="BO269" s="17">
        <f t="shared" si="213"/>
        <v>0</v>
      </c>
      <c r="BP269" s="17">
        <f t="shared" si="214"/>
        <v>0</v>
      </c>
      <c r="BQ269" s="17">
        <f t="shared" si="215"/>
        <v>0</v>
      </c>
      <c r="BR269" s="17">
        <f t="shared" si="216"/>
        <v>0</v>
      </c>
      <c r="BS269" s="17">
        <f t="shared" si="217"/>
        <v>0</v>
      </c>
      <c r="BT269" s="17">
        <f t="shared" si="218"/>
        <v>0</v>
      </c>
      <c r="BU269" s="17">
        <f t="shared" si="219"/>
        <v>0</v>
      </c>
      <c r="BV269" s="17">
        <f t="shared" si="220"/>
        <v>0</v>
      </c>
      <c r="BW269" s="17">
        <f t="shared" si="221"/>
        <v>0</v>
      </c>
      <c r="BX269" s="17">
        <f t="shared" si="222"/>
        <v>0</v>
      </c>
      <c r="BY269" s="17">
        <f t="shared" si="223"/>
        <v>0</v>
      </c>
      <c r="BZ269" s="17">
        <f t="shared" si="234"/>
        <v>0</v>
      </c>
      <c r="CA269" s="17">
        <f t="shared" si="235"/>
        <v>0</v>
      </c>
      <c r="CB269" s="17">
        <f t="shared" si="236"/>
        <v>0</v>
      </c>
      <c r="CC269" s="17">
        <f t="shared" si="237"/>
        <v>0</v>
      </c>
      <c r="CD269" s="17">
        <f t="shared" si="238"/>
        <v>0</v>
      </c>
      <c r="CE269" s="17">
        <f t="shared" si="239"/>
        <v>0</v>
      </c>
      <c r="CF269" s="17">
        <f t="shared" si="240"/>
        <v>0</v>
      </c>
      <c r="CG269" s="17">
        <f t="shared" si="241"/>
        <v>0</v>
      </c>
      <c r="CH269" s="17">
        <f t="shared" si="242"/>
        <v>0</v>
      </c>
      <c r="CI269" s="17">
        <f t="shared" si="243"/>
        <v>0</v>
      </c>
      <c r="CJ269" s="17">
        <f t="shared" si="244"/>
        <v>0</v>
      </c>
      <c r="CK269" s="17">
        <f t="shared" si="245"/>
        <v>0</v>
      </c>
      <c r="CL269" s="17">
        <f t="shared" si="246"/>
        <v>0</v>
      </c>
      <c r="CM269" s="14">
        <f t="shared" si="247"/>
        <v>82826</v>
      </c>
      <c r="CN269" s="17">
        <f t="shared" si="248"/>
        <v>17.678413781880167</v>
      </c>
      <c r="CO269" s="14">
        <f t="shared" si="249"/>
        <v>82826</v>
      </c>
      <c r="CP269" s="17">
        <f t="shared" si="250"/>
        <v>17.678413781880167</v>
      </c>
      <c r="CQ269" s="14">
        <f t="shared" si="224"/>
        <v>82826</v>
      </c>
      <c r="CR269" s="14">
        <v>236</v>
      </c>
      <c r="CS269" s="14">
        <v>1080</v>
      </c>
      <c r="CT269" s="14">
        <v>0</v>
      </c>
      <c r="CU269" s="14">
        <v>201</v>
      </c>
    </row>
    <row r="270" spans="1:99" x14ac:dyDescent="0.3">
      <c r="A270" s="14">
        <v>2016</v>
      </c>
      <c r="B270" s="14" t="s">
        <v>49</v>
      </c>
      <c r="C270" s="14" t="s">
        <v>50</v>
      </c>
      <c r="D270" s="15">
        <v>1439435.7</v>
      </c>
      <c r="E270" s="15">
        <v>47894670</v>
      </c>
      <c r="F270" s="15">
        <f t="shared" si="225"/>
        <v>33.273226445613375</v>
      </c>
      <c r="AB270" s="14">
        <f t="shared" si="226"/>
        <v>0</v>
      </c>
      <c r="AM270" s="14">
        <f t="shared" si="227"/>
        <v>0</v>
      </c>
      <c r="AQ270" s="14">
        <f t="shared" si="228"/>
        <v>0</v>
      </c>
      <c r="AT270" s="14">
        <f t="shared" si="229"/>
        <v>0</v>
      </c>
      <c r="AU270" s="16">
        <v>380</v>
      </c>
      <c r="AV270" s="16">
        <v>97474</v>
      </c>
      <c r="AW270" s="16">
        <v>4184</v>
      </c>
      <c r="AX270" s="16">
        <v>0</v>
      </c>
      <c r="AY270" s="18">
        <f t="shared" si="230"/>
        <v>7.9340770068986793E-2</v>
      </c>
      <c r="AZ270" s="17">
        <f t="shared" si="231"/>
        <v>20.35174268869584</v>
      </c>
      <c r="BA270" s="17">
        <f t="shared" si="232"/>
        <v>0.87358363675958095</v>
      </c>
      <c r="BB270" s="17">
        <f t="shared" si="233"/>
        <v>0</v>
      </c>
      <c r="BC270" s="17">
        <f t="shared" si="201"/>
        <v>0</v>
      </c>
      <c r="BD270" s="17">
        <f t="shared" si="202"/>
        <v>0</v>
      </c>
      <c r="BE270" s="17">
        <f t="shared" si="203"/>
        <v>0</v>
      </c>
      <c r="BF270" s="17">
        <f t="shared" si="204"/>
        <v>0</v>
      </c>
      <c r="BG270" s="17">
        <f t="shared" si="205"/>
        <v>0</v>
      </c>
      <c r="BH270" s="17">
        <f t="shared" si="206"/>
        <v>0</v>
      </c>
      <c r="BI270" s="17">
        <f t="shared" si="207"/>
        <v>0</v>
      </c>
      <c r="BJ270" s="17">
        <f t="shared" si="208"/>
        <v>0</v>
      </c>
      <c r="BK270" s="17">
        <f t="shared" si="209"/>
        <v>0</v>
      </c>
      <c r="BL270" s="17">
        <f t="shared" si="210"/>
        <v>0</v>
      </c>
      <c r="BM270" s="17">
        <f t="shared" si="211"/>
        <v>0</v>
      </c>
      <c r="BN270" s="17">
        <f t="shared" si="212"/>
        <v>0</v>
      </c>
      <c r="BO270" s="17">
        <f t="shared" si="213"/>
        <v>0</v>
      </c>
      <c r="BP270" s="17">
        <f t="shared" si="214"/>
        <v>0</v>
      </c>
      <c r="BQ270" s="17">
        <f t="shared" si="215"/>
        <v>0</v>
      </c>
      <c r="BR270" s="17">
        <f t="shared" si="216"/>
        <v>0</v>
      </c>
      <c r="BS270" s="17">
        <f t="shared" si="217"/>
        <v>0</v>
      </c>
      <c r="BT270" s="17">
        <f t="shared" si="218"/>
        <v>0</v>
      </c>
      <c r="BU270" s="17">
        <f t="shared" si="219"/>
        <v>0</v>
      </c>
      <c r="BV270" s="17">
        <f t="shared" si="220"/>
        <v>0</v>
      </c>
      <c r="BW270" s="17">
        <f t="shared" si="221"/>
        <v>0</v>
      </c>
      <c r="BX270" s="17">
        <f t="shared" si="222"/>
        <v>0</v>
      </c>
      <c r="BY270" s="17">
        <f t="shared" si="223"/>
        <v>0</v>
      </c>
      <c r="BZ270" s="17">
        <f t="shared" si="234"/>
        <v>0</v>
      </c>
      <c r="CA270" s="17">
        <f t="shared" si="235"/>
        <v>0</v>
      </c>
      <c r="CB270" s="17">
        <f t="shared" si="236"/>
        <v>0</v>
      </c>
      <c r="CC270" s="17">
        <f t="shared" si="237"/>
        <v>0</v>
      </c>
      <c r="CD270" s="17">
        <f t="shared" si="238"/>
        <v>0</v>
      </c>
      <c r="CE270" s="17">
        <f t="shared" si="239"/>
        <v>0</v>
      </c>
      <c r="CF270" s="17">
        <f t="shared" si="240"/>
        <v>0</v>
      </c>
      <c r="CG270" s="17">
        <f t="shared" si="241"/>
        <v>0</v>
      </c>
      <c r="CH270" s="17">
        <f t="shared" si="242"/>
        <v>0</v>
      </c>
      <c r="CI270" s="17">
        <f t="shared" si="243"/>
        <v>0</v>
      </c>
      <c r="CJ270" s="17">
        <f t="shared" si="244"/>
        <v>0</v>
      </c>
      <c r="CK270" s="17">
        <f t="shared" si="245"/>
        <v>0</v>
      </c>
      <c r="CL270" s="17">
        <f t="shared" si="246"/>
        <v>0</v>
      </c>
      <c r="CM270" s="14">
        <f t="shared" si="247"/>
        <v>101658</v>
      </c>
      <c r="CN270" s="17">
        <f t="shared" si="248"/>
        <v>21.22532632545542</v>
      </c>
      <c r="CO270" s="14">
        <f t="shared" si="249"/>
        <v>102038</v>
      </c>
      <c r="CP270" s="17">
        <f t="shared" si="250"/>
        <v>21.304667095524408</v>
      </c>
      <c r="CQ270" s="14">
        <f t="shared" si="224"/>
        <v>102038</v>
      </c>
      <c r="CR270" s="14">
        <v>178</v>
      </c>
      <c r="CS270" s="14">
        <v>170</v>
      </c>
      <c r="CT270" s="14">
        <v>0</v>
      </c>
      <c r="CU270" s="14">
        <v>146</v>
      </c>
    </row>
    <row r="271" spans="1:99" x14ac:dyDescent="0.3">
      <c r="A271" s="14">
        <v>2017</v>
      </c>
      <c r="B271" s="14" t="s">
        <v>49</v>
      </c>
      <c r="C271" s="14" t="s">
        <v>50</v>
      </c>
      <c r="D271" s="15">
        <v>1446540.2</v>
      </c>
      <c r="E271" s="15">
        <v>48948137.000000037</v>
      </c>
      <c r="F271" s="15">
        <f t="shared" si="225"/>
        <v>33.838075844694835</v>
      </c>
      <c r="AB271" s="14">
        <f t="shared" si="226"/>
        <v>0</v>
      </c>
      <c r="AM271" s="14">
        <f t="shared" si="227"/>
        <v>0</v>
      </c>
      <c r="AQ271" s="14">
        <f t="shared" si="228"/>
        <v>0</v>
      </c>
      <c r="AT271" s="14">
        <f t="shared" si="229"/>
        <v>0</v>
      </c>
      <c r="AU271" s="16">
        <v>0</v>
      </c>
      <c r="AV271" s="16">
        <v>106336</v>
      </c>
      <c r="AW271" s="16">
        <v>0</v>
      </c>
      <c r="AX271" s="16">
        <v>0</v>
      </c>
      <c r="AY271" s="18">
        <f t="shared" si="230"/>
        <v>0</v>
      </c>
      <c r="AZ271" s="17">
        <f t="shared" si="231"/>
        <v>21.724218022843221</v>
      </c>
      <c r="BA271" s="17">
        <f t="shared" si="232"/>
        <v>0</v>
      </c>
      <c r="BB271" s="17">
        <f t="shared" si="233"/>
        <v>0</v>
      </c>
      <c r="BC271" s="17">
        <f t="shared" si="201"/>
        <v>0</v>
      </c>
      <c r="BD271" s="17">
        <f t="shared" si="202"/>
        <v>0</v>
      </c>
      <c r="BE271" s="17">
        <f t="shared" si="203"/>
        <v>0</v>
      </c>
      <c r="BF271" s="17">
        <f t="shared" si="204"/>
        <v>0</v>
      </c>
      <c r="BG271" s="17">
        <f t="shared" si="205"/>
        <v>0</v>
      </c>
      <c r="BH271" s="17">
        <f t="shared" si="206"/>
        <v>0</v>
      </c>
      <c r="BI271" s="17">
        <f t="shared" si="207"/>
        <v>0</v>
      </c>
      <c r="BJ271" s="17">
        <f t="shared" si="208"/>
        <v>0</v>
      </c>
      <c r="BK271" s="17">
        <f t="shared" si="209"/>
        <v>0</v>
      </c>
      <c r="BL271" s="17">
        <f t="shared" si="210"/>
        <v>0</v>
      </c>
      <c r="BM271" s="17">
        <f t="shared" si="211"/>
        <v>0</v>
      </c>
      <c r="BN271" s="17">
        <f t="shared" si="212"/>
        <v>0</v>
      </c>
      <c r="BO271" s="17">
        <f t="shared" si="213"/>
        <v>0</v>
      </c>
      <c r="BP271" s="17">
        <f t="shared" si="214"/>
        <v>0</v>
      </c>
      <c r="BQ271" s="17">
        <f t="shared" si="215"/>
        <v>0</v>
      </c>
      <c r="BR271" s="17">
        <f t="shared" si="216"/>
        <v>0</v>
      </c>
      <c r="BS271" s="17">
        <f t="shared" si="217"/>
        <v>0</v>
      </c>
      <c r="BT271" s="17">
        <f t="shared" si="218"/>
        <v>0</v>
      </c>
      <c r="BU271" s="17">
        <f t="shared" si="219"/>
        <v>0</v>
      </c>
      <c r="BV271" s="17">
        <f t="shared" si="220"/>
        <v>0</v>
      </c>
      <c r="BW271" s="17">
        <f t="shared" si="221"/>
        <v>0</v>
      </c>
      <c r="BX271" s="17">
        <f t="shared" si="222"/>
        <v>0</v>
      </c>
      <c r="BY271" s="17">
        <f t="shared" si="223"/>
        <v>0</v>
      </c>
      <c r="BZ271" s="17">
        <f t="shared" si="234"/>
        <v>0</v>
      </c>
      <c r="CA271" s="17">
        <f t="shared" si="235"/>
        <v>0</v>
      </c>
      <c r="CB271" s="17">
        <f t="shared" si="236"/>
        <v>0</v>
      </c>
      <c r="CC271" s="17">
        <f t="shared" si="237"/>
        <v>0</v>
      </c>
      <c r="CD271" s="17">
        <f t="shared" si="238"/>
        <v>0</v>
      </c>
      <c r="CE271" s="17">
        <f t="shared" si="239"/>
        <v>0</v>
      </c>
      <c r="CF271" s="17">
        <f t="shared" si="240"/>
        <v>0</v>
      </c>
      <c r="CG271" s="17">
        <f t="shared" si="241"/>
        <v>0</v>
      </c>
      <c r="CH271" s="17">
        <f t="shared" si="242"/>
        <v>0</v>
      </c>
      <c r="CI271" s="17">
        <f t="shared" si="243"/>
        <v>0</v>
      </c>
      <c r="CJ271" s="17">
        <f t="shared" si="244"/>
        <v>0</v>
      </c>
      <c r="CK271" s="17">
        <f t="shared" si="245"/>
        <v>0</v>
      </c>
      <c r="CL271" s="17">
        <f t="shared" si="246"/>
        <v>0</v>
      </c>
      <c r="CM271" s="14">
        <f t="shared" si="247"/>
        <v>106336</v>
      </c>
      <c r="CN271" s="17">
        <f t="shared" si="248"/>
        <v>21.724218022843221</v>
      </c>
      <c r="CO271" s="14">
        <f t="shared" si="249"/>
        <v>106336</v>
      </c>
      <c r="CP271" s="17">
        <f t="shared" si="250"/>
        <v>21.724218022843221</v>
      </c>
      <c r="CQ271" s="14">
        <f t="shared" si="224"/>
        <v>106336</v>
      </c>
      <c r="CR271" s="14">
        <v>0</v>
      </c>
      <c r="CS271" s="14">
        <v>0</v>
      </c>
      <c r="CT271" s="14">
        <v>0</v>
      </c>
      <c r="CU271" s="14">
        <v>0</v>
      </c>
    </row>
    <row r="272" spans="1:99" x14ac:dyDescent="0.3">
      <c r="A272" s="14">
        <v>2018</v>
      </c>
      <c r="B272" s="14" t="s">
        <v>49</v>
      </c>
      <c r="C272" s="14" t="s">
        <v>50</v>
      </c>
      <c r="D272" s="15">
        <v>1442173.7</v>
      </c>
      <c r="E272" s="15">
        <v>49953303.999999993</v>
      </c>
      <c r="F272" s="15">
        <f t="shared" si="225"/>
        <v>34.637508644069712</v>
      </c>
      <c r="G272" s="14">
        <v>841</v>
      </c>
      <c r="H272" s="14">
        <v>964</v>
      </c>
      <c r="I272" s="14">
        <v>2759</v>
      </c>
      <c r="M272" s="14">
        <v>58079</v>
      </c>
      <c r="S272" s="14">
        <v>3682</v>
      </c>
      <c r="T272" s="14">
        <v>1628</v>
      </c>
      <c r="U272" s="14">
        <v>1705</v>
      </c>
      <c r="V272" s="14">
        <v>430</v>
      </c>
      <c r="AB272" s="14">
        <f t="shared" si="226"/>
        <v>0</v>
      </c>
      <c r="AC272" s="14">
        <v>714</v>
      </c>
      <c r="AE272" s="14">
        <v>1147</v>
      </c>
      <c r="AI272" s="14">
        <v>21942</v>
      </c>
      <c r="AJ272" s="14">
        <v>1331</v>
      </c>
      <c r="AM272" s="14">
        <f t="shared" si="227"/>
        <v>0</v>
      </c>
      <c r="AQ272" s="14">
        <f t="shared" si="228"/>
        <v>0</v>
      </c>
      <c r="AT272" s="14">
        <f t="shared" si="229"/>
        <v>0</v>
      </c>
      <c r="AU272" s="16">
        <v>20964</v>
      </c>
      <c r="AV272" s="16">
        <v>119802</v>
      </c>
      <c r="AW272" s="16">
        <v>0</v>
      </c>
      <c r="AX272" s="16">
        <v>0</v>
      </c>
      <c r="AY272" s="18">
        <f t="shared" si="230"/>
        <v>4.1967194001822188</v>
      </c>
      <c r="AZ272" s="17">
        <f t="shared" si="231"/>
        <v>23.982798014721912</v>
      </c>
      <c r="BA272" s="17">
        <f t="shared" si="232"/>
        <v>0</v>
      </c>
      <c r="BB272" s="17">
        <f t="shared" si="233"/>
        <v>0</v>
      </c>
      <c r="BC272" s="17">
        <f t="shared" si="201"/>
        <v>0.16835723218628343</v>
      </c>
      <c r="BD272" s="17">
        <f t="shared" si="202"/>
        <v>0.19298022809462215</v>
      </c>
      <c r="BE272" s="17">
        <f t="shared" si="203"/>
        <v>0.55231581878948399</v>
      </c>
      <c r="BF272" s="17">
        <f t="shared" si="204"/>
        <v>0</v>
      </c>
      <c r="BG272" s="17">
        <f t="shared" si="205"/>
        <v>0</v>
      </c>
      <c r="BH272" s="17">
        <f t="shared" si="206"/>
        <v>0</v>
      </c>
      <c r="BI272" s="17">
        <f t="shared" si="207"/>
        <v>11.626658368783776</v>
      </c>
      <c r="BJ272" s="17">
        <f t="shared" si="208"/>
        <v>0</v>
      </c>
      <c r="BK272" s="17">
        <f t="shared" si="209"/>
        <v>0</v>
      </c>
      <c r="BL272" s="17">
        <f t="shared" si="210"/>
        <v>0</v>
      </c>
      <c r="BM272" s="17">
        <f t="shared" si="211"/>
        <v>0</v>
      </c>
      <c r="BN272" s="17">
        <f t="shared" si="212"/>
        <v>0</v>
      </c>
      <c r="BO272" s="17">
        <f t="shared" si="213"/>
        <v>0.7370883815813265</v>
      </c>
      <c r="BP272" s="17">
        <f t="shared" si="214"/>
        <v>0.32590436860793037</v>
      </c>
      <c r="BQ272" s="17">
        <f t="shared" si="215"/>
        <v>0.3413187644204676</v>
      </c>
      <c r="BR272" s="17">
        <f t="shared" si="216"/>
        <v>8.6080392199883324E-2</v>
      </c>
      <c r="BS272" s="17">
        <f t="shared" si="217"/>
        <v>0</v>
      </c>
      <c r="BT272" s="17">
        <f t="shared" si="218"/>
        <v>0</v>
      </c>
      <c r="BU272" s="17">
        <f t="shared" si="219"/>
        <v>0</v>
      </c>
      <c r="BV272" s="17">
        <f t="shared" si="220"/>
        <v>0</v>
      </c>
      <c r="BW272" s="17">
        <f t="shared" si="221"/>
        <v>0</v>
      </c>
      <c r="BX272" s="17">
        <f t="shared" si="222"/>
        <v>0.14293348844352721</v>
      </c>
      <c r="BY272" s="17">
        <f t="shared" si="223"/>
        <v>0</v>
      </c>
      <c r="BZ272" s="17">
        <f t="shared" si="234"/>
        <v>0.22961444151922367</v>
      </c>
      <c r="CA272" s="17">
        <f t="shared" si="235"/>
        <v>0</v>
      </c>
      <c r="CB272" s="17">
        <f t="shared" si="236"/>
        <v>0</v>
      </c>
      <c r="CC272" s="17">
        <f t="shared" si="237"/>
        <v>0</v>
      </c>
      <c r="CD272" s="17">
        <f t="shared" si="238"/>
        <v>4.392502245697302</v>
      </c>
      <c r="CE272" s="17">
        <f t="shared" si="239"/>
        <v>0.26644884190242957</v>
      </c>
      <c r="CF272" s="17">
        <f t="shared" si="240"/>
        <v>0</v>
      </c>
      <c r="CG272" s="17">
        <f t="shared" si="241"/>
        <v>0</v>
      </c>
      <c r="CH272" s="17">
        <f t="shared" si="242"/>
        <v>0</v>
      </c>
      <c r="CI272" s="17">
        <f t="shared" si="243"/>
        <v>0</v>
      </c>
      <c r="CJ272" s="17">
        <f t="shared" si="244"/>
        <v>0</v>
      </c>
      <c r="CK272" s="17">
        <f t="shared" si="245"/>
        <v>0</v>
      </c>
      <c r="CL272" s="17">
        <f t="shared" si="246"/>
        <v>0</v>
      </c>
      <c r="CM272" s="14">
        <f t="shared" si="247"/>
        <v>119802</v>
      </c>
      <c r="CN272" s="17">
        <f t="shared" si="248"/>
        <v>23.982798014721912</v>
      </c>
      <c r="CO272" s="14">
        <f t="shared" si="249"/>
        <v>140766</v>
      </c>
      <c r="CP272" s="17">
        <f t="shared" si="250"/>
        <v>28.179517414904133</v>
      </c>
      <c r="CQ272" s="14">
        <f t="shared" si="224"/>
        <v>235988</v>
      </c>
      <c r="CR272" s="14">
        <v>0</v>
      </c>
      <c r="CS272" s="14">
        <v>0</v>
      </c>
      <c r="CT272" s="14">
        <v>0</v>
      </c>
      <c r="CU272" s="14">
        <v>0</v>
      </c>
    </row>
    <row r="273" spans="1:99" x14ac:dyDescent="0.3">
      <c r="A273" s="14">
        <v>2019</v>
      </c>
      <c r="B273" s="14" t="s">
        <v>49</v>
      </c>
      <c r="C273" s="14" t="s">
        <v>50</v>
      </c>
      <c r="D273" s="15">
        <v>1444188.8</v>
      </c>
      <c r="E273" s="15">
        <v>50951450</v>
      </c>
      <c r="F273" s="15">
        <f t="shared" si="225"/>
        <v>35.28032484395392</v>
      </c>
      <c r="G273" s="14">
        <v>1300</v>
      </c>
      <c r="N273" s="14">
        <v>464</v>
      </c>
      <c r="O273" s="14">
        <v>468</v>
      </c>
      <c r="AB273" s="14">
        <f t="shared" si="226"/>
        <v>468</v>
      </c>
      <c r="AM273" s="14">
        <f t="shared" si="227"/>
        <v>0</v>
      </c>
      <c r="AQ273" s="14">
        <f t="shared" si="228"/>
        <v>0</v>
      </c>
      <c r="AT273" s="14">
        <f t="shared" si="229"/>
        <v>0</v>
      </c>
      <c r="AU273" s="16">
        <v>0</v>
      </c>
      <c r="AV273" s="16">
        <v>0</v>
      </c>
      <c r="AW273" s="16">
        <v>0</v>
      </c>
      <c r="AX273" s="16">
        <v>0</v>
      </c>
      <c r="AY273" s="18">
        <f t="shared" si="230"/>
        <v>0</v>
      </c>
      <c r="AZ273" s="17">
        <f t="shared" si="231"/>
        <v>0</v>
      </c>
      <c r="BA273" s="17">
        <f t="shared" si="232"/>
        <v>0</v>
      </c>
      <c r="BB273" s="17">
        <f t="shared" si="233"/>
        <v>0</v>
      </c>
      <c r="BC273" s="17">
        <f t="shared" si="201"/>
        <v>0.2551448486745716</v>
      </c>
      <c r="BD273" s="17">
        <f t="shared" si="202"/>
        <v>0</v>
      </c>
      <c r="BE273" s="17">
        <f t="shared" si="203"/>
        <v>0</v>
      </c>
      <c r="BF273" s="17">
        <f t="shared" si="204"/>
        <v>0</v>
      </c>
      <c r="BG273" s="17">
        <f t="shared" si="205"/>
        <v>0</v>
      </c>
      <c r="BH273" s="17">
        <f t="shared" si="206"/>
        <v>0</v>
      </c>
      <c r="BI273" s="17">
        <f t="shared" si="207"/>
        <v>0</v>
      </c>
      <c r="BJ273" s="17">
        <f t="shared" si="208"/>
        <v>9.1067084450000932E-2</v>
      </c>
      <c r="BK273" s="17">
        <f t="shared" si="209"/>
        <v>9.1852145522845763E-2</v>
      </c>
      <c r="BL273" s="17">
        <f t="shared" si="210"/>
        <v>0</v>
      </c>
      <c r="BM273" s="17">
        <f t="shared" si="211"/>
        <v>0</v>
      </c>
      <c r="BN273" s="17">
        <f t="shared" si="212"/>
        <v>0</v>
      </c>
      <c r="BO273" s="17">
        <f t="shared" si="213"/>
        <v>0</v>
      </c>
      <c r="BP273" s="17">
        <f t="shared" si="214"/>
        <v>0</v>
      </c>
      <c r="BQ273" s="17">
        <f t="shared" si="215"/>
        <v>0</v>
      </c>
      <c r="BR273" s="17">
        <f t="shared" si="216"/>
        <v>0</v>
      </c>
      <c r="BS273" s="17">
        <f t="shared" si="217"/>
        <v>0</v>
      </c>
      <c r="BT273" s="17">
        <f t="shared" si="218"/>
        <v>0</v>
      </c>
      <c r="BU273" s="17">
        <f t="shared" si="219"/>
        <v>0</v>
      </c>
      <c r="BV273" s="17">
        <f t="shared" si="220"/>
        <v>0</v>
      </c>
      <c r="BW273" s="17">
        <f t="shared" si="221"/>
        <v>0</v>
      </c>
      <c r="BX273" s="17">
        <f t="shared" si="222"/>
        <v>0</v>
      </c>
      <c r="BY273" s="17">
        <f t="shared" si="223"/>
        <v>0</v>
      </c>
      <c r="BZ273" s="17">
        <f t="shared" si="234"/>
        <v>0</v>
      </c>
      <c r="CA273" s="17">
        <f t="shared" si="235"/>
        <v>0</v>
      </c>
      <c r="CB273" s="17">
        <f t="shared" si="236"/>
        <v>0</v>
      </c>
      <c r="CC273" s="17">
        <f t="shared" si="237"/>
        <v>0</v>
      </c>
      <c r="CD273" s="17">
        <f t="shared" si="238"/>
        <v>0</v>
      </c>
      <c r="CE273" s="17">
        <f t="shared" si="239"/>
        <v>0</v>
      </c>
      <c r="CF273" s="17">
        <f t="shared" si="240"/>
        <v>0</v>
      </c>
      <c r="CG273" s="17">
        <f t="shared" si="241"/>
        <v>0</v>
      </c>
      <c r="CH273" s="17">
        <f t="shared" si="242"/>
        <v>0</v>
      </c>
      <c r="CI273" s="17">
        <f t="shared" si="243"/>
        <v>0</v>
      </c>
      <c r="CJ273" s="17">
        <f t="shared" si="244"/>
        <v>0</v>
      </c>
      <c r="CK273" s="17">
        <f t="shared" si="245"/>
        <v>0</v>
      </c>
      <c r="CL273" s="17">
        <f t="shared" si="246"/>
        <v>0</v>
      </c>
      <c r="CM273" s="14">
        <f t="shared" si="247"/>
        <v>0</v>
      </c>
      <c r="CN273" s="17">
        <f t="shared" si="248"/>
        <v>0</v>
      </c>
      <c r="CO273" s="14">
        <f t="shared" si="249"/>
        <v>0</v>
      </c>
      <c r="CP273" s="17">
        <f t="shared" si="250"/>
        <v>0</v>
      </c>
      <c r="CQ273" s="14">
        <f t="shared" si="224"/>
        <v>2700</v>
      </c>
      <c r="CR273" s="14">
        <v>13262</v>
      </c>
      <c r="CS273" s="14">
        <v>11741</v>
      </c>
      <c r="CT273" s="14">
        <v>3877</v>
      </c>
      <c r="CU273" s="14">
        <v>3730</v>
      </c>
    </row>
    <row r="274" spans="1:99" x14ac:dyDescent="0.3">
      <c r="A274" s="14">
        <v>2020</v>
      </c>
      <c r="B274" s="14" t="s">
        <v>49</v>
      </c>
      <c r="C274" s="14" t="s">
        <v>50</v>
      </c>
      <c r="D274" s="15">
        <v>1455623.7</v>
      </c>
      <c r="E274" s="15">
        <v>51985779.999999993</v>
      </c>
      <c r="F274" s="15">
        <f t="shared" si="225"/>
        <v>35.713749370802354</v>
      </c>
      <c r="M274" s="14">
        <v>91653</v>
      </c>
      <c r="AB274" s="14">
        <f t="shared" si="226"/>
        <v>0</v>
      </c>
      <c r="AM274" s="14">
        <f t="shared" si="227"/>
        <v>0</v>
      </c>
      <c r="AQ274" s="14">
        <f t="shared" si="228"/>
        <v>0</v>
      </c>
      <c r="AT274" s="14">
        <f t="shared" si="229"/>
        <v>0</v>
      </c>
      <c r="AU274" s="16">
        <v>0</v>
      </c>
      <c r="AV274" s="16">
        <v>0</v>
      </c>
      <c r="AW274" s="16">
        <v>0</v>
      </c>
      <c r="AX274" s="16">
        <v>0</v>
      </c>
      <c r="AY274" s="18">
        <f t="shared" si="230"/>
        <v>0</v>
      </c>
      <c r="AZ274" s="17">
        <f t="shared" si="231"/>
        <v>0</v>
      </c>
      <c r="BA274" s="17">
        <f t="shared" si="232"/>
        <v>0</v>
      </c>
      <c r="BB274" s="17">
        <f t="shared" si="233"/>
        <v>0</v>
      </c>
      <c r="BC274" s="17">
        <f t="shared" si="201"/>
        <v>0</v>
      </c>
      <c r="BD274" s="17">
        <f t="shared" si="202"/>
        <v>0</v>
      </c>
      <c r="BE274" s="17">
        <f t="shared" si="203"/>
        <v>0</v>
      </c>
      <c r="BF274" s="17">
        <f t="shared" si="204"/>
        <v>0</v>
      </c>
      <c r="BG274" s="17">
        <f t="shared" si="205"/>
        <v>0</v>
      </c>
      <c r="BH274" s="17">
        <f t="shared" si="206"/>
        <v>0</v>
      </c>
      <c r="BI274" s="17">
        <f t="shared" si="207"/>
        <v>17.630398158881142</v>
      </c>
      <c r="BJ274" s="17">
        <f t="shared" si="208"/>
        <v>0</v>
      </c>
      <c r="BK274" s="17">
        <f t="shared" si="209"/>
        <v>0</v>
      </c>
      <c r="BL274" s="17">
        <f t="shared" si="210"/>
        <v>0</v>
      </c>
      <c r="BM274" s="17">
        <f t="shared" si="211"/>
        <v>0</v>
      </c>
      <c r="BN274" s="17">
        <f t="shared" si="212"/>
        <v>0</v>
      </c>
      <c r="BO274" s="17">
        <f t="shared" si="213"/>
        <v>0</v>
      </c>
      <c r="BP274" s="17">
        <f t="shared" si="214"/>
        <v>0</v>
      </c>
      <c r="BQ274" s="17">
        <f t="shared" si="215"/>
        <v>0</v>
      </c>
      <c r="BR274" s="17">
        <f t="shared" si="216"/>
        <v>0</v>
      </c>
      <c r="BS274" s="17">
        <f t="shared" si="217"/>
        <v>0</v>
      </c>
      <c r="BT274" s="17">
        <f t="shared" si="218"/>
        <v>0</v>
      </c>
      <c r="BU274" s="17">
        <f t="shared" si="219"/>
        <v>0</v>
      </c>
      <c r="BV274" s="17">
        <f t="shared" si="220"/>
        <v>0</v>
      </c>
      <c r="BW274" s="17">
        <f t="shared" si="221"/>
        <v>0</v>
      </c>
      <c r="BX274" s="17">
        <f t="shared" si="222"/>
        <v>0</v>
      </c>
      <c r="BY274" s="17">
        <f t="shared" si="223"/>
        <v>0</v>
      </c>
      <c r="BZ274" s="17">
        <f t="shared" si="234"/>
        <v>0</v>
      </c>
      <c r="CA274" s="17">
        <f t="shared" si="235"/>
        <v>0</v>
      </c>
      <c r="CB274" s="17">
        <f t="shared" si="236"/>
        <v>0</v>
      </c>
      <c r="CC274" s="17">
        <f t="shared" si="237"/>
        <v>0</v>
      </c>
      <c r="CD274" s="17">
        <f t="shared" si="238"/>
        <v>0</v>
      </c>
      <c r="CE274" s="17">
        <f t="shared" si="239"/>
        <v>0</v>
      </c>
      <c r="CF274" s="17">
        <f t="shared" si="240"/>
        <v>0</v>
      </c>
      <c r="CG274" s="17">
        <f t="shared" si="241"/>
        <v>0</v>
      </c>
      <c r="CH274" s="17">
        <f t="shared" si="242"/>
        <v>0</v>
      </c>
      <c r="CI274" s="17">
        <f t="shared" si="243"/>
        <v>0</v>
      </c>
      <c r="CJ274" s="17">
        <f t="shared" si="244"/>
        <v>0</v>
      </c>
      <c r="CK274" s="17">
        <f t="shared" si="245"/>
        <v>0</v>
      </c>
      <c r="CL274" s="17">
        <f t="shared" si="246"/>
        <v>0</v>
      </c>
      <c r="CM274" s="14">
        <f t="shared" si="247"/>
        <v>0</v>
      </c>
      <c r="CN274" s="17">
        <f t="shared" si="248"/>
        <v>0</v>
      </c>
      <c r="CO274" s="14">
        <f t="shared" si="249"/>
        <v>0</v>
      </c>
      <c r="CP274" s="17">
        <f t="shared" si="250"/>
        <v>0</v>
      </c>
      <c r="CQ274" s="14">
        <f t="shared" si="224"/>
        <v>91653</v>
      </c>
      <c r="CR274" s="14">
        <v>0</v>
      </c>
      <c r="CS274" s="14">
        <v>0</v>
      </c>
      <c r="CT274" s="14">
        <v>0</v>
      </c>
      <c r="CU274" s="14">
        <v>0</v>
      </c>
    </row>
    <row r="275" spans="1:99" x14ac:dyDescent="0.3">
      <c r="A275" s="14">
        <v>2021</v>
      </c>
      <c r="B275" s="14" t="s">
        <v>49</v>
      </c>
      <c r="C275" s="14" t="s">
        <v>50</v>
      </c>
      <c r="D275" s="15">
        <v>1466518.7</v>
      </c>
      <c r="E275" s="15">
        <v>53005614.000000022</v>
      </c>
      <c r="F275" s="15">
        <f t="shared" si="225"/>
        <v>36.143837783998272</v>
      </c>
      <c r="H275" s="14">
        <v>1137</v>
      </c>
      <c r="L275" s="14">
        <v>725</v>
      </c>
      <c r="M275" s="14">
        <v>86490</v>
      </c>
      <c r="N275" s="14">
        <v>246</v>
      </c>
      <c r="O275" s="14">
        <v>261</v>
      </c>
      <c r="T275" s="14">
        <v>5029</v>
      </c>
      <c r="U275" s="14">
        <v>2137</v>
      </c>
      <c r="V275" s="14">
        <v>717</v>
      </c>
      <c r="Z275" s="14">
        <v>5019</v>
      </c>
      <c r="AB275" s="14">
        <f t="shared" si="226"/>
        <v>261</v>
      </c>
      <c r="AE275" s="14">
        <v>1985</v>
      </c>
      <c r="AG275" s="14">
        <v>3295</v>
      </c>
      <c r="AH275" s="14">
        <v>11129</v>
      </c>
      <c r="AI275" s="14">
        <v>8087</v>
      </c>
      <c r="AJ275" s="14">
        <v>1780</v>
      </c>
      <c r="AK275" s="14">
        <v>718</v>
      </c>
      <c r="AM275" s="14">
        <f t="shared" si="227"/>
        <v>718</v>
      </c>
      <c r="AP275" s="14">
        <v>749</v>
      </c>
      <c r="AQ275" s="14">
        <f t="shared" si="228"/>
        <v>749</v>
      </c>
      <c r="AT275" s="14">
        <f t="shared" si="229"/>
        <v>0</v>
      </c>
      <c r="AU275" s="16">
        <v>12377</v>
      </c>
      <c r="AV275" s="16">
        <v>69176</v>
      </c>
      <c r="AW275" s="16">
        <v>0</v>
      </c>
      <c r="AX275" s="16">
        <v>0</v>
      </c>
      <c r="AY275" s="18">
        <f t="shared" si="230"/>
        <v>2.3350356813148121</v>
      </c>
      <c r="AZ275" s="17">
        <f t="shared" si="231"/>
        <v>13.050693083189259</v>
      </c>
      <c r="BA275" s="17">
        <f t="shared" si="232"/>
        <v>0</v>
      </c>
      <c r="BB275" s="17">
        <f t="shared" si="233"/>
        <v>0</v>
      </c>
      <c r="BC275" s="17">
        <f t="shared" si="201"/>
        <v>0</v>
      </c>
      <c r="BD275" s="17">
        <f t="shared" si="202"/>
        <v>0.21450558048436144</v>
      </c>
      <c r="BE275" s="17">
        <f t="shared" si="203"/>
        <v>0</v>
      </c>
      <c r="BF275" s="17">
        <f t="shared" si="204"/>
        <v>0</v>
      </c>
      <c r="BG275" s="17">
        <f t="shared" si="205"/>
        <v>0</v>
      </c>
      <c r="BH275" s="17">
        <f t="shared" si="206"/>
        <v>0.13677796468879685</v>
      </c>
      <c r="BI275" s="17">
        <f t="shared" si="207"/>
        <v>16.317139539219369</v>
      </c>
      <c r="BJ275" s="17">
        <f t="shared" si="208"/>
        <v>4.6410178363371073E-2</v>
      </c>
      <c r="BK275" s="17">
        <f t="shared" si="209"/>
        <v>4.9240067287966871E-2</v>
      </c>
      <c r="BL275" s="17">
        <f t="shared" si="210"/>
        <v>0</v>
      </c>
      <c r="BM275" s="17">
        <f t="shared" si="211"/>
        <v>0</v>
      </c>
      <c r="BN275" s="17">
        <f t="shared" si="212"/>
        <v>0</v>
      </c>
      <c r="BO275" s="17">
        <f t="shared" si="213"/>
        <v>0</v>
      </c>
      <c r="BP275" s="17">
        <f t="shared" si="214"/>
        <v>0.948767426786151</v>
      </c>
      <c r="BQ275" s="17">
        <f t="shared" si="215"/>
        <v>0.40316484212408127</v>
      </c>
      <c r="BR275" s="17">
        <f t="shared" si="216"/>
        <v>0.13526869059567911</v>
      </c>
      <c r="BS275" s="17">
        <f t="shared" si="217"/>
        <v>0</v>
      </c>
      <c r="BT275" s="17">
        <f t="shared" si="218"/>
        <v>0</v>
      </c>
      <c r="BU275" s="17">
        <f t="shared" si="219"/>
        <v>0</v>
      </c>
      <c r="BV275" s="17">
        <f t="shared" si="220"/>
        <v>0.94688083416975377</v>
      </c>
      <c r="BW275" s="17">
        <f t="shared" si="221"/>
        <v>0</v>
      </c>
      <c r="BX275" s="17">
        <f t="shared" si="222"/>
        <v>0</v>
      </c>
      <c r="BY275" s="17">
        <f t="shared" si="223"/>
        <v>0</v>
      </c>
      <c r="BZ275" s="17">
        <f t="shared" si="234"/>
        <v>0.37448863435484386</v>
      </c>
      <c r="CA275" s="17">
        <f t="shared" si="235"/>
        <v>0</v>
      </c>
      <c r="CB275" s="17">
        <f t="shared" si="236"/>
        <v>0.62163226710287678</v>
      </c>
      <c r="CC275" s="17">
        <f t="shared" si="237"/>
        <v>2.0995889227884419</v>
      </c>
      <c r="CD275" s="17">
        <f t="shared" si="238"/>
        <v>1.5256874488804142</v>
      </c>
      <c r="CE275" s="17">
        <f t="shared" si="239"/>
        <v>0.33581348571870129</v>
      </c>
      <c r="CF275" s="17">
        <f t="shared" si="240"/>
        <v>0.13545734985731883</v>
      </c>
      <c r="CG275" s="17">
        <f t="shared" si="241"/>
        <v>0</v>
      </c>
      <c r="CH275" s="17">
        <f t="shared" si="242"/>
        <v>0</v>
      </c>
      <c r="CI275" s="17">
        <f t="shared" si="243"/>
        <v>0</v>
      </c>
      <c r="CJ275" s="17">
        <f t="shared" si="244"/>
        <v>0.14130578696815013</v>
      </c>
      <c r="CK275" s="17">
        <f t="shared" si="245"/>
        <v>0</v>
      </c>
      <c r="CL275" s="17">
        <f t="shared" si="246"/>
        <v>0</v>
      </c>
      <c r="CM275" s="14">
        <f t="shared" si="247"/>
        <v>69176</v>
      </c>
      <c r="CN275" s="17">
        <f t="shared" si="248"/>
        <v>13.050693083189259</v>
      </c>
      <c r="CO275" s="14">
        <f t="shared" si="249"/>
        <v>81553</v>
      </c>
      <c r="CP275" s="17">
        <f t="shared" si="250"/>
        <v>15.385728764504071</v>
      </c>
      <c r="CQ275" s="14">
        <f t="shared" si="224"/>
        <v>212785</v>
      </c>
      <c r="CR275" s="14">
        <v>0</v>
      </c>
      <c r="CS275" s="14">
        <v>0</v>
      </c>
      <c r="CT275" s="14">
        <v>0</v>
      </c>
      <c r="CU275" s="14">
        <v>0</v>
      </c>
    </row>
    <row r="276" spans="1:99" x14ac:dyDescent="0.3">
      <c r="A276" s="14">
        <v>2022</v>
      </c>
      <c r="B276" s="14" t="s">
        <v>49</v>
      </c>
      <c r="C276" s="14" t="s">
        <v>50</v>
      </c>
      <c r="D276" s="15">
        <v>1487676.4</v>
      </c>
      <c r="E276" s="15">
        <v>54027486.999999985</v>
      </c>
      <c r="F276" s="15">
        <f t="shared" si="225"/>
        <v>36.316692931339091</v>
      </c>
      <c r="G276" s="14">
        <v>273</v>
      </c>
      <c r="H276" s="14">
        <v>886</v>
      </c>
      <c r="I276" s="14">
        <v>0</v>
      </c>
      <c r="J276" s="14">
        <v>141</v>
      </c>
      <c r="K276" s="14">
        <v>0</v>
      </c>
      <c r="L276" s="14">
        <v>603</v>
      </c>
      <c r="M276" s="14">
        <v>86423</v>
      </c>
      <c r="N276" s="14">
        <v>255</v>
      </c>
      <c r="O276" s="14">
        <v>181</v>
      </c>
      <c r="P276" s="14">
        <v>0</v>
      </c>
      <c r="Q276" s="14">
        <v>0</v>
      </c>
      <c r="R276" s="14">
        <v>0</v>
      </c>
      <c r="S276" s="14">
        <v>0</v>
      </c>
      <c r="T276" s="14">
        <v>4286</v>
      </c>
      <c r="U276" s="14">
        <v>2153</v>
      </c>
      <c r="V276" s="14">
        <v>0</v>
      </c>
      <c r="W276" s="14">
        <v>0</v>
      </c>
      <c r="X276" s="14">
        <v>0</v>
      </c>
      <c r="Y276" s="14">
        <v>636</v>
      </c>
      <c r="Z276" s="14">
        <v>4663</v>
      </c>
      <c r="AA276" s="14">
        <v>0</v>
      </c>
      <c r="AB276" s="14">
        <f t="shared" si="226"/>
        <v>181</v>
      </c>
      <c r="AC276" s="14">
        <v>0</v>
      </c>
      <c r="AD276" s="14">
        <v>0</v>
      </c>
      <c r="AE276" s="14">
        <v>2217</v>
      </c>
      <c r="AF276" s="14">
        <v>0</v>
      </c>
      <c r="AG276" s="14">
        <v>0</v>
      </c>
      <c r="AH276" s="14">
        <v>0</v>
      </c>
      <c r="AI276" s="14">
        <v>8639</v>
      </c>
      <c r="AJ276" s="14">
        <v>1797</v>
      </c>
      <c r="AK276" s="14">
        <v>631</v>
      </c>
      <c r="AL276" s="14">
        <v>0</v>
      </c>
      <c r="AM276" s="14">
        <f t="shared" si="227"/>
        <v>631</v>
      </c>
      <c r="AN276" s="14">
        <v>0</v>
      </c>
      <c r="AO276" s="14">
        <v>0</v>
      </c>
      <c r="AP276" s="14">
        <v>642</v>
      </c>
      <c r="AQ276" s="14">
        <f t="shared" si="228"/>
        <v>642</v>
      </c>
      <c r="AR276" s="14">
        <v>0</v>
      </c>
      <c r="AS276" s="14">
        <v>0</v>
      </c>
      <c r="AT276" s="14">
        <f t="shared" si="229"/>
        <v>0</v>
      </c>
      <c r="AU276" s="16">
        <v>13340</v>
      </c>
      <c r="AV276" s="16">
        <v>69268</v>
      </c>
      <c r="AW276" s="16">
        <v>274</v>
      </c>
      <c r="AX276" s="16">
        <v>0</v>
      </c>
      <c r="AY276" s="18">
        <f t="shared" si="230"/>
        <v>2.4691135458512079</v>
      </c>
      <c r="AZ276" s="17">
        <f t="shared" si="231"/>
        <v>12.82088134138092</v>
      </c>
      <c r="BA276" s="17">
        <f t="shared" si="232"/>
        <v>5.0714925904290178E-2</v>
      </c>
      <c r="BB276" s="17">
        <f t="shared" si="233"/>
        <v>0</v>
      </c>
      <c r="BC276" s="17">
        <f t="shared" si="201"/>
        <v>5.0529834933836559E-2</v>
      </c>
      <c r="BD276" s="17">
        <f t="shared" si="202"/>
        <v>0.16399059982190181</v>
      </c>
      <c r="BE276" s="17">
        <f t="shared" si="203"/>
        <v>0</v>
      </c>
      <c r="BF276" s="17">
        <f t="shared" si="204"/>
        <v>2.6097826833959545E-2</v>
      </c>
      <c r="BG276" s="17">
        <f t="shared" si="205"/>
        <v>0</v>
      </c>
      <c r="BH276" s="17">
        <f t="shared" si="206"/>
        <v>0.11160985518352912</v>
      </c>
      <c r="BI276" s="17">
        <f t="shared" si="207"/>
        <v>15.996116939512664</v>
      </c>
      <c r="BJ276" s="17">
        <f t="shared" si="208"/>
        <v>4.7198197465671513E-2</v>
      </c>
      <c r="BK276" s="17">
        <f t="shared" si="209"/>
        <v>3.3501465652104094E-2</v>
      </c>
      <c r="BL276" s="17">
        <f t="shared" si="210"/>
        <v>0</v>
      </c>
      <c r="BM276" s="17">
        <f t="shared" si="211"/>
        <v>0</v>
      </c>
      <c r="BN276" s="17">
        <f t="shared" si="212"/>
        <v>0</v>
      </c>
      <c r="BO276" s="17">
        <f t="shared" si="213"/>
        <v>0</v>
      </c>
      <c r="BP276" s="17">
        <f t="shared" si="214"/>
        <v>0.79329989936418865</v>
      </c>
      <c r="BQ276" s="17">
        <f t="shared" si="215"/>
        <v>0.39850085938663049</v>
      </c>
      <c r="BR276" s="17">
        <f t="shared" si="216"/>
        <v>0</v>
      </c>
      <c r="BS276" s="17">
        <f t="shared" si="217"/>
        <v>0</v>
      </c>
      <c r="BT276" s="17">
        <f t="shared" si="218"/>
        <v>0</v>
      </c>
      <c r="BU276" s="17">
        <f t="shared" si="219"/>
        <v>0.11771785720849837</v>
      </c>
      <c r="BV276" s="17">
        <f t="shared" si="220"/>
        <v>0.86307919522520105</v>
      </c>
      <c r="BW276" s="17">
        <f t="shared" si="221"/>
        <v>0</v>
      </c>
      <c r="BX276" s="17">
        <f t="shared" si="222"/>
        <v>0</v>
      </c>
      <c r="BY276" s="17">
        <f t="shared" si="223"/>
        <v>0</v>
      </c>
      <c r="BZ276" s="17">
        <f t="shared" si="234"/>
        <v>0.41034668149566178</v>
      </c>
      <c r="CA276" s="17">
        <f t="shared" si="235"/>
        <v>0</v>
      </c>
      <c r="CB276" s="17">
        <f t="shared" si="236"/>
        <v>0</v>
      </c>
      <c r="CC276" s="17">
        <f t="shared" si="237"/>
        <v>0</v>
      </c>
      <c r="CD276" s="17">
        <f t="shared" si="238"/>
        <v>1.5990008937487694</v>
      </c>
      <c r="CE276" s="17">
        <f t="shared" si="239"/>
        <v>0.33260847390514398</v>
      </c>
      <c r="CF276" s="17">
        <f t="shared" si="240"/>
        <v>0.1167924023562303</v>
      </c>
      <c r="CG276" s="17">
        <f t="shared" si="241"/>
        <v>0</v>
      </c>
      <c r="CH276" s="17">
        <f t="shared" si="242"/>
        <v>0</v>
      </c>
      <c r="CI276" s="17">
        <f t="shared" si="243"/>
        <v>0</v>
      </c>
      <c r="CJ276" s="17">
        <f t="shared" si="244"/>
        <v>0.11882840303122005</v>
      </c>
      <c r="CK276" s="17">
        <f t="shared" si="245"/>
        <v>0</v>
      </c>
      <c r="CL276" s="17">
        <f t="shared" si="246"/>
        <v>0</v>
      </c>
      <c r="CM276" s="14">
        <f t="shared" si="247"/>
        <v>69542</v>
      </c>
      <c r="CN276" s="17">
        <f t="shared" si="248"/>
        <v>12.871596267285209</v>
      </c>
      <c r="CO276" s="14">
        <f t="shared" si="249"/>
        <v>82882</v>
      </c>
      <c r="CP276" s="17">
        <f t="shared" si="250"/>
        <v>15.340709813136417</v>
      </c>
      <c r="CQ276" s="14">
        <f t="shared" si="224"/>
        <v>198762</v>
      </c>
      <c r="CR276" s="14">
        <v>0</v>
      </c>
      <c r="CS276" s="14">
        <v>0</v>
      </c>
      <c r="CT276" s="14">
        <v>0</v>
      </c>
      <c r="CU276" s="14">
        <v>0</v>
      </c>
    </row>
    <row r="277" spans="1:99" x14ac:dyDescent="0.3">
      <c r="A277" s="14">
        <v>2012</v>
      </c>
      <c r="B277" s="14" t="s">
        <v>51</v>
      </c>
      <c r="C277" s="14" t="s">
        <v>52</v>
      </c>
      <c r="D277" s="15">
        <v>155206.70000000001</v>
      </c>
      <c r="E277" s="15">
        <v>4331740.4999999991</v>
      </c>
      <c r="F277" s="15">
        <f t="shared" si="225"/>
        <v>27.909494242194434</v>
      </c>
      <c r="AB277" s="14">
        <f t="shared" si="226"/>
        <v>0</v>
      </c>
      <c r="AM277" s="14">
        <f t="shared" si="227"/>
        <v>0</v>
      </c>
      <c r="AQ277" s="14">
        <f t="shared" si="228"/>
        <v>0</v>
      </c>
      <c r="AT277" s="14">
        <f t="shared" si="229"/>
        <v>0</v>
      </c>
      <c r="AU277" s="16">
        <v>0</v>
      </c>
      <c r="AV277" s="16">
        <v>0</v>
      </c>
      <c r="AW277" s="16">
        <v>0</v>
      </c>
      <c r="AX277" s="16">
        <v>0</v>
      </c>
      <c r="AY277" s="18">
        <f t="shared" si="230"/>
        <v>0</v>
      </c>
      <c r="AZ277" s="17">
        <f t="shared" si="231"/>
        <v>0</v>
      </c>
      <c r="BA277" s="17">
        <f t="shared" si="232"/>
        <v>0</v>
      </c>
      <c r="BB277" s="17">
        <f t="shared" si="233"/>
        <v>0</v>
      </c>
      <c r="BC277" s="17">
        <f t="shared" si="201"/>
        <v>0</v>
      </c>
      <c r="BD277" s="17">
        <f t="shared" si="202"/>
        <v>0</v>
      </c>
      <c r="BE277" s="17">
        <f t="shared" si="203"/>
        <v>0</v>
      </c>
      <c r="BF277" s="17">
        <f t="shared" si="204"/>
        <v>0</v>
      </c>
      <c r="BG277" s="17">
        <f t="shared" si="205"/>
        <v>0</v>
      </c>
      <c r="BH277" s="17">
        <f t="shared" si="206"/>
        <v>0</v>
      </c>
      <c r="BI277" s="17">
        <f t="shared" si="207"/>
        <v>0</v>
      </c>
      <c r="BJ277" s="17">
        <f t="shared" si="208"/>
        <v>0</v>
      </c>
      <c r="BK277" s="17">
        <f t="shared" si="209"/>
        <v>0</v>
      </c>
      <c r="BL277" s="17">
        <f t="shared" si="210"/>
        <v>0</v>
      </c>
      <c r="BM277" s="17">
        <f t="shared" si="211"/>
        <v>0</v>
      </c>
      <c r="BN277" s="17">
        <f t="shared" si="212"/>
        <v>0</v>
      </c>
      <c r="BO277" s="17">
        <f t="shared" si="213"/>
        <v>0</v>
      </c>
      <c r="BP277" s="17">
        <f t="shared" si="214"/>
        <v>0</v>
      </c>
      <c r="BQ277" s="17">
        <f t="shared" si="215"/>
        <v>0</v>
      </c>
      <c r="BR277" s="17">
        <f t="shared" si="216"/>
        <v>0</v>
      </c>
      <c r="BS277" s="17">
        <f t="shared" si="217"/>
        <v>0</v>
      </c>
      <c r="BT277" s="17">
        <f t="shared" si="218"/>
        <v>0</v>
      </c>
      <c r="BU277" s="17">
        <f t="shared" si="219"/>
        <v>0</v>
      </c>
      <c r="BV277" s="17">
        <f t="shared" si="220"/>
        <v>0</v>
      </c>
      <c r="BW277" s="17">
        <f t="shared" si="221"/>
        <v>0</v>
      </c>
      <c r="BX277" s="17">
        <f t="shared" si="222"/>
        <v>0</v>
      </c>
      <c r="BY277" s="17">
        <f t="shared" si="223"/>
        <v>0</v>
      </c>
      <c r="BZ277" s="17">
        <f t="shared" si="234"/>
        <v>0</v>
      </c>
      <c r="CA277" s="17">
        <f t="shared" si="235"/>
        <v>0</v>
      </c>
      <c r="CB277" s="17">
        <f t="shared" si="236"/>
        <v>0</v>
      </c>
      <c r="CC277" s="17">
        <f t="shared" si="237"/>
        <v>0</v>
      </c>
      <c r="CD277" s="17">
        <f t="shared" si="238"/>
        <v>0</v>
      </c>
      <c r="CE277" s="17">
        <f t="shared" si="239"/>
        <v>0</v>
      </c>
      <c r="CF277" s="17">
        <f t="shared" si="240"/>
        <v>0</v>
      </c>
      <c r="CG277" s="17">
        <f t="shared" si="241"/>
        <v>0</v>
      </c>
      <c r="CH277" s="17">
        <f t="shared" si="242"/>
        <v>0</v>
      </c>
      <c r="CI277" s="17">
        <f t="shared" si="243"/>
        <v>0</v>
      </c>
      <c r="CJ277" s="17">
        <f t="shared" si="244"/>
        <v>0</v>
      </c>
      <c r="CK277" s="17">
        <f t="shared" si="245"/>
        <v>0</v>
      </c>
      <c r="CL277" s="17">
        <f t="shared" si="246"/>
        <v>0</v>
      </c>
      <c r="CM277" s="14">
        <f t="shared" si="247"/>
        <v>0</v>
      </c>
      <c r="CN277" s="17">
        <f t="shared" si="248"/>
        <v>0</v>
      </c>
      <c r="CO277" s="14">
        <f t="shared" si="249"/>
        <v>0</v>
      </c>
      <c r="CP277" s="17">
        <f t="shared" si="250"/>
        <v>0</v>
      </c>
      <c r="CQ277" s="14">
        <f t="shared" si="224"/>
        <v>0</v>
      </c>
      <c r="CR277" s="14">
        <v>0</v>
      </c>
      <c r="CS277" s="14">
        <v>0</v>
      </c>
      <c r="CT277" s="14">
        <v>0</v>
      </c>
      <c r="CU277" s="14">
        <v>0</v>
      </c>
    </row>
    <row r="278" spans="1:99" x14ac:dyDescent="0.3">
      <c r="A278" s="14">
        <v>2013</v>
      </c>
      <c r="B278" s="14" t="s">
        <v>51</v>
      </c>
      <c r="C278" s="14" t="s">
        <v>52</v>
      </c>
      <c r="D278" s="15">
        <v>157241.29999999999</v>
      </c>
      <c r="E278" s="15">
        <v>4427312.4999999991</v>
      </c>
      <c r="F278" s="15">
        <f t="shared" si="225"/>
        <v>28.156168258593635</v>
      </c>
      <c r="AB278" s="14">
        <f t="shared" si="226"/>
        <v>0</v>
      </c>
      <c r="AM278" s="14">
        <f t="shared" si="227"/>
        <v>0</v>
      </c>
      <c r="AQ278" s="14">
        <f t="shared" si="228"/>
        <v>0</v>
      </c>
      <c r="AT278" s="14">
        <f t="shared" si="229"/>
        <v>0</v>
      </c>
      <c r="AU278" s="16">
        <v>0</v>
      </c>
      <c r="AV278" s="16">
        <v>0</v>
      </c>
      <c r="AW278" s="16">
        <v>1612</v>
      </c>
      <c r="AX278" s="16">
        <v>0</v>
      </c>
      <c r="AY278" s="18">
        <f t="shared" si="230"/>
        <v>0</v>
      </c>
      <c r="AZ278" s="17">
        <f t="shared" si="231"/>
        <v>0</v>
      </c>
      <c r="BA278" s="17">
        <f t="shared" si="232"/>
        <v>3.6410350523031756</v>
      </c>
      <c r="BB278" s="17">
        <f t="shared" si="233"/>
        <v>0</v>
      </c>
      <c r="BC278" s="17">
        <f t="shared" si="201"/>
        <v>0</v>
      </c>
      <c r="BD278" s="17">
        <f t="shared" si="202"/>
        <v>0</v>
      </c>
      <c r="BE278" s="17">
        <f t="shared" si="203"/>
        <v>0</v>
      </c>
      <c r="BF278" s="17">
        <f t="shared" si="204"/>
        <v>0</v>
      </c>
      <c r="BG278" s="17">
        <f t="shared" si="205"/>
        <v>0</v>
      </c>
      <c r="BH278" s="17">
        <f t="shared" si="206"/>
        <v>0</v>
      </c>
      <c r="BI278" s="17">
        <f t="shared" si="207"/>
        <v>0</v>
      </c>
      <c r="BJ278" s="17">
        <f t="shared" si="208"/>
        <v>0</v>
      </c>
      <c r="BK278" s="17">
        <f t="shared" si="209"/>
        <v>0</v>
      </c>
      <c r="BL278" s="17">
        <f t="shared" si="210"/>
        <v>0</v>
      </c>
      <c r="BM278" s="17">
        <f t="shared" si="211"/>
        <v>0</v>
      </c>
      <c r="BN278" s="17">
        <f t="shared" si="212"/>
        <v>0</v>
      </c>
      <c r="BO278" s="17">
        <f t="shared" si="213"/>
        <v>0</v>
      </c>
      <c r="BP278" s="17">
        <f t="shared" si="214"/>
        <v>0</v>
      </c>
      <c r="BQ278" s="17">
        <f t="shared" si="215"/>
        <v>0</v>
      </c>
      <c r="BR278" s="17">
        <f t="shared" si="216"/>
        <v>0</v>
      </c>
      <c r="BS278" s="17">
        <f t="shared" si="217"/>
        <v>0</v>
      </c>
      <c r="BT278" s="17">
        <f t="shared" si="218"/>
        <v>0</v>
      </c>
      <c r="BU278" s="17">
        <f t="shared" si="219"/>
        <v>0</v>
      </c>
      <c r="BV278" s="17">
        <f t="shared" si="220"/>
        <v>0</v>
      </c>
      <c r="BW278" s="17">
        <f t="shared" si="221"/>
        <v>0</v>
      </c>
      <c r="BX278" s="17">
        <f t="shared" si="222"/>
        <v>0</v>
      </c>
      <c r="BY278" s="17">
        <f t="shared" si="223"/>
        <v>0</v>
      </c>
      <c r="BZ278" s="17">
        <f t="shared" si="234"/>
        <v>0</v>
      </c>
      <c r="CA278" s="17">
        <f t="shared" si="235"/>
        <v>0</v>
      </c>
      <c r="CB278" s="17">
        <f t="shared" si="236"/>
        <v>0</v>
      </c>
      <c r="CC278" s="17">
        <f t="shared" si="237"/>
        <v>0</v>
      </c>
      <c r="CD278" s="17">
        <f t="shared" si="238"/>
        <v>0</v>
      </c>
      <c r="CE278" s="17">
        <f t="shared" si="239"/>
        <v>0</v>
      </c>
      <c r="CF278" s="17">
        <f t="shared" si="240"/>
        <v>0</v>
      </c>
      <c r="CG278" s="17">
        <f t="shared" si="241"/>
        <v>0</v>
      </c>
      <c r="CH278" s="17">
        <f t="shared" si="242"/>
        <v>0</v>
      </c>
      <c r="CI278" s="17">
        <f t="shared" si="243"/>
        <v>0</v>
      </c>
      <c r="CJ278" s="17">
        <f t="shared" si="244"/>
        <v>0</v>
      </c>
      <c r="CK278" s="17">
        <f t="shared" si="245"/>
        <v>0</v>
      </c>
      <c r="CL278" s="17">
        <f t="shared" si="246"/>
        <v>0</v>
      </c>
      <c r="CM278" s="14">
        <f t="shared" si="247"/>
        <v>1612</v>
      </c>
      <c r="CN278" s="17">
        <f t="shared" si="248"/>
        <v>3.6410350523031756</v>
      </c>
      <c r="CO278" s="14">
        <f t="shared" si="249"/>
        <v>1612</v>
      </c>
      <c r="CP278" s="17">
        <f t="shared" si="250"/>
        <v>3.6410350523031756</v>
      </c>
      <c r="CQ278" s="14">
        <f t="shared" si="224"/>
        <v>1612</v>
      </c>
      <c r="CR278" s="14">
        <v>0</v>
      </c>
      <c r="CS278" s="14">
        <v>0</v>
      </c>
      <c r="CT278" s="14">
        <v>0</v>
      </c>
      <c r="CU278" s="14">
        <v>0</v>
      </c>
    </row>
    <row r="279" spans="1:99" x14ac:dyDescent="0.3">
      <c r="A279" s="14">
        <v>2014</v>
      </c>
      <c r="B279" s="14" t="s">
        <v>51</v>
      </c>
      <c r="C279" s="14" t="s">
        <v>52</v>
      </c>
      <c r="D279" s="15">
        <v>155883.9</v>
      </c>
      <c r="E279" s="15">
        <v>4519397.9999999981</v>
      </c>
      <c r="F279" s="15">
        <f t="shared" si="225"/>
        <v>28.992076795615187</v>
      </c>
      <c r="AB279" s="14">
        <f t="shared" si="226"/>
        <v>0</v>
      </c>
      <c r="AM279" s="14">
        <f t="shared" si="227"/>
        <v>0</v>
      </c>
      <c r="AQ279" s="14">
        <f t="shared" si="228"/>
        <v>0</v>
      </c>
      <c r="AT279" s="14">
        <f t="shared" si="229"/>
        <v>0</v>
      </c>
      <c r="AU279" s="16">
        <v>0</v>
      </c>
      <c r="AV279" s="16">
        <v>0</v>
      </c>
      <c r="AW279" s="16">
        <v>0</v>
      </c>
      <c r="AX279" s="16">
        <v>0</v>
      </c>
      <c r="AY279" s="18">
        <f t="shared" si="230"/>
        <v>0</v>
      </c>
      <c r="AZ279" s="17">
        <f t="shared" si="231"/>
        <v>0</v>
      </c>
      <c r="BA279" s="17">
        <f t="shared" si="232"/>
        <v>0</v>
      </c>
      <c r="BB279" s="17">
        <f t="shared" si="233"/>
        <v>0</v>
      </c>
      <c r="BC279" s="17">
        <f t="shared" si="201"/>
        <v>0</v>
      </c>
      <c r="BD279" s="17">
        <f t="shared" si="202"/>
        <v>0</v>
      </c>
      <c r="BE279" s="17">
        <f t="shared" si="203"/>
        <v>0</v>
      </c>
      <c r="BF279" s="17">
        <f t="shared" si="204"/>
        <v>0</v>
      </c>
      <c r="BG279" s="17">
        <f t="shared" si="205"/>
        <v>0</v>
      </c>
      <c r="BH279" s="17">
        <f t="shared" si="206"/>
        <v>0</v>
      </c>
      <c r="BI279" s="17">
        <f t="shared" si="207"/>
        <v>0</v>
      </c>
      <c r="BJ279" s="17">
        <f t="shared" si="208"/>
        <v>0</v>
      </c>
      <c r="BK279" s="17">
        <f t="shared" si="209"/>
        <v>0</v>
      </c>
      <c r="BL279" s="17">
        <f t="shared" si="210"/>
        <v>0</v>
      </c>
      <c r="BM279" s="17">
        <f t="shared" si="211"/>
        <v>0</v>
      </c>
      <c r="BN279" s="17">
        <f t="shared" si="212"/>
        <v>0</v>
      </c>
      <c r="BO279" s="17">
        <f t="shared" si="213"/>
        <v>0</v>
      </c>
      <c r="BP279" s="17">
        <f t="shared" si="214"/>
        <v>0</v>
      </c>
      <c r="BQ279" s="17">
        <f t="shared" si="215"/>
        <v>0</v>
      </c>
      <c r="BR279" s="17">
        <f t="shared" si="216"/>
        <v>0</v>
      </c>
      <c r="BS279" s="17">
        <f t="shared" si="217"/>
        <v>0</v>
      </c>
      <c r="BT279" s="17">
        <f t="shared" si="218"/>
        <v>0</v>
      </c>
      <c r="BU279" s="17">
        <f t="shared" si="219"/>
        <v>0</v>
      </c>
      <c r="BV279" s="17">
        <f t="shared" si="220"/>
        <v>0</v>
      </c>
      <c r="BW279" s="17">
        <f t="shared" si="221"/>
        <v>0</v>
      </c>
      <c r="BX279" s="17">
        <f t="shared" si="222"/>
        <v>0</v>
      </c>
      <c r="BY279" s="17">
        <f t="shared" si="223"/>
        <v>0</v>
      </c>
      <c r="BZ279" s="17">
        <f t="shared" si="234"/>
        <v>0</v>
      </c>
      <c r="CA279" s="17">
        <f t="shared" si="235"/>
        <v>0</v>
      </c>
      <c r="CB279" s="17">
        <f t="shared" si="236"/>
        <v>0</v>
      </c>
      <c r="CC279" s="17">
        <f t="shared" si="237"/>
        <v>0</v>
      </c>
      <c r="CD279" s="17">
        <f t="shared" si="238"/>
        <v>0</v>
      </c>
      <c r="CE279" s="17">
        <f t="shared" si="239"/>
        <v>0</v>
      </c>
      <c r="CF279" s="17">
        <f t="shared" si="240"/>
        <v>0</v>
      </c>
      <c r="CG279" s="17">
        <f t="shared" si="241"/>
        <v>0</v>
      </c>
      <c r="CH279" s="17">
        <f t="shared" si="242"/>
        <v>0</v>
      </c>
      <c r="CI279" s="17">
        <f t="shared" si="243"/>
        <v>0</v>
      </c>
      <c r="CJ279" s="17">
        <f t="shared" si="244"/>
        <v>0</v>
      </c>
      <c r="CK279" s="17">
        <f t="shared" si="245"/>
        <v>0</v>
      </c>
      <c r="CL279" s="17">
        <f t="shared" si="246"/>
        <v>0</v>
      </c>
      <c r="CM279" s="14">
        <f t="shared" si="247"/>
        <v>0</v>
      </c>
      <c r="CN279" s="17">
        <f t="shared" si="248"/>
        <v>0</v>
      </c>
      <c r="CO279" s="14">
        <f t="shared" si="249"/>
        <v>0</v>
      </c>
      <c r="CP279" s="17">
        <f t="shared" si="250"/>
        <v>0</v>
      </c>
      <c r="CQ279" s="14">
        <f t="shared" si="224"/>
        <v>0</v>
      </c>
      <c r="CR279" s="14">
        <v>385</v>
      </c>
      <c r="CS279" s="14">
        <v>998</v>
      </c>
      <c r="CT279" s="14">
        <v>0</v>
      </c>
      <c r="CU279" s="14">
        <v>2036</v>
      </c>
    </row>
    <row r="280" spans="1:99" x14ac:dyDescent="0.3">
      <c r="A280" s="14">
        <v>2015</v>
      </c>
      <c r="B280" s="14" t="s">
        <v>51</v>
      </c>
      <c r="C280" s="14" t="s">
        <v>52</v>
      </c>
      <c r="D280" s="15">
        <v>154970.79999999999</v>
      </c>
      <c r="E280" s="15">
        <v>4612328.9999999972</v>
      </c>
      <c r="F280" s="15">
        <f t="shared" si="225"/>
        <v>29.762568174133435</v>
      </c>
      <c r="AB280" s="14">
        <f t="shared" si="226"/>
        <v>0</v>
      </c>
      <c r="AM280" s="14">
        <f t="shared" si="227"/>
        <v>0</v>
      </c>
      <c r="AQ280" s="14">
        <f t="shared" si="228"/>
        <v>0</v>
      </c>
      <c r="AT280" s="14">
        <f t="shared" si="229"/>
        <v>0</v>
      </c>
      <c r="AU280" s="16">
        <v>336</v>
      </c>
      <c r="AV280" s="16">
        <v>0</v>
      </c>
      <c r="AW280" s="16">
        <v>0</v>
      </c>
      <c r="AX280" s="16">
        <v>0</v>
      </c>
      <c r="AY280" s="18">
        <f t="shared" si="230"/>
        <v>0.72848229170122125</v>
      </c>
      <c r="AZ280" s="17">
        <f t="shared" si="231"/>
        <v>0</v>
      </c>
      <c r="BA280" s="17">
        <f t="shared" si="232"/>
        <v>0</v>
      </c>
      <c r="BB280" s="17">
        <f t="shared" si="233"/>
        <v>0</v>
      </c>
      <c r="BC280" s="17">
        <f t="shared" si="201"/>
        <v>0</v>
      </c>
      <c r="BD280" s="17">
        <f t="shared" si="202"/>
        <v>0</v>
      </c>
      <c r="BE280" s="17">
        <f t="shared" si="203"/>
        <v>0</v>
      </c>
      <c r="BF280" s="17">
        <f t="shared" si="204"/>
        <v>0</v>
      </c>
      <c r="BG280" s="17">
        <f t="shared" si="205"/>
        <v>0</v>
      </c>
      <c r="BH280" s="17">
        <f t="shared" si="206"/>
        <v>0</v>
      </c>
      <c r="BI280" s="17">
        <f t="shared" si="207"/>
        <v>0</v>
      </c>
      <c r="BJ280" s="17">
        <f t="shared" si="208"/>
        <v>0</v>
      </c>
      <c r="BK280" s="17">
        <f t="shared" si="209"/>
        <v>0</v>
      </c>
      <c r="BL280" s="17">
        <f t="shared" si="210"/>
        <v>0</v>
      </c>
      <c r="BM280" s="17">
        <f t="shared" si="211"/>
        <v>0</v>
      </c>
      <c r="BN280" s="17">
        <f t="shared" si="212"/>
        <v>0</v>
      </c>
      <c r="BO280" s="17">
        <f t="shared" si="213"/>
        <v>0</v>
      </c>
      <c r="BP280" s="17">
        <f t="shared" si="214"/>
        <v>0</v>
      </c>
      <c r="BQ280" s="17">
        <f t="shared" si="215"/>
        <v>0</v>
      </c>
      <c r="BR280" s="17">
        <f t="shared" si="216"/>
        <v>0</v>
      </c>
      <c r="BS280" s="17">
        <f t="shared" si="217"/>
        <v>0</v>
      </c>
      <c r="BT280" s="17">
        <f t="shared" si="218"/>
        <v>0</v>
      </c>
      <c r="BU280" s="17">
        <f t="shared" si="219"/>
        <v>0</v>
      </c>
      <c r="BV280" s="17">
        <f t="shared" si="220"/>
        <v>0</v>
      </c>
      <c r="BW280" s="17">
        <f t="shared" si="221"/>
        <v>0</v>
      </c>
      <c r="BX280" s="17">
        <f t="shared" si="222"/>
        <v>0</v>
      </c>
      <c r="BY280" s="17">
        <f t="shared" si="223"/>
        <v>0</v>
      </c>
      <c r="BZ280" s="17">
        <f t="shared" si="234"/>
        <v>0</v>
      </c>
      <c r="CA280" s="17">
        <f t="shared" si="235"/>
        <v>0</v>
      </c>
      <c r="CB280" s="17">
        <f t="shared" si="236"/>
        <v>0</v>
      </c>
      <c r="CC280" s="17">
        <f t="shared" si="237"/>
        <v>0</v>
      </c>
      <c r="CD280" s="17">
        <f t="shared" si="238"/>
        <v>0</v>
      </c>
      <c r="CE280" s="17">
        <f t="shared" si="239"/>
        <v>0</v>
      </c>
      <c r="CF280" s="17">
        <f t="shared" si="240"/>
        <v>0</v>
      </c>
      <c r="CG280" s="17">
        <f t="shared" si="241"/>
        <v>0</v>
      </c>
      <c r="CH280" s="17">
        <f t="shared" si="242"/>
        <v>0</v>
      </c>
      <c r="CI280" s="17">
        <f t="shared" si="243"/>
        <v>0</v>
      </c>
      <c r="CJ280" s="17">
        <f t="shared" si="244"/>
        <v>0</v>
      </c>
      <c r="CK280" s="17">
        <f t="shared" si="245"/>
        <v>0</v>
      </c>
      <c r="CL280" s="17">
        <f t="shared" si="246"/>
        <v>0</v>
      </c>
      <c r="CM280" s="14">
        <f t="shared" si="247"/>
        <v>0</v>
      </c>
      <c r="CN280" s="17">
        <f t="shared" si="248"/>
        <v>0</v>
      </c>
      <c r="CO280" s="14">
        <f t="shared" si="249"/>
        <v>336</v>
      </c>
      <c r="CP280" s="17">
        <f t="shared" si="250"/>
        <v>0.72848229170122125</v>
      </c>
      <c r="CQ280" s="14">
        <f t="shared" si="224"/>
        <v>336</v>
      </c>
      <c r="CR280" s="14">
        <v>0</v>
      </c>
      <c r="CS280" s="14">
        <v>0</v>
      </c>
      <c r="CT280" s="14">
        <v>0</v>
      </c>
      <c r="CU280" s="14">
        <v>0</v>
      </c>
    </row>
    <row r="281" spans="1:99" x14ac:dyDescent="0.3">
      <c r="A281" s="14">
        <v>2016</v>
      </c>
      <c r="B281" s="14" t="s">
        <v>51</v>
      </c>
      <c r="C281" s="14" t="s">
        <v>52</v>
      </c>
      <c r="D281" s="15">
        <v>155266.4</v>
      </c>
      <c r="E281" s="15">
        <v>4706097.5000000009</v>
      </c>
      <c r="F281" s="15">
        <f t="shared" si="225"/>
        <v>30.309825564320427</v>
      </c>
      <c r="AB281" s="14">
        <f t="shared" si="226"/>
        <v>0</v>
      </c>
      <c r="AM281" s="14">
        <f t="shared" si="227"/>
        <v>0</v>
      </c>
      <c r="AQ281" s="14">
        <f t="shared" si="228"/>
        <v>0</v>
      </c>
      <c r="AT281" s="14">
        <f t="shared" si="229"/>
        <v>0</v>
      </c>
      <c r="AU281" s="16">
        <v>468</v>
      </c>
      <c r="AV281" s="16">
        <v>0</v>
      </c>
      <c r="AW281" s="16">
        <v>0</v>
      </c>
      <c r="AX281" s="16">
        <v>0</v>
      </c>
      <c r="AY281" s="18">
        <f t="shared" si="230"/>
        <v>0.99445453478173773</v>
      </c>
      <c r="AZ281" s="17">
        <f t="shared" si="231"/>
        <v>0</v>
      </c>
      <c r="BA281" s="17">
        <f t="shared" si="232"/>
        <v>0</v>
      </c>
      <c r="BB281" s="17">
        <f t="shared" si="233"/>
        <v>0</v>
      </c>
      <c r="BC281" s="17">
        <f t="shared" si="201"/>
        <v>0</v>
      </c>
      <c r="BD281" s="17">
        <f t="shared" si="202"/>
        <v>0</v>
      </c>
      <c r="BE281" s="17">
        <f t="shared" si="203"/>
        <v>0</v>
      </c>
      <c r="BF281" s="17">
        <f t="shared" si="204"/>
        <v>0</v>
      </c>
      <c r="BG281" s="17">
        <f t="shared" si="205"/>
        <v>0</v>
      </c>
      <c r="BH281" s="17">
        <f t="shared" si="206"/>
        <v>0</v>
      </c>
      <c r="BI281" s="17">
        <f t="shared" si="207"/>
        <v>0</v>
      </c>
      <c r="BJ281" s="17">
        <f t="shared" si="208"/>
        <v>0</v>
      </c>
      <c r="BK281" s="17">
        <f t="shared" si="209"/>
        <v>0</v>
      </c>
      <c r="BL281" s="17">
        <f t="shared" si="210"/>
        <v>0</v>
      </c>
      <c r="BM281" s="17">
        <f t="shared" si="211"/>
        <v>0</v>
      </c>
      <c r="BN281" s="17">
        <f t="shared" si="212"/>
        <v>0</v>
      </c>
      <c r="BO281" s="17">
        <f t="shared" si="213"/>
        <v>0</v>
      </c>
      <c r="BP281" s="17">
        <f t="shared" si="214"/>
        <v>0</v>
      </c>
      <c r="BQ281" s="17">
        <f t="shared" si="215"/>
        <v>0</v>
      </c>
      <c r="BR281" s="17">
        <f t="shared" si="216"/>
        <v>0</v>
      </c>
      <c r="BS281" s="17">
        <f t="shared" si="217"/>
        <v>0</v>
      </c>
      <c r="BT281" s="17">
        <f t="shared" si="218"/>
        <v>0</v>
      </c>
      <c r="BU281" s="17">
        <f t="shared" si="219"/>
        <v>0</v>
      </c>
      <c r="BV281" s="17">
        <f t="shared" si="220"/>
        <v>0</v>
      </c>
      <c r="BW281" s="17">
        <f t="shared" si="221"/>
        <v>0</v>
      </c>
      <c r="BX281" s="17">
        <f t="shared" si="222"/>
        <v>0</v>
      </c>
      <c r="BY281" s="17">
        <f t="shared" si="223"/>
        <v>0</v>
      </c>
      <c r="BZ281" s="17">
        <f t="shared" si="234"/>
        <v>0</v>
      </c>
      <c r="CA281" s="17">
        <f t="shared" si="235"/>
        <v>0</v>
      </c>
      <c r="CB281" s="17">
        <f t="shared" si="236"/>
        <v>0</v>
      </c>
      <c r="CC281" s="17">
        <f t="shared" si="237"/>
        <v>0</v>
      </c>
      <c r="CD281" s="17">
        <f t="shared" si="238"/>
        <v>0</v>
      </c>
      <c r="CE281" s="17">
        <f t="shared" si="239"/>
        <v>0</v>
      </c>
      <c r="CF281" s="17">
        <f t="shared" si="240"/>
        <v>0</v>
      </c>
      <c r="CG281" s="17">
        <f t="shared" si="241"/>
        <v>0</v>
      </c>
      <c r="CH281" s="17">
        <f t="shared" si="242"/>
        <v>0</v>
      </c>
      <c r="CI281" s="17">
        <f t="shared" si="243"/>
        <v>0</v>
      </c>
      <c r="CJ281" s="17">
        <f t="shared" si="244"/>
        <v>0</v>
      </c>
      <c r="CK281" s="17">
        <f t="shared" si="245"/>
        <v>0</v>
      </c>
      <c r="CL281" s="17">
        <f t="shared" si="246"/>
        <v>0</v>
      </c>
      <c r="CM281" s="14">
        <f t="shared" si="247"/>
        <v>0</v>
      </c>
      <c r="CN281" s="17">
        <f t="shared" si="248"/>
        <v>0</v>
      </c>
      <c r="CO281" s="14">
        <f t="shared" si="249"/>
        <v>468</v>
      </c>
      <c r="CP281" s="17">
        <f t="shared" si="250"/>
        <v>0.99445453478173773</v>
      </c>
      <c r="CQ281" s="14">
        <f t="shared" si="224"/>
        <v>468</v>
      </c>
      <c r="CR281" s="14">
        <v>57</v>
      </c>
      <c r="CS281" s="14">
        <v>221</v>
      </c>
      <c r="CT281" s="14">
        <v>8</v>
      </c>
      <c r="CU281" s="14">
        <v>344</v>
      </c>
    </row>
    <row r="282" spans="1:99" x14ac:dyDescent="0.3">
      <c r="A282" s="14">
        <v>2017</v>
      </c>
      <c r="B282" s="14" t="s">
        <v>51</v>
      </c>
      <c r="C282" s="14" t="s">
        <v>52</v>
      </c>
      <c r="D282" s="15">
        <v>156073.20000000001</v>
      </c>
      <c r="E282" s="15">
        <v>4796630.9999999963</v>
      </c>
      <c r="F282" s="15">
        <f t="shared" si="225"/>
        <v>30.733213645904588</v>
      </c>
      <c r="AB282" s="14">
        <f t="shared" si="226"/>
        <v>0</v>
      </c>
      <c r="AM282" s="14">
        <f t="shared" si="227"/>
        <v>0</v>
      </c>
      <c r="AQ282" s="14">
        <f t="shared" si="228"/>
        <v>0</v>
      </c>
      <c r="AT282" s="14">
        <f t="shared" si="229"/>
        <v>0</v>
      </c>
      <c r="AU282" s="16">
        <v>496</v>
      </c>
      <c r="AV282" s="16">
        <v>0</v>
      </c>
      <c r="AW282" s="16">
        <v>0</v>
      </c>
      <c r="AX282" s="16">
        <v>0</v>
      </c>
      <c r="AY282" s="18">
        <f t="shared" si="230"/>
        <v>1.0340591135736736</v>
      </c>
      <c r="AZ282" s="17">
        <f t="shared" si="231"/>
        <v>0</v>
      </c>
      <c r="BA282" s="17">
        <f t="shared" si="232"/>
        <v>0</v>
      </c>
      <c r="BB282" s="17">
        <f t="shared" si="233"/>
        <v>0</v>
      </c>
      <c r="BC282" s="17">
        <f t="shared" si="201"/>
        <v>0</v>
      </c>
      <c r="BD282" s="17">
        <f t="shared" si="202"/>
        <v>0</v>
      </c>
      <c r="BE282" s="17">
        <f t="shared" si="203"/>
        <v>0</v>
      </c>
      <c r="BF282" s="17">
        <f t="shared" si="204"/>
        <v>0</v>
      </c>
      <c r="BG282" s="17">
        <f t="shared" si="205"/>
        <v>0</v>
      </c>
      <c r="BH282" s="17">
        <f t="shared" si="206"/>
        <v>0</v>
      </c>
      <c r="BI282" s="17">
        <f t="shared" si="207"/>
        <v>0</v>
      </c>
      <c r="BJ282" s="17">
        <f t="shared" si="208"/>
        <v>0</v>
      </c>
      <c r="BK282" s="17">
        <f t="shared" si="209"/>
        <v>0</v>
      </c>
      <c r="BL282" s="17">
        <f t="shared" si="210"/>
        <v>0</v>
      </c>
      <c r="BM282" s="17">
        <f t="shared" si="211"/>
        <v>0</v>
      </c>
      <c r="BN282" s="17">
        <f t="shared" si="212"/>
        <v>0</v>
      </c>
      <c r="BO282" s="17">
        <f t="shared" si="213"/>
        <v>0</v>
      </c>
      <c r="BP282" s="17">
        <f t="shared" si="214"/>
        <v>0</v>
      </c>
      <c r="BQ282" s="17">
        <f t="shared" si="215"/>
        <v>0</v>
      </c>
      <c r="BR282" s="17">
        <f t="shared" si="216"/>
        <v>0</v>
      </c>
      <c r="BS282" s="17">
        <f t="shared" si="217"/>
        <v>0</v>
      </c>
      <c r="BT282" s="17">
        <f t="shared" si="218"/>
        <v>0</v>
      </c>
      <c r="BU282" s="17">
        <f t="shared" si="219"/>
        <v>0</v>
      </c>
      <c r="BV282" s="17">
        <f t="shared" si="220"/>
        <v>0</v>
      </c>
      <c r="BW282" s="17">
        <f t="shared" si="221"/>
        <v>0</v>
      </c>
      <c r="BX282" s="17">
        <f t="shared" si="222"/>
        <v>0</v>
      </c>
      <c r="BY282" s="17">
        <f t="shared" si="223"/>
        <v>0</v>
      </c>
      <c r="BZ282" s="17">
        <f t="shared" si="234"/>
        <v>0</v>
      </c>
      <c r="CA282" s="17">
        <f t="shared" si="235"/>
        <v>0</v>
      </c>
      <c r="CB282" s="17">
        <f t="shared" si="236"/>
        <v>0</v>
      </c>
      <c r="CC282" s="17">
        <f t="shared" si="237"/>
        <v>0</v>
      </c>
      <c r="CD282" s="17">
        <f t="shared" si="238"/>
        <v>0</v>
      </c>
      <c r="CE282" s="17">
        <f t="shared" si="239"/>
        <v>0</v>
      </c>
      <c r="CF282" s="17">
        <f t="shared" si="240"/>
        <v>0</v>
      </c>
      <c r="CG282" s="17">
        <f t="shared" si="241"/>
        <v>0</v>
      </c>
      <c r="CH282" s="17">
        <f t="shared" si="242"/>
        <v>0</v>
      </c>
      <c r="CI282" s="17">
        <f t="shared" si="243"/>
        <v>0</v>
      </c>
      <c r="CJ282" s="17">
        <f t="shared" si="244"/>
        <v>0</v>
      </c>
      <c r="CK282" s="17">
        <f t="shared" si="245"/>
        <v>0</v>
      </c>
      <c r="CL282" s="17">
        <f t="shared" si="246"/>
        <v>0</v>
      </c>
      <c r="CM282" s="14">
        <f t="shared" si="247"/>
        <v>0</v>
      </c>
      <c r="CN282" s="17">
        <f t="shared" si="248"/>
        <v>0</v>
      </c>
      <c r="CO282" s="14">
        <f t="shared" si="249"/>
        <v>496</v>
      </c>
      <c r="CP282" s="17">
        <f t="shared" si="250"/>
        <v>1.0340591135736736</v>
      </c>
      <c r="CQ282" s="14">
        <f t="shared" si="224"/>
        <v>496</v>
      </c>
      <c r="CR282" s="14">
        <v>0</v>
      </c>
      <c r="CS282" s="14">
        <v>0</v>
      </c>
      <c r="CT282" s="14">
        <v>0</v>
      </c>
      <c r="CU282" s="14">
        <v>0</v>
      </c>
    </row>
    <row r="283" spans="1:99" x14ac:dyDescent="0.3">
      <c r="A283" s="14">
        <v>2018</v>
      </c>
      <c r="B283" s="14" t="s">
        <v>51</v>
      </c>
      <c r="C283" s="14" t="s">
        <v>52</v>
      </c>
      <c r="D283" s="15">
        <v>156857.29999999999</v>
      </c>
      <c r="E283" s="15">
        <v>4889391</v>
      </c>
      <c r="F283" s="15">
        <f t="shared" si="225"/>
        <v>31.170949646589609</v>
      </c>
      <c r="G283" s="14">
        <v>3</v>
      </c>
      <c r="H283" s="14">
        <v>93</v>
      </c>
      <c r="M283" s="14">
        <v>3391</v>
      </c>
      <c r="AB283" s="14">
        <f t="shared" si="226"/>
        <v>0</v>
      </c>
      <c r="AM283" s="14">
        <f t="shared" si="227"/>
        <v>0</v>
      </c>
      <c r="AQ283" s="14">
        <f t="shared" si="228"/>
        <v>0</v>
      </c>
      <c r="AT283" s="14">
        <f t="shared" si="229"/>
        <v>0</v>
      </c>
      <c r="AU283" s="16">
        <v>1407</v>
      </c>
      <c r="AV283" s="16">
        <v>4526</v>
      </c>
      <c r="AW283" s="16">
        <v>1784</v>
      </c>
      <c r="AX283" s="16">
        <v>0</v>
      </c>
      <c r="AY283" s="18">
        <f t="shared" si="230"/>
        <v>2.8776589967953066</v>
      </c>
      <c r="AZ283" s="17">
        <f t="shared" si="231"/>
        <v>9.2567765596983342</v>
      </c>
      <c r="BA283" s="17">
        <f t="shared" si="232"/>
        <v>3.648716169355243</v>
      </c>
      <c r="BB283" s="17">
        <f t="shared" si="233"/>
        <v>0</v>
      </c>
      <c r="BC283" s="17">
        <f t="shared" si="201"/>
        <v>6.1357334686467091E-3</v>
      </c>
      <c r="BD283" s="17">
        <f t="shared" si="202"/>
        <v>0.19020773752804798</v>
      </c>
      <c r="BE283" s="17">
        <f t="shared" si="203"/>
        <v>0</v>
      </c>
      <c r="BF283" s="17">
        <f t="shared" si="204"/>
        <v>0</v>
      </c>
      <c r="BG283" s="17">
        <f t="shared" si="205"/>
        <v>0</v>
      </c>
      <c r="BH283" s="17">
        <f t="shared" si="206"/>
        <v>0</v>
      </c>
      <c r="BI283" s="17">
        <f t="shared" si="207"/>
        <v>6.9354240640603297</v>
      </c>
      <c r="BJ283" s="17">
        <f t="shared" si="208"/>
        <v>0</v>
      </c>
      <c r="BK283" s="17">
        <f t="shared" si="209"/>
        <v>0</v>
      </c>
      <c r="BL283" s="17">
        <f t="shared" si="210"/>
        <v>0</v>
      </c>
      <c r="BM283" s="17">
        <f t="shared" si="211"/>
        <v>0</v>
      </c>
      <c r="BN283" s="17">
        <f t="shared" si="212"/>
        <v>0</v>
      </c>
      <c r="BO283" s="17">
        <f t="shared" si="213"/>
        <v>0</v>
      </c>
      <c r="BP283" s="17">
        <f t="shared" si="214"/>
        <v>0</v>
      </c>
      <c r="BQ283" s="17">
        <f t="shared" si="215"/>
        <v>0</v>
      </c>
      <c r="BR283" s="17">
        <f t="shared" si="216"/>
        <v>0</v>
      </c>
      <c r="BS283" s="17">
        <f t="shared" si="217"/>
        <v>0</v>
      </c>
      <c r="BT283" s="17">
        <f t="shared" si="218"/>
        <v>0</v>
      </c>
      <c r="BU283" s="17">
        <f t="shared" si="219"/>
        <v>0</v>
      </c>
      <c r="BV283" s="17">
        <f t="shared" si="220"/>
        <v>0</v>
      </c>
      <c r="BW283" s="17">
        <f t="shared" si="221"/>
        <v>0</v>
      </c>
      <c r="BX283" s="17">
        <f t="shared" si="222"/>
        <v>0</v>
      </c>
      <c r="BY283" s="17">
        <f t="shared" si="223"/>
        <v>0</v>
      </c>
      <c r="BZ283" s="17">
        <f t="shared" si="234"/>
        <v>0</v>
      </c>
      <c r="CA283" s="17">
        <f t="shared" si="235"/>
        <v>0</v>
      </c>
      <c r="CB283" s="17">
        <f t="shared" si="236"/>
        <v>0</v>
      </c>
      <c r="CC283" s="17">
        <f t="shared" si="237"/>
        <v>0</v>
      </c>
      <c r="CD283" s="17">
        <f t="shared" si="238"/>
        <v>0</v>
      </c>
      <c r="CE283" s="17">
        <f t="shared" si="239"/>
        <v>0</v>
      </c>
      <c r="CF283" s="17">
        <f t="shared" si="240"/>
        <v>0</v>
      </c>
      <c r="CG283" s="17">
        <f t="shared" si="241"/>
        <v>0</v>
      </c>
      <c r="CH283" s="17">
        <f t="shared" si="242"/>
        <v>0</v>
      </c>
      <c r="CI283" s="17">
        <f t="shared" si="243"/>
        <v>0</v>
      </c>
      <c r="CJ283" s="17">
        <f t="shared" si="244"/>
        <v>0</v>
      </c>
      <c r="CK283" s="17">
        <f t="shared" si="245"/>
        <v>0</v>
      </c>
      <c r="CL283" s="17">
        <f t="shared" si="246"/>
        <v>0</v>
      </c>
      <c r="CM283" s="14">
        <f t="shared" si="247"/>
        <v>6310</v>
      </c>
      <c r="CN283" s="17">
        <f t="shared" si="248"/>
        <v>12.905492729053577</v>
      </c>
      <c r="CO283" s="14">
        <f t="shared" si="249"/>
        <v>7717</v>
      </c>
      <c r="CP283" s="17">
        <f t="shared" si="250"/>
        <v>15.783151725848883</v>
      </c>
      <c r="CQ283" s="14">
        <f t="shared" si="224"/>
        <v>11204</v>
      </c>
      <c r="CR283" s="14">
        <v>0</v>
      </c>
      <c r="CS283" s="14">
        <v>0</v>
      </c>
      <c r="CT283" s="14">
        <v>0</v>
      </c>
      <c r="CU283" s="14">
        <v>0</v>
      </c>
    </row>
    <row r="284" spans="1:99" x14ac:dyDescent="0.3">
      <c r="A284" s="14">
        <v>2019</v>
      </c>
      <c r="B284" s="14" t="s">
        <v>51</v>
      </c>
      <c r="C284" s="14" t="s">
        <v>52</v>
      </c>
      <c r="D284" s="15">
        <v>157728.4</v>
      </c>
      <c r="E284" s="15">
        <v>4985289.0000000075</v>
      </c>
      <c r="F284" s="15">
        <f t="shared" si="225"/>
        <v>31.606793703607007</v>
      </c>
      <c r="G284" s="14">
        <v>4</v>
      </c>
      <c r="H284" s="14">
        <v>54</v>
      </c>
      <c r="AB284" s="14">
        <f t="shared" si="226"/>
        <v>0</v>
      </c>
      <c r="AJ284" s="14">
        <v>201</v>
      </c>
      <c r="AM284" s="14">
        <f t="shared" si="227"/>
        <v>0</v>
      </c>
      <c r="AQ284" s="14">
        <f t="shared" si="228"/>
        <v>0</v>
      </c>
      <c r="AT284" s="14">
        <f t="shared" si="229"/>
        <v>0</v>
      </c>
      <c r="AU284" s="16">
        <v>1508</v>
      </c>
      <c r="AV284" s="16">
        <v>3956</v>
      </c>
      <c r="AW284" s="16">
        <v>1534</v>
      </c>
      <c r="AX284" s="16">
        <v>0</v>
      </c>
      <c r="AY284" s="18">
        <f t="shared" si="230"/>
        <v>3.0248998603691737</v>
      </c>
      <c r="AZ284" s="17">
        <f t="shared" si="231"/>
        <v>7.9353473790586548</v>
      </c>
      <c r="BA284" s="17">
        <f t="shared" si="232"/>
        <v>3.0770533062376075</v>
      </c>
      <c r="BB284" s="17">
        <f t="shared" si="233"/>
        <v>0</v>
      </c>
      <c r="BC284" s="17">
        <f t="shared" si="201"/>
        <v>8.0236070566821575E-3</v>
      </c>
      <c r="BD284" s="17">
        <f t="shared" si="202"/>
        <v>0.10831869526520914</v>
      </c>
      <c r="BE284" s="17">
        <f t="shared" si="203"/>
        <v>0</v>
      </c>
      <c r="BF284" s="17">
        <f t="shared" si="204"/>
        <v>0</v>
      </c>
      <c r="BG284" s="17">
        <f t="shared" si="205"/>
        <v>0</v>
      </c>
      <c r="BH284" s="17">
        <f t="shared" si="206"/>
        <v>0</v>
      </c>
      <c r="BI284" s="17">
        <f t="shared" si="207"/>
        <v>0</v>
      </c>
      <c r="BJ284" s="17">
        <f t="shared" si="208"/>
        <v>0</v>
      </c>
      <c r="BK284" s="17">
        <f t="shared" si="209"/>
        <v>0</v>
      </c>
      <c r="BL284" s="17">
        <f t="shared" si="210"/>
        <v>0</v>
      </c>
      <c r="BM284" s="17">
        <f t="shared" si="211"/>
        <v>0</v>
      </c>
      <c r="BN284" s="17">
        <f t="shared" si="212"/>
        <v>0</v>
      </c>
      <c r="BO284" s="17">
        <f t="shared" si="213"/>
        <v>0</v>
      </c>
      <c r="BP284" s="17">
        <f t="shared" si="214"/>
        <v>0</v>
      </c>
      <c r="BQ284" s="17">
        <f t="shared" si="215"/>
        <v>0</v>
      </c>
      <c r="BR284" s="17">
        <f t="shared" si="216"/>
        <v>0</v>
      </c>
      <c r="BS284" s="17">
        <f t="shared" si="217"/>
        <v>0</v>
      </c>
      <c r="BT284" s="17">
        <f t="shared" si="218"/>
        <v>0</v>
      </c>
      <c r="BU284" s="17">
        <f t="shared" si="219"/>
        <v>0</v>
      </c>
      <c r="BV284" s="17">
        <f t="shared" si="220"/>
        <v>0</v>
      </c>
      <c r="BW284" s="17">
        <f t="shared" si="221"/>
        <v>0</v>
      </c>
      <c r="BX284" s="17">
        <f t="shared" si="222"/>
        <v>0</v>
      </c>
      <c r="BY284" s="17">
        <f t="shared" si="223"/>
        <v>0</v>
      </c>
      <c r="BZ284" s="17">
        <f t="shared" si="234"/>
        <v>0</v>
      </c>
      <c r="CA284" s="17">
        <f t="shared" si="235"/>
        <v>0</v>
      </c>
      <c r="CB284" s="17">
        <f t="shared" si="236"/>
        <v>0</v>
      </c>
      <c r="CC284" s="17">
        <f t="shared" si="237"/>
        <v>0</v>
      </c>
      <c r="CD284" s="17">
        <f t="shared" si="238"/>
        <v>0</v>
      </c>
      <c r="CE284" s="17">
        <f t="shared" si="239"/>
        <v>0.40318625459827845</v>
      </c>
      <c r="CF284" s="17">
        <f t="shared" si="240"/>
        <v>0</v>
      </c>
      <c r="CG284" s="17">
        <f t="shared" si="241"/>
        <v>0</v>
      </c>
      <c r="CH284" s="17">
        <f t="shared" si="242"/>
        <v>0</v>
      </c>
      <c r="CI284" s="17">
        <f t="shared" si="243"/>
        <v>0</v>
      </c>
      <c r="CJ284" s="17">
        <f t="shared" si="244"/>
        <v>0</v>
      </c>
      <c r="CK284" s="17">
        <f t="shared" si="245"/>
        <v>0</v>
      </c>
      <c r="CL284" s="17">
        <f t="shared" si="246"/>
        <v>0</v>
      </c>
      <c r="CM284" s="14">
        <f t="shared" si="247"/>
        <v>5490</v>
      </c>
      <c r="CN284" s="17">
        <f t="shared" si="248"/>
        <v>11.012400685296262</v>
      </c>
      <c r="CO284" s="14">
        <f t="shared" si="249"/>
        <v>6998</v>
      </c>
      <c r="CP284" s="17">
        <f t="shared" si="250"/>
        <v>14.037300545665437</v>
      </c>
      <c r="CQ284" s="14">
        <f t="shared" si="224"/>
        <v>7257</v>
      </c>
      <c r="CR284" s="14">
        <v>0</v>
      </c>
      <c r="CS284" s="14">
        <v>235</v>
      </c>
      <c r="CT284" s="14">
        <v>0</v>
      </c>
      <c r="CU284" s="14">
        <v>0</v>
      </c>
    </row>
    <row r="285" spans="1:99" x14ac:dyDescent="0.3">
      <c r="A285" s="14">
        <v>2020</v>
      </c>
      <c r="B285" s="14" t="s">
        <v>51</v>
      </c>
      <c r="C285" s="14" t="s">
        <v>52</v>
      </c>
      <c r="D285" s="15">
        <v>158615.9</v>
      </c>
      <c r="E285" s="15">
        <v>5087584.5000000019</v>
      </c>
      <c r="F285" s="15">
        <f t="shared" si="225"/>
        <v>32.074870804251034</v>
      </c>
      <c r="G285" s="14">
        <v>6</v>
      </c>
      <c r="H285" s="14">
        <v>127</v>
      </c>
      <c r="M285" s="14">
        <v>12625</v>
      </c>
      <c r="AB285" s="14">
        <f t="shared" si="226"/>
        <v>0</v>
      </c>
      <c r="AJ285" s="14">
        <v>486</v>
      </c>
      <c r="AM285" s="14">
        <f t="shared" si="227"/>
        <v>0</v>
      </c>
      <c r="AQ285" s="14">
        <f t="shared" si="228"/>
        <v>0</v>
      </c>
      <c r="AT285" s="14">
        <f t="shared" si="229"/>
        <v>0</v>
      </c>
      <c r="AU285" s="16">
        <v>1611</v>
      </c>
      <c r="AV285" s="16">
        <v>4832</v>
      </c>
      <c r="AW285" s="16">
        <v>1744</v>
      </c>
      <c r="AX285" s="16">
        <v>0</v>
      </c>
      <c r="AY285" s="18">
        <f t="shared" si="230"/>
        <v>3.1665321725860265</v>
      </c>
      <c r="AZ285" s="17">
        <f t="shared" si="231"/>
        <v>9.49763094843928</v>
      </c>
      <c r="BA285" s="17">
        <f t="shared" si="232"/>
        <v>3.4279528919863629</v>
      </c>
      <c r="BB285" s="17">
        <f t="shared" si="233"/>
        <v>0</v>
      </c>
      <c r="BC285" s="17">
        <f t="shared" si="201"/>
        <v>1.1793415912797119E-2</v>
      </c>
      <c r="BD285" s="17">
        <f t="shared" si="202"/>
        <v>0.24962730348753903</v>
      </c>
      <c r="BE285" s="17">
        <f t="shared" si="203"/>
        <v>0</v>
      </c>
      <c r="BF285" s="17">
        <f t="shared" si="204"/>
        <v>0</v>
      </c>
      <c r="BG285" s="17">
        <f t="shared" si="205"/>
        <v>0</v>
      </c>
      <c r="BH285" s="17">
        <f t="shared" si="206"/>
        <v>0</v>
      </c>
      <c r="BI285" s="17">
        <f t="shared" si="207"/>
        <v>24.815312649843939</v>
      </c>
      <c r="BJ285" s="17">
        <f t="shared" si="208"/>
        <v>0</v>
      </c>
      <c r="BK285" s="17">
        <f t="shared" si="209"/>
        <v>0</v>
      </c>
      <c r="BL285" s="17">
        <f t="shared" si="210"/>
        <v>0</v>
      </c>
      <c r="BM285" s="17">
        <f t="shared" si="211"/>
        <v>0</v>
      </c>
      <c r="BN285" s="17">
        <f t="shared" si="212"/>
        <v>0</v>
      </c>
      <c r="BO285" s="17">
        <f t="shared" si="213"/>
        <v>0</v>
      </c>
      <c r="BP285" s="17">
        <f t="shared" si="214"/>
        <v>0</v>
      </c>
      <c r="BQ285" s="17">
        <f t="shared" si="215"/>
        <v>0</v>
      </c>
      <c r="BR285" s="17">
        <f t="shared" si="216"/>
        <v>0</v>
      </c>
      <c r="BS285" s="17">
        <f t="shared" si="217"/>
        <v>0</v>
      </c>
      <c r="BT285" s="17">
        <f t="shared" si="218"/>
        <v>0</v>
      </c>
      <c r="BU285" s="17">
        <f t="shared" si="219"/>
        <v>0</v>
      </c>
      <c r="BV285" s="17">
        <f t="shared" si="220"/>
        <v>0</v>
      </c>
      <c r="BW285" s="17">
        <f t="shared" si="221"/>
        <v>0</v>
      </c>
      <c r="BX285" s="17">
        <f t="shared" si="222"/>
        <v>0</v>
      </c>
      <c r="BY285" s="17">
        <f t="shared" si="223"/>
        <v>0</v>
      </c>
      <c r="BZ285" s="17">
        <f t="shared" si="234"/>
        <v>0</v>
      </c>
      <c r="CA285" s="17">
        <f t="shared" si="235"/>
        <v>0</v>
      </c>
      <c r="CB285" s="17">
        <f t="shared" si="236"/>
        <v>0</v>
      </c>
      <c r="CC285" s="17">
        <f t="shared" si="237"/>
        <v>0</v>
      </c>
      <c r="CD285" s="17">
        <f t="shared" si="238"/>
        <v>0</v>
      </c>
      <c r="CE285" s="17">
        <f t="shared" si="239"/>
        <v>0.95526668893656674</v>
      </c>
      <c r="CF285" s="17">
        <f t="shared" si="240"/>
        <v>0</v>
      </c>
      <c r="CG285" s="17">
        <f t="shared" si="241"/>
        <v>0</v>
      </c>
      <c r="CH285" s="17">
        <f t="shared" si="242"/>
        <v>0</v>
      </c>
      <c r="CI285" s="17">
        <f t="shared" si="243"/>
        <v>0</v>
      </c>
      <c r="CJ285" s="17">
        <f t="shared" si="244"/>
        <v>0</v>
      </c>
      <c r="CK285" s="17">
        <f t="shared" si="245"/>
        <v>0</v>
      </c>
      <c r="CL285" s="17">
        <f t="shared" si="246"/>
        <v>0</v>
      </c>
      <c r="CM285" s="14">
        <f t="shared" si="247"/>
        <v>6576</v>
      </c>
      <c r="CN285" s="17">
        <f t="shared" si="248"/>
        <v>12.925583840425643</v>
      </c>
      <c r="CO285" s="14">
        <f t="shared" si="249"/>
        <v>8187</v>
      </c>
      <c r="CP285" s="17">
        <f t="shared" si="250"/>
        <v>16.092116013011669</v>
      </c>
      <c r="CQ285" s="14">
        <f t="shared" si="224"/>
        <v>21431</v>
      </c>
      <c r="CR285" s="14">
        <v>0</v>
      </c>
      <c r="CS285" s="14">
        <v>0</v>
      </c>
      <c r="CT285" s="14">
        <v>0</v>
      </c>
      <c r="CU285" s="14">
        <v>0</v>
      </c>
    </row>
    <row r="286" spans="1:99" x14ac:dyDescent="0.3">
      <c r="A286" s="14">
        <v>2021</v>
      </c>
      <c r="B286" s="14" t="s">
        <v>51</v>
      </c>
      <c r="C286" s="14" t="s">
        <v>52</v>
      </c>
      <c r="D286" s="15">
        <v>159834.6</v>
      </c>
      <c r="E286" s="15">
        <v>5193415.5000000019</v>
      </c>
      <c r="F286" s="15">
        <f t="shared" si="225"/>
        <v>32.49243593064331</v>
      </c>
      <c r="G286" s="14">
        <v>6</v>
      </c>
      <c r="H286" s="14">
        <v>124</v>
      </c>
      <c r="AB286" s="14">
        <f t="shared" si="226"/>
        <v>0</v>
      </c>
      <c r="AJ286" s="14">
        <v>472</v>
      </c>
      <c r="AM286" s="14">
        <f t="shared" si="227"/>
        <v>0</v>
      </c>
      <c r="AQ286" s="14">
        <f t="shared" si="228"/>
        <v>0</v>
      </c>
      <c r="AT286" s="14">
        <f t="shared" si="229"/>
        <v>0</v>
      </c>
      <c r="AU286" s="16">
        <v>1861</v>
      </c>
      <c r="AV286" s="16">
        <v>3522</v>
      </c>
      <c r="AW286" s="16">
        <v>1590</v>
      </c>
      <c r="AX286" s="16">
        <v>0</v>
      </c>
      <c r="AY286" s="18">
        <f t="shared" si="230"/>
        <v>3.5833836133465526</v>
      </c>
      <c r="AZ286" s="17">
        <f t="shared" si="231"/>
        <v>6.7816642053769796</v>
      </c>
      <c r="BA286" s="17">
        <f t="shared" si="232"/>
        <v>3.0615690194632017</v>
      </c>
      <c r="BB286" s="17">
        <f t="shared" si="233"/>
        <v>0</v>
      </c>
      <c r="BC286" s="17">
        <f t="shared" si="201"/>
        <v>1.155309063948378E-2</v>
      </c>
      <c r="BD286" s="17">
        <f t="shared" si="202"/>
        <v>0.23876387321599812</v>
      </c>
      <c r="BE286" s="17">
        <f t="shared" si="203"/>
        <v>0</v>
      </c>
      <c r="BF286" s="17">
        <f t="shared" si="204"/>
        <v>0</v>
      </c>
      <c r="BG286" s="17">
        <f t="shared" si="205"/>
        <v>0</v>
      </c>
      <c r="BH286" s="17">
        <f t="shared" si="206"/>
        <v>0</v>
      </c>
      <c r="BI286" s="17">
        <f t="shared" si="207"/>
        <v>0</v>
      </c>
      <c r="BJ286" s="17">
        <f t="shared" si="208"/>
        <v>0</v>
      </c>
      <c r="BK286" s="17">
        <f t="shared" si="209"/>
        <v>0</v>
      </c>
      <c r="BL286" s="17">
        <f t="shared" si="210"/>
        <v>0</v>
      </c>
      <c r="BM286" s="17">
        <f t="shared" si="211"/>
        <v>0</v>
      </c>
      <c r="BN286" s="17">
        <f t="shared" si="212"/>
        <v>0</v>
      </c>
      <c r="BO286" s="17">
        <f t="shared" si="213"/>
        <v>0</v>
      </c>
      <c r="BP286" s="17">
        <f t="shared" si="214"/>
        <v>0</v>
      </c>
      <c r="BQ286" s="17">
        <f t="shared" si="215"/>
        <v>0</v>
      </c>
      <c r="BR286" s="17">
        <f t="shared" si="216"/>
        <v>0</v>
      </c>
      <c r="BS286" s="17">
        <f t="shared" si="217"/>
        <v>0</v>
      </c>
      <c r="BT286" s="17">
        <f t="shared" si="218"/>
        <v>0</v>
      </c>
      <c r="BU286" s="17">
        <f t="shared" si="219"/>
        <v>0</v>
      </c>
      <c r="BV286" s="17">
        <f t="shared" si="220"/>
        <v>0</v>
      </c>
      <c r="BW286" s="17">
        <f t="shared" si="221"/>
        <v>0</v>
      </c>
      <c r="BX286" s="17">
        <f t="shared" si="222"/>
        <v>0</v>
      </c>
      <c r="BY286" s="17">
        <f t="shared" si="223"/>
        <v>0</v>
      </c>
      <c r="BZ286" s="17">
        <f t="shared" si="234"/>
        <v>0</v>
      </c>
      <c r="CA286" s="17">
        <f t="shared" si="235"/>
        <v>0</v>
      </c>
      <c r="CB286" s="17">
        <f t="shared" si="236"/>
        <v>0</v>
      </c>
      <c r="CC286" s="17">
        <f t="shared" si="237"/>
        <v>0</v>
      </c>
      <c r="CD286" s="17">
        <f t="shared" si="238"/>
        <v>0</v>
      </c>
      <c r="CE286" s="17">
        <f t="shared" si="239"/>
        <v>0.90884313030605746</v>
      </c>
      <c r="CF286" s="17">
        <f t="shared" si="240"/>
        <v>0</v>
      </c>
      <c r="CG286" s="17">
        <f t="shared" si="241"/>
        <v>0</v>
      </c>
      <c r="CH286" s="17">
        <f t="shared" si="242"/>
        <v>0</v>
      </c>
      <c r="CI286" s="17">
        <f t="shared" si="243"/>
        <v>0</v>
      </c>
      <c r="CJ286" s="17">
        <f t="shared" si="244"/>
        <v>0</v>
      </c>
      <c r="CK286" s="17">
        <f t="shared" si="245"/>
        <v>0</v>
      </c>
      <c r="CL286" s="17">
        <f t="shared" si="246"/>
        <v>0</v>
      </c>
      <c r="CM286" s="14">
        <f t="shared" si="247"/>
        <v>5112</v>
      </c>
      <c r="CN286" s="17">
        <f t="shared" si="248"/>
        <v>9.8432332248401817</v>
      </c>
      <c r="CO286" s="14">
        <f t="shared" si="249"/>
        <v>6973</v>
      </c>
      <c r="CP286" s="17">
        <f t="shared" si="250"/>
        <v>13.426616838186733</v>
      </c>
      <c r="CQ286" s="14">
        <f t="shared" si="224"/>
        <v>7575</v>
      </c>
      <c r="CR286" s="14">
        <v>0</v>
      </c>
      <c r="CS286" s="14">
        <v>0</v>
      </c>
      <c r="CT286" s="14">
        <v>0</v>
      </c>
      <c r="CU286" s="14">
        <v>0</v>
      </c>
    </row>
    <row r="287" spans="1:99" x14ac:dyDescent="0.3">
      <c r="A287" s="14">
        <v>2022</v>
      </c>
      <c r="B287" s="14" t="s">
        <v>51</v>
      </c>
      <c r="C287" s="14" t="s">
        <v>52</v>
      </c>
      <c r="D287" s="15">
        <v>161499.29999999999</v>
      </c>
      <c r="E287" s="15">
        <v>5302681.0000000028</v>
      </c>
      <c r="F287" s="15">
        <f t="shared" si="225"/>
        <v>32.834080395394921</v>
      </c>
      <c r="G287" s="14">
        <v>6</v>
      </c>
      <c r="H287" s="14">
        <v>170</v>
      </c>
      <c r="AB287" s="14">
        <f t="shared" si="226"/>
        <v>0</v>
      </c>
      <c r="AJ287" s="14">
        <v>447</v>
      </c>
      <c r="AM287" s="14">
        <f t="shared" si="227"/>
        <v>0</v>
      </c>
      <c r="AQ287" s="14">
        <f t="shared" si="228"/>
        <v>0</v>
      </c>
      <c r="AT287" s="14">
        <f t="shared" si="229"/>
        <v>0</v>
      </c>
      <c r="AU287" s="16">
        <v>2025</v>
      </c>
      <c r="AV287" s="16">
        <v>6880</v>
      </c>
      <c r="AW287" s="16">
        <v>1538</v>
      </c>
      <c r="AX287" s="16">
        <v>0</v>
      </c>
      <c r="AY287" s="18">
        <f t="shared" si="230"/>
        <v>3.8188229689849322</v>
      </c>
      <c r="AZ287" s="17">
        <f t="shared" si="231"/>
        <v>12.974568902032757</v>
      </c>
      <c r="BA287" s="17">
        <f t="shared" si="232"/>
        <v>2.9004196179253459</v>
      </c>
      <c r="BB287" s="17">
        <f t="shared" si="233"/>
        <v>0</v>
      </c>
      <c r="BC287" s="17">
        <f t="shared" si="201"/>
        <v>1.1315031019214614E-2</v>
      </c>
      <c r="BD287" s="17">
        <f t="shared" si="202"/>
        <v>0.32059254554441408</v>
      </c>
      <c r="BE287" s="17">
        <f t="shared" si="203"/>
        <v>0</v>
      </c>
      <c r="BF287" s="17">
        <f t="shared" si="204"/>
        <v>0</v>
      </c>
      <c r="BG287" s="17">
        <f t="shared" si="205"/>
        <v>0</v>
      </c>
      <c r="BH287" s="17">
        <f t="shared" si="206"/>
        <v>0</v>
      </c>
      <c r="BI287" s="17">
        <f t="shared" si="207"/>
        <v>0</v>
      </c>
      <c r="BJ287" s="17">
        <f t="shared" si="208"/>
        <v>0</v>
      </c>
      <c r="BK287" s="17">
        <f t="shared" si="209"/>
        <v>0</v>
      </c>
      <c r="BL287" s="17">
        <f t="shared" si="210"/>
        <v>0</v>
      </c>
      <c r="BM287" s="17">
        <f t="shared" si="211"/>
        <v>0</v>
      </c>
      <c r="BN287" s="17">
        <f t="shared" si="212"/>
        <v>0</v>
      </c>
      <c r="BO287" s="17">
        <f t="shared" si="213"/>
        <v>0</v>
      </c>
      <c r="BP287" s="17">
        <f t="shared" si="214"/>
        <v>0</v>
      </c>
      <c r="BQ287" s="17">
        <f t="shared" si="215"/>
        <v>0</v>
      </c>
      <c r="BR287" s="17">
        <f t="shared" si="216"/>
        <v>0</v>
      </c>
      <c r="BS287" s="17">
        <f t="shared" si="217"/>
        <v>0</v>
      </c>
      <c r="BT287" s="17">
        <f t="shared" si="218"/>
        <v>0</v>
      </c>
      <c r="BU287" s="17">
        <f t="shared" si="219"/>
        <v>0</v>
      </c>
      <c r="BV287" s="17">
        <f t="shared" si="220"/>
        <v>0</v>
      </c>
      <c r="BW287" s="17">
        <f t="shared" si="221"/>
        <v>0</v>
      </c>
      <c r="BX287" s="17">
        <f t="shared" si="222"/>
        <v>0</v>
      </c>
      <c r="BY287" s="17">
        <f t="shared" si="223"/>
        <v>0</v>
      </c>
      <c r="BZ287" s="17">
        <f t="shared" si="234"/>
        <v>0</v>
      </c>
      <c r="CA287" s="17">
        <f t="shared" si="235"/>
        <v>0</v>
      </c>
      <c r="CB287" s="17">
        <f t="shared" si="236"/>
        <v>0</v>
      </c>
      <c r="CC287" s="17">
        <f t="shared" si="237"/>
        <v>0</v>
      </c>
      <c r="CD287" s="17">
        <f t="shared" si="238"/>
        <v>0</v>
      </c>
      <c r="CE287" s="17">
        <f t="shared" si="239"/>
        <v>0.84296981093148871</v>
      </c>
      <c r="CF287" s="17">
        <f t="shared" si="240"/>
        <v>0</v>
      </c>
      <c r="CG287" s="17">
        <f t="shared" si="241"/>
        <v>0</v>
      </c>
      <c r="CH287" s="17">
        <f t="shared" si="242"/>
        <v>0</v>
      </c>
      <c r="CI287" s="17">
        <f t="shared" si="243"/>
        <v>0</v>
      </c>
      <c r="CJ287" s="17">
        <f t="shared" si="244"/>
        <v>0</v>
      </c>
      <c r="CK287" s="17">
        <f t="shared" si="245"/>
        <v>0</v>
      </c>
      <c r="CL287" s="17">
        <f t="shared" si="246"/>
        <v>0</v>
      </c>
      <c r="CM287" s="14">
        <f t="shared" si="247"/>
        <v>8418</v>
      </c>
      <c r="CN287" s="17">
        <f t="shared" si="248"/>
        <v>15.874988519958103</v>
      </c>
      <c r="CO287" s="14">
        <f t="shared" si="249"/>
        <v>10443</v>
      </c>
      <c r="CP287" s="17">
        <f t="shared" si="250"/>
        <v>19.693811488943037</v>
      </c>
      <c r="CQ287" s="14">
        <f t="shared" si="224"/>
        <v>11066</v>
      </c>
      <c r="CR287" s="14">
        <v>147</v>
      </c>
      <c r="CS287" s="14">
        <v>404</v>
      </c>
      <c r="CT287" s="14">
        <v>0</v>
      </c>
      <c r="CU287" s="14">
        <v>0</v>
      </c>
    </row>
    <row r="288" spans="1:99" x14ac:dyDescent="0.3">
      <c r="A288" s="14">
        <v>2012</v>
      </c>
      <c r="B288" s="14" t="s">
        <v>53</v>
      </c>
      <c r="C288" s="14" t="s">
        <v>54</v>
      </c>
      <c r="D288" s="15">
        <v>778427</v>
      </c>
      <c r="E288" s="15">
        <v>22966240</v>
      </c>
      <c r="F288" s="15">
        <f t="shared" si="225"/>
        <v>29.503395951065418</v>
      </c>
      <c r="G288" s="14">
        <v>181</v>
      </c>
      <c r="H288" s="14">
        <v>6</v>
      </c>
      <c r="S288" s="14">
        <v>755</v>
      </c>
      <c r="AB288" s="14">
        <f t="shared" si="226"/>
        <v>0</v>
      </c>
      <c r="AM288" s="14">
        <f t="shared" si="227"/>
        <v>0</v>
      </c>
      <c r="AQ288" s="14">
        <f t="shared" si="228"/>
        <v>0</v>
      </c>
      <c r="AT288" s="14">
        <f t="shared" si="229"/>
        <v>0</v>
      </c>
      <c r="AU288" s="16">
        <v>6376</v>
      </c>
      <c r="AV288" s="16">
        <v>6766</v>
      </c>
      <c r="AW288" s="16">
        <v>2950</v>
      </c>
      <c r="AX288" s="16">
        <v>0</v>
      </c>
      <c r="AY288" s="18">
        <f t="shared" si="230"/>
        <v>2.7762489636962777</v>
      </c>
      <c r="AZ288" s="17">
        <f t="shared" si="231"/>
        <v>2.9460634392046763</v>
      </c>
      <c r="BA288" s="17">
        <f t="shared" si="232"/>
        <v>1.2844941096148086</v>
      </c>
      <c r="BB288" s="17">
        <f t="shared" si="233"/>
        <v>0</v>
      </c>
      <c r="BC288" s="17">
        <f t="shared" si="201"/>
        <v>7.881133350517977E-2</v>
      </c>
      <c r="BD288" s="17">
        <f t="shared" si="202"/>
        <v>2.6125303924368986E-3</v>
      </c>
      <c r="BE288" s="17">
        <f t="shared" si="203"/>
        <v>0</v>
      </c>
      <c r="BF288" s="17">
        <f t="shared" si="204"/>
        <v>0</v>
      </c>
      <c r="BG288" s="17">
        <f t="shared" si="205"/>
        <v>0</v>
      </c>
      <c r="BH288" s="17">
        <f t="shared" si="206"/>
        <v>0</v>
      </c>
      <c r="BI288" s="17">
        <f t="shared" si="207"/>
        <v>0</v>
      </c>
      <c r="BJ288" s="17">
        <f t="shared" si="208"/>
        <v>0</v>
      </c>
      <c r="BK288" s="17">
        <f t="shared" si="209"/>
        <v>0</v>
      </c>
      <c r="BL288" s="17">
        <f t="shared" si="210"/>
        <v>0</v>
      </c>
      <c r="BM288" s="17">
        <f t="shared" si="211"/>
        <v>0</v>
      </c>
      <c r="BN288" s="17">
        <f t="shared" si="212"/>
        <v>0</v>
      </c>
      <c r="BO288" s="17">
        <f t="shared" si="213"/>
        <v>0.3287434077149764</v>
      </c>
      <c r="BP288" s="17">
        <f t="shared" si="214"/>
        <v>0</v>
      </c>
      <c r="BQ288" s="17">
        <f t="shared" si="215"/>
        <v>0</v>
      </c>
      <c r="BR288" s="17">
        <f t="shared" si="216"/>
        <v>0</v>
      </c>
      <c r="BS288" s="17">
        <f t="shared" si="217"/>
        <v>0</v>
      </c>
      <c r="BT288" s="17">
        <f t="shared" si="218"/>
        <v>0</v>
      </c>
      <c r="BU288" s="17">
        <f t="shared" si="219"/>
        <v>0</v>
      </c>
      <c r="BV288" s="17">
        <f t="shared" si="220"/>
        <v>0</v>
      </c>
      <c r="BW288" s="17">
        <f t="shared" si="221"/>
        <v>0</v>
      </c>
      <c r="BX288" s="17">
        <f t="shared" si="222"/>
        <v>0</v>
      </c>
      <c r="BY288" s="17">
        <f t="shared" si="223"/>
        <v>0</v>
      </c>
      <c r="BZ288" s="17">
        <f t="shared" si="234"/>
        <v>0</v>
      </c>
      <c r="CA288" s="17">
        <f t="shared" si="235"/>
        <v>0</v>
      </c>
      <c r="CB288" s="17">
        <f t="shared" si="236"/>
        <v>0</v>
      </c>
      <c r="CC288" s="17">
        <f t="shared" si="237"/>
        <v>0</v>
      </c>
      <c r="CD288" s="17">
        <f t="shared" si="238"/>
        <v>0</v>
      </c>
      <c r="CE288" s="17">
        <f t="shared" si="239"/>
        <v>0</v>
      </c>
      <c r="CF288" s="17">
        <f t="shared" si="240"/>
        <v>0</v>
      </c>
      <c r="CG288" s="17">
        <f t="shared" si="241"/>
        <v>0</v>
      </c>
      <c r="CH288" s="17">
        <f t="shared" si="242"/>
        <v>0</v>
      </c>
      <c r="CI288" s="17">
        <f t="shared" si="243"/>
        <v>0</v>
      </c>
      <c r="CJ288" s="17">
        <f t="shared" si="244"/>
        <v>0</v>
      </c>
      <c r="CK288" s="17">
        <f t="shared" si="245"/>
        <v>0</v>
      </c>
      <c r="CL288" s="17">
        <f t="shared" si="246"/>
        <v>0</v>
      </c>
      <c r="CM288" s="14">
        <f t="shared" si="247"/>
        <v>9716</v>
      </c>
      <c r="CN288" s="17">
        <f t="shared" si="248"/>
        <v>4.2305575488194842</v>
      </c>
      <c r="CO288" s="14">
        <f t="shared" si="249"/>
        <v>16092</v>
      </c>
      <c r="CP288" s="17">
        <f t="shared" si="250"/>
        <v>7.0068065125157624</v>
      </c>
      <c r="CQ288" s="14">
        <f t="shared" si="224"/>
        <v>17034</v>
      </c>
      <c r="CR288" s="14">
        <v>0</v>
      </c>
      <c r="CS288" s="14">
        <v>0</v>
      </c>
      <c r="CT288" s="14">
        <v>0</v>
      </c>
      <c r="CU288" s="14">
        <v>0</v>
      </c>
    </row>
    <row r="289" spans="1:99" x14ac:dyDescent="0.3">
      <c r="A289" s="14">
        <v>2013</v>
      </c>
      <c r="B289" s="14" t="s">
        <v>53</v>
      </c>
      <c r="C289" s="14" t="s">
        <v>54</v>
      </c>
      <c r="D289" s="15">
        <v>785163.7</v>
      </c>
      <c r="E289" s="15">
        <v>23588073.5</v>
      </c>
      <c r="F289" s="15">
        <f t="shared" si="225"/>
        <v>30.04223641515776</v>
      </c>
      <c r="G289" s="14">
        <v>111</v>
      </c>
      <c r="H289" s="14">
        <v>17</v>
      </c>
      <c r="AB289" s="14">
        <f t="shared" si="226"/>
        <v>0</v>
      </c>
      <c r="AM289" s="14">
        <f t="shared" si="227"/>
        <v>0</v>
      </c>
      <c r="AQ289" s="14">
        <f t="shared" si="228"/>
        <v>0</v>
      </c>
      <c r="AT289" s="14">
        <f t="shared" si="229"/>
        <v>0</v>
      </c>
      <c r="AU289" s="16">
        <v>7046</v>
      </c>
      <c r="AV289" s="16">
        <v>6876</v>
      </c>
      <c r="AW289" s="16">
        <v>6800</v>
      </c>
      <c r="AX289" s="16">
        <v>0</v>
      </c>
      <c r="AY289" s="18">
        <f t="shared" si="230"/>
        <v>2.9871027831077428</v>
      </c>
      <c r="AZ289" s="17">
        <f t="shared" si="231"/>
        <v>2.9150324633336417</v>
      </c>
      <c r="BA289" s="17">
        <f t="shared" si="232"/>
        <v>2.882812790964044</v>
      </c>
      <c r="BB289" s="17">
        <f t="shared" si="233"/>
        <v>0</v>
      </c>
      <c r="BC289" s="17">
        <f t="shared" si="201"/>
        <v>4.7057679381913069E-2</v>
      </c>
      <c r="BD289" s="17">
        <f t="shared" si="202"/>
        <v>7.2070319774101095E-3</v>
      </c>
      <c r="BE289" s="17">
        <f t="shared" si="203"/>
        <v>0</v>
      </c>
      <c r="BF289" s="17">
        <f t="shared" si="204"/>
        <v>0</v>
      </c>
      <c r="BG289" s="17">
        <f t="shared" si="205"/>
        <v>0</v>
      </c>
      <c r="BH289" s="17">
        <f t="shared" si="206"/>
        <v>0</v>
      </c>
      <c r="BI289" s="17">
        <f t="shared" si="207"/>
        <v>0</v>
      </c>
      <c r="BJ289" s="17">
        <f t="shared" si="208"/>
        <v>0</v>
      </c>
      <c r="BK289" s="17">
        <f t="shared" si="209"/>
        <v>0</v>
      </c>
      <c r="BL289" s="17">
        <f t="shared" si="210"/>
        <v>0</v>
      </c>
      <c r="BM289" s="17">
        <f t="shared" si="211"/>
        <v>0</v>
      </c>
      <c r="BN289" s="17">
        <f t="shared" si="212"/>
        <v>0</v>
      </c>
      <c r="BO289" s="17">
        <f t="shared" si="213"/>
        <v>0</v>
      </c>
      <c r="BP289" s="17">
        <f t="shared" si="214"/>
        <v>0</v>
      </c>
      <c r="BQ289" s="17">
        <f t="shared" si="215"/>
        <v>0</v>
      </c>
      <c r="BR289" s="17">
        <f t="shared" si="216"/>
        <v>0</v>
      </c>
      <c r="BS289" s="17">
        <f t="shared" si="217"/>
        <v>0</v>
      </c>
      <c r="BT289" s="17">
        <f t="shared" si="218"/>
        <v>0</v>
      </c>
      <c r="BU289" s="17">
        <f t="shared" si="219"/>
        <v>0</v>
      </c>
      <c r="BV289" s="17">
        <f t="shared" si="220"/>
        <v>0</v>
      </c>
      <c r="BW289" s="17">
        <f t="shared" si="221"/>
        <v>0</v>
      </c>
      <c r="BX289" s="17">
        <f t="shared" si="222"/>
        <v>0</v>
      </c>
      <c r="BY289" s="17">
        <f t="shared" si="223"/>
        <v>0</v>
      </c>
      <c r="BZ289" s="17">
        <f t="shared" si="234"/>
        <v>0</v>
      </c>
      <c r="CA289" s="17">
        <f t="shared" si="235"/>
        <v>0</v>
      </c>
      <c r="CB289" s="17">
        <f t="shared" si="236"/>
        <v>0</v>
      </c>
      <c r="CC289" s="17">
        <f t="shared" si="237"/>
        <v>0</v>
      </c>
      <c r="CD289" s="17">
        <f t="shared" si="238"/>
        <v>0</v>
      </c>
      <c r="CE289" s="17">
        <f t="shared" si="239"/>
        <v>0</v>
      </c>
      <c r="CF289" s="17">
        <f t="shared" si="240"/>
        <v>0</v>
      </c>
      <c r="CG289" s="17">
        <f t="shared" si="241"/>
        <v>0</v>
      </c>
      <c r="CH289" s="17">
        <f t="shared" si="242"/>
        <v>0</v>
      </c>
      <c r="CI289" s="17">
        <f t="shared" si="243"/>
        <v>0</v>
      </c>
      <c r="CJ289" s="17">
        <f t="shared" si="244"/>
        <v>0</v>
      </c>
      <c r="CK289" s="17">
        <f t="shared" si="245"/>
        <v>0</v>
      </c>
      <c r="CL289" s="17">
        <f t="shared" si="246"/>
        <v>0</v>
      </c>
      <c r="CM289" s="14">
        <f t="shared" si="247"/>
        <v>13676</v>
      </c>
      <c r="CN289" s="17">
        <f t="shared" si="248"/>
        <v>5.7978452542976857</v>
      </c>
      <c r="CO289" s="14">
        <f t="shared" si="249"/>
        <v>20722</v>
      </c>
      <c r="CP289" s="17">
        <f t="shared" si="250"/>
        <v>8.7849480374054281</v>
      </c>
      <c r="CQ289" s="14">
        <f t="shared" si="224"/>
        <v>20850</v>
      </c>
      <c r="CR289" s="14">
        <v>4081</v>
      </c>
      <c r="CS289" s="14">
        <v>0</v>
      </c>
      <c r="CT289" s="14">
        <v>0</v>
      </c>
      <c r="CU289" s="14">
        <v>0</v>
      </c>
    </row>
    <row r="290" spans="1:99" x14ac:dyDescent="0.3">
      <c r="A290" s="14">
        <v>2014</v>
      </c>
      <c r="B290" s="14" t="s">
        <v>53</v>
      </c>
      <c r="C290" s="14" t="s">
        <v>54</v>
      </c>
      <c r="D290" s="15">
        <v>793162.3</v>
      </c>
      <c r="E290" s="15">
        <v>24215975.500000019</v>
      </c>
      <c r="F290" s="15">
        <f t="shared" si="225"/>
        <v>30.530920972920697</v>
      </c>
      <c r="I290" s="14">
        <v>2510</v>
      </c>
      <c r="AB290" s="14">
        <f t="shared" si="226"/>
        <v>0</v>
      </c>
      <c r="AM290" s="14">
        <f t="shared" si="227"/>
        <v>0</v>
      </c>
      <c r="AQ290" s="14">
        <f t="shared" si="228"/>
        <v>0</v>
      </c>
      <c r="AT290" s="14">
        <f t="shared" si="229"/>
        <v>0</v>
      </c>
      <c r="AU290" s="16">
        <v>8550</v>
      </c>
      <c r="AV290" s="16">
        <v>0</v>
      </c>
      <c r="AW290" s="16">
        <v>0</v>
      </c>
      <c r="AX290" s="16">
        <v>0</v>
      </c>
      <c r="AY290" s="18">
        <f t="shared" si="230"/>
        <v>3.5307270607372367</v>
      </c>
      <c r="AZ290" s="17">
        <f t="shared" si="231"/>
        <v>0</v>
      </c>
      <c r="BA290" s="17">
        <f t="shared" si="232"/>
        <v>0</v>
      </c>
      <c r="BB290" s="17">
        <f t="shared" si="233"/>
        <v>0</v>
      </c>
      <c r="BC290" s="17">
        <f t="shared" si="201"/>
        <v>0</v>
      </c>
      <c r="BD290" s="17">
        <f t="shared" si="202"/>
        <v>0</v>
      </c>
      <c r="BE290" s="17">
        <f t="shared" si="203"/>
        <v>1.0365058388830952</v>
      </c>
      <c r="BF290" s="17">
        <f t="shared" si="204"/>
        <v>0</v>
      </c>
      <c r="BG290" s="17">
        <f t="shared" si="205"/>
        <v>0</v>
      </c>
      <c r="BH290" s="17">
        <f t="shared" si="206"/>
        <v>0</v>
      </c>
      <c r="BI290" s="17">
        <f t="shared" si="207"/>
        <v>0</v>
      </c>
      <c r="BJ290" s="17">
        <f t="shared" si="208"/>
        <v>0</v>
      </c>
      <c r="BK290" s="17">
        <f t="shared" si="209"/>
        <v>0</v>
      </c>
      <c r="BL290" s="17">
        <f t="shared" si="210"/>
        <v>0</v>
      </c>
      <c r="BM290" s="17">
        <f t="shared" si="211"/>
        <v>0</v>
      </c>
      <c r="BN290" s="17">
        <f t="shared" si="212"/>
        <v>0</v>
      </c>
      <c r="BO290" s="17">
        <f t="shared" si="213"/>
        <v>0</v>
      </c>
      <c r="BP290" s="17">
        <f t="shared" si="214"/>
        <v>0</v>
      </c>
      <c r="BQ290" s="17">
        <f t="shared" si="215"/>
        <v>0</v>
      </c>
      <c r="BR290" s="17">
        <f t="shared" si="216"/>
        <v>0</v>
      </c>
      <c r="BS290" s="17">
        <f t="shared" si="217"/>
        <v>0</v>
      </c>
      <c r="BT290" s="17">
        <f t="shared" si="218"/>
        <v>0</v>
      </c>
      <c r="BU290" s="17">
        <f t="shared" si="219"/>
        <v>0</v>
      </c>
      <c r="BV290" s="17">
        <f t="shared" si="220"/>
        <v>0</v>
      </c>
      <c r="BW290" s="17">
        <f t="shared" si="221"/>
        <v>0</v>
      </c>
      <c r="BX290" s="17">
        <f t="shared" si="222"/>
        <v>0</v>
      </c>
      <c r="BY290" s="17">
        <f t="shared" si="223"/>
        <v>0</v>
      </c>
      <c r="BZ290" s="17">
        <f t="shared" si="234"/>
        <v>0</v>
      </c>
      <c r="CA290" s="17">
        <f t="shared" si="235"/>
        <v>0</v>
      </c>
      <c r="CB290" s="17">
        <f t="shared" si="236"/>
        <v>0</v>
      </c>
      <c r="CC290" s="17">
        <f t="shared" si="237"/>
        <v>0</v>
      </c>
      <c r="CD290" s="17">
        <f t="shared" si="238"/>
        <v>0</v>
      </c>
      <c r="CE290" s="17">
        <f t="shared" si="239"/>
        <v>0</v>
      </c>
      <c r="CF290" s="17">
        <f t="shared" si="240"/>
        <v>0</v>
      </c>
      <c r="CG290" s="17">
        <f t="shared" si="241"/>
        <v>0</v>
      </c>
      <c r="CH290" s="17">
        <f t="shared" si="242"/>
        <v>0</v>
      </c>
      <c r="CI290" s="17">
        <f t="shared" si="243"/>
        <v>0</v>
      </c>
      <c r="CJ290" s="17">
        <f t="shared" si="244"/>
        <v>0</v>
      </c>
      <c r="CK290" s="17">
        <f t="shared" si="245"/>
        <v>0</v>
      </c>
      <c r="CL290" s="17">
        <f t="shared" si="246"/>
        <v>0</v>
      </c>
      <c r="CM290" s="14">
        <f t="shared" si="247"/>
        <v>0</v>
      </c>
      <c r="CN290" s="17">
        <f t="shared" si="248"/>
        <v>0</v>
      </c>
      <c r="CO290" s="14">
        <f t="shared" si="249"/>
        <v>8550</v>
      </c>
      <c r="CP290" s="17">
        <f t="shared" si="250"/>
        <v>3.5307270607372367</v>
      </c>
      <c r="CQ290" s="14">
        <f t="shared" si="224"/>
        <v>11060</v>
      </c>
      <c r="CR290" s="14">
        <v>0</v>
      </c>
      <c r="CS290" s="14">
        <v>118</v>
      </c>
      <c r="CT290" s="14">
        <v>0</v>
      </c>
      <c r="CU290" s="14">
        <v>174</v>
      </c>
    </row>
    <row r="291" spans="1:99" x14ac:dyDescent="0.3">
      <c r="A291" s="14">
        <v>2015</v>
      </c>
      <c r="B291" s="14" t="s">
        <v>53</v>
      </c>
      <c r="C291" s="14" t="s">
        <v>54</v>
      </c>
      <c r="D291" s="15">
        <v>803737.2</v>
      </c>
      <c r="E291" s="15">
        <v>24850912.500000015</v>
      </c>
      <c r="F291" s="15">
        <f t="shared" si="225"/>
        <v>30.919201574843139</v>
      </c>
      <c r="AB291" s="14">
        <f t="shared" si="226"/>
        <v>0</v>
      </c>
      <c r="AM291" s="14">
        <f t="shared" si="227"/>
        <v>0</v>
      </c>
      <c r="AQ291" s="14">
        <f t="shared" si="228"/>
        <v>0</v>
      </c>
      <c r="AT291" s="14">
        <f t="shared" si="229"/>
        <v>0</v>
      </c>
      <c r="AU291" s="16">
        <v>0</v>
      </c>
      <c r="AV291" s="16">
        <v>0</v>
      </c>
      <c r="AW291" s="16">
        <v>0</v>
      </c>
      <c r="AX291" s="16">
        <v>0</v>
      </c>
      <c r="AY291" s="18">
        <f t="shared" si="230"/>
        <v>0</v>
      </c>
      <c r="AZ291" s="17">
        <f t="shared" si="231"/>
        <v>0</v>
      </c>
      <c r="BA291" s="17">
        <f t="shared" si="232"/>
        <v>0</v>
      </c>
      <c r="BB291" s="17">
        <f t="shared" si="233"/>
        <v>0</v>
      </c>
      <c r="BC291" s="17">
        <f t="shared" si="201"/>
        <v>0</v>
      </c>
      <c r="BD291" s="17">
        <f t="shared" si="202"/>
        <v>0</v>
      </c>
      <c r="BE291" s="17">
        <f t="shared" si="203"/>
        <v>0</v>
      </c>
      <c r="BF291" s="17">
        <f t="shared" si="204"/>
        <v>0</v>
      </c>
      <c r="BG291" s="17">
        <f t="shared" si="205"/>
        <v>0</v>
      </c>
      <c r="BH291" s="17">
        <f t="shared" si="206"/>
        <v>0</v>
      </c>
      <c r="BI291" s="17">
        <f t="shared" si="207"/>
        <v>0</v>
      </c>
      <c r="BJ291" s="17">
        <f t="shared" si="208"/>
        <v>0</v>
      </c>
      <c r="BK291" s="17">
        <f t="shared" si="209"/>
        <v>0</v>
      </c>
      <c r="BL291" s="17">
        <f t="shared" si="210"/>
        <v>0</v>
      </c>
      <c r="BM291" s="17">
        <f t="shared" si="211"/>
        <v>0</v>
      </c>
      <c r="BN291" s="17">
        <f t="shared" si="212"/>
        <v>0</v>
      </c>
      <c r="BO291" s="17">
        <f t="shared" si="213"/>
        <v>0</v>
      </c>
      <c r="BP291" s="17">
        <f t="shared" si="214"/>
        <v>0</v>
      </c>
      <c r="BQ291" s="17">
        <f t="shared" si="215"/>
        <v>0</v>
      </c>
      <c r="BR291" s="17">
        <f t="shared" si="216"/>
        <v>0</v>
      </c>
      <c r="BS291" s="17">
        <f t="shared" si="217"/>
        <v>0</v>
      </c>
      <c r="BT291" s="17">
        <f t="shared" si="218"/>
        <v>0</v>
      </c>
      <c r="BU291" s="17">
        <f t="shared" si="219"/>
        <v>0</v>
      </c>
      <c r="BV291" s="17">
        <f t="shared" si="220"/>
        <v>0</v>
      </c>
      <c r="BW291" s="17">
        <f t="shared" si="221"/>
        <v>0</v>
      </c>
      <c r="BX291" s="17">
        <f t="shared" si="222"/>
        <v>0</v>
      </c>
      <c r="BY291" s="17">
        <f t="shared" si="223"/>
        <v>0</v>
      </c>
      <c r="BZ291" s="17">
        <f t="shared" si="234"/>
        <v>0</v>
      </c>
      <c r="CA291" s="17">
        <f t="shared" si="235"/>
        <v>0</v>
      </c>
      <c r="CB291" s="17">
        <f t="shared" si="236"/>
        <v>0</v>
      </c>
      <c r="CC291" s="17">
        <f t="shared" si="237"/>
        <v>0</v>
      </c>
      <c r="CD291" s="17">
        <f t="shared" si="238"/>
        <v>0</v>
      </c>
      <c r="CE291" s="17">
        <f t="shared" si="239"/>
        <v>0</v>
      </c>
      <c r="CF291" s="17">
        <f t="shared" si="240"/>
        <v>0</v>
      </c>
      <c r="CG291" s="17">
        <f t="shared" si="241"/>
        <v>0</v>
      </c>
      <c r="CH291" s="17">
        <f t="shared" si="242"/>
        <v>0</v>
      </c>
      <c r="CI291" s="17">
        <f t="shared" si="243"/>
        <v>0</v>
      </c>
      <c r="CJ291" s="17">
        <f t="shared" si="244"/>
        <v>0</v>
      </c>
      <c r="CK291" s="17">
        <f t="shared" si="245"/>
        <v>0</v>
      </c>
      <c r="CL291" s="17">
        <f t="shared" si="246"/>
        <v>0</v>
      </c>
      <c r="CM291" s="14">
        <f t="shared" si="247"/>
        <v>0</v>
      </c>
      <c r="CN291" s="17">
        <f t="shared" si="248"/>
        <v>0</v>
      </c>
      <c r="CO291" s="14">
        <f t="shared" si="249"/>
        <v>0</v>
      </c>
      <c r="CP291" s="17">
        <f t="shared" si="250"/>
        <v>0</v>
      </c>
      <c r="CQ291" s="14">
        <f t="shared" si="224"/>
        <v>0</v>
      </c>
      <c r="CR291" s="14">
        <v>0</v>
      </c>
      <c r="CS291" s="14">
        <v>0</v>
      </c>
      <c r="CT291" s="14">
        <v>0</v>
      </c>
      <c r="CU291" s="14">
        <v>0</v>
      </c>
    </row>
    <row r="292" spans="1:99" x14ac:dyDescent="0.3">
      <c r="A292" s="14">
        <v>2016</v>
      </c>
      <c r="B292" s="14" t="s">
        <v>53</v>
      </c>
      <c r="C292" s="14" t="s">
        <v>54</v>
      </c>
      <c r="D292" s="15">
        <v>821643</v>
      </c>
      <c r="E292" s="15">
        <v>25501940.499999996</v>
      </c>
      <c r="F292" s="15">
        <f t="shared" si="225"/>
        <v>31.037738409503881</v>
      </c>
      <c r="H292" s="14">
        <v>4</v>
      </c>
      <c r="AB292" s="14">
        <f t="shared" si="226"/>
        <v>0</v>
      </c>
      <c r="AM292" s="14">
        <f t="shared" si="227"/>
        <v>0</v>
      </c>
      <c r="AQ292" s="14">
        <f t="shared" si="228"/>
        <v>0</v>
      </c>
      <c r="AT292" s="14">
        <f t="shared" si="229"/>
        <v>0</v>
      </c>
      <c r="AU292" s="16">
        <v>35</v>
      </c>
      <c r="AV292" s="16">
        <v>0</v>
      </c>
      <c r="AW292" s="16">
        <v>3166</v>
      </c>
      <c r="AX292" s="16">
        <v>0</v>
      </c>
      <c r="AY292" s="18">
        <f t="shared" si="230"/>
        <v>1.372444579266429E-2</v>
      </c>
      <c r="AZ292" s="17">
        <f t="shared" si="231"/>
        <v>0</v>
      </c>
      <c r="BA292" s="17">
        <f t="shared" si="232"/>
        <v>1.241474153702147</v>
      </c>
      <c r="BB292" s="17">
        <f t="shared" si="233"/>
        <v>0</v>
      </c>
      <c r="BC292" s="17">
        <f t="shared" si="201"/>
        <v>0</v>
      </c>
      <c r="BD292" s="17">
        <f t="shared" si="202"/>
        <v>1.5685080905902045E-3</v>
      </c>
      <c r="BE292" s="17">
        <f t="shared" si="203"/>
        <v>0</v>
      </c>
      <c r="BF292" s="17">
        <f t="shared" si="204"/>
        <v>0</v>
      </c>
      <c r="BG292" s="17">
        <f t="shared" si="205"/>
        <v>0</v>
      </c>
      <c r="BH292" s="17">
        <f t="shared" si="206"/>
        <v>0</v>
      </c>
      <c r="BI292" s="17">
        <f t="shared" si="207"/>
        <v>0</v>
      </c>
      <c r="BJ292" s="17">
        <f t="shared" si="208"/>
        <v>0</v>
      </c>
      <c r="BK292" s="17">
        <f t="shared" si="209"/>
        <v>0</v>
      </c>
      <c r="BL292" s="17">
        <f t="shared" si="210"/>
        <v>0</v>
      </c>
      <c r="BM292" s="17">
        <f t="shared" si="211"/>
        <v>0</v>
      </c>
      <c r="BN292" s="17">
        <f t="shared" si="212"/>
        <v>0</v>
      </c>
      <c r="BO292" s="17">
        <f t="shared" si="213"/>
        <v>0</v>
      </c>
      <c r="BP292" s="17">
        <f t="shared" si="214"/>
        <v>0</v>
      </c>
      <c r="BQ292" s="17">
        <f t="shared" si="215"/>
        <v>0</v>
      </c>
      <c r="BR292" s="17">
        <f t="shared" si="216"/>
        <v>0</v>
      </c>
      <c r="BS292" s="17">
        <f t="shared" si="217"/>
        <v>0</v>
      </c>
      <c r="BT292" s="17">
        <f t="shared" si="218"/>
        <v>0</v>
      </c>
      <c r="BU292" s="17">
        <f t="shared" si="219"/>
        <v>0</v>
      </c>
      <c r="BV292" s="17">
        <f t="shared" si="220"/>
        <v>0</v>
      </c>
      <c r="BW292" s="17">
        <f t="shared" si="221"/>
        <v>0</v>
      </c>
      <c r="BX292" s="17">
        <f t="shared" si="222"/>
        <v>0</v>
      </c>
      <c r="BY292" s="17">
        <f t="shared" si="223"/>
        <v>0</v>
      </c>
      <c r="BZ292" s="17">
        <f t="shared" si="234"/>
        <v>0</v>
      </c>
      <c r="CA292" s="17">
        <f t="shared" si="235"/>
        <v>0</v>
      </c>
      <c r="CB292" s="17">
        <f t="shared" si="236"/>
        <v>0</v>
      </c>
      <c r="CC292" s="17">
        <f t="shared" si="237"/>
        <v>0</v>
      </c>
      <c r="CD292" s="17">
        <f t="shared" si="238"/>
        <v>0</v>
      </c>
      <c r="CE292" s="17">
        <f t="shared" si="239"/>
        <v>0</v>
      </c>
      <c r="CF292" s="17">
        <f t="shared" si="240"/>
        <v>0</v>
      </c>
      <c r="CG292" s="17">
        <f t="shared" si="241"/>
        <v>0</v>
      </c>
      <c r="CH292" s="17">
        <f t="shared" si="242"/>
        <v>0</v>
      </c>
      <c r="CI292" s="17">
        <f t="shared" si="243"/>
        <v>0</v>
      </c>
      <c r="CJ292" s="17">
        <f t="shared" si="244"/>
        <v>0</v>
      </c>
      <c r="CK292" s="17">
        <f t="shared" si="245"/>
        <v>0</v>
      </c>
      <c r="CL292" s="17">
        <f t="shared" si="246"/>
        <v>0</v>
      </c>
      <c r="CM292" s="14">
        <f t="shared" si="247"/>
        <v>3166</v>
      </c>
      <c r="CN292" s="17">
        <f t="shared" si="248"/>
        <v>1.241474153702147</v>
      </c>
      <c r="CO292" s="14">
        <f t="shared" si="249"/>
        <v>3201</v>
      </c>
      <c r="CP292" s="17">
        <f t="shared" si="250"/>
        <v>1.2551985994948112</v>
      </c>
      <c r="CQ292" s="14">
        <f t="shared" si="224"/>
        <v>3205</v>
      </c>
      <c r="CR292" s="14">
        <v>0</v>
      </c>
      <c r="CS292" s="14">
        <v>0</v>
      </c>
      <c r="CT292" s="14">
        <v>0</v>
      </c>
      <c r="CU292" s="14">
        <v>0</v>
      </c>
    </row>
    <row r="293" spans="1:99" x14ac:dyDescent="0.3">
      <c r="A293" s="14">
        <v>2017</v>
      </c>
      <c r="B293" s="14" t="s">
        <v>53</v>
      </c>
      <c r="C293" s="14" t="s">
        <v>54</v>
      </c>
      <c r="D293" s="15">
        <v>840158.7</v>
      </c>
      <c r="E293" s="15">
        <v>26169542.000000015</v>
      </c>
      <c r="F293" s="15">
        <f t="shared" si="225"/>
        <v>31.148331856826594</v>
      </c>
      <c r="AB293" s="14">
        <f t="shared" si="226"/>
        <v>0</v>
      </c>
      <c r="AM293" s="14">
        <f t="shared" si="227"/>
        <v>0</v>
      </c>
      <c r="AQ293" s="14">
        <f t="shared" si="228"/>
        <v>0</v>
      </c>
      <c r="AT293" s="14">
        <f t="shared" si="229"/>
        <v>0</v>
      </c>
      <c r="AU293" s="16">
        <v>0</v>
      </c>
      <c r="AV293" s="16">
        <v>0</v>
      </c>
      <c r="AW293" s="16">
        <v>5862</v>
      </c>
      <c r="AX293" s="16">
        <v>0</v>
      </c>
      <c r="AY293" s="18">
        <f t="shared" si="230"/>
        <v>0</v>
      </c>
      <c r="AZ293" s="17">
        <f t="shared" si="231"/>
        <v>0</v>
      </c>
      <c r="BA293" s="17">
        <f t="shared" si="232"/>
        <v>2.2400086329367159</v>
      </c>
      <c r="BB293" s="17">
        <f t="shared" si="233"/>
        <v>0</v>
      </c>
      <c r="BC293" s="17">
        <f t="shared" si="201"/>
        <v>0</v>
      </c>
      <c r="BD293" s="17">
        <f t="shared" si="202"/>
        <v>0</v>
      </c>
      <c r="BE293" s="17">
        <f t="shared" si="203"/>
        <v>0</v>
      </c>
      <c r="BF293" s="17">
        <f t="shared" si="204"/>
        <v>0</v>
      </c>
      <c r="BG293" s="17">
        <f t="shared" si="205"/>
        <v>0</v>
      </c>
      <c r="BH293" s="17">
        <f t="shared" si="206"/>
        <v>0</v>
      </c>
      <c r="BI293" s="17">
        <f t="shared" si="207"/>
        <v>0</v>
      </c>
      <c r="BJ293" s="17">
        <f t="shared" si="208"/>
        <v>0</v>
      </c>
      <c r="BK293" s="17">
        <f t="shared" si="209"/>
        <v>0</v>
      </c>
      <c r="BL293" s="17">
        <f t="shared" si="210"/>
        <v>0</v>
      </c>
      <c r="BM293" s="17">
        <f t="shared" si="211"/>
        <v>0</v>
      </c>
      <c r="BN293" s="17">
        <f t="shared" si="212"/>
        <v>0</v>
      </c>
      <c r="BO293" s="17">
        <f t="shared" si="213"/>
        <v>0</v>
      </c>
      <c r="BP293" s="17">
        <f t="shared" si="214"/>
        <v>0</v>
      </c>
      <c r="BQ293" s="17">
        <f t="shared" si="215"/>
        <v>0</v>
      </c>
      <c r="BR293" s="17">
        <f t="shared" si="216"/>
        <v>0</v>
      </c>
      <c r="BS293" s="17">
        <f t="shared" si="217"/>
        <v>0</v>
      </c>
      <c r="BT293" s="17">
        <f t="shared" si="218"/>
        <v>0</v>
      </c>
      <c r="BU293" s="17">
        <f t="shared" si="219"/>
        <v>0</v>
      </c>
      <c r="BV293" s="17">
        <f t="shared" si="220"/>
        <v>0</v>
      </c>
      <c r="BW293" s="17">
        <f t="shared" si="221"/>
        <v>0</v>
      </c>
      <c r="BX293" s="17">
        <f t="shared" si="222"/>
        <v>0</v>
      </c>
      <c r="BY293" s="17">
        <f t="shared" si="223"/>
        <v>0</v>
      </c>
      <c r="BZ293" s="17">
        <f t="shared" si="234"/>
        <v>0</v>
      </c>
      <c r="CA293" s="17">
        <f t="shared" si="235"/>
        <v>0</v>
      </c>
      <c r="CB293" s="17">
        <f t="shared" si="236"/>
        <v>0</v>
      </c>
      <c r="CC293" s="17">
        <f t="shared" si="237"/>
        <v>0</v>
      </c>
      <c r="CD293" s="17">
        <f t="shared" si="238"/>
        <v>0</v>
      </c>
      <c r="CE293" s="17">
        <f t="shared" si="239"/>
        <v>0</v>
      </c>
      <c r="CF293" s="17">
        <f t="shared" si="240"/>
        <v>0</v>
      </c>
      <c r="CG293" s="17">
        <f t="shared" si="241"/>
        <v>0</v>
      </c>
      <c r="CH293" s="17">
        <f t="shared" si="242"/>
        <v>0</v>
      </c>
      <c r="CI293" s="17">
        <f t="shared" si="243"/>
        <v>0</v>
      </c>
      <c r="CJ293" s="17">
        <f t="shared" si="244"/>
        <v>0</v>
      </c>
      <c r="CK293" s="17">
        <f t="shared" si="245"/>
        <v>0</v>
      </c>
      <c r="CL293" s="17">
        <f t="shared" si="246"/>
        <v>0</v>
      </c>
      <c r="CM293" s="14">
        <f t="shared" si="247"/>
        <v>5862</v>
      </c>
      <c r="CN293" s="17">
        <f t="shared" si="248"/>
        <v>2.2400086329367159</v>
      </c>
      <c r="CO293" s="14">
        <f t="shared" si="249"/>
        <v>5862</v>
      </c>
      <c r="CP293" s="17">
        <f t="shared" si="250"/>
        <v>2.2400086329367159</v>
      </c>
      <c r="CQ293" s="14">
        <f t="shared" si="224"/>
        <v>5862</v>
      </c>
      <c r="CR293" s="14">
        <v>0</v>
      </c>
      <c r="CS293" s="14">
        <v>0</v>
      </c>
      <c r="CT293" s="14">
        <v>0</v>
      </c>
      <c r="CU293" s="14">
        <v>0</v>
      </c>
    </row>
    <row r="294" spans="1:99" x14ac:dyDescent="0.3">
      <c r="A294" s="14">
        <v>2018</v>
      </c>
      <c r="B294" s="14" t="s">
        <v>53</v>
      </c>
      <c r="C294" s="14" t="s">
        <v>54</v>
      </c>
      <c r="D294" s="15">
        <v>853987.6</v>
      </c>
      <c r="E294" s="15">
        <v>26846541</v>
      </c>
      <c r="F294" s="15">
        <f t="shared" si="225"/>
        <v>31.436687136909249</v>
      </c>
      <c r="G294" s="14">
        <v>225</v>
      </c>
      <c r="H294" s="14">
        <v>27</v>
      </c>
      <c r="M294" s="14">
        <v>35000</v>
      </c>
      <c r="Z294" s="14">
        <v>306</v>
      </c>
      <c r="AB294" s="14">
        <f t="shared" si="226"/>
        <v>0</v>
      </c>
      <c r="AM294" s="14">
        <f t="shared" si="227"/>
        <v>0</v>
      </c>
      <c r="AQ294" s="14">
        <f t="shared" si="228"/>
        <v>0</v>
      </c>
      <c r="AT294" s="14">
        <f t="shared" si="229"/>
        <v>0</v>
      </c>
      <c r="AU294" s="16">
        <v>0</v>
      </c>
      <c r="AV294" s="16">
        <v>7666</v>
      </c>
      <c r="AW294" s="16">
        <v>7988</v>
      </c>
      <c r="AX294" s="16">
        <v>0</v>
      </c>
      <c r="AY294" s="18">
        <f t="shared" si="230"/>
        <v>0</v>
      </c>
      <c r="AZ294" s="17">
        <f t="shared" si="231"/>
        <v>2.8554889063734503</v>
      </c>
      <c r="BA294" s="17">
        <f t="shared" si="232"/>
        <v>2.9754298700901542</v>
      </c>
      <c r="BB294" s="17">
        <f t="shared" si="233"/>
        <v>0</v>
      </c>
      <c r="BC294" s="17">
        <f t="shared" si="201"/>
        <v>8.3809679615709148E-2</v>
      </c>
      <c r="BD294" s="17">
        <f t="shared" si="202"/>
        <v>1.0057161553885098E-2</v>
      </c>
      <c r="BE294" s="17">
        <f t="shared" si="203"/>
        <v>0</v>
      </c>
      <c r="BF294" s="17">
        <f t="shared" si="204"/>
        <v>0</v>
      </c>
      <c r="BG294" s="17">
        <f t="shared" si="205"/>
        <v>0</v>
      </c>
      <c r="BH294" s="17">
        <f t="shared" si="206"/>
        <v>0</v>
      </c>
      <c r="BI294" s="17">
        <f t="shared" si="207"/>
        <v>13.037061273554757</v>
      </c>
      <c r="BJ294" s="17">
        <f t="shared" si="208"/>
        <v>0</v>
      </c>
      <c r="BK294" s="17">
        <f t="shared" si="209"/>
        <v>0</v>
      </c>
      <c r="BL294" s="17">
        <f t="shared" si="210"/>
        <v>0</v>
      </c>
      <c r="BM294" s="17">
        <f t="shared" si="211"/>
        <v>0</v>
      </c>
      <c r="BN294" s="17">
        <f t="shared" si="212"/>
        <v>0</v>
      </c>
      <c r="BO294" s="17">
        <f t="shared" si="213"/>
        <v>0</v>
      </c>
      <c r="BP294" s="17">
        <f t="shared" si="214"/>
        <v>0</v>
      </c>
      <c r="BQ294" s="17">
        <f t="shared" si="215"/>
        <v>0</v>
      </c>
      <c r="BR294" s="17">
        <f t="shared" si="216"/>
        <v>0</v>
      </c>
      <c r="BS294" s="17">
        <f t="shared" si="217"/>
        <v>0</v>
      </c>
      <c r="BT294" s="17">
        <f t="shared" si="218"/>
        <v>0</v>
      </c>
      <c r="BU294" s="17">
        <f t="shared" si="219"/>
        <v>0</v>
      </c>
      <c r="BV294" s="17">
        <f t="shared" si="220"/>
        <v>0.11398116427736445</v>
      </c>
      <c r="BW294" s="17">
        <f t="shared" si="221"/>
        <v>0</v>
      </c>
      <c r="BX294" s="17">
        <f t="shared" si="222"/>
        <v>0</v>
      </c>
      <c r="BY294" s="17">
        <f t="shared" si="223"/>
        <v>0</v>
      </c>
      <c r="BZ294" s="17">
        <f t="shared" si="234"/>
        <v>0</v>
      </c>
      <c r="CA294" s="17">
        <f t="shared" si="235"/>
        <v>0</v>
      </c>
      <c r="CB294" s="17">
        <f t="shared" si="236"/>
        <v>0</v>
      </c>
      <c r="CC294" s="17">
        <f t="shared" si="237"/>
        <v>0</v>
      </c>
      <c r="CD294" s="17">
        <f t="shared" si="238"/>
        <v>0</v>
      </c>
      <c r="CE294" s="17">
        <f t="shared" si="239"/>
        <v>0</v>
      </c>
      <c r="CF294" s="17">
        <f t="shared" si="240"/>
        <v>0</v>
      </c>
      <c r="CG294" s="17">
        <f t="shared" si="241"/>
        <v>0</v>
      </c>
      <c r="CH294" s="17">
        <f t="shared" si="242"/>
        <v>0</v>
      </c>
      <c r="CI294" s="17">
        <f t="shared" si="243"/>
        <v>0</v>
      </c>
      <c r="CJ294" s="17">
        <f t="shared" si="244"/>
        <v>0</v>
      </c>
      <c r="CK294" s="17">
        <f t="shared" si="245"/>
        <v>0</v>
      </c>
      <c r="CL294" s="17">
        <f t="shared" si="246"/>
        <v>0</v>
      </c>
      <c r="CM294" s="14">
        <f t="shared" si="247"/>
        <v>15654</v>
      </c>
      <c r="CN294" s="17">
        <f t="shared" si="248"/>
        <v>5.830918776463605</v>
      </c>
      <c r="CO294" s="14">
        <f t="shared" si="249"/>
        <v>15654</v>
      </c>
      <c r="CP294" s="17">
        <f t="shared" si="250"/>
        <v>5.830918776463605</v>
      </c>
      <c r="CQ294" s="14">
        <f t="shared" si="224"/>
        <v>51212</v>
      </c>
      <c r="CR294" s="14">
        <v>0</v>
      </c>
      <c r="CS294" s="14">
        <v>0</v>
      </c>
      <c r="CT294" s="14">
        <v>0</v>
      </c>
      <c r="CU294" s="14">
        <v>0</v>
      </c>
    </row>
    <row r="295" spans="1:99" x14ac:dyDescent="0.3">
      <c r="A295" s="14">
        <v>2019</v>
      </c>
      <c r="B295" s="14" t="s">
        <v>53</v>
      </c>
      <c r="C295" s="14" t="s">
        <v>54</v>
      </c>
      <c r="D295" s="15">
        <v>866367.5</v>
      </c>
      <c r="E295" s="15">
        <v>27533134.000000015</v>
      </c>
      <c r="F295" s="15">
        <f t="shared" si="225"/>
        <v>31.779970970748575</v>
      </c>
      <c r="M295" s="14">
        <v>38338</v>
      </c>
      <c r="N295" s="14">
        <v>21</v>
      </c>
      <c r="O295" s="14">
        <v>12</v>
      </c>
      <c r="AB295" s="14">
        <f t="shared" si="226"/>
        <v>12</v>
      </c>
      <c r="AM295" s="14">
        <f t="shared" si="227"/>
        <v>0</v>
      </c>
      <c r="AQ295" s="14">
        <f t="shared" si="228"/>
        <v>0</v>
      </c>
      <c r="AT295" s="14">
        <f t="shared" si="229"/>
        <v>0</v>
      </c>
      <c r="AU295" s="16">
        <v>0</v>
      </c>
      <c r="AV295" s="16">
        <v>0</v>
      </c>
      <c r="AW295" s="16">
        <v>0</v>
      </c>
      <c r="AX295" s="16">
        <v>0</v>
      </c>
      <c r="AY295" s="18">
        <f t="shared" si="230"/>
        <v>0</v>
      </c>
      <c r="AZ295" s="17">
        <f t="shared" si="231"/>
        <v>0</v>
      </c>
      <c r="BA295" s="17">
        <f t="shared" si="232"/>
        <v>0</v>
      </c>
      <c r="BB295" s="17">
        <f t="shared" si="233"/>
        <v>0</v>
      </c>
      <c r="BC295" s="17">
        <f t="shared" si="201"/>
        <v>0</v>
      </c>
      <c r="BD295" s="17">
        <f t="shared" si="202"/>
        <v>0</v>
      </c>
      <c r="BE295" s="17">
        <f t="shared" si="203"/>
        <v>0</v>
      </c>
      <c r="BF295" s="17">
        <f t="shared" si="204"/>
        <v>0</v>
      </c>
      <c r="BG295" s="17">
        <f t="shared" si="205"/>
        <v>0</v>
      </c>
      <c r="BH295" s="17">
        <f t="shared" si="206"/>
        <v>0</v>
      </c>
      <c r="BI295" s="17">
        <f t="shared" si="207"/>
        <v>13.924313883047233</v>
      </c>
      <c r="BJ295" s="17">
        <f t="shared" si="208"/>
        <v>7.6271738625904298E-3</v>
      </c>
      <c r="BK295" s="17">
        <f t="shared" si="209"/>
        <v>4.3583850643373881E-3</v>
      </c>
      <c r="BL295" s="17">
        <f t="shared" si="210"/>
        <v>0</v>
      </c>
      <c r="BM295" s="17">
        <f t="shared" si="211"/>
        <v>0</v>
      </c>
      <c r="BN295" s="17">
        <f t="shared" si="212"/>
        <v>0</v>
      </c>
      <c r="BO295" s="17">
        <f t="shared" si="213"/>
        <v>0</v>
      </c>
      <c r="BP295" s="17">
        <f t="shared" si="214"/>
        <v>0</v>
      </c>
      <c r="BQ295" s="17">
        <f t="shared" si="215"/>
        <v>0</v>
      </c>
      <c r="BR295" s="17">
        <f t="shared" si="216"/>
        <v>0</v>
      </c>
      <c r="BS295" s="17">
        <f t="shared" si="217"/>
        <v>0</v>
      </c>
      <c r="BT295" s="17">
        <f t="shared" si="218"/>
        <v>0</v>
      </c>
      <c r="BU295" s="17">
        <f t="shared" si="219"/>
        <v>0</v>
      </c>
      <c r="BV295" s="17">
        <f t="shared" si="220"/>
        <v>0</v>
      </c>
      <c r="BW295" s="17">
        <f t="shared" si="221"/>
        <v>0</v>
      </c>
      <c r="BX295" s="17">
        <f t="shared" si="222"/>
        <v>0</v>
      </c>
      <c r="BY295" s="17">
        <f t="shared" si="223"/>
        <v>0</v>
      </c>
      <c r="BZ295" s="17">
        <f t="shared" si="234"/>
        <v>0</v>
      </c>
      <c r="CA295" s="17">
        <f t="shared" si="235"/>
        <v>0</v>
      </c>
      <c r="CB295" s="17">
        <f t="shared" si="236"/>
        <v>0</v>
      </c>
      <c r="CC295" s="17">
        <f t="shared" si="237"/>
        <v>0</v>
      </c>
      <c r="CD295" s="17">
        <f t="shared" si="238"/>
        <v>0</v>
      </c>
      <c r="CE295" s="17">
        <f t="shared" si="239"/>
        <v>0</v>
      </c>
      <c r="CF295" s="17">
        <f t="shared" si="240"/>
        <v>0</v>
      </c>
      <c r="CG295" s="17">
        <f t="shared" si="241"/>
        <v>0</v>
      </c>
      <c r="CH295" s="17">
        <f t="shared" si="242"/>
        <v>0</v>
      </c>
      <c r="CI295" s="17">
        <f t="shared" si="243"/>
        <v>0</v>
      </c>
      <c r="CJ295" s="17">
        <f t="shared" si="244"/>
        <v>0</v>
      </c>
      <c r="CK295" s="17">
        <f t="shared" si="245"/>
        <v>0</v>
      </c>
      <c r="CL295" s="17">
        <f t="shared" si="246"/>
        <v>0</v>
      </c>
      <c r="CM295" s="14">
        <f t="shared" si="247"/>
        <v>0</v>
      </c>
      <c r="CN295" s="17">
        <f t="shared" si="248"/>
        <v>0</v>
      </c>
      <c r="CO295" s="14">
        <f t="shared" si="249"/>
        <v>0</v>
      </c>
      <c r="CP295" s="17">
        <f t="shared" si="250"/>
        <v>0</v>
      </c>
      <c r="CQ295" s="14">
        <f t="shared" si="224"/>
        <v>38383</v>
      </c>
      <c r="CR295" s="14">
        <v>0</v>
      </c>
      <c r="CS295" s="14">
        <v>0</v>
      </c>
      <c r="CT295" s="14">
        <v>0</v>
      </c>
      <c r="CU295" s="14">
        <v>0</v>
      </c>
    </row>
    <row r="296" spans="1:99" x14ac:dyDescent="0.3">
      <c r="A296" s="14">
        <v>2020</v>
      </c>
      <c r="B296" s="14" t="s">
        <v>53</v>
      </c>
      <c r="C296" s="14" t="s">
        <v>54</v>
      </c>
      <c r="D296" s="15">
        <v>878903.6</v>
      </c>
      <c r="E296" s="15">
        <v>28225176.500000007</v>
      </c>
      <c r="F296" s="15">
        <f t="shared" si="225"/>
        <v>32.114075423061195</v>
      </c>
      <c r="M296" s="14">
        <v>41616</v>
      </c>
      <c r="AB296" s="14">
        <f t="shared" si="226"/>
        <v>0</v>
      </c>
      <c r="AM296" s="14">
        <f t="shared" si="227"/>
        <v>0</v>
      </c>
      <c r="AQ296" s="14">
        <f t="shared" si="228"/>
        <v>0</v>
      </c>
      <c r="AT296" s="14">
        <f t="shared" si="229"/>
        <v>0</v>
      </c>
      <c r="AU296" s="16">
        <v>0</v>
      </c>
      <c r="AV296" s="16">
        <v>0</v>
      </c>
      <c r="AW296" s="16">
        <v>0</v>
      </c>
      <c r="AX296" s="16">
        <v>0</v>
      </c>
      <c r="AY296" s="18">
        <f t="shared" si="230"/>
        <v>0</v>
      </c>
      <c r="AZ296" s="17">
        <f t="shared" si="231"/>
        <v>0</v>
      </c>
      <c r="BA296" s="17">
        <f t="shared" si="232"/>
        <v>0</v>
      </c>
      <c r="BB296" s="17">
        <f t="shared" si="233"/>
        <v>0</v>
      </c>
      <c r="BC296" s="17">
        <f t="shared" si="201"/>
        <v>0</v>
      </c>
      <c r="BD296" s="17">
        <f t="shared" si="202"/>
        <v>0</v>
      </c>
      <c r="BE296" s="17">
        <f t="shared" si="203"/>
        <v>0</v>
      </c>
      <c r="BF296" s="17">
        <f t="shared" si="204"/>
        <v>0</v>
      </c>
      <c r="BG296" s="17">
        <f t="shared" si="205"/>
        <v>0</v>
      </c>
      <c r="BH296" s="17">
        <f t="shared" si="206"/>
        <v>0</v>
      </c>
      <c r="BI296" s="17">
        <f t="shared" si="207"/>
        <v>14.744283352842803</v>
      </c>
      <c r="BJ296" s="17">
        <f t="shared" si="208"/>
        <v>0</v>
      </c>
      <c r="BK296" s="17">
        <f t="shared" si="209"/>
        <v>0</v>
      </c>
      <c r="BL296" s="17">
        <f t="shared" si="210"/>
        <v>0</v>
      </c>
      <c r="BM296" s="17">
        <f t="shared" si="211"/>
        <v>0</v>
      </c>
      <c r="BN296" s="17">
        <f t="shared" si="212"/>
        <v>0</v>
      </c>
      <c r="BO296" s="17">
        <f t="shared" si="213"/>
        <v>0</v>
      </c>
      <c r="BP296" s="17">
        <f t="shared" si="214"/>
        <v>0</v>
      </c>
      <c r="BQ296" s="17">
        <f t="shared" si="215"/>
        <v>0</v>
      </c>
      <c r="BR296" s="17">
        <f t="shared" si="216"/>
        <v>0</v>
      </c>
      <c r="BS296" s="17">
        <f t="shared" si="217"/>
        <v>0</v>
      </c>
      <c r="BT296" s="17">
        <f t="shared" si="218"/>
        <v>0</v>
      </c>
      <c r="BU296" s="17">
        <f t="shared" si="219"/>
        <v>0</v>
      </c>
      <c r="BV296" s="17">
        <f t="shared" si="220"/>
        <v>0</v>
      </c>
      <c r="BW296" s="17">
        <f t="shared" si="221"/>
        <v>0</v>
      </c>
      <c r="BX296" s="17">
        <f t="shared" si="222"/>
        <v>0</v>
      </c>
      <c r="BY296" s="17">
        <f t="shared" si="223"/>
        <v>0</v>
      </c>
      <c r="BZ296" s="17">
        <f t="shared" si="234"/>
        <v>0</v>
      </c>
      <c r="CA296" s="17">
        <f t="shared" si="235"/>
        <v>0</v>
      </c>
      <c r="CB296" s="17">
        <f t="shared" si="236"/>
        <v>0</v>
      </c>
      <c r="CC296" s="17">
        <f t="shared" si="237"/>
        <v>0</v>
      </c>
      <c r="CD296" s="17">
        <f t="shared" si="238"/>
        <v>0</v>
      </c>
      <c r="CE296" s="17">
        <f t="shared" si="239"/>
        <v>0</v>
      </c>
      <c r="CF296" s="17">
        <f t="shared" si="240"/>
        <v>0</v>
      </c>
      <c r="CG296" s="17">
        <f t="shared" si="241"/>
        <v>0</v>
      </c>
      <c r="CH296" s="17">
        <f t="shared" si="242"/>
        <v>0</v>
      </c>
      <c r="CI296" s="17">
        <f t="shared" si="243"/>
        <v>0</v>
      </c>
      <c r="CJ296" s="17">
        <f t="shared" si="244"/>
        <v>0</v>
      </c>
      <c r="CK296" s="17">
        <f t="shared" si="245"/>
        <v>0</v>
      </c>
      <c r="CL296" s="17">
        <f t="shared" si="246"/>
        <v>0</v>
      </c>
      <c r="CM296" s="14">
        <f t="shared" si="247"/>
        <v>0</v>
      </c>
      <c r="CN296" s="17">
        <f t="shared" si="248"/>
        <v>0</v>
      </c>
      <c r="CO296" s="14">
        <f t="shared" si="249"/>
        <v>0</v>
      </c>
      <c r="CP296" s="17">
        <f t="shared" si="250"/>
        <v>0</v>
      </c>
      <c r="CQ296" s="14">
        <f t="shared" si="224"/>
        <v>41616</v>
      </c>
      <c r="CR296" s="14">
        <v>9</v>
      </c>
      <c r="CS296" s="14">
        <v>13</v>
      </c>
      <c r="CT296" s="14">
        <v>0</v>
      </c>
      <c r="CU296" s="14">
        <v>254</v>
      </c>
    </row>
    <row r="297" spans="1:99" x14ac:dyDescent="0.3">
      <c r="A297" s="14">
        <v>2021</v>
      </c>
      <c r="B297" s="14" t="s">
        <v>53</v>
      </c>
      <c r="C297" s="14" t="s">
        <v>54</v>
      </c>
      <c r="D297" s="15">
        <v>890888.8</v>
      </c>
      <c r="E297" s="15">
        <v>28915652.500000004</v>
      </c>
      <c r="F297" s="15">
        <f t="shared" si="225"/>
        <v>32.457083869502007</v>
      </c>
      <c r="M297" s="14">
        <v>41616</v>
      </c>
      <c r="AB297" s="14">
        <f t="shared" si="226"/>
        <v>0</v>
      </c>
      <c r="AM297" s="14">
        <f t="shared" si="227"/>
        <v>0</v>
      </c>
      <c r="AQ297" s="14">
        <f t="shared" si="228"/>
        <v>0</v>
      </c>
      <c r="AT297" s="14">
        <f t="shared" si="229"/>
        <v>0</v>
      </c>
      <c r="AU297" s="16">
        <v>0</v>
      </c>
      <c r="AV297" s="16">
        <v>0</v>
      </c>
      <c r="AW297" s="16">
        <v>0</v>
      </c>
      <c r="AX297" s="16">
        <v>0</v>
      </c>
      <c r="AY297" s="18">
        <f t="shared" si="230"/>
        <v>0</v>
      </c>
      <c r="AZ297" s="17">
        <f t="shared" si="231"/>
        <v>0</v>
      </c>
      <c r="BA297" s="17">
        <f t="shared" si="232"/>
        <v>0</v>
      </c>
      <c r="BB297" s="17">
        <f t="shared" si="233"/>
        <v>0</v>
      </c>
      <c r="BC297" s="17">
        <f t="shared" si="201"/>
        <v>0</v>
      </c>
      <c r="BD297" s="17">
        <f t="shared" si="202"/>
        <v>0</v>
      </c>
      <c r="BE297" s="17">
        <f t="shared" si="203"/>
        <v>0</v>
      </c>
      <c r="BF297" s="17">
        <f t="shared" si="204"/>
        <v>0</v>
      </c>
      <c r="BG297" s="17">
        <f t="shared" si="205"/>
        <v>0</v>
      </c>
      <c r="BH297" s="17">
        <f t="shared" si="206"/>
        <v>0</v>
      </c>
      <c r="BI297" s="17">
        <f t="shared" si="207"/>
        <v>14.392205052263646</v>
      </c>
      <c r="BJ297" s="17">
        <f t="shared" si="208"/>
        <v>0</v>
      </c>
      <c r="BK297" s="17">
        <f t="shared" si="209"/>
        <v>0</v>
      </c>
      <c r="BL297" s="17">
        <f t="shared" si="210"/>
        <v>0</v>
      </c>
      <c r="BM297" s="17">
        <f t="shared" si="211"/>
        <v>0</v>
      </c>
      <c r="BN297" s="17">
        <f t="shared" si="212"/>
        <v>0</v>
      </c>
      <c r="BO297" s="17">
        <f t="shared" si="213"/>
        <v>0</v>
      </c>
      <c r="BP297" s="17">
        <f t="shared" si="214"/>
        <v>0</v>
      </c>
      <c r="BQ297" s="17">
        <f t="shared" si="215"/>
        <v>0</v>
      </c>
      <c r="BR297" s="17">
        <f t="shared" si="216"/>
        <v>0</v>
      </c>
      <c r="BS297" s="17">
        <f t="shared" si="217"/>
        <v>0</v>
      </c>
      <c r="BT297" s="17">
        <f t="shared" si="218"/>
        <v>0</v>
      </c>
      <c r="BU297" s="17">
        <f t="shared" si="219"/>
        <v>0</v>
      </c>
      <c r="BV297" s="17">
        <f t="shared" si="220"/>
        <v>0</v>
      </c>
      <c r="BW297" s="17">
        <f t="shared" si="221"/>
        <v>0</v>
      </c>
      <c r="BX297" s="17">
        <f t="shared" si="222"/>
        <v>0</v>
      </c>
      <c r="BY297" s="17">
        <f t="shared" si="223"/>
        <v>0</v>
      </c>
      <c r="BZ297" s="17">
        <f t="shared" si="234"/>
        <v>0</v>
      </c>
      <c r="CA297" s="17">
        <f t="shared" si="235"/>
        <v>0</v>
      </c>
      <c r="CB297" s="17">
        <f t="shared" si="236"/>
        <v>0</v>
      </c>
      <c r="CC297" s="17">
        <f t="shared" si="237"/>
        <v>0</v>
      </c>
      <c r="CD297" s="17">
        <f t="shared" si="238"/>
        <v>0</v>
      </c>
      <c r="CE297" s="17">
        <f t="shared" si="239"/>
        <v>0</v>
      </c>
      <c r="CF297" s="17">
        <f t="shared" si="240"/>
        <v>0</v>
      </c>
      <c r="CG297" s="17">
        <f t="shared" si="241"/>
        <v>0</v>
      </c>
      <c r="CH297" s="17">
        <f t="shared" si="242"/>
        <v>0</v>
      </c>
      <c r="CI297" s="17">
        <f t="shared" si="243"/>
        <v>0</v>
      </c>
      <c r="CJ297" s="17">
        <f t="shared" si="244"/>
        <v>0</v>
      </c>
      <c r="CK297" s="17">
        <f t="shared" si="245"/>
        <v>0</v>
      </c>
      <c r="CL297" s="17">
        <f t="shared" si="246"/>
        <v>0</v>
      </c>
      <c r="CM297" s="14">
        <f t="shared" si="247"/>
        <v>0</v>
      </c>
      <c r="CN297" s="17">
        <f t="shared" si="248"/>
        <v>0</v>
      </c>
      <c r="CO297" s="14">
        <f t="shared" si="249"/>
        <v>0</v>
      </c>
      <c r="CP297" s="17">
        <f t="shared" si="250"/>
        <v>0</v>
      </c>
      <c r="CQ297" s="14">
        <f t="shared" si="224"/>
        <v>41616</v>
      </c>
      <c r="CR297" s="14">
        <v>91</v>
      </c>
      <c r="CS297" s="14">
        <v>0</v>
      </c>
      <c r="CT297" s="14">
        <v>0</v>
      </c>
      <c r="CU297" s="14">
        <v>0</v>
      </c>
    </row>
    <row r="298" spans="1:99" x14ac:dyDescent="0.3">
      <c r="A298" s="14">
        <v>2022</v>
      </c>
      <c r="B298" s="14" t="s">
        <v>53</v>
      </c>
      <c r="C298" s="14" t="s">
        <v>54</v>
      </c>
      <c r="D298" s="15">
        <v>903175.3</v>
      </c>
      <c r="E298" s="15">
        <v>29611714.000000004</v>
      </c>
      <c r="F298" s="15">
        <f t="shared" si="225"/>
        <v>32.786230978637263</v>
      </c>
      <c r="G298" s="14">
        <v>225</v>
      </c>
      <c r="H298" s="14">
        <v>27</v>
      </c>
      <c r="AB298" s="14">
        <f t="shared" si="226"/>
        <v>0</v>
      </c>
      <c r="AM298" s="14">
        <f t="shared" si="227"/>
        <v>0</v>
      </c>
      <c r="AQ298" s="14">
        <f t="shared" si="228"/>
        <v>0</v>
      </c>
      <c r="AT298" s="14">
        <f t="shared" si="229"/>
        <v>0</v>
      </c>
      <c r="AU298" s="16">
        <v>0</v>
      </c>
      <c r="AV298" s="16">
        <v>0</v>
      </c>
      <c r="AW298" s="16">
        <v>0</v>
      </c>
      <c r="AX298" s="16">
        <v>0</v>
      </c>
      <c r="AY298" s="18">
        <f t="shared" si="230"/>
        <v>0</v>
      </c>
      <c r="AZ298" s="17">
        <f t="shared" si="231"/>
        <v>0</v>
      </c>
      <c r="BA298" s="17">
        <f t="shared" si="232"/>
        <v>0</v>
      </c>
      <c r="BB298" s="17">
        <f t="shared" si="233"/>
        <v>0</v>
      </c>
      <c r="BC298" s="17">
        <f t="shared" si="201"/>
        <v>7.5983443579118709E-2</v>
      </c>
      <c r="BD298" s="17">
        <f t="shared" si="202"/>
        <v>9.118013229494246E-3</v>
      </c>
      <c r="BE298" s="17">
        <f t="shared" si="203"/>
        <v>0</v>
      </c>
      <c r="BF298" s="17">
        <f t="shared" si="204"/>
        <v>0</v>
      </c>
      <c r="BG298" s="17">
        <f t="shared" si="205"/>
        <v>0</v>
      </c>
      <c r="BH298" s="17">
        <f t="shared" si="206"/>
        <v>0</v>
      </c>
      <c r="BI298" s="17">
        <f t="shared" si="207"/>
        <v>0</v>
      </c>
      <c r="BJ298" s="17">
        <f t="shared" si="208"/>
        <v>0</v>
      </c>
      <c r="BK298" s="17">
        <f t="shared" si="209"/>
        <v>0</v>
      </c>
      <c r="BL298" s="17">
        <f t="shared" si="210"/>
        <v>0</v>
      </c>
      <c r="BM298" s="17">
        <f t="shared" si="211"/>
        <v>0</v>
      </c>
      <c r="BN298" s="17">
        <f t="shared" si="212"/>
        <v>0</v>
      </c>
      <c r="BO298" s="17">
        <f t="shared" si="213"/>
        <v>0</v>
      </c>
      <c r="BP298" s="17">
        <f t="shared" si="214"/>
        <v>0</v>
      </c>
      <c r="BQ298" s="17">
        <f t="shared" si="215"/>
        <v>0</v>
      </c>
      <c r="BR298" s="17">
        <f t="shared" si="216"/>
        <v>0</v>
      </c>
      <c r="BS298" s="17">
        <f t="shared" si="217"/>
        <v>0</v>
      </c>
      <c r="BT298" s="17">
        <f t="shared" si="218"/>
        <v>0</v>
      </c>
      <c r="BU298" s="17">
        <f t="shared" si="219"/>
        <v>0</v>
      </c>
      <c r="BV298" s="17">
        <f t="shared" si="220"/>
        <v>0</v>
      </c>
      <c r="BW298" s="17">
        <f t="shared" si="221"/>
        <v>0</v>
      </c>
      <c r="BX298" s="17">
        <f t="shared" si="222"/>
        <v>0</v>
      </c>
      <c r="BY298" s="17">
        <f t="shared" si="223"/>
        <v>0</v>
      </c>
      <c r="BZ298" s="17">
        <f t="shared" si="234"/>
        <v>0</v>
      </c>
      <c r="CA298" s="17">
        <f t="shared" si="235"/>
        <v>0</v>
      </c>
      <c r="CB298" s="17">
        <f t="shared" si="236"/>
        <v>0</v>
      </c>
      <c r="CC298" s="17">
        <f t="shared" si="237"/>
        <v>0</v>
      </c>
      <c r="CD298" s="17">
        <f t="shared" si="238"/>
        <v>0</v>
      </c>
      <c r="CE298" s="17">
        <f t="shared" si="239"/>
        <v>0</v>
      </c>
      <c r="CF298" s="17">
        <f t="shared" si="240"/>
        <v>0</v>
      </c>
      <c r="CG298" s="17">
        <f t="shared" si="241"/>
        <v>0</v>
      </c>
      <c r="CH298" s="17">
        <f t="shared" si="242"/>
        <v>0</v>
      </c>
      <c r="CI298" s="17">
        <f t="shared" si="243"/>
        <v>0</v>
      </c>
      <c r="CJ298" s="17">
        <f t="shared" si="244"/>
        <v>0</v>
      </c>
      <c r="CK298" s="17">
        <f t="shared" si="245"/>
        <v>0</v>
      </c>
      <c r="CL298" s="17">
        <f t="shared" si="246"/>
        <v>0</v>
      </c>
      <c r="CM298" s="14">
        <f t="shared" si="247"/>
        <v>0</v>
      </c>
      <c r="CN298" s="17">
        <f t="shared" si="248"/>
        <v>0</v>
      </c>
      <c r="CO298" s="14">
        <f t="shared" si="249"/>
        <v>0</v>
      </c>
      <c r="CP298" s="17">
        <f t="shared" si="250"/>
        <v>0</v>
      </c>
      <c r="CQ298" s="14">
        <f t="shared" si="224"/>
        <v>252</v>
      </c>
      <c r="CR298" s="14">
        <v>0</v>
      </c>
      <c r="CS298" s="14">
        <v>0</v>
      </c>
      <c r="CT298" s="14">
        <v>0</v>
      </c>
      <c r="CU298" s="14">
        <v>0</v>
      </c>
    </row>
    <row r="299" spans="1:99" x14ac:dyDescent="0.3">
      <c r="A299" s="14">
        <v>2012</v>
      </c>
      <c r="B299" s="14" t="s">
        <v>55</v>
      </c>
      <c r="C299" s="14" t="s">
        <v>56</v>
      </c>
      <c r="D299" s="15">
        <v>595474.80000000005</v>
      </c>
      <c r="E299" s="15">
        <v>15581250.5</v>
      </c>
      <c r="F299" s="15">
        <f t="shared" si="225"/>
        <v>26.16609552578883</v>
      </c>
      <c r="AB299" s="14">
        <f t="shared" si="226"/>
        <v>0</v>
      </c>
      <c r="AM299" s="14">
        <f t="shared" si="227"/>
        <v>0</v>
      </c>
      <c r="AQ299" s="14">
        <f t="shared" si="228"/>
        <v>0</v>
      </c>
      <c r="AT299" s="14">
        <f t="shared" si="229"/>
        <v>0</v>
      </c>
      <c r="AU299" s="16">
        <v>0</v>
      </c>
      <c r="AV299" s="16">
        <v>0</v>
      </c>
      <c r="AW299" s="16">
        <v>0</v>
      </c>
      <c r="AX299" s="16">
        <v>0</v>
      </c>
      <c r="AY299" s="18">
        <f t="shared" si="230"/>
        <v>0</v>
      </c>
      <c r="AZ299" s="17">
        <f t="shared" si="231"/>
        <v>0</v>
      </c>
      <c r="BA299" s="17">
        <f t="shared" si="232"/>
        <v>0</v>
      </c>
      <c r="BB299" s="17">
        <f t="shared" si="233"/>
        <v>0</v>
      </c>
      <c r="BC299" s="17">
        <f t="shared" si="201"/>
        <v>0</v>
      </c>
      <c r="BD299" s="17">
        <f t="shared" si="202"/>
        <v>0</v>
      </c>
      <c r="BE299" s="17">
        <f t="shared" si="203"/>
        <v>0</v>
      </c>
      <c r="BF299" s="17">
        <f t="shared" si="204"/>
        <v>0</v>
      </c>
      <c r="BG299" s="17">
        <f t="shared" si="205"/>
        <v>0</v>
      </c>
      <c r="BH299" s="17">
        <f t="shared" si="206"/>
        <v>0</v>
      </c>
      <c r="BI299" s="17">
        <f t="shared" si="207"/>
        <v>0</v>
      </c>
      <c r="BJ299" s="17">
        <f t="shared" si="208"/>
        <v>0</v>
      </c>
      <c r="BK299" s="17">
        <f t="shared" si="209"/>
        <v>0</v>
      </c>
      <c r="BL299" s="17">
        <f t="shared" si="210"/>
        <v>0</v>
      </c>
      <c r="BM299" s="17">
        <f t="shared" si="211"/>
        <v>0</v>
      </c>
      <c r="BN299" s="17">
        <f t="shared" si="212"/>
        <v>0</v>
      </c>
      <c r="BO299" s="17">
        <f t="shared" si="213"/>
        <v>0</v>
      </c>
      <c r="BP299" s="17">
        <f t="shared" si="214"/>
        <v>0</v>
      </c>
      <c r="BQ299" s="17">
        <f t="shared" si="215"/>
        <v>0</v>
      </c>
      <c r="BR299" s="17">
        <f t="shared" si="216"/>
        <v>0</v>
      </c>
      <c r="BS299" s="17">
        <f t="shared" si="217"/>
        <v>0</v>
      </c>
      <c r="BT299" s="17">
        <f t="shared" si="218"/>
        <v>0</v>
      </c>
      <c r="BU299" s="17">
        <f t="shared" si="219"/>
        <v>0</v>
      </c>
      <c r="BV299" s="17">
        <f t="shared" si="220"/>
        <v>0</v>
      </c>
      <c r="BW299" s="17">
        <f t="shared" si="221"/>
        <v>0</v>
      </c>
      <c r="BX299" s="17">
        <f t="shared" si="222"/>
        <v>0</v>
      </c>
      <c r="BY299" s="17">
        <f t="shared" si="223"/>
        <v>0</v>
      </c>
      <c r="BZ299" s="17">
        <f t="shared" si="234"/>
        <v>0</v>
      </c>
      <c r="CA299" s="17">
        <f t="shared" si="235"/>
        <v>0</v>
      </c>
      <c r="CB299" s="17">
        <f t="shared" si="236"/>
        <v>0</v>
      </c>
      <c r="CC299" s="17">
        <f t="shared" si="237"/>
        <v>0</v>
      </c>
      <c r="CD299" s="17">
        <f t="shared" si="238"/>
        <v>0</v>
      </c>
      <c r="CE299" s="17">
        <f t="shared" si="239"/>
        <v>0</v>
      </c>
      <c r="CF299" s="17">
        <f t="shared" si="240"/>
        <v>0</v>
      </c>
      <c r="CG299" s="17">
        <f t="shared" si="241"/>
        <v>0</v>
      </c>
      <c r="CH299" s="17">
        <f t="shared" si="242"/>
        <v>0</v>
      </c>
      <c r="CI299" s="17">
        <f t="shared" si="243"/>
        <v>0</v>
      </c>
      <c r="CJ299" s="17">
        <f t="shared" si="244"/>
        <v>0</v>
      </c>
      <c r="CK299" s="17">
        <f t="shared" si="245"/>
        <v>0</v>
      </c>
      <c r="CL299" s="17">
        <f t="shared" si="246"/>
        <v>0</v>
      </c>
      <c r="CM299" s="14">
        <f t="shared" si="247"/>
        <v>0</v>
      </c>
      <c r="CN299" s="17">
        <f t="shared" si="248"/>
        <v>0</v>
      </c>
      <c r="CO299" s="14">
        <f t="shared" si="249"/>
        <v>0</v>
      </c>
      <c r="CP299" s="17">
        <f t="shared" si="250"/>
        <v>0</v>
      </c>
      <c r="CQ299" s="14">
        <f t="shared" si="224"/>
        <v>0</v>
      </c>
      <c r="CR299" s="14">
        <v>4</v>
      </c>
      <c r="CS299" s="14">
        <v>4</v>
      </c>
      <c r="CT299" s="14">
        <v>0</v>
      </c>
      <c r="CU299" s="14">
        <v>0</v>
      </c>
    </row>
    <row r="300" spans="1:99" x14ac:dyDescent="0.3">
      <c r="A300" s="14">
        <v>2013</v>
      </c>
      <c r="B300" s="14" t="s">
        <v>55</v>
      </c>
      <c r="C300" s="14" t="s">
        <v>56</v>
      </c>
      <c r="D300" s="15">
        <v>598581.6</v>
      </c>
      <c r="E300" s="15">
        <v>16024775.499999996</v>
      </c>
      <c r="F300" s="15">
        <f t="shared" si="225"/>
        <v>26.771246393140043</v>
      </c>
      <c r="H300" s="14">
        <v>170</v>
      </c>
      <c r="AB300" s="14">
        <f t="shared" si="226"/>
        <v>0</v>
      </c>
      <c r="AM300" s="14">
        <f t="shared" si="227"/>
        <v>0</v>
      </c>
      <c r="AQ300" s="14">
        <f t="shared" si="228"/>
        <v>0</v>
      </c>
      <c r="AT300" s="14">
        <f t="shared" si="229"/>
        <v>0</v>
      </c>
      <c r="AU300" s="16">
        <v>400</v>
      </c>
      <c r="AV300" s="16">
        <v>7090</v>
      </c>
      <c r="AW300" s="16">
        <v>96</v>
      </c>
      <c r="AX300" s="16">
        <v>0</v>
      </c>
      <c r="AY300" s="18">
        <f t="shared" si="230"/>
        <v>0.24961348132459021</v>
      </c>
      <c r="AZ300" s="17">
        <f t="shared" si="231"/>
        <v>4.4243989564783615</v>
      </c>
      <c r="BA300" s="17">
        <f t="shared" si="232"/>
        <v>5.9907235517901655E-2</v>
      </c>
      <c r="BB300" s="17">
        <f t="shared" si="233"/>
        <v>0</v>
      </c>
      <c r="BC300" s="17">
        <f t="shared" si="201"/>
        <v>0</v>
      </c>
      <c r="BD300" s="17">
        <f t="shared" si="202"/>
        <v>0.10608572956295084</v>
      </c>
      <c r="BE300" s="17">
        <f t="shared" si="203"/>
        <v>0</v>
      </c>
      <c r="BF300" s="17">
        <f t="shared" si="204"/>
        <v>0</v>
      </c>
      <c r="BG300" s="17">
        <f t="shared" si="205"/>
        <v>0</v>
      </c>
      <c r="BH300" s="17">
        <f t="shared" si="206"/>
        <v>0</v>
      </c>
      <c r="BI300" s="17">
        <f t="shared" si="207"/>
        <v>0</v>
      </c>
      <c r="BJ300" s="17">
        <f t="shared" si="208"/>
        <v>0</v>
      </c>
      <c r="BK300" s="17">
        <f t="shared" si="209"/>
        <v>0</v>
      </c>
      <c r="BL300" s="17">
        <f t="shared" si="210"/>
        <v>0</v>
      </c>
      <c r="BM300" s="17">
        <f t="shared" si="211"/>
        <v>0</v>
      </c>
      <c r="BN300" s="17">
        <f t="shared" si="212"/>
        <v>0</v>
      </c>
      <c r="BO300" s="17">
        <f t="shared" si="213"/>
        <v>0</v>
      </c>
      <c r="BP300" s="17">
        <f t="shared" si="214"/>
        <v>0</v>
      </c>
      <c r="BQ300" s="17">
        <f t="shared" si="215"/>
        <v>0</v>
      </c>
      <c r="BR300" s="17">
        <f t="shared" si="216"/>
        <v>0</v>
      </c>
      <c r="BS300" s="17">
        <f t="shared" si="217"/>
        <v>0</v>
      </c>
      <c r="BT300" s="17">
        <f t="shared" si="218"/>
        <v>0</v>
      </c>
      <c r="BU300" s="17">
        <f t="shared" si="219"/>
        <v>0</v>
      </c>
      <c r="BV300" s="17">
        <f t="shared" si="220"/>
        <v>0</v>
      </c>
      <c r="BW300" s="17">
        <f t="shared" si="221"/>
        <v>0</v>
      </c>
      <c r="BX300" s="17">
        <f t="shared" si="222"/>
        <v>0</v>
      </c>
      <c r="BY300" s="17">
        <f t="shared" si="223"/>
        <v>0</v>
      </c>
      <c r="BZ300" s="17">
        <f t="shared" si="234"/>
        <v>0</v>
      </c>
      <c r="CA300" s="17">
        <f t="shared" si="235"/>
        <v>0</v>
      </c>
      <c r="CB300" s="17">
        <f t="shared" si="236"/>
        <v>0</v>
      </c>
      <c r="CC300" s="17">
        <f t="shared" si="237"/>
        <v>0</v>
      </c>
      <c r="CD300" s="17">
        <f t="shared" si="238"/>
        <v>0</v>
      </c>
      <c r="CE300" s="17">
        <f t="shared" si="239"/>
        <v>0</v>
      </c>
      <c r="CF300" s="17">
        <f t="shared" si="240"/>
        <v>0</v>
      </c>
      <c r="CG300" s="17">
        <f t="shared" si="241"/>
        <v>0</v>
      </c>
      <c r="CH300" s="17">
        <f t="shared" si="242"/>
        <v>0</v>
      </c>
      <c r="CI300" s="17">
        <f t="shared" si="243"/>
        <v>0</v>
      </c>
      <c r="CJ300" s="17">
        <f t="shared" si="244"/>
        <v>0</v>
      </c>
      <c r="CK300" s="17">
        <f t="shared" si="245"/>
        <v>0</v>
      </c>
      <c r="CL300" s="17">
        <f t="shared" si="246"/>
        <v>0</v>
      </c>
      <c r="CM300" s="14">
        <f t="shared" si="247"/>
        <v>7186</v>
      </c>
      <c r="CN300" s="17">
        <f t="shared" si="248"/>
        <v>4.4843061919962635</v>
      </c>
      <c r="CO300" s="14">
        <f t="shared" si="249"/>
        <v>7586</v>
      </c>
      <c r="CP300" s="17">
        <f t="shared" si="250"/>
        <v>4.7339196733208535</v>
      </c>
      <c r="CQ300" s="14">
        <f t="shared" si="224"/>
        <v>7756</v>
      </c>
      <c r="CR300" s="14">
        <v>88</v>
      </c>
      <c r="CS300" s="14">
        <v>199</v>
      </c>
      <c r="CT300" s="14">
        <v>0</v>
      </c>
      <c r="CU300" s="14">
        <v>0</v>
      </c>
    </row>
    <row r="301" spans="1:99" x14ac:dyDescent="0.3">
      <c r="A301" s="14">
        <v>2014</v>
      </c>
      <c r="B301" s="14" t="s">
        <v>55</v>
      </c>
      <c r="C301" s="14" t="s">
        <v>56</v>
      </c>
      <c r="D301" s="15">
        <v>601396.5</v>
      </c>
      <c r="E301" s="15">
        <v>16477966.500000002</v>
      </c>
      <c r="F301" s="15">
        <f t="shared" si="225"/>
        <v>27.399505151759282</v>
      </c>
      <c r="AB301" s="14">
        <f t="shared" si="226"/>
        <v>0</v>
      </c>
      <c r="AM301" s="14">
        <f t="shared" si="227"/>
        <v>0</v>
      </c>
      <c r="AQ301" s="14">
        <f t="shared" si="228"/>
        <v>0</v>
      </c>
      <c r="AT301" s="14">
        <f t="shared" si="229"/>
        <v>0</v>
      </c>
      <c r="AU301" s="16">
        <v>68</v>
      </c>
      <c r="AV301" s="16">
        <v>0</v>
      </c>
      <c r="AW301" s="16">
        <v>0</v>
      </c>
      <c r="AX301" s="16">
        <v>0</v>
      </c>
      <c r="AY301" s="18">
        <f t="shared" si="230"/>
        <v>4.1267227967722836E-2</v>
      </c>
      <c r="AZ301" s="17">
        <f t="shared" si="231"/>
        <v>0</v>
      </c>
      <c r="BA301" s="17">
        <f t="shared" si="232"/>
        <v>0</v>
      </c>
      <c r="BB301" s="17">
        <f t="shared" si="233"/>
        <v>0</v>
      </c>
      <c r="BC301" s="17">
        <f t="shared" si="201"/>
        <v>0</v>
      </c>
      <c r="BD301" s="17">
        <f t="shared" si="202"/>
        <v>0</v>
      </c>
      <c r="BE301" s="17">
        <f t="shared" si="203"/>
        <v>0</v>
      </c>
      <c r="BF301" s="17">
        <f t="shared" si="204"/>
        <v>0</v>
      </c>
      <c r="BG301" s="17">
        <f t="shared" si="205"/>
        <v>0</v>
      </c>
      <c r="BH301" s="17">
        <f t="shared" si="206"/>
        <v>0</v>
      </c>
      <c r="BI301" s="17">
        <f t="shared" si="207"/>
        <v>0</v>
      </c>
      <c r="BJ301" s="17">
        <f t="shared" si="208"/>
        <v>0</v>
      </c>
      <c r="BK301" s="17">
        <f t="shared" si="209"/>
        <v>0</v>
      </c>
      <c r="BL301" s="17">
        <f t="shared" si="210"/>
        <v>0</v>
      </c>
      <c r="BM301" s="17">
        <f t="shared" si="211"/>
        <v>0</v>
      </c>
      <c r="BN301" s="17">
        <f t="shared" si="212"/>
        <v>0</v>
      </c>
      <c r="BO301" s="17">
        <f t="shared" si="213"/>
        <v>0</v>
      </c>
      <c r="BP301" s="17">
        <f t="shared" si="214"/>
        <v>0</v>
      </c>
      <c r="BQ301" s="17">
        <f t="shared" si="215"/>
        <v>0</v>
      </c>
      <c r="BR301" s="17">
        <f t="shared" si="216"/>
        <v>0</v>
      </c>
      <c r="BS301" s="17">
        <f t="shared" si="217"/>
        <v>0</v>
      </c>
      <c r="BT301" s="17">
        <f t="shared" si="218"/>
        <v>0</v>
      </c>
      <c r="BU301" s="17">
        <f t="shared" si="219"/>
        <v>0</v>
      </c>
      <c r="BV301" s="17">
        <f t="shared" si="220"/>
        <v>0</v>
      </c>
      <c r="BW301" s="17">
        <f t="shared" si="221"/>
        <v>0</v>
      </c>
      <c r="BX301" s="17">
        <f t="shared" si="222"/>
        <v>0</v>
      </c>
      <c r="BY301" s="17">
        <f t="shared" si="223"/>
        <v>0</v>
      </c>
      <c r="BZ301" s="17">
        <f t="shared" si="234"/>
        <v>0</v>
      </c>
      <c r="CA301" s="17">
        <f t="shared" si="235"/>
        <v>0</v>
      </c>
      <c r="CB301" s="17">
        <f t="shared" si="236"/>
        <v>0</v>
      </c>
      <c r="CC301" s="17">
        <f t="shared" si="237"/>
        <v>0</v>
      </c>
      <c r="CD301" s="17">
        <f t="shared" si="238"/>
        <v>0</v>
      </c>
      <c r="CE301" s="17">
        <f t="shared" si="239"/>
        <v>0</v>
      </c>
      <c r="CF301" s="17">
        <f t="shared" si="240"/>
        <v>0</v>
      </c>
      <c r="CG301" s="17">
        <f t="shared" si="241"/>
        <v>0</v>
      </c>
      <c r="CH301" s="17">
        <f t="shared" si="242"/>
        <v>0</v>
      </c>
      <c r="CI301" s="17">
        <f t="shared" si="243"/>
        <v>0</v>
      </c>
      <c r="CJ301" s="17">
        <f t="shared" si="244"/>
        <v>0</v>
      </c>
      <c r="CK301" s="17">
        <f t="shared" si="245"/>
        <v>0</v>
      </c>
      <c r="CL301" s="17">
        <f t="shared" si="246"/>
        <v>0</v>
      </c>
      <c r="CM301" s="14">
        <f t="shared" si="247"/>
        <v>0</v>
      </c>
      <c r="CN301" s="17">
        <f t="shared" si="248"/>
        <v>0</v>
      </c>
      <c r="CO301" s="14">
        <f t="shared" si="249"/>
        <v>68</v>
      </c>
      <c r="CP301" s="17">
        <f t="shared" si="250"/>
        <v>4.1267227967722836E-2</v>
      </c>
      <c r="CQ301" s="14">
        <f t="shared" si="224"/>
        <v>68</v>
      </c>
      <c r="CR301" s="14">
        <v>0</v>
      </c>
      <c r="CS301" s="14">
        <v>0</v>
      </c>
      <c r="CT301" s="14">
        <v>0</v>
      </c>
      <c r="CU301" s="14">
        <v>0</v>
      </c>
    </row>
    <row r="302" spans="1:99" x14ac:dyDescent="0.3">
      <c r="A302" s="14">
        <v>2015</v>
      </c>
      <c r="B302" s="14" t="s">
        <v>55</v>
      </c>
      <c r="C302" s="14" t="s">
        <v>56</v>
      </c>
      <c r="D302" s="15">
        <v>602721.6</v>
      </c>
      <c r="E302" s="15">
        <v>16938941.500000004</v>
      </c>
      <c r="F302" s="15">
        <f t="shared" si="225"/>
        <v>28.104089018877048</v>
      </c>
      <c r="AB302" s="14">
        <f t="shared" si="226"/>
        <v>0</v>
      </c>
      <c r="AM302" s="14">
        <f t="shared" si="227"/>
        <v>0</v>
      </c>
      <c r="AQ302" s="14">
        <f t="shared" si="228"/>
        <v>0</v>
      </c>
      <c r="AT302" s="14">
        <f t="shared" si="229"/>
        <v>0</v>
      </c>
      <c r="AU302" s="16">
        <v>0</v>
      </c>
      <c r="AV302" s="16">
        <v>0</v>
      </c>
      <c r="AW302" s="16">
        <v>0</v>
      </c>
      <c r="AX302" s="16">
        <v>0</v>
      </c>
      <c r="AY302" s="18">
        <f t="shared" si="230"/>
        <v>0</v>
      </c>
      <c r="AZ302" s="17">
        <f t="shared" si="231"/>
        <v>0</v>
      </c>
      <c r="BA302" s="17">
        <f t="shared" si="232"/>
        <v>0</v>
      </c>
      <c r="BB302" s="17">
        <f t="shared" si="233"/>
        <v>0</v>
      </c>
      <c r="BC302" s="17">
        <f t="shared" si="201"/>
        <v>0</v>
      </c>
      <c r="BD302" s="17">
        <f t="shared" si="202"/>
        <v>0</v>
      </c>
      <c r="BE302" s="17">
        <f t="shared" si="203"/>
        <v>0</v>
      </c>
      <c r="BF302" s="17">
        <f t="shared" si="204"/>
        <v>0</v>
      </c>
      <c r="BG302" s="17">
        <f t="shared" si="205"/>
        <v>0</v>
      </c>
      <c r="BH302" s="17">
        <f t="shared" si="206"/>
        <v>0</v>
      </c>
      <c r="BI302" s="17">
        <f t="shared" si="207"/>
        <v>0</v>
      </c>
      <c r="BJ302" s="17">
        <f t="shared" si="208"/>
        <v>0</v>
      </c>
      <c r="BK302" s="17">
        <f t="shared" si="209"/>
        <v>0</v>
      </c>
      <c r="BL302" s="17">
        <f t="shared" si="210"/>
        <v>0</v>
      </c>
      <c r="BM302" s="17">
        <f t="shared" si="211"/>
        <v>0</v>
      </c>
      <c r="BN302" s="17">
        <f t="shared" si="212"/>
        <v>0</v>
      </c>
      <c r="BO302" s="17">
        <f t="shared" si="213"/>
        <v>0</v>
      </c>
      <c r="BP302" s="17">
        <f t="shared" si="214"/>
        <v>0</v>
      </c>
      <c r="BQ302" s="17">
        <f t="shared" si="215"/>
        <v>0</v>
      </c>
      <c r="BR302" s="17">
        <f t="shared" si="216"/>
        <v>0</v>
      </c>
      <c r="BS302" s="17">
        <f t="shared" si="217"/>
        <v>0</v>
      </c>
      <c r="BT302" s="17">
        <f t="shared" si="218"/>
        <v>0</v>
      </c>
      <c r="BU302" s="17">
        <f t="shared" si="219"/>
        <v>0</v>
      </c>
      <c r="BV302" s="17">
        <f t="shared" si="220"/>
        <v>0</v>
      </c>
      <c r="BW302" s="17">
        <f t="shared" si="221"/>
        <v>0</v>
      </c>
      <c r="BX302" s="17">
        <f t="shared" si="222"/>
        <v>0</v>
      </c>
      <c r="BY302" s="17">
        <f t="shared" si="223"/>
        <v>0</v>
      </c>
      <c r="BZ302" s="17">
        <f t="shared" si="234"/>
        <v>0</v>
      </c>
      <c r="CA302" s="17">
        <f t="shared" si="235"/>
        <v>0</v>
      </c>
      <c r="CB302" s="17">
        <f t="shared" si="236"/>
        <v>0</v>
      </c>
      <c r="CC302" s="17">
        <f t="shared" si="237"/>
        <v>0</v>
      </c>
      <c r="CD302" s="17">
        <f t="shared" si="238"/>
        <v>0</v>
      </c>
      <c r="CE302" s="17">
        <f t="shared" si="239"/>
        <v>0</v>
      </c>
      <c r="CF302" s="17">
        <f t="shared" si="240"/>
        <v>0</v>
      </c>
      <c r="CG302" s="17">
        <f t="shared" si="241"/>
        <v>0</v>
      </c>
      <c r="CH302" s="17">
        <f t="shared" si="242"/>
        <v>0</v>
      </c>
      <c r="CI302" s="17">
        <f t="shared" si="243"/>
        <v>0</v>
      </c>
      <c r="CJ302" s="17">
        <f t="shared" si="244"/>
        <v>0</v>
      </c>
      <c r="CK302" s="17">
        <f t="shared" si="245"/>
        <v>0</v>
      </c>
      <c r="CL302" s="17">
        <f t="shared" si="246"/>
        <v>0</v>
      </c>
      <c r="CM302" s="14">
        <f t="shared" si="247"/>
        <v>0</v>
      </c>
      <c r="CN302" s="17">
        <f t="shared" si="248"/>
        <v>0</v>
      </c>
      <c r="CO302" s="14">
        <f t="shared" si="249"/>
        <v>0</v>
      </c>
      <c r="CP302" s="17">
        <f t="shared" si="250"/>
        <v>0</v>
      </c>
      <c r="CQ302" s="14">
        <f t="shared" si="224"/>
        <v>0</v>
      </c>
      <c r="CR302" s="14">
        <v>0</v>
      </c>
      <c r="CS302" s="14">
        <v>0</v>
      </c>
      <c r="CT302" s="14">
        <v>0</v>
      </c>
      <c r="CU302" s="14">
        <v>0</v>
      </c>
    </row>
    <row r="303" spans="1:99" x14ac:dyDescent="0.3">
      <c r="A303" s="14">
        <v>2016</v>
      </c>
      <c r="B303" s="14" t="s">
        <v>55</v>
      </c>
      <c r="C303" s="14" t="s">
        <v>56</v>
      </c>
      <c r="D303" s="15">
        <v>604185.30000000005</v>
      </c>
      <c r="E303" s="15">
        <v>17405623.5</v>
      </c>
      <c r="F303" s="15">
        <f t="shared" si="225"/>
        <v>28.808419370679822</v>
      </c>
      <c r="Y303" s="14">
        <v>397</v>
      </c>
      <c r="AB303" s="14">
        <f t="shared" si="226"/>
        <v>0</v>
      </c>
      <c r="AI303" s="14">
        <v>1159</v>
      </c>
      <c r="AJ303" s="14">
        <v>218</v>
      </c>
      <c r="AM303" s="14">
        <f t="shared" si="227"/>
        <v>0</v>
      </c>
      <c r="AQ303" s="14">
        <f t="shared" si="228"/>
        <v>0</v>
      </c>
      <c r="AT303" s="14">
        <f t="shared" si="229"/>
        <v>0</v>
      </c>
      <c r="AU303" s="16">
        <v>1093</v>
      </c>
      <c r="AV303" s="16">
        <v>9146</v>
      </c>
      <c r="AW303" s="16">
        <v>1136</v>
      </c>
      <c r="AX303" s="16">
        <v>0</v>
      </c>
      <c r="AY303" s="18">
        <f t="shared" si="230"/>
        <v>0.62795797002043618</v>
      </c>
      <c r="AZ303" s="17">
        <f t="shared" si="231"/>
        <v>5.254623599091409</v>
      </c>
      <c r="BA303" s="17">
        <f t="shared" si="232"/>
        <v>0.65266262940824848</v>
      </c>
      <c r="BB303" s="17">
        <f t="shared" si="233"/>
        <v>0</v>
      </c>
      <c r="BC303" s="17">
        <f t="shared" si="201"/>
        <v>0</v>
      </c>
      <c r="BD303" s="17">
        <f t="shared" si="202"/>
        <v>0</v>
      </c>
      <c r="BE303" s="17">
        <f t="shared" si="203"/>
        <v>0</v>
      </c>
      <c r="BF303" s="17">
        <f t="shared" si="204"/>
        <v>0</v>
      </c>
      <c r="BG303" s="17">
        <f t="shared" si="205"/>
        <v>0</v>
      </c>
      <c r="BH303" s="17">
        <f t="shared" si="206"/>
        <v>0</v>
      </c>
      <c r="BI303" s="17">
        <f t="shared" si="207"/>
        <v>0</v>
      </c>
      <c r="BJ303" s="17">
        <f t="shared" si="208"/>
        <v>0</v>
      </c>
      <c r="BK303" s="17">
        <f t="shared" si="209"/>
        <v>0</v>
      </c>
      <c r="BL303" s="17">
        <f t="shared" si="210"/>
        <v>0</v>
      </c>
      <c r="BM303" s="17">
        <f t="shared" si="211"/>
        <v>0</v>
      </c>
      <c r="BN303" s="17">
        <f t="shared" si="212"/>
        <v>0</v>
      </c>
      <c r="BO303" s="17">
        <f t="shared" si="213"/>
        <v>0</v>
      </c>
      <c r="BP303" s="17">
        <f t="shared" si="214"/>
        <v>0</v>
      </c>
      <c r="BQ303" s="17">
        <f t="shared" si="215"/>
        <v>0</v>
      </c>
      <c r="BR303" s="17">
        <f t="shared" si="216"/>
        <v>0</v>
      </c>
      <c r="BS303" s="17">
        <f t="shared" si="217"/>
        <v>0</v>
      </c>
      <c r="BT303" s="17">
        <f t="shared" si="218"/>
        <v>0</v>
      </c>
      <c r="BU303" s="17">
        <f t="shared" si="219"/>
        <v>0.22808720411538261</v>
      </c>
      <c r="BV303" s="17">
        <f t="shared" si="220"/>
        <v>0</v>
      </c>
      <c r="BW303" s="17">
        <f t="shared" si="221"/>
        <v>0</v>
      </c>
      <c r="BX303" s="17">
        <f t="shared" si="222"/>
        <v>0</v>
      </c>
      <c r="BY303" s="17">
        <f t="shared" si="223"/>
        <v>0</v>
      </c>
      <c r="BZ303" s="17">
        <f t="shared" si="234"/>
        <v>0</v>
      </c>
      <c r="CA303" s="17">
        <f t="shared" si="235"/>
        <v>0</v>
      </c>
      <c r="CB303" s="17">
        <f t="shared" si="236"/>
        <v>0</v>
      </c>
      <c r="CC303" s="17">
        <f t="shared" si="237"/>
        <v>0</v>
      </c>
      <c r="CD303" s="17">
        <f t="shared" si="238"/>
        <v>0.66587674954591547</v>
      </c>
      <c r="CE303" s="17">
        <f t="shared" si="239"/>
        <v>0.12524687782658289</v>
      </c>
      <c r="CF303" s="17">
        <f t="shared" si="240"/>
        <v>0</v>
      </c>
      <c r="CG303" s="17">
        <f t="shared" si="241"/>
        <v>0</v>
      </c>
      <c r="CH303" s="17">
        <f t="shared" si="242"/>
        <v>0</v>
      </c>
      <c r="CI303" s="17">
        <f t="shared" si="243"/>
        <v>0</v>
      </c>
      <c r="CJ303" s="17">
        <f t="shared" si="244"/>
        <v>0</v>
      </c>
      <c r="CK303" s="17">
        <f t="shared" si="245"/>
        <v>0</v>
      </c>
      <c r="CL303" s="17">
        <f t="shared" si="246"/>
        <v>0</v>
      </c>
      <c r="CM303" s="14">
        <f t="shared" si="247"/>
        <v>10282</v>
      </c>
      <c r="CN303" s="17">
        <f t="shared" si="248"/>
        <v>5.9072862284996575</v>
      </c>
      <c r="CO303" s="14">
        <f t="shared" si="249"/>
        <v>11375</v>
      </c>
      <c r="CP303" s="17">
        <f t="shared" si="250"/>
        <v>6.5352441985200933</v>
      </c>
      <c r="CQ303" s="14">
        <f t="shared" si="224"/>
        <v>13149</v>
      </c>
      <c r="CR303" s="14">
        <v>0</v>
      </c>
      <c r="CS303" s="14">
        <v>0</v>
      </c>
      <c r="CT303" s="14">
        <v>0</v>
      </c>
      <c r="CU303" s="14">
        <v>0</v>
      </c>
    </row>
    <row r="304" spans="1:99" x14ac:dyDescent="0.3">
      <c r="A304" s="14">
        <v>2017</v>
      </c>
      <c r="B304" s="14" t="s">
        <v>55</v>
      </c>
      <c r="C304" s="14" t="s">
        <v>56</v>
      </c>
      <c r="D304" s="15">
        <v>609708.69999999995</v>
      </c>
      <c r="E304" s="15">
        <v>17881167.000000004</v>
      </c>
      <c r="F304" s="15">
        <f t="shared" si="225"/>
        <v>29.327393556955979</v>
      </c>
      <c r="AB304" s="14">
        <f t="shared" si="226"/>
        <v>0</v>
      </c>
      <c r="AM304" s="14">
        <f t="shared" si="227"/>
        <v>0</v>
      </c>
      <c r="AQ304" s="14">
        <f t="shared" si="228"/>
        <v>0</v>
      </c>
      <c r="AT304" s="14">
        <f t="shared" si="229"/>
        <v>0</v>
      </c>
      <c r="AU304" s="16">
        <v>11</v>
      </c>
      <c r="AV304" s="16">
        <v>0</v>
      </c>
      <c r="AW304" s="16">
        <v>0</v>
      </c>
      <c r="AX304" s="16">
        <v>0</v>
      </c>
      <c r="AY304" s="18">
        <f t="shared" si="230"/>
        <v>6.151723766127791E-3</v>
      </c>
      <c r="AZ304" s="17">
        <f t="shared" si="231"/>
        <v>0</v>
      </c>
      <c r="BA304" s="17">
        <f t="shared" si="232"/>
        <v>0</v>
      </c>
      <c r="BB304" s="17">
        <f t="shared" si="233"/>
        <v>0</v>
      </c>
      <c r="BC304" s="17">
        <f t="shared" si="201"/>
        <v>0</v>
      </c>
      <c r="BD304" s="17">
        <f t="shared" si="202"/>
        <v>0</v>
      </c>
      <c r="BE304" s="17">
        <f t="shared" si="203"/>
        <v>0</v>
      </c>
      <c r="BF304" s="17">
        <f t="shared" si="204"/>
        <v>0</v>
      </c>
      <c r="BG304" s="17">
        <f t="shared" si="205"/>
        <v>0</v>
      </c>
      <c r="BH304" s="17">
        <f t="shared" si="206"/>
        <v>0</v>
      </c>
      <c r="BI304" s="17">
        <f t="shared" si="207"/>
        <v>0</v>
      </c>
      <c r="BJ304" s="17">
        <f t="shared" si="208"/>
        <v>0</v>
      </c>
      <c r="BK304" s="17">
        <f t="shared" si="209"/>
        <v>0</v>
      </c>
      <c r="BL304" s="17">
        <f t="shared" si="210"/>
        <v>0</v>
      </c>
      <c r="BM304" s="17">
        <f t="shared" si="211"/>
        <v>0</v>
      </c>
      <c r="BN304" s="17">
        <f t="shared" si="212"/>
        <v>0</v>
      </c>
      <c r="BO304" s="17">
        <f t="shared" si="213"/>
        <v>0</v>
      </c>
      <c r="BP304" s="17">
        <f t="shared" si="214"/>
        <v>0</v>
      </c>
      <c r="BQ304" s="17">
        <f t="shared" si="215"/>
        <v>0</v>
      </c>
      <c r="BR304" s="17">
        <f t="shared" si="216"/>
        <v>0</v>
      </c>
      <c r="BS304" s="17">
        <f t="shared" si="217"/>
        <v>0</v>
      </c>
      <c r="BT304" s="17">
        <f t="shared" si="218"/>
        <v>0</v>
      </c>
      <c r="BU304" s="17">
        <f t="shared" si="219"/>
        <v>0</v>
      </c>
      <c r="BV304" s="17">
        <f t="shared" si="220"/>
        <v>0</v>
      </c>
      <c r="BW304" s="17">
        <f t="shared" si="221"/>
        <v>0</v>
      </c>
      <c r="BX304" s="17">
        <f t="shared" si="222"/>
        <v>0</v>
      </c>
      <c r="BY304" s="17">
        <f t="shared" si="223"/>
        <v>0</v>
      </c>
      <c r="BZ304" s="17">
        <f t="shared" si="234"/>
        <v>0</v>
      </c>
      <c r="CA304" s="17">
        <f t="shared" si="235"/>
        <v>0</v>
      </c>
      <c r="CB304" s="17">
        <f t="shared" si="236"/>
        <v>0</v>
      </c>
      <c r="CC304" s="17">
        <f t="shared" si="237"/>
        <v>0</v>
      </c>
      <c r="CD304" s="17">
        <f t="shared" si="238"/>
        <v>0</v>
      </c>
      <c r="CE304" s="17">
        <f t="shared" si="239"/>
        <v>0</v>
      </c>
      <c r="CF304" s="17">
        <f t="shared" si="240"/>
        <v>0</v>
      </c>
      <c r="CG304" s="17">
        <f t="shared" si="241"/>
        <v>0</v>
      </c>
      <c r="CH304" s="17">
        <f t="shared" si="242"/>
        <v>0</v>
      </c>
      <c r="CI304" s="17">
        <f t="shared" si="243"/>
        <v>0</v>
      </c>
      <c r="CJ304" s="17">
        <f t="shared" si="244"/>
        <v>0</v>
      </c>
      <c r="CK304" s="17">
        <f t="shared" si="245"/>
        <v>0</v>
      </c>
      <c r="CL304" s="17">
        <f t="shared" si="246"/>
        <v>0</v>
      </c>
      <c r="CM304" s="14">
        <f t="shared" si="247"/>
        <v>0</v>
      </c>
      <c r="CN304" s="17">
        <f t="shared" si="248"/>
        <v>0</v>
      </c>
      <c r="CO304" s="14">
        <f t="shared" si="249"/>
        <v>11</v>
      </c>
      <c r="CP304" s="17">
        <f t="shared" si="250"/>
        <v>6.151723766127791E-3</v>
      </c>
      <c r="CQ304" s="14">
        <f t="shared" si="224"/>
        <v>11</v>
      </c>
      <c r="CR304" s="14">
        <v>0</v>
      </c>
      <c r="CS304" s="14">
        <v>0</v>
      </c>
      <c r="CT304" s="14">
        <v>0</v>
      </c>
      <c r="CU304" s="14">
        <v>0</v>
      </c>
    </row>
    <row r="305" spans="1:99" x14ac:dyDescent="0.3">
      <c r="A305" s="14">
        <v>2018</v>
      </c>
      <c r="B305" s="14" t="s">
        <v>55</v>
      </c>
      <c r="C305" s="14" t="s">
        <v>56</v>
      </c>
      <c r="D305" s="15">
        <v>619407.19999999995</v>
      </c>
      <c r="E305" s="15">
        <v>18367882.999999985</v>
      </c>
      <c r="F305" s="15">
        <f t="shared" si="225"/>
        <v>29.653970764304947</v>
      </c>
      <c r="G305" s="14">
        <v>112</v>
      </c>
      <c r="H305" s="14">
        <v>387</v>
      </c>
      <c r="M305" s="14">
        <v>10016</v>
      </c>
      <c r="Z305" s="14">
        <v>542</v>
      </c>
      <c r="AB305" s="14">
        <f t="shared" si="226"/>
        <v>0</v>
      </c>
      <c r="AJ305" s="14">
        <v>234</v>
      </c>
      <c r="AM305" s="14">
        <f t="shared" si="227"/>
        <v>0</v>
      </c>
      <c r="AQ305" s="14">
        <f t="shared" si="228"/>
        <v>0</v>
      </c>
      <c r="AT305" s="14">
        <f t="shared" si="229"/>
        <v>0</v>
      </c>
      <c r="AU305" s="16">
        <v>5520</v>
      </c>
      <c r="AV305" s="16">
        <v>15914</v>
      </c>
      <c r="AW305" s="16">
        <v>0</v>
      </c>
      <c r="AX305" s="16">
        <v>0</v>
      </c>
      <c r="AY305" s="18">
        <f t="shared" si="230"/>
        <v>3.005245623570231</v>
      </c>
      <c r="AZ305" s="17">
        <f t="shared" si="231"/>
        <v>8.6640360241841776</v>
      </c>
      <c r="BA305" s="17">
        <f t="shared" si="232"/>
        <v>0</v>
      </c>
      <c r="BB305" s="17">
        <f t="shared" si="233"/>
        <v>0</v>
      </c>
      <c r="BC305" s="17">
        <f t="shared" si="201"/>
        <v>6.0975998159395993E-2</v>
      </c>
      <c r="BD305" s="17">
        <f t="shared" si="202"/>
        <v>0.21069385078291294</v>
      </c>
      <c r="BE305" s="17">
        <f t="shared" si="203"/>
        <v>0</v>
      </c>
      <c r="BF305" s="17">
        <f t="shared" si="204"/>
        <v>0</v>
      </c>
      <c r="BG305" s="17">
        <f t="shared" si="205"/>
        <v>0</v>
      </c>
      <c r="BH305" s="17">
        <f t="shared" si="206"/>
        <v>0</v>
      </c>
      <c r="BI305" s="17">
        <f t="shared" si="207"/>
        <v>5.4529964068259842</v>
      </c>
      <c r="BJ305" s="17">
        <f t="shared" si="208"/>
        <v>0</v>
      </c>
      <c r="BK305" s="17">
        <f t="shared" si="209"/>
        <v>0</v>
      </c>
      <c r="BL305" s="17">
        <f t="shared" si="210"/>
        <v>0</v>
      </c>
      <c r="BM305" s="17">
        <f t="shared" si="211"/>
        <v>0</v>
      </c>
      <c r="BN305" s="17">
        <f t="shared" si="212"/>
        <v>0</v>
      </c>
      <c r="BO305" s="17">
        <f t="shared" si="213"/>
        <v>0</v>
      </c>
      <c r="BP305" s="17">
        <f t="shared" si="214"/>
        <v>0</v>
      </c>
      <c r="BQ305" s="17">
        <f t="shared" si="215"/>
        <v>0</v>
      </c>
      <c r="BR305" s="17">
        <f t="shared" si="216"/>
        <v>0</v>
      </c>
      <c r="BS305" s="17">
        <f t="shared" si="217"/>
        <v>0</v>
      </c>
      <c r="BT305" s="17">
        <f t="shared" si="218"/>
        <v>0</v>
      </c>
      <c r="BU305" s="17">
        <f t="shared" si="219"/>
        <v>0</v>
      </c>
      <c r="BV305" s="17">
        <f t="shared" si="220"/>
        <v>0.29508027680707705</v>
      </c>
      <c r="BW305" s="17">
        <f t="shared" si="221"/>
        <v>0</v>
      </c>
      <c r="BX305" s="17">
        <f t="shared" si="222"/>
        <v>0</v>
      </c>
      <c r="BY305" s="17">
        <f t="shared" si="223"/>
        <v>0</v>
      </c>
      <c r="BZ305" s="17">
        <f t="shared" si="234"/>
        <v>0</v>
      </c>
      <c r="CA305" s="17">
        <f t="shared" si="235"/>
        <v>0</v>
      </c>
      <c r="CB305" s="17">
        <f t="shared" si="236"/>
        <v>0</v>
      </c>
      <c r="CC305" s="17">
        <f t="shared" si="237"/>
        <v>0</v>
      </c>
      <c r="CD305" s="17">
        <f t="shared" si="238"/>
        <v>0</v>
      </c>
      <c r="CE305" s="17">
        <f t="shared" si="239"/>
        <v>0.12739628186873805</v>
      </c>
      <c r="CF305" s="17">
        <f t="shared" si="240"/>
        <v>0</v>
      </c>
      <c r="CG305" s="17">
        <f t="shared" si="241"/>
        <v>0</v>
      </c>
      <c r="CH305" s="17">
        <f t="shared" si="242"/>
        <v>0</v>
      </c>
      <c r="CI305" s="17">
        <f t="shared" si="243"/>
        <v>0</v>
      </c>
      <c r="CJ305" s="17">
        <f t="shared" si="244"/>
        <v>0</v>
      </c>
      <c r="CK305" s="17">
        <f t="shared" si="245"/>
        <v>0</v>
      </c>
      <c r="CL305" s="17">
        <f t="shared" si="246"/>
        <v>0</v>
      </c>
      <c r="CM305" s="14">
        <f t="shared" si="247"/>
        <v>15914</v>
      </c>
      <c r="CN305" s="17">
        <f t="shared" si="248"/>
        <v>8.6640360241841776</v>
      </c>
      <c r="CO305" s="14">
        <f t="shared" si="249"/>
        <v>21434</v>
      </c>
      <c r="CP305" s="17">
        <f t="shared" si="250"/>
        <v>11.669281647754408</v>
      </c>
      <c r="CQ305" s="14">
        <f t="shared" si="224"/>
        <v>32725</v>
      </c>
      <c r="CR305" s="14">
        <v>916</v>
      </c>
      <c r="CS305" s="14">
        <v>570</v>
      </c>
      <c r="CT305" s="14">
        <v>0</v>
      </c>
      <c r="CU305" s="14">
        <v>0</v>
      </c>
    </row>
    <row r="306" spans="1:99" x14ac:dyDescent="0.3">
      <c r="A306" s="14">
        <v>2019</v>
      </c>
      <c r="B306" s="14" t="s">
        <v>55</v>
      </c>
      <c r="C306" s="14" t="s">
        <v>56</v>
      </c>
      <c r="D306" s="15">
        <v>630365.19999999995</v>
      </c>
      <c r="E306" s="15">
        <v>18867336.499999993</v>
      </c>
      <c r="F306" s="15">
        <f t="shared" si="225"/>
        <v>29.930802810815056</v>
      </c>
      <c r="AB306" s="14">
        <f t="shared" si="226"/>
        <v>0</v>
      </c>
      <c r="AM306" s="14">
        <f t="shared" si="227"/>
        <v>0</v>
      </c>
      <c r="AQ306" s="14">
        <f t="shared" si="228"/>
        <v>0</v>
      </c>
      <c r="AT306" s="14">
        <f t="shared" si="229"/>
        <v>0</v>
      </c>
      <c r="AU306" s="16">
        <v>0</v>
      </c>
      <c r="AV306" s="16">
        <v>0</v>
      </c>
      <c r="AW306" s="16">
        <v>0</v>
      </c>
      <c r="AX306" s="16">
        <v>0</v>
      </c>
      <c r="AY306" s="18">
        <f t="shared" si="230"/>
        <v>0</v>
      </c>
      <c r="AZ306" s="17">
        <f t="shared" si="231"/>
        <v>0</v>
      </c>
      <c r="BA306" s="17">
        <f t="shared" si="232"/>
        <v>0</v>
      </c>
      <c r="BB306" s="17">
        <f t="shared" si="233"/>
        <v>0</v>
      </c>
      <c r="BC306" s="17">
        <f t="shared" si="201"/>
        <v>0</v>
      </c>
      <c r="BD306" s="17">
        <f t="shared" si="202"/>
        <v>0</v>
      </c>
      <c r="BE306" s="17">
        <f t="shared" si="203"/>
        <v>0</v>
      </c>
      <c r="BF306" s="17">
        <f t="shared" si="204"/>
        <v>0</v>
      </c>
      <c r="BG306" s="17">
        <f t="shared" si="205"/>
        <v>0</v>
      </c>
      <c r="BH306" s="17">
        <f t="shared" si="206"/>
        <v>0</v>
      </c>
      <c r="BI306" s="17">
        <f t="shared" si="207"/>
        <v>0</v>
      </c>
      <c r="BJ306" s="17">
        <f t="shared" si="208"/>
        <v>0</v>
      </c>
      <c r="BK306" s="17">
        <f t="shared" si="209"/>
        <v>0</v>
      </c>
      <c r="BL306" s="17">
        <f t="shared" si="210"/>
        <v>0</v>
      </c>
      <c r="BM306" s="17">
        <f t="shared" si="211"/>
        <v>0</v>
      </c>
      <c r="BN306" s="17">
        <f t="shared" si="212"/>
        <v>0</v>
      </c>
      <c r="BO306" s="17">
        <f t="shared" si="213"/>
        <v>0</v>
      </c>
      <c r="BP306" s="17">
        <f t="shared" si="214"/>
        <v>0</v>
      </c>
      <c r="BQ306" s="17">
        <f t="shared" si="215"/>
        <v>0</v>
      </c>
      <c r="BR306" s="17">
        <f t="shared" si="216"/>
        <v>0</v>
      </c>
      <c r="BS306" s="17">
        <f t="shared" si="217"/>
        <v>0</v>
      </c>
      <c r="BT306" s="17">
        <f t="shared" si="218"/>
        <v>0</v>
      </c>
      <c r="BU306" s="17">
        <f t="shared" si="219"/>
        <v>0</v>
      </c>
      <c r="BV306" s="17">
        <f t="shared" si="220"/>
        <v>0</v>
      </c>
      <c r="BW306" s="17">
        <f t="shared" si="221"/>
        <v>0</v>
      </c>
      <c r="BX306" s="17">
        <f t="shared" si="222"/>
        <v>0</v>
      </c>
      <c r="BY306" s="17">
        <f t="shared" si="223"/>
        <v>0</v>
      </c>
      <c r="BZ306" s="17">
        <f t="shared" si="234"/>
        <v>0</v>
      </c>
      <c r="CA306" s="17">
        <f t="shared" si="235"/>
        <v>0</v>
      </c>
      <c r="CB306" s="17">
        <f t="shared" si="236"/>
        <v>0</v>
      </c>
      <c r="CC306" s="17">
        <f t="shared" si="237"/>
        <v>0</v>
      </c>
      <c r="CD306" s="17">
        <f t="shared" si="238"/>
        <v>0</v>
      </c>
      <c r="CE306" s="17">
        <f t="shared" si="239"/>
        <v>0</v>
      </c>
      <c r="CF306" s="17">
        <f t="shared" si="240"/>
        <v>0</v>
      </c>
      <c r="CG306" s="17">
        <f t="shared" si="241"/>
        <v>0</v>
      </c>
      <c r="CH306" s="17">
        <f t="shared" si="242"/>
        <v>0</v>
      </c>
      <c r="CI306" s="17">
        <f t="shared" si="243"/>
        <v>0</v>
      </c>
      <c r="CJ306" s="17">
        <f t="shared" si="244"/>
        <v>0</v>
      </c>
      <c r="CK306" s="17">
        <f t="shared" si="245"/>
        <v>0</v>
      </c>
      <c r="CL306" s="17">
        <f t="shared" si="246"/>
        <v>0</v>
      </c>
      <c r="CM306" s="14">
        <f t="shared" si="247"/>
        <v>0</v>
      </c>
      <c r="CN306" s="17">
        <f t="shared" si="248"/>
        <v>0</v>
      </c>
      <c r="CO306" s="14">
        <f t="shared" si="249"/>
        <v>0</v>
      </c>
      <c r="CP306" s="17">
        <f t="shared" si="250"/>
        <v>0</v>
      </c>
      <c r="CQ306" s="14">
        <f t="shared" si="224"/>
        <v>0</v>
      </c>
      <c r="CR306" s="14">
        <v>50</v>
      </c>
      <c r="CS306" s="14">
        <v>107</v>
      </c>
      <c r="CT306" s="14">
        <v>0</v>
      </c>
      <c r="CU306" s="14">
        <v>0</v>
      </c>
    </row>
    <row r="307" spans="1:99" x14ac:dyDescent="0.3">
      <c r="A307" s="14">
        <v>2020</v>
      </c>
      <c r="B307" s="14" t="s">
        <v>55</v>
      </c>
      <c r="C307" s="14" t="s">
        <v>56</v>
      </c>
      <c r="D307" s="15">
        <v>641720.1</v>
      </c>
      <c r="E307" s="15">
        <v>19377061.499999985</v>
      </c>
      <c r="F307" s="15">
        <f t="shared" si="225"/>
        <v>30.1955034601534</v>
      </c>
      <c r="G307" s="14">
        <v>149</v>
      </c>
      <c r="H307" s="14">
        <v>151</v>
      </c>
      <c r="I307" s="14">
        <v>2848</v>
      </c>
      <c r="J307" s="14">
        <v>0</v>
      </c>
      <c r="K307" s="14">
        <v>0</v>
      </c>
      <c r="L307" s="14">
        <v>13</v>
      </c>
      <c r="M307" s="14">
        <v>0</v>
      </c>
      <c r="N307" s="14">
        <v>204</v>
      </c>
      <c r="O307" s="14">
        <v>0</v>
      </c>
      <c r="P307" s="14">
        <v>31</v>
      </c>
      <c r="Q307" s="14">
        <v>0</v>
      </c>
      <c r="R307" s="14">
        <v>249</v>
      </c>
      <c r="S307" s="14">
        <v>321</v>
      </c>
      <c r="T307" s="14">
        <v>196</v>
      </c>
      <c r="U307" s="14">
        <v>334</v>
      </c>
      <c r="V307" s="14">
        <v>0</v>
      </c>
      <c r="W307" s="14">
        <v>2630</v>
      </c>
      <c r="X307" s="14">
        <v>1809</v>
      </c>
      <c r="Y307" s="14">
        <v>282</v>
      </c>
      <c r="Z307" s="14">
        <v>743</v>
      </c>
      <c r="AA307" s="14">
        <v>0</v>
      </c>
      <c r="AB307" s="14">
        <f t="shared" si="226"/>
        <v>0</v>
      </c>
      <c r="AC307" s="14">
        <v>0</v>
      </c>
      <c r="AD307" s="14">
        <v>0</v>
      </c>
      <c r="AE307" s="14">
        <v>54</v>
      </c>
      <c r="AF307" s="14">
        <v>91</v>
      </c>
      <c r="AI307" s="14">
        <v>0</v>
      </c>
      <c r="AJ307" s="14">
        <v>600</v>
      </c>
      <c r="AK307" s="14">
        <v>152</v>
      </c>
      <c r="AL307" s="14">
        <v>0</v>
      </c>
      <c r="AM307" s="14">
        <f t="shared" si="227"/>
        <v>152</v>
      </c>
      <c r="AN307" s="14">
        <v>0</v>
      </c>
      <c r="AO307" s="14">
        <v>0</v>
      </c>
      <c r="AP307" s="14">
        <v>0</v>
      </c>
      <c r="AQ307" s="14">
        <f t="shared" si="228"/>
        <v>0</v>
      </c>
      <c r="AR307" s="14">
        <v>0</v>
      </c>
      <c r="AS307" s="14">
        <v>0</v>
      </c>
      <c r="AT307" s="14">
        <f t="shared" si="229"/>
        <v>0</v>
      </c>
      <c r="AU307" s="16">
        <v>2265</v>
      </c>
      <c r="AV307" s="16">
        <v>32965</v>
      </c>
      <c r="AW307" s="16">
        <v>0</v>
      </c>
      <c r="AX307" s="16">
        <v>0</v>
      </c>
      <c r="AY307" s="18">
        <f t="shared" si="230"/>
        <v>1.1689078862654183</v>
      </c>
      <c r="AZ307" s="17">
        <f t="shared" si="231"/>
        <v>17.012383430790074</v>
      </c>
      <c r="BA307" s="17">
        <f t="shared" si="232"/>
        <v>0</v>
      </c>
      <c r="BB307" s="17">
        <f t="shared" si="233"/>
        <v>0</v>
      </c>
      <c r="BC307" s="17">
        <f t="shared" si="201"/>
        <v>7.6895044173751578E-2</v>
      </c>
      <c r="BD307" s="17">
        <f t="shared" si="202"/>
        <v>7.7927192417694566E-2</v>
      </c>
      <c r="BE307" s="17">
        <f t="shared" si="203"/>
        <v>1.4697790993747955</v>
      </c>
      <c r="BF307" s="17">
        <f t="shared" si="204"/>
        <v>0</v>
      </c>
      <c r="BG307" s="17">
        <f t="shared" si="205"/>
        <v>0</v>
      </c>
      <c r="BH307" s="17">
        <f t="shared" si="206"/>
        <v>6.7089635856293333E-3</v>
      </c>
      <c r="BI307" s="17">
        <f t="shared" si="207"/>
        <v>0</v>
      </c>
      <c r="BJ307" s="17">
        <f t="shared" si="208"/>
        <v>0.10527912088218337</v>
      </c>
      <c r="BK307" s="17">
        <f t="shared" si="209"/>
        <v>0</v>
      </c>
      <c r="BL307" s="17">
        <f t="shared" si="210"/>
        <v>1.59982977811161E-2</v>
      </c>
      <c r="BM307" s="17">
        <f t="shared" si="211"/>
        <v>0</v>
      </c>
      <c r="BN307" s="17">
        <f t="shared" si="212"/>
        <v>0.1285024563709003</v>
      </c>
      <c r="BO307" s="17">
        <f t="shared" si="213"/>
        <v>0.16565979315284737</v>
      </c>
      <c r="BP307" s="17">
        <f t="shared" si="214"/>
        <v>0.10115052790641148</v>
      </c>
      <c r="BQ307" s="17">
        <f t="shared" si="215"/>
        <v>0.17236875673847671</v>
      </c>
      <c r="BR307" s="17">
        <f t="shared" si="216"/>
        <v>0</v>
      </c>
      <c r="BS307" s="17">
        <f t="shared" si="217"/>
        <v>1.3572749407850111</v>
      </c>
      <c r="BT307" s="17">
        <f t="shared" si="218"/>
        <v>0.93357808664642028</v>
      </c>
      <c r="BU307" s="17">
        <f t="shared" si="219"/>
        <v>0.14553290239595937</v>
      </c>
      <c r="BV307" s="17">
        <f t="shared" si="220"/>
        <v>0.38344307262481497</v>
      </c>
      <c r="BW307" s="17">
        <f t="shared" si="221"/>
        <v>0</v>
      </c>
      <c r="BX307" s="17">
        <f t="shared" si="222"/>
        <v>0</v>
      </c>
      <c r="BY307" s="17">
        <f t="shared" si="223"/>
        <v>0</v>
      </c>
      <c r="BZ307" s="17">
        <f t="shared" si="234"/>
        <v>2.7868002586460307E-2</v>
      </c>
      <c r="CA307" s="17">
        <f t="shared" si="235"/>
        <v>4.6962745099405331E-2</v>
      </c>
      <c r="CB307" s="17">
        <f t="shared" si="236"/>
        <v>0</v>
      </c>
      <c r="CC307" s="17">
        <f t="shared" si="237"/>
        <v>0</v>
      </c>
      <c r="CD307" s="17">
        <f t="shared" si="238"/>
        <v>0</v>
      </c>
      <c r="CE307" s="17">
        <f t="shared" si="239"/>
        <v>0.30964447318289229</v>
      </c>
      <c r="CF307" s="17">
        <f t="shared" si="240"/>
        <v>7.8443266539666046E-2</v>
      </c>
      <c r="CG307" s="17">
        <f t="shared" si="241"/>
        <v>0</v>
      </c>
      <c r="CH307" s="17">
        <f t="shared" si="242"/>
        <v>0</v>
      </c>
      <c r="CI307" s="17">
        <f t="shared" si="243"/>
        <v>0</v>
      </c>
      <c r="CJ307" s="17">
        <f t="shared" si="244"/>
        <v>0</v>
      </c>
      <c r="CK307" s="17">
        <f t="shared" si="245"/>
        <v>0</v>
      </c>
      <c r="CL307" s="17">
        <f t="shared" si="246"/>
        <v>0</v>
      </c>
      <c r="CM307" s="14">
        <f t="shared" si="247"/>
        <v>32965</v>
      </c>
      <c r="CN307" s="17">
        <f t="shared" si="248"/>
        <v>17.012383430790074</v>
      </c>
      <c r="CO307" s="14">
        <f t="shared" si="249"/>
        <v>35230</v>
      </c>
      <c r="CP307" s="17">
        <f t="shared" si="250"/>
        <v>18.181291317055493</v>
      </c>
      <c r="CQ307" s="14">
        <f t="shared" si="224"/>
        <v>46239</v>
      </c>
      <c r="CR307" s="14">
        <v>15</v>
      </c>
      <c r="CS307" s="14">
        <v>40</v>
      </c>
      <c r="CT307" s="14">
        <v>9</v>
      </c>
      <c r="CU307" s="14">
        <v>0</v>
      </c>
    </row>
    <row r="308" spans="1:99" x14ac:dyDescent="0.3">
      <c r="A308" s="14">
        <v>2021</v>
      </c>
      <c r="B308" s="14" t="s">
        <v>55</v>
      </c>
      <c r="C308" s="14" t="s">
        <v>56</v>
      </c>
      <c r="D308" s="15">
        <v>652416.6</v>
      </c>
      <c r="E308" s="15">
        <v>19889742.000000011</v>
      </c>
      <c r="F308" s="15">
        <f t="shared" si="225"/>
        <v>30.486259852983526</v>
      </c>
      <c r="AB308" s="14">
        <f t="shared" si="226"/>
        <v>0</v>
      </c>
      <c r="AM308" s="14">
        <f t="shared" si="227"/>
        <v>0</v>
      </c>
      <c r="AQ308" s="14">
        <f t="shared" si="228"/>
        <v>0</v>
      </c>
      <c r="AT308" s="14">
        <f t="shared" si="229"/>
        <v>0</v>
      </c>
      <c r="AU308" s="16">
        <v>0</v>
      </c>
      <c r="AV308" s="16">
        <v>0</v>
      </c>
      <c r="AW308" s="16">
        <v>0</v>
      </c>
      <c r="AX308" s="16">
        <v>0</v>
      </c>
      <c r="AY308" s="18">
        <f t="shared" si="230"/>
        <v>0</v>
      </c>
      <c r="AZ308" s="17">
        <f t="shared" si="231"/>
        <v>0</v>
      </c>
      <c r="BA308" s="17">
        <f t="shared" si="232"/>
        <v>0</v>
      </c>
      <c r="BB308" s="17">
        <f t="shared" si="233"/>
        <v>0</v>
      </c>
      <c r="BC308" s="17">
        <f t="shared" si="201"/>
        <v>0</v>
      </c>
      <c r="BD308" s="17">
        <f t="shared" si="202"/>
        <v>0</v>
      </c>
      <c r="BE308" s="17">
        <f t="shared" si="203"/>
        <v>0</v>
      </c>
      <c r="BF308" s="17">
        <f t="shared" si="204"/>
        <v>0</v>
      </c>
      <c r="BG308" s="17">
        <f t="shared" si="205"/>
        <v>0</v>
      </c>
      <c r="BH308" s="17">
        <f t="shared" si="206"/>
        <v>0</v>
      </c>
      <c r="BI308" s="17">
        <f t="shared" si="207"/>
        <v>0</v>
      </c>
      <c r="BJ308" s="17">
        <f t="shared" si="208"/>
        <v>0</v>
      </c>
      <c r="BK308" s="17">
        <f t="shared" si="209"/>
        <v>0</v>
      </c>
      <c r="BL308" s="17">
        <f t="shared" si="210"/>
        <v>0</v>
      </c>
      <c r="BM308" s="17">
        <f t="shared" si="211"/>
        <v>0</v>
      </c>
      <c r="BN308" s="17">
        <f t="shared" si="212"/>
        <v>0</v>
      </c>
      <c r="BO308" s="17">
        <f t="shared" si="213"/>
        <v>0</v>
      </c>
      <c r="BP308" s="17">
        <f t="shared" si="214"/>
        <v>0</v>
      </c>
      <c r="BQ308" s="17">
        <f t="shared" si="215"/>
        <v>0</v>
      </c>
      <c r="BR308" s="17">
        <f t="shared" si="216"/>
        <v>0</v>
      </c>
      <c r="BS308" s="17">
        <f t="shared" si="217"/>
        <v>0</v>
      </c>
      <c r="BT308" s="17">
        <f t="shared" si="218"/>
        <v>0</v>
      </c>
      <c r="BU308" s="17">
        <f t="shared" si="219"/>
        <v>0</v>
      </c>
      <c r="BV308" s="17">
        <f t="shared" si="220"/>
        <v>0</v>
      </c>
      <c r="BW308" s="17">
        <f t="shared" si="221"/>
        <v>0</v>
      </c>
      <c r="BX308" s="17">
        <f t="shared" si="222"/>
        <v>0</v>
      </c>
      <c r="BY308" s="17">
        <f t="shared" si="223"/>
        <v>0</v>
      </c>
      <c r="BZ308" s="17">
        <f t="shared" si="234"/>
        <v>0</v>
      </c>
      <c r="CA308" s="17">
        <f t="shared" si="235"/>
        <v>0</v>
      </c>
      <c r="CB308" s="17">
        <f t="shared" si="236"/>
        <v>0</v>
      </c>
      <c r="CC308" s="17">
        <f t="shared" si="237"/>
        <v>0</v>
      </c>
      <c r="CD308" s="17">
        <f t="shared" si="238"/>
        <v>0</v>
      </c>
      <c r="CE308" s="17">
        <f t="shared" si="239"/>
        <v>0</v>
      </c>
      <c r="CF308" s="17">
        <f t="shared" si="240"/>
        <v>0</v>
      </c>
      <c r="CG308" s="17">
        <f t="shared" si="241"/>
        <v>0</v>
      </c>
      <c r="CH308" s="17">
        <f t="shared" si="242"/>
        <v>0</v>
      </c>
      <c r="CI308" s="17">
        <f t="shared" si="243"/>
        <v>0</v>
      </c>
      <c r="CJ308" s="17">
        <f t="shared" si="244"/>
        <v>0</v>
      </c>
      <c r="CK308" s="17">
        <f t="shared" si="245"/>
        <v>0</v>
      </c>
      <c r="CL308" s="17">
        <f t="shared" si="246"/>
        <v>0</v>
      </c>
      <c r="CM308" s="14">
        <f t="shared" si="247"/>
        <v>0</v>
      </c>
      <c r="CN308" s="17">
        <f t="shared" si="248"/>
        <v>0</v>
      </c>
      <c r="CO308" s="14">
        <f t="shared" si="249"/>
        <v>0</v>
      </c>
      <c r="CP308" s="17">
        <f t="shared" si="250"/>
        <v>0</v>
      </c>
      <c r="CQ308" s="14">
        <f t="shared" si="224"/>
        <v>0</v>
      </c>
      <c r="CR308" s="14">
        <v>0</v>
      </c>
      <c r="CS308" s="14">
        <v>0</v>
      </c>
      <c r="CT308" s="14">
        <v>0</v>
      </c>
      <c r="CU308" s="14">
        <v>0</v>
      </c>
    </row>
    <row r="309" spans="1:99" x14ac:dyDescent="0.3">
      <c r="A309" s="14">
        <v>2022</v>
      </c>
      <c r="B309" s="14" t="s">
        <v>55</v>
      </c>
      <c r="C309" s="14" t="s">
        <v>56</v>
      </c>
      <c r="D309" s="15">
        <v>663702.4</v>
      </c>
      <c r="E309" s="15">
        <v>20405316.500000019</v>
      </c>
      <c r="F309" s="15">
        <f t="shared" si="225"/>
        <v>30.74467788575123</v>
      </c>
      <c r="G309" s="14">
        <v>91</v>
      </c>
      <c r="H309" s="14">
        <v>111</v>
      </c>
      <c r="I309" s="14">
        <v>82</v>
      </c>
      <c r="J309" s="14">
        <v>272</v>
      </c>
      <c r="K309" s="14">
        <v>0</v>
      </c>
      <c r="L309" s="14">
        <v>56</v>
      </c>
      <c r="M309" s="14">
        <v>10747</v>
      </c>
      <c r="N309" s="14">
        <v>173</v>
      </c>
      <c r="O309" s="14">
        <v>12</v>
      </c>
      <c r="P309" s="14">
        <v>33</v>
      </c>
      <c r="Q309" s="14">
        <v>0</v>
      </c>
      <c r="R309" s="14">
        <v>71</v>
      </c>
      <c r="S309" s="14">
        <v>0</v>
      </c>
      <c r="T309" s="14">
        <v>548</v>
      </c>
      <c r="U309" s="14">
        <v>68</v>
      </c>
      <c r="V309" s="14">
        <v>610</v>
      </c>
      <c r="W309" s="14">
        <v>561</v>
      </c>
      <c r="X309" s="14">
        <v>1661</v>
      </c>
      <c r="Y309" s="14">
        <v>189</v>
      </c>
      <c r="Z309" s="14">
        <v>81</v>
      </c>
      <c r="AA309" s="14">
        <v>0</v>
      </c>
      <c r="AB309" s="14">
        <f t="shared" si="226"/>
        <v>12</v>
      </c>
      <c r="AC309" s="14">
        <v>0</v>
      </c>
      <c r="AD309" s="14">
        <v>0</v>
      </c>
      <c r="AE309" s="14">
        <v>28</v>
      </c>
      <c r="AF309" s="14">
        <v>73</v>
      </c>
      <c r="AG309" s="14">
        <v>0</v>
      </c>
      <c r="AH309" s="14">
        <v>11178</v>
      </c>
      <c r="AI309" s="14">
        <v>37</v>
      </c>
      <c r="AJ309" s="14">
        <v>710</v>
      </c>
      <c r="AK309" s="14">
        <v>160</v>
      </c>
      <c r="AL309" s="14">
        <v>88</v>
      </c>
      <c r="AM309" s="14">
        <f t="shared" si="227"/>
        <v>248</v>
      </c>
      <c r="AN309" s="14">
        <v>11</v>
      </c>
      <c r="AO309" s="14">
        <v>48</v>
      </c>
      <c r="AP309" s="14">
        <v>24</v>
      </c>
      <c r="AQ309" s="14">
        <f t="shared" si="228"/>
        <v>72</v>
      </c>
      <c r="AR309" s="14">
        <v>0</v>
      </c>
      <c r="AS309" s="14">
        <v>2</v>
      </c>
      <c r="AT309" s="14">
        <f t="shared" si="229"/>
        <v>2</v>
      </c>
      <c r="AU309" s="16">
        <v>2121</v>
      </c>
      <c r="AV309" s="16">
        <v>19184</v>
      </c>
      <c r="AW309" s="16">
        <v>1232</v>
      </c>
      <c r="AX309" s="16">
        <v>0</v>
      </c>
      <c r="AY309" s="18">
        <f t="shared" si="230"/>
        <v>1.0394349923462338</v>
      </c>
      <c r="AZ309" s="17">
        <f t="shared" si="231"/>
        <v>9.4014714253513212</v>
      </c>
      <c r="BA309" s="17">
        <f t="shared" si="232"/>
        <v>0.60376421997669028</v>
      </c>
      <c r="BB309" s="17">
        <f t="shared" si="233"/>
        <v>0</v>
      </c>
      <c r="BC309" s="17">
        <f t="shared" si="201"/>
        <v>4.4596220793732808E-2</v>
      </c>
      <c r="BD309" s="17">
        <f t="shared" si="202"/>
        <v>5.4397588001146614E-2</v>
      </c>
      <c r="BE309" s="17">
        <f t="shared" si="203"/>
        <v>4.0185605550396596E-2</v>
      </c>
      <c r="BF309" s="17">
        <f t="shared" si="204"/>
        <v>0.13329859402082772</v>
      </c>
      <c r="BG309" s="17">
        <f t="shared" si="205"/>
        <v>0</v>
      </c>
      <c r="BH309" s="17">
        <f t="shared" si="206"/>
        <v>2.7443828180758651E-2</v>
      </c>
      <c r="BI309" s="17">
        <f t="shared" si="207"/>
        <v>5.2667646689038072</v>
      </c>
      <c r="BJ309" s="17">
        <f t="shared" si="208"/>
        <v>8.478182634412941E-2</v>
      </c>
      <c r="BK309" s="17">
        <f t="shared" si="209"/>
        <v>5.8808203244482826E-3</v>
      </c>
      <c r="BL309" s="17">
        <f t="shared" si="210"/>
        <v>1.6172255892232777E-2</v>
      </c>
      <c r="BM309" s="17">
        <f t="shared" si="211"/>
        <v>0</v>
      </c>
      <c r="BN309" s="17">
        <f t="shared" si="212"/>
        <v>3.4794853586319001E-2</v>
      </c>
      <c r="BO309" s="17">
        <f t="shared" si="213"/>
        <v>0</v>
      </c>
      <c r="BP309" s="17">
        <f t="shared" si="214"/>
        <v>0.26855746148313825</v>
      </c>
      <c r="BQ309" s="17">
        <f t="shared" si="215"/>
        <v>3.332464850520693E-2</v>
      </c>
      <c r="BR309" s="17">
        <f t="shared" si="216"/>
        <v>0.29894169982612101</v>
      </c>
      <c r="BS309" s="17">
        <f t="shared" si="217"/>
        <v>0.27492835016795719</v>
      </c>
      <c r="BT309" s="17">
        <f t="shared" si="218"/>
        <v>0.81400354657571639</v>
      </c>
      <c r="BU309" s="17">
        <f t="shared" si="219"/>
        <v>9.2622920110060444E-2</v>
      </c>
      <c r="BV309" s="17">
        <f t="shared" si="220"/>
        <v>3.9695537190025908E-2</v>
      </c>
      <c r="BW309" s="17">
        <f t="shared" si="221"/>
        <v>0</v>
      </c>
      <c r="BX309" s="17">
        <f t="shared" si="222"/>
        <v>0</v>
      </c>
      <c r="BY309" s="17">
        <f t="shared" si="223"/>
        <v>0</v>
      </c>
      <c r="BZ309" s="17">
        <f t="shared" si="234"/>
        <v>1.3721914090379326E-2</v>
      </c>
      <c r="CA309" s="17">
        <f t="shared" si="235"/>
        <v>3.5774990307060384E-2</v>
      </c>
      <c r="CB309" s="17">
        <f t="shared" si="236"/>
        <v>0</v>
      </c>
      <c r="CC309" s="17">
        <f t="shared" si="237"/>
        <v>5.4779841322235754</v>
      </c>
      <c r="CD309" s="17">
        <f t="shared" si="238"/>
        <v>1.8132529333715536E-2</v>
      </c>
      <c r="CE309" s="17">
        <f t="shared" si="239"/>
        <v>0.34794853586319002</v>
      </c>
      <c r="CF309" s="17">
        <f t="shared" si="240"/>
        <v>7.8410937659310426E-2</v>
      </c>
      <c r="CG309" s="17">
        <f t="shared" si="241"/>
        <v>4.3126015712620737E-2</v>
      </c>
      <c r="CH309" s="17">
        <f t="shared" si="242"/>
        <v>5.3907519640775921E-3</v>
      </c>
      <c r="CI309" s="17">
        <f t="shared" si="243"/>
        <v>2.352328129779313E-2</v>
      </c>
      <c r="CJ309" s="17">
        <f t="shared" si="244"/>
        <v>1.1761640648896565E-2</v>
      </c>
      <c r="CK309" s="17">
        <f t="shared" si="245"/>
        <v>0</v>
      </c>
      <c r="CL309" s="17">
        <f t="shared" si="246"/>
        <v>9.8013672074138036E-4</v>
      </c>
      <c r="CM309" s="14">
        <f t="shared" si="247"/>
        <v>20416</v>
      </c>
      <c r="CN309" s="17">
        <f t="shared" si="248"/>
        <v>10.00523564532801</v>
      </c>
      <c r="CO309" s="14">
        <f t="shared" si="249"/>
        <v>22537</v>
      </c>
      <c r="CP309" s="17">
        <f t="shared" si="250"/>
        <v>11.044670637674246</v>
      </c>
      <c r="CQ309" s="14">
        <f t="shared" si="224"/>
        <v>50596</v>
      </c>
      <c r="CR309" s="14">
        <v>0</v>
      </c>
      <c r="CS309" s="14">
        <v>0</v>
      </c>
      <c r="CT309" s="14">
        <v>0</v>
      </c>
      <c r="CU309" s="14">
        <v>0</v>
      </c>
    </row>
    <row r="310" spans="1:99" x14ac:dyDescent="0.3">
      <c r="A310" s="14">
        <v>2012</v>
      </c>
      <c r="B310" s="14" t="s">
        <v>57</v>
      </c>
      <c r="C310" s="14" t="s">
        <v>58</v>
      </c>
      <c r="D310" s="15">
        <v>725926.6</v>
      </c>
      <c r="E310" s="15">
        <v>16514686.999999991</v>
      </c>
      <c r="F310" s="15">
        <f t="shared" si="225"/>
        <v>22.749802803754527</v>
      </c>
      <c r="AB310" s="14">
        <f t="shared" si="226"/>
        <v>0</v>
      </c>
      <c r="AM310" s="14">
        <f t="shared" si="227"/>
        <v>0</v>
      </c>
      <c r="AQ310" s="14">
        <f t="shared" si="228"/>
        <v>0</v>
      </c>
      <c r="AT310" s="14">
        <f t="shared" si="229"/>
        <v>0</v>
      </c>
      <c r="AU310" s="16">
        <v>3525</v>
      </c>
      <c r="AV310" s="16">
        <v>8514</v>
      </c>
      <c r="AW310" s="16">
        <v>3540</v>
      </c>
      <c r="AX310" s="16">
        <v>0</v>
      </c>
      <c r="AY310" s="18">
        <f t="shared" si="230"/>
        <v>2.1344637049433648</v>
      </c>
      <c r="AZ310" s="17">
        <f t="shared" si="231"/>
        <v>5.1554110592589524</v>
      </c>
      <c r="BA310" s="17">
        <f t="shared" si="232"/>
        <v>2.1435465292197193</v>
      </c>
      <c r="BB310" s="17">
        <f t="shared" si="233"/>
        <v>0</v>
      </c>
      <c r="BC310" s="17">
        <f t="shared" si="201"/>
        <v>0</v>
      </c>
      <c r="BD310" s="17">
        <f t="shared" si="202"/>
        <v>0</v>
      </c>
      <c r="BE310" s="17">
        <f t="shared" si="203"/>
        <v>0</v>
      </c>
      <c r="BF310" s="17">
        <f t="shared" si="204"/>
        <v>0</v>
      </c>
      <c r="BG310" s="17">
        <f t="shared" si="205"/>
        <v>0</v>
      </c>
      <c r="BH310" s="17">
        <f t="shared" si="206"/>
        <v>0</v>
      </c>
      <c r="BI310" s="17">
        <f t="shared" si="207"/>
        <v>0</v>
      </c>
      <c r="BJ310" s="17">
        <f t="shared" si="208"/>
        <v>0</v>
      </c>
      <c r="BK310" s="17">
        <f t="shared" si="209"/>
        <v>0</v>
      </c>
      <c r="BL310" s="17">
        <f t="shared" si="210"/>
        <v>0</v>
      </c>
      <c r="BM310" s="17">
        <f t="shared" si="211"/>
        <v>0</v>
      </c>
      <c r="BN310" s="17">
        <f t="shared" si="212"/>
        <v>0</v>
      </c>
      <c r="BO310" s="17">
        <f t="shared" si="213"/>
        <v>0</v>
      </c>
      <c r="BP310" s="17">
        <f t="shared" si="214"/>
        <v>0</v>
      </c>
      <c r="BQ310" s="17">
        <f t="shared" si="215"/>
        <v>0</v>
      </c>
      <c r="BR310" s="17">
        <f t="shared" si="216"/>
        <v>0</v>
      </c>
      <c r="BS310" s="17">
        <f t="shared" si="217"/>
        <v>0</v>
      </c>
      <c r="BT310" s="17">
        <f t="shared" si="218"/>
        <v>0</v>
      </c>
      <c r="BU310" s="17">
        <f t="shared" si="219"/>
        <v>0</v>
      </c>
      <c r="BV310" s="17">
        <f t="shared" si="220"/>
        <v>0</v>
      </c>
      <c r="BW310" s="17">
        <f t="shared" si="221"/>
        <v>0</v>
      </c>
      <c r="BX310" s="17">
        <f t="shared" si="222"/>
        <v>0</v>
      </c>
      <c r="BY310" s="17">
        <f t="shared" si="223"/>
        <v>0</v>
      </c>
      <c r="BZ310" s="17">
        <f t="shared" si="234"/>
        <v>0</v>
      </c>
      <c r="CA310" s="17">
        <f t="shared" si="235"/>
        <v>0</v>
      </c>
      <c r="CB310" s="17">
        <f t="shared" si="236"/>
        <v>0</v>
      </c>
      <c r="CC310" s="17">
        <f t="shared" si="237"/>
        <v>0</v>
      </c>
      <c r="CD310" s="17">
        <f t="shared" si="238"/>
        <v>0</v>
      </c>
      <c r="CE310" s="17">
        <f t="shared" si="239"/>
        <v>0</v>
      </c>
      <c r="CF310" s="17">
        <f t="shared" si="240"/>
        <v>0</v>
      </c>
      <c r="CG310" s="17">
        <f t="shared" si="241"/>
        <v>0</v>
      </c>
      <c r="CH310" s="17">
        <f t="shared" si="242"/>
        <v>0</v>
      </c>
      <c r="CI310" s="17">
        <f t="shared" si="243"/>
        <v>0</v>
      </c>
      <c r="CJ310" s="17">
        <f t="shared" si="244"/>
        <v>0</v>
      </c>
      <c r="CK310" s="17">
        <f t="shared" si="245"/>
        <v>0</v>
      </c>
      <c r="CL310" s="17">
        <f t="shared" si="246"/>
        <v>0</v>
      </c>
      <c r="CM310" s="14">
        <f t="shared" si="247"/>
        <v>12054</v>
      </c>
      <c r="CN310" s="17">
        <f t="shared" si="248"/>
        <v>7.2989575884786717</v>
      </c>
      <c r="CO310" s="14">
        <f t="shared" si="249"/>
        <v>15579</v>
      </c>
      <c r="CP310" s="17">
        <f t="shared" si="250"/>
        <v>9.4334212934220361</v>
      </c>
      <c r="CQ310" s="14">
        <f t="shared" si="224"/>
        <v>15579</v>
      </c>
      <c r="CR310" s="14">
        <v>0</v>
      </c>
      <c r="CS310" s="14">
        <v>4</v>
      </c>
      <c r="CT310" s="14">
        <v>0</v>
      </c>
      <c r="CU310" s="14">
        <v>0</v>
      </c>
    </row>
    <row r="311" spans="1:99" x14ac:dyDescent="0.3">
      <c r="A311" s="14">
        <v>2013</v>
      </c>
      <c r="B311" s="14" t="s">
        <v>57</v>
      </c>
      <c r="C311" s="14" t="s">
        <v>58</v>
      </c>
      <c r="D311" s="15">
        <v>740567.7</v>
      </c>
      <c r="E311" s="15">
        <v>17004032.499999996</v>
      </c>
      <c r="F311" s="15">
        <f t="shared" si="225"/>
        <v>22.960807634467447</v>
      </c>
      <c r="AB311" s="14">
        <f t="shared" si="226"/>
        <v>0</v>
      </c>
      <c r="AM311" s="14">
        <f t="shared" si="227"/>
        <v>0</v>
      </c>
      <c r="AQ311" s="14">
        <f t="shared" si="228"/>
        <v>0</v>
      </c>
      <c r="AT311" s="14">
        <f t="shared" si="229"/>
        <v>0</v>
      </c>
      <c r="AU311" s="16">
        <v>4063</v>
      </c>
      <c r="AV311" s="16">
        <v>0</v>
      </c>
      <c r="AW311" s="16">
        <v>3922</v>
      </c>
      <c r="AX311" s="16">
        <v>0</v>
      </c>
      <c r="AY311" s="18">
        <f t="shared" si="230"/>
        <v>2.3894332123865332</v>
      </c>
      <c r="AZ311" s="17">
        <f t="shared" si="231"/>
        <v>0</v>
      </c>
      <c r="BA311" s="17">
        <f t="shared" si="232"/>
        <v>2.3065117053851791</v>
      </c>
      <c r="BB311" s="17">
        <f t="shared" si="233"/>
        <v>0</v>
      </c>
      <c r="BC311" s="17">
        <f t="shared" si="201"/>
        <v>0</v>
      </c>
      <c r="BD311" s="17">
        <f t="shared" si="202"/>
        <v>0</v>
      </c>
      <c r="BE311" s="17">
        <f t="shared" si="203"/>
        <v>0</v>
      </c>
      <c r="BF311" s="17">
        <f t="shared" si="204"/>
        <v>0</v>
      </c>
      <c r="BG311" s="17">
        <f t="shared" si="205"/>
        <v>0</v>
      </c>
      <c r="BH311" s="17">
        <f t="shared" si="206"/>
        <v>0</v>
      </c>
      <c r="BI311" s="17">
        <f t="shared" si="207"/>
        <v>0</v>
      </c>
      <c r="BJ311" s="17">
        <f t="shared" si="208"/>
        <v>0</v>
      </c>
      <c r="BK311" s="17">
        <f t="shared" si="209"/>
        <v>0</v>
      </c>
      <c r="BL311" s="17">
        <f t="shared" si="210"/>
        <v>0</v>
      </c>
      <c r="BM311" s="17">
        <f t="shared" si="211"/>
        <v>0</v>
      </c>
      <c r="BN311" s="17">
        <f t="shared" si="212"/>
        <v>0</v>
      </c>
      <c r="BO311" s="17">
        <f t="shared" si="213"/>
        <v>0</v>
      </c>
      <c r="BP311" s="17">
        <f t="shared" si="214"/>
        <v>0</v>
      </c>
      <c r="BQ311" s="17">
        <f t="shared" si="215"/>
        <v>0</v>
      </c>
      <c r="BR311" s="17">
        <f t="shared" si="216"/>
        <v>0</v>
      </c>
      <c r="BS311" s="17">
        <f t="shared" si="217"/>
        <v>0</v>
      </c>
      <c r="BT311" s="17">
        <f t="shared" si="218"/>
        <v>0</v>
      </c>
      <c r="BU311" s="17">
        <f t="shared" si="219"/>
        <v>0</v>
      </c>
      <c r="BV311" s="17">
        <f t="shared" si="220"/>
        <v>0</v>
      </c>
      <c r="BW311" s="17">
        <f t="shared" si="221"/>
        <v>0</v>
      </c>
      <c r="BX311" s="17">
        <f t="shared" si="222"/>
        <v>0</v>
      </c>
      <c r="BY311" s="17">
        <f t="shared" si="223"/>
        <v>0</v>
      </c>
      <c r="BZ311" s="17">
        <f t="shared" si="234"/>
        <v>0</v>
      </c>
      <c r="CA311" s="17">
        <f t="shared" si="235"/>
        <v>0</v>
      </c>
      <c r="CB311" s="17">
        <f t="shared" si="236"/>
        <v>0</v>
      </c>
      <c r="CC311" s="17">
        <f t="shared" si="237"/>
        <v>0</v>
      </c>
      <c r="CD311" s="17">
        <f t="shared" si="238"/>
        <v>0</v>
      </c>
      <c r="CE311" s="17">
        <f t="shared" si="239"/>
        <v>0</v>
      </c>
      <c r="CF311" s="17">
        <f t="shared" si="240"/>
        <v>0</v>
      </c>
      <c r="CG311" s="17">
        <f t="shared" si="241"/>
        <v>0</v>
      </c>
      <c r="CH311" s="17">
        <f t="shared" si="242"/>
        <v>0</v>
      </c>
      <c r="CI311" s="17">
        <f t="shared" si="243"/>
        <v>0</v>
      </c>
      <c r="CJ311" s="17">
        <f t="shared" si="244"/>
        <v>0</v>
      </c>
      <c r="CK311" s="17">
        <f t="shared" si="245"/>
        <v>0</v>
      </c>
      <c r="CL311" s="17">
        <f t="shared" si="246"/>
        <v>0</v>
      </c>
      <c r="CM311" s="14">
        <f t="shared" si="247"/>
        <v>3922</v>
      </c>
      <c r="CN311" s="17">
        <f t="shared" si="248"/>
        <v>2.3065117053851791</v>
      </c>
      <c r="CO311" s="14">
        <f t="shared" si="249"/>
        <v>7985</v>
      </c>
      <c r="CP311" s="17">
        <f t="shared" si="250"/>
        <v>4.6959449177717119</v>
      </c>
      <c r="CQ311" s="14">
        <f t="shared" si="224"/>
        <v>7985</v>
      </c>
      <c r="CR311" s="14">
        <v>0</v>
      </c>
      <c r="CS311" s="14">
        <v>218</v>
      </c>
      <c r="CT311" s="14">
        <v>0</v>
      </c>
      <c r="CU311" s="14">
        <v>0</v>
      </c>
    </row>
    <row r="312" spans="1:99" x14ac:dyDescent="0.3">
      <c r="A312" s="14">
        <v>2014</v>
      </c>
      <c r="B312" s="14" t="s">
        <v>57</v>
      </c>
      <c r="C312" s="14" t="s">
        <v>58</v>
      </c>
      <c r="D312" s="15">
        <v>754923.7</v>
      </c>
      <c r="E312" s="15">
        <v>17551814.000000004</v>
      </c>
      <c r="F312" s="15">
        <f t="shared" si="225"/>
        <v>23.249785375661148</v>
      </c>
      <c r="AB312" s="14">
        <f t="shared" si="226"/>
        <v>0</v>
      </c>
      <c r="AM312" s="14">
        <f t="shared" si="227"/>
        <v>0</v>
      </c>
      <c r="AQ312" s="14">
        <f t="shared" si="228"/>
        <v>0</v>
      </c>
      <c r="AT312" s="14">
        <f t="shared" si="229"/>
        <v>0</v>
      </c>
      <c r="AU312" s="16">
        <v>3576</v>
      </c>
      <c r="AV312" s="16">
        <v>0</v>
      </c>
      <c r="AW312" s="16">
        <v>0</v>
      </c>
      <c r="AX312" s="16">
        <v>0</v>
      </c>
      <c r="AY312" s="18">
        <f t="shared" si="230"/>
        <v>2.0373962486156696</v>
      </c>
      <c r="AZ312" s="17">
        <f t="shared" si="231"/>
        <v>0</v>
      </c>
      <c r="BA312" s="17">
        <f t="shared" si="232"/>
        <v>0</v>
      </c>
      <c r="BB312" s="17">
        <f t="shared" si="233"/>
        <v>0</v>
      </c>
      <c r="BC312" s="17">
        <f t="shared" si="201"/>
        <v>0</v>
      </c>
      <c r="BD312" s="17">
        <f t="shared" si="202"/>
        <v>0</v>
      </c>
      <c r="BE312" s="17">
        <f t="shared" si="203"/>
        <v>0</v>
      </c>
      <c r="BF312" s="17">
        <f t="shared" si="204"/>
        <v>0</v>
      </c>
      <c r="BG312" s="17">
        <f t="shared" si="205"/>
        <v>0</v>
      </c>
      <c r="BH312" s="17">
        <f t="shared" si="206"/>
        <v>0</v>
      </c>
      <c r="BI312" s="17">
        <f t="shared" si="207"/>
        <v>0</v>
      </c>
      <c r="BJ312" s="17">
        <f t="shared" si="208"/>
        <v>0</v>
      </c>
      <c r="BK312" s="17">
        <f t="shared" si="209"/>
        <v>0</v>
      </c>
      <c r="BL312" s="17">
        <f t="shared" si="210"/>
        <v>0</v>
      </c>
      <c r="BM312" s="17">
        <f t="shared" si="211"/>
        <v>0</v>
      </c>
      <c r="BN312" s="17">
        <f t="shared" si="212"/>
        <v>0</v>
      </c>
      <c r="BO312" s="17">
        <f t="shared" si="213"/>
        <v>0</v>
      </c>
      <c r="BP312" s="17">
        <f t="shared" si="214"/>
        <v>0</v>
      </c>
      <c r="BQ312" s="17">
        <f t="shared" si="215"/>
        <v>0</v>
      </c>
      <c r="BR312" s="17">
        <f t="shared" si="216"/>
        <v>0</v>
      </c>
      <c r="BS312" s="17">
        <f t="shared" si="217"/>
        <v>0</v>
      </c>
      <c r="BT312" s="17">
        <f t="shared" si="218"/>
        <v>0</v>
      </c>
      <c r="BU312" s="17">
        <f t="shared" si="219"/>
        <v>0</v>
      </c>
      <c r="BV312" s="17">
        <f t="shared" si="220"/>
        <v>0</v>
      </c>
      <c r="BW312" s="17">
        <f t="shared" si="221"/>
        <v>0</v>
      </c>
      <c r="BX312" s="17">
        <f t="shared" si="222"/>
        <v>0</v>
      </c>
      <c r="BY312" s="17">
        <f t="shared" si="223"/>
        <v>0</v>
      </c>
      <c r="BZ312" s="17">
        <f t="shared" si="234"/>
        <v>0</v>
      </c>
      <c r="CA312" s="17">
        <f t="shared" si="235"/>
        <v>0</v>
      </c>
      <c r="CB312" s="17">
        <f t="shared" si="236"/>
        <v>0</v>
      </c>
      <c r="CC312" s="17">
        <f t="shared" si="237"/>
        <v>0</v>
      </c>
      <c r="CD312" s="17">
        <f t="shared" si="238"/>
        <v>0</v>
      </c>
      <c r="CE312" s="17">
        <f t="shared" si="239"/>
        <v>0</v>
      </c>
      <c r="CF312" s="17">
        <f t="shared" si="240"/>
        <v>0</v>
      </c>
      <c r="CG312" s="17">
        <f t="shared" si="241"/>
        <v>0</v>
      </c>
      <c r="CH312" s="17">
        <f t="shared" si="242"/>
        <v>0</v>
      </c>
      <c r="CI312" s="17">
        <f t="shared" si="243"/>
        <v>0</v>
      </c>
      <c r="CJ312" s="17">
        <f t="shared" si="244"/>
        <v>0</v>
      </c>
      <c r="CK312" s="17">
        <f t="shared" si="245"/>
        <v>0</v>
      </c>
      <c r="CL312" s="17">
        <f t="shared" si="246"/>
        <v>0</v>
      </c>
      <c r="CM312" s="14">
        <f t="shared" si="247"/>
        <v>0</v>
      </c>
      <c r="CN312" s="17">
        <f t="shared" si="248"/>
        <v>0</v>
      </c>
      <c r="CO312" s="14">
        <f t="shared" si="249"/>
        <v>3576</v>
      </c>
      <c r="CP312" s="17">
        <f t="shared" si="250"/>
        <v>2.0373962486156696</v>
      </c>
      <c r="CQ312" s="14">
        <f t="shared" si="224"/>
        <v>3576</v>
      </c>
      <c r="CR312" s="14">
        <v>107</v>
      </c>
      <c r="CS312" s="14">
        <v>194</v>
      </c>
      <c r="CT312" s="14">
        <v>0</v>
      </c>
      <c r="CU312" s="14">
        <v>0</v>
      </c>
    </row>
    <row r="313" spans="1:99" x14ac:dyDescent="0.3">
      <c r="A313" s="14">
        <v>2015</v>
      </c>
      <c r="B313" s="14" t="s">
        <v>57</v>
      </c>
      <c r="C313" s="14" t="s">
        <v>58</v>
      </c>
      <c r="D313" s="15">
        <v>772249</v>
      </c>
      <c r="E313" s="15">
        <v>18112906.500000004</v>
      </c>
      <c r="F313" s="15">
        <f t="shared" si="225"/>
        <v>23.454749051148017</v>
      </c>
      <c r="AB313" s="14">
        <f t="shared" si="226"/>
        <v>0</v>
      </c>
      <c r="AM313" s="14">
        <f t="shared" si="227"/>
        <v>0</v>
      </c>
      <c r="AQ313" s="14">
        <f t="shared" si="228"/>
        <v>0</v>
      </c>
      <c r="AT313" s="14">
        <f t="shared" si="229"/>
        <v>0</v>
      </c>
      <c r="AU313" s="16">
        <v>3583</v>
      </c>
      <c r="AV313" s="16">
        <v>0</v>
      </c>
      <c r="AW313" s="16">
        <v>0</v>
      </c>
      <c r="AX313" s="16">
        <v>0</v>
      </c>
      <c r="AY313" s="18">
        <f t="shared" si="230"/>
        <v>1.978147460762302</v>
      </c>
      <c r="AZ313" s="17">
        <f t="shared" si="231"/>
        <v>0</v>
      </c>
      <c r="BA313" s="17">
        <f t="shared" si="232"/>
        <v>0</v>
      </c>
      <c r="BB313" s="17">
        <f t="shared" si="233"/>
        <v>0</v>
      </c>
      <c r="BC313" s="17">
        <f t="shared" si="201"/>
        <v>0</v>
      </c>
      <c r="BD313" s="17">
        <f t="shared" si="202"/>
        <v>0</v>
      </c>
      <c r="BE313" s="17">
        <f t="shared" si="203"/>
        <v>0</v>
      </c>
      <c r="BF313" s="17">
        <f t="shared" si="204"/>
        <v>0</v>
      </c>
      <c r="BG313" s="17">
        <f t="shared" si="205"/>
        <v>0</v>
      </c>
      <c r="BH313" s="17">
        <f t="shared" si="206"/>
        <v>0</v>
      </c>
      <c r="BI313" s="17">
        <f t="shared" si="207"/>
        <v>0</v>
      </c>
      <c r="BJ313" s="17">
        <f t="shared" si="208"/>
        <v>0</v>
      </c>
      <c r="BK313" s="17">
        <f t="shared" si="209"/>
        <v>0</v>
      </c>
      <c r="BL313" s="17">
        <f t="shared" si="210"/>
        <v>0</v>
      </c>
      <c r="BM313" s="17">
        <f t="shared" si="211"/>
        <v>0</v>
      </c>
      <c r="BN313" s="17">
        <f t="shared" si="212"/>
        <v>0</v>
      </c>
      <c r="BO313" s="17">
        <f t="shared" si="213"/>
        <v>0</v>
      </c>
      <c r="BP313" s="17">
        <f t="shared" si="214"/>
        <v>0</v>
      </c>
      <c r="BQ313" s="17">
        <f t="shared" si="215"/>
        <v>0</v>
      </c>
      <c r="BR313" s="17">
        <f t="shared" si="216"/>
        <v>0</v>
      </c>
      <c r="BS313" s="17">
        <f t="shared" si="217"/>
        <v>0</v>
      </c>
      <c r="BT313" s="17">
        <f t="shared" si="218"/>
        <v>0</v>
      </c>
      <c r="BU313" s="17">
        <f t="shared" si="219"/>
        <v>0</v>
      </c>
      <c r="BV313" s="17">
        <f t="shared" si="220"/>
        <v>0</v>
      </c>
      <c r="BW313" s="17">
        <f t="shared" si="221"/>
        <v>0</v>
      </c>
      <c r="BX313" s="17">
        <f t="shared" si="222"/>
        <v>0</v>
      </c>
      <c r="BY313" s="17">
        <f t="shared" si="223"/>
        <v>0</v>
      </c>
      <c r="BZ313" s="17">
        <f t="shared" si="234"/>
        <v>0</v>
      </c>
      <c r="CA313" s="17">
        <f t="shared" si="235"/>
        <v>0</v>
      </c>
      <c r="CB313" s="17">
        <f t="shared" si="236"/>
        <v>0</v>
      </c>
      <c r="CC313" s="17">
        <f t="shared" si="237"/>
        <v>0</v>
      </c>
      <c r="CD313" s="17">
        <f t="shared" si="238"/>
        <v>0</v>
      </c>
      <c r="CE313" s="17">
        <f t="shared" si="239"/>
        <v>0</v>
      </c>
      <c r="CF313" s="17">
        <f t="shared" si="240"/>
        <v>0</v>
      </c>
      <c r="CG313" s="17">
        <f t="shared" si="241"/>
        <v>0</v>
      </c>
      <c r="CH313" s="17">
        <f t="shared" si="242"/>
        <v>0</v>
      </c>
      <c r="CI313" s="17">
        <f t="shared" si="243"/>
        <v>0</v>
      </c>
      <c r="CJ313" s="17">
        <f t="shared" si="244"/>
        <v>0</v>
      </c>
      <c r="CK313" s="17">
        <f t="shared" si="245"/>
        <v>0</v>
      </c>
      <c r="CL313" s="17">
        <f t="shared" si="246"/>
        <v>0</v>
      </c>
      <c r="CM313" s="14">
        <f t="shared" si="247"/>
        <v>0</v>
      </c>
      <c r="CN313" s="17">
        <f t="shared" si="248"/>
        <v>0</v>
      </c>
      <c r="CO313" s="14">
        <f t="shared" si="249"/>
        <v>3583</v>
      </c>
      <c r="CP313" s="17">
        <f t="shared" si="250"/>
        <v>1.978147460762302</v>
      </c>
      <c r="CQ313" s="14">
        <f t="shared" si="224"/>
        <v>3583</v>
      </c>
      <c r="CR313" s="14">
        <v>385</v>
      </c>
      <c r="CS313" s="14">
        <v>514</v>
      </c>
      <c r="CT313" s="14">
        <v>0</v>
      </c>
      <c r="CU313" s="14">
        <v>0</v>
      </c>
    </row>
    <row r="314" spans="1:99" x14ac:dyDescent="0.3">
      <c r="A314" s="14">
        <v>2016</v>
      </c>
      <c r="B314" s="14" t="s">
        <v>57</v>
      </c>
      <c r="C314" s="14" t="s">
        <v>58</v>
      </c>
      <c r="D314" s="15">
        <v>789423.6</v>
      </c>
      <c r="E314" s="15">
        <v>18700106</v>
      </c>
      <c r="F314" s="15">
        <f t="shared" si="225"/>
        <v>23.688303719321286</v>
      </c>
      <c r="G314" s="14">
        <v>107</v>
      </c>
      <c r="H314" s="14">
        <v>194</v>
      </c>
      <c r="AB314" s="14">
        <f t="shared" si="226"/>
        <v>0</v>
      </c>
      <c r="AM314" s="14">
        <f t="shared" si="227"/>
        <v>0</v>
      </c>
      <c r="AQ314" s="14">
        <f t="shared" si="228"/>
        <v>0</v>
      </c>
      <c r="AT314" s="14">
        <f t="shared" si="229"/>
        <v>0</v>
      </c>
      <c r="AU314" s="16">
        <v>4570</v>
      </c>
      <c r="AV314" s="16">
        <v>9530</v>
      </c>
      <c r="AW314" s="16">
        <v>5314</v>
      </c>
      <c r="AX314" s="16">
        <v>0</v>
      </c>
      <c r="AY314" s="18">
        <f t="shared" si="230"/>
        <v>2.443836414617115</v>
      </c>
      <c r="AZ314" s="17">
        <f t="shared" si="231"/>
        <v>5.0962277967836114</v>
      </c>
      <c r="BA314" s="17">
        <f t="shared" si="232"/>
        <v>2.8416951219420894</v>
      </c>
      <c r="BB314" s="17">
        <f t="shared" si="233"/>
        <v>0</v>
      </c>
      <c r="BC314" s="17">
        <f t="shared" si="201"/>
        <v>5.7218926994317569E-2</v>
      </c>
      <c r="BD314" s="17">
        <f t="shared" si="202"/>
        <v>0.10374272744764121</v>
      </c>
      <c r="BE314" s="17">
        <f t="shared" si="203"/>
        <v>0</v>
      </c>
      <c r="BF314" s="17">
        <f t="shared" si="204"/>
        <v>0</v>
      </c>
      <c r="BG314" s="17">
        <f t="shared" si="205"/>
        <v>0</v>
      </c>
      <c r="BH314" s="17">
        <f t="shared" si="206"/>
        <v>0</v>
      </c>
      <c r="BI314" s="17">
        <f t="shared" si="207"/>
        <v>0</v>
      </c>
      <c r="BJ314" s="17">
        <f t="shared" si="208"/>
        <v>0</v>
      </c>
      <c r="BK314" s="17">
        <f t="shared" si="209"/>
        <v>0</v>
      </c>
      <c r="BL314" s="17">
        <f t="shared" si="210"/>
        <v>0</v>
      </c>
      <c r="BM314" s="17">
        <f t="shared" si="211"/>
        <v>0</v>
      </c>
      <c r="BN314" s="17">
        <f t="shared" si="212"/>
        <v>0</v>
      </c>
      <c r="BO314" s="17">
        <f t="shared" si="213"/>
        <v>0</v>
      </c>
      <c r="BP314" s="17">
        <f t="shared" si="214"/>
        <v>0</v>
      </c>
      <c r="BQ314" s="17">
        <f t="shared" si="215"/>
        <v>0</v>
      </c>
      <c r="BR314" s="17">
        <f t="shared" si="216"/>
        <v>0</v>
      </c>
      <c r="BS314" s="17">
        <f t="shared" si="217"/>
        <v>0</v>
      </c>
      <c r="BT314" s="17">
        <f t="shared" si="218"/>
        <v>0</v>
      </c>
      <c r="BU314" s="17">
        <f t="shared" si="219"/>
        <v>0</v>
      </c>
      <c r="BV314" s="17">
        <f t="shared" si="220"/>
        <v>0</v>
      </c>
      <c r="BW314" s="17">
        <f t="shared" si="221"/>
        <v>0</v>
      </c>
      <c r="BX314" s="17">
        <f t="shared" si="222"/>
        <v>0</v>
      </c>
      <c r="BY314" s="17">
        <f t="shared" si="223"/>
        <v>0</v>
      </c>
      <c r="BZ314" s="17">
        <f t="shared" si="234"/>
        <v>0</v>
      </c>
      <c r="CA314" s="17">
        <f t="shared" si="235"/>
        <v>0</v>
      </c>
      <c r="CB314" s="17">
        <f t="shared" si="236"/>
        <v>0</v>
      </c>
      <c r="CC314" s="17">
        <f t="shared" si="237"/>
        <v>0</v>
      </c>
      <c r="CD314" s="17">
        <f t="shared" si="238"/>
        <v>0</v>
      </c>
      <c r="CE314" s="17">
        <f t="shared" si="239"/>
        <v>0</v>
      </c>
      <c r="CF314" s="17">
        <f t="shared" si="240"/>
        <v>0</v>
      </c>
      <c r="CG314" s="17">
        <f t="shared" si="241"/>
        <v>0</v>
      </c>
      <c r="CH314" s="17">
        <f t="shared" si="242"/>
        <v>0</v>
      </c>
      <c r="CI314" s="17">
        <f t="shared" si="243"/>
        <v>0</v>
      </c>
      <c r="CJ314" s="17">
        <f t="shared" si="244"/>
        <v>0</v>
      </c>
      <c r="CK314" s="17">
        <f t="shared" si="245"/>
        <v>0</v>
      </c>
      <c r="CL314" s="17">
        <f t="shared" si="246"/>
        <v>0</v>
      </c>
      <c r="CM314" s="14">
        <f t="shared" si="247"/>
        <v>14844</v>
      </c>
      <c r="CN314" s="17">
        <f t="shared" si="248"/>
        <v>7.9379229187257012</v>
      </c>
      <c r="CO314" s="14">
        <f t="shared" si="249"/>
        <v>19414</v>
      </c>
      <c r="CP314" s="17">
        <f t="shared" si="250"/>
        <v>10.381759333342817</v>
      </c>
      <c r="CQ314" s="14">
        <f t="shared" si="224"/>
        <v>19715</v>
      </c>
      <c r="CR314" s="14">
        <v>0</v>
      </c>
      <c r="CS314" s="14">
        <v>0</v>
      </c>
      <c r="CT314" s="14">
        <v>0</v>
      </c>
      <c r="CU314" s="14">
        <v>0</v>
      </c>
    </row>
    <row r="315" spans="1:99" x14ac:dyDescent="0.3">
      <c r="A315" s="14">
        <v>2017</v>
      </c>
      <c r="B315" s="14" t="s">
        <v>57</v>
      </c>
      <c r="C315" s="14" t="s">
        <v>58</v>
      </c>
      <c r="D315" s="15">
        <v>807286.6</v>
      </c>
      <c r="E315" s="15">
        <v>19311354.499999996</v>
      </c>
      <c r="F315" s="15">
        <f t="shared" si="225"/>
        <v>23.92131183646551</v>
      </c>
      <c r="N315" s="14">
        <v>53</v>
      </c>
      <c r="AB315" s="14">
        <f t="shared" si="226"/>
        <v>0</v>
      </c>
      <c r="AM315" s="14">
        <f t="shared" si="227"/>
        <v>0</v>
      </c>
      <c r="AQ315" s="14">
        <f t="shared" si="228"/>
        <v>0</v>
      </c>
      <c r="AT315" s="14">
        <f t="shared" si="229"/>
        <v>0</v>
      </c>
      <c r="AU315" s="16">
        <v>4576</v>
      </c>
      <c r="AV315" s="16">
        <v>0</v>
      </c>
      <c r="AW315" s="16">
        <v>0</v>
      </c>
      <c r="AX315" s="16">
        <v>0</v>
      </c>
      <c r="AY315" s="18">
        <f t="shared" si="230"/>
        <v>2.3695903878725861</v>
      </c>
      <c r="AZ315" s="17">
        <f t="shared" si="231"/>
        <v>0</v>
      </c>
      <c r="BA315" s="17">
        <f t="shared" si="232"/>
        <v>0</v>
      </c>
      <c r="BB315" s="17">
        <f t="shared" si="233"/>
        <v>0</v>
      </c>
      <c r="BC315" s="17">
        <f t="shared" si="201"/>
        <v>0</v>
      </c>
      <c r="BD315" s="17">
        <f t="shared" si="202"/>
        <v>0</v>
      </c>
      <c r="BE315" s="17">
        <f t="shared" si="203"/>
        <v>0</v>
      </c>
      <c r="BF315" s="17">
        <f t="shared" si="204"/>
        <v>0</v>
      </c>
      <c r="BG315" s="17">
        <f t="shared" si="205"/>
        <v>0</v>
      </c>
      <c r="BH315" s="17">
        <f t="shared" si="206"/>
        <v>0</v>
      </c>
      <c r="BI315" s="17">
        <f t="shared" si="207"/>
        <v>0</v>
      </c>
      <c r="BJ315" s="17">
        <f t="shared" si="208"/>
        <v>2.7444993565831962E-2</v>
      </c>
      <c r="BK315" s="17">
        <f t="shared" si="209"/>
        <v>0</v>
      </c>
      <c r="BL315" s="17">
        <f t="shared" si="210"/>
        <v>0</v>
      </c>
      <c r="BM315" s="17">
        <f t="shared" si="211"/>
        <v>0</v>
      </c>
      <c r="BN315" s="17">
        <f t="shared" si="212"/>
        <v>0</v>
      </c>
      <c r="BO315" s="17">
        <f t="shared" si="213"/>
        <v>0</v>
      </c>
      <c r="BP315" s="17">
        <f t="shared" si="214"/>
        <v>0</v>
      </c>
      <c r="BQ315" s="17">
        <f t="shared" si="215"/>
        <v>0</v>
      </c>
      <c r="BR315" s="17">
        <f t="shared" si="216"/>
        <v>0</v>
      </c>
      <c r="BS315" s="17">
        <f t="shared" si="217"/>
        <v>0</v>
      </c>
      <c r="BT315" s="17">
        <f t="shared" si="218"/>
        <v>0</v>
      </c>
      <c r="BU315" s="17">
        <f t="shared" si="219"/>
        <v>0</v>
      </c>
      <c r="BV315" s="17">
        <f t="shared" si="220"/>
        <v>0</v>
      </c>
      <c r="BW315" s="17">
        <f t="shared" si="221"/>
        <v>0</v>
      </c>
      <c r="BX315" s="17">
        <f t="shared" si="222"/>
        <v>0</v>
      </c>
      <c r="BY315" s="17">
        <f t="shared" si="223"/>
        <v>0</v>
      </c>
      <c r="BZ315" s="17">
        <f t="shared" si="234"/>
        <v>0</v>
      </c>
      <c r="CA315" s="17">
        <f t="shared" si="235"/>
        <v>0</v>
      </c>
      <c r="CB315" s="17">
        <f t="shared" si="236"/>
        <v>0</v>
      </c>
      <c r="CC315" s="17">
        <f t="shared" si="237"/>
        <v>0</v>
      </c>
      <c r="CD315" s="17">
        <f t="shared" si="238"/>
        <v>0</v>
      </c>
      <c r="CE315" s="17">
        <f t="shared" si="239"/>
        <v>0</v>
      </c>
      <c r="CF315" s="17">
        <f t="shared" si="240"/>
        <v>0</v>
      </c>
      <c r="CG315" s="17">
        <f t="shared" si="241"/>
        <v>0</v>
      </c>
      <c r="CH315" s="17">
        <f t="shared" si="242"/>
        <v>0</v>
      </c>
      <c r="CI315" s="17">
        <f t="shared" si="243"/>
        <v>0</v>
      </c>
      <c r="CJ315" s="17">
        <f t="shared" si="244"/>
        <v>0</v>
      </c>
      <c r="CK315" s="17">
        <f t="shared" si="245"/>
        <v>0</v>
      </c>
      <c r="CL315" s="17">
        <f t="shared" si="246"/>
        <v>0</v>
      </c>
      <c r="CM315" s="14">
        <f t="shared" si="247"/>
        <v>0</v>
      </c>
      <c r="CN315" s="17">
        <f t="shared" si="248"/>
        <v>0</v>
      </c>
      <c r="CO315" s="14">
        <f t="shared" si="249"/>
        <v>4576</v>
      </c>
      <c r="CP315" s="17">
        <f t="shared" si="250"/>
        <v>2.3695903878725861</v>
      </c>
      <c r="CQ315" s="14">
        <f t="shared" si="224"/>
        <v>4629</v>
      </c>
      <c r="CR315" s="14">
        <v>0</v>
      </c>
      <c r="CS315" s="14">
        <v>0</v>
      </c>
      <c r="CT315" s="14">
        <v>0</v>
      </c>
      <c r="CU315" s="14">
        <v>0</v>
      </c>
    </row>
    <row r="316" spans="1:99" x14ac:dyDescent="0.3">
      <c r="A316" s="14">
        <v>2018</v>
      </c>
      <c r="B316" s="14" t="s">
        <v>57</v>
      </c>
      <c r="C316" s="14" t="s">
        <v>58</v>
      </c>
      <c r="D316" s="15">
        <v>825813.6</v>
      </c>
      <c r="E316" s="15">
        <v>19934298.000000004</v>
      </c>
      <c r="F316" s="15">
        <f t="shared" si="225"/>
        <v>24.138980031329108</v>
      </c>
      <c r="G316" s="14">
        <v>30</v>
      </c>
      <c r="H316" s="14">
        <v>182</v>
      </c>
      <c r="M316" s="14">
        <v>1152</v>
      </c>
      <c r="N316" s="14">
        <v>53</v>
      </c>
      <c r="O316" s="14">
        <v>15</v>
      </c>
      <c r="W316" s="14">
        <v>13</v>
      </c>
      <c r="X316" s="14">
        <v>1022</v>
      </c>
      <c r="AB316" s="14">
        <f t="shared" si="226"/>
        <v>15</v>
      </c>
      <c r="AE316" s="14">
        <v>6</v>
      </c>
      <c r="AM316" s="14">
        <f t="shared" si="227"/>
        <v>0</v>
      </c>
      <c r="AQ316" s="14">
        <f t="shared" si="228"/>
        <v>0</v>
      </c>
      <c r="AT316" s="14">
        <f t="shared" si="229"/>
        <v>0</v>
      </c>
      <c r="AU316" s="16">
        <v>5155</v>
      </c>
      <c r="AV316" s="16">
        <v>11986</v>
      </c>
      <c r="AW316" s="16">
        <v>6470</v>
      </c>
      <c r="AX316" s="16">
        <v>0</v>
      </c>
      <c r="AY316" s="18">
        <f t="shared" si="230"/>
        <v>2.5859952530056485</v>
      </c>
      <c r="AZ316" s="17">
        <f t="shared" si="231"/>
        <v>6.0127524932154612</v>
      </c>
      <c r="BA316" s="17">
        <f t="shared" si="232"/>
        <v>3.2456623253048584</v>
      </c>
      <c r="BB316" s="17">
        <f t="shared" si="233"/>
        <v>0</v>
      </c>
      <c r="BC316" s="17">
        <f t="shared" si="201"/>
        <v>1.5049438911769049E-2</v>
      </c>
      <c r="BD316" s="17">
        <f t="shared" si="202"/>
        <v>9.1299929398065569E-2</v>
      </c>
      <c r="BE316" s="17">
        <f t="shared" si="203"/>
        <v>0</v>
      </c>
      <c r="BF316" s="17">
        <f t="shared" si="204"/>
        <v>0</v>
      </c>
      <c r="BG316" s="17">
        <f t="shared" si="205"/>
        <v>0</v>
      </c>
      <c r="BH316" s="17">
        <f t="shared" si="206"/>
        <v>0</v>
      </c>
      <c r="BI316" s="17">
        <f t="shared" si="207"/>
        <v>0.57789845421193153</v>
      </c>
      <c r="BJ316" s="17">
        <f t="shared" si="208"/>
        <v>2.6587342077458654E-2</v>
      </c>
      <c r="BK316" s="17">
        <f t="shared" si="209"/>
        <v>7.5247194558845246E-3</v>
      </c>
      <c r="BL316" s="17">
        <f t="shared" si="210"/>
        <v>0</v>
      </c>
      <c r="BM316" s="17">
        <f t="shared" si="211"/>
        <v>0</v>
      </c>
      <c r="BN316" s="17">
        <f t="shared" si="212"/>
        <v>0</v>
      </c>
      <c r="BO316" s="17">
        <f t="shared" si="213"/>
        <v>0</v>
      </c>
      <c r="BP316" s="17">
        <f t="shared" si="214"/>
        <v>0</v>
      </c>
      <c r="BQ316" s="17">
        <f t="shared" si="215"/>
        <v>0</v>
      </c>
      <c r="BR316" s="17">
        <f t="shared" si="216"/>
        <v>0</v>
      </c>
      <c r="BS316" s="17">
        <f t="shared" si="217"/>
        <v>6.5214235284332548E-3</v>
      </c>
      <c r="BT316" s="17">
        <f t="shared" si="218"/>
        <v>0.51268421892759897</v>
      </c>
      <c r="BU316" s="17">
        <f t="shared" si="219"/>
        <v>0</v>
      </c>
      <c r="BV316" s="17">
        <f t="shared" si="220"/>
        <v>0</v>
      </c>
      <c r="BW316" s="17">
        <f t="shared" si="221"/>
        <v>0</v>
      </c>
      <c r="BX316" s="17">
        <f t="shared" si="222"/>
        <v>0</v>
      </c>
      <c r="BY316" s="17">
        <f t="shared" si="223"/>
        <v>0</v>
      </c>
      <c r="BZ316" s="17">
        <f t="shared" si="234"/>
        <v>3.0098877823538099E-3</v>
      </c>
      <c r="CA316" s="17">
        <f t="shared" si="235"/>
        <v>0</v>
      </c>
      <c r="CB316" s="17">
        <f t="shared" si="236"/>
        <v>0</v>
      </c>
      <c r="CC316" s="17">
        <f t="shared" si="237"/>
        <v>0</v>
      </c>
      <c r="CD316" s="17">
        <f t="shared" si="238"/>
        <v>0</v>
      </c>
      <c r="CE316" s="17">
        <f t="shared" si="239"/>
        <v>0</v>
      </c>
      <c r="CF316" s="17">
        <f t="shared" si="240"/>
        <v>0</v>
      </c>
      <c r="CG316" s="17">
        <f t="shared" si="241"/>
        <v>0</v>
      </c>
      <c r="CH316" s="17">
        <f t="shared" si="242"/>
        <v>0</v>
      </c>
      <c r="CI316" s="17">
        <f t="shared" si="243"/>
        <v>0</v>
      </c>
      <c r="CJ316" s="17">
        <f t="shared" si="244"/>
        <v>0</v>
      </c>
      <c r="CK316" s="17">
        <f t="shared" si="245"/>
        <v>0</v>
      </c>
      <c r="CL316" s="17">
        <f t="shared" si="246"/>
        <v>0</v>
      </c>
      <c r="CM316" s="14">
        <f t="shared" si="247"/>
        <v>18456</v>
      </c>
      <c r="CN316" s="17">
        <f t="shared" si="248"/>
        <v>9.2584148185203201</v>
      </c>
      <c r="CO316" s="14">
        <f t="shared" si="249"/>
        <v>23611</v>
      </c>
      <c r="CP316" s="17">
        <f t="shared" si="250"/>
        <v>11.844410071525967</v>
      </c>
      <c r="CQ316" s="14">
        <f t="shared" si="224"/>
        <v>26099</v>
      </c>
      <c r="CR316" s="14">
        <v>0</v>
      </c>
      <c r="CS316" s="14">
        <v>0</v>
      </c>
      <c r="CT316" s="14">
        <v>0</v>
      </c>
      <c r="CU316" s="14">
        <v>0</v>
      </c>
    </row>
    <row r="317" spans="1:99" x14ac:dyDescent="0.3">
      <c r="A317" s="14">
        <v>2019</v>
      </c>
      <c r="B317" s="14" t="s">
        <v>57</v>
      </c>
      <c r="C317" s="14" t="s">
        <v>58</v>
      </c>
      <c r="D317" s="15">
        <v>843431.7</v>
      </c>
      <c r="E317" s="15">
        <v>20567423.999999989</v>
      </c>
      <c r="F317" s="15">
        <f t="shared" si="225"/>
        <v>24.385405480965428</v>
      </c>
      <c r="AB317" s="14">
        <f t="shared" si="226"/>
        <v>0</v>
      </c>
      <c r="AM317" s="14">
        <f t="shared" si="227"/>
        <v>0</v>
      </c>
      <c r="AQ317" s="14">
        <f t="shared" si="228"/>
        <v>0</v>
      </c>
      <c r="AT317" s="14">
        <f t="shared" si="229"/>
        <v>0</v>
      </c>
      <c r="AU317" s="16">
        <v>0</v>
      </c>
      <c r="AV317" s="16">
        <v>0</v>
      </c>
      <c r="AW317" s="16">
        <v>0</v>
      </c>
      <c r="AX317" s="16">
        <v>0</v>
      </c>
      <c r="AY317" s="18">
        <f t="shared" si="230"/>
        <v>0</v>
      </c>
      <c r="AZ317" s="17">
        <f t="shared" si="231"/>
        <v>0</v>
      </c>
      <c r="BA317" s="17">
        <f t="shared" si="232"/>
        <v>0</v>
      </c>
      <c r="BB317" s="17">
        <f t="shared" si="233"/>
        <v>0</v>
      </c>
      <c r="BC317" s="17">
        <f t="shared" si="201"/>
        <v>0</v>
      </c>
      <c r="BD317" s="17">
        <f t="shared" si="202"/>
        <v>0</v>
      </c>
      <c r="BE317" s="17">
        <f t="shared" si="203"/>
        <v>0</v>
      </c>
      <c r="BF317" s="17">
        <f t="shared" si="204"/>
        <v>0</v>
      </c>
      <c r="BG317" s="17">
        <f t="shared" si="205"/>
        <v>0</v>
      </c>
      <c r="BH317" s="17">
        <f t="shared" si="206"/>
        <v>0</v>
      </c>
      <c r="BI317" s="17">
        <f t="shared" si="207"/>
        <v>0</v>
      </c>
      <c r="BJ317" s="17">
        <f t="shared" si="208"/>
        <v>0</v>
      </c>
      <c r="BK317" s="17">
        <f t="shared" si="209"/>
        <v>0</v>
      </c>
      <c r="BL317" s="17">
        <f t="shared" si="210"/>
        <v>0</v>
      </c>
      <c r="BM317" s="17">
        <f t="shared" si="211"/>
        <v>0</v>
      </c>
      <c r="BN317" s="17">
        <f t="shared" si="212"/>
        <v>0</v>
      </c>
      <c r="BO317" s="17">
        <f t="shared" si="213"/>
        <v>0</v>
      </c>
      <c r="BP317" s="17">
        <f t="shared" si="214"/>
        <v>0</v>
      </c>
      <c r="BQ317" s="17">
        <f t="shared" si="215"/>
        <v>0</v>
      </c>
      <c r="BR317" s="17">
        <f t="shared" si="216"/>
        <v>0</v>
      </c>
      <c r="BS317" s="17">
        <f t="shared" si="217"/>
        <v>0</v>
      </c>
      <c r="BT317" s="17">
        <f t="shared" si="218"/>
        <v>0</v>
      </c>
      <c r="BU317" s="17">
        <f t="shared" si="219"/>
        <v>0</v>
      </c>
      <c r="BV317" s="17">
        <f t="shared" si="220"/>
        <v>0</v>
      </c>
      <c r="BW317" s="17">
        <f t="shared" si="221"/>
        <v>0</v>
      </c>
      <c r="BX317" s="17">
        <f t="shared" si="222"/>
        <v>0</v>
      </c>
      <c r="BY317" s="17">
        <f t="shared" si="223"/>
        <v>0</v>
      </c>
      <c r="BZ317" s="17">
        <f t="shared" si="234"/>
        <v>0</v>
      </c>
      <c r="CA317" s="17">
        <f t="shared" si="235"/>
        <v>0</v>
      </c>
      <c r="CB317" s="17">
        <f t="shared" si="236"/>
        <v>0</v>
      </c>
      <c r="CC317" s="17">
        <f t="shared" si="237"/>
        <v>0</v>
      </c>
      <c r="CD317" s="17">
        <f t="shared" si="238"/>
        <v>0</v>
      </c>
      <c r="CE317" s="17">
        <f t="shared" si="239"/>
        <v>0</v>
      </c>
      <c r="CF317" s="17">
        <f t="shared" si="240"/>
        <v>0</v>
      </c>
      <c r="CG317" s="17">
        <f t="shared" si="241"/>
        <v>0</v>
      </c>
      <c r="CH317" s="17">
        <f t="shared" si="242"/>
        <v>0</v>
      </c>
      <c r="CI317" s="17">
        <f t="shared" si="243"/>
        <v>0</v>
      </c>
      <c r="CJ317" s="17">
        <f t="shared" si="244"/>
        <v>0</v>
      </c>
      <c r="CK317" s="17">
        <f t="shared" si="245"/>
        <v>0</v>
      </c>
      <c r="CL317" s="17">
        <f t="shared" si="246"/>
        <v>0</v>
      </c>
      <c r="CM317" s="14">
        <f t="shared" si="247"/>
        <v>0</v>
      </c>
      <c r="CN317" s="17">
        <f t="shared" si="248"/>
        <v>0</v>
      </c>
      <c r="CO317" s="14">
        <f t="shared" si="249"/>
        <v>0</v>
      </c>
      <c r="CP317" s="17">
        <f t="shared" si="250"/>
        <v>0</v>
      </c>
      <c r="CQ317" s="14">
        <f t="shared" si="224"/>
        <v>0</v>
      </c>
      <c r="CR317" s="14">
        <v>121</v>
      </c>
      <c r="CS317" s="14">
        <v>170</v>
      </c>
      <c r="CT317" s="14">
        <v>0</v>
      </c>
      <c r="CU317" s="14">
        <v>146</v>
      </c>
    </row>
    <row r="318" spans="1:99" x14ac:dyDescent="0.3">
      <c r="A318" s="14">
        <v>2020</v>
      </c>
      <c r="B318" s="14" t="s">
        <v>57</v>
      </c>
      <c r="C318" s="14" t="s">
        <v>58</v>
      </c>
      <c r="D318" s="15">
        <v>862128.3</v>
      </c>
      <c r="E318" s="15">
        <v>21224040.000000004</v>
      </c>
      <c r="F318" s="15">
        <f t="shared" si="225"/>
        <v>24.618191979082468</v>
      </c>
      <c r="M318" s="14">
        <v>3303</v>
      </c>
      <c r="AB318" s="14">
        <f t="shared" si="226"/>
        <v>0</v>
      </c>
      <c r="AM318" s="14">
        <f t="shared" si="227"/>
        <v>0</v>
      </c>
      <c r="AQ318" s="14">
        <f t="shared" si="228"/>
        <v>0</v>
      </c>
      <c r="AT318" s="14">
        <f t="shared" si="229"/>
        <v>0</v>
      </c>
      <c r="AU318" s="16">
        <v>0</v>
      </c>
      <c r="AV318" s="16">
        <v>0</v>
      </c>
      <c r="AW318" s="16">
        <v>0</v>
      </c>
      <c r="AX318" s="16">
        <v>0</v>
      </c>
      <c r="AY318" s="18">
        <f t="shared" si="230"/>
        <v>0</v>
      </c>
      <c r="AZ318" s="17">
        <f t="shared" si="231"/>
        <v>0</v>
      </c>
      <c r="BA318" s="17">
        <f t="shared" si="232"/>
        <v>0</v>
      </c>
      <c r="BB318" s="17">
        <f t="shared" si="233"/>
        <v>0</v>
      </c>
      <c r="BC318" s="17">
        <f t="shared" si="201"/>
        <v>0</v>
      </c>
      <c r="BD318" s="17">
        <f t="shared" si="202"/>
        <v>0</v>
      </c>
      <c r="BE318" s="17">
        <f t="shared" si="203"/>
        <v>0</v>
      </c>
      <c r="BF318" s="17">
        <f t="shared" si="204"/>
        <v>0</v>
      </c>
      <c r="BG318" s="17">
        <f t="shared" si="205"/>
        <v>0</v>
      </c>
      <c r="BH318" s="17">
        <f t="shared" si="206"/>
        <v>0</v>
      </c>
      <c r="BI318" s="17">
        <f t="shared" si="207"/>
        <v>1.5562541344626186</v>
      </c>
      <c r="BJ318" s="17">
        <f t="shared" si="208"/>
        <v>0</v>
      </c>
      <c r="BK318" s="17">
        <f t="shared" si="209"/>
        <v>0</v>
      </c>
      <c r="BL318" s="17">
        <f t="shared" si="210"/>
        <v>0</v>
      </c>
      <c r="BM318" s="17">
        <f t="shared" si="211"/>
        <v>0</v>
      </c>
      <c r="BN318" s="17">
        <f t="shared" si="212"/>
        <v>0</v>
      </c>
      <c r="BO318" s="17">
        <f t="shared" si="213"/>
        <v>0</v>
      </c>
      <c r="BP318" s="17">
        <f t="shared" si="214"/>
        <v>0</v>
      </c>
      <c r="BQ318" s="17">
        <f t="shared" si="215"/>
        <v>0</v>
      </c>
      <c r="BR318" s="17">
        <f t="shared" si="216"/>
        <v>0</v>
      </c>
      <c r="BS318" s="17">
        <f t="shared" si="217"/>
        <v>0</v>
      </c>
      <c r="BT318" s="17">
        <f t="shared" si="218"/>
        <v>0</v>
      </c>
      <c r="BU318" s="17">
        <f t="shared" si="219"/>
        <v>0</v>
      </c>
      <c r="BV318" s="17">
        <f t="shared" si="220"/>
        <v>0</v>
      </c>
      <c r="BW318" s="17">
        <f t="shared" si="221"/>
        <v>0</v>
      </c>
      <c r="BX318" s="17">
        <f t="shared" si="222"/>
        <v>0</v>
      </c>
      <c r="BY318" s="17">
        <f t="shared" si="223"/>
        <v>0</v>
      </c>
      <c r="BZ318" s="17">
        <f t="shared" si="234"/>
        <v>0</v>
      </c>
      <c r="CA318" s="17">
        <f t="shared" si="235"/>
        <v>0</v>
      </c>
      <c r="CB318" s="17">
        <f t="shared" si="236"/>
        <v>0</v>
      </c>
      <c r="CC318" s="17">
        <f t="shared" si="237"/>
        <v>0</v>
      </c>
      <c r="CD318" s="17">
        <f t="shared" si="238"/>
        <v>0</v>
      </c>
      <c r="CE318" s="17">
        <f t="shared" si="239"/>
        <v>0</v>
      </c>
      <c r="CF318" s="17">
        <f t="shared" si="240"/>
        <v>0</v>
      </c>
      <c r="CG318" s="17">
        <f t="shared" si="241"/>
        <v>0</v>
      </c>
      <c r="CH318" s="17">
        <f t="shared" si="242"/>
        <v>0</v>
      </c>
      <c r="CI318" s="17">
        <f t="shared" si="243"/>
        <v>0</v>
      </c>
      <c r="CJ318" s="17">
        <f t="shared" si="244"/>
        <v>0</v>
      </c>
      <c r="CK318" s="17">
        <f t="shared" si="245"/>
        <v>0</v>
      </c>
      <c r="CL318" s="17">
        <f t="shared" si="246"/>
        <v>0</v>
      </c>
      <c r="CM318" s="14">
        <f t="shared" si="247"/>
        <v>0</v>
      </c>
      <c r="CN318" s="17">
        <f t="shared" si="248"/>
        <v>0</v>
      </c>
      <c r="CO318" s="14">
        <f t="shared" si="249"/>
        <v>0</v>
      </c>
      <c r="CP318" s="17">
        <f t="shared" si="250"/>
        <v>0</v>
      </c>
      <c r="CQ318" s="14">
        <f t="shared" si="224"/>
        <v>3303</v>
      </c>
      <c r="CR318" s="14">
        <v>34</v>
      </c>
      <c r="CS318" s="14">
        <v>109</v>
      </c>
      <c r="CT318" s="14">
        <v>0</v>
      </c>
      <c r="CU318" s="14">
        <v>0</v>
      </c>
    </row>
    <row r="319" spans="1:99" x14ac:dyDescent="0.3">
      <c r="A319" s="14">
        <v>2021</v>
      </c>
      <c r="B319" s="14" t="s">
        <v>57</v>
      </c>
      <c r="C319" s="14" t="s">
        <v>58</v>
      </c>
      <c r="D319" s="15">
        <v>883083.9</v>
      </c>
      <c r="E319" s="15">
        <v>21904982.999999996</v>
      </c>
      <c r="F319" s="15">
        <f t="shared" si="225"/>
        <v>24.80509836041626</v>
      </c>
      <c r="AB319" s="14">
        <f t="shared" si="226"/>
        <v>0</v>
      </c>
      <c r="AM319" s="14">
        <f t="shared" si="227"/>
        <v>0</v>
      </c>
      <c r="AQ319" s="14">
        <f t="shared" si="228"/>
        <v>0</v>
      </c>
      <c r="AT319" s="14">
        <f t="shared" si="229"/>
        <v>0</v>
      </c>
      <c r="AU319" s="16">
        <v>0</v>
      </c>
      <c r="AV319" s="16">
        <v>0</v>
      </c>
      <c r="AW319" s="16">
        <v>0</v>
      </c>
      <c r="AX319" s="16">
        <v>0</v>
      </c>
      <c r="AY319" s="18">
        <f t="shared" si="230"/>
        <v>0</v>
      </c>
      <c r="AZ319" s="17">
        <f t="shared" si="231"/>
        <v>0</v>
      </c>
      <c r="BA319" s="17">
        <f t="shared" si="232"/>
        <v>0</v>
      </c>
      <c r="BB319" s="17">
        <f t="shared" si="233"/>
        <v>0</v>
      </c>
      <c r="BC319" s="17">
        <f t="shared" si="201"/>
        <v>0</v>
      </c>
      <c r="BD319" s="17">
        <f t="shared" si="202"/>
        <v>0</v>
      </c>
      <c r="BE319" s="17">
        <f t="shared" si="203"/>
        <v>0</v>
      </c>
      <c r="BF319" s="17">
        <f t="shared" si="204"/>
        <v>0</v>
      </c>
      <c r="BG319" s="17">
        <f t="shared" si="205"/>
        <v>0</v>
      </c>
      <c r="BH319" s="17">
        <f t="shared" si="206"/>
        <v>0</v>
      </c>
      <c r="BI319" s="17">
        <f t="shared" si="207"/>
        <v>0</v>
      </c>
      <c r="BJ319" s="17">
        <f t="shared" si="208"/>
        <v>0</v>
      </c>
      <c r="BK319" s="17">
        <f t="shared" si="209"/>
        <v>0</v>
      </c>
      <c r="BL319" s="17">
        <f t="shared" si="210"/>
        <v>0</v>
      </c>
      <c r="BM319" s="17">
        <f t="shared" si="211"/>
        <v>0</v>
      </c>
      <c r="BN319" s="17">
        <f t="shared" si="212"/>
        <v>0</v>
      </c>
      <c r="BO319" s="17">
        <f t="shared" si="213"/>
        <v>0</v>
      </c>
      <c r="BP319" s="17">
        <f t="shared" si="214"/>
        <v>0</v>
      </c>
      <c r="BQ319" s="17">
        <f t="shared" si="215"/>
        <v>0</v>
      </c>
      <c r="BR319" s="17">
        <f t="shared" si="216"/>
        <v>0</v>
      </c>
      <c r="BS319" s="17">
        <f t="shared" si="217"/>
        <v>0</v>
      </c>
      <c r="BT319" s="17">
        <f t="shared" si="218"/>
        <v>0</v>
      </c>
      <c r="BU319" s="17">
        <f t="shared" si="219"/>
        <v>0</v>
      </c>
      <c r="BV319" s="17">
        <f t="shared" si="220"/>
        <v>0</v>
      </c>
      <c r="BW319" s="17">
        <f t="shared" si="221"/>
        <v>0</v>
      </c>
      <c r="BX319" s="17">
        <f t="shared" si="222"/>
        <v>0</v>
      </c>
      <c r="BY319" s="17">
        <f t="shared" si="223"/>
        <v>0</v>
      </c>
      <c r="BZ319" s="17">
        <f t="shared" si="234"/>
        <v>0</v>
      </c>
      <c r="CA319" s="17">
        <f t="shared" si="235"/>
        <v>0</v>
      </c>
      <c r="CB319" s="17">
        <f t="shared" si="236"/>
        <v>0</v>
      </c>
      <c r="CC319" s="17">
        <f t="shared" si="237"/>
        <v>0</v>
      </c>
      <c r="CD319" s="17">
        <f t="shared" si="238"/>
        <v>0</v>
      </c>
      <c r="CE319" s="17">
        <f t="shared" si="239"/>
        <v>0</v>
      </c>
      <c r="CF319" s="17">
        <f t="shared" si="240"/>
        <v>0</v>
      </c>
      <c r="CG319" s="17">
        <f t="shared" si="241"/>
        <v>0</v>
      </c>
      <c r="CH319" s="17">
        <f t="shared" si="242"/>
        <v>0</v>
      </c>
      <c r="CI319" s="17">
        <f t="shared" si="243"/>
        <v>0</v>
      </c>
      <c r="CJ319" s="17">
        <f t="shared" si="244"/>
        <v>0</v>
      </c>
      <c r="CK319" s="17">
        <f t="shared" si="245"/>
        <v>0</v>
      </c>
      <c r="CL319" s="17">
        <f t="shared" si="246"/>
        <v>0</v>
      </c>
      <c r="CM319" s="14">
        <f t="shared" si="247"/>
        <v>0</v>
      </c>
      <c r="CN319" s="17">
        <f t="shared" si="248"/>
        <v>0</v>
      </c>
      <c r="CO319" s="14">
        <f t="shared" si="249"/>
        <v>0</v>
      </c>
      <c r="CP319" s="17">
        <f t="shared" si="250"/>
        <v>0</v>
      </c>
      <c r="CQ319" s="14">
        <f t="shared" si="224"/>
        <v>0</v>
      </c>
      <c r="CR319" s="14">
        <v>53</v>
      </c>
      <c r="CS319" s="14">
        <v>82</v>
      </c>
      <c r="CT319" s="14">
        <v>0</v>
      </c>
      <c r="CU319" s="14">
        <v>0</v>
      </c>
    </row>
    <row r="320" spans="1:99" x14ac:dyDescent="0.3">
      <c r="A320" s="14">
        <v>2022</v>
      </c>
      <c r="B320" s="14" t="s">
        <v>57</v>
      </c>
      <c r="C320" s="14" t="s">
        <v>58</v>
      </c>
      <c r="D320" s="15">
        <v>903993.3</v>
      </c>
      <c r="E320" s="15">
        <v>22593590.500000022</v>
      </c>
      <c r="F320" s="15">
        <f t="shared" si="225"/>
        <v>24.993095081567553</v>
      </c>
      <c r="H320" s="14">
        <v>1721</v>
      </c>
      <c r="X320" s="14">
        <v>1481</v>
      </c>
      <c r="AB320" s="14">
        <f t="shared" si="226"/>
        <v>0</v>
      </c>
      <c r="AM320" s="14">
        <f t="shared" si="227"/>
        <v>0</v>
      </c>
      <c r="AQ320" s="14">
        <f t="shared" si="228"/>
        <v>0</v>
      </c>
      <c r="AT320" s="14">
        <f t="shared" si="229"/>
        <v>0</v>
      </c>
      <c r="AU320" s="16">
        <v>8998</v>
      </c>
      <c r="AV320" s="16">
        <v>12654</v>
      </c>
      <c r="AW320" s="16">
        <v>3258</v>
      </c>
      <c r="AX320" s="16">
        <v>0</v>
      </c>
      <c r="AY320" s="18">
        <f t="shared" si="230"/>
        <v>3.9825454037506747</v>
      </c>
      <c r="AZ320" s="17">
        <f t="shared" si="231"/>
        <v>5.600703438437546</v>
      </c>
      <c r="BA320" s="17">
        <f t="shared" si="232"/>
        <v>1.4420018810201931</v>
      </c>
      <c r="BB320" s="17">
        <f t="shared" si="233"/>
        <v>0</v>
      </c>
      <c r="BC320" s="17">
        <f t="shared" si="201"/>
        <v>0</v>
      </c>
      <c r="BD320" s="17">
        <f t="shared" si="202"/>
        <v>0.7617204534179719</v>
      </c>
      <c r="BE320" s="17">
        <f t="shared" si="203"/>
        <v>0</v>
      </c>
      <c r="BF320" s="17">
        <f t="shared" si="204"/>
        <v>0</v>
      </c>
      <c r="BG320" s="17">
        <f t="shared" si="205"/>
        <v>0</v>
      </c>
      <c r="BH320" s="17">
        <f t="shared" si="206"/>
        <v>0</v>
      </c>
      <c r="BI320" s="17">
        <f t="shared" si="207"/>
        <v>0</v>
      </c>
      <c r="BJ320" s="17">
        <f t="shared" si="208"/>
        <v>0</v>
      </c>
      <c r="BK320" s="17">
        <f t="shared" si="209"/>
        <v>0</v>
      </c>
      <c r="BL320" s="17">
        <f t="shared" si="210"/>
        <v>0</v>
      </c>
      <c r="BM320" s="17">
        <f t="shared" si="211"/>
        <v>0</v>
      </c>
      <c r="BN320" s="17">
        <f t="shared" si="212"/>
        <v>0</v>
      </c>
      <c r="BO320" s="17">
        <f t="shared" si="213"/>
        <v>0</v>
      </c>
      <c r="BP320" s="17">
        <f t="shared" si="214"/>
        <v>0</v>
      </c>
      <c r="BQ320" s="17">
        <f t="shared" si="215"/>
        <v>0</v>
      </c>
      <c r="BR320" s="17">
        <f t="shared" si="216"/>
        <v>0</v>
      </c>
      <c r="BS320" s="17">
        <f t="shared" si="217"/>
        <v>0</v>
      </c>
      <c r="BT320" s="17">
        <f t="shared" si="218"/>
        <v>0.65549563713655801</v>
      </c>
      <c r="BU320" s="17">
        <f t="shared" si="219"/>
        <v>0</v>
      </c>
      <c r="BV320" s="17">
        <f t="shared" si="220"/>
        <v>0</v>
      </c>
      <c r="BW320" s="17">
        <f t="shared" si="221"/>
        <v>0</v>
      </c>
      <c r="BX320" s="17">
        <f t="shared" si="222"/>
        <v>0</v>
      </c>
      <c r="BY320" s="17">
        <f t="shared" si="223"/>
        <v>0</v>
      </c>
      <c r="BZ320" s="17">
        <f t="shared" si="234"/>
        <v>0</v>
      </c>
      <c r="CA320" s="17">
        <f t="shared" si="235"/>
        <v>0</v>
      </c>
      <c r="CB320" s="17">
        <f t="shared" si="236"/>
        <v>0</v>
      </c>
      <c r="CC320" s="17">
        <f t="shared" si="237"/>
        <v>0</v>
      </c>
      <c r="CD320" s="17">
        <f t="shared" si="238"/>
        <v>0</v>
      </c>
      <c r="CE320" s="17">
        <f t="shared" si="239"/>
        <v>0</v>
      </c>
      <c r="CF320" s="17">
        <f t="shared" si="240"/>
        <v>0</v>
      </c>
      <c r="CG320" s="17">
        <f t="shared" si="241"/>
        <v>0</v>
      </c>
      <c r="CH320" s="17">
        <f t="shared" si="242"/>
        <v>0</v>
      </c>
      <c r="CI320" s="17">
        <f t="shared" si="243"/>
        <v>0</v>
      </c>
      <c r="CJ320" s="17">
        <f t="shared" si="244"/>
        <v>0</v>
      </c>
      <c r="CK320" s="17">
        <f t="shared" si="245"/>
        <v>0</v>
      </c>
      <c r="CL320" s="17">
        <f t="shared" si="246"/>
        <v>0</v>
      </c>
      <c r="CM320" s="14">
        <f t="shared" si="247"/>
        <v>15912</v>
      </c>
      <c r="CN320" s="17">
        <f t="shared" si="248"/>
        <v>7.0427053194577391</v>
      </c>
      <c r="CO320" s="14">
        <f t="shared" si="249"/>
        <v>24910</v>
      </c>
      <c r="CP320" s="17">
        <f t="shared" si="250"/>
        <v>11.025250723208414</v>
      </c>
      <c r="CQ320" s="14">
        <f t="shared" si="224"/>
        <v>28112</v>
      </c>
      <c r="CR320" s="14">
        <v>11642</v>
      </c>
      <c r="CS320" s="14">
        <v>36980</v>
      </c>
      <c r="CT320" s="14">
        <v>3342</v>
      </c>
      <c r="CU320" s="14">
        <v>3642</v>
      </c>
    </row>
    <row r="321" spans="1:99" x14ac:dyDescent="0.3">
      <c r="A321" s="14">
        <v>2012</v>
      </c>
      <c r="B321" s="14" t="s">
        <v>59</v>
      </c>
      <c r="C321" s="14" t="s">
        <v>60</v>
      </c>
      <c r="D321" s="15">
        <v>16273.7</v>
      </c>
      <c r="E321" s="15">
        <v>1288744.5000000005</v>
      </c>
      <c r="F321" s="15">
        <f t="shared" si="225"/>
        <v>79.191855570644691</v>
      </c>
      <c r="G321" s="14">
        <v>301</v>
      </c>
      <c r="H321" s="14">
        <v>432</v>
      </c>
      <c r="AB321" s="14">
        <f t="shared" si="226"/>
        <v>0</v>
      </c>
      <c r="AM321" s="14">
        <f t="shared" si="227"/>
        <v>0</v>
      </c>
      <c r="AQ321" s="14">
        <f t="shared" si="228"/>
        <v>0</v>
      </c>
      <c r="AT321" s="14">
        <f t="shared" si="229"/>
        <v>0</v>
      </c>
      <c r="AU321" s="16">
        <v>3444</v>
      </c>
      <c r="AV321" s="16">
        <v>7474</v>
      </c>
      <c r="AW321" s="16">
        <v>0</v>
      </c>
      <c r="AX321" s="16">
        <v>0</v>
      </c>
      <c r="AY321" s="18">
        <f t="shared" si="230"/>
        <v>26.723683398842816</v>
      </c>
      <c r="AZ321" s="17">
        <f t="shared" si="231"/>
        <v>57.994427910264584</v>
      </c>
      <c r="BA321" s="17">
        <f t="shared" si="232"/>
        <v>0</v>
      </c>
      <c r="BB321" s="17">
        <f t="shared" si="233"/>
        <v>0</v>
      </c>
      <c r="BC321" s="17">
        <f t="shared" si="201"/>
        <v>2.3356064759151245</v>
      </c>
      <c r="BD321" s="17">
        <f t="shared" si="202"/>
        <v>3.352099659785162</v>
      </c>
      <c r="BE321" s="17">
        <f t="shared" si="203"/>
        <v>0</v>
      </c>
      <c r="BF321" s="17">
        <f t="shared" si="204"/>
        <v>0</v>
      </c>
      <c r="BG321" s="17">
        <f t="shared" si="205"/>
        <v>0</v>
      </c>
      <c r="BH321" s="17">
        <f t="shared" si="206"/>
        <v>0</v>
      </c>
      <c r="BI321" s="17">
        <f t="shared" si="207"/>
        <v>0</v>
      </c>
      <c r="BJ321" s="17">
        <f t="shared" si="208"/>
        <v>0</v>
      </c>
      <c r="BK321" s="17">
        <f t="shared" si="209"/>
        <v>0</v>
      </c>
      <c r="BL321" s="17">
        <f t="shared" si="210"/>
        <v>0</v>
      </c>
      <c r="BM321" s="17">
        <f t="shared" si="211"/>
        <v>0</v>
      </c>
      <c r="BN321" s="17">
        <f t="shared" si="212"/>
        <v>0</v>
      </c>
      <c r="BO321" s="17">
        <f t="shared" si="213"/>
        <v>0</v>
      </c>
      <c r="BP321" s="17">
        <f t="shared" si="214"/>
        <v>0</v>
      </c>
      <c r="BQ321" s="17">
        <f t="shared" si="215"/>
        <v>0</v>
      </c>
      <c r="BR321" s="17">
        <f t="shared" si="216"/>
        <v>0</v>
      </c>
      <c r="BS321" s="17">
        <f t="shared" si="217"/>
        <v>0</v>
      </c>
      <c r="BT321" s="17">
        <f t="shared" si="218"/>
        <v>0</v>
      </c>
      <c r="BU321" s="17">
        <f t="shared" si="219"/>
        <v>0</v>
      </c>
      <c r="BV321" s="17">
        <f t="shared" si="220"/>
        <v>0</v>
      </c>
      <c r="BW321" s="17">
        <f t="shared" si="221"/>
        <v>0</v>
      </c>
      <c r="BX321" s="17">
        <f t="shared" si="222"/>
        <v>0</v>
      </c>
      <c r="BY321" s="17">
        <f t="shared" si="223"/>
        <v>0</v>
      </c>
      <c r="BZ321" s="17">
        <f t="shared" si="234"/>
        <v>0</v>
      </c>
      <c r="CA321" s="17">
        <f t="shared" si="235"/>
        <v>0</v>
      </c>
      <c r="CB321" s="17">
        <f t="shared" si="236"/>
        <v>0</v>
      </c>
      <c r="CC321" s="17">
        <f t="shared" si="237"/>
        <v>0</v>
      </c>
      <c r="CD321" s="17">
        <f t="shared" si="238"/>
        <v>0</v>
      </c>
      <c r="CE321" s="17">
        <f t="shared" si="239"/>
        <v>0</v>
      </c>
      <c r="CF321" s="17">
        <f t="shared" si="240"/>
        <v>0</v>
      </c>
      <c r="CG321" s="17">
        <f t="shared" si="241"/>
        <v>0</v>
      </c>
      <c r="CH321" s="17">
        <f t="shared" si="242"/>
        <v>0</v>
      </c>
      <c r="CI321" s="17">
        <f t="shared" si="243"/>
        <v>0</v>
      </c>
      <c r="CJ321" s="17">
        <f t="shared" si="244"/>
        <v>0</v>
      </c>
      <c r="CK321" s="17">
        <f t="shared" si="245"/>
        <v>0</v>
      </c>
      <c r="CL321" s="17">
        <f t="shared" si="246"/>
        <v>0</v>
      </c>
      <c r="CM321" s="14">
        <f t="shared" si="247"/>
        <v>7474</v>
      </c>
      <c r="CN321" s="17">
        <f t="shared" si="248"/>
        <v>57.994427910264584</v>
      </c>
      <c r="CO321" s="14">
        <f t="shared" si="249"/>
        <v>10918</v>
      </c>
      <c r="CP321" s="17">
        <f t="shared" si="250"/>
        <v>84.7181113091074</v>
      </c>
      <c r="CQ321" s="14">
        <f t="shared" si="224"/>
        <v>11651</v>
      </c>
      <c r="CR321" s="14">
        <v>0</v>
      </c>
      <c r="CS321" s="14">
        <v>0</v>
      </c>
      <c r="CT321" s="14">
        <v>0</v>
      </c>
      <c r="CU321" s="14">
        <v>0</v>
      </c>
    </row>
    <row r="322" spans="1:99" x14ac:dyDescent="0.3">
      <c r="A322" s="14">
        <v>2013</v>
      </c>
      <c r="B322" s="14" t="s">
        <v>59</v>
      </c>
      <c r="C322" s="14" t="s">
        <v>60</v>
      </c>
      <c r="D322" s="15">
        <v>15623.3</v>
      </c>
      <c r="E322" s="15">
        <v>1290691.4999999998</v>
      </c>
      <c r="F322" s="15">
        <f t="shared" si="225"/>
        <v>82.613244320982105</v>
      </c>
      <c r="G322" s="14">
        <v>351</v>
      </c>
      <c r="H322" s="14">
        <v>460</v>
      </c>
      <c r="AB322" s="14">
        <f t="shared" si="226"/>
        <v>0</v>
      </c>
      <c r="AM322" s="14">
        <f t="shared" si="227"/>
        <v>0</v>
      </c>
      <c r="AQ322" s="14">
        <f t="shared" si="228"/>
        <v>0</v>
      </c>
      <c r="AT322" s="14">
        <f t="shared" si="229"/>
        <v>0</v>
      </c>
      <c r="AU322" s="16">
        <v>4092</v>
      </c>
      <c r="AV322" s="16">
        <v>7926</v>
      </c>
      <c r="AW322" s="16">
        <v>0</v>
      </c>
      <c r="AX322" s="16">
        <v>0</v>
      </c>
      <c r="AY322" s="18">
        <f t="shared" si="230"/>
        <v>31.70393544855607</v>
      </c>
      <c r="AZ322" s="17">
        <f t="shared" si="231"/>
        <v>61.408942415751568</v>
      </c>
      <c r="BA322" s="17">
        <f t="shared" si="232"/>
        <v>0</v>
      </c>
      <c r="BB322" s="17">
        <f t="shared" si="233"/>
        <v>0</v>
      </c>
      <c r="BC322" s="17">
        <f t="shared" ref="BC322:BC385" si="251">(G322*10000)/$E322</f>
        <v>2.7194724688277567</v>
      </c>
      <c r="BD322" s="17">
        <f t="shared" ref="BD322:BD385" si="252">(H322*10000)/$E322</f>
        <v>3.5639810132785414</v>
      </c>
      <c r="BE322" s="17">
        <f t="shared" ref="BE322:BE385" si="253">(I322*10000)/$E322</f>
        <v>0</v>
      </c>
      <c r="BF322" s="17">
        <f t="shared" ref="BF322:BF385" si="254">(J322*10000)/$E322</f>
        <v>0</v>
      </c>
      <c r="BG322" s="17">
        <f t="shared" ref="BG322:BG385" si="255">(K322*10000)/$E322</f>
        <v>0</v>
      </c>
      <c r="BH322" s="17">
        <f t="shared" ref="BH322:BH385" si="256">(L322*10000)/$E322</f>
        <v>0</v>
      </c>
      <c r="BI322" s="17">
        <f t="shared" ref="BI322:BI385" si="257">(M322*10000)/$E322</f>
        <v>0</v>
      </c>
      <c r="BJ322" s="17">
        <f t="shared" ref="BJ322:BJ385" si="258">(N322*10000)/$E322</f>
        <v>0</v>
      </c>
      <c r="BK322" s="17">
        <f t="shared" ref="BK322:BK385" si="259">(O322*10000)/$E322</f>
        <v>0</v>
      </c>
      <c r="BL322" s="17">
        <f t="shared" ref="BL322:BL385" si="260">(P322*10000)/$E322</f>
        <v>0</v>
      </c>
      <c r="BM322" s="17">
        <f t="shared" ref="BM322:BM385" si="261">(Q322*10000)/$E322</f>
        <v>0</v>
      </c>
      <c r="BN322" s="17">
        <f t="shared" ref="BN322:BN385" si="262">(R322*10000)/$E322</f>
        <v>0</v>
      </c>
      <c r="BO322" s="17">
        <f t="shared" ref="BO322:BO385" si="263">(S322*10000)/$E322</f>
        <v>0</v>
      </c>
      <c r="BP322" s="17">
        <f t="shared" ref="BP322:BP385" si="264">(T322*10000)/$E322</f>
        <v>0</v>
      </c>
      <c r="BQ322" s="17">
        <f t="shared" ref="BQ322:BQ385" si="265">(U322*10000)/$E322</f>
        <v>0</v>
      </c>
      <c r="BR322" s="17">
        <f t="shared" ref="BR322:BR385" si="266">(V322*10000)/$E322</f>
        <v>0</v>
      </c>
      <c r="BS322" s="17">
        <f t="shared" ref="BS322:BS385" si="267">(W322*10000)/$E322</f>
        <v>0</v>
      </c>
      <c r="BT322" s="17">
        <f t="shared" ref="BT322:BT385" si="268">(X322*10000)/$E322</f>
        <v>0</v>
      </c>
      <c r="BU322" s="17">
        <f t="shared" ref="BU322:BU385" si="269">(Y322*10000)/$E322</f>
        <v>0</v>
      </c>
      <c r="BV322" s="17">
        <f t="shared" ref="BV322:BV385" si="270">(Z322*10000)/$E322</f>
        <v>0</v>
      </c>
      <c r="BW322" s="17">
        <f t="shared" ref="BW322:BW385" si="271">(AA322*10000)/$E322</f>
        <v>0</v>
      </c>
      <c r="BX322" s="17">
        <f t="shared" ref="BX322:BX385" si="272">(AC322*10000)/$E322</f>
        <v>0</v>
      </c>
      <c r="BY322" s="17">
        <f t="shared" ref="BY322:BY385" si="273">(AD322*10000)/$E322</f>
        <v>0</v>
      </c>
      <c r="BZ322" s="17">
        <f t="shared" si="234"/>
        <v>0</v>
      </c>
      <c r="CA322" s="17">
        <f t="shared" si="235"/>
        <v>0</v>
      </c>
      <c r="CB322" s="17">
        <f t="shared" si="236"/>
        <v>0</v>
      </c>
      <c r="CC322" s="17">
        <f t="shared" si="237"/>
        <v>0</v>
      </c>
      <c r="CD322" s="17">
        <f t="shared" si="238"/>
        <v>0</v>
      </c>
      <c r="CE322" s="17">
        <f t="shared" si="239"/>
        <v>0</v>
      </c>
      <c r="CF322" s="17">
        <f t="shared" si="240"/>
        <v>0</v>
      </c>
      <c r="CG322" s="17">
        <f t="shared" si="241"/>
        <v>0</v>
      </c>
      <c r="CH322" s="17">
        <f t="shared" si="242"/>
        <v>0</v>
      </c>
      <c r="CI322" s="17">
        <f t="shared" si="243"/>
        <v>0</v>
      </c>
      <c r="CJ322" s="17">
        <f t="shared" si="244"/>
        <v>0</v>
      </c>
      <c r="CK322" s="17">
        <f t="shared" si="245"/>
        <v>0</v>
      </c>
      <c r="CL322" s="17">
        <f t="shared" si="246"/>
        <v>0</v>
      </c>
      <c r="CM322" s="14">
        <f t="shared" si="247"/>
        <v>7926</v>
      </c>
      <c r="CN322" s="17">
        <f t="shared" si="248"/>
        <v>61.408942415751568</v>
      </c>
      <c r="CO322" s="14">
        <f t="shared" si="249"/>
        <v>12018</v>
      </c>
      <c r="CP322" s="17">
        <f t="shared" si="250"/>
        <v>93.112877864307634</v>
      </c>
      <c r="CQ322" s="14">
        <f t="shared" ref="CQ322:CQ385" si="274">SUM(G322:AX322)</f>
        <v>12829</v>
      </c>
      <c r="CR322" s="14">
        <v>27</v>
      </c>
      <c r="CS322" s="14">
        <v>73</v>
      </c>
      <c r="CT322" s="14">
        <v>0</v>
      </c>
      <c r="CU322" s="14">
        <v>0</v>
      </c>
    </row>
    <row r="323" spans="1:99" x14ac:dyDescent="0.3">
      <c r="A323" s="14">
        <v>2014</v>
      </c>
      <c r="B323" s="14" t="s">
        <v>59</v>
      </c>
      <c r="C323" s="14" t="s">
        <v>60</v>
      </c>
      <c r="D323" s="15">
        <v>15026.4</v>
      </c>
      <c r="E323" s="15">
        <v>1292113.5000000002</v>
      </c>
      <c r="F323" s="15">
        <f t="shared" ref="F323:F386" si="275">E323/D323</f>
        <v>85.989558377256046</v>
      </c>
      <c r="G323" s="14">
        <v>366</v>
      </c>
      <c r="H323" s="14">
        <v>494</v>
      </c>
      <c r="AB323" s="14">
        <f t="shared" ref="AB323:AB386" si="276">AA323+O323</f>
        <v>0</v>
      </c>
      <c r="AM323" s="14">
        <f t="shared" ref="AM323:AM386" si="277">AK323+AL323</f>
        <v>0</v>
      </c>
      <c r="AQ323" s="14">
        <f t="shared" ref="AQ323:AQ386" si="278">AO323+AP323</f>
        <v>0</v>
      </c>
      <c r="AT323" s="14">
        <f t="shared" ref="AT323:AT386" si="279">AR323+AS323</f>
        <v>0</v>
      </c>
      <c r="AU323" s="16">
        <v>4858</v>
      </c>
      <c r="AV323" s="16">
        <v>8250</v>
      </c>
      <c r="AW323" s="16">
        <v>0</v>
      </c>
      <c r="AX323" s="16">
        <v>0</v>
      </c>
      <c r="AY323" s="18">
        <f t="shared" ref="AY323:AY386" si="280">(AU323*10000)/$E323</f>
        <v>37.597316334826616</v>
      </c>
      <c r="AZ323" s="17">
        <f t="shared" ref="AZ323:AZ386" si="281">(AV323*10000)/$E323</f>
        <v>63.848880148686618</v>
      </c>
      <c r="BA323" s="17">
        <f t="shared" ref="BA323:BA386" si="282">(AW323*10000)/$E323</f>
        <v>0</v>
      </c>
      <c r="BB323" s="17">
        <f t="shared" ref="BB323:BB386" si="283">(AX323*10000)/$E323</f>
        <v>0</v>
      </c>
      <c r="BC323" s="17">
        <f t="shared" si="251"/>
        <v>2.8325685011417336</v>
      </c>
      <c r="BD323" s="17">
        <f t="shared" si="252"/>
        <v>3.8231935507213564</v>
      </c>
      <c r="BE323" s="17">
        <f t="shared" si="253"/>
        <v>0</v>
      </c>
      <c r="BF323" s="17">
        <f t="shared" si="254"/>
        <v>0</v>
      </c>
      <c r="BG323" s="17">
        <f t="shared" si="255"/>
        <v>0</v>
      </c>
      <c r="BH323" s="17">
        <f t="shared" si="256"/>
        <v>0</v>
      </c>
      <c r="BI323" s="17">
        <f t="shared" si="257"/>
        <v>0</v>
      </c>
      <c r="BJ323" s="17">
        <f t="shared" si="258"/>
        <v>0</v>
      </c>
      <c r="BK323" s="17">
        <f t="shared" si="259"/>
        <v>0</v>
      </c>
      <c r="BL323" s="17">
        <f t="shared" si="260"/>
        <v>0</v>
      </c>
      <c r="BM323" s="17">
        <f t="shared" si="261"/>
        <v>0</v>
      </c>
      <c r="BN323" s="17">
        <f t="shared" si="262"/>
        <v>0</v>
      </c>
      <c r="BO323" s="17">
        <f t="shared" si="263"/>
        <v>0</v>
      </c>
      <c r="BP323" s="17">
        <f t="shared" si="264"/>
        <v>0</v>
      </c>
      <c r="BQ323" s="17">
        <f t="shared" si="265"/>
        <v>0</v>
      </c>
      <c r="BR323" s="17">
        <f t="shared" si="266"/>
        <v>0</v>
      </c>
      <c r="BS323" s="17">
        <f t="shared" si="267"/>
        <v>0</v>
      </c>
      <c r="BT323" s="17">
        <f t="shared" si="268"/>
        <v>0</v>
      </c>
      <c r="BU323" s="17">
        <f t="shared" si="269"/>
        <v>0</v>
      </c>
      <c r="BV323" s="17">
        <f t="shared" si="270"/>
        <v>0</v>
      </c>
      <c r="BW323" s="17">
        <f t="shared" si="271"/>
        <v>0</v>
      </c>
      <c r="BX323" s="17">
        <f t="shared" si="272"/>
        <v>0</v>
      </c>
      <c r="BY323" s="17">
        <f t="shared" si="273"/>
        <v>0</v>
      </c>
      <c r="BZ323" s="17">
        <f t="shared" ref="BZ323:BZ386" si="284">(AE323*10000)/$E323</f>
        <v>0</v>
      </c>
      <c r="CA323" s="17">
        <f t="shared" ref="CA323:CA386" si="285">(AF323*10000)/$E323</f>
        <v>0</v>
      </c>
      <c r="CB323" s="17">
        <f t="shared" ref="CB323:CB386" si="286">(AG323*10000)/$E323</f>
        <v>0</v>
      </c>
      <c r="CC323" s="17">
        <f t="shared" ref="CC323:CC386" si="287">(AH323*10000)/$E323</f>
        <v>0</v>
      </c>
      <c r="CD323" s="17">
        <f t="shared" ref="CD323:CD386" si="288">(AI323*10000)/$E323</f>
        <v>0</v>
      </c>
      <c r="CE323" s="17">
        <f t="shared" ref="CE323:CE386" si="289">(AJ323*10000)/$E323</f>
        <v>0</v>
      </c>
      <c r="CF323" s="17">
        <f t="shared" ref="CF323:CF386" si="290">(AK323*10000)/$E323</f>
        <v>0</v>
      </c>
      <c r="CG323" s="17">
        <f t="shared" ref="CG323:CG386" si="291">(AL323*10000)/$E323</f>
        <v>0</v>
      </c>
      <c r="CH323" s="17">
        <f t="shared" ref="CH323:CH386" si="292">(AN323*10000)/$E323</f>
        <v>0</v>
      </c>
      <c r="CI323" s="17">
        <f t="shared" ref="CI323:CI386" si="293">(AO323*10000)/$E323</f>
        <v>0</v>
      </c>
      <c r="CJ323" s="17">
        <f t="shared" ref="CJ323:CJ386" si="294">(AP323*10000)/$E323</f>
        <v>0</v>
      </c>
      <c r="CK323" s="17">
        <f t="shared" ref="CK323:CK386" si="295">(AR323*10000)/$E323</f>
        <v>0</v>
      </c>
      <c r="CL323" s="17">
        <f t="shared" ref="CL323:CL386" si="296">(AS323*10000)/$E323</f>
        <v>0</v>
      </c>
      <c r="CM323" s="14">
        <f t="shared" ref="CM323:CM386" si="297">AV323+AW323</f>
        <v>8250</v>
      </c>
      <c r="CN323" s="17">
        <f t="shared" ref="CN323:CN386" si="298">(CM323*10000)/$E323</f>
        <v>63.848880148686618</v>
      </c>
      <c r="CO323" s="14">
        <f t="shared" ref="CO323:CO386" si="299">AU323+AV323+AW323</f>
        <v>13108</v>
      </c>
      <c r="CP323" s="17">
        <f t="shared" ref="CP323:CP386" si="300">(CO323*10000)/$E323</f>
        <v>101.44619648351323</v>
      </c>
      <c r="CQ323" s="14">
        <f t="shared" si="274"/>
        <v>13968</v>
      </c>
      <c r="CR323" s="14">
        <v>18</v>
      </c>
      <c r="CS323" s="14">
        <v>24</v>
      </c>
      <c r="CT323" s="14">
        <v>0</v>
      </c>
      <c r="CU323" s="14">
        <v>0</v>
      </c>
    </row>
    <row r="324" spans="1:99" x14ac:dyDescent="0.3">
      <c r="A324" s="14">
        <v>2015</v>
      </c>
      <c r="B324" s="14" t="s">
        <v>59</v>
      </c>
      <c r="C324" s="14" t="s">
        <v>60</v>
      </c>
      <c r="D324" s="15">
        <v>14693.7</v>
      </c>
      <c r="E324" s="15">
        <v>1293153</v>
      </c>
      <c r="F324" s="15">
        <f t="shared" si="275"/>
        <v>88.007309254986822</v>
      </c>
      <c r="G324" s="14">
        <v>380</v>
      </c>
      <c r="H324" s="14">
        <v>497</v>
      </c>
      <c r="AB324" s="14">
        <f t="shared" si="276"/>
        <v>0</v>
      </c>
      <c r="AM324" s="14">
        <f t="shared" si="277"/>
        <v>0</v>
      </c>
      <c r="AQ324" s="14">
        <f t="shared" si="278"/>
        <v>0</v>
      </c>
      <c r="AT324" s="14">
        <f t="shared" si="279"/>
        <v>0</v>
      </c>
      <c r="AU324" s="16">
        <v>5100</v>
      </c>
      <c r="AV324" s="16">
        <v>8522</v>
      </c>
      <c r="AW324" s="16">
        <v>0</v>
      </c>
      <c r="AX324" s="16">
        <v>0</v>
      </c>
      <c r="AY324" s="18">
        <f t="shared" si="280"/>
        <v>39.438488717112364</v>
      </c>
      <c r="AZ324" s="17">
        <f t="shared" si="281"/>
        <v>65.900941342594422</v>
      </c>
      <c r="BA324" s="17">
        <f t="shared" si="282"/>
        <v>0</v>
      </c>
      <c r="BB324" s="17">
        <f t="shared" si="283"/>
        <v>0</v>
      </c>
      <c r="BC324" s="17">
        <f t="shared" si="251"/>
        <v>2.9385540612750387</v>
      </c>
      <c r="BD324" s="17">
        <f t="shared" si="252"/>
        <v>3.8433193906676162</v>
      </c>
      <c r="BE324" s="17">
        <f t="shared" si="253"/>
        <v>0</v>
      </c>
      <c r="BF324" s="17">
        <f t="shared" si="254"/>
        <v>0</v>
      </c>
      <c r="BG324" s="17">
        <f t="shared" si="255"/>
        <v>0</v>
      </c>
      <c r="BH324" s="17">
        <f t="shared" si="256"/>
        <v>0</v>
      </c>
      <c r="BI324" s="17">
        <f t="shared" si="257"/>
        <v>0</v>
      </c>
      <c r="BJ324" s="17">
        <f t="shared" si="258"/>
        <v>0</v>
      </c>
      <c r="BK324" s="17">
        <f t="shared" si="259"/>
        <v>0</v>
      </c>
      <c r="BL324" s="17">
        <f t="shared" si="260"/>
        <v>0</v>
      </c>
      <c r="BM324" s="17">
        <f t="shared" si="261"/>
        <v>0</v>
      </c>
      <c r="BN324" s="17">
        <f t="shared" si="262"/>
        <v>0</v>
      </c>
      <c r="BO324" s="17">
        <f t="shared" si="263"/>
        <v>0</v>
      </c>
      <c r="BP324" s="17">
        <f t="shared" si="264"/>
        <v>0</v>
      </c>
      <c r="BQ324" s="17">
        <f t="shared" si="265"/>
        <v>0</v>
      </c>
      <c r="BR324" s="17">
        <f t="shared" si="266"/>
        <v>0</v>
      </c>
      <c r="BS324" s="17">
        <f t="shared" si="267"/>
        <v>0</v>
      </c>
      <c r="BT324" s="17">
        <f t="shared" si="268"/>
        <v>0</v>
      </c>
      <c r="BU324" s="17">
        <f t="shared" si="269"/>
        <v>0</v>
      </c>
      <c r="BV324" s="17">
        <f t="shared" si="270"/>
        <v>0</v>
      </c>
      <c r="BW324" s="17">
        <f t="shared" si="271"/>
        <v>0</v>
      </c>
      <c r="BX324" s="17">
        <f t="shared" si="272"/>
        <v>0</v>
      </c>
      <c r="BY324" s="17">
        <f t="shared" si="273"/>
        <v>0</v>
      </c>
      <c r="BZ324" s="17">
        <f t="shared" si="284"/>
        <v>0</v>
      </c>
      <c r="CA324" s="17">
        <f t="shared" si="285"/>
        <v>0</v>
      </c>
      <c r="CB324" s="17">
        <f t="shared" si="286"/>
        <v>0</v>
      </c>
      <c r="CC324" s="17">
        <f t="shared" si="287"/>
        <v>0</v>
      </c>
      <c r="CD324" s="17">
        <f t="shared" si="288"/>
        <v>0</v>
      </c>
      <c r="CE324" s="17">
        <f t="shared" si="289"/>
        <v>0</v>
      </c>
      <c r="CF324" s="17">
        <f t="shared" si="290"/>
        <v>0</v>
      </c>
      <c r="CG324" s="17">
        <f t="shared" si="291"/>
        <v>0</v>
      </c>
      <c r="CH324" s="17">
        <f t="shared" si="292"/>
        <v>0</v>
      </c>
      <c r="CI324" s="17">
        <f t="shared" si="293"/>
        <v>0</v>
      </c>
      <c r="CJ324" s="17">
        <f t="shared" si="294"/>
        <v>0</v>
      </c>
      <c r="CK324" s="17">
        <f t="shared" si="295"/>
        <v>0</v>
      </c>
      <c r="CL324" s="17">
        <f t="shared" si="296"/>
        <v>0</v>
      </c>
      <c r="CM324" s="14">
        <f t="shared" si="297"/>
        <v>8522</v>
      </c>
      <c r="CN324" s="17">
        <f t="shared" si="298"/>
        <v>65.900941342594422</v>
      </c>
      <c r="CO324" s="14">
        <f t="shared" si="299"/>
        <v>13622</v>
      </c>
      <c r="CP324" s="17">
        <f t="shared" si="300"/>
        <v>105.33943005970679</v>
      </c>
      <c r="CQ324" s="14">
        <f t="shared" si="274"/>
        <v>14499</v>
      </c>
      <c r="CR324" s="14">
        <v>0</v>
      </c>
      <c r="CS324" s="14">
        <v>0</v>
      </c>
      <c r="CT324" s="14">
        <v>0</v>
      </c>
      <c r="CU324" s="14">
        <v>0</v>
      </c>
    </row>
    <row r="325" spans="1:99" x14ac:dyDescent="0.3">
      <c r="A325" s="14">
        <v>2016</v>
      </c>
      <c r="B325" s="14" t="s">
        <v>59</v>
      </c>
      <c r="C325" s="14" t="s">
        <v>60</v>
      </c>
      <c r="D325" s="15">
        <v>14486.7</v>
      </c>
      <c r="E325" s="15">
        <v>1293911.0000000005</v>
      </c>
      <c r="F325" s="15">
        <f t="shared" si="275"/>
        <v>89.317166780564264</v>
      </c>
      <c r="G325" s="14">
        <v>385</v>
      </c>
      <c r="H325" s="14">
        <v>514</v>
      </c>
      <c r="AB325" s="14">
        <f t="shared" si="276"/>
        <v>0</v>
      </c>
      <c r="AM325" s="14">
        <f t="shared" si="277"/>
        <v>0</v>
      </c>
      <c r="AQ325" s="14">
        <f t="shared" si="278"/>
        <v>0</v>
      </c>
      <c r="AT325" s="14">
        <f t="shared" si="279"/>
        <v>0</v>
      </c>
      <c r="AU325" s="16">
        <v>5538</v>
      </c>
      <c r="AV325" s="16">
        <v>8268</v>
      </c>
      <c r="AW325" s="16">
        <v>0</v>
      </c>
      <c r="AX325" s="16">
        <v>0</v>
      </c>
      <c r="AY325" s="18">
        <f t="shared" si="280"/>
        <v>42.800470820636022</v>
      </c>
      <c r="AZ325" s="17">
        <f t="shared" si="281"/>
        <v>63.899294464611529</v>
      </c>
      <c r="BA325" s="17">
        <f t="shared" si="282"/>
        <v>0</v>
      </c>
      <c r="BB325" s="17">
        <f t="shared" si="283"/>
        <v>0</v>
      </c>
      <c r="BC325" s="17">
        <f t="shared" si="251"/>
        <v>2.975475129278597</v>
      </c>
      <c r="BD325" s="17">
        <f t="shared" si="252"/>
        <v>3.9724525102576593</v>
      </c>
      <c r="BE325" s="17">
        <f t="shared" si="253"/>
        <v>0</v>
      </c>
      <c r="BF325" s="17">
        <f t="shared" si="254"/>
        <v>0</v>
      </c>
      <c r="BG325" s="17">
        <f t="shared" si="255"/>
        <v>0</v>
      </c>
      <c r="BH325" s="17">
        <f t="shared" si="256"/>
        <v>0</v>
      </c>
      <c r="BI325" s="17">
        <f t="shared" si="257"/>
        <v>0</v>
      </c>
      <c r="BJ325" s="17">
        <f t="shared" si="258"/>
        <v>0</v>
      </c>
      <c r="BK325" s="17">
        <f t="shared" si="259"/>
        <v>0</v>
      </c>
      <c r="BL325" s="17">
        <f t="shared" si="260"/>
        <v>0</v>
      </c>
      <c r="BM325" s="17">
        <f t="shared" si="261"/>
        <v>0</v>
      </c>
      <c r="BN325" s="17">
        <f t="shared" si="262"/>
        <v>0</v>
      </c>
      <c r="BO325" s="17">
        <f t="shared" si="263"/>
        <v>0</v>
      </c>
      <c r="BP325" s="17">
        <f t="shared" si="264"/>
        <v>0</v>
      </c>
      <c r="BQ325" s="17">
        <f t="shared" si="265"/>
        <v>0</v>
      </c>
      <c r="BR325" s="17">
        <f t="shared" si="266"/>
        <v>0</v>
      </c>
      <c r="BS325" s="17">
        <f t="shared" si="267"/>
        <v>0</v>
      </c>
      <c r="BT325" s="17">
        <f t="shared" si="268"/>
        <v>0</v>
      </c>
      <c r="BU325" s="17">
        <f t="shared" si="269"/>
        <v>0</v>
      </c>
      <c r="BV325" s="17">
        <f t="shared" si="270"/>
        <v>0</v>
      </c>
      <c r="BW325" s="17">
        <f t="shared" si="271"/>
        <v>0</v>
      </c>
      <c r="BX325" s="17">
        <f t="shared" si="272"/>
        <v>0</v>
      </c>
      <c r="BY325" s="17">
        <f t="shared" si="273"/>
        <v>0</v>
      </c>
      <c r="BZ325" s="17">
        <f t="shared" si="284"/>
        <v>0</v>
      </c>
      <c r="CA325" s="17">
        <f t="shared" si="285"/>
        <v>0</v>
      </c>
      <c r="CB325" s="17">
        <f t="shared" si="286"/>
        <v>0</v>
      </c>
      <c r="CC325" s="17">
        <f t="shared" si="287"/>
        <v>0</v>
      </c>
      <c r="CD325" s="17">
        <f t="shared" si="288"/>
        <v>0</v>
      </c>
      <c r="CE325" s="17">
        <f t="shared" si="289"/>
        <v>0</v>
      </c>
      <c r="CF325" s="17">
        <f t="shared" si="290"/>
        <v>0</v>
      </c>
      <c r="CG325" s="17">
        <f t="shared" si="291"/>
        <v>0</v>
      </c>
      <c r="CH325" s="17">
        <f t="shared" si="292"/>
        <v>0</v>
      </c>
      <c r="CI325" s="17">
        <f t="shared" si="293"/>
        <v>0</v>
      </c>
      <c r="CJ325" s="17">
        <f t="shared" si="294"/>
        <v>0</v>
      </c>
      <c r="CK325" s="17">
        <f t="shared" si="295"/>
        <v>0</v>
      </c>
      <c r="CL325" s="17">
        <f t="shared" si="296"/>
        <v>0</v>
      </c>
      <c r="CM325" s="14">
        <f t="shared" si="297"/>
        <v>8268</v>
      </c>
      <c r="CN325" s="17">
        <f t="shared" si="298"/>
        <v>63.899294464611529</v>
      </c>
      <c r="CO325" s="14">
        <f t="shared" si="299"/>
        <v>13806</v>
      </c>
      <c r="CP325" s="17">
        <f t="shared" si="300"/>
        <v>106.69976528524755</v>
      </c>
      <c r="CQ325" s="14">
        <f t="shared" si="274"/>
        <v>14705</v>
      </c>
      <c r="CR325" s="14">
        <v>312</v>
      </c>
      <c r="CS325" s="14">
        <v>1159</v>
      </c>
      <c r="CT325" s="14">
        <v>202</v>
      </c>
      <c r="CU325" s="14">
        <v>1796</v>
      </c>
    </row>
    <row r="326" spans="1:99" x14ac:dyDescent="0.3">
      <c r="A326" s="14">
        <v>2017</v>
      </c>
      <c r="B326" s="14" t="s">
        <v>59</v>
      </c>
      <c r="C326" s="14" t="s">
        <v>60</v>
      </c>
      <c r="D326" s="15">
        <v>14729.3</v>
      </c>
      <c r="E326" s="15">
        <v>1294740.5000000002</v>
      </c>
      <c r="F326" s="15">
        <f t="shared" si="275"/>
        <v>87.90237825287015</v>
      </c>
      <c r="G326" s="14">
        <v>401</v>
      </c>
      <c r="H326" s="14">
        <v>531</v>
      </c>
      <c r="AB326" s="14">
        <f t="shared" si="276"/>
        <v>0</v>
      </c>
      <c r="AM326" s="14">
        <f t="shared" si="277"/>
        <v>0</v>
      </c>
      <c r="AQ326" s="14">
        <f t="shared" si="278"/>
        <v>0</v>
      </c>
      <c r="AT326" s="14">
        <f t="shared" si="279"/>
        <v>0</v>
      </c>
      <c r="AU326" s="16">
        <v>5854</v>
      </c>
      <c r="AV326" s="16">
        <v>8890</v>
      </c>
      <c r="AW326" s="16">
        <v>0</v>
      </c>
      <c r="AX326" s="16">
        <v>0</v>
      </c>
      <c r="AY326" s="18">
        <f t="shared" si="280"/>
        <v>45.213693400337746</v>
      </c>
      <c r="AZ326" s="17">
        <f t="shared" si="281"/>
        <v>68.662407640758886</v>
      </c>
      <c r="BA326" s="17">
        <f t="shared" si="282"/>
        <v>0</v>
      </c>
      <c r="BB326" s="17">
        <f t="shared" si="283"/>
        <v>0</v>
      </c>
      <c r="BC326" s="17">
        <f t="shared" si="251"/>
        <v>3.0971457214785505</v>
      </c>
      <c r="BD326" s="17">
        <f t="shared" si="252"/>
        <v>4.1012079254491534</v>
      </c>
      <c r="BE326" s="17">
        <f t="shared" si="253"/>
        <v>0</v>
      </c>
      <c r="BF326" s="17">
        <f t="shared" si="254"/>
        <v>0</v>
      </c>
      <c r="BG326" s="17">
        <f t="shared" si="255"/>
        <v>0</v>
      </c>
      <c r="BH326" s="17">
        <f t="shared" si="256"/>
        <v>0</v>
      </c>
      <c r="BI326" s="17">
        <f t="shared" si="257"/>
        <v>0</v>
      </c>
      <c r="BJ326" s="17">
        <f t="shared" si="258"/>
        <v>0</v>
      </c>
      <c r="BK326" s="17">
        <f t="shared" si="259"/>
        <v>0</v>
      </c>
      <c r="BL326" s="17">
        <f t="shared" si="260"/>
        <v>0</v>
      </c>
      <c r="BM326" s="17">
        <f t="shared" si="261"/>
        <v>0</v>
      </c>
      <c r="BN326" s="17">
        <f t="shared" si="262"/>
        <v>0</v>
      </c>
      <c r="BO326" s="17">
        <f t="shared" si="263"/>
        <v>0</v>
      </c>
      <c r="BP326" s="17">
        <f t="shared" si="264"/>
        <v>0</v>
      </c>
      <c r="BQ326" s="17">
        <f t="shared" si="265"/>
        <v>0</v>
      </c>
      <c r="BR326" s="17">
        <f t="shared" si="266"/>
        <v>0</v>
      </c>
      <c r="BS326" s="17">
        <f t="shared" si="267"/>
        <v>0</v>
      </c>
      <c r="BT326" s="17">
        <f t="shared" si="268"/>
        <v>0</v>
      </c>
      <c r="BU326" s="17">
        <f t="shared" si="269"/>
        <v>0</v>
      </c>
      <c r="BV326" s="17">
        <f t="shared" si="270"/>
        <v>0</v>
      </c>
      <c r="BW326" s="17">
        <f t="shared" si="271"/>
        <v>0</v>
      </c>
      <c r="BX326" s="17">
        <f t="shared" si="272"/>
        <v>0</v>
      </c>
      <c r="BY326" s="17">
        <f t="shared" si="273"/>
        <v>0</v>
      </c>
      <c r="BZ326" s="17">
        <f t="shared" si="284"/>
        <v>0</v>
      </c>
      <c r="CA326" s="17">
        <f t="shared" si="285"/>
        <v>0</v>
      </c>
      <c r="CB326" s="17">
        <f t="shared" si="286"/>
        <v>0</v>
      </c>
      <c r="CC326" s="17">
        <f t="shared" si="287"/>
        <v>0</v>
      </c>
      <c r="CD326" s="17">
        <f t="shared" si="288"/>
        <v>0</v>
      </c>
      <c r="CE326" s="17">
        <f t="shared" si="289"/>
        <v>0</v>
      </c>
      <c r="CF326" s="17">
        <f t="shared" si="290"/>
        <v>0</v>
      </c>
      <c r="CG326" s="17">
        <f t="shared" si="291"/>
        <v>0</v>
      </c>
      <c r="CH326" s="17">
        <f t="shared" si="292"/>
        <v>0</v>
      </c>
      <c r="CI326" s="17">
        <f t="shared" si="293"/>
        <v>0</v>
      </c>
      <c r="CJ326" s="17">
        <f t="shared" si="294"/>
        <v>0</v>
      </c>
      <c r="CK326" s="17">
        <f t="shared" si="295"/>
        <v>0</v>
      </c>
      <c r="CL326" s="17">
        <f t="shared" si="296"/>
        <v>0</v>
      </c>
      <c r="CM326" s="14">
        <f t="shared" si="297"/>
        <v>8890</v>
      </c>
      <c r="CN326" s="17">
        <f t="shared" si="298"/>
        <v>68.662407640758886</v>
      </c>
      <c r="CO326" s="14">
        <f t="shared" si="299"/>
        <v>14744</v>
      </c>
      <c r="CP326" s="17">
        <f t="shared" si="300"/>
        <v>113.87610104109663</v>
      </c>
      <c r="CQ326" s="14">
        <f t="shared" si="274"/>
        <v>15676</v>
      </c>
      <c r="CR326" s="14">
        <v>293</v>
      </c>
      <c r="CS326" s="14">
        <v>759</v>
      </c>
      <c r="CT326" s="14">
        <v>61</v>
      </c>
      <c r="CU326" s="14">
        <v>1843</v>
      </c>
    </row>
    <row r="327" spans="1:99" x14ac:dyDescent="0.3">
      <c r="A327" s="14">
        <v>2018</v>
      </c>
      <c r="B327" s="14" t="s">
        <v>59</v>
      </c>
      <c r="C327" s="14" t="s">
        <v>60</v>
      </c>
      <c r="D327" s="15">
        <v>14714</v>
      </c>
      <c r="E327" s="15">
        <v>1295381.5000000005</v>
      </c>
      <c r="F327" s="15">
        <f t="shared" si="275"/>
        <v>88.037345385347322</v>
      </c>
      <c r="G327" s="14">
        <v>466</v>
      </c>
      <c r="H327" s="14">
        <v>748</v>
      </c>
      <c r="M327" s="14">
        <v>180</v>
      </c>
      <c r="Z327" s="14">
        <v>291</v>
      </c>
      <c r="AB327" s="14">
        <f t="shared" si="276"/>
        <v>0</v>
      </c>
      <c r="AM327" s="14">
        <f t="shared" si="277"/>
        <v>0</v>
      </c>
      <c r="AQ327" s="14">
        <f t="shared" si="278"/>
        <v>0</v>
      </c>
      <c r="AT327" s="14">
        <f t="shared" si="279"/>
        <v>0</v>
      </c>
      <c r="AU327" s="16">
        <v>4790</v>
      </c>
      <c r="AV327" s="16">
        <v>9972</v>
      </c>
      <c r="AW327" s="16">
        <v>0</v>
      </c>
      <c r="AX327" s="16">
        <v>0</v>
      </c>
      <c r="AY327" s="18">
        <f t="shared" si="280"/>
        <v>36.97752360984002</v>
      </c>
      <c r="AZ327" s="17">
        <f t="shared" si="281"/>
        <v>76.98118276353334</v>
      </c>
      <c r="BA327" s="17">
        <f t="shared" si="282"/>
        <v>0</v>
      </c>
      <c r="BB327" s="17">
        <f t="shared" si="283"/>
        <v>0</v>
      </c>
      <c r="BC327" s="17">
        <f t="shared" si="251"/>
        <v>3.5973958250909082</v>
      </c>
      <c r="BD327" s="17">
        <f t="shared" si="252"/>
        <v>5.7743606806180248</v>
      </c>
      <c r="BE327" s="17">
        <f t="shared" si="253"/>
        <v>0</v>
      </c>
      <c r="BF327" s="17">
        <f t="shared" si="254"/>
        <v>0</v>
      </c>
      <c r="BG327" s="17">
        <f t="shared" si="255"/>
        <v>0</v>
      </c>
      <c r="BH327" s="17">
        <f t="shared" si="256"/>
        <v>0</v>
      </c>
      <c r="BI327" s="17">
        <f t="shared" si="257"/>
        <v>1.3895520354428401</v>
      </c>
      <c r="BJ327" s="17">
        <f t="shared" si="258"/>
        <v>0</v>
      </c>
      <c r="BK327" s="17">
        <f t="shared" si="259"/>
        <v>0</v>
      </c>
      <c r="BL327" s="17">
        <f t="shared" si="260"/>
        <v>0</v>
      </c>
      <c r="BM327" s="17">
        <f t="shared" si="261"/>
        <v>0</v>
      </c>
      <c r="BN327" s="17">
        <f t="shared" si="262"/>
        <v>0</v>
      </c>
      <c r="BO327" s="17">
        <f t="shared" si="263"/>
        <v>0</v>
      </c>
      <c r="BP327" s="17">
        <f t="shared" si="264"/>
        <v>0</v>
      </c>
      <c r="BQ327" s="17">
        <f t="shared" si="265"/>
        <v>0</v>
      </c>
      <c r="BR327" s="17">
        <f t="shared" si="266"/>
        <v>0</v>
      </c>
      <c r="BS327" s="17">
        <f t="shared" si="267"/>
        <v>0</v>
      </c>
      <c r="BT327" s="17">
        <f t="shared" si="268"/>
        <v>0</v>
      </c>
      <c r="BU327" s="17">
        <f t="shared" si="269"/>
        <v>0</v>
      </c>
      <c r="BV327" s="17">
        <f t="shared" si="270"/>
        <v>2.2464424572992581</v>
      </c>
      <c r="BW327" s="17">
        <f t="shared" si="271"/>
        <v>0</v>
      </c>
      <c r="BX327" s="17">
        <f t="shared" si="272"/>
        <v>0</v>
      </c>
      <c r="BY327" s="17">
        <f t="shared" si="273"/>
        <v>0</v>
      </c>
      <c r="BZ327" s="17">
        <f t="shared" si="284"/>
        <v>0</v>
      </c>
      <c r="CA327" s="17">
        <f t="shared" si="285"/>
        <v>0</v>
      </c>
      <c r="CB327" s="17">
        <f t="shared" si="286"/>
        <v>0</v>
      </c>
      <c r="CC327" s="17">
        <f t="shared" si="287"/>
        <v>0</v>
      </c>
      <c r="CD327" s="17">
        <f t="shared" si="288"/>
        <v>0</v>
      </c>
      <c r="CE327" s="17">
        <f t="shared" si="289"/>
        <v>0</v>
      </c>
      <c r="CF327" s="17">
        <f t="shared" si="290"/>
        <v>0</v>
      </c>
      <c r="CG327" s="17">
        <f t="shared" si="291"/>
        <v>0</v>
      </c>
      <c r="CH327" s="17">
        <f t="shared" si="292"/>
        <v>0</v>
      </c>
      <c r="CI327" s="17">
        <f t="shared" si="293"/>
        <v>0</v>
      </c>
      <c r="CJ327" s="17">
        <f t="shared" si="294"/>
        <v>0</v>
      </c>
      <c r="CK327" s="17">
        <f t="shared" si="295"/>
        <v>0</v>
      </c>
      <c r="CL327" s="17">
        <f t="shared" si="296"/>
        <v>0</v>
      </c>
      <c r="CM327" s="14">
        <f t="shared" si="297"/>
        <v>9972</v>
      </c>
      <c r="CN327" s="17">
        <f t="shared" si="298"/>
        <v>76.98118276353334</v>
      </c>
      <c r="CO327" s="14">
        <f t="shared" si="299"/>
        <v>14762</v>
      </c>
      <c r="CP327" s="17">
        <f t="shared" si="300"/>
        <v>113.95870637337336</v>
      </c>
      <c r="CQ327" s="14">
        <f t="shared" si="274"/>
        <v>16447</v>
      </c>
      <c r="CR327" s="14">
        <v>0</v>
      </c>
      <c r="CS327" s="14">
        <v>0</v>
      </c>
      <c r="CT327" s="14">
        <v>0</v>
      </c>
      <c r="CU327" s="14">
        <v>0</v>
      </c>
    </row>
    <row r="328" spans="1:99" x14ac:dyDescent="0.3">
      <c r="A328" s="14">
        <v>2019</v>
      </c>
      <c r="B328" s="14" t="s">
        <v>59</v>
      </c>
      <c r="C328" s="14" t="s">
        <v>60</v>
      </c>
      <c r="D328" s="15">
        <v>14477.1</v>
      </c>
      <c r="E328" s="15">
        <v>1296279.0000000002</v>
      </c>
      <c r="F328" s="15">
        <f t="shared" si="275"/>
        <v>89.539963114159619</v>
      </c>
      <c r="G328" s="14">
        <v>351</v>
      </c>
      <c r="O328" s="14">
        <v>15</v>
      </c>
      <c r="AB328" s="14">
        <f t="shared" si="276"/>
        <v>15</v>
      </c>
      <c r="AM328" s="14">
        <f t="shared" si="277"/>
        <v>0</v>
      </c>
      <c r="AQ328" s="14">
        <f t="shared" si="278"/>
        <v>0</v>
      </c>
      <c r="AT328" s="14">
        <f t="shared" si="279"/>
        <v>0</v>
      </c>
      <c r="AU328" s="16">
        <v>6580</v>
      </c>
      <c r="AV328" s="16">
        <v>0</v>
      </c>
      <c r="AW328" s="16">
        <v>0</v>
      </c>
      <c r="AX328" s="16">
        <v>0</v>
      </c>
      <c r="AY328" s="18">
        <f t="shared" si="280"/>
        <v>50.76067729246558</v>
      </c>
      <c r="AZ328" s="17">
        <f t="shared" si="281"/>
        <v>0</v>
      </c>
      <c r="BA328" s="17">
        <f t="shared" si="282"/>
        <v>0</v>
      </c>
      <c r="BB328" s="17">
        <f t="shared" si="283"/>
        <v>0</v>
      </c>
      <c r="BC328" s="17">
        <f t="shared" si="251"/>
        <v>2.7077504148412488</v>
      </c>
      <c r="BD328" s="17">
        <f t="shared" si="252"/>
        <v>0</v>
      </c>
      <c r="BE328" s="17">
        <f t="shared" si="253"/>
        <v>0</v>
      </c>
      <c r="BF328" s="17">
        <f t="shared" si="254"/>
        <v>0</v>
      </c>
      <c r="BG328" s="17">
        <f t="shared" si="255"/>
        <v>0</v>
      </c>
      <c r="BH328" s="17">
        <f t="shared" si="256"/>
        <v>0</v>
      </c>
      <c r="BI328" s="17">
        <f t="shared" si="257"/>
        <v>0</v>
      </c>
      <c r="BJ328" s="17">
        <f t="shared" si="258"/>
        <v>0</v>
      </c>
      <c r="BK328" s="17">
        <f t="shared" si="259"/>
        <v>0.11571582969407047</v>
      </c>
      <c r="BL328" s="17">
        <f t="shared" si="260"/>
        <v>0</v>
      </c>
      <c r="BM328" s="17">
        <f t="shared" si="261"/>
        <v>0</v>
      </c>
      <c r="BN328" s="17">
        <f t="shared" si="262"/>
        <v>0</v>
      </c>
      <c r="BO328" s="17">
        <f t="shared" si="263"/>
        <v>0</v>
      </c>
      <c r="BP328" s="17">
        <f t="shared" si="264"/>
        <v>0</v>
      </c>
      <c r="BQ328" s="17">
        <f t="shared" si="265"/>
        <v>0</v>
      </c>
      <c r="BR328" s="17">
        <f t="shared" si="266"/>
        <v>0</v>
      </c>
      <c r="BS328" s="17">
        <f t="shared" si="267"/>
        <v>0</v>
      </c>
      <c r="BT328" s="17">
        <f t="shared" si="268"/>
        <v>0</v>
      </c>
      <c r="BU328" s="17">
        <f t="shared" si="269"/>
        <v>0</v>
      </c>
      <c r="BV328" s="17">
        <f t="shared" si="270"/>
        <v>0</v>
      </c>
      <c r="BW328" s="17">
        <f t="shared" si="271"/>
        <v>0</v>
      </c>
      <c r="BX328" s="17">
        <f t="shared" si="272"/>
        <v>0</v>
      </c>
      <c r="BY328" s="17">
        <f t="shared" si="273"/>
        <v>0</v>
      </c>
      <c r="BZ328" s="17">
        <f t="shared" si="284"/>
        <v>0</v>
      </c>
      <c r="CA328" s="17">
        <f t="shared" si="285"/>
        <v>0</v>
      </c>
      <c r="CB328" s="17">
        <f t="shared" si="286"/>
        <v>0</v>
      </c>
      <c r="CC328" s="17">
        <f t="shared" si="287"/>
        <v>0</v>
      </c>
      <c r="CD328" s="17">
        <f t="shared" si="288"/>
        <v>0</v>
      </c>
      <c r="CE328" s="17">
        <f t="shared" si="289"/>
        <v>0</v>
      </c>
      <c r="CF328" s="17">
        <f t="shared" si="290"/>
        <v>0</v>
      </c>
      <c r="CG328" s="17">
        <f t="shared" si="291"/>
        <v>0</v>
      </c>
      <c r="CH328" s="17">
        <f t="shared" si="292"/>
        <v>0</v>
      </c>
      <c r="CI328" s="17">
        <f t="shared" si="293"/>
        <v>0</v>
      </c>
      <c r="CJ328" s="17">
        <f t="shared" si="294"/>
        <v>0</v>
      </c>
      <c r="CK328" s="17">
        <f t="shared" si="295"/>
        <v>0</v>
      </c>
      <c r="CL328" s="17">
        <f t="shared" si="296"/>
        <v>0</v>
      </c>
      <c r="CM328" s="14">
        <f t="shared" si="297"/>
        <v>0</v>
      </c>
      <c r="CN328" s="17">
        <f t="shared" si="298"/>
        <v>0</v>
      </c>
      <c r="CO328" s="14">
        <f t="shared" si="299"/>
        <v>6580</v>
      </c>
      <c r="CP328" s="17">
        <f t="shared" si="300"/>
        <v>50.76067729246558</v>
      </c>
      <c r="CQ328" s="14">
        <f t="shared" si="274"/>
        <v>6961</v>
      </c>
      <c r="CR328" s="14">
        <v>0</v>
      </c>
      <c r="CS328" s="14">
        <v>14</v>
      </c>
      <c r="CT328" s="14">
        <v>1</v>
      </c>
      <c r="CU328" s="14">
        <v>311</v>
      </c>
    </row>
    <row r="329" spans="1:99" x14ac:dyDescent="0.3">
      <c r="A329" s="14">
        <v>2020</v>
      </c>
      <c r="B329" s="14" t="s">
        <v>59</v>
      </c>
      <c r="C329" s="14" t="s">
        <v>60</v>
      </c>
      <c r="D329" s="15">
        <v>14492.6</v>
      </c>
      <c r="E329" s="15">
        <v>1297827.5</v>
      </c>
      <c r="F329" s="15">
        <f t="shared" si="275"/>
        <v>89.551046741095448</v>
      </c>
      <c r="M329" s="14">
        <v>163</v>
      </c>
      <c r="AB329" s="14">
        <f t="shared" si="276"/>
        <v>0</v>
      </c>
      <c r="AM329" s="14">
        <f t="shared" si="277"/>
        <v>0</v>
      </c>
      <c r="AQ329" s="14">
        <f t="shared" si="278"/>
        <v>0</v>
      </c>
      <c r="AT329" s="14">
        <f t="shared" si="279"/>
        <v>0</v>
      </c>
      <c r="AU329" s="16">
        <v>7101</v>
      </c>
      <c r="AV329" s="16">
        <v>0</v>
      </c>
      <c r="AW329" s="16">
        <v>0</v>
      </c>
      <c r="AX329" s="16">
        <v>0</v>
      </c>
      <c r="AY329" s="18">
        <f t="shared" si="280"/>
        <v>54.714513292405961</v>
      </c>
      <c r="AZ329" s="17">
        <f t="shared" si="281"/>
        <v>0</v>
      </c>
      <c r="BA329" s="17">
        <f t="shared" si="282"/>
        <v>0</v>
      </c>
      <c r="BB329" s="17">
        <f t="shared" si="283"/>
        <v>0</v>
      </c>
      <c r="BC329" s="17">
        <f t="shared" si="251"/>
        <v>0</v>
      </c>
      <c r="BD329" s="17">
        <f t="shared" si="252"/>
        <v>0</v>
      </c>
      <c r="BE329" s="17">
        <f t="shared" si="253"/>
        <v>0</v>
      </c>
      <c r="BF329" s="17">
        <f t="shared" si="254"/>
        <v>0</v>
      </c>
      <c r="BG329" s="17">
        <f t="shared" si="255"/>
        <v>0</v>
      </c>
      <c r="BH329" s="17">
        <f t="shared" si="256"/>
        <v>0</v>
      </c>
      <c r="BI329" s="17">
        <f t="shared" si="257"/>
        <v>1.2559450312156277</v>
      </c>
      <c r="BJ329" s="17">
        <f t="shared" si="258"/>
        <v>0</v>
      </c>
      <c r="BK329" s="17">
        <f t="shared" si="259"/>
        <v>0</v>
      </c>
      <c r="BL329" s="17">
        <f t="shared" si="260"/>
        <v>0</v>
      </c>
      <c r="BM329" s="17">
        <f t="shared" si="261"/>
        <v>0</v>
      </c>
      <c r="BN329" s="17">
        <f t="shared" si="262"/>
        <v>0</v>
      </c>
      <c r="BO329" s="17">
        <f t="shared" si="263"/>
        <v>0</v>
      </c>
      <c r="BP329" s="17">
        <f t="shared" si="264"/>
        <v>0</v>
      </c>
      <c r="BQ329" s="17">
        <f t="shared" si="265"/>
        <v>0</v>
      </c>
      <c r="BR329" s="17">
        <f t="shared" si="266"/>
        <v>0</v>
      </c>
      <c r="BS329" s="17">
        <f t="shared" si="267"/>
        <v>0</v>
      </c>
      <c r="BT329" s="17">
        <f t="shared" si="268"/>
        <v>0</v>
      </c>
      <c r="BU329" s="17">
        <f t="shared" si="269"/>
        <v>0</v>
      </c>
      <c r="BV329" s="17">
        <f t="shared" si="270"/>
        <v>0</v>
      </c>
      <c r="BW329" s="17">
        <f t="shared" si="271"/>
        <v>0</v>
      </c>
      <c r="BX329" s="17">
        <f t="shared" si="272"/>
        <v>0</v>
      </c>
      <c r="BY329" s="17">
        <f t="shared" si="273"/>
        <v>0</v>
      </c>
      <c r="BZ329" s="17">
        <f t="shared" si="284"/>
        <v>0</v>
      </c>
      <c r="CA329" s="17">
        <f t="shared" si="285"/>
        <v>0</v>
      </c>
      <c r="CB329" s="17">
        <f t="shared" si="286"/>
        <v>0</v>
      </c>
      <c r="CC329" s="17">
        <f t="shared" si="287"/>
        <v>0</v>
      </c>
      <c r="CD329" s="17">
        <f t="shared" si="288"/>
        <v>0</v>
      </c>
      <c r="CE329" s="17">
        <f t="shared" si="289"/>
        <v>0</v>
      </c>
      <c r="CF329" s="17">
        <f t="shared" si="290"/>
        <v>0</v>
      </c>
      <c r="CG329" s="17">
        <f t="shared" si="291"/>
        <v>0</v>
      </c>
      <c r="CH329" s="17">
        <f t="shared" si="292"/>
        <v>0</v>
      </c>
      <c r="CI329" s="17">
        <f t="shared" si="293"/>
        <v>0</v>
      </c>
      <c r="CJ329" s="17">
        <f t="shared" si="294"/>
        <v>0</v>
      </c>
      <c r="CK329" s="17">
        <f t="shared" si="295"/>
        <v>0</v>
      </c>
      <c r="CL329" s="17">
        <f t="shared" si="296"/>
        <v>0</v>
      </c>
      <c r="CM329" s="14">
        <f t="shared" si="297"/>
        <v>0</v>
      </c>
      <c r="CN329" s="17">
        <f t="shared" si="298"/>
        <v>0</v>
      </c>
      <c r="CO329" s="14">
        <f t="shared" si="299"/>
        <v>7101</v>
      </c>
      <c r="CP329" s="17">
        <f t="shared" si="300"/>
        <v>54.714513292405961</v>
      </c>
      <c r="CQ329" s="14">
        <f t="shared" si="274"/>
        <v>7264</v>
      </c>
      <c r="CR329" s="14">
        <v>0</v>
      </c>
      <c r="CS329" s="14">
        <v>0</v>
      </c>
      <c r="CT329" s="14">
        <v>0</v>
      </c>
      <c r="CU329" s="14">
        <v>0</v>
      </c>
    </row>
    <row r="330" spans="1:99" x14ac:dyDescent="0.3">
      <c r="A330" s="14">
        <v>2021</v>
      </c>
      <c r="B330" s="14" t="s">
        <v>59</v>
      </c>
      <c r="C330" s="14" t="s">
        <v>60</v>
      </c>
      <c r="D330" s="15">
        <v>14565.6</v>
      </c>
      <c r="E330" s="15">
        <v>1298914.4999999995</v>
      </c>
      <c r="F330" s="15">
        <f t="shared" si="275"/>
        <v>89.176861921239052</v>
      </c>
      <c r="AB330" s="14">
        <f t="shared" si="276"/>
        <v>0</v>
      </c>
      <c r="AM330" s="14">
        <f t="shared" si="277"/>
        <v>0</v>
      </c>
      <c r="AQ330" s="14">
        <f t="shared" si="278"/>
        <v>0</v>
      </c>
      <c r="AT330" s="14">
        <f t="shared" si="279"/>
        <v>0</v>
      </c>
      <c r="AU330" s="16">
        <v>0</v>
      </c>
      <c r="AV330" s="16">
        <v>0</v>
      </c>
      <c r="AW330" s="16">
        <v>0</v>
      </c>
      <c r="AX330" s="16">
        <v>0</v>
      </c>
      <c r="AY330" s="18">
        <f t="shared" si="280"/>
        <v>0</v>
      </c>
      <c r="AZ330" s="17">
        <f t="shared" si="281"/>
        <v>0</v>
      </c>
      <c r="BA330" s="17">
        <f t="shared" si="282"/>
        <v>0</v>
      </c>
      <c r="BB330" s="17">
        <f t="shared" si="283"/>
        <v>0</v>
      </c>
      <c r="BC330" s="17">
        <f t="shared" si="251"/>
        <v>0</v>
      </c>
      <c r="BD330" s="17">
        <f t="shared" si="252"/>
        <v>0</v>
      </c>
      <c r="BE330" s="17">
        <f t="shared" si="253"/>
        <v>0</v>
      </c>
      <c r="BF330" s="17">
        <f t="shared" si="254"/>
        <v>0</v>
      </c>
      <c r="BG330" s="17">
        <f t="shared" si="255"/>
        <v>0</v>
      </c>
      <c r="BH330" s="17">
        <f t="shared" si="256"/>
        <v>0</v>
      </c>
      <c r="BI330" s="17">
        <f t="shared" si="257"/>
        <v>0</v>
      </c>
      <c r="BJ330" s="17">
        <f t="shared" si="258"/>
        <v>0</v>
      </c>
      <c r="BK330" s="17">
        <f t="shared" si="259"/>
        <v>0</v>
      </c>
      <c r="BL330" s="17">
        <f t="shared" si="260"/>
        <v>0</v>
      </c>
      <c r="BM330" s="17">
        <f t="shared" si="261"/>
        <v>0</v>
      </c>
      <c r="BN330" s="17">
        <f t="shared" si="262"/>
        <v>0</v>
      </c>
      <c r="BO330" s="17">
        <f t="shared" si="263"/>
        <v>0</v>
      </c>
      <c r="BP330" s="17">
        <f t="shared" si="264"/>
        <v>0</v>
      </c>
      <c r="BQ330" s="17">
        <f t="shared" si="265"/>
        <v>0</v>
      </c>
      <c r="BR330" s="17">
        <f t="shared" si="266"/>
        <v>0</v>
      </c>
      <c r="BS330" s="17">
        <f t="shared" si="267"/>
        <v>0</v>
      </c>
      <c r="BT330" s="17">
        <f t="shared" si="268"/>
        <v>0</v>
      </c>
      <c r="BU330" s="17">
        <f t="shared" si="269"/>
        <v>0</v>
      </c>
      <c r="BV330" s="17">
        <f t="shared" si="270"/>
        <v>0</v>
      </c>
      <c r="BW330" s="17">
        <f t="shared" si="271"/>
        <v>0</v>
      </c>
      <c r="BX330" s="17">
        <f t="shared" si="272"/>
        <v>0</v>
      </c>
      <c r="BY330" s="17">
        <f t="shared" si="273"/>
        <v>0</v>
      </c>
      <c r="BZ330" s="17">
        <f t="shared" si="284"/>
        <v>0</v>
      </c>
      <c r="CA330" s="17">
        <f t="shared" si="285"/>
        <v>0</v>
      </c>
      <c r="CB330" s="17">
        <f t="shared" si="286"/>
        <v>0</v>
      </c>
      <c r="CC330" s="17">
        <f t="shared" si="287"/>
        <v>0</v>
      </c>
      <c r="CD330" s="17">
        <f t="shared" si="288"/>
        <v>0</v>
      </c>
      <c r="CE330" s="17">
        <f t="shared" si="289"/>
        <v>0</v>
      </c>
      <c r="CF330" s="17">
        <f t="shared" si="290"/>
        <v>0</v>
      </c>
      <c r="CG330" s="17">
        <f t="shared" si="291"/>
        <v>0</v>
      </c>
      <c r="CH330" s="17">
        <f t="shared" si="292"/>
        <v>0</v>
      </c>
      <c r="CI330" s="17">
        <f t="shared" si="293"/>
        <v>0</v>
      </c>
      <c r="CJ330" s="17">
        <f t="shared" si="294"/>
        <v>0</v>
      </c>
      <c r="CK330" s="17">
        <f t="shared" si="295"/>
        <v>0</v>
      </c>
      <c r="CL330" s="17">
        <f t="shared" si="296"/>
        <v>0</v>
      </c>
      <c r="CM330" s="14">
        <f t="shared" si="297"/>
        <v>0</v>
      </c>
      <c r="CN330" s="17">
        <f t="shared" si="298"/>
        <v>0</v>
      </c>
      <c r="CO330" s="14">
        <f t="shared" si="299"/>
        <v>0</v>
      </c>
      <c r="CP330" s="17">
        <f t="shared" si="300"/>
        <v>0</v>
      </c>
      <c r="CQ330" s="14">
        <f t="shared" si="274"/>
        <v>0</v>
      </c>
      <c r="CR330" s="14">
        <v>0</v>
      </c>
      <c r="CS330" s="14">
        <v>0</v>
      </c>
      <c r="CT330" s="14">
        <v>0</v>
      </c>
      <c r="CU330" s="14">
        <v>0</v>
      </c>
    </row>
    <row r="331" spans="1:99" x14ac:dyDescent="0.3">
      <c r="A331" s="14">
        <v>2022</v>
      </c>
      <c r="B331" s="14" t="s">
        <v>59</v>
      </c>
      <c r="C331" s="14" t="s">
        <v>60</v>
      </c>
      <c r="D331" s="15">
        <v>14474.3</v>
      </c>
      <c r="E331" s="15">
        <v>1299468.9999999986</v>
      </c>
      <c r="F331" s="15">
        <f t="shared" si="275"/>
        <v>89.777674913467223</v>
      </c>
      <c r="H331" s="14">
        <v>35</v>
      </c>
      <c r="J331" s="14">
        <v>293</v>
      </c>
      <c r="K331" s="14">
        <v>27</v>
      </c>
      <c r="L331" s="14">
        <v>27</v>
      </c>
      <c r="M331" s="14">
        <v>916</v>
      </c>
      <c r="N331" s="14">
        <v>78</v>
      </c>
      <c r="T331" s="14">
        <v>26</v>
      </c>
      <c r="Y331" s="14">
        <v>224</v>
      </c>
      <c r="Z331" s="14">
        <v>270</v>
      </c>
      <c r="AB331" s="14">
        <f t="shared" si="276"/>
        <v>0</v>
      </c>
      <c r="AC331" s="14">
        <v>378</v>
      </c>
      <c r="AE331" s="14">
        <v>14</v>
      </c>
      <c r="AF331" s="14">
        <v>6</v>
      </c>
      <c r="AJ331" s="14">
        <v>314</v>
      </c>
      <c r="AM331" s="14">
        <f t="shared" si="277"/>
        <v>0</v>
      </c>
      <c r="AN331" s="14">
        <v>16</v>
      </c>
      <c r="AQ331" s="14">
        <f t="shared" si="278"/>
        <v>0</v>
      </c>
      <c r="AT331" s="14">
        <f t="shared" si="279"/>
        <v>0</v>
      </c>
      <c r="AU331" s="16">
        <v>3224</v>
      </c>
      <c r="AV331" s="16">
        <v>7800</v>
      </c>
      <c r="AW331" s="16">
        <v>0</v>
      </c>
      <c r="AX331" s="16">
        <v>0</v>
      </c>
      <c r="AY331" s="18">
        <f t="shared" si="280"/>
        <v>24.810133985497181</v>
      </c>
      <c r="AZ331" s="17">
        <f t="shared" si="281"/>
        <v>60.024517706848016</v>
      </c>
      <c r="BA331" s="17">
        <f t="shared" si="282"/>
        <v>0</v>
      </c>
      <c r="BB331" s="17">
        <f t="shared" si="283"/>
        <v>0</v>
      </c>
      <c r="BC331" s="17">
        <f t="shared" si="251"/>
        <v>0</v>
      </c>
      <c r="BD331" s="17">
        <f t="shared" si="252"/>
        <v>0.26934078458201033</v>
      </c>
      <c r="BE331" s="17">
        <f t="shared" si="253"/>
        <v>0</v>
      </c>
      <c r="BF331" s="17">
        <f t="shared" si="254"/>
        <v>2.2547671395008293</v>
      </c>
      <c r="BG331" s="17">
        <f t="shared" si="255"/>
        <v>0.20777717667755083</v>
      </c>
      <c r="BH331" s="17">
        <f t="shared" si="256"/>
        <v>0.20777717667755083</v>
      </c>
      <c r="BI331" s="17">
        <f t="shared" si="257"/>
        <v>7.0490331050606132</v>
      </c>
      <c r="BJ331" s="17">
        <f t="shared" si="258"/>
        <v>0.60024517706848013</v>
      </c>
      <c r="BK331" s="17">
        <f t="shared" si="259"/>
        <v>0</v>
      </c>
      <c r="BL331" s="17">
        <f t="shared" si="260"/>
        <v>0</v>
      </c>
      <c r="BM331" s="17">
        <f t="shared" si="261"/>
        <v>0</v>
      </c>
      <c r="BN331" s="17">
        <f t="shared" si="262"/>
        <v>0</v>
      </c>
      <c r="BO331" s="17">
        <f t="shared" si="263"/>
        <v>0</v>
      </c>
      <c r="BP331" s="17">
        <f t="shared" si="264"/>
        <v>0.20008172568949339</v>
      </c>
      <c r="BQ331" s="17">
        <f t="shared" si="265"/>
        <v>0</v>
      </c>
      <c r="BR331" s="17">
        <f t="shared" si="266"/>
        <v>0</v>
      </c>
      <c r="BS331" s="17">
        <f t="shared" si="267"/>
        <v>0</v>
      </c>
      <c r="BT331" s="17">
        <f t="shared" si="268"/>
        <v>0</v>
      </c>
      <c r="BU331" s="17">
        <f t="shared" si="269"/>
        <v>1.7237810213248661</v>
      </c>
      <c r="BV331" s="17">
        <f t="shared" si="270"/>
        <v>2.0777717667755082</v>
      </c>
      <c r="BW331" s="17">
        <f t="shared" si="271"/>
        <v>0</v>
      </c>
      <c r="BX331" s="17">
        <f t="shared" si="272"/>
        <v>2.9088804734857114</v>
      </c>
      <c r="BY331" s="17">
        <f t="shared" si="273"/>
        <v>0</v>
      </c>
      <c r="BZ331" s="17">
        <f t="shared" si="284"/>
        <v>0.10773631383280413</v>
      </c>
      <c r="CA331" s="17">
        <f t="shared" si="285"/>
        <v>4.6172705928344625E-2</v>
      </c>
      <c r="CB331" s="17">
        <f t="shared" si="286"/>
        <v>0</v>
      </c>
      <c r="CC331" s="17">
        <f t="shared" si="287"/>
        <v>0</v>
      </c>
      <c r="CD331" s="17">
        <f t="shared" si="288"/>
        <v>0</v>
      </c>
      <c r="CE331" s="17">
        <f t="shared" si="289"/>
        <v>2.4163716102500357</v>
      </c>
      <c r="CF331" s="17">
        <f t="shared" si="290"/>
        <v>0</v>
      </c>
      <c r="CG331" s="17">
        <f t="shared" si="291"/>
        <v>0</v>
      </c>
      <c r="CH331" s="17">
        <f t="shared" si="292"/>
        <v>0.123127215808919</v>
      </c>
      <c r="CI331" s="17">
        <f t="shared" si="293"/>
        <v>0</v>
      </c>
      <c r="CJ331" s="17">
        <f t="shared" si="294"/>
        <v>0</v>
      </c>
      <c r="CK331" s="17">
        <f t="shared" si="295"/>
        <v>0</v>
      </c>
      <c r="CL331" s="17">
        <f t="shared" si="296"/>
        <v>0</v>
      </c>
      <c r="CM331" s="14">
        <f t="shared" si="297"/>
        <v>7800</v>
      </c>
      <c r="CN331" s="17">
        <f t="shared" si="298"/>
        <v>60.024517706848016</v>
      </c>
      <c r="CO331" s="14">
        <f t="shared" si="299"/>
        <v>11024</v>
      </c>
      <c r="CP331" s="17">
        <f t="shared" si="300"/>
        <v>84.83465169234519</v>
      </c>
      <c r="CQ331" s="14">
        <f t="shared" si="274"/>
        <v>13648</v>
      </c>
      <c r="CR331" s="14">
        <v>0</v>
      </c>
      <c r="CS331" s="14">
        <v>258</v>
      </c>
      <c r="CT331" s="14">
        <v>0</v>
      </c>
      <c r="CU331" s="14">
        <v>0</v>
      </c>
    </row>
    <row r="332" spans="1:99" x14ac:dyDescent="0.3">
      <c r="A332" s="14">
        <v>2012</v>
      </c>
      <c r="B332" s="14" t="s">
        <v>61</v>
      </c>
      <c r="C332" s="14" t="s">
        <v>62</v>
      </c>
      <c r="D332" s="15">
        <v>970830.3</v>
      </c>
      <c r="E332" s="15">
        <v>24487610.999999996</v>
      </c>
      <c r="F332" s="15">
        <f t="shared" si="275"/>
        <v>25.223369109925798</v>
      </c>
      <c r="G332" s="14">
        <v>69</v>
      </c>
      <c r="H332" s="14">
        <v>72</v>
      </c>
      <c r="M332" s="14">
        <v>1213</v>
      </c>
      <c r="N332" s="14">
        <v>305</v>
      </c>
      <c r="O332" s="14">
        <v>33</v>
      </c>
      <c r="V332" s="14">
        <v>267</v>
      </c>
      <c r="Y332" s="14">
        <v>1425</v>
      </c>
      <c r="AB332" s="14">
        <f t="shared" si="276"/>
        <v>33</v>
      </c>
      <c r="AF332" s="14">
        <v>76</v>
      </c>
      <c r="AJ332" s="14">
        <v>1390</v>
      </c>
      <c r="AK332" s="14">
        <v>281</v>
      </c>
      <c r="AM332" s="14">
        <f t="shared" si="277"/>
        <v>281</v>
      </c>
      <c r="AQ332" s="14">
        <f t="shared" si="278"/>
        <v>0</v>
      </c>
      <c r="AT332" s="14">
        <f t="shared" si="279"/>
        <v>0</v>
      </c>
      <c r="AU332" s="16">
        <v>2716</v>
      </c>
      <c r="AV332" s="16">
        <v>11652</v>
      </c>
      <c r="AW332" s="16">
        <v>8522</v>
      </c>
      <c r="AX332" s="16">
        <v>0</v>
      </c>
      <c r="AY332" s="18">
        <f t="shared" si="280"/>
        <v>1.1091322873431795</v>
      </c>
      <c r="AZ332" s="17">
        <f t="shared" si="281"/>
        <v>4.7583245258183826</v>
      </c>
      <c r="BA332" s="17">
        <f t="shared" si="282"/>
        <v>3.4801271549111106</v>
      </c>
      <c r="BB332" s="17">
        <f t="shared" si="283"/>
        <v>0</v>
      </c>
      <c r="BC332" s="17">
        <f t="shared" si="251"/>
        <v>2.8177513927348817E-2</v>
      </c>
      <c r="BD332" s="17">
        <f t="shared" si="252"/>
        <v>2.9402623228537896E-2</v>
      </c>
      <c r="BE332" s="17">
        <f t="shared" si="253"/>
        <v>0</v>
      </c>
      <c r="BF332" s="17">
        <f t="shared" si="254"/>
        <v>0</v>
      </c>
      <c r="BG332" s="17">
        <f t="shared" si="255"/>
        <v>0</v>
      </c>
      <c r="BH332" s="17">
        <f t="shared" si="256"/>
        <v>0</v>
      </c>
      <c r="BI332" s="17">
        <f t="shared" si="257"/>
        <v>0.49535252744745095</v>
      </c>
      <c r="BJ332" s="17">
        <f t="shared" si="258"/>
        <v>0.12455277895422304</v>
      </c>
      <c r="BK332" s="17">
        <f t="shared" si="259"/>
        <v>1.3476202313079869E-2</v>
      </c>
      <c r="BL332" s="17">
        <f t="shared" si="260"/>
        <v>0</v>
      </c>
      <c r="BM332" s="17">
        <f t="shared" si="261"/>
        <v>0</v>
      </c>
      <c r="BN332" s="17">
        <f t="shared" si="262"/>
        <v>0</v>
      </c>
      <c r="BO332" s="17">
        <f t="shared" si="263"/>
        <v>0</v>
      </c>
      <c r="BP332" s="17">
        <f t="shared" si="264"/>
        <v>0</v>
      </c>
      <c r="BQ332" s="17">
        <f t="shared" si="265"/>
        <v>0</v>
      </c>
      <c r="BR332" s="17">
        <f t="shared" si="266"/>
        <v>0.10903472780582803</v>
      </c>
      <c r="BS332" s="17">
        <f t="shared" si="267"/>
        <v>0</v>
      </c>
      <c r="BT332" s="17">
        <f t="shared" si="268"/>
        <v>0</v>
      </c>
      <c r="BU332" s="17">
        <f t="shared" si="269"/>
        <v>0.58192691806481256</v>
      </c>
      <c r="BV332" s="17">
        <f t="shared" si="270"/>
        <v>0</v>
      </c>
      <c r="BW332" s="17">
        <f t="shared" si="271"/>
        <v>0</v>
      </c>
      <c r="BX332" s="17">
        <f t="shared" si="272"/>
        <v>0</v>
      </c>
      <c r="BY332" s="17">
        <f t="shared" si="273"/>
        <v>0</v>
      </c>
      <c r="BZ332" s="17">
        <f t="shared" si="284"/>
        <v>0</v>
      </c>
      <c r="CA332" s="17">
        <f t="shared" si="285"/>
        <v>3.1036102296790002E-2</v>
      </c>
      <c r="CB332" s="17">
        <f t="shared" si="286"/>
        <v>0</v>
      </c>
      <c r="CC332" s="17">
        <f t="shared" si="287"/>
        <v>0</v>
      </c>
      <c r="CD332" s="17">
        <f t="shared" si="288"/>
        <v>0</v>
      </c>
      <c r="CE332" s="17">
        <f t="shared" si="289"/>
        <v>0.56763397621760658</v>
      </c>
      <c r="CF332" s="17">
        <f t="shared" si="290"/>
        <v>0.1147519045447104</v>
      </c>
      <c r="CG332" s="17">
        <f t="shared" si="291"/>
        <v>0</v>
      </c>
      <c r="CH332" s="17">
        <f t="shared" si="292"/>
        <v>0</v>
      </c>
      <c r="CI332" s="17">
        <f t="shared" si="293"/>
        <v>0</v>
      </c>
      <c r="CJ332" s="17">
        <f t="shared" si="294"/>
        <v>0</v>
      </c>
      <c r="CK332" s="17">
        <f t="shared" si="295"/>
        <v>0</v>
      </c>
      <c r="CL332" s="17">
        <f t="shared" si="296"/>
        <v>0</v>
      </c>
      <c r="CM332" s="14">
        <f t="shared" si="297"/>
        <v>20174</v>
      </c>
      <c r="CN332" s="17">
        <f t="shared" si="298"/>
        <v>8.2384516807294936</v>
      </c>
      <c r="CO332" s="14">
        <f t="shared" si="299"/>
        <v>22890</v>
      </c>
      <c r="CP332" s="17">
        <f t="shared" si="300"/>
        <v>9.3475839680726729</v>
      </c>
      <c r="CQ332" s="14">
        <f t="shared" si="274"/>
        <v>28335</v>
      </c>
      <c r="CR332" s="14">
        <v>0</v>
      </c>
      <c r="CS332" s="14">
        <v>20</v>
      </c>
      <c r="CT332" s="14">
        <v>0</v>
      </c>
      <c r="CU332" s="14">
        <v>85</v>
      </c>
    </row>
    <row r="333" spans="1:99" x14ac:dyDescent="0.3">
      <c r="A333" s="14">
        <v>2013</v>
      </c>
      <c r="B333" s="14" t="s">
        <v>61</v>
      </c>
      <c r="C333" s="14" t="s">
        <v>62</v>
      </c>
      <c r="D333" s="15">
        <v>989682.3</v>
      </c>
      <c r="E333" s="15">
        <v>25251730.999999993</v>
      </c>
      <c r="F333" s="15">
        <f t="shared" si="275"/>
        <v>25.514986981175667</v>
      </c>
      <c r="G333" s="14">
        <v>136</v>
      </c>
      <c r="H333" s="14">
        <v>103</v>
      </c>
      <c r="M333" s="14">
        <v>1204</v>
      </c>
      <c r="N333" s="14">
        <v>238</v>
      </c>
      <c r="O333" s="14">
        <v>44</v>
      </c>
      <c r="V333" s="14">
        <v>238</v>
      </c>
      <c r="Y333" s="14">
        <v>1465</v>
      </c>
      <c r="AB333" s="14">
        <f t="shared" si="276"/>
        <v>44</v>
      </c>
      <c r="AF333" s="14">
        <v>115</v>
      </c>
      <c r="AJ333" s="14">
        <v>1388</v>
      </c>
      <c r="AK333" s="14">
        <v>287</v>
      </c>
      <c r="AM333" s="14">
        <f t="shared" si="277"/>
        <v>287</v>
      </c>
      <c r="AQ333" s="14">
        <f t="shared" si="278"/>
        <v>0</v>
      </c>
      <c r="AT333" s="14">
        <f t="shared" si="279"/>
        <v>0</v>
      </c>
      <c r="AU333" s="16">
        <v>2904</v>
      </c>
      <c r="AV333" s="16">
        <v>12864</v>
      </c>
      <c r="AW333" s="16">
        <v>8530</v>
      </c>
      <c r="AX333" s="16">
        <v>0</v>
      </c>
      <c r="AY333" s="18">
        <f t="shared" si="280"/>
        <v>1.1500201708944233</v>
      </c>
      <c r="AZ333" s="17">
        <f t="shared" si="281"/>
        <v>5.0943042280943054</v>
      </c>
      <c r="BA333" s="17">
        <f t="shared" si="282"/>
        <v>3.3779862457745975</v>
      </c>
      <c r="BB333" s="17">
        <f t="shared" si="283"/>
        <v>0</v>
      </c>
      <c r="BC333" s="17">
        <f t="shared" si="251"/>
        <v>5.3857693953733327E-2</v>
      </c>
      <c r="BD333" s="17">
        <f t="shared" si="252"/>
        <v>4.0789282920842149E-2</v>
      </c>
      <c r="BE333" s="17">
        <f t="shared" si="253"/>
        <v>0</v>
      </c>
      <c r="BF333" s="17">
        <f t="shared" si="254"/>
        <v>0</v>
      </c>
      <c r="BG333" s="17">
        <f t="shared" si="255"/>
        <v>0</v>
      </c>
      <c r="BH333" s="17">
        <f t="shared" si="256"/>
        <v>0</v>
      </c>
      <c r="BI333" s="17">
        <f t="shared" si="257"/>
        <v>0.47679899647275681</v>
      </c>
      <c r="BJ333" s="17">
        <f t="shared" si="258"/>
        <v>9.4250964419033315E-2</v>
      </c>
      <c r="BK333" s="17">
        <f t="shared" si="259"/>
        <v>1.74245480438549E-2</v>
      </c>
      <c r="BL333" s="17">
        <f t="shared" si="260"/>
        <v>0</v>
      </c>
      <c r="BM333" s="17">
        <f t="shared" si="261"/>
        <v>0</v>
      </c>
      <c r="BN333" s="17">
        <f t="shared" si="262"/>
        <v>0</v>
      </c>
      <c r="BO333" s="17">
        <f t="shared" si="263"/>
        <v>0</v>
      </c>
      <c r="BP333" s="17">
        <f t="shared" si="264"/>
        <v>0</v>
      </c>
      <c r="BQ333" s="17">
        <f t="shared" si="265"/>
        <v>0</v>
      </c>
      <c r="BR333" s="17">
        <f t="shared" si="266"/>
        <v>9.4250964419033315E-2</v>
      </c>
      <c r="BS333" s="17">
        <f t="shared" si="267"/>
        <v>0</v>
      </c>
      <c r="BT333" s="17">
        <f t="shared" si="268"/>
        <v>0</v>
      </c>
      <c r="BU333" s="17">
        <f t="shared" si="269"/>
        <v>0.58015824736925969</v>
      </c>
      <c r="BV333" s="17">
        <f t="shared" si="270"/>
        <v>0</v>
      </c>
      <c r="BW333" s="17">
        <f t="shared" si="271"/>
        <v>0</v>
      </c>
      <c r="BX333" s="17">
        <f t="shared" si="272"/>
        <v>0</v>
      </c>
      <c r="BY333" s="17">
        <f t="shared" si="273"/>
        <v>0</v>
      </c>
      <c r="BZ333" s="17">
        <f t="shared" si="284"/>
        <v>0</v>
      </c>
      <c r="CA333" s="17">
        <f t="shared" si="285"/>
        <v>4.5541432387348035E-2</v>
      </c>
      <c r="CB333" s="17">
        <f t="shared" si="286"/>
        <v>0</v>
      </c>
      <c r="CC333" s="17">
        <f t="shared" si="287"/>
        <v>0</v>
      </c>
      <c r="CD333" s="17">
        <f t="shared" si="288"/>
        <v>0</v>
      </c>
      <c r="CE333" s="17">
        <f t="shared" si="289"/>
        <v>0.5496652882925136</v>
      </c>
      <c r="CF333" s="17">
        <f t="shared" si="290"/>
        <v>0.11365557474059901</v>
      </c>
      <c r="CG333" s="17">
        <f t="shared" si="291"/>
        <v>0</v>
      </c>
      <c r="CH333" s="17">
        <f t="shared" si="292"/>
        <v>0</v>
      </c>
      <c r="CI333" s="17">
        <f t="shared" si="293"/>
        <v>0</v>
      </c>
      <c r="CJ333" s="17">
        <f t="shared" si="294"/>
        <v>0</v>
      </c>
      <c r="CK333" s="17">
        <f t="shared" si="295"/>
        <v>0</v>
      </c>
      <c r="CL333" s="17">
        <f t="shared" si="296"/>
        <v>0</v>
      </c>
      <c r="CM333" s="14">
        <f t="shared" si="297"/>
        <v>21394</v>
      </c>
      <c r="CN333" s="17">
        <f t="shared" si="298"/>
        <v>8.4722904738689024</v>
      </c>
      <c r="CO333" s="14">
        <f t="shared" si="299"/>
        <v>24298</v>
      </c>
      <c r="CP333" s="17">
        <f t="shared" si="300"/>
        <v>9.622310644763326</v>
      </c>
      <c r="CQ333" s="14">
        <f t="shared" si="274"/>
        <v>29847</v>
      </c>
      <c r="CR333" s="14">
        <v>0</v>
      </c>
      <c r="CS333" s="14">
        <v>0</v>
      </c>
      <c r="CT333" s="14">
        <v>0</v>
      </c>
      <c r="CU333" s="14">
        <v>0</v>
      </c>
    </row>
    <row r="334" spans="1:99" x14ac:dyDescent="0.3">
      <c r="A334" s="14">
        <v>2014</v>
      </c>
      <c r="B334" s="14" t="s">
        <v>61</v>
      </c>
      <c r="C334" s="14" t="s">
        <v>62</v>
      </c>
      <c r="D334" s="15">
        <v>999254.5</v>
      </c>
      <c r="E334" s="15">
        <v>26038704.499999993</v>
      </c>
      <c r="F334" s="15">
        <f t="shared" si="275"/>
        <v>26.058130836538631</v>
      </c>
      <c r="AB334" s="14">
        <f t="shared" si="276"/>
        <v>0</v>
      </c>
      <c r="AM334" s="14">
        <f t="shared" si="277"/>
        <v>0</v>
      </c>
      <c r="AQ334" s="14">
        <f t="shared" si="278"/>
        <v>0</v>
      </c>
      <c r="AT334" s="14">
        <f t="shared" si="279"/>
        <v>0</v>
      </c>
      <c r="AU334" s="16">
        <v>0</v>
      </c>
      <c r="AV334" s="16">
        <v>12696</v>
      </c>
      <c r="AW334" s="16">
        <v>9298</v>
      </c>
      <c r="AX334" s="16">
        <v>0</v>
      </c>
      <c r="AY334" s="18">
        <f t="shared" si="280"/>
        <v>0</v>
      </c>
      <c r="AZ334" s="17">
        <f t="shared" si="281"/>
        <v>4.8758186107146777</v>
      </c>
      <c r="BA334" s="17">
        <f t="shared" si="282"/>
        <v>3.570838172843815</v>
      </c>
      <c r="BB334" s="17">
        <f t="shared" si="283"/>
        <v>0</v>
      </c>
      <c r="BC334" s="17">
        <f t="shared" si="251"/>
        <v>0</v>
      </c>
      <c r="BD334" s="17">
        <f t="shared" si="252"/>
        <v>0</v>
      </c>
      <c r="BE334" s="17">
        <f t="shared" si="253"/>
        <v>0</v>
      </c>
      <c r="BF334" s="17">
        <f t="shared" si="254"/>
        <v>0</v>
      </c>
      <c r="BG334" s="17">
        <f t="shared" si="255"/>
        <v>0</v>
      </c>
      <c r="BH334" s="17">
        <f t="shared" si="256"/>
        <v>0</v>
      </c>
      <c r="BI334" s="17">
        <f t="shared" si="257"/>
        <v>0</v>
      </c>
      <c r="BJ334" s="17">
        <f t="shared" si="258"/>
        <v>0</v>
      </c>
      <c r="BK334" s="17">
        <f t="shared" si="259"/>
        <v>0</v>
      </c>
      <c r="BL334" s="17">
        <f t="shared" si="260"/>
        <v>0</v>
      </c>
      <c r="BM334" s="17">
        <f t="shared" si="261"/>
        <v>0</v>
      </c>
      <c r="BN334" s="17">
        <f t="shared" si="262"/>
        <v>0</v>
      </c>
      <c r="BO334" s="17">
        <f t="shared" si="263"/>
        <v>0</v>
      </c>
      <c r="BP334" s="17">
        <f t="shared" si="264"/>
        <v>0</v>
      </c>
      <c r="BQ334" s="17">
        <f t="shared" si="265"/>
        <v>0</v>
      </c>
      <c r="BR334" s="17">
        <f t="shared" si="266"/>
        <v>0</v>
      </c>
      <c r="BS334" s="17">
        <f t="shared" si="267"/>
        <v>0</v>
      </c>
      <c r="BT334" s="17">
        <f t="shared" si="268"/>
        <v>0</v>
      </c>
      <c r="BU334" s="17">
        <f t="shared" si="269"/>
        <v>0</v>
      </c>
      <c r="BV334" s="17">
        <f t="shared" si="270"/>
        <v>0</v>
      </c>
      <c r="BW334" s="17">
        <f t="shared" si="271"/>
        <v>0</v>
      </c>
      <c r="BX334" s="17">
        <f t="shared" si="272"/>
        <v>0</v>
      </c>
      <c r="BY334" s="17">
        <f t="shared" si="273"/>
        <v>0</v>
      </c>
      <c r="BZ334" s="17">
        <f t="shared" si="284"/>
        <v>0</v>
      </c>
      <c r="CA334" s="17">
        <f t="shared" si="285"/>
        <v>0</v>
      </c>
      <c r="CB334" s="17">
        <f t="shared" si="286"/>
        <v>0</v>
      </c>
      <c r="CC334" s="17">
        <f t="shared" si="287"/>
        <v>0</v>
      </c>
      <c r="CD334" s="17">
        <f t="shared" si="288"/>
        <v>0</v>
      </c>
      <c r="CE334" s="17">
        <f t="shared" si="289"/>
        <v>0</v>
      </c>
      <c r="CF334" s="17">
        <f t="shared" si="290"/>
        <v>0</v>
      </c>
      <c r="CG334" s="17">
        <f t="shared" si="291"/>
        <v>0</v>
      </c>
      <c r="CH334" s="17">
        <f t="shared" si="292"/>
        <v>0</v>
      </c>
      <c r="CI334" s="17">
        <f t="shared" si="293"/>
        <v>0</v>
      </c>
      <c r="CJ334" s="17">
        <f t="shared" si="294"/>
        <v>0</v>
      </c>
      <c r="CK334" s="17">
        <f t="shared" si="295"/>
        <v>0</v>
      </c>
      <c r="CL334" s="17">
        <f t="shared" si="296"/>
        <v>0</v>
      </c>
      <c r="CM334" s="14">
        <f t="shared" si="297"/>
        <v>21994</v>
      </c>
      <c r="CN334" s="17">
        <f t="shared" si="298"/>
        <v>8.4466567835584936</v>
      </c>
      <c r="CO334" s="14">
        <f t="shared" si="299"/>
        <v>21994</v>
      </c>
      <c r="CP334" s="17">
        <f t="shared" si="300"/>
        <v>8.4466567835584936</v>
      </c>
      <c r="CQ334" s="14">
        <f t="shared" si="274"/>
        <v>21994</v>
      </c>
      <c r="CR334" s="14">
        <v>0</v>
      </c>
      <c r="CS334" s="14">
        <v>0</v>
      </c>
      <c r="CT334" s="14">
        <v>0</v>
      </c>
      <c r="CU334" s="14">
        <v>0</v>
      </c>
    </row>
    <row r="335" spans="1:99" x14ac:dyDescent="0.3">
      <c r="A335" s="14">
        <v>2015</v>
      </c>
      <c r="B335" s="14" t="s">
        <v>61</v>
      </c>
      <c r="C335" s="14" t="s">
        <v>62</v>
      </c>
      <c r="D335" s="15">
        <v>1009693.4</v>
      </c>
      <c r="E335" s="15">
        <v>26843245.5</v>
      </c>
      <c r="F335" s="15">
        <f t="shared" si="275"/>
        <v>26.585541214788567</v>
      </c>
      <c r="G335" s="14">
        <v>189</v>
      </c>
      <c r="H335" s="14">
        <v>194</v>
      </c>
      <c r="N335" s="14">
        <v>45</v>
      </c>
      <c r="O335" s="14">
        <v>212</v>
      </c>
      <c r="AB335" s="14">
        <f t="shared" si="276"/>
        <v>212</v>
      </c>
      <c r="AM335" s="14">
        <f t="shared" si="277"/>
        <v>0</v>
      </c>
      <c r="AQ335" s="14">
        <f t="shared" si="278"/>
        <v>0</v>
      </c>
      <c r="AT335" s="14">
        <f t="shared" si="279"/>
        <v>0</v>
      </c>
      <c r="AU335" s="16">
        <v>38</v>
      </c>
      <c r="AV335" s="16">
        <v>13854</v>
      </c>
      <c r="AW335" s="16">
        <v>10316</v>
      </c>
      <c r="AX335" s="16">
        <v>0</v>
      </c>
      <c r="AY335" s="18">
        <f t="shared" si="280"/>
        <v>1.4156261395441173E-2</v>
      </c>
      <c r="AZ335" s="17">
        <f t="shared" si="281"/>
        <v>5.1610748782221583</v>
      </c>
      <c r="BA335" s="17">
        <f t="shared" si="282"/>
        <v>3.8430524356676616</v>
      </c>
      <c r="BB335" s="17">
        <f t="shared" si="283"/>
        <v>0</v>
      </c>
      <c r="BC335" s="17">
        <f t="shared" si="251"/>
        <v>7.0408773782588988E-2</v>
      </c>
      <c r="BD335" s="17">
        <f t="shared" si="252"/>
        <v>7.2271439755673364E-2</v>
      </c>
      <c r="BE335" s="17">
        <f t="shared" si="253"/>
        <v>0</v>
      </c>
      <c r="BF335" s="17">
        <f t="shared" si="254"/>
        <v>0</v>
      </c>
      <c r="BG335" s="17">
        <f t="shared" si="255"/>
        <v>0</v>
      </c>
      <c r="BH335" s="17">
        <f t="shared" si="256"/>
        <v>0</v>
      </c>
      <c r="BI335" s="17">
        <f t="shared" si="257"/>
        <v>0</v>
      </c>
      <c r="BJ335" s="17">
        <f t="shared" si="258"/>
        <v>1.6763993757759284E-2</v>
      </c>
      <c r="BK335" s="17">
        <f t="shared" si="259"/>
        <v>7.8977037258777069E-2</v>
      </c>
      <c r="BL335" s="17">
        <f t="shared" si="260"/>
        <v>0</v>
      </c>
      <c r="BM335" s="17">
        <f t="shared" si="261"/>
        <v>0</v>
      </c>
      <c r="BN335" s="17">
        <f t="shared" si="262"/>
        <v>0</v>
      </c>
      <c r="BO335" s="17">
        <f t="shared" si="263"/>
        <v>0</v>
      </c>
      <c r="BP335" s="17">
        <f t="shared" si="264"/>
        <v>0</v>
      </c>
      <c r="BQ335" s="17">
        <f t="shared" si="265"/>
        <v>0</v>
      </c>
      <c r="BR335" s="17">
        <f t="shared" si="266"/>
        <v>0</v>
      </c>
      <c r="BS335" s="17">
        <f t="shared" si="267"/>
        <v>0</v>
      </c>
      <c r="BT335" s="17">
        <f t="shared" si="268"/>
        <v>0</v>
      </c>
      <c r="BU335" s="17">
        <f t="shared" si="269"/>
        <v>0</v>
      </c>
      <c r="BV335" s="17">
        <f t="shared" si="270"/>
        <v>0</v>
      </c>
      <c r="BW335" s="17">
        <f t="shared" si="271"/>
        <v>0</v>
      </c>
      <c r="BX335" s="17">
        <f t="shared" si="272"/>
        <v>0</v>
      </c>
      <c r="BY335" s="17">
        <f t="shared" si="273"/>
        <v>0</v>
      </c>
      <c r="BZ335" s="17">
        <f t="shared" si="284"/>
        <v>0</v>
      </c>
      <c r="CA335" s="17">
        <f t="shared" si="285"/>
        <v>0</v>
      </c>
      <c r="CB335" s="17">
        <f t="shared" si="286"/>
        <v>0</v>
      </c>
      <c r="CC335" s="17">
        <f t="shared" si="287"/>
        <v>0</v>
      </c>
      <c r="CD335" s="17">
        <f t="shared" si="288"/>
        <v>0</v>
      </c>
      <c r="CE335" s="17">
        <f t="shared" si="289"/>
        <v>0</v>
      </c>
      <c r="CF335" s="17">
        <f t="shared" si="290"/>
        <v>0</v>
      </c>
      <c r="CG335" s="17">
        <f t="shared" si="291"/>
        <v>0</v>
      </c>
      <c r="CH335" s="17">
        <f t="shared" si="292"/>
        <v>0</v>
      </c>
      <c r="CI335" s="17">
        <f t="shared" si="293"/>
        <v>0</v>
      </c>
      <c r="CJ335" s="17">
        <f t="shared" si="294"/>
        <v>0</v>
      </c>
      <c r="CK335" s="17">
        <f t="shared" si="295"/>
        <v>0</v>
      </c>
      <c r="CL335" s="17">
        <f t="shared" si="296"/>
        <v>0</v>
      </c>
      <c r="CM335" s="14">
        <f t="shared" si="297"/>
        <v>24170</v>
      </c>
      <c r="CN335" s="17">
        <f t="shared" si="298"/>
        <v>9.0041273138898195</v>
      </c>
      <c r="CO335" s="14">
        <f t="shared" si="299"/>
        <v>24208</v>
      </c>
      <c r="CP335" s="17">
        <f t="shared" si="300"/>
        <v>9.0182835752852615</v>
      </c>
      <c r="CQ335" s="14">
        <f t="shared" si="274"/>
        <v>25060</v>
      </c>
      <c r="CR335" s="14">
        <v>0</v>
      </c>
      <c r="CS335" s="14">
        <v>0</v>
      </c>
      <c r="CT335" s="14">
        <v>0</v>
      </c>
      <c r="CU335" s="14">
        <v>0</v>
      </c>
    </row>
    <row r="336" spans="1:99" x14ac:dyDescent="0.3">
      <c r="A336" s="14">
        <v>2016</v>
      </c>
      <c r="B336" s="14" t="s">
        <v>61</v>
      </c>
      <c r="C336" s="14" t="s">
        <v>62</v>
      </c>
      <c r="D336" s="15">
        <v>1032089.1</v>
      </c>
      <c r="E336" s="15">
        <v>27696492.499999989</v>
      </c>
      <c r="F336" s="15">
        <f t="shared" si="275"/>
        <v>26.835369640082419</v>
      </c>
      <c r="AB336" s="14">
        <f t="shared" si="276"/>
        <v>0</v>
      </c>
      <c r="AM336" s="14">
        <f t="shared" si="277"/>
        <v>0</v>
      </c>
      <c r="AQ336" s="14">
        <f t="shared" si="278"/>
        <v>0</v>
      </c>
      <c r="AT336" s="14">
        <f t="shared" si="279"/>
        <v>0</v>
      </c>
      <c r="AU336" s="16">
        <v>57</v>
      </c>
      <c r="AV336" s="16">
        <v>15320</v>
      </c>
      <c r="AW336" s="16">
        <v>11410</v>
      </c>
      <c r="AX336" s="16">
        <v>0</v>
      </c>
      <c r="AY336" s="18">
        <f t="shared" si="280"/>
        <v>2.0580223290006857E-2</v>
      </c>
      <c r="AZ336" s="17">
        <f t="shared" si="281"/>
        <v>5.5313863298755273</v>
      </c>
      <c r="BA336" s="17">
        <f t="shared" si="282"/>
        <v>4.1196552234908461</v>
      </c>
      <c r="BB336" s="17">
        <f t="shared" si="283"/>
        <v>0</v>
      </c>
      <c r="BC336" s="17">
        <f t="shared" si="251"/>
        <v>0</v>
      </c>
      <c r="BD336" s="17">
        <f t="shared" si="252"/>
        <v>0</v>
      </c>
      <c r="BE336" s="17">
        <f t="shared" si="253"/>
        <v>0</v>
      </c>
      <c r="BF336" s="17">
        <f t="shared" si="254"/>
        <v>0</v>
      </c>
      <c r="BG336" s="17">
        <f t="shared" si="255"/>
        <v>0</v>
      </c>
      <c r="BH336" s="17">
        <f t="shared" si="256"/>
        <v>0</v>
      </c>
      <c r="BI336" s="17">
        <f t="shared" si="257"/>
        <v>0</v>
      </c>
      <c r="BJ336" s="17">
        <f t="shared" si="258"/>
        <v>0</v>
      </c>
      <c r="BK336" s="17">
        <f t="shared" si="259"/>
        <v>0</v>
      </c>
      <c r="BL336" s="17">
        <f t="shared" si="260"/>
        <v>0</v>
      </c>
      <c r="BM336" s="17">
        <f t="shared" si="261"/>
        <v>0</v>
      </c>
      <c r="BN336" s="17">
        <f t="shared" si="262"/>
        <v>0</v>
      </c>
      <c r="BO336" s="17">
        <f t="shared" si="263"/>
        <v>0</v>
      </c>
      <c r="BP336" s="17">
        <f t="shared" si="264"/>
        <v>0</v>
      </c>
      <c r="BQ336" s="17">
        <f t="shared" si="265"/>
        <v>0</v>
      </c>
      <c r="BR336" s="17">
        <f t="shared" si="266"/>
        <v>0</v>
      </c>
      <c r="BS336" s="17">
        <f t="shared" si="267"/>
        <v>0</v>
      </c>
      <c r="BT336" s="17">
        <f t="shared" si="268"/>
        <v>0</v>
      </c>
      <c r="BU336" s="17">
        <f t="shared" si="269"/>
        <v>0</v>
      </c>
      <c r="BV336" s="17">
        <f t="shared" si="270"/>
        <v>0</v>
      </c>
      <c r="BW336" s="17">
        <f t="shared" si="271"/>
        <v>0</v>
      </c>
      <c r="BX336" s="17">
        <f t="shared" si="272"/>
        <v>0</v>
      </c>
      <c r="BY336" s="17">
        <f t="shared" si="273"/>
        <v>0</v>
      </c>
      <c r="BZ336" s="17">
        <f t="shared" si="284"/>
        <v>0</v>
      </c>
      <c r="CA336" s="17">
        <f t="shared" si="285"/>
        <v>0</v>
      </c>
      <c r="CB336" s="17">
        <f t="shared" si="286"/>
        <v>0</v>
      </c>
      <c r="CC336" s="17">
        <f t="shared" si="287"/>
        <v>0</v>
      </c>
      <c r="CD336" s="17">
        <f t="shared" si="288"/>
        <v>0</v>
      </c>
      <c r="CE336" s="17">
        <f t="shared" si="289"/>
        <v>0</v>
      </c>
      <c r="CF336" s="17">
        <f t="shared" si="290"/>
        <v>0</v>
      </c>
      <c r="CG336" s="17">
        <f t="shared" si="291"/>
        <v>0</v>
      </c>
      <c r="CH336" s="17">
        <f t="shared" si="292"/>
        <v>0</v>
      </c>
      <c r="CI336" s="17">
        <f t="shared" si="293"/>
        <v>0</v>
      </c>
      <c r="CJ336" s="17">
        <f t="shared" si="294"/>
        <v>0</v>
      </c>
      <c r="CK336" s="17">
        <f t="shared" si="295"/>
        <v>0</v>
      </c>
      <c r="CL336" s="17">
        <f t="shared" si="296"/>
        <v>0</v>
      </c>
      <c r="CM336" s="14">
        <f t="shared" si="297"/>
        <v>26730</v>
      </c>
      <c r="CN336" s="17">
        <f t="shared" si="298"/>
        <v>9.6510415533663725</v>
      </c>
      <c r="CO336" s="14">
        <f t="shared" si="299"/>
        <v>26787</v>
      </c>
      <c r="CP336" s="17">
        <f t="shared" si="300"/>
        <v>9.6716217766563801</v>
      </c>
      <c r="CQ336" s="14">
        <f t="shared" si="274"/>
        <v>26787</v>
      </c>
      <c r="CR336" s="14">
        <v>0</v>
      </c>
      <c r="CS336" s="14">
        <v>20035</v>
      </c>
      <c r="CT336" s="14">
        <v>0</v>
      </c>
      <c r="CU336" s="14">
        <v>0</v>
      </c>
    </row>
    <row r="337" spans="1:99" x14ac:dyDescent="0.3">
      <c r="A337" s="14">
        <v>2017</v>
      </c>
      <c r="B337" s="14" t="s">
        <v>61</v>
      </c>
      <c r="C337" s="14" t="s">
        <v>62</v>
      </c>
      <c r="D337" s="15">
        <v>1056956</v>
      </c>
      <c r="E337" s="15">
        <v>28569441.000000015</v>
      </c>
      <c r="F337" s="15">
        <f t="shared" si="275"/>
        <v>27.029924613702004</v>
      </c>
      <c r="G337" s="14">
        <v>217</v>
      </c>
      <c r="H337" s="14">
        <v>255</v>
      </c>
      <c r="I337" s="14">
        <v>7242</v>
      </c>
      <c r="K337" s="14">
        <v>2</v>
      </c>
      <c r="M337" s="14">
        <v>1991</v>
      </c>
      <c r="N337" s="14">
        <v>319</v>
      </c>
      <c r="R337" s="14">
        <v>103</v>
      </c>
      <c r="U337" s="14">
        <v>452</v>
      </c>
      <c r="V337" s="14">
        <v>290</v>
      </c>
      <c r="W337" s="14">
        <v>2466</v>
      </c>
      <c r="Y337" s="14">
        <v>1958</v>
      </c>
      <c r="AA337" s="14">
        <v>29</v>
      </c>
      <c r="AB337" s="14">
        <f t="shared" si="276"/>
        <v>29</v>
      </c>
      <c r="AE337" s="14">
        <v>211</v>
      </c>
      <c r="AF337" s="14">
        <v>147</v>
      </c>
      <c r="AG337" s="14">
        <v>34992</v>
      </c>
      <c r="AH337" s="14">
        <v>26735</v>
      </c>
      <c r="AI337" s="14">
        <v>6281</v>
      </c>
      <c r="AJ337" s="14">
        <v>2055</v>
      </c>
      <c r="AK337" s="14">
        <v>52</v>
      </c>
      <c r="AL337" s="14">
        <v>325</v>
      </c>
      <c r="AM337" s="14">
        <f t="shared" si="277"/>
        <v>377</v>
      </c>
      <c r="AN337" s="14">
        <v>219</v>
      </c>
      <c r="AO337" s="14">
        <v>8</v>
      </c>
      <c r="AP337" s="14">
        <v>279</v>
      </c>
      <c r="AQ337" s="14">
        <f t="shared" si="278"/>
        <v>287</v>
      </c>
      <c r="AT337" s="14">
        <f t="shared" si="279"/>
        <v>0</v>
      </c>
      <c r="AU337" s="16">
        <v>4985</v>
      </c>
      <c r="AV337" s="16">
        <v>15922</v>
      </c>
      <c r="AW337" s="16">
        <v>11640</v>
      </c>
      <c r="AX337" s="16">
        <v>0</v>
      </c>
      <c r="AY337" s="18">
        <f t="shared" si="280"/>
        <v>1.7448713819776864</v>
      </c>
      <c r="AZ337" s="17">
        <f t="shared" si="281"/>
        <v>5.5730876918452807</v>
      </c>
      <c r="BA337" s="17">
        <f t="shared" si="282"/>
        <v>4.074283427526634</v>
      </c>
      <c r="BB337" s="17">
        <f t="shared" si="283"/>
        <v>0</v>
      </c>
      <c r="BC337" s="17">
        <f t="shared" si="251"/>
        <v>7.5955283829319542E-2</v>
      </c>
      <c r="BD337" s="17">
        <f t="shared" si="252"/>
        <v>8.925620910818656E-2</v>
      </c>
      <c r="BE337" s="17">
        <f t="shared" si="253"/>
        <v>2.5348763386724986</v>
      </c>
      <c r="BF337" s="17">
        <f t="shared" si="254"/>
        <v>0</v>
      </c>
      <c r="BG337" s="17">
        <f t="shared" si="255"/>
        <v>7.0004869888773771E-4</v>
      </c>
      <c r="BH337" s="17">
        <f t="shared" si="256"/>
        <v>0</v>
      </c>
      <c r="BI337" s="17">
        <f t="shared" si="257"/>
        <v>0.69689847974274299</v>
      </c>
      <c r="BJ337" s="17">
        <f t="shared" si="258"/>
        <v>0.11165776747259418</v>
      </c>
      <c r="BK337" s="17">
        <f t="shared" si="259"/>
        <v>0</v>
      </c>
      <c r="BL337" s="17">
        <f t="shared" si="260"/>
        <v>0</v>
      </c>
      <c r="BM337" s="17">
        <f t="shared" si="261"/>
        <v>0</v>
      </c>
      <c r="BN337" s="17">
        <f t="shared" si="262"/>
        <v>3.6052507992718495E-2</v>
      </c>
      <c r="BO337" s="17">
        <f t="shared" si="263"/>
        <v>0</v>
      </c>
      <c r="BP337" s="17">
        <f t="shared" si="264"/>
        <v>0</v>
      </c>
      <c r="BQ337" s="17">
        <f t="shared" si="265"/>
        <v>0.15821100594862875</v>
      </c>
      <c r="BR337" s="17">
        <f t="shared" si="266"/>
        <v>0.10150706133872198</v>
      </c>
      <c r="BS337" s="17">
        <f t="shared" si="267"/>
        <v>0.86316004572858063</v>
      </c>
      <c r="BT337" s="17">
        <f t="shared" si="268"/>
        <v>0</v>
      </c>
      <c r="BU337" s="17">
        <f t="shared" si="269"/>
        <v>0.68534767621109527</v>
      </c>
      <c r="BV337" s="17">
        <f t="shared" si="270"/>
        <v>0</v>
      </c>
      <c r="BW337" s="17">
        <f t="shared" si="271"/>
        <v>1.0150706133872197E-2</v>
      </c>
      <c r="BX337" s="17">
        <f t="shared" si="272"/>
        <v>0</v>
      </c>
      <c r="BY337" s="17">
        <f t="shared" si="273"/>
        <v>0</v>
      </c>
      <c r="BZ337" s="17">
        <f t="shared" si="284"/>
        <v>7.385513773265634E-2</v>
      </c>
      <c r="CA337" s="17">
        <f t="shared" si="285"/>
        <v>5.1453579368248722E-2</v>
      </c>
      <c r="CB337" s="17">
        <f t="shared" si="286"/>
        <v>12.24805203573986</v>
      </c>
      <c r="CC337" s="17">
        <f t="shared" si="287"/>
        <v>9.3579009823818353</v>
      </c>
      <c r="CD337" s="17">
        <f t="shared" si="288"/>
        <v>2.1985029388569406</v>
      </c>
      <c r="CE337" s="17">
        <f t="shared" si="289"/>
        <v>0.7193000381071506</v>
      </c>
      <c r="CF337" s="17">
        <f t="shared" si="290"/>
        <v>1.8201266171081181E-2</v>
      </c>
      <c r="CG337" s="17">
        <f t="shared" si="291"/>
        <v>0.11375791356925738</v>
      </c>
      <c r="CH337" s="17">
        <f t="shared" si="292"/>
        <v>7.665533252820729E-2</v>
      </c>
      <c r="CI337" s="17">
        <f t="shared" si="293"/>
        <v>2.8001947955509508E-3</v>
      </c>
      <c r="CJ337" s="17">
        <f t="shared" si="294"/>
        <v>9.7656793494839411E-2</v>
      </c>
      <c r="CK337" s="17">
        <f t="shared" si="295"/>
        <v>0</v>
      </c>
      <c r="CL337" s="17">
        <f t="shared" si="296"/>
        <v>0</v>
      </c>
      <c r="CM337" s="14">
        <f t="shared" si="297"/>
        <v>27562</v>
      </c>
      <c r="CN337" s="17">
        <f t="shared" si="298"/>
        <v>9.6473711193719147</v>
      </c>
      <c r="CO337" s="14">
        <f t="shared" si="299"/>
        <v>32547</v>
      </c>
      <c r="CP337" s="17">
        <f t="shared" si="300"/>
        <v>11.3922425013496</v>
      </c>
      <c r="CQ337" s="14">
        <f t="shared" si="274"/>
        <v>119868</v>
      </c>
      <c r="CR337" s="14">
        <v>0</v>
      </c>
      <c r="CS337" s="14">
        <v>0</v>
      </c>
      <c r="CT337" s="14">
        <v>0</v>
      </c>
      <c r="CU337" s="14">
        <v>0</v>
      </c>
    </row>
    <row r="338" spans="1:99" x14ac:dyDescent="0.3">
      <c r="A338" s="14">
        <v>2018</v>
      </c>
      <c r="B338" s="14" t="s">
        <v>61</v>
      </c>
      <c r="C338" s="14" t="s">
        <v>62</v>
      </c>
      <c r="D338" s="15">
        <v>1081131.1000000001</v>
      </c>
      <c r="E338" s="15">
        <v>29423878.499999993</v>
      </c>
      <c r="F338" s="15">
        <f t="shared" si="275"/>
        <v>27.2158284041593</v>
      </c>
      <c r="G338" s="14">
        <v>255</v>
      </c>
      <c r="H338" s="14">
        <v>305</v>
      </c>
      <c r="I338" s="14">
        <v>7169</v>
      </c>
      <c r="K338" s="14">
        <v>3</v>
      </c>
      <c r="M338" s="14">
        <v>4787</v>
      </c>
      <c r="N338" s="14">
        <v>39</v>
      </c>
      <c r="O338" s="14">
        <v>276</v>
      </c>
      <c r="AA338" s="14">
        <v>28</v>
      </c>
      <c r="AB338" s="14">
        <f t="shared" si="276"/>
        <v>304</v>
      </c>
      <c r="AE338" s="14">
        <v>620</v>
      </c>
      <c r="AF338" s="14">
        <v>150</v>
      </c>
      <c r="AJ338" s="14">
        <v>1887</v>
      </c>
      <c r="AK338" s="14">
        <v>78</v>
      </c>
      <c r="AL338" s="14">
        <v>284</v>
      </c>
      <c r="AM338" s="14">
        <f t="shared" si="277"/>
        <v>362</v>
      </c>
      <c r="AN338" s="14">
        <v>608</v>
      </c>
      <c r="AP338" s="14">
        <v>338</v>
      </c>
      <c r="AQ338" s="14">
        <f t="shared" si="278"/>
        <v>338</v>
      </c>
      <c r="AT338" s="14">
        <f t="shared" si="279"/>
        <v>0</v>
      </c>
      <c r="AU338" s="16">
        <v>5147</v>
      </c>
      <c r="AV338" s="16">
        <v>16306</v>
      </c>
      <c r="AW338" s="16">
        <v>12042</v>
      </c>
      <c r="AX338" s="16">
        <v>0</v>
      </c>
      <c r="AY338" s="18">
        <f t="shared" si="280"/>
        <v>1.7492595342248987</v>
      </c>
      <c r="AZ338" s="17">
        <f t="shared" si="281"/>
        <v>5.5417575218712258</v>
      </c>
      <c r="BA338" s="17">
        <f t="shared" si="282"/>
        <v>4.0925943872423218</v>
      </c>
      <c r="BB338" s="17">
        <f t="shared" si="283"/>
        <v>0</v>
      </c>
      <c r="BC338" s="17">
        <f t="shared" si="251"/>
        <v>8.6664305659092514E-2</v>
      </c>
      <c r="BD338" s="17">
        <f t="shared" si="252"/>
        <v>0.1036573067687185</v>
      </c>
      <c r="BE338" s="17">
        <f t="shared" si="253"/>
        <v>2.4364564990981736</v>
      </c>
      <c r="BF338" s="17">
        <f t="shared" si="254"/>
        <v>0</v>
      </c>
      <c r="BG338" s="17">
        <f t="shared" si="255"/>
        <v>1.019580066577559E-3</v>
      </c>
      <c r="BH338" s="17">
        <f t="shared" si="256"/>
        <v>0</v>
      </c>
      <c r="BI338" s="17">
        <f t="shared" si="257"/>
        <v>1.6269099262355917</v>
      </c>
      <c r="BJ338" s="17">
        <f t="shared" si="258"/>
        <v>1.3254540865508268E-2</v>
      </c>
      <c r="BK338" s="17">
        <f t="shared" si="259"/>
        <v>9.3801366125135427E-2</v>
      </c>
      <c r="BL338" s="17">
        <f t="shared" si="260"/>
        <v>0</v>
      </c>
      <c r="BM338" s="17">
        <f t="shared" si="261"/>
        <v>0</v>
      </c>
      <c r="BN338" s="17">
        <f t="shared" si="262"/>
        <v>0</v>
      </c>
      <c r="BO338" s="17">
        <f t="shared" si="263"/>
        <v>0</v>
      </c>
      <c r="BP338" s="17">
        <f t="shared" si="264"/>
        <v>0</v>
      </c>
      <c r="BQ338" s="17">
        <f t="shared" si="265"/>
        <v>0</v>
      </c>
      <c r="BR338" s="17">
        <f t="shared" si="266"/>
        <v>0</v>
      </c>
      <c r="BS338" s="17">
        <f t="shared" si="267"/>
        <v>0</v>
      </c>
      <c r="BT338" s="17">
        <f t="shared" si="268"/>
        <v>0</v>
      </c>
      <c r="BU338" s="17">
        <f t="shared" si="269"/>
        <v>0</v>
      </c>
      <c r="BV338" s="17">
        <f t="shared" si="270"/>
        <v>0</v>
      </c>
      <c r="BW338" s="17">
        <f t="shared" si="271"/>
        <v>9.5160806213905515E-3</v>
      </c>
      <c r="BX338" s="17">
        <f t="shared" si="272"/>
        <v>0</v>
      </c>
      <c r="BY338" s="17">
        <f t="shared" si="273"/>
        <v>0</v>
      </c>
      <c r="BZ338" s="17">
        <f t="shared" si="284"/>
        <v>0.21071321375936219</v>
      </c>
      <c r="CA338" s="17">
        <f t="shared" si="285"/>
        <v>5.0979003328877955E-2</v>
      </c>
      <c r="CB338" s="17">
        <f t="shared" si="286"/>
        <v>0</v>
      </c>
      <c r="CC338" s="17">
        <f t="shared" si="287"/>
        <v>0</v>
      </c>
      <c r="CD338" s="17">
        <f t="shared" si="288"/>
        <v>0</v>
      </c>
      <c r="CE338" s="17">
        <f t="shared" si="289"/>
        <v>0.64131586187728462</v>
      </c>
      <c r="CF338" s="17">
        <f t="shared" si="290"/>
        <v>2.6509081731016536E-2</v>
      </c>
      <c r="CG338" s="17">
        <f t="shared" si="291"/>
        <v>9.6520246302675583E-2</v>
      </c>
      <c r="CH338" s="17">
        <f t="shared" si="292"/>
        <v>0.20663489349305197</v>
      </c>
      <c r="CI338" s="17">
        <f t="shared" si="293"/>
        <v>0</v>
      </c>
      <c r="CJ338" s="17">
        <f t="shared" si="294"/>
        <v>0.11487268750107164</v>
      </c>
      <c r="CK338" s="17">
        <f t="shared" si="295"/>
        <v>0</v>
      </c>
      <c r="CL338" s="17">
        <f t="shared" si="296"/>
        <v>0</v>
      </c>
      <c r="CM338" s="14">
        <f t="shared" si="297"/>
        <v>28348</v>
      </c>
      <c r="CN338" s="17">
        <f t="shared" si="298"/>
        <v>9.6343519091135477</v>
      </c>
      <c r="CO338" s="14">
        <f t="shared" si="299"/>
        <v>33495</v>
      </c>
      <c r="CP338" s="17">
        <f t="shared" si="300"/>
        <v>11.383611443338447</v>
      </c>
      <c r="CQ338" s="14">
        <f t="shared" si="274"/>
        <v>51326</v>
      </c>
      <c r="CR338" s="14">
        <v>0</v>
      </c>
      <c r="CS338" s="14">
        <v>0</v>
      </c>
      <c r="CT338" s="14">
        <v>0</v>
      </c>
      <c r="CU338" s="14">
        <v>0</v>
      </c>
    </row>
    <row r="339" spans="1:99" x14ac:dyDescent="0.3">
      <c r="A339" s="14">
        <v>2019</v>
      </c>
      <c r="B339" s="14" t="s">
        <v>61</v>
      </c>
      <c r="C339" s="14" t="s">
        <v>62</v>
      </c>
      <c r="D339" s="15">
        <v>1103037.8</v>
      </c>
      <c r="E339" s="15">
        <v>30285595.000000004</v>
      </c>
      <c r="F339" s="15">
        <f t="shared" si="275"/>
        <v>27.456534127842222</v>
      </c>
      <c r="G339" s="14">
        <v>288</v>
      </c>
      <c r="H339" s="14">
        <v>385</v>
      </c>
      <c r="I339" s="14">
        <v>9444</v>
      </c>
      <c r="K339" s="14">
        <v>2</v>
      </c>
      <c r="M339" s="14">
        <v>6632</v>
      </c>
      <c r="N339" s="14">
        <v>305</v>
      </c>
      <c r="O339" s="14">
        <v>27</v>
      </c>
      <c r="R339" s="14">
        <v>123</v>
      </c>
      <c r="U339" s="14">
        <v>416</v>
      </c>
      <c r="V339" s="14">
        <v>315</v>
      </c>
      <c r="W339" s="14">
        <v>2789</v>
      </c>
      <c r="Z339" s="14">
        <v>2055</v>
      </c>
      <c r="AA339" s="14">
        <v>27</v>
      </c>
      <c r="AB339" s="14">
        <f t="shared" si="276"/>
        <v>54</v>
      </c>
      <c r="AE339" s="14">
        <v>745</v>
      </c>
      <c r="AF339" s="14">
        <v>165</v>
      </c>
      <c r="AG339" s="14">
        <v>399</v>
      </c>
      <c r="AH339" s="14">
        <v>16937</v>
      </c>
      <c r="AI339" s="14">
        <v>6665</v>
      </c>
      <c r="AJ339" s="14">
        <v>2261</v>
      </c>
      <c r="AK339" s="14">
        <v>93</v>
      </c>
      <c r="AL339" s="14">
        <v>302</v>
      </c>
      <c r="AM339" s="14">
        <f t="shared" si="277"/>
        <v>395</v>
      </c>
      <c r="AN339" s="14">
        <v>393</v>
      </c>
      <c r="AO339" s="14">
        <v>8</v>
      </c>
      <c r="AP339" s="14">
        <v>414</v>
      </c>
      <c r="AQ339" s="14">
        <f t="shared" si="278"/>
        <v>422</v>
      </c>
      <c r="AT339" s="14">
        <f t="shared" si="279"/>
        <v>0</v>
      </c>
      <c r="AU339" s="16">
        <v>5993</v>
      </c>
      <c r="AV339" s="16">
        <v>16358</v>
      </c>
      <c r="AW339" s="16">
        <v>12350</v>
      </c>
      <c r="AX339" s="16">
        <v>0</v>
      </c>
      <c r="AY339" s="18">
        <f t="shared" si="280"/>
        <v>1.9788285486879156</v>
      </c>
      <c r="AZ339" s="17">
        <f t="shared" si="281"/>
        <v>5.4012476888765102</v>
      </c>
      <c r="BA339" s="17">
        <f t="shared" si="282"/>
        <v>4.0778462500076351</v>
      </c>
      <c r="BB339" s="17">
        <f t="shared" si="283"/>
        <v>0</v>
      </c>
      <c r="BC339" s="17">
        <f t="shared" si="251"/>
        <v>9.5094714170218531E-2</v>
      </c>
      <c r="BD339" s="17">
        <f t="shared" si="252"/>
        <v>0.12712314220671575</v>
      </c>
      <c r="BE339" s="17">
        <f t="shared" si="253"/>
        <v>3.1183141688317493</v>
      </c>
      <c r="BF339" s="17">
        <f t="shared" si="254"/>
        <v>0</v>
      </c>
      <c r="BG339" s="17">
        <f t="shared" si="255"/>
        <v>6.6037995951540647E-4</v>
      </c>
      <c r="BH339" s="17">
        <f t="shared" si="256"/>
        <v>0</v>
      </c>
      <c r="BI339" s="17">
        <f t="shared" si="257"/>
        <v>2.1898199457530878</v>
      </c>
      <c r="BJ339" s="17">
        <f t="shared" si="258"/>
        <v>0.10070794382609949</v>
      </c>
      <c r="BK339" s="17">
        <f t="shared" si="259"/>
        <v>8.9151294534579872E-3</v>
      </c>
      <c r="BL339" s="17">
        <f t="shared" si="260"/>
        <v>0</v>
      </c>
      <c r="BM339" s="17">
        <f t="shared" si="261"/>
        <v>0</v>
      </c>
      <c r="BN339" s="17">
        <f t="shared" si="262"/>
        <v>4.06133675101975E-2</v>
      </c>
      <c r="BO339" s="17">
        <f t="shared" si="263"/>
        <v>0</v>
      </c>
      <c r="BP339" s="17">
        <f t="shared" si="264"/>
        <v>0</v>
      </c>
      <c r="BQ339" s="17">
        <f t="shared" si="265"/>
        <v>0.13735903157920457</v>
      </c>
      <c r="BR339" s="17">
        <f t="shared" si="266"/>
        <v>0.10400984362367652</v>
      </c>
      <c r="BS339" s="17">
        <f t="shared" si="267"/>
        <v>0.92089985354423431</v>
      </c>
      <c r="BT339" s="17">
        <f t="shared" si="268"/>
        <v>0</v>
      </c>
      <c r="BU339" s="17">
        <f t="shared" si="269"/>
        <v>0</v>
      </c>
      <c r="BV339" s="17">
        <f t="shared" si="270"/>
        <v>0.67854040840208019</v>
      </c>
      <c r="BW339" s="17">
        <f t="shared" si="271"/>
        <v>8.9151294534579872E-3</v>
      </c>
      <c r="BX339" s="17">
        <f t="shared" si="272"/>
        <v>0</v>
      </c>
      <c r="BY339" s="17">
        <f t="shared" si="273"/>
        <v>0</v>
      </c>
      <c r="BZ339" s="17">
        <f t="shared" si="284"/>
        <v>0.24599153491948891</v>
      </c>
      <c r="CA339" s="17">
        <f t="shared" si="285"/>
        <v>5.4481346660021038E-2</v>
      </c>
      <c r="CB339" s="17">
        <f t="shared" si="286"/>
        <v>0.13174580192332361</v>
      </c>
      <c r="CC339" s="17">
        <f t="shared" si="287"/>
        <v>5.5924276871562197</v>
      </c>
      <c r="CD339" s="17">
        <f t="shared" si="288"/>
        <v>2.2007162150850923</v>
      </c>
      <c r="CE339" s="17">
        <f t="shared" si="289"/>
        <v>0.74655954423216708</v>
      </c>
      <c r="CF339" s="17">
        <f t="shared" si="290"/>
        <v>3.0707668117466402E-2</v>
      </c>
      <c r="CG339" s="17">
        <f t="shared" si="291"/>
        <v>9.9717373886826388E-2</v>
      </c>
      <c r="CH339" s="17">
        <f t="shared" si="292"/>
        <v>0.12976466204477738</v>
      </c>
      <c r="CI339" s="17">
        <f t="shared" si="293"/>
        <v>2.6415198380616259E-3</v>
      </c>
      <c r="CJ339" s="17">
        <f t="shared" si="294"/>
        <v>0.13669865161968914</v>
      </c>
      <c r="CK339" s="17">
        <f t="shared" si="295"/>
        <v>0</v>
      </c>
      <c r="CL339" s="17">
        <f t="shared" si="296"/>
        <v>0</v>
      </c>
      <c r="CM339" s="14">
        <f t="shared" si="297"/>
        <v>28708</v>
      </c>
      <c r="CN339" s="17">
        <f t="shared" si="298"/>
        <v>9.4790939388841444</v>
      </c>
      <c r="CO339" s="14">
        <f t="shared" si="299"/>
        <v>34701</v>
      </c>
      <c r="CP339" s="17">
        <f t="shared" si="300"/>
        <v>11.457922487572061</v>
      </c>
      <c r="CQ339" s="14">
        <f t="shared" si="274"/>
        <v>86762</v>
      </c>
      <c r="CR339" s="14">
        <v>0</v>
      </c>
      <c r="CS339" s="14">
        <v>0</v>
      </c>
      <c r="CT339" s="14">
        <v>0</v>
      </c>
      <c r="CU339" s="14">
        <v>0</v>
      </c>
    </row>
    <row r="340" spans="1:99" x14ac:dyDescent="0.3">
      <c r="A340" s="14">
        <v>2020</v>
      </c>
      <c r="B340" s="14" t="s">
        <v>61</v>
      </c>
      <c r="C340" s="14" t="s">
        <v>62</v>
      </c>
      <c r="D340" s="15">
        <v>1124965.3999999999</v>
      </c>
      <c r="E340" s="15">
        <v>31178238.999999996</v>
      </c>
      <c r="F340" s="15">
        <f t="shared" si="275"/>
        <v>27.714842607603753</v>
      </c>
      <c r="G340" s="14">
        <v>277</v>
      </c>
      <c r="H340" s="14">
        <v>423</v>
      </c>
      <c r="I340" s="14">
        <v>9913</v>
      </c>
      <c r="M340" s="14">
        <v>6696</v>
      </c>
      <c r="N340" s="14">
        <v>318</v>
      </c>
      <c r="R340" s="14">
        <v>128</v>
      </c>
      <c r="U340" s="14">
        <v>169</v>
      </c>
      <c r="V340" s="14">
        <v>301</v>
      </c>
      <c r="W340" s="14">
        <v>2954</v>
      </c>
      <c r="Z340" s="14">
        <v>2041</v>
      </c>
      <c r="AB340" s="14">
        <f t="shared" si="276"/>
        <v>0</v>
      </c>
      <c r="AE340" s="14">
        <v>870</v>
      </c>
      <c r="AF340" s="14">
        <v>156</v>
      </c>
      <c r="AG340" s="14">
        <v>8308</v>
      </c>
      <c r="AH340" s="14">
        <v>14416</v>
      </c>
      <c r="AJ340" s="14">
        <v>2358</v>
      </c>
      <c r="AK340" s="14">
        <v>108</v>
      </c>
      <c r="AL340" s="14">
        <v>336</v>
      </c>
      <c r="AM340" s="14">
        <f t="shared" si="277"/>
        <v>444</v>
      </c>
      <c r="AN340" s="14">
        <v>530</v>
      </c>
      <c r="AO340" s="14">
        <v>400</v>
      </c>
      <c r="AP340" s="14">
        <v>154</v>
      </c>
      <c r="AQ340" s="14">
        <f t="shared" si="278"/>
        <v>554</v>
      </c>
      <c r="AT340" s="14">
        <f t="shared" si="279"/>
        <v>0</v>
      </c>
      <c r="AU340" s="16">
        <v>6064</v>
      </c>
      <c r="AV340" s="16">
        <v>17662</v>
      </c>
      <c r="AW340" s="16">
        <v>12648</v>
      </c>
      <c r="AX340" s="16">
        <v>0</v>
      </c>
      <c r="AY340" s="18">
        <f t="shared" si="280"/>
        <v>1.9449462812829168</v>
      </c>
      <c r="AZ340" s="17">
        <f t="shared" si="281"/>
        <v>5.6648484861508699</v>
      </c>
      <c r="BA340" s="17">
        <f t="shared" si="282"/>
        <v>4.0566755550241309</v>
      </c>
      <c r="BB340" s="17">
        <f t="shared" si="283"/>
        <v>0</v>
      </c>
      <c r="BC340" s="17">
        <f t="shared" si="251"/>
        <v>8.8844017136439302E-2</v>
      </c>
      <c r="BD340" s="17">
        <f t="shared" si="252"/>
        <v>0.13567154963434594</v>
      </c>
      <c r="BE340" s="17">
        <f t="shared" si="253"/>
        <v>3.1794611619982773</v>
      </c>
      <c r="BF340" s="17">
        <f t="shared" si="254"/>
        <v>0</v>
      </c>
      <c r="BG340" s="17">
        <f t="shared" si="255"/>
        <v>0</v>
      </c>
      <c r="BH340" s="17">
        <f t="shared" si="256"/>
        <v>0</v>
      </c>
      <c r="BI340" s="17">
        <f t="shared" si="257"/>
        <v>2.1476517644245399</v>
      </c>
      <c r="BJ340" s="17">
        <f t="shared" si="258"/>
        <v>0.10199421461872815</v>
      </c>
      <c r="BK340" s="17">
        <f t="shared" si="259"/>
        <v>0</v>
      </c>
      <c r="BL340" s="17">
        <f t="shared" si="260"/>
        <v>0</v>
      </c>
      <c r="BM340" s="17">
        <f t="shared" si="261"/>
        <v>0</v>
      </c>
      <c r="BN340" s="17">
        <f t="shared" si="262"/>
        <v>4.1054275066657875E-2</v>
      </c>
      <c r="BO340" s="17">
        <f t="shared" si="263"/>
        <v>0</v>
      </c>
      <c r="BP340" s="17">
        <f t="shared" si="264"/>
        <v>0</v>
      </c>
      <c r="BQ340" s="17">
        <f t="shared" si="265"/>
        <v>5.4204472548946725E-2</v>
      </c>
      <c r="BR340" s="17">
        <f t="shared" si="266"/>
        <v>9.6541693711437657E-2</v>
      </c>
      <c r="BS340" s="17">
        <f t="shared" si="267"/>
        <v>0.94745569177271372</v>
      </c>
      <c r="BT340" s="17">
        <f t="shared" si="268"/>
        <v>0</v>
      </c>
      <c r="BU340" s="17">
        <f t="shared" si="269"/>
        <v>0</v>
      </c>
      <c r="BV340" s="17">
        <f t="shared" si="270"/>
        <v>0.65462324539881811</v>
      </c>
      <c r="BW340" s="17">
        <f t="shared" si="271"/>
        <v>0</v>
      </c>
      <c r="BX340" s="17">
        <f t="shared" si="272"/>
        <v>0</v>
      </c>
      <c r="BY340" s="17">
        <f t="shared" si="273"/>
        <v>0</v>
      </c>
      <c r="BZ340" s="17">
        <f t="shared" si="284"/>
        <v>0.27904077584369025</v>
      </c>
      <c r="CA340" s="17">
        <f t="shared" si="285"/>
        <v>5.0034897737489287E-2</v>
      </c>
      <c r="CB340" s="17">
        <f t="shared" si="286"/>
        <v>2.6646790410452628</v>
      </c>
      <c r="CC340" s="17">
        <f t="shared" si="287"/>
        <v>4.6237377293823432</v>
      </c>
      <c r="CD340" s="17">
        <f t="shared" si="288"/>
        <v>0</v>
      </c>
      <c r="CE340" s="17">
        <f t="shared" si="289"/>
        <v>0.75629672349358801</v>
      </c>
      <c r="CF340" s="17">
        <f t="shared" si="290"/>
        <v>3.4639544587492584E-2</v>
      </c>
      <c r="CG340" s="17">
        <f t="shared" si="291"/>
        <v>0.10776747204997691</v>
      </c>
      <c r="CH340" s="17">
        <f t="shared" si="292"/>
        <v>0.16999035769788026</v>
      </c>
      <c r="CI340" s="17">
        <f t="shared" si="293"/>
        <v>0.12829460958330585</v>
      </c>
      <c r="CJ340" s="17">
        <f t="shared" si="294"/>
        <v>4.9393424689572758E-2</v>
      </c>
      <c r="CK340" s="17">
        <f t="shared" si="295"/>
        <v>0</v>
      </c>
      <c r="CL340" s="17">
        <f t="shared" si="296"/>
        <v>0</v>
      </c>
      <c r="CM340" s="14">
        <f t="shared" si="297"/>
        <v>30310</v>
      </c>
      <c r="CN340" s="17">
        <f t="shared" si="298"/>
        <v>9.7215240411750017</v>
      </c>
      <c r="CO340" s="14">
        <f t="shared" si="299"/>
        <v>36374</v>
      </c>
      <c r="CP340" s="17">
        <f t="shared" si="300"/>
        <v>11.666470322457918</v>
      </c>
      <c r="CQ340" s="14">
        <f t="shared" si="274"/>
        <v>88228</v>
      </c>
      <c r="CR340" s="14">
        <v>0</v>
      </c>
      <c r="CS340" s="14">
        <v>0</v>
      </c>
      <c r="CT340" s="14">
        <v>0</v>
      </c>
      <c r="CU340" s="14">
        <v>0</v>
      </c>
    </row>
    <row r="341" spans="1:99" x14ac:dyDescent="0.3">
      <c r="A341" s="14">
        <v>2021</v>
      </c>
      <c r="B341" s="14" t="s">
        <v>61</v>
      </c>
      <c r="C341" s="14" t="s">
        <v>62</v>
      </c>
      <c r="D341" s="15">
        <v>1147375.7</v>
      </c>
      <c r="E341" s="15">
        <v>32077072.000000011</v>
      </c>
      <c r="F341" s="15">
        <f t="shared" si="275"/>
        <v>27.956903741294166</v>
      </c>
      <c r="G341" s="14">
        <v>355</v>
      </c>
      <c r="H341" s="14">
        <v>406</v>
      </c>
      <c r="I341" s="14">
        <v>11559</v>
      </c>
      <c r="M341" s="14">
        <v>7329</v>
      </c>
      <c r="N341" s="14">
        <v>340</v>
      </c>
      <c r="R341" s="14">
        <v>105</v>
      </c>
      <c r="U341" s="14">
        <v>264</v>
      </c>
      <c r="V341" s="14">
        <v>264</v>
      </c>
      <c r="W341" s="14">
        <v>3318</v>
      </c>
      <c r="Y341" s="14">
        <v>301</v>
      </c>
      <c r="Z341" s="14">
        <v>1912</v>
      </c>
      <c r="AB341" s="14">
        <f t="shared" si="276"/>
        <v>0</v>
      </c>
      <c r="AE341" s="14">
        <v>1172</v>
      </c>
      <c r="AF341" s="14">
        <v>151</v>
      </c>
      <c r="AG341" s="14">
        <v>3530</v>
      </c>
      <c r="AH341" s="14">
        <v>10717</v>
      </c>
      <c r="AJ341" s="14">
        <v>3039</v>
      </c>
      <c r="AK341" s="14">
        <v>123</v>
      </c>
      <c r="AL341" s="14">
        <v>412</v>
      </c>
      <c r="AM341" s="14">
        <f t="shared" si="277"/>
        <v>535</v>
      </c>
      <c r="AN341" s="14">
        <v>610</v>
      </c>
      <c r="AO341" s="14">
        <v>399</v>
      </c>
      <c r="AP341" s="14">
        <v>153</v>
      </c>
      <c r="AQ341" s="14">
        <f t="shared" si="278"/>
        <v>552</v>
      </c>
      <c r="AT341" s="14">
        <f t="shared" si="279"/>
        <v>0</v>
      </c>
      <c r="AU341" s="16">
        <v>6016</v>
      </c>
      <c r="AV341" s="16">
        <v>21856</v>
      </c>
      <c r="AW341" s="16">
        <v>14556</v>
      </c>
      <c r="AX341" s="16">
        <v>0</v>
      </c>
      <c r="AY341" s="18">
        <f t="shared" si="280"/>
        <v>1.8754828994367061</v>
      </c>
      <c r="AZ341" s="17">
        <f t="shared" si="281"/>
        <v>6.8135894697620758</v>
      </c>
      <c r="BA341" s="17">
        <f t="shared" si="282"/>
        <v>4.537820658942934</v>
      </c>
      <c r="BB341" s="17">
        <f t="shared" si="283"/>
        <v>0</v>
      </c>
      <c r="BC341" s="17">
        <f t="shared" si="251"/>
        <v>0.11067094901928701</v>
      </c>
      <c r="BD341" s="17">
        <f t="shared" si="252"/>
        <v>0.12657015577980429</v>
      </c>
      <c r="BE341" s="17">
        <f t="shared" si="253"/>
        <v>3.6035084498984182</v>
      </c>
      <c r="BF341" s="17">
        <f t="shared" si="254"/>
        <v>0</v>
      </c>
      <c r="BG341" s="17">
        <f t="shared" si="255"/>
        <v>0</v>
      </c>
      <c r="BH341" s="17">
        <f t="shared" si="256"/>
        <v>0</v>
      </c>
      <c r="BI341" s="17">
        <f t="shared" si="257"/>
        <v>2.2848095362319847</v>
      </c>
      <c r="BJ341" s="17">
        <f t="shared" si="258"/>
        <v>0.10599471173678192</v>
      </c>
      <c r="BK341" s="17">
        <f t="shared" si="259"/>
        <v>0</v>
      </c>
      <c r="BL341" s="17">
        <f t="shared" si="260"/>
        <v>0</v>
      </c>
      <c r="BM341" s="17">
        <f t="shared" si="261"/>
        <v>0</v>
      </c>
      <c r="BN341" s="17">
        <f t="shared" si="262"/>
        <v>3.2733660977535592E-2</v>
      </c>
      <c r="BO341" s="17">
        <f t="shared" si="263"/>
        <v>0</v>
      </c>
      <c r="BP341" s="17">
        <f t="shared" si="264"/>
        <v>0</v>
      </c>
      <c r="BQ341" s="17">
        <f t="shared" si="265"/>
        <v>8.2301776172089489E-2</v>
      </c>
      <c r="BR341" s="17">
        <f t="shared" si="266"/>
        <v>8.2301776172089489E-2</v>
      </c>
      <c r="BS341" s="17">
        <f t="shared" si="267"/>
        <v>1.0343836868901248</v>
      </c>
      <c r="BT341" s="17">
        <f t="shared" si="268"/>
        <v>0</v>
      </c>
      <c r="BU341" s="17">
        <f t="shared" si="269"/>
        <v>9.3836494802268702E-2</v>
      </c>
      <c r="BV341" s="17">
        <f t="shared" si="270"/>
        <v>0.59606437894331477</v>
      </c>
      <c r="BW341" s="17">
        <f t="shared" si="271"/>
        <v>0</v>
      </c>
      <c r="BX341" s="17">
        <f t="shared" si="272"/>
        <v>0</v>
      </c>
      <c r="BY341" s="17">
        <f t="shared" si="273"/>
        <v>0</v>
      </c>
      <c r="BZ341" s="17">
        <f t="shared" si="284"/>
        <v>0.36537000633973066</v>
      </c>
      <c r="CA341" s="17">
        <f t="shared" si="285"/>
        <v>4.7074121977217852E-2</v>
      </c>
      <c r="CB341" s="17">
        <f t="shared" si="286"/>
        <v>1.1004745071495299</v>
      </c>
      <c r="CC341" s="17">
        <f t="shared" si="287"/>
        <v>3.3410156637737995</v>
      </c>
      <c r="CD341" s="17">
        <f t="shared" si="288"/>
        <v>0</v>
      </c>
      <c r="CE341" s="17">
        <f t="shared" si="289"/>
        <v>0.94740567343553017</v>
      </c>
      <c r="CF341" s="17">
        <f t="shared" si="290"/>
        <v>3.8345145716541698E-2</v>
      </c>
      <c r="CG341" s="17">
        <f t="shared" si="291"/>
        <v>0.12844065069280633</v>
      </c>
      <c r="CH341" s="17">
        <f t="shared" si="292"/>
        <v>0.19016698282187344</v>
      </c>
      <c r="CI341" s="17">
        <f t="shared" si="293"/>
        <v>0.12438791171463526</v>
      </c>
      <c r="CJ341" s="17">
        <f t="shared" si="294"/>
        <v>4.7697620281551868E-2</v>
      </c>
      <c r="CK341" s="17">
        <f t="shared" si="295"/>
        <v>0</v>
      </c>
      <c r="CL341" s="17">
        <f t="shared" si="296"/>
        <v>0</v>
      </c>
      <c r="CM341" s="14">
        <f t="shared" si="297"/>
        <v>36412</v>
      </c>
      <c r="CN341" s="17">
        <f t="shared" si="298"/>
        <v>11.351410128705011</v>
      </c>
      <c r="CO341" s="14">
        <f t="shared" si="299"/>
        <v>42428</v>
      </c>
      <c r="CP341" s="17">
        <f t="shared" si="300"/>
        <v>13.226893028141715</v>
      </c>
      <c r="CQ341" s="14">
        <f t="shared" si="274"/>
        <v>89974</v>
      </c>
      <c r="CR341" s="14">
        <v>0</v>
      </c>
      <c r="CS341" s="14">
        <v>0</v>
      </c>
      <c r="CT341" s="14">
        <v>0</v>
      </c>
      <c r="CU341" s="14">
        <v>0</v>
      </c>
    </row>
    <row r="342" spans="1:99" x14ac:dyDescent="0.3">
      <c r="A342" s="14">
        <v>2022</v>
      </c>
      <c r="B342" s="14" t="s">
        <v>61</v>
      </c>
      <c r="C342" s="14" t="s">
        <v>62</v>
      </c>
      <c r="D342" s="15">
        <v>1166744.6000000001</v>
      </c>
      <c r="E342" s="15">
        <v>32969518.500000007</v>
      </c>
      <c r="F342" s="15">
        <f t="shared" si="275"/>
        <v>28.257699671376241</v>
      </c>
      <c r="G342" s="14">
        <v>348</v>
      </c>
      <c r="H342" s="14">
        <v>498</v>
      </c>
      <c r="I342" s="14">
        <v>10769</v>
      </c>
      <c r="J342" s="14">
        <v>133</v>
      </c>
      <c r="M342" s="14">
        <v>6992</v>
      </c>
      <c r="N342" s="14">
        <v>341</v>
      </c>
      <c r="R342" s="14">
        <v>120</v>
      </c>
      <c r="U342" s="14">
        <v>302</v>
      </c>
      <c r="V342" s="14">
        <v>276</v>
      </c>
      <c r="W342" s="14">
        <v>3337</v>
      </c>
      <c r="Y342" s="14">
        <v>2040</v>
      </c>
      <c r="Z342" s="14">
        <v>335</v>
      </c>
      <c r="AA342" s="14">
        <v>72</v>
      </c>
      <c r="AB342" s="14">
        <f t="shared" si="276"/>
        <v>72</v>
      </c>
      <c r="AC342" s="14">
        <v>172</v>
      </c>
      <c r="AE342" s="14">
        <v>1344</v>
      </c>
      <c r="AF342" s="14">
        <v>154</v>
      </c>
      <c r="AG342" s="14">
        <v>696</v>
      </c>
      <c r="AH342" s="14">
        <v>12261</v>
      </c>
      <c r="AI342" s="14">
        <v>6873</v>
      </c>
      <c r="AJ342" s="14">
        <v>3299</v>
      </c>
      <c r="AK342" s="14">
        <v>114</v>
      </c>
      <c r="AL342" s="14">
        <v>383</v>
      </c>
      <c r="AM342" s="14">
        <f t="shared" si="277"/>
        <v>497</v>
      </c>
      <c r="AN342" s="14">
        <v>655</v>
      </c>
      <c r="AO342" s="14">
        <v>232</v>
      </c>
      <c r="AP342" s="14">
        <v>110</v>
      </c>
      <c r="AQ342" s="14">
        <f t="shared" si="278"/>
        <v>342</v>
      </c>
      <c r="AR342" s="14">
        <v>99939</v>
      </c>
      <c r="AS342" s="14">
        <v>3</v>
      </c>
      <c r="AT342" s="14">
        <f t="shared" si="279"/>
        <v>99942</v>
      </c>
      <c r="AU342" s="16">
        <v>6140</v>
      </c>
      <c r="AV342" s="16">
        <v>19550</v>
      </c>
      <c r="AW342" s="16">
        <v>14240</v>
      </c>
      <c r="AX342" s="16">
        <v>0</v>
      </c>
      <c r="AY342" s="18">
        <f t="shared" si="280"/>
        <v>1.8623262575096444</v>
      </c>
      <c r="AZ342" s="17">
        <f t="shared" si="281"/>
        <v>5.9297195984224018</v>
      </c>
      <c r="BA342" s="17">
        <f t="shared" si="282"/>
        <v>4.3191410271884916</v>
      </c>
      <c r="BB342" s="17">
        <f t="shared" si="283"/>
        <v>0</v>
      </c>
      <c r="BC342" s="17">
        <f t="shared" si="251"/>
        <v>0.10555204195657268</v>
      </c>
      <c r="BD342" s="17">
        <f t="shared" si="252"/>
        <v>0.15104861176544021</v>
      </c>
      <c r="BE342" s="17">
        <f t="shared" si="253"/>
        <v>3.2663504018112968</v>
      </c>
      <c r="BF342" s="17">
        <f t="shared" si="254"/>
        <v>4.034029189719588E-2</v>
      </c>
      <c r="BG342" s="17">
        <f t="shared" si="255"/>
        <v>0</v>
      </c>
      <c r="BH342" s="17">
        <f t="shared" si="256"/>
        <v>0</v>
      </c>
      <c r="BI342" s="17">
        <f t="shared" si="257"/>
        <v>2.120746774024012</v>
      </c>
      <c r="BJ342" s="17">
        <f t="shared" si="258"/>
        <v>0.10342886869882553</v>
      </c>
      <c r="BK342" s="17">
        <f t="shared" si="259"/>
        <v>0</v>
      </c>
      <c r="BL342" s="17">
        <f t="shared" si="260"/>
        <v>0</v>
      </c>
      <c r="BM342" s="17">
        <f t="shared" si="261"/>
        <v>0</v>
      </c>
      <c r="BN342" s="17">
        <f t="shared" si="262"/>
        <v>3.639725584709403E-2</v>
      </c>
      <c r="BO342" s="17">
        <f t="shared" si="263"/>
        <v>0</v>
      </c>
      <c r="BP342" s="17">
        <f t="shared" si="264"/>
        <v>0</v>
      </c>
      <c r="BQ342" s="17">
        <f t="shared" si="265"/>
        <v>9.1599760548519968E-2</v>
      </c>
      <c r="BR342" s="17">
        <f t="shared" si="266"/>
        <v>8.3713688448316267E-2</v>
      </c>
      <c r="BS342" s="17">
        <f t="shared" si="267"/>
        <v>1.0121470230146064</v>
      </c>
      <c r="BT342" s="17">
        <f t="shared" si="268"/>
        <v>0</v>
      </c>
      <c r="BU342" s="17">
        <f t="shared" si="269"/>
        <v>0.61875334940059845</v>
      </c>
      <c r="BV342" s="17">
        <f t="shared" si="270"/>
        <v>0.10160900590647083</v>
      </c>
      <c r="BW342" s="17">
        <f t="shared" si="271"/>
        <v>2.1838353508256417E-2</v>
      </c>
      <c r="BX342" s="17">
        <f t="shared" si="272"/>
        <v>5.2169400047501438E-2</v>
      </c>
      <c r="BY342" s="17">
        <f t="shared" si="273"/>
        <v>0</v>
      </c>
      <c r="BZ342" s="17">
        <f t="shared" si="284"/>
        <v>0.40764926548745312</v>
      </c>
      <c r="CA342" s="17">
        <f t="shared" si="285"/>
        <v>4.6709811670437335E-2</v>
      </c>
      <c r="CB342" s="17">
        <f t="shared" si="286"/>
        <v>0.21110408391314536</v>
      </c>
      <c r="CC342" s="17">
        <f t="shared" si="287"/>
        <v>3.7188896161768321</v>
      </c>
      <c r="CD342" s="17">
        <f t="shared" si="288"/>
        <v>2.0846528286423105</v>
      </c>
      <c r="CE342" s="17">
        <f t="shared" si="289"/>
        <v>1.0006212253296933</v>
      </c>
      <c r="CF342" s="17">
        <f t="shared" si="290"/>
        <v>3.4577393054739329E-2</v>
      </c>
      <c r="CG342" s="17">
        <f t="shared" si="291"/>
        <v>0.11616790824530844</v>
      </c>
      <c r="CH342" s="17">
        <f t="shared" si="292"/>
        <v>0.19866835483205492</v>
      </c>
      <c r="CI342" s="17">
        <f t="shared" si="293"/>
        <v>7.036802797104845E-2</v>
      </c>
      <c r="CJ342" s="17">
        <f t="shared" si="294"/>
        <v>3.3364151193169524E-2</v>
      </c>
      <c r="CK342" s="17">
        <f t="shared" si="295"/>
        <v>30.312544600856082</v>
      </c>
      <c r="CL342" s="17">
        <f t="shared" si="296"/>
        <v>9.0993139617735069E-4</v>
      </c>
      <c r="CM342" s="14">
        <f t="shared" si="297"/>
        <v>33790</v>
      </c>
      <c r="CN342" s="17">
        <f t="shared" si="298"/>
        <v>10.248860625610893</v>
      </c>
      <c r="CO342" s="14">
        <f t="shared" si="299"/>
        <v>39930</v>
      </c>
      <c r="CP342" s="17">
        <f t="shared" si="300"/>
        <v>12.111186883120538</v>
      </c>
      <c r="CQ342" s="14">
        <f t="shared" si="274"/>
        <v>292581</v>
      </c>
      <c r="CR342" s="14">
        <v>0</v>
      </c>
      <c r="CS342" s="14">
        <v>0</v>
      </c>
      <c r="CT342" s="14">
        <v>0</v>
      </c>
      <c r="CU342" s="14">
        <v>0</v>
      </c>
    </row>
    <row r="343" spans="1:99" x14ac:dyDescent="0.3">
      <c r="A343" s="14">
        <v>2012</v>
      </c>
      <c r="B343" s="14" t="s">
        <v>63</v>
      </c>
      <c r="C343" s="14" t="s">
        <v>64</v>
      </c>
      <c r="D343" s="15">
        <v>66722.8</v>
      </c>
      <c r="E343" s="15">
        <v>2167470.0000000023</v>
      </c>
      <c r="F343" s="15">
        <f t="shared" si="275"/>
        <v>32.484697884381383</v>
      </c>
      <c r="AB343" s="14">
        <f t="shared" si="276"/>
        <v>0</v>
      </c>
      <c r="AM343" s="14">
        <f t="shared" si="277"/>
        <v>0</v>
      </c>
      <c r="AQ343" s="14">
        <f t="shared" si="278"/>
        <v>0</v>
      </c>
      <c r="AT343" s="14">
        <f t="shared" si="279"/>
        <v>0</v>
      </c>
      <c r="AU343" s="16">
        <v>0</v>
      </c>
      <c r="AV343" s="16">
        <v>0</v>
      </c>
      <c r="AW343" s="16">
        <v>0</v>
      </c>
      <c r="AX343" s="16">
        <v>0</v>
      </c>
      <c r="AY343" s="18">
        <f t="shared" si="280"/>
        <v>0</v>
      </c>
      <c r="AZ343" s="17">
        <f t="shared" si="281"/>
        <v>0</v>
      </c>
      <c r="BA343" s="17">
        <f t="shared" si="282"/>
        <v>0</v>
      </c>
      <c r="BB343" s="17">
        <f t="shared" si="283"/>
        <v>0</v>
      </c>
      <c r="BC343" s="17">
        <f t="shared" si="251"/>
        <v>0</v>
      </c>
      <c r="BD343" s="17">
        <f t="shared" si="252"/>
        <v>0</v>
      </c>
      <c r="BE343" s="17">
        <f t="shared" si="253"/>
        <v>0</v>
      </c>
      <c r="BF343" s="17">
        <f t="shared" si="254"/>
        <v>0</v>
      </c>
      <c r="BG343" s="17">
        <f t="shared" si="255"/>
        <v>0</v>
      </c>
      <c r="BH343" s="17">
        <f t="shared" si="256"/>
        <v>0</v>
      </c>
      <c r="BI343" s="17">
        <f t="shared" si="257"/>
        <v>0</v>
      </c>
      <c r="BJ343" s="17">
        <f t="shared" si="258"/>
        <v>0</v>
      </c>
      <c r="BK343" s="17">
        <f t="shared" si="259"/>
        <v>0</v>
      </c>
      <c r="BL343" s="17">
        <f t="shared" si="260"/>
        <v>0</v>
      </c>
      <c r="BM343" s="17">
        <f t="shared" si="261"/>
        <v>0</v>
      </c>
      <c r="BN343" s="17">
        <f t="shared" si="262"/>
        <v>0</v>
      </c>
      <c r="BO343" s="17">
        <f t="shared" si="263"/>
        <v>0</v>
      </c>
      <c r="BP343" s="17">
        <f t="shared" si="264"/>
        <v>0</v>
      </c>
      <c r="BQ343" s="17">
        <f t="shared" si="265"/>
        <v>0</v>
      </c>
      <c r="BR343" s="17">
        <f t="shared" si="266"/>
        <v>0</v>
      </c>
      <c r="BS343" s="17">
        <f t="shared" si="267"/>
        <v>0</v>
      </c>
      <c r="BT343" s="17">
        <f t="shared" si="268"/>
        <v>0</v>
      </c>
      <c r="BU343" s="17">
        <f t="shared" si="269"/>
        <v>0</v>
      </c>
      <c r="BV343" s="17">
        <f t="shared" si="270"/>
        <v>0</v>
      </c>
      <c r="BW343" s="17">
        <f t="shared" si="271"/>
        <v>0</v>
      </c>
      <c r="BX343" s="17">
        <f t="shared" si="272"/>
        <v>0</v>
      </c>
      <c r="BY343" s="17">
        <f t="shared" si="273"/>
        <v>0</v>
      </c>
      <c r="BZ343" s="17">
        <f t="shared" si="284"/>
        <v>0</v>
      </c>
      <c r="CA343" s="17">
        <f t="shared" si="285"/>
        <v>0</v>
      </c>
      <c r="CB343" s="17">
        <f t="shared" si="286"/>
        <v>0</v>
      </c>
      <c r="CC343" s="17">
        <f t="shared" si="287"/>
        <v>0</v>
      </c>
      <c r="CD343" s="17">
        <f t="shared" si="288"/>
        <v>0</v>
      </c>
      <c r="CE343" s="17">
        <f t="shared" si="289"/>
        <v>0</v>
      </c>
      <c r="CF343" s="17">
        <f t="shared" si="290"/>
        <v>0</v>
      </c>
      <c r="CG343" s="17">
        <f t="shared" si="291"/>
        <v>0</v>
      </c>
      <c r="CH343" s="17">
        <f t="shared" si="292"/>
        <v>0</v>
      </c>
      <c r="CI343" s="17">
        <f t="shared" si="293"/>
        <v>0</v>
      </c>
      <c r="CJ343" s="17">
        <f t="shared" si="294"/>
        <v>0</v>
      </c>
      <c r="CK343" s="17">
        <f t="shared" si="295"/>
        <v>0</v>
      </c>
      <c r="CL343" s="17">
        <f t="shared" si="296"/>
        <v>0</v>
      </c>
      <c r="CM343" s="14">
        <f t="shared" si="297"/>
        <v>0</v>
      </c>
      <c r="CN343" s="17">
        <f t="shared" si="298"/>
        <v>0</v>
      </c>
      <c r="CO343" s="14">
        <f t="shared" si="299"/>
        <v>0</v>
      </c>
      <c r="CP343" s="17">
        <f t="shared" si="300"/>
        <v>0</v>
      </c>
      <c r="CQ343" s="14">
        <f t="shared" si="274"/>
        <v>0</v>
      </c>
      <c r="CR343" s="14">
        <v>0</v>
      </c>
      <c r="CS343" s="14">
        <v>0</v>
      </c>
      <c r="CT343" s="14">
        <v>0</v>
      </c>
      <c r="CU343" s="14">
        <v>0</v>
      </c>
    </row>
    <row r="344" spans="1:99" x14ac:dyDescent="0.3">
      <c r="A344" s="14">
        <v>2013</v>
      </c>
      <c r="B344" s="14" t="s">
        <v>63</v>
      </c>
      <c r="C344" s="14" t="s">
        <v>64</v>
      </c>
      <c r="D344" s="15">
        <v>67950.7</v>
      </c>
      <c r="E344" s="15">
        <v>2204510.0000000005</v>
      </c>
      <c r="F344" s="15">
        <f t="shared" si="275"/>
        <v>32.442785725533376</v>
      </c>
      <c r="AB344" s="14">
        <f t="shared" si="276"/>
        <v>0</v>
      </c>
      <c r="AM344" s="14">
        <f t="shared" si="277"/>
        <v>0</v>
      </c>
      <c r="AQ344" s="14">
        <f t="shared" si="278"/>
        <v>0</v>
      </c>
      <c r="AT344" s="14">
        <f t="shared" si="279"/>
        <v>0</v>
      </c>
      <c r="AU344" s="16">
        <v>113</v>
      </c>
      <c r="AV344" s="16">
        <v>8220</v>
      </c>
      <c r="AW344" s="16">
        <v>0</v>
      </c>
      <c r="AX344" s="16">
        <v>0</v>
      </c>
      <c r="AY344" s="18">
        <f t="shared" si="280"/>
        <v>0.51258556323173843</v>
      </c>
      <c r="AZ344" s="17">
        <f t="shared" si="281"/>
        <v>37.287197608538854</v>
      </c>
      <c r="BA344" s="17">
        <f t="shared" si="282"/>
        <v>0</v>
      </c>
      <c r="BB344" s="17">
        <f t="shared" si="283"/>
        <v>0</v>
      </c>
      <c r="BC344" s="17">
        <f t="shared" si="251"/>
        <v>0</v>
      </c>
      <c r="BD344" s="17">
        <f t="shared" si="252"/>
        <v>0</v>
      </c>
      <c r="BE344" s="17">
        <f t="shared" si="253"/>
        <v>0</v>
      </c>
      <c r="BF344" s="17">
        <f t="shared" si="254"/>
        <v>0</v>
      </c>
      <c r="BG344" s="17">
        <f t="shared" si="255"/>
        <v>0</v>
      </c>
      <c r="BH344" s="17">
        <f t="shared" si="256"/>
        <v>0</v>
      </c>
      <c r="BI344" s="17">
        <f t="shared" si="257"/>
        <v>0</v>
      </c>
      <c r="BJ344" s="17">
        <f t="shared" si="258"/>
        <v>0</v>
      </c>
      <c r="BK344" s="17">
        <f t="shared" si="259"/>
        <v>0</v>
      </c>
      <c r="BL344" s="17">
        <f t="shared" si="260"/>
        <v>0</v>
      </c>
      <c r="BM344" s="17">
        <f t="shared" si="261"/>
        <v>0</v>
      </c>
      <c r="BN344" s="17">
        <f t="shared" si="262"/>
        <v>0</v>
      </c>
      <c r="BO344" s="17">
        <f t="shared" si="263"/>
        <v>0</v>
      </c>
      <c r="BP344" s="17">
        <f t="shared" si="264"/>
        <v>0</v>
      </c>
      <c r="BQ344" s="17">
        <f t="shared" si="265"/>
        <v>0</v>
      </c>
      <c r="BR344" s="17">
        <f t="shared" si="266"/>
        <v>0</v>
      </c>
      <c r="BS344" s="17">
        <f t="shared" si="267"/>
        <v>0</v>
      </c>
      <c r="BT344" s="17">
        <f t="shared" si="268"/>
        <v>0</v>
      </c>
      <c r="BU344" s="17">
        <f t="shared" si="269"/>
        <v>0</v>
      </c>
      <c r="BV344" s="17">
        <f t="shared" si="270"/>
        <v>0</v>
      </c>
      <c r="BW344" s="17">
        <f t="shared" si="271"/>
        <v>0</v>
      </c>
      <c r="BX344" s="17">
        <f t="shared" si="272"/>
        <v>0</v>
      </c>
      <c r="BY344" s="17">
        <f t="shared" si="273"/>
        <v>0</v>
      </c>
      <c r="BZ344" s="17">
        <f t="shared" si="284"/>
        <v>0</v>
      </c>
      <c r="CA344" s="17">
        <f t="shared" si="285"/>
        <v>0</v>
      </c>
      <c r="CB344" s="17">
        <f t="shared" si="286"/>
        <v>0</v>
      </c>
      <c r="CC344" s="17">
        <f t="shared" si="287"/>
        <v>0</v>
      </c>
      <c r="CD344" s="17">
        <f t="shared" si="288"/>
        <v>0</v>
      </c>
      <c r="CE344" s="17">
        <f t="shared" si="289"/>
        <v>0</v>
      </c>
      <c r="CF344" s="17">
        <f t="shared" si="290"/>
        <v>0</v>
      </c>
      <c r="CG344" s="17">
        <f t="shared" si="291"/>
        <v>0</v>
      </c>
      <c r="CH344" s="17">
        <f t="shared" si="292"/>
        <v>0</v>
      </c>
      <c r="CI344" s="17">
        <f t="shared" si="293"/>
        <v>0</v>
      </c>
      <c r="CJ344" s="17">
        <f t="shared" si="294"/>
        <v>0</v>
      </c>
      <c r="CK344" s="17">
        <f t="shared" si="295"/>
        <v>0</v>
      </c>
      <c r="CL344" s="17">
        <f t="shared" si="296"/>
        <v>0</v>
      </c>
      <c r="CM344" s="14">
        <f t="shared" si="297"/>
        <v>8220</v>
      </c>
      <c r="CN344" s="17">
        <f t="shared" si="298"/>
        <v>37.287197608538854</v>
      </c>
      <c r="CO344" s="14">
        <f t="shared" si="299"/>
        <v>8333</v>
      </c>
      <c r="CP344" s="17">
        <f t="shared" si="300"/>
        <v>37.799783171770592</v>
      </c>
      <c r="CQ344" s="14">
        <f t="shared" si="274"/>
        <v>8333</v>
      </c>
      <c r="CR344" s="14">
        <v>0</v>
      </c>
      <c r="CS344" s="14">
        <v>0</v>
      </c>
      <c r="CT344" s="14">
        <v>0</v>
      </c>
      <c r="CU344" s="14">
        <v>0</v>
      </c>
    </row>
    <row r="345" spans="1:99" x14ac:dyDescent="0.3">
      <c r="A345" s="14">
        <v>2014</v>
      </c>
      <c r="B345" s="14" t="s">
        <v>63</v>
      </c>
      <c r="C345" s="14" t="s">
        <v>64</v>
      </c>
      <c r="D345" s="15">
        <v>68792.399999999994</v>
      </c>
      <c r="E345" s="15">
        <v>2243000.9999999991</v>
      </c>
      <c r="F345" s="15">
        <f t="shared" si="275"/>
        <v>32.605360475866512</v>
      </c>
      <c r="G345" s="14">
        <v>68</v>
      </c>
      <c r="AB345" s="14">
        <f t="shared" si="276"/>
        <v>0</v>
      </c>
      <c r="AM345" s="14">
        <f t="shared" si="277"/>
        <v>0</v>
      </c>
      <c r="AQ345" s="14">
        <f t="shared" si="278"/>
        <v>0</v>
      </c>
      <c r="AT345" s="14">
        <f t="shared" si="279"/>
        <v>0</v>
      </c>
      <c r="AU345" s="16">
        <v>24</v>
      </c>
      <c r="AV345" s="16">
        <v>8424</v>
      </c>
      <c r="AW345" s="16">
        <v>0</v>
      </c>
      <c r="AX345" s="16">
        <v>0</v>
      </c>
      <c r="AY345" s="18">
        <f t="shared" si="280"/>
        <v>0.10699950646477648</v>
      </c>
      <c r="AZ345" s="17">
        <f t="shared" si="281"/>
        <v>37.556826769136542</v>
      </c>
      <c r="BA345" s="17">
        <f t="shared" si="282"/>
        <v>0</v>
      </c>
      <c r="BB345" s="17">
        <f t="shared" si="283"/>
        <v>0</v>
      </c>
      <c r="BC345" s="17">
        <f t="shared" si="251"/>
        <v>0.30316526831686669</v>
      </c>
      <c r="BD345" s="17">
        <f t="shared" si="252"/>
        <v>0</v>
      </c>
      <c r="BE345" s="17">
        <f t="shared" si="253"/>
        <v>0</v>
      </c>
      <c r="BF345" s="17">
        <f t="shared" si="254"/>
        <v>0</v>
      </c>
      <c r="BG345" s="17">
        <f t="shared" si="255"/>
        <v>0</v>
      </c>
      <c r="BH345" s="17">
        <f t="shared" si="256"/>
        <v>0</v>
      </c>
      <c r="BI345" s="17">
        <f t="shared" si="257"/>
        <v>0</v>
      </c>
      <c r="BJ345" s="17">
        <f t="shared" si="258"/>
        <v>0</v>
      </c>
      <c r="BK345" s="17">
        <f t="shared" si="259"/>
        <v>0</v>
      </c>
      <c r="BL345" s="17">
        <f t="shared" si="260"/>
        <v>0</v>
      </c>
      <c r="BM345" s="17">
        <f t="shared" si="261"/>
        <v>0</v>
      </c>
      <c r="BN345" s="17">
        <f t="shared" si="262"/>
        <v>0</v>
      </c>
      <c r="BO345" s="17">
        <f t="shared" si="263"/>
        <v>0</v>
      </c>
      <c r="BP345" s="17">
        <f t="shared" si="264"/>
        <v>0</v>
      </c>
      <c r="BQ345" s="17">
        <f t="shared" si="265"/>
        <v>0</v>
      </c>
      <c r="BR345" s="17">
        <f t="shared" si="266"/>
        <v>0</v>
      </c>
      <c r="BS345" s="17">
        <f t="shared" si="267"/>
        <v>0</v>
      </c>
      <c r="BT345" s="17">
        <f t="shared" si="268"/>
        <v>0</v>
      </c>
      <c r="BU345" s="17">
        <f t="shared" si="269"/>
        <v>0</v>
      </c>
      <c r="BV345" s="17">
        <f t="shared" si="270"/>
        <v>0</v>
      </c>
      <c r="BW345" s="17">
        <f t="shared" si="271"/>
        <v>0</v>
      </c>
      <c r="BX345" s="17">
        <f t="shared" si="272"/>
        <v>0</v>
      </c>
      <c r="BY345" s="17">
        <f t="shared" si="273"/>
        <v>0</v>
      </c>
      <c r="BZ345" s="17">
        <f t="shared" si="284"/>
        <v>0</v>
      </c>
      <c r="CA345" s="17">
        <f t="shared" si="285"/>
        <v>0</v>
      </c>
      <c r="CB345" s="17">
        <f t="shared" si="286"/>
        <v>0</v>
      </c>
      <c r="CC345" s="17">
        <f t="shared" si="287"/>
        <v>0</v>
      </c>
      <c r="CD345" s="17">
        <f t="shared" si="288"/>
        <v>0</v>
      </c>
      <c r="CE345" s="17">
        <f t="shared" si="289"/>
        <v>0</v>
      </c>
      <c r="CF345" s="17">
        <f t="shared" si="290"/>
        <v>0</v>
      </c>
      <c r="CG345" s="17">
        <f t="shared" si="291"/>
        <v>0</v>
      </c>
      <c r="CH345" s="17">
        <f t="shared" si="292"/>
        <v>0</v>
      </c>
      <c r="CI345" s="17">
        <f t="shared" si="293"/>
        <v>0</v>
      </c>
      <c r="CJ345" s="17">
        <f t="shared" si="294"/>
        <v>0</v>
      </c>
      <c r="CK345" s="17">
        <f t="shared" si="295"/>
        <v>0</v>
      </c>
      <c r="CL345" s="17">
        <f t="shared" si="296"/>
        <v>0</v>
      </c>
      <c r="CM345" s="14">
        <f t="shared" si="297"/>
        <v>8424</v>
      </c>
      <c r="CN345" s="17">
        <f t="shared" si="298"/>
        <v>37.556826769136542</v>
      </c>
      <c r="CO345" s="14">
        <f t="shared" si="299"/>
        <v>8448</v>
      </c>
      <c r="CP345" s="17">
        <f t="shared" si="300"/>
        <v>37.663826275601316</v>
      </c>
      <c r="CQ345" s="14">
        <f t="shared" si="274"/>
        <v>8516</v>
      </c>
      <c r="CR345" s="14">
        <v>0</v>
      </c>
      <c r="CS345" s="14">
        <v>0</v>
      </c>
      <c r="CT345" s="14">
        <v>0</v>
      </c>
      <c r="CU345" s="14">
        <v>0</v>
      </c>
    </row>
    <row r="346" spans="1:99" x14ac:dyDescent="0.3">
      <c r="A346" s="14">
        <v>2015</v>
      </c>
      <c r="B346" s="14" t="s">
        <v>63</v>
      </c>
      <c r="C346" s="14" t="s">
        <v>64</v>
      </c>
      <c r="D346" s="15">
        <v>69483.399999999994</v>
      </c>
      <c r="E346" s="15">
        <v>2282703.9999999995</v>
      </c>
      <c r="F346" s="15">
        <f t="shared" si="275"/>
        <v>32.852508656743908</v>
      </c>
      <c r="AB346" s="14">
        <f t="shared" si="276"/>
        <v>0</v>
      </c>
      <c r="AM346" s="14">
        <f t="shared" si="277"/>
        <v>0</v>
      </c>
      <c r="AQ346" s="14">
        <f t="shared" si="278"/>
        <v>0</v>
      </c>
      <c r="AT346" s="14">
        <f t="shared" si="279"/>
        <v>0</v>
      </c>
      <c r="AU346" s="16">
        <v>0</v>
      </c>
      <c r="AV346" s="16">
        <v>8730</v>
      </c>
      <c r="AW346" s="16">
        <v>0</v>
      </c>
      <c r="AX346" s="16">
        <v>0</v>
      </c>
      <c r="AY346" s="18">
        <f t="shared" si="280"/>
        <v>0</v>
      </c>
      <c r="AZ346" s="17">
        <f t="shared" si="281"/>
        <v>38.244117502751131</v>
      </c>
      <c r="BA346" s="17">
        <f t="shared" si="282"/>
        <v>0</v>
      </c>
      <c r="BB346" s="17">
        <f t="shared" si="283"/>
        <v>0</v>
      </c>
      <c r="BC346" s="17">
        <f t="shared" si="251"/>
        <v>0</v>
      </c>
      <c r="BD346" s="17">
        <f t="shared" si="252"/>
        <v>0</v>
      </c>
      <c r="BE346" s="17">
        <f t="shared" si="253"/>
        <v>0</v>
      </c>
      <c r="BF346" s="17">
        <f t="shared" si="254"/>
        <v>0</v>
      </c>
      <c r="BG346" s="17">
        <f t="shared" si="255"/>
        <v>0</v>
      </c>
      <c r="BH346" s="17">
        <f t="shared" si="256"/>
        <v>0</v>
      </c>
      <c r="BI346" s="17">
        <f t="shared" si="257"/>
        <v>0</v>
      </c>
      <c r="BJ346" s="17">
        <f t="shared" si="258"/>
        <v>0</v>
      </c>
      <c r="BK346" s="17">
        <f t="shared" si="259"/>
        <v>0</v>
      </c>
      <c r="BL346" s="17">
        <f t="shared" si="260"/>
        <v>0</v>
      </c>
      <c r="BM346" s="17">
        <f t="shared" si="261"/>
        <v>0</v>
      </c>
      <c r="BN346" s="17">
        <f t="shared" si="262"/>
        <v>0</v>
      </c>
      <c r="BO346" s="17">
        <f t="shared" si="263"/>
        <v>0</v>
      </c>
      <c r="BP346" s="17">
        <f t="shared" si="264"/>
        <v>0</v>
      </c>
      <c r="BQ346" s="17">
        <f t="shared" si="265"/>
        <v>0</v>
      </c>
      <c r="BR346" s="17">
        <f t="shared" si="266"/>
        <v>0</v>
      </c>
      <c r="BS346" s="17">
        <f t="shared" si="267"/>
        <v>0</v>
      </c>
      <c r="BT346" s="17">
        <f t="shared" si="268"/>
        <v>0</v>
      </c>
      <c r="BU346" s="17">
        <f t="shared" si="269"/>
        <v>0</v>
      </c>
      <c r="BV346" s="17">
        <f t="shared" si="270"/>
        <v>0</v>
      </c>
      <c r="BW346" s="17">
        <f t="shared" si="271"/>
        <v>0</v>
      </c>
      <c r="BX346" s="17">
        <f t="shared" si="272"/>
        <v>0</v>
      </c>
      <c r="BY346" s="17">
        <f t="shared" si="273"/>
        <v>0</v>
      </c>
      <c r="BZ346" s="17">
        <f t="shared" si="284"/>
        <v>0</v>
      </c>
      <c r="CA346" s="17">
        <f t="shared" si="285"/>
        <v>0</v>
      </c>
      <c r="CB346" s="17">
        <f t="shared" si="286"/>
        <v>0</v>
      </c>
      <c r="CC346" s="17">
        <f t="shared" si="287"/>
        <v>0</v>
      </c>
      <c r="CD346" s="17">
        <f t="shared" si="288"/>
        <v>0</v>
      </c>
      <c r="CE346" s="17">
        <f t="shared" si="289"/>
        <v>0</v>
      </c>
      <c r="CF346" s="17">
        <f t="shared" si="290"/>
        <v>0</v>
      </c>
      <c r="CG346" s="17">
        <f t="shared" si="291"/>
        <v>0</v>
      </c>
      <c r="CH346" s="17">
        <f t="shared" si="292"/>
        <v>0</v>
      </c>
      <c r="CI346" s="17">
        <f t="shared" si="293"/>
        <v>0</v>
      </c>
      <c r="CJ346" s="17">
        <f t="shared" si="294"/>
        <v>0</v>
      </c>
      <c r="CK346" s="17">
        <f t="shared" si="295"/>
        <v>0</v>
      </c>
      <c r="CL346" s="17">
        <f t="shared" si="296"/>
        <v>0</v>
      </c>
      <c r="CM346" s="14">
        <f t="shared" si="297"/>
        <v>8730</v>
      </c>
      <c r="CN346" s="17">
        <f t="shared" si="298"/>
        <v>38.244117502751131</v>
      </c>
      <c r="CO346" s="14">
        <f t="shared" si="299"/>
        <v>8730</v>
      </c>
      <c r="CP346" s="17">
        <f t="shared" si="300"/>
        <v>38.244117502751131</v>
      </c>
      <c r="CQ346" s="14">
        <f t="shared" si="274"/>
        <v>8730</v>
      </c>
      <c r="CR346" s="14">
        <v>0</v>
      </c>
      <c r="CS346" s="14">
        <v>0</v>
      </c>
      <c r="CT346" s="14">
        <v>0</v>
      </c>
      <c r="CU346" s="14">
        <v>0</v>
      </c>
    </row>
    <row r="347" spans="1:99" x14ac:dyDescent="0.3">
      <c r="A347" s="14">
        <v>2016</v>
      </c>
      <c r="B347" s="14" t="s">
        <v>63</v>
      </c>
      <c r="C347" s="14" t="s">
        <v>64</v>
      </c>
      <c r="D347" s="15">
        <v>69993.600000000006</v>
      </c>
      <c r="E347" s="15">
        <v>2323352</v>
      </c>
      <c r="F347" s="15">
        <f t="shared" si="275"/>
        <v>33.193777716819824</v>
      </c>
      <c r="AB347" s="14">
        <f t="shared" si="276"/>
        <v>0</v>
      </c>
      <c r="AM347" s="14">
        <f t="shared" si="277"/>
        <v>0</v>
      </c>
      <c r="AQ347" s="14">
        <f t="shared" si="278"/>
        <v>0</v>
      </c>
      <c r="AT347" s="14">
        <f t="shared" si="279"/>
        <v>0</v>
      </c>
      <c r="AU347" s="16">
        <v>0</v>
      </c>
      <c r="AV347" s="16">
        <v>9632</v>
      </c>
      <c r="AW347" s="16">
        <v>0</v>
      </c>
      <c r="AX347" s="16">
        <v>0</v>
      </c>
      <c r="AY347" s="18">
        <f t="shared" si="280"/>
        <v>0</v>
      </c>
      <c r="AZ347" s="17">
        <f t="shared" si="281"/>
        <v>41.45734266697427</v>
      </c>
      <c r="BA347" s="17">
        <f t="shared" si="282"/>
        <v>0</v>
      </c>
      <c r="BB347" s="17">
        <f t="shared" si="283"/>
        <v>0</v>
      </c>
      <c r="BC347" s="17">
        <f t="shared" si="251"/>
        <v>0</v>
      </c>
      <c r="BD347" s="17">
        <f t="shared" si="252"/>
        <v>0</v>
      </c>
      <c r="BE347" s="17">
        <f t="shared" si="253"/>
        <v>0</v>
      </c>
      <c r="BF347" s="17">
        <f t="shared" si="254"/>
        <v>0</v>
      </c>
      <c r="BG347" s="17">
        <f t="shared" si="255"/>
        <v>0</v>
      </c>
      <c r="BH347" s="17">
        <f t="shared" si="256"/>
        <v>0</v>
      </c>
      <c r="BI347" s="17">
        <f t="shared" si="257"/>
        <v>0</v>
      </c>
      <c r="BJ347" s="17">
        <f t="shared" si="258"/>
        <v>0</v>
      </c>
      <c r="BK347" s="17">
        <f t="shared" si="259"/>
        <v>0</v>
      </c>
      <c r="BL347" s="17">
        <f t="shared" si="260"/>
        <v>0</v>
      </c>
      <c r="BM347" s="17">
        <f t="shared" si="261"/>
        <v>0</v>
      </c>
      <c r="BN347" s="17">
        <f t="shared" si="262"/>
        <v>0</v>
      </c>
      <c r="BO347" s="17">
        <f t="shared" si="263"/>
        <v>0</v>
      </c>
      <c r="BP347" s="17">
        <f t="shared" si="264"/>
        <v>0</v>
      </c>
      <c r="BQ347" s="17">
        <f t="shared" si="265"/>
        <v>0</v>
      </c>
      <c r="BR347" s="17">
        <f t="shared" si="266"/>
        <v>0</v>
      </c>
      <c r="BS347" s="17">
        <f t="shared" si="267"/>
        <v>0</v>
      </c>
      <c r="BT347" s="17">
        <f t="shared" si="268"/>
        <v>0</v>
      </c>
      <c r="BU347" s="17">
        <f t="shared" si="269"/>
        <v>0</v>
      </c>
      <c r="BV347" s="17">
        <f t="shared" si="270"/>
        <v>0</v>
      </c>
      <c r="BW347" s="17">
        <f t="shared" si="271"/>
        <v>0</v>
      </c>
      <c r="BX347" s="17">
        <f t="shared" si="272"/>
        <v>0</v>
      </c>
      <c r="BY347" s="17">
        <f t="shared" si="273"/>
        <v>0</v>
      </c>
      <c r="BZ347" s="17">
        <f t="shared" si="284"/>
        <v>0</v>
      </c>
      <c r="CA347" s="17">
        <f t="shared" si="285"/>
        <v>0</v>
      </c>
      <c r="CB347" s="17">
        <f t="shared" si="286"/>
        <v>0</v>
      </c>
      <c r="CC347" s="17">
        <f t="shared" si="287"/>
        <v>0</v>
      </c>
      <c r="CD347" s="17">
        <f t="shared" si="288"/>
        <v>0</v>
      </c>
      <c r="CE347" s="17">
        <f t="shared" si="289"/>
        <v>0</v>
      </c>
      <c r="CF347" s="17">
        <f t="shared" si="290"/>
        <v>0</v>
      </c>
      <c r="CG347" s="17">
        <f t="shared" si="291"/>
        <v>0</v>
      </c>
      <c r="CH347" s="17">
        <f t="shared" si="292"/>
        <v>0</v>
      </c>
      <c r="CI347" s="17">
        <f t="shared" si="293"/>
        <v>0</v>
      </c>
      <c r="CJ347" s="17">
        <f t="shared" si="294"/>
        <v>0</v>
      </c>
      <c r="CK347" s="17">
        <f t="shared" si="295"/>
        <v>0</v>
      </c>
      <c r="CL347" s="17">
        <f t="shared" si="296"/>
        <v>0</v>
      </c>
      <c r="CM347" s="14">
        <f t="shared" si="297"/>
        <v>9632</v>
      </c>
      <c r="CN347" s="17">
        <f t="shared" si="298"/>
        <v>41.45734266697427</v>
      </c>
      <c r="CO347" s="14">
        <f t="shared" si="299"/>
        <v>9632</v>
      </c>
      <c r="CP347" s="17">
        <f t="shared" si="300"/>
        <v>41.45734266697427</v>
      </c>
      <c r="CQ347" s="14">
        <f t="shared" si="274"/>
        <v>9632</v>
      </c>
      <c r="CR347" s="14">
        <v>0</v>
      </c>
      <c r="CS347" s="14">
        <v>0</v>
      </c>
      <c r="CT347" s="14">
        <v>0</v>
      </c>
      <c r="CU347" s="14">
        <v>0</v>
      </c>
    </row>
    <row r="348" spans="1:99" x14ac:dyDescent="0.3">
      <c r="A348" s="14">
        <v>2017</v>
      </c>
      <c r="B348" s="14" t="s">
        <v>63</v>
      </c>
      <c r="C348" s="14" t="s">
        <v>64</v>
      </c>
      <c r="D348" s="15">
        <v>70261.600000000006</v>
      </c>
      <c r="E348" s="15">
        <v>2364533.5000000009</v>
      </c>
      <c r="F348" s="15">
        <f t="shared" si="275"/>
        <v>33.653282874286958</v>
      </c>
      <c r="AB348" s="14">
        <f t="shared" si="276"/>
        <v>0</v>
      </c>
      <c r="AM348" s="14">
        <f t="shared" si="277"/>
        <v>0</v>
      </c>
      <c r="AQ348" s="14">
        <f t="shared" si="278"/>
        <v>0</v>
      </c>
      <c r="AT348" s="14">
        <f t="shared" si="279"/>
        <v>0</v>
      </c>
      <c r="AU348" s="16">
        <v>2842</v>
      </c>
      <c r="AV348" s="16">
        <v>9706</v>
      </c>
      <c r="AW348" s="16">
        <v>0</v>
      </c>
      <c r="AX348" s="16">
        <v>0</v>
      </c>
      <c r="AY348" s="18">
        <f t="shared" si="280"/>
        <v>12.019284142093985</v>
      </c>
      <c r="AZ348" s="17">
        <f t="shared" si="281"/>
        <v>41.048265968741809</v>
      </c>
      <c r="BA348" s="17">
        <f t="shared" si="282"/>
        <v>0</v>
      </c>
      <c r="BB348" s="17">
        <f t="shared" si="283"/>
        <v>0</v>
      </c>
      <c r="BC348" s="17">
        <f t="shared" si="251"/>
        <v>0</v>
      </c>
      <c r="BD348" s="17">
        <f t="shared" si="252"/>
        <v>0</v>
      </c>
      <c r="BE348" s="17">
        <f t="shared" si="253"/>
        <v>0</v>
      </c>
      <c r="BF348" s="17">
        <f t="shared" si="254"/>
        <v>0</v>
      </c>
      <c r="BG348" s="17">
        <f t="shared" si="255"/>
        <v>0</v>
      </c>
      <c r="BH348" s="17">
        <f t="shared" si="256"/>
        <v>0</v>
      </c>
      <c r="BI348" s="17">
        <f t="shared" si="257"/>
        <v>0</v>
      </c>
      <c r="BJ348" s="17">
        <f t="shared" si="258"/>
        <v>0</v>
      </c>
      <c r="BK348" s="17">
        <f t="shared" si="259"/>
        <v>0</v>
      </c>
      <c r="BL348" s="17">
        <f t="shared" si="260"/>
        <v>0</v>
      </c>
      <c r="BM348" s="17">
        <f t="shared" si="261"/>
        <v>0</v>
      </c>
      <c r="BN348" s="17">
        <f t="shared" si="262"/>
        <v>0</v>
      </c>
      <c r="BO348" s="17">
        <f t="shared" si="263"/>
        <v>0</v>
      </c>
      <c r="BP348" s="17">
        <f t="shared" si="264"/>
        <v>0</v>
      </c>
      <c r="BQ348" s="17">
        <f t="shared" si="265"/>
        <v>0</v>
      </c>
      <c r="BR348" s="17">
        <f t="shared" si="266"/>
        <v>0</v>
      </c>
      <c r="BS348" s="17">
        <f t="shared" si="267"/>
        <v>0</v>
      </c>
      <c r="BT348" s="17">
        <f t="shared" si="268"/>
        <v>0</v>
      </c>
      <c r="BU348" s="17">
        <f t="shared" si="269"/>
        <v>0</v>
      </c>
      <c r="BV348" s="17">
        <f t="shared" si="270"/>
        <v>0</v>
      </c>
      <c r="BW348" s="17">
        <f t="shared" si="271"/>
        <v>0</v>
      </c>
      <c r="BX348" s="17">
        <f t="shared" si="272"/>
        <v>0</v>
      </c>
      <c r="BY348" s="17">
        <f t="shared" si="273"/>
        <v>0</v>
      </c>
      <c r="BZ348" s="17">
        <f t="shared" si="284"/>
        <v>0</v>
      </c>
      <c r="CA348" s="17">
        <f t="shared" si="285"/>
        <v>0</v>
      </c>
      <c r="CB348" s="17">
        <f t="shared" si="286"/>
        <v>0</v>
      </c>
      <c r="CC348" s="17">
        <f t="shared" si="287"/>
        <v>0</v>
      </c>
      <c r="CD348" s="17">
        <f t="shared" si="288"/>
        <v>0</v>
      </c>
      <c r="CE348" s="17">
        <f t="shared" si="289"/>
        <v>0</v>
      </c>
      <c r="CF348" s="17">
        <f t="shared" si="290"/>
        <v>0</v>
      </c>
      <c r="CG348" s="17">
        <f t="shared" si="291"/>
        <v>0</v>
      </c>
      <c r="CH348" s="17">
        <f t="shared" si="292"/>
        <v>0</v>
      </c>
      <c r="CI348" s="17">
        <f t="shared" si="293"/>
        <v>0</v>
      </c>
      <c r="CJ348" s="17">
        <f t="shared" si="294"/>
        <v>0</v>
      </c>
      <c r="CK348" s="17">
        <f t="shared" si="295"/>
        <v>0</v>
      </c>
      <c r="CL348" s="17">
        <f t="shared" si="296"/>
        <v>0</v>
      </c>
      <c r="CM348" s="14">
        <f t="shared" si="297"/>
        <v>9706</v>
      </c>
      <c r="CN348" s="17">
        <f t="shared" si="298"/>
        <v>41.048265968741809</v>
      </c>
      <c r="CO348" s="14">
        <f t="shared" si="299"/>
        <v>12548</v>
      </c>
      <c r="CP348" s="17">
        <f t="shared" si="300"/>
        <v>53.067550110835796</v>
      </c>
      <c r="CQ348" s="14">
        <f t="shared" si="274"/>
        <v>12548</v>
      </c>
      <c r="CR348" s="14">
        <v>0</v>
      </c>
      <c r="CS348" s="14">
        <v>79</v>
      </c>
      <c r="CT348" s="14">
        <v>0</v>
      </c>
      <c r="CU348" s="14">
        <v>0</v>
      </c>
    </row>
    <row r="349" spans="1:99" x14ac:dyDescent="0.3">
      <c r="A349" s="14">
        <v>2018</v>
      </c>
      <c r="B349" s="14" t="s">
        <v>63</v>
      </c>
      <c r="C349" s="14" t="s">
        <v>64</v>
      </c>
      <c r="D349" s="15">
        <v>70319.7</v>
      </c>
      <c r="E349" s="15">
        <v>2405680.5000000005</v>
      </c>
      <c r="F349" s="15">
        <f t="shared" si="275"/>
        <v>34.210619499229956</v>
      </c>
      <c r="G349" s="14">
        <v>87</v>
      </c>
      <c r="H349" s="14">
        <v>464</v>
      </c>
      <c r="M349" s="14">
        <v>2292</v>
      </c>
      <c r="N349" s="14">
        <v>41</v>
      </c>
      <c r="P349" s="14">
        <v>25</v>
      </c>
      <c r="T349" s="14">
        <v>134</v>
      </c>
      <c r="X349" s="14">
        <v>3</v>
      </c>
      <c r="Y349" s="14">
        <v>140</v>
      </c>
      <c r="AB349" s="14">
        <f t="shared" si="276"/>
        <v>0</v>
      </c>
      <c r="AF349" s="14">
        <v>84</v>
      </c>
      <c r="AI349" s="14">
        <v>52</v>
      </c>
      <c r="AJ349" s="14">
        <v>226</v>
      </c>
      <c r="AK349" s="14">
        <v>118</v>
      </c>
      <c r="AM349" s="14">
        <f t="shared" si="277"/>
        <v>118</v>
      </c>
      <c r="AQ349" s="14">
        <f t="shared" si="278"/>
        <v>0</v>
      </c>
      <c r="AT349" s="14">
        <f t="shared" si="279"/>
        <v>0</v>
      </c>
      <c r="AU349" s="16">
        <v>1726</v>
      </c>
      <c r="AV349" s="16">
        <v>10614</v>
      </c>
      <c r="AW349" s="16">
        <v>10</v>
      </c>
      <c r="AX349" s="16">
        <v>0</v>
      </c>
      <c r="AY349" s="18">
        <f t="shared" si="280"/>
        <v>7.1746850839086891</v>
      </c>
      <c r="AZ349" s="17">
        <f t="shared" si="281"/>
        <v>44.120572120861425</v>
      </c>
      <c r="BA349" s="17">
        <f t="shared" si="282"/>
        <v>4.1568279744546285E-2</v>
      </c>
      <c r="BB349" s="17">
        <f t="shared" si="283"/>
        <v>0</v>
      </c>
      <c r="BC349" s="17">
        <f t="shared" si="251"/>
        <v>0.36164403377755266</v>
      </c>
      <c r="BD349" s="17">
        <f t="shared" si="252"/>
        <v>1.9287681801469476</v>
      </c>
      <c r="BE349" s="17">
        <f t="shared" si="253"/>
        <v>0</v>
      </c>
      <c r="BF349" s="17">
        <f t="shared" si="254"/>
        <v>0</v>
      </c>
      <c r="BG349" s="17">
        <f t="shared" si="255"/>
        <v>0</v>
      </c>
      <c r="BH349" s="17">
        <f t="shared" si="256"/>
        <v>0</v>
      </c>
      <c r="BI349" s="17">
        <f t="shared" si="257"/>
        <v>9.5274497174500095</v>
      </c>
      <c r="BJ349" s="17">
        <f t="shared" si="258"/>
        <v>0.17042994695263977</v>
      </c>
      <c r="BK349" s="17">
        <f t="shared" si="259"/>
        <v>0</v>
      </c>
      <c r="BL349" s="17">
        <f t="shared" si="260"/>
        <v>0.10392069936136572</v>
      </c>
      <c r="BM349" s="17">
        <f t="shared" si="261"/>
        <v>0</v>
      </c>
      <c r="BN349" s="17">
        <f t="shared" si="262"/>
        <v>0</v>
      </c>
      <c r="BO349" s="17">
        <f t="shared" si="263"/>
        <v>0</v>
      </c>
      <c r="BP349" s="17">
        <f t="shared" si="264"/>
        <v>0.55701494857692024</v>
      </c>
      <c r="BQ349" s="17">
        <f t="shared" si="265"/>
        <v>0</v>
      </c>
      <c r="BR349" s="17">
        <f t="shared" si="266"/>
        <v>0</v>
      </c>
      <c r="BS349" s="17">
        <f t="shared" si="267"/>
        <v>0</v>
      </c>
      <c r="BT349" s="17">
        <f t="shared" si="268"/>
        <v>1.2470483923363886E-2</v>
      </c>
      <c r="BU349" s="17">
        <f t="shared" si="269"/>
        <v>0.58195591642364797</v>
      </c>
      <c r="BV349" s="17">
        <f t="shared" si="270"/>
        <v>0</v>
      </c>
      <c r="BW349" s="17">
        <f t="shared" si="271"/>
        <v>0</v>
      </c>
      <c r="BX349" s="17">
        <f t="shared" si="272"/>
        <v>0</v>
      </c>
      <c r="BY349" s="17">
        <f t="shared" si="273"/>
        <v>0</v>
      </c>
      <c r="BZ349" s="17">
        <f t="shared" si="284"/>
        <v>0</v>
      </c>
      <c r="CA349" s="17">
        <f t="shared" si="285"/>
        <v>0.3491735498541888</v>
      </c>
      <c r="CB349" s="17">
        <f t="shared" si="286"/>
        <v>0</v>
      </c>
      <c r="CC349" s="17">
        <f t="shared" si="287"/>
        <v>0</v>
      </c>
      <c r="CD349" s="17">
        <f t="shared" si="288"/>
        <v>0.21615505467164067</v>
      </c>
      <c r="CE349" s="17">
        <f t="shared" si="289"/>
        <v>0.93944312222674609</v>
      </c>
      <c r="CF349" s="17">
        <f t="shared" si="290"/>
        <v>0.49050570098564616</v>
      </c>
      <c r="CG349" s="17">
        <f t="shared" si="291"/>
        <v>0</v>
      </c>
      <c r="CH349" s="17">
        <f t="shared" si="292"/>
        <v>0</v>
      </c>
      <c r="CI349" s="17">
        <f t="shared" si="293"/>
        <v>0</v>
      </c>
      <c r="CJ349" s="17">
        <f t="shared" si="294"/>
        <v>0</v>
      </c>
      <c r="CK349" s="17">
        <f t="shared" si="295"/>
        <v>0</v>
      </c>
      <c r="CL349" s="17">
        <f t="shared" si="296"/>
        <v>0</v>
      </c>
      <c r="CM349" s="14">
        <f t="shared" si="297"/>
        <v>10624</v>
      </c>
      <c r="CN349" s="17">
        <f t="shared" si="298"/>
        <v>44.162140400605971</v>
      </c>
      <c r="CO349" s="14">
        <f t="shared" si="299"/>
        <v>12350</v>
      </c>
      <c r="CP349" s="17">
        <f t="shared" si="300"/>
        <v>51.336825484514662</v>
      </c>
      <c r="CQ349" s="14">
        <f t="shared" si="274"/>
        <v>16134</v>
      </c>
      <c r="CR349" s="14">
        <v>0</v>
      </c>
      <c r="CS349" s="14">
        <v>0</v>
      </c>
      <c r="CT349" s="14">
        <v>0</v>
      </c>
      <c r="CU349" s="14">
        <v>0</v>
      </c>
    </row>
    <row r="350" spans="1:99" x14ac:dyDescent="0.3">
      <c r="A350" s="14">
        <v>2019</v>
      </c>
      <c r="B350" s="14" t="s">
        <v>63</v>
      </c>
      <c r="C350" s="14" t="s">
        <v>64</v>
      </c>
      <c r="D350" s="15">
        <v>70307.7</v>
      </c>
      <c r="E350" s="15">
        <v>2446644.4999999977</v>
      </c>
      <c r="F350" s="15">
        <f t="shared" si="275"/>
        <v>34.799097396159993</v>
      </c>
      <c r="G350" s="14">
        <v>117</v>
      </c>
      <c r="H350" s="14">
        <v>514</v>
      </c>
      <c r="N350" s="14">
        <v>43</v>
      </c>
      <c r="O350" s="14">
        <v>137</v>
      </c>
      <c r="P350" s="14">
        <v>29</v>
      </c>
      <c r="T350" s="14">
        <v>148</v>
      </c>
      <c r="V350" s="14">
        <v>291</v>
      </c>
      <c r="X350" s="14">
        <v>3</v>
      </c>
      <c r="Z350" s="14">
        <v>503</v>
      </c>
      <c r="AB350" s="14">
        <f t="shared" si="276"/>
        <v>137</v>
      </c>
      <c r="AF350" s="14">
        <v>99</v>
      </c>
      <c r="AI350" s="14">
        <v>53</v>
      </c>
      <c r="AJ350" s="14">
        <v>300</v>
      </c>
      <c r="AK350" s="14">
        <v>123</v>
      </c>
      <c r="AM350" s="14">
        <f t="shared" si="277"/>
        <v>123</v>
      </c>
      <c r="AQ350" s="14">
        <f t="shared" si="278"/>
        <v>0</v>
      </c>
      <c r="AT350" s="14">
        <f t="shared" si="279"/>
        <v>0</v>
      </c>
      <c r="AU350" s="16">
        <v>1931</v>
      </c>
      <c r="AV350" s="16">
        <v>11806</v>
      </c>
      <c r="AW350" s="16">
        <v>10</v>
      </c>
      <c r="AX350" s="16">
        <v>0</v>
      </c>
      <c r="AY350" s="18">
        <f t="shared" si="280"/>
        <v>7.8924420773022064</v>
      </c>
      <c r="AZ350" s="17">
        <f t="shared" si="281"/>
        <v>48.253843171739952</v>
      </c>
      <c r="BA350" s="17">
        <f t="shared" si="282"/>
        <v>4.0872304905759743E-2</v>
      </c>
      <c r="BB350" s="17">
        <f t="shared" si="283"/>
        <v>0</v>
      </c>
      <c r="BC350" s="17">
        <f t="shared" si="251"/>
        <v>0.47820596739738902</v>
      </c>
      <c r="BD350" s="17">
        <f t="shared" si="252"/>
        <v>2.1008364721560508</v>
      </c>
      <c r="BE350" s="17">
        <f t="shared" si="253"/>
        <v>0</v>
      </c>
      <c r="BF350" s="17">
        <f t="shared" si="254"/>
        <v>0</v>
      </c>
      <c r="BG350" s="17">
        <f t="shared" si="255"/>
        <v>0</v>
      </c>
      <c r="BH350" s="17">
        <f t="shared" si="256"/>
        <v>0</v>
      </c>
      <c r="BI350" s="17">
        <f t="shared" si="257"/>
        <v>0</v>
      </c>
      <c r="BJ350" s="17">
        <f t="shared" si="258"/>
        <v>0.1757509110947669</v>
      </c>
      <c r="BK350" s="17">
        <f t="shared" si="259"/>
        <v>0.55995057720890851</v>
      </c>
      <c r="BL350" s="17">
        <f t="shared" si="260"/>
        <v>0.11852968422670326</v>
      </c>
      <c r="BM350" s="17">
        <f t="shared" si="261"/>
        <v>0</v>
      </c>
      <c r="BN350" s="17">
        <f t="shared" si="262"/>
        <v>0</v>
      </c>
      <c r="BO350" s="17">
        <f t="shared" si="263"/>
        <v>0</v>
      </c>
      <c r="BP350" s="17">
        <f t="shared" si="264"/>
        <v>0.60491011260524419</v>
      </c>
      <c r="BQ350" s="17">
        <f t="shared" si="265"/>
        <v>0</v>
      </c>
      <c r="BR350" s="17">
        <f t="shared" si="266"/>
        <v>1.1893840727576086</v>
      </c>
      <c r="BS350" s="17">
        <f t="shared" si="267"/>
        <v>0</v>
      </c>
      <c r="BT350" s="17">
        <f t="shared" si="268"/>
        <v>1.2261691471727922E-2</v>
      </c>
      <c r="BU350" s="17">
        <f t="shared" si="269"/>
        <v>0</v>
      </c>
      <c r="BV350" s="17">
        <f t="shared" si="270"/>
        <v>2.0558769367597152</v>
      </c>
      <c r="BW350" s="17">
        <f t="shared" si="271"/>
        <v>0</v>
      </c>
      <c r="BX350" s="17">
        <f t="shared" si="272"/>
        <v>0</v>
      </c>
      <c r="BY350" s="17">
        <f t="shared" si="273"/>
        <v>0</v>
      </c>
      <c r="BZ350" s="17">
        <f t="shared" si="284"/>
        <v>0</v>
      </c>
      <c r="CA350" s="17">
        <f t="shared" si="285"/>
        <v>0.40463581856702147</v>
      </c>
      <c r="CB350" s="17">
        <f t="shared" si="286"/>
        <v>0</v>
      </c>
      <c r="CC350" s="17">
        <f t="shared" si="287"/>
        <v>0</v>
      </c>
      <c r="CD350" s="17">
        <f t="shared" si="288"/>
        <v>0.21662321600052664</v>
      </c>
      <c r="CE350" s="17">
        <f t="shared" si="289"/>
        <v>1.2261691471727922</v>
      </c>
      <c r="CF350" s="17">
        <f t="shared" si="290"/>
        <v>0.50272935034084487</v>
      </c>
      <c r="CG350" s="17">
        <f t="shared" si="291"/>
        <v>0</v>
      </c>
      <c r="CH350" s="17">
        <f t="shared" si="292"/>
        <v>0</v>
      </c>
      <c r="CI350" s="17">
        <f t="shared" si="293"/>
        <v>0</v>
      </c>
      <c r="CJ350" s="17">
        <f t="shared" si="294"/>
        <v>0</v>
      </c>
      <c r="CK350" s="17">
        <f t="shared" si="295"/>
        <v>0</v>
      </c>
      <c r="CL350" s="17">
        <f t="shared" si="296"/>
        <v>0</v>
      </c>
      <c r="CM350" s="14">
        <f t="shared" si="297"/>
        <v>11816</v>
      </c>
      <c r="CN350" s="17">
        <f t="shared" si="298"/>
        <v>48.294715476645713</v>
      </c>
      <c r="CO350" s="14">
        <f t="shared" si="299"/>
        <v>13747</v>
      </c>
      <c r="CP350" s="17">
        <f t="shared" si="300"/>
        <v>56.18715755394792</v>
      </c>
      <c r="CQ350" s="14">
        <f t="shared" si="274"/>
        <v>16367</v>
      </c>
      <c r="CR350" s="14">
        <v>0</v>
      </c>
      <c r="CS350" s="14">
        <v>0</v>
      </c>
      <c r="CT350" s="14">
        <v>0</v>
      </c>
      <c r="CU350" s="14">
        <v>0</v>
      </c>
    </row>
    <row r="351" spans="1:99" x14ac:dyDescent="0.3">
      <c r="A351" s="14">
        <v>2020</v>
      </c>
      <c r="B351" s="14" t="s">
        <v>63</v>
      </c>
      <c r="C351" s="14" t="s">
        <v>64</v>
      </c>
      <c r="D351" s="15">
        <v>70199.3</v>
      </c>
      <c r="E351" s="15">
        <v>2489097.9999999991</v>
      </c>
      <c r="F351" s="15">
        <f t="shared" si="275"/>
        <v>35.457590032949035</v>
      </c>
      <c r="G351" s="14">
        <v>138</v>
      </c>
      <c r="H351" s="14">
        <v>546</v>
      </c>
      <c r="N351" s="14">
        <v>43</v>
      </c>
      <c r="P351" s="14">
        <v>32</v>
      </c>
      <c r="T351" s="14">
        <v>177</v>
      </c>
      <c r="X351" s="14">
        <v>3</v>
      </c>
      <c r="Y351" s="14">
        <v>99</v>
      </c>
      <c r="Z351" s="14">
        <v>99</v>
      </c>
      <c r="AB351" s="14">
        <f t="shared" si="276"/>
        <v>0</v>
      </c>
      <c r="AF351" s="14">
        <v>95</v>
      </c>
      <c r="AI351" s="14">
        <v>54</v>
      </c>
      <c r="AJ351" s="14">
        <v>338</v>
      </c>
      <c r="AK351" s="14">
        <v>134</v>
      </c>
      <c r="AM351" s="14">
        <f t="shared" si="277"/>
        <v>134</v>
      </c>
      <c r="AQ351" s="14">
        <f t="shared" si="278"/>
        <v>0</v>
      </c>
      <c r="AT351" s="14">
        <f t="shared" si="279"/>
        <v>0</v>
      </c>
      <c r="AU351" s="16">
        <v>2230</v>
      </c>
      <c r="AV351" s="16">
        <v>12880</v>
      </c>
      <c r="AW351" s="16">
        <v>10</v>
      </c>
      <c r="AX351" s="16">
        <v>0</v>
      </c>
      <c r="AY351" s="18">
        <f t="shared" si="280"/>
        <v>8.959068706816689</v>
      </c>
      <c r="AZ351" s="17">
        <f t="shared" si="281"/>
        <v>51.745652441165454</v>
      </c>
      <c r="BA351" s="17">
        <f t="shared" si="282"/>
        <v>4.0175195994693678E-2</v>
      </c>
      <c r="BB351" s="17">
        <f t="shared" si="283"/>
        <v>0</v>
      </c>
      <c r="BC351" s="17">
        <f t="shared" si="251"/>
        <v>0.55441770472677276</v>
      </c>
      <c r="BD351" s="17">
        <f t="shared" si="252"/>
        <v>2.1935657013102747</v>
      </c>
      <c r="BE351" s="17">
        <f t="shared" si="253"/>
        <v>0</v>
      </c>
      <c r="BF351" s="17">
        <f t="shared" si="254"/>
        <v>0</v>
      </c>
      <c r="BG351" s="17">
        <f t="shared" si="255"/>
        <v>0</v>
      </c>
      <c r="BH351" s="17">
        <f t="shared" si="256"/>
        <v>0</v>
      </c>
      <c r="BI351" s="17">
        <f t="shared" si="257"/>
        <v>0</v>
      </c>
      <c r="BJ351" s="17">
        <f t="shared" si="258"/>
        <v>0.17275334277718279</v>
      </c>
      <c r="BK351" s="17">
        <f t="shared" si="259"/>
        <v>0</v>
      </c>
      <c r="BL351" s="17">
        <f t="shared" si="260"/>
        <v>0.12856062718301975</v>
      </c>
      <c r="BM351" s="17">
        <f t="shared" si="261"/>
        <v>0</v>
      </c>
      <c r="BN351" s="17">
        <f t="shared" si="262"/>
        <v>0</v>
      </c>
      <c r="BO351" s="17">
        <f t="shared" si="263"/>
        <v>0</v>
      </c>
      <c r="BP351" s="17">
        <f t="shared" si="264"/>
        <v>0.71110096910607801</v>
      </c>
      <c r="BQ351" s="17">
        <f t="shared" si="265"/>
        <v>0</v>
      </c>
      <c r="BR351" s="17">
        <f t="shared" si="266"/>
        <v>0</v>
      </c>
      <c r="BS351" s="17">
        <f t="shared" si="267"/>
        <v>0</v>
      </c>
      <c r="BT351" s="17">
        <f t="shared" si="268"/>
        <v>1.2052558798408103E-2</v>
      </c>
      <c r="BU351" s="17">
        <f t="shared" si="269"/>
        <v>0.39773444034746741</v>
      </c>
      <c r="BV351" s="17">
        <f t="shared" si="270"/>
        <v>0.39773444034746741</v>
      </c>
      <c r="BW351" s="17">
        <f t="shared" si="271"/>
        <v>0</v>
      </c>
      <c r="BX351" s="17">
        <f t="shared" si="272"/>
        <v>0</v>
      </c>
      <c r="BY351" s="17">
        <f t="shared" si="273"/>
        <v>0</v>
      </c>
      <c r="BZ351" s="17">
        <f t="shared" si="284"/>
        <v>0</v>
      </c>
      <c r="CA351" s="17">
        <f t="shared" si="285"/>
        <v>0.38166436194958991</v>
      </c>
      <c r="CB351" s="17">
        <f t="shared" si="286"/>
        <v>0</v>
      </c>
      <c r="CC351" s="17">
        <f t="shared" si="287"/>
        <v>0</v>
      </c>
      <c r="CD351" s="17">
        <f t="shared" si="288"/>
        <v>0.21694605837134584</v>
      </c>
      <c r="CE351" s="17">
        <f t="shared" si="289"/>
        <v>1.3579216246206463</v>
      </c>
      <c r="CF351" s="17">
        <f t="shared" si="290"/>
        <v>0.53834762632889521</v>
      </c>
      <c r="CG351" s="17">
        <f t="shared" si="291"/>
        <v>0</v>
      </c>
      <c r="CH351" s="17">
        <f t="shared" si="292"/>
        <v>0</v>
      </c>
      <c r="CI351" s="17">
        <f t="shared" si="293"/>
        <v>0</v>
      </c>
      <c r="CJ351" s="17">
        <f t="shared" si="294"/>
        <v>0</v>
      </c>
      <c r="CK351" s="17">
        <f t="shared" si="295"/>
        <v>0</v>
      </c>
      <c r="CL351" s="17">
        <f t="shared" si="296"/>
        <v>0</v>
      </c>
      <c r="CM351" s="14">
        <f t="shared" si="297"/>
        <v>12890</v>
      </c>
      <c r="CN351" s="17">
        <f t="shared" si="298"/>
        <v>51.785827637160146</v>
      </c>
      <c r="CO351" s="14">
        <f t="shared" si="299"/>
        <v>15120</v>
      </c>
      <c r="CP351" s="17">
        <f t="shared" si="300"/>
        <v>60.744896343976833</v>
      </c>
      <c r="CQ351" s="14">
        <f t="shared" si="274"/>
        <v>17012</v>
      </c>
      <c r="CR351" s="14">
        <v>17</v>
      </c>
      <c r="CS351" s="14">
        <v>104</v>
      </c>
      <c r="CT351" s="14">
        <v>0</v>
      </c>
      <c r="CU351" s="14">
        <v>172</v>
      </c>
    </row>
    <row r="352" spans="1:99" x14ac:dyDescent="0.3">
      <c r="A352" s="14">
        <v>2021</v>
      </c>
      <c r="B352" s="14" t="s">
        <v>63</v>
      </c>
      <c r="C352" s="14" t="s">
        <v>64</v>
      </c>
      <c r="D352" s="15">
        <v>70214.399999999994</v>
      </c>
      <c r="E352" s="15">
        <v>2530150.5000000014</v>
      </c>
      <c r="F352" s="15">
        <f t="shared" si="275"/>
        <v>36.034638193874784</v>
      </c>
      <c r="G352" s="14">
        <v>161</v>
      </c>
      <c r="H352" s="14">
        <v>603</v>
      </c>
      <c r="N352" s="14">
        <v>48</v>
      </c>
      <c r="P352" s="14">
        <v>35</v>
      </c>
      <c r="T352" s="14">
        <v>209</v>
      </c>
      <c r="X352" s="14">
        <v>3</v>
      </c>
      <c r="Y352" s="14">
        <v>99</v>
      </c>
      <c r="AB352" s="14">
        <f t="shared" si="276"/>
        <v>0</v>
      </c>
      <c r="AF352" s="14">
        <v>99</v>
      </c>
      <c r="AI352" s="14">
        <v>63</v>
      </c>
      <c r="AJ352" s="14">
        <v>372</v>
      </c>
      <c r="AK352" s="14">
        <v>140</v>
      </c>
      <c r="AM352" s="14">
        <f t="shared" si="277"/>
        <v>140</v>
      </c>
      <c r="AQ352" s="14">
        <f t="shared" si="278"/>
        <v>0</v>
      </c>
      <c r="AT352" s="14">
        <f t="shared" si="279"/>
        <v>0</v>
      </c>
      <c r="AU352" s="16">
        <v>2549</v>
      </c>
      <c r="AV352" s="16">
        <v>14332</v>
      </c>
      <c r="AW352" s="16">
        <v>12</v>
      </c>
      <c r="AX352" s="16">
        <v>0</v>
      </c>
      <c r="AY352" s="18">
        <f t="shared" si="280"/>
        <v>10.074499520878298</v>
      </c>
      <c r="AZ352" s="17">
        <f t="shared" si="281"/>
        <v>56.64485175881827</v>
      </c>
      <c r="BA352" s="17">
        <f t="shared" si="282"/>
        <v>4.7428008729124983E-2</v>
      </c>
      <c r="BB352" s="17">
        <f t="shared" si="283"/>
        <v>0</v>
      </c>
      <c r="BC352" s="17">
        <f t="shared" si="251"/>
        <v>0.63632578378242677</v>
      </c>
      <c r="BD352" s="17">
        <f t="shared" si="252"/>
        <v>2.3832574386385303</v>
      </c>
      <c r="BE352" s="17">
        <f t="shared" si="253"/>
        <v>0</v>
      </c>
      <c r="BF352" s="17">
        <f t="shared" si="254"/>
        <v>0</v>
      </c>
      <c r="BG352" s="17">
        <f t="shared" si="255"/>
        <v>0</v>
      </c>
      <c r="BH352" s="17">
        <f t="shared" si="256"/>
        <v>0</v>
      </c>
      <c r="BI352" s="17">
        <f t="shared" si="257"/>
        <v>0</v>
      </c>
      <c r="BJ352" s="17">
        <f t="shared" si="258"/>
        <v>0.18971203491649993</v>
      </c>
      <c r="BK352" s="17">
        <f t="shared" si="259"/>
        <v>0</v>
      </c>
      <c r="BL352" s="17">
        <f t="shared" si="260"/>
        <v>0.13833169212661453</v>
      </c>
      <c r="BM352" s="17">
        <f t="shared" si="261"/>
        <v>0</v>
      </c>
      <c r="BN352" s="17">
        <f t="shared" si="262"/>
        <v>0</v>
      </c>
      <c r="BO352" s="17">
        <f t="shared" si="263"/>
        <v>0</v>
      </c>
      <c r="BP352" s="17">
        <f t="shared" si="264"/>
        <v>0.82603781869892678</v>
      </c>
      <c r="BQ352" s="17">
        <f t="shared" si="265"/>
        <v>0</v>
      </c>
      <c r="BR352" s="17">
        <f t="shared" si="266"/>
        <v>0</v>
      </c>
      <c r="BS352" s="17">
        <f t="shared" si="267"/>
        <v>0</v>
      </c>
      <c r="BT352" s="17">
        <f t="shared" si="268"/>
        <v>1.1857002182281246E-2</v>
      </c>
      <c r="BU352" s="17">
        <f t="shared" si="269"/>
        <v>0.39128107201528106</v>
      </c>
      <c r="BV352" s="17">
        <f t="shared" si="270"/>
        <v>0</v>
      </c>
      <c r="BW352" s="17">
        <f t="shared" si="271"/>
        <v>0</v>
      </c>
      <c r="BX352" s="17">
        <f t="shared" si="272"/>
        <v>0</v>
      </c>
      <c r="BY352" s="17">
        <f t="shared" si="273"/>
        <v>0</v>
      </c>
      <c r="BZ352" s="17">
        <f t="shared" si="284"/>
        <v>0</v>
      </c>
      <c r="CA352" s="17">
        <f t="shared" si="285"/>
        <v>0.39128107201528106</v>
      </c>
      <c r="CB352" s="17">
        <f t="shared" si="286"/>
        <v>0</v>
      </c>
      <c r="CC352" s="17">
        <f t="shared" si="287"/>
        <v>0</v>
      </c>
      <c r="CD352" s="17">
        <f t="shared" si="288"/>
        <v>0.24899704582790616</v>
      </c>
      <c r="CE352" s="17">
        <f t="shared" si="289"/>
        <v>1.4702682706028745</v>
      </c>
      <c r="CF352" s="17">
        <f t="shared" si="290"/>
        <v>0.55332676850645812</v>
      </c>
      <c r="CG352" s="17">
        <f t="shared" si="291"/>
        <v>0</v>
      </c>
      <c r="CH352" s="17">
        <f t="shared" si="292"/>
        <v>0</v>
      </c>
      <c r="CI352" s="17">
        <f t="shared" si="293"/>
        <v>0</v>
      </c>
      <c r="CJ352" s="17">
        <f t="shared" si="294"/>
        <v>0</v>
      </c>
      <c r="CK352" s="17">
        <f t="shared" si="295"/>
        <v>0</v>
      </c>
      <c r="CL352" s="17">
        <f t="shared" si="296"/>
        <v>0</v>
      </c>
      <c r="CM352" s="14">
        <f t="shared" si="297"/>
        <v>14344</v>
      </c>
      <c r="CN352" s="17">
        <f t="shared" si="298"/>
        <v>56.69227976754739</v>
      </c>
      <c r="CO352" s="14">
        <f t="shared" si="299"/>
        <v>16893</v>
      </c>
      <c r="CP352" s="17">
        <f t="shared" si="300"/>
        <v>66.766779288425695</v>
      </c>
      <c r="CQ352" s="14">
        <f t="shared" si="274"/>
        <v>18865</v>
      </c>
      <c r="CR352" s="14">
        <v>0</v>
      </c>
      <c r="CS352" s="14">
        <v>0</v>
      </c>
      <c r="CT352" s="14">
        <v>0</v>
      </c>
      <c r="CU352" s="14">
        <v>0</v>
      </c>
    </row>
    <row r="353" spans="1:99" x14ac:dyDescent="0.3">
      <c r="A353" s="14">
        <v>2022</v>
      </c>
      <c r="B353" s="14" t="s">
        <v>63</v>
      </c>
      <c r="C353" s="14" t="s">
        <v>64</v>
      </c>
      <c r="D353" s="15">
        <v>70063.5</v>
      </c>
      <c r="E353" s="15">
        <v>2567012.4999999995</v>
      </c>
      <c r="F353" s="15">
        <f t="shared" si="275"/>
        <v>36.638370906392055</v>
      </c>
      <c r="G353" s="14">
        <v>207</v>
      </c>
      <c r="H353" s="14">
        <v>655</v>
      </c>
      <c r="I353" s="14">
        <v>4865</v>
      </c>
      <c r="N353" s="14">
        <v>49</v>
      </c>
      <c r="P353" s="14">
        <v>44</v>
      </c>
      <c r="T353" s="14">
        <v>245</v>
      </c>
      <c r="V353" s="14">
        <v>289</v>
      </c>
      <c r="W353" s="14">
        <v>51</v>
      </c>
      <c r="X353" s="14">
        <v>5</v>
      </c>
      <c r="Y353" s="14">
        <v>1065</v>
      </c>
      <c r="AB353" s="14">
        <f t="shared" si="276"/>
        <v>0</v>
      </c>
      <c r="AF353" s="14">
        <v>107</v>
      </c>
      <c r="AI353" s="14">
        <v>82</v>
      </c>
      <c r="AJ353" s="14">
        <v>402</v>
      </c>
      <c r="AK353" s="14">
        <v>144</v>
      </c>
      <c r="AM353" s="14">
        <f t="shared" si="277"/>
        <v>144</v>
      </c>
      <c r="AQ353" s="14">
        <f t="shared" si="278"/>
        <v>0</v>
      </c>
      <c r="AT353" s="14">
        <f t="shared" si="279"/>
        <v>0</v>
      </c>
      <c r="AU353" s="16">
        <v>3012</v>
      </c>
      <c r="AV353" s="16">
        <v>17210</v>
      </c>
      <c r="AW353" s="16">
        <v>14</v>
      </c>
      <c r="AX353" s="16">
        <v>889</v>
      </c>
      <c r="AY353" s="18">
        <f t="shared" si="280"/>
        <v>11.733483962388187</v>
      </c>
      <c r="AZ353" s="17">
        <f t="shared" si="281"/>
        <v>67.042914672211381</v>
      </c>
      <c r="BA353" s="17">
        <f t="shared" si="282"/>
        <v>5.4538106066877361E-2</v>
      </c>
      <c r="BB353" s="17">
        <f t="shared" si="283"/>
        <v>3.4631697352467126</v>
      </c>
      <c r="BC353" s="17">
        <f t="shared" si="251"/>
        <v>0.80638485398882953</v>
      </c>
      <c r="BD353" s="17">
        <f t="shared" si="252"/>
        <v>2.5516042481289052</v>
      </c>
      <c r="BE353" s="17">
        <f t="shared" si="253"/>
        <v>18.951991858239882</v>
      </c>
      <c r="BF353" s="17">
        <f t="shared" si="254"/>
        <v>0</v>
      </c>
      <c r="BG353" s="17">
        <f t="shared" si="255"/>
        <v>0</v>
      </c>
      <c r="BH353" s="17">
        <f t="shared" si="256"/>
        <v>0</v>
      </c>
      <c r="BI353" s="17">
        <f t="shared" si="257"/>
        <v>0</v>
      </c>
      <c r="BJ353" s="17">
        <f t="shared" si="258"/>
        <v>0.19088337123407076</v>
      </c>
      <c r="BK353" s="17">
        <f t="shared" si="259"/>
        <v>0</v>
      </c>
      <c r="BL353" s="17">
        <f t="shared" si="260"/>
        <v>0.17140547621018601</v>
      </c>
      <c r="BM353" s="17">
        <f t="shared" si="261"/>
        <v>0</v>
      </c>
      <c r="BN353" s="17">
        <f t="shared" si="262"/>
        <v>0</v>
      </c>
      <c r="BO353" s="17">
        <f t="shared" si="263"/>
        <v>0</v>
      </c>
      <c r="BP353" s="17">
        <f t="shared" si="264"/>
        <v>0.95441685617035388</v>
      </c>
      <c r="BQ353" s="17">
        <f t="shared" si="265"/>
        <v>0</v>
      </c>
      <c r="BR353" s="17">
        <f t="shared" si="266"/>
        <v>1.1258223323805399</v>
      </c>
      <c r="BS353" s="17">
        <f t="shared" si="267"/>
        <v>0.19867452924362466</v>
      </c>
      <c r="BT353" s="17">
        <f t="shared" si="268"/>
        <v>1.9477895023884771E-2</v>
      </c>
      <c r="BU353" s="17">
        <f t="shared" si="269"/>
        <v>4.1487916400874569</v>
      </c>
      <c r="BV353" s="17">
        <f t="shared" si="270"/>
        <v>0</v>
      </c>
      <c r="BW353" s="17">
        <f t="shared" si="271"/>
        <v>0</v>
      </c>
      <c r="BX353" s="17">
        <f t="shared" si="272"/>
        <v>0</v>
      </c>
      <c r="BY353" s="17">
        <f t="shared" si="273"/>
        <v>0</v>
      </c>
      <c r="BZ353" s="17">
        <f t="shared" si="284"/>
        <v>0</v>
      </c>
      <c r="CA353" s="17">
        <f t="shared" si="285"/>
        <v>0.41682695351113414</v>
      </c>
      <c r="CB353" s="17">
        <f t="shared" si="286"/>
        <v>0</v>
      </c>
      <c r="CC353" s="17">
        <f t="shared" si="287"/>
        <v>0</v>
      </c>
      <c r="CD353" s="17">
        <f t="shared" si="288"/>
        <v>0.31943747839171027</v>
      </c>
      <c r="CE353" s="17">
        <f t="shared" si="289"/>
        <v>1.5660227599203358</v>
      </c>
      <c r="CF353" s="17">
        <f t="shared" si="290"/>
        <v>0.56096337668788143</v>
      </c>
      <c r="CG353" s="17">
        <f t="shared" si="291"/>
        <v>0</v>
      </c>
      <c r="CH353" s="17">
        <f t="shared" si="292"/>
        <v>0</v>
      </c>
      <c r="CI353" s="17">
        <f t="shared" si="293"/>
        <v>0</v>
      </c>
      <c r="CJ353" s="17">
        <f t="shared" si="294"/>
        <v>0</v>
      </c>
      <c r="CK353" s="17">
        <f t="shared" si="295"/>
        <v>0</v>
      </c>
      <c r="CL353" s="17">
        <f t="shared" si="296"/>
        <v>0</v>
      </c>
      <c r="CM353" s="14">
        <f t="shared" si="297"/>
        <v>17224</v>
      </c>
      <c r="CN353" s="17">
        <f t="shared" si="298"/>
        <v>67.097452778278267</v>
      </c>
      <c r="CO353" s="14">
        <f t="shared" si="299"/>
        <v>20236</v>
      </c>
      <c r="CP353" s="17">
        <f t="shared" si="300"/>
        <v>78.830936740666445</v>
      </c>
      <c r="CQ353" s="14">
        <f t="shared" si="274"/>
        <v>29479</v>
      </c>
      <c r="CR353" s="14">
        <v>0</v>
      </c>
      <c r="CS353" s="14">
        <v>142</v>
      </c>
      <c r="CT353" s="14">
        <v>0</v>
      </c>
      <c r="CU353" s="14">
        <v>0</v>
      </c>
    </row>
    <row r="354" spans="1:99" x14ac:dyDescent="0.3">
      <c r="A354" s="14">
        <v>2012</v>
      </c>
      <c r="B354" s="14" t="s">
        <v>65</v>
      </c>
      <c r="C354" s="14" t="s">
        <v>66</v>
      </c>
      <c r="D354" s="15">
        <v>352562.3</v>
      </c>
      <c r="E354" s="15">
        <v>10840333.999999994</v>
      </c>
      <c r="F354" s="15">
        <f t="shared" si="275"/>
        <v>30.747286366125916</v>
      </c>
      <c r="AB354" s="14">
        <f t="shared" si="276"/>
        <v>0</v>
      </c>
      <c r="AM354" s="14">
        <f t="shared" si="277"/>
        <v>0</v>
      </c>
      <c r="AQ354" s="14">
        <f t="shared" si="278"/>
        <v>0</v>
      </c>
      <c r="AT354" s="14">
        <f t="shared" si="279"/>
        <v>0</v>
      </c>
      <c r="AU354" s="16">
        <v>0</v>
      </c>
      <c r="AV354" s="16">
        <v>0</v>
      </c>
      <c r="AW354" s="16">
        <v>0</v>
      </c>
      <c r="AX354" s="16">
        <v>0</v>
      </c>
      <c r="AY354" s="18">
        <f t="shared" si="280"/>
        <v>0</v>
      </c>
      <c r="AZ354" s="17">
        <f t="shared" si="281"/>
        <v>0</v>
      </c>
      <c r="BA354" s="17">
        <f t="shared" si="282"/>
        <v>0</v>
      </c>
      <c r="BB354" s="17">
        <f t="shared" si="283"/>
        <v>0</v>
      </c>
      <c r="BC354" s="17">
        <f t="shared" si="251"/>
        <v>0</v>
      </c>
      <c r="BD354" s="17">
        <f t="shared" si="252"/>
        <v>0</v>
      </c>
      <c r="BE354" s="17">
        <f t="shared" si="253"/>
        <v>0</v>
      </c>
      <c r="BF354" s="17">
        <f t="shared" si="254"/>
        <v>0</v>
      </c>
      <c r="BG354" s="17">
        <f t="shared" si="255"/>
        <v>0</v>
      </c>
      <c r="BH354" s="17">
        <f t="shared" si="256"/>
        <v>0</v>
      </c>
      <c r="BI354" s="17">
        <f t="shared" si="257"/>
        <v>0</v>
      </c>
      <c r="BJ354" s="17">
        <f t="shared" si="258"/>
        <v>0</v>
      </c>
      <c r="BK354" s="17">
        <f t="shared" si="259"/>
        <v>0</v>
      </c>
      <c r="BL354" s="17">
        <f t="shared" si="260"/>
        <v>0</v>
      </c>
      <c r="BM354" s="17">
        <f t="shared" si="261"/>
        <v>0</v>
      </c>
      <c r="BN354" s="17">
        <f t="shared" si="262"/>
        <v>0</v>
      </c>
      <c r="BO354" s="17">
        <f t="shared" si="263"/>
        <v>0</v>
      </c>
      <c r="BP354" s="17">
        <f t="shared" si="264"/>
        <v>0</v>
      </c>
      <c r="BQ354" s="17">
        <f t="shared" si="265"/>
        <v>0</v>
      </c>
      <c r="BR354" s="17">
        <f t="shared" si="266"/>
        <v>0</v>
      </c>
      <c r="BS354" s="17">
        <f t="shared" si="267"/>
        <v>0</v>
      </c>
      <c r="BT354" s="17">
        <f t="shared" si="268"/>
        <v>0</v>
      </c>
      <c r="BU354" s="17">
        <f t="shared" si="269"/>
        <v>0</v>
      </c>
      <c r="BV354" s="17">
        <f t="shared" si="270"/>
        <v>0</v>
      </c>
      <c r="BW354" s="17">
        <f t="shared" si="271"/>
        <v>0</v>
      </c>
      <c r="BX354" s="17">
        <f t="shared" si="272"/>
        <v>0</v>
      </c>
      <c r="BY354" s="17">
        <f t="shared" si="273"/>
        <v>0</v>
      </c>
      <c r="BZ354" s="17">
        <f t="shared" si="284"/>
        <v>0</v>
      </c>
      <c r="CA354" s="17">
        <f t="shared" si="285"/>
        <v>0</v>
      </c>
      <c r="CB354" s="17">
        <f t="shared" si="286"/>
        <v>0</v>
      </c>
      <c r="CC354" s="17">
        <f t="shared" si="287"/>
        <v>0</v>
      </c>
      <c r="CD354" s="17">
        <f t="shared" si="288"/>
        <v>0</v>
      </c>
      <c r="CE354" s="17">
        <f t="shared" si="289"/>
        <v>0</v>
      </c>
      <c r="CF354" s="17">
        <f t="shared" si="290"/>
        <v>0</v>
      </c>
      <c r="CG354" s="17">
        <f t="shared" si="291"/>
        <v>0</v>
      </c>
      <c r="CH354" s="17">
        <f t="shared" si="292"/>
        <v>0</v>
      </c>
      <c r="CI354" s="17">
        <f t="shared" si="293"/>
        <v>0</v>
      </c>
      <c r="CJ354" s="17">
        <f t="shared" si="294"/>
        <v>0</v>
      </c>
      <c r="CK354" s="17">
        <f t="shared" si="295"/>
        <v>0</v>
      </c>
      <c r="CL354" s="17">
        <f t="shared" si="296"/>
        <v>0</v>
      </c>
      <c r="CM354" s="14">
        <f t="shared" si="297"/>
        <v>0</v>
      </c>
      <c r="CN354" s="17">
        <f t="shared" si="298"/>
        <v>0</v>
      </c>
      <c r="CO354" s="14">
        <f t="shared" si="299"/>
        <v>0</v>
      </c>
      <c r="CP354" s="17">
        <f t="shared" si="300"/>
        <v>0</v>
      </c>
      <c r="CQ354" s="14">
        <f t="shared" si="274"/>
        <v>0</v>
      </c>
      <c r="CR354" s="14">
        <v>0</v>
      </c>
      <c r="CS354" s="14">
        <v>0</v>
      </c>
      <c r="CT354" s="14">
        <v>0</v>
      </c>
      <c r="CU354" s="14">
        <v>0</v>
      </c>
    </row>
    <row r="355" spans="1:99" x14ac:dyDescent="0.3">
      <c r="A355" s="14">
        <v>2013</v>
      </c>
      <c r="B355" s="14" t="s">
        <v>65</v>
      </c>
      <c r="C355" s="14" t="s">
        <v>66</v>
      </c>
      <c r="D355" s="15">
        <v>357235.9</v>
      </c>
      <c r="E355" s="15">
        <v>11101349.499999996</v>
      </c>
      <c r="F355" s="15">
        <f t="shared" si="275"/>
        <v>31.075682763126537</v>
      </c>
      <c r="AB355" s="14">
        <f t="shared" si="276"/>
        <v>0</v>
      </c>
      <c r="AM355" s="14">
        <f t="shared" si="277"/>
        <v>0</v>
      </c>
      <c r="AQ355" s="14">
        <f t="shared" si="278"/>
        <v>0</v>
      </c>
      <c r="AT355" s="14">
        <f t="shared" si="279"/>
        <v>0</v>
      </c>
      <c r="AU355" s="16">
        <v>2208</v>
      </c>
      <c r="AV355" s="16">
        <v>0</v>
      </c>
      <c r="AW355" s="16">
        <v>1244</v>
      </c>
      <c r="AX355" s="16">
        <v>0</v>
      </c>
      <c r="AY355" s="18">
        <f t="shared" si="280"/>
        <v>1.9889473797757657</v>
      </c>
      <c r="AZ355" s="17">
        <f t="shared" si="281"/>
        <v>0</v>
      </c>
      <c r="BA355" s="17">
        <f t="shared" si="282"/>
        <v>1.1205844838954042</v>
      </c>
      <c r="BB355" s="17">
        <f t="shared" si="283"/>
        <v>0</v>
      </c>
      <c r="BC355" s="17">
        <f t="shared" si="251"/>
        <v>0</v>
      </c>
      <c r="BD355" s="17">
        <f t="shared" si="252"/>
        <v>0</v>
      </c>
      <c r="BE355" s="17">
        <f t="shared" si="253"/>
        <v>0</v>
      </c>
      <c r="BF355" s="17">
        <f t="shared" si="254"/>
        <v>0</v>
      </c>
      <c r="BG355" s="17">
        <f t="shared" si="255"/>
        <v>0</v>
      </c>
      <c r="BH355" s="17">
        <f t="shared" si="256"/>
        <v>0</v>
      </c>
      <c r="BI355" s="17">
        <f t="shared" si="257"/>
        <v>0</v>
      </c>
      <c r="BJ355" s="17">
        <f t="shared" si="258"/>
        <v>0</v>
      </c>
      <c r="BK355" s="17">
        <f t="shared" si="259"/>
        <v>0</v>
      </c>
      <c r="BL355" s="17">
        <f t="shared" si="260"/>
        <v>0</v>
      </c>
      <c r="BM355" s="17">
        <f t="shared" si="261"/>
        <v>0</v>
      </c>
      <c r="BN355" s="17">
        <f t="shared" si="262"/>
        <v>0</v>
      </c>
      <c r="BO355" s="17">
        <f t="shared" si="263"/>
        <v>0</v>
      </c>
      <c r="BP355" s="17">
        <f t="shared" si="264"/>
        <v>0</v>
      </c>
      <c r="BQ355" s="17">
        <f t="shared" si="265"/>
        <v>0</v>
      </c>
      <c r="BR355" s="17">
        <f t="shared" si="266"/>
        <v>0</v>
      </c>
      <c r="BS355" s="17">
        <f t="shared" si="267"/>
        <v>0</v>
      </c>
      <c r="BT355" s="17">
        <f t="shared" si="268"/>
        <v>0</v>
      </c>
      <c r="BU355" s="17">
        <f t="shared" si="269"/>
        <v>0</v>
      </c>
      <c r="BV355" s="17">
        <f t="shared" si="270"/>
        <v>0</v>
      </c>
      <c r="BW355" s="17">
        <f t="shared" si="271"/>
        <v>0</v>
      </c>
      <c r="BX355" s="17">
        <f t="shared" si="272"/>
        <v>0</v>
      </c>
      <c r="BY355" s="17">
        <f t="shared" si="273"/>
        <v>0</v>
      </c>
      <c r="BZ355" s="17">
        <f t="shared" si="284"/>
        <v>0</v>
      </c>
      <c r="CA355" s="17">
        <f t="shared" si="285"/>
        <v>0</v>
      </c>
      <c r="CB355" s="17">
        <f t="shared" si="286"/>
        <v>0</v>
      </c>
      <c r="CC355" s="17">
        <f t="shared" si="287"/>
        <v>0</v>
      </c>
      <c r="CD355" s="17">
        <f t="shared" si="288"/>
        <v>0</v>
      </c>
      <c r="CE355" s="17">
        <f t="shared" si="289"/>
        <v>0</v>
      </c>
      <c r="CF355" s="17">
        <f t="shared" si="290"/>
        <v>0</v>
      </c>
      <c r="CG355" s="17">
        <f t="shared" si="291"/>
        <v>0</v>
      </c>
      <c r="CH355" s="17">
        <f t="shared" si="292"/>
        <v>0</v>
      </c>
      <c r="CI355" s="17">
        <f t="shared" si="293"/>
        <v>0</v>
      </c>
      <c r="CJ355" s="17">
        <f t="shared" si="294"/>
        <v>0</v>
      </c>
      <c r="CK355" s="17">
        <f t="shared" si="295"/>
        <v>0</v>
      </c>
      <c r="CL355" s="17">
        <f t="shared" si="296"/>
        <v>0</v>
      </c>
      <c r="CM355" s="14">
        <f t="shared" si="297"/>
        <v>1244</v>
      </c>
      <c r="CN355" s="17">
        <f t="shared" si="298"/>
        <v>1.1205844838954042</v>
      </c>
      <c r="CO355" s="14">
        <f t="shared" si="299"/>
        <v>3452</v>
      </c>
      <c r="CP355" s="17">
        <f t="shared" si="300"/>
        <v>3.1095318636711702</v>
      </c>
      <c r="CQ355" s="14">
        <f t="shared" si="274"/>
        <v>3452</v>
      </c>
      <c r="CR355" s="14">
        <v>0</v>
      </c>
      <c r="CS355" s="14">
        <v>0</v>
      </c>
      <c r="CT355" s="14">
        <v>0</v>
      </c>
      <c r="CU355" s="14">
        <v>0</v>
      </c>
    </row>
    <row r="356" spans="1:99" x14ac:dyDescent="0.3">
      <c r="A356" s="14">
        <v>2014</v>
      </c>
      <c r="B356" s="14" t="s">
        <v>65</v>
      </c>
      <c r="C356" s="14" t="s">
        <v>66</v>
      </c>
      <c r="D356" s="15">
        <v>362267.2</v>
      </c>
      <c r="E356" s="15">
        <v>11368451.500000004</v>
      </c>
      <c r="F356" s="15">
        <f t="shared" si="275"/>
        <v>31.381398868017872</v>
      </c>
      <c r="AB356" s="14">
        <f t="shared" si="276"/>
        <v>0</v>
      </c>
      <c r="AM356" s="14">
        <f t="shared" si="277"/>
        <v>0</v>
      </c>
      <c r="AQ356" s="14">
        <f t="shared" si="278"/>
        <v>0</v>
      </c>
      <c r="AT356" s="14">
        <f t="shared" si="279"/>
        <v>0</v>
      </c>
      <c r="AU356" s="16">
        <v>2098</v>
      </c>
      <c r="AV356" s="16">
        <v>19250</v>
      </c>
      <c r="AW356" s="16">
        <v>1384</v>
      </c>
      <c r="AX356" s="16">
        <v>0</v>
      </c>
      <c r="AY356" s="18">
        <f t="shared" si="280"/>
        <v>1.8454580203821069</v>
      </c>
      <c r="AZ356" s="17">
        <f t="shared" si="281"/>
        <v>16.932825020188538</v>
      </c>
      <c r="BA356" s="17">
        <f t="shared" si="282"/>
        <v>1.2174041469060228</v>
      </c>
      <c r="BB356" s="17">
        <f t="shared" si="283"/>
        <v>0</v>
      </c>
      <c r="BC356" s="17">
        <f t="shared" si="251"/>
        <v>0</v>
      </c>
      <c r="BD356" s="17">
        <f t="shared" si="252"/>
        <v>0</v>
      </c>
      <c r="BE356" s="17">
        <f t="shared" si="253"/>
        <v>0</v>
      </c>
      <c r="BF356" s="17">
        <f t="shared" si="254"/>
        <v>0</v>
      </c>
      <c r="BG356" s="17">
        <f t="shared" si="255"/>
        <v>0</v>
      </c>
      <c r="BH356" s="17">
        <f t="shared" si="256"/>
        <v>0</v>
      </c>
      <c r="BI356" s="17">
        <f t="shared" si="257"/>
        <v>0</v>
      </c>
      <c r="BJ356" s="17">
        <f t="shared" si="258"/>
        <v>0</v>
      </c>
      <c r="BK356" s="17">
        <f t="shared" si="259"/>
        <v>0</v>
      </c>
      <c r="BL356" s="17">
        <f t="shared" si="260"/>
        <v>0</v>
      </c>
      <c r="BM356" s="17">
        <f t="shared" si="261"/>
        <v>0</v>
      </c>
      <c r="BN356" s="17">
        <f t="shared" si="262"/>
        <v>0</v>
      </c>
      <c r="BO356" s="17">
        <f t="shared" si="263"/>
        <v>0</v>
      </c>
      <c r="BP356" s="17">
        <f t="shared" si="264"/>
        <v>0</v>
      </c>
      <c r="BQ356" s="17">
        <f t="shared" si="265"/>
        <v>0</v>
      </c>
      <c r="BR356" s="17">
        <f t="shared" si="266"/>
        <v>0</v>
      </c>
      <c r="BS356" s="17">
        <f t="shared" si="267"/>
        <v>0</v>
      </c>
      <c r="BT356" s="17">
        <f t="shared" si="268"/>
        <v>0</v>
      </c>
      <c r="BU356" s="17">
        <f t="shared" si="269"/>
        <v>0</v>
      </c>
      <c r="BV356" s="17">
        <f t="shared" si="270"/>
        <v>0</v>
      </c>
      <c r="BW356" s="17">
        <f t="shared" si="271"/>
        <v>0</v>
      </c>
      <c r="BX356" s="17">
        <f t="shared" si="272"/>
        <v>0</v>
      </c>
      <c r="BY356" s="17">
        <f t="shared" si="273"/>
        <v>0</v>
      </c>
      <c r="BZ356" s="17">
        <f t="shared" si="284"/>
        <v>0</v>
      </c>
      <c r="CA356" s="17">
        <f t="shared" si="285"/>
        <v>0</v>
      </c>
      <c r="CB356" s="17">
        <f t="shared" si="286"/>
        <v>0</v>
      </c>
      <c r="CC356" s="17">
        <f t="shared" si="287"/>
        <v>0</v>
      </c>
      <c r="CD356" s="17">
        <f t="shared" si="288"/>
        <v>0</v>
      </c>
      <c r="CE356" s="17">
        <f t="shared" si="289"/>
        <v>0</v>
      </c>
      <c r="CF356" s="17">
        <f t="shared" si="290"/>
        <v>0</v>
      </c>
      <c r="CG356" s="17">
        <f t="shared" si="291"/>
        <v>0</v>
      </c>
      <c r="CH356" s="17">
        <f t="shared" si="292"/>
        <v>0</v>
      </c>
      <c r="CI356" s="17">
        <f t="shared" si="293"/>
        <v>0</v>
      </c>
      <c r="CJ356" s="17">
        <f t="shared" si="294"/>
        <v>0</v>
      </c>
      <c r="CK356" s="17">
        <f t="shared" si="295"/>
        <v>0</v>
      </c>
      <c r="CL356" s="17">
        <f t="shared" si="296"/>
        <v>0</v>
      </c>
      <c r="CM356" s="14">
        <f t="shared" si="297"/>
        <v>20634</v>
      </c>
      <c r="CN356" s="17">
        <f t="shared" si="298"/>
        <v>18.150229167094562</v>
      </c>
      <c r="CO356" s="14">
        <f t="shared" si="299"/>
        <v>22732</v>
      </c>
      <c r="CP356" s="17">
        <f t="shared" si="300"/>
        <v>19.995687187476669</v>
      </c>
      <c r="CQ356" s="14">
        <f t="shared" si="274"/>
        <v>22732</v>
      </c>
      <c r="CR356" s="14">
        <v>0</v>
      </c>
      <c r="CS356" s="14">
        <v>0</v>
      </c>
      <c r="CT356" s="14">
        <v>0</v>
      </c>
      <c r="CU356" s="14">
        <v>0</v>
      </c>
    </row>
    <row r="357" spans="1:99" x14ac:dyDescent="0.3">
      <c r="A357" s="14">
        <v>2015</v>
      </c>
      <c r="B357" s="14" t="s">
        <v>65</v>
      </c>
      <c r="C357" s="14" t="s">
        <v>66</v>
      </c>
      <c r="D357" s="15">
        <v>368170.1</v>
      </c>
      <c r="E357" s="15">
        <v>11642959</v>
      </c>
      <c r="F357" s="15">
        <f t="shared" si="275"/>
        <v>31.623858102545537</v>
      </c>
      <c r="G357" s="14">
        <v>127</v>
      </c>
      <c r="H357" s="14">
        <v>114</v>
      </c>
      <c r="I357" s="14">
        <v>4006</v>
      </c>
      <c r="T357" s="14">
        <v>226</v>
      </c>
      <c r="V357" s="14">
        <v>116</v>
      </c>
      <c r="Y357" s="14">
        <v>1545</v>
      </c>
      <c r="AA357" s="14">
        <v>23</v>
      </c>
      <c r="AB357" s="14">
        <f t="shared" si="276"/>
        <v>23</v>
      </c>
      <c r="AE357" s="14">
        <v>207</v>
      </c>
      <c r="AK357" s="14">
        <v>125</v>
      </c>
      <c r="AM357" s="14">
        <f t="shared" si="277"/>
        <v>125</v>
      </c>
      <c r="AP357" s="14">
        <v>886</v>
      </c>
      <c r="AQ357" s="14">
        <f t="shared" si="278"/>
        <v>886</v>
      </c>
      <c r="AT357" s="14">
        <f t="shared" si="279"/>
        <v>0</v>
      </c>
      <c r="AU357" s="16">
        <v>2568</v>
      </c>
      <c r="AV357" s="16">
        <v>20734</v>
      </c>
      <c r="AW357" s="16">
        <v>1736</v>
      </c>
      <c r="AX357" s="16">
        <v>0</v>
      </c>
      <c r="AY357" s="18">
        <f t="shared" si="280"/>
        <v>2.2056248759443369</v>
      </c>
      <c r="AZ357" s="17">
        <f t="shared" si="281"/>
        <v>17.808187763952446</v>
      </c>
      <c r="BA357" s="17">
        <f t="shared" si="282"/>
        <v>1.4910299005605019</v>
      </c>
      <c r="BB357" s="17">
        <f t="shared" si="283"/>
        <v>0</v>
      </c>
      <c r="BC357" s="17">
        <f t="shared" si="251"/>
        <v>0.10907880032902288</v>
      </c>
      <c r="BD357" s="17">
        <f t="shared" si="252"/>
        <v>9.791325383865046E-2</v>
      </c>
      <c r="BE357" s="17">
        <f t="shared" si="253"/>
        <v>3.4407060954178399</v>
      </c>
      <c r="BF357" s="17">
        <f t="shared" si="254"/>
        <v>0</v>
      </c>
      <c r="BG357" s="17">
        <f t="shared" si="255"/>
        <v>0</v>
      </c>
      <c r="BH357" s="17">
        <f t="shared" si="256"/>
        <v>0</v>
      </c>
      <c r="BI357" s="17">
        <f t="shared" si="257"/>
        <v>0</v>
      </c>
      <c r="BJ357" s="17">
        <f t="shared" si="258"/>
        <v>0</v>
      </c>
      <c r="BK357" s="17">
        <f t="shared" si="259"/>
        <v>0</v>
      </c>
      <c r="BL357" s="17">
        <f t="shared" si="260"/>
        <v>0</v>
      </c>
      <c r="BM357" s="17">
        <f t="shared" si="261"/>
        <v>0</v>
      </c>
      <c r="BN357" s="17">
        <f t="shared" si="262"/>
        <v>0</v>
      </c>
      <c r="BO357" s="17">
        <f t="shared" si="263"/>
        <v>0</v>
      </c>
      <c r="BP357" s="17">
        <f t="shared" si="264"/>
        <v>0.19410873129416673</v>
      </c>
      <c r="BQ357" s="17">
        <f t="shared" si="265"/>
        <v>0</v>
      </c>
      <c r="BR357" s="17">
        <f t="shared" si="266"/>
        <v>9.9631030221784683E-2</v>
      </c>
      <c r="BS357" s="17">
        <f t="shared" si="267"/>
        <v>0</v>
      </c>
      <c r="BT357" s="17">
        <f t="shared" si="268"/>
        <v>0</v>
      </c>
      <c r="BU357" s="17">
        <f t="shared" si="269"/>
        <v>1.3269822559711839</v>
      </c>
      <c r="BV357" s="17">
        <f t="shared" si="270"/>
        <v>0</v>
      </c>
      <c r="BW357" s="17">
        <f t="shared" si="271"/>
        <v>1.9754428406043516E-2</v>
      </c>
      <c r="BX357" s="17">
        <f t="shared" si="272"/>
        <v>0</v>
      </c>
      <c r="BY357" s="17">
        <f t="shared" si="273"/>
        <v>0</v>
      </c>
      <c r="BZ357" s="17">
        <f t="shared" si="284"/>
        <v>0.17778985565439165</v>
      </c>
      <c r="CA357" s="17">
        <f t="shared" si="285"/>
        <v>0</v>
      </c>
      <c r="CB357" s="17">
        <f t="shared" si="286"/>
        <v>0</v>
      </c>
      <c r="CC357" s="17">
        <f t="shared" si="287"/>
        <v>0</v>
      </c>
      <c r="CD357" s="17">
        <f t="shared" si="288"/>
        <v>0</v>
      </c>
      <c r="CE357" s="17">
        <f t="shared" si="289"/>
        <v>0</v>
      </c>
      <c r="CF357" s="17">
        <f t="shared" si="290"/>
        <v>0.10736102394588867</v>
      </c>
      <c r="CG357" s="17">
        <f t="shared" si="291"/>
        <v>0</v>
      </c>
      <c r="CH357" s="17">
        <f t="shared" si="292"/>
        <v>0</v>
      </c>
      <c r="CI357" s="17">
        <f t="shared" si="293"/>
        <v>0</v>
      </c>
      <c r="CJ357" s="17">
        <f t="shared" si="294"/>
        <v>0.76097493772845892</v>
      </c>
      <c r="CK357" s="17">
        <f t="shared" si="295"/>
        <v>0</v>
      </c>
      <c r="CL357" s="17">
        <f t="shared" si="296"/>
        <v>0</v>
      </c>
      <c r="CM357" s="14">
        <f t="shared" si="297"/>
        <v>22470</v>
      </c>
      <c r="CN357" s="17">
        <f t="shared" si="298"/>
        <v>19.299217664512948</v>
      </c>
      <c r="CO357" s="14">
        <f t="shared" si="299"/>
        <v>25038</v>
      </c>
      <c r="CP357" s="17">
        <f t="shared" si="300"/>
        <v>21.504842540457282</v>
      </c>
      <c r="CQ357" s="14">
        <f t="shared" si="274"/>
        <v>33447</v>
      </c>
      <c r="CR357" s="14">
        <v>0</v>
      </c>
      <c r="CS357" s="14">
        <v>0</v>
      </c>
      <c r="CT357" s="14">
        <v>0</v>
      </c>
      <c r="CU357" s="14">
        <v>0</v>
      </c>
    </row>
    <row r="358" spans="1:99" x14ac:dyDescent="0.3">
      <c r="A358" s="14">
        <v>2016</v>
      </c>
      <c r="B358" s="14" t="s">
        <v>65</v>
      </c>
      <c r="C358" s="14" t="s">
        <v>66</v>
      </c>
      <c r="D358" s="15">
        <v>375065.4</v>
      </c>
      <c r="E358" s="15">
        <v>11930899.500000007</v>
      </c>
      <c r="F358" s="15">
        <f t="shared" si="275"/>
        <v>31.810184303857426</v>
      </c>
      <c r="AB358" s="14">
        <f t="shared" si="276"/>
        <v>0</v>
      </c>
      <c r="AM358" s="14">
        <f t="shared" si="277"/>
        <v>0</v>
      </c>
      <c r="AQ358" s="14">
        <f t="shared" si="278"/>
        <v>0</v>
      </c>
      <c r="AT358" s="14">
        <f t="shared" si="279"/>
        <v>0</v>
      </c>
      <c r="AU358" s="16">
        <v>2918</v>
      </c>
      <c r="AV358" s="16">
        <v>22562</v>
      </c>
      <c r="AW358" s="16">
        <v>2140</v>
      </c>
      <c r="AX358" s="16">
        <v>0</v>
      </c>
      <c r="AY358" s="18">
        <f t="shared" si="280"/>
        <v>2.4457502135526314</v>
      </c>
      <c r="AZ358" s="17">
        <f t="shared" si="281"/>
        <v>18.910560767023462</v>
      </c>
      <c r="BA358" s="17">
        <f t="shared" si="282"/>
        <v>1.7936619112414773</v>
      </c>
      <c r="BB358" s="17">
        <f t="shared" si="283"/>
        <v>0</v>
      </c>
      <c r="BC358" s="17">
        <f t="shared" si="251"/>
        <v>0</v>
      </c>
      <c r="BD358" s="17">
        <f t="shared" si="252"/>
        <v>0</v>
      </c>
      <c r="BE358" s="17">
        <f t="shared" si="253"/>
        <v>0</v>
      </c>
      <c r="BF358" s="17">
        <f t="shared" si="254"/>
        <v>0</v>
      </c>
      <c r="BG358" s="17">
        <f t="shared" si="255"/>
        <v>0</v>
      </c>
      <c r="BH358" s="17">
        <f t="shared" si="256"/>
        <v>0</v>
      </c>
      <c r="BI358" s="17">
        <f t="shared" si="257"/>
        <v>0</v>
      </c>
      <c r="BJ358" s="17">
        <f t="shared" si="258"/>
        <v>0</v>
      </c>
      <c r="BK358" s="17">
        <f t="shared" si="259"/>
        <v>0</v>
      </c>
      <c r="BL358" s="17">
        <f t="shared" si="260"/>
        <v>0</v>
      </c>
      <c r="BM358" s="17">
        <f t="shared" si="261"/>
        <v>0</v>
      </c>
      <c r="BN358" s="17">
        <f t="shared" si="262"/>
        <v>0</v>
      </c>
      <c r="BO358" s="17">
        <f t="shared" si="263"/>
        <v>0</v>
      </c>
      <c r="BP358" s="17">
        <f t="shared" si="264"/>
        <v>0</v>
      </c>
      <c r="BQ358" s="17">
        <f t="shared" si="265"/>
        <v>0</v>
      </c>
      <c r="BR358" s="17">
        <f t="shared" si="266"/>
        <v>0</v>
      </c>
      <c r="BS358" s="17">
        <f t="shared" si="267"/>
        <v>0</v>
      </c>
      <c r="BT358" s="17">
        <f t="shared" si="268"/>
        <v>0</v>
      </c>
      <c r="BU358" s="17">
        <f t="shared" si="269"/>
        <v>0</v>
      </c>
      <c r="BV358" s="17">
        <f t="shared" si="270"/>
        <v>0</v>
      </c>
      <c r="BW358" s="17">
        <f t="shared" si="271"/>
        <v>0</v>
      </c>
      <c r="BX358" s="17">
        <f t="shared" si="272"/>
        <v>0</v>
      </c>
      <c r="BY358" s="17">
        <f t="shared" si="273"/>
        <v>0</v>
      </c>
      <c r="BZ358" s="17">
        <f t="shared" si="284"/>
        <v>0</v>
      </c>
      <c r="CA358" s="17">
        <f t="shared" si="285"/>
        <v>0</v>
      </c>
      <c r="CB358" s="17">
        <f t="shared" si="286"/>
        <v>0</v>
      </c>
      <c r="CC358" s="17">
        <f t="shared" si="287"/>
        <v>0</v>
      </c>
      <c r="CD358" s="17">
        <f t="shared" si="288"/>
        <v>0</v>
      </c>
      <c r="CE358" s="17">
        <f t="shared" si="289"/>
        <v>0</v>
      </c>
      <c r="CF358" s="17">
        <f t="shared" si="290"/>
        <v>0</v>
      </c>
      <c r="CG358" s="17">
        <f t="shared" si="291"/>
        <v>0</v>
      </c>
      <c r="CH358" s="17">
        <f t="shared" si="292"/>
        <v>0</v>
      </c>
      <c r="CI358" s="17">
        <f t="shared" si="293"/>
        <v>0</v>
      </c>
      <c r="CJ358" s="17">
        <f t="shared" si="294"/>
        <v>0</v>
      </c>
      <c r="CK358" s="17">
        <f t="shared" si="295"/>
        <v>0</v>
      </c>
      <c r="CL358" s="17">
        <f t="shared" si="296"/>
        <v>0</v>
      </c>
      <c r="CM358" s="14">
        <f t="shared" si="297"/>
        <v>24702</v>
      </c>
      <c r="CN358" s="17">
        <f t="shared" si="298"/>
        <v>20.704222678264941</v>
      </c>
      <c r="CO358" s="14">
        <f t="shared" si="299"/>
        <v>27620</v>
      </c>
      <c r="CP358" s="17">
        <f t="shared" si="300"/>
        <v>23.149972891817573</v>
      </c>
      <c r="CQ358" s="14">
        <f t="shared" si="274"/>
        <v>27620</v>
      </c>
      <c r="CR358" s="14">
        <v>0</v>
      </c>
      <c r="CS358" s="14">
        <v>0</v>
      </c>
      <c r="CT358" s="14">
        <v>0</v>
      </c>
      <c r="CU358" s="14">
        <v>0</v>
      </c>
    </row>
    <row r="359" spans="1:99" x14ac:dyDescent="0.3">
      <c r="A359" s="14">
        <v>2017</v>
      </c>
      <c r="B359" s="14" t="s">
        <v>65</v>
      </c>
      <c r="C359" s="14" t="s">
        <v>66</v>
      </c>
      <c r="D359" s="15">
        <v>382138</v>
      </c>
      <c r="E359" s="15">
        <v>12230339</v>
      </c>
      <c r="F359" s="15">
        <f t="shared" si="275"/>
        <v>32.005032213493557</v>
      </c>
      <c r="G359" s="14">
        <v>236</v>
      </c>
      <c r="H359" s="14">
        <v>879</v>
      </c>
      <c r="T359" s="14">
        <v>201</v>
      </c>
      <c r="Y359" s="14">
        <v>1990</v>
      </c>
      <c r="AB359" s="14">
        <f t="shared" si="276"/>
        <v>0</v>
      </c>
      <c r="AJ359" s="14">
        <v>201</v>
      </c>
      <c r="AK359" s="14">
        <v>182</v>
      </c>
      <c r="AM359" s="14">
        <f t="shared" si="277"/>
        <v>182</v>
      </c>
      <c r="AQ359" s="14">
        <f t="shared" si="278"/>
        <v>0</v>
      </c>
      <c r="AT359" s="14">
        <f t="shared" si="279"/>
        <v>0</v>
      </c>
      <c r="AU359" s="16">
        <v>3830</v>
      </c>
      <c r="AV359" s="16">
        <v>1290</v>
      </c>
      <c r="AW359" s="16">
        <v>4288</v>
      </c>
      <c r="AX359" s="16">
        <v>0</v>
      </c>
      <c r="AY359" s="18">
        <f t="shared" si="280"/>
        <v>3.1315566968339961</v>
      </c>
      <c r="AZ359" s="17">
        <f t="shared" si="281"/>
        <v>1.0547540832678473</v>
      </c>
      <c r="BA359" s="17">
        <f t="shared" si="282"/>
        <v>3.5060352783352937</v>
      </c>
      <c r="BB359" s="17">
        <f t="shared" si="283"/>
        <v>0</v>
      </c>
      <c r="BC359" s="17">
        <f t="shared" si="251"/>
        <v>0.19296276252031935</v>
      </c>
      <c r="BD359" s="17">
        <f t="shared" si="252"/>
        <v>0.71870452650576566</v>
      </c>
      <c r="BE359" s="17">
        <f t="shared" si="253"/>
        <v>0</v>
      </c>
      <c r="BF359" s="17">
        <f t="shared" si="254"/>
        <v>0</v>
      </c>
      <c r="BG359" s="17">
        <f t="shared" si="255"/>
        <v>0</v>
      </c>
      <c r="BH359" s="17">
        <f t="shared" si="256"/>
        <v>0</v>
      </c>
      <c r="BI359" s="17">
        <f t="shared" si="257"/>
        <v>0</v>
      </c>
      <c r="BJ359" s="17">
        <f t="shared" si="258"/>
        <v>0</v>
      </c>
      <c r="BK359" s="17">
        <f t="shared" si="259"/>
        <v>0</v>
      </c>
      <c r="BL359" s="17">
        <f t="shared" si="260"/>
        <v>0</v>
      </c>
      <c r="BM359" s="17">
        <f t="shared" si="261"/>
        <v>0</v>
      </c>
      <c r="BN359" s="17">
        <f t="shared" si="262"/>
        <v>0</v>
      </c>
      <c r="BO359" s="17">
        <f t="shared" si="263"/>
        <v>0</v>
      </c>
      <c r="BP359" s="17">
        <f t="shared" si="264"/>
        <v>0.1643454036719669</v>
      </c>
      <c r="BQ359" s="17">
        <f t="shared" si="265"/>
        <v>0</v>
      </c>
      <c r="BR359" s="17">
        <f t="shared" si="266"/>
        <v>0</v>
      </c>
      <c r="BS359" s="17">
        <f t="shared" si="267"/>
        <v>0</v>
      </c>
      <c r="BT359" s="17">
        <f t="shared" si="268"/>
        <v>0</v>
      </c>
      <c r="BU359" s="17">
        <f t="shared" si="269"/>
        <v>1.6271012602348962</v>
      </c>
      <c r="BV359" s="17">
        <f t="shared" si="270"/>
        <v>0</v>
      </c>
      <c r="BW359" s="17">
        <f t="shared" si="271"/>
        <v>0</v>
      </c>
      <c r="BX359" s="17">
        <f t="shared" si="272"/>
        <v>0</v>
      </c>
      <c r="BY359" s="17">
        <f t="shared" si="273"/>
        <v>0</v>
      </c>
      <c r="BZ359" s="17">
        <f t="shared" si="284"/>
        <v>0</v>
      </c>
      <c r="CA359" s="17">
        <f t="shared" si="285"/>
        <v>0</v>
      </c>
      <c r="CB359" s="17">
        <f t="shared" si="286"/>
        <v>0</v>
      </c>
      <c r="CC359" s="17">
        <f t="shared" si="287"/>
        <v>0</v>
      </c>
      <c r="CD359" s="17">
        <f t="shared" si="288"/>
        <v>0</v>
      </c>
      <c r="CE359" s="17">
        <f t="shared" si="289"/>
        <v>0.1643454036719669</v>
      </c>
      <c r="CF359" s="17">
        <f t="shared" si="290"/>
        <v>0.14881026601143271</v>
      </c>
      <c r="CG359" s="17">
        <f t="shared" si="291"/>
        <v>0</v>
      </c>
      <c r="CH359" s="17">
        <f t="shared" si="292"/>
        <v>0</v>
      </c>
      <c r="CI359" s="17">
        <f t="shared" si="293"/>
        <v>0</v>
      </c>
      <c r="CJ359" s="17">
        <f t="shared" si="294"/>
        <v>0</v>
      </c>
      <c r="CK359" s="17">
        <f t="shared" si="295"/>
        <v>0</v>
      </c>
      <c r="CL359" s="17">
        <f t="shared" si="296"/>
        <v>0</v>
      </c>
      <c r="CM359" s="14">
        <f t="shared" si="297"/>
        <v>5578</v>
      </c>
      <c r="CN359" s="17">
        <f t="shared" si="298"/>
        <v>4.560789361603141</v>
      </c>
      <c r="CO359" s="14">
        <f t="shared" si="299"/>
        <v>9408</v>
      </c>
      <c r="CP359" s="17">
        <f t="shared" si="300"/>
        <v>7.6923460584371375</v>
      </c>
      <c r="CQ359" s="14">
        <f t="shared" si="274"/>
        <v>13279</v>
      </c>
      <c r="CR359" s="14">
        <v>0</v>
      </c>
      <c r="CS359" s="14">
        <v>0</v>
      </c>
      <c r="CT359" s="14">
        <v>0</v>
      </c>
      <c r="CU359" s="14">
        <v>0</v>
      </c>
    </row>
    <row r="360" spans="1:99" x14ac:dyDescent="0.3">
      <c r="A360" s="14">
        <v>2018</v>
      </c>
      <c r="B360" s="14" t="s">
        <v>65</v>
      </c>
      <c r="C360" s="14" t="s">
        <v>66</v>
      </c>
      <c r="D360" s="15">
        <v>388863.1</v>
      </c>
      <c r="E360" s="15">
        <v>12531807.499999998</v>
      </c>
      <c r="F360" s="15">
        <f t="shared" si="275"/>
        <v>32.226784953367904</v>
      </c>
      <c r="G360" s="14">
        <v>228</v>
      </c>
      <c r="H360" s="14">
        <v>886</v>
      </c>
      <c r="M360" s="14">
        <v>45000</v>
      </c>
      <c r="V360" s="14">
        <v>152</v>
      </c>
      <c r="Z360" s="14">
        <v>1990</v>
      </c>
      <c r="AB360" s="14">
        <f t="shared" si="276"/>
        <v>0</v>
      </c>
      <c r="AF360" s="14">
        <v>13</v>
      </c>
      <c r="AK360" s="14">
        <v>225</v>
      </c>
      <c r="AM360" s="14">
        <f t="shared" si="277"/>
        <v>225</v>
      </c>
      <c r="AN360" s="14">
        <v>310</v>
      </c>
      <c r="AQ360" s="14">
        <f t="shared" si="278"/>
        <v>0</v>
      </c>
      <c r="AT360" s="14">
        <f t="shared" si="279"/>
        <v>0</v>
      </c>
      <c r="AU360" s="16">
        <v>3296</v>
      </c>
      <c r="AV360" s="16">
        <v>26690</v>
      </c>
      <c r="AW360" s="16">
        <v>2942</v>
      </c>
      <c r="AX360" s="16">
        <v>0</v>
      </c>
      <c r="AY360" s="18">
        <f t="shared" si="280"/>
        <v>2.6301074286370905</v>
      </c>
      <c r="AZ360" s="17">
        <f t="shared" si="281"/>
        <v>21.297805603860422</v>
      </c>
      <c r="BA360" s="17">
        <f t="shared" si="282"/>
        <v>2.3476262302943933</v>
      </c>
      <c r="BB360" s="17">
        <f t="shared" si="283"/>
        <v>0</v>
      </c>
      <c r="BC360" s="17">
        <f t="shared" si="251"/>
        <v>0.18193704300038124</v>
      </c>
      <c r="BD360" s="17">
        <f t="shared" si="252"/>
        <v>0.70700096534358681</v>
      </c>
      <c r="BE360" s="17">
        <f t="shared" si="253"/>
        <v>0</v>
      </c>
      <c r="BF360" s="17">
        <f t="shared" si="254"/>
        <v>0</v>
      </c>
      <c r="BG360" s="17">
        <f t="shared" si="255"/>
        <v>0</v>
      </c>
      <c r="BH360" s="17">
        <f t="shared" si="256"/>
        <v>0</v>
      </c>
      <c r="BI360" s="17">
        <f t="shared" si="257"/>
        <v>35.908626907969982</v>
      </c>
      <c r="BJ360" s="17">
        <f t="shared" si="258"/>
        <v>0</v>
      </c>
      <c r="BK360" s="17">
        <f t="shared" si="259"/>
        <v>0</v>
      </c>
      <c r="BL360" s="17">
        <f t="shared" si="260"/>
        <v>0</v>
      </c>
      <c r="BM360" s="17">
        <f t="shared" si="261"/>
        <v>0</v>
      </c>
      <c r="BN360" s="17">
        <f t="shared" si="262"/>
        <v>0</v>
      </c>
      <c r="BO360" s="17">
        <f t="shared" si="263"/>
        <v>0</v>
      </c>
      <c r="BP360" s="17">
        <f t="shared" si="264"/>
        <v>0</v>
      </c>
      <c r="BQ360" s="17">
        <f t="shared" si="265"/>
        <v>0</v>
      </c>
      <c r="BR360" s="17">
        <f t="shared" si="266"/>
        <v>0.12129136200025417</v>
      </c>
      <c r="BS360" s="17">
        <f t="shared" si="267"/>
        <v>0</v>
      </c>
      <c r="BT360" s="17">
        <f t="shared" si="268"/>
        <v>0</v>
      </c>
      <c r="BU360" s="17">
        <f t="shared" si="269"/>
        <v>0</v>
      </c>
      <c r="BV360" s="17">
        <f t="shared" si="270"/>
        <v>1.587959278819117</v>
      </c>
      <c r="BW360" s="17">
        <f t="shared" si="271"/>
        <v>0</v>
      </c>
      <c r="BX360" s="17">
        <f t="shared" si="272"/>
        <v>0</v>
      </c>
      <c r="BY360" s="17">
        <f t="shared" si="273"/>
        <v>0</v>
      </c>
      <c r="BZ360" s="17">
        <f t="shared" si="284"/>
        <v>0</v>
      </c>
      <c r="CA360" s="17">
        <f t="shared" si="285"/>
        <v>1.0373603328969108E-2</v>
      </c>
      <c r="CB360" s="17">
        <f t="shared" si="286"/>
        <v>0</v>
      </c>
      <c r="CC360" s="17">
        <f t="shared" si="287"/>
        <v>0</v>
      </c>
      <c r="CD360" s="17">
        <f t="shared" si="288"/>
        <v>0</v>
      </c>
      <c r="CE360" s="17">
        <f t="shared" si="289"/>
        <v>0</v>
      </c>
      <c r="CF360" s="17">
        <f t="shared" si="290"/>
        <v>0.17954313453984994</v>
      </c>
      <c r="CG360" s="17">
        <f t="shared" si="291"/>
        <v>0</v>
      </c>
      <c r="CH360" s="17">
        <f t="shared" si="292"/>
        <v>0.24737054092157101</v>
      </c>
      <c r="CI360" s="17">
        <f t="shared" si="293"/>
        <v>0</v>
      </c>
      <c r="CJ360" s="17">
        <f t="shared" si="294"/>
        <v>0</v>
      </c>
      <c r="CK360" s="17">
        <f t="shared" si="295"/>
        <v>0</v>
      </c>
      <c r="CL360" s="17">
        <f t="shared" si="296"/>
        <v>0</v>
      </c>
      <c r="CM360" s="14">
        <f t="shared" si="297"/>
        <v>29632</v>
      </c>
      <c r="CN360" s="17">
        <f t="shared" si="298"/>
        <v>23.645431834154813</v>
      </c>
      <c r="CO360" s="14">
        <f t="shared" si="299"/>
        <v>32928</v>
      </c>
      <c r="CP360" s="17">
        <f t="shared" si="300"/>
        <v>26.275539262791902</v>
      </c>
      <c r="CQ360" s="14">
        <f t="shared" si="274"/>
        <v>81957</v>
      </c>
      <c r="CR360" s="14">
        <v>380</v>
      </c>
      <c r="CS360" s="14">
        <v>497</v>
      </c>
      <c r="CT360" s="14">
        <v>0</v>
      </c>
      <c r="CU360" s="14">
        <v>0</v>
      </c>
    </row>
    <row r="361" spans="1:99" x14ac:dyDescent="0.3">
      <c r="A361" s="14">
        <v>2019</v>
      </c>
      <c r="B361" s="14" t="s">
        <v>65</v>
      </c>
      <c r="C361" s="14" t="s">
        <v>66</v>
      </c>
      <c r="D361" s="15">
        <v>394736.7</v>
      </c>
      <c r="E361" s="15">
        <v>12835028</v>
      </c>
      <c r="F361" s="15">
        <f t="shared" si="275"/>
        <v>32.515415972216417</v>
      </c>
      <c r="AB361" s="14">
        <f t="shared" si="276"/>
        <v>0</v>
      </c>
      <c r="AM361" s="14">
        <f t="shared" si="277"/>
        <v>0</v>
      </c>
      <c r="AQ361" s="14">
        <f t="shared" si="278"/>
        <v>0</v>
      </c>
      <c r="AT361" s="14">
        <f t="shared" si="279"/>
        <v>0</v>
      </c>
      <c r="AU361" s="16">
        <v>2984</v>
      </c>
      <c r="AV361" s="16">
        <v>20818</v>
      </c>
      <c r="AW361" s="16">
        <v>3122</v>
      </c>
      <c r="AX361" s="16">
        <v>0</v>
      </c>
      <c r="AY361" s="18">
        <f t="shared" si="280"/>
        <v>2.3248877992319144</v>
      </c>
      <c r="AZ361" s="17">
        <f t="shared" si="281"/>
        <v>16.219676341960454</v>
      </c>
      <c r="BA361" s="17">
        <f t="shared" si="282"/>
        <v>2.4324060687674387</v>
      </c>
      <c r="BB361" s="17">
        <f t="shared" si="283"/>
        <v>0</v>
      </c>
      <c r="BC361" s="17">
        <f t="shared" si="251"/>
        <v>0</v>
      </c>
      <c r="BD361" s="17">
        <f t="shared" si="252"/>
        <v>0</v>
      </c>
      <c r="BE361" s="17">
        <f t="shared" si="253"/>
        <v>0</v>
      </c>
      <c r="BF361" s="17">
        <f t="shared" si="254"/>
        <v>0</v>
      </c>
      <c r="BG361" s="17">
        <f t="shared" si="255"/>
        <v>0</v>
      </c>
      <c r="BH361" s="17">
        <f t="shared" si="256"/>
        <v>0</v>
      </c>
      <c r="BI361" s="17">
        <f t="shared" si="257"/>
        <v>0</v>
      </c>
      <c r="BJ361" s="17">
        <f t="shared" si="258"/>
        <v>0</v>
      </c>
      <c r="BK361" s="17">
        <f t="shared" si="259"/>
        <v>0</v>
      </c>
      <c r="BL361" s="17">
        <f t="shared" si="260"/>
        <v>0</v>
      </c>
      <c r="BM361" s="17">
        <f t="shared" si="261"/>
        <v>0</v>
      </c>
      <c r="BN361" s="17">
        <f t="shared" si="262"/>
        <v>0</v>
      </c>
      <c r="BO361" s="17">
        <f t="shared" si="263"/>
        <v>0</v>
      </c>
      <c r="BP361" s="17">
        <f t="shared" si="264"/>
        <v>0</v>
      </c>
      <c r="BQ361" s="17">
        <f t="shared" si="265"/>
        <v>0</v>
      </c>
      <c r="BR361" s="17">
        <f t="shared" si="266"/>
        <v>0</v>
      </c>
      <c r="BS361" s="17">
        <f t="shared" si="267"/>
        <v>0</v>
      </c>
      <c r="BT361" s="17">
        <f t="shared" si="268"/>
        <v>0</v>
      </c>
      <c r="BU361" s="17">
        <f t="shared" si="269"/>
        <v>0</v>
      </c>
      <c r="BV361" s="17">
        <f t="shared" si="270"/>
        <v>0</v>
      </c>
      <c r="BW361" s="17">
        <f t="shared" si="271"/>
        <v>0</v>
      </c>
      <c r="BX361" s="17">
        <f t="shared" si="272"/>
        <v>0</v>
      </c>
      <c r="BY361" s="17">
        <f t="shared" si="273"/>
        <v>0</v>
      </c>
      <c r="BZ361" s="17">
        <f t="shared" si="284"/>
        <v>0</v>
      </c>
      <c r="CA361" s="17">
        <f t="shared" si="285"/>
        <v>0</v>
      </c>
      <c r="CB361" s="17">
        <f t="shared" si="286"/>
        <v>0</v>
      </c>
      <c r="CC361" s="17">
        <f t="shared" si="287"/>
        <v>0</v>
      </c>
      <c r="CD361" s="17">
        <f t="shared" si="288"/>
        <v>0</v>
      </c>
      <c r="CE361" s="17">
        <f t="shared" si="289"/>
        <v>0</v>
      </c>
      <c r="CF361" s="17">
        <f t="shared" si="290"/>
        <v>0</v>
      </c>
      <c r="CG361" s="17">
        <f t="shared" si="291"/>
        <v>0</v>
      </c>
      <c r="CH361" s="17">
        <f t="shared" si="292"/>
        <v>0</v>
      </c>
      <c r="CI361" s="17">
        <f t="shared" si="293"/>
        <v>0</v>
      </c>
      <c r="CJ361" s="17">
        <f t="shared" si="294"/>
        <v>0</v>
      </c>
      <c r="CK361" s="17">
        <f t="shared" si="295"/>
        <v>0</v>
      </c>
      <c r="CL361" s="17">
        <f t="shared" si="296"/>
        <v>0</v>
      </c>
      <c r="CM361" s="14">
        <f t="shared" si="297"/>
        <v>23940</v>
      </c>
      <c r="CN361" s="17">
        <f t="shared" si="298"/>
        <v>18.652082410727893</v>
      </c>
      <c r="CO361" s="14">
        <f t="shared" si="299"/>
        <v>26924</v>
      </c>
      <c r="CP361" s="17">
        <f t="shared" si="300"/>
        <v>20.976970209959806</v>
      </c>
      <c r="CQ361" s="14">
        <f t="shared" si="274"/>
        <v>26924</v>
      </c>
      <c r="CR361" s="14">
        <v>234</v>
      </c>
      <c r="CS361" s="14">
        <v>194</v>
      </c>
      <c r="CT361" s="14">
        <v>0</v>
      </c>
      <c r="CU361" s="14">
        <v>0</v>
      </c>
    </row>
    <row r="362" spans="1:99" x14ac:dyDescent="0.3">
      <c r="A362" s="14">
        <v>2020</v>
      </c>
      <c r="B362" s="14" t="s">
        <v>65</v>
      </c>
      <c r="C362" s="14" t="s">
        <v>66</v>
      </c>
      <c r="D362" s="15">
        <v>399189.9</v>
      </c>
      <c r="E362" s="15">
        <v>13146361.500000002</v>
      </c>
      <c r="F362" s="15">
        <f t="shared" si="275"/>
        <v>32.932600499160927</v>
      </c>
      <c r="M362" s="14">
        <v>58567</v>
      </c>
      <c r="AB362" s="14">
        <f t="shared" si="276"/>
        <v>0</v>
      </c>
      <c r="AM362" s="14">
        <f t="shared" si="277"/>
        <v>0</v>
      </c>
      <c r="AQ362" s="14">
        <f t="shared" si="278"/>
        <v>0</v>
      </c>
      <c r="AT362" s="14">
        <f t="shared" si="279"/>
        <v>0</v>
      </c>
      <c r="AU362" s="16">
        <v>0</v>
      </c>
      <c r="AV362" s="16">
        <v>0</v>
      </c>
      <c r="AW362" s="16">
        <v>0</v>
      </c>
      <c r="AX362" s="16">
        <v>0</v>
      </c>
      <c r="AY362" s="18">
        <f t="shared" si="280"/>
        <v>0</v>
      </c>
      <c r="AZ362" s="17">
        <f t="shared" si="281"/>
        <v>0</v>
      </c>
      <c r="BA362" s="17">
        <f t="shared" si="282"/>
        <v>0</v>
      </c>
      <c r="BB362" s="17">
        <f t="shared" si="283"/>
        <v>0</v>
      </c>
      <c r="BC362" s="17">
        <f t="shared" si="251"/>
        <v>0</v>
      </c>
      <c r="BD362" s="17">
        <f t="shared" si="252"/>
        <v>0</v>
      </c>
      <c r="BE362" s="17">
        <f t="shared" si="253"/>
        <v>0</v>
      </c>
      <c r="BF362" s="17">
        <f t="shared" si="254"/>
        <v>0</v>
      </c>
      <c r="BG362" s="17">
        <f t="shared" si="255"/>
        <v>0</v>
      </c>
      <c r="BH362" s="17">
        <f t="shared" si="256"/>
        <v>0</v>
      </c>
      <c r="BI362" s="17">
        <f t="shared" si="257"/>
        <v>44.549969206308525</v>
      </c>
      <c r="BJ362" s="17">
        <f t="shared" si="258"/>
        <v>0</v>
      </c>
      <c r="BK362" s="17">
        <f t="shared" si="259"/>
        <v>0</v>
      </c>
      <c r="BL362" s="17">
        <f t="shared" si="260"/>
        <v>0</v>
      </c>
      <c r="BM362" s="17">
        <f t="shared" si="261"/>
        <v>0</v>
      </c>
      <c r="BN362" s="17">
        <f t="shared" si="262"/>
        <v>0</v>
      </c>
      <c r="BO362" s="17">
        <f t="shared" si="263"/>
        <v>0</v>
      </c>
      <c r="BP362" s="17">
        <f t="shared" si="264"/>
        <v>0</v>
      </c>
      <c r="BQ362" s="17">
        <f t="shared" si="265"/>
        <v>0</v>
      </c>
      <c r="BR362" s="17">
        <f t="shared" si="266"/>
        <v>0</v>
      </c>
      <c r="BS362" s="17">
        <f t="shared" si="267"/>
        <v>0</v>
      </c>
      <c r="BT362" s="17">
        <f t="shared" si="268"/>
        <v>0</v>
      </c>
      <c r="BU362" s="17">
        <f t="shared" si="269"/>
        <v>0</v>
      </c>
      <c r="BV362" s="17">
        <f t="shared" si="270"/>
        <v>0</v>
      </c>
      <c r="BW362" s="17">
        <f t="shared" si="271"/>
        <v>0</v>
      </c>
      <c r="BX362" s="17">
        <f t="shared" si="272"/>
        <v>0</v>
      </c>
      <c r="BY362" s="17">
        <f t="shared" si="273"/>
        <v>0</v>
      </c>
      <c r="BZ362" s="17">
        <f t="shared" si="284"/>
        <v>0</v>
      </c>
      <c r="CA362" s="17">
        <f t="shared" si="285"/>
        <v>0</v>
      </c>
      <c r="CB362" s="17">
        <f t="shared" si="286"/>
        <v>0</v>
      </c>
      <c r="CC362" s="17">
        <f t="shared" si="287"/>
        <v>0</v>
      </c>
      <c r="CD362" s="17">
        <f t="shared" si="288"/>
        <v>0</v>
      </c>
      <c r="CE362" s="17">
        <f t="shared" si="289"/>
        <v>0</v>
      </c>
      <c r="CF362" s="17">
        <f t="shared" si="290"/>
        <v>0</v>
      </c>
      <c r="CG362" s="17">
        <f t="shared" si="291"/>
        <v>0</v>
      </c>
      <c r="CH362" s="17">
        <f t="shared" si="292"/>
        <v>0</v>
      </c>
      <c r="CI362" s="17">
        <f t="shared" si="293"/>
        <v>0</v>
      </c>
      <c r="CJ362" s="17">
        <f t="shared" si="294"/>
        <v>0</v>
      </c>
      <c r="CK362" s="17">
        <f t="shared" si="295"/>
        <v>0</v>
      </c>
      <c r="CL362" s="17">
        <f t="shared" si="296"/>
        <v>0</v>
      </c>
      <c r="CM362" s="14">
        <f t="shared" si="297"/>
        <v>0</v>
      </c>
      <c r="CN362" s="17">
        <f t="shared" si="298"/>
        <v>0</v>
      </c>
      <c r="CO362" s="14">
        <f t="shared" si="299"/>
        <v>0</v>
      </c>
      <c r="CP362" s="17">
        <f t="shared" si="300"/>
        <v>0</v>
      </c>
      <c r="CQ362" s="14">
        <f t="shared" si="274"/>
        <v>58567</v>
      </c>
      <c r="CR362" s="14">
        <v>0</v>
      </c>
      <c r="CS362" s="14">
        <v>0</v>
      </c>
      <c r="CT362" s="14">
        <v>0</v>
      </c>
      <c r="CU362" s="14">
        <v>0</v>
      </c>
    </row>
    <row r="363" spans="1:99" x14ac:dyDescent="0.3">
      <c r="A363" s="14">
        <v>2021</v>
      </c>
      <c r="B363" s="14" t="s">
        <v>65</v>
      </c>
      <c r="C363" s="14" t="s">
        <v>66</v>
      </c>
      <c r="D363" s="15">
        <v>403959</v>
      </c>
      <c r="E363" s="15">
        <v>13461887.499999998</v>
      </c>
      <c r="F363" s="15">
        <f t="shared" si="275"/>
        <v>33.324885693845161</v>
      </c>
      <c r="AB363" s="14">
        <f t="shared" si="276"/>
        <v>0</v>
      </c>
      <c r="AM363" s="14">
        <f t="shared" si="277"/>
        <v>0</v>
      </c>
      <c r="AQ363" s="14">
        <f t="shared" si="278"/>
        <v>0</v>
      </c>
      <c r="AT363" s="14">
        <f t="shared" si="279"/>
        <v>0</v>
      </c>
      <c r="AU363" s="16">
        <v>0</v>
      </c>
      <c r="AV363" s="16">
        <v>0</v>
      </c>
      <c r="AW363" s="16">
        <v>0</v>
      </c>
      <c r="AX363" s="16">
        <v>0</v>
      </c>
      <c r="AY363" s="18">
        <f t="shared" si="280"/>
        <v>0</v>
      </c>
      <c r="AZ363" s="17">
        <f t="shared" si="281"/>
        <v>0</v>
      </c>
      <c r="BA363" s="17">
        <f t="shared" si="282"/>
        <v>0</v>
      </c>
      <c r="BB363" s="17">
        <f t="shared" si="283"/>
        <v>0</v>
      </c>
      <c r="BC363" s="17">
        <f t="shared" si="251"/>
        <v>0</v>
      </c>
      <c r="BD363" s="17">
        <f t="shared" si="252"/>
        <v>0</v>
      </c>
      <c r="BE363" s="17">
        <f t="shared" si="253"/>
        <v>0</v>
      </c>
      <c r="BF363" s="17">
        <f t="shared" si="254"/>
        <v>0</v>
      </c>
      <c r="BG363" s="17">
        <f t="shared" si="255"/>
        <v>0</v>
      </c>
      <c r="BH363" s="17">
        <f t="shared" si="256"/>
        <v>0</v>
      </c>
      <c r="BI363" s="17">
        <f t="shared" si="257"/>
        <v>0</v>
      </c>
      <c r="BJ363" s="17">
        <f t="shared" si="258"/>
        <v>0</v>
      </c>
      <c r="BK363" s="17">
        <f t="shared" si="259"/>
        <v>0</v>
      </c>
      <c r="BL363" s="17">
        <f t="shared" si="260"/>
        <v>0</v>
      </c>
      <c r="BM363" s="17">
        <f t="shared" si="261"/>
        <v>0</v>
      </c>
      <c r="BN363" s="17">
        <f t="shared" si="262"/>
        <v>0</v>
      </c>
      <c r="BO363" s="17">
        <f t="shared" si="263"/>
        <v>0</v>
      </c>
      <c r="BP363" s="17">
        <f t="shared" si="264"/>
        <v>0</v>
      </c>
      <c r="BQ363" s="17">
        <f t="shared" si="265"/>
        <v>0</v>
      </c>
      <c r="BR363" s="17">
        <f t="shared" si="266"/>
        <v>0</v>
      </c>
      <c r="BS363" s="17">
        <f t="shared" si="267"/>
        <v>0</v>
      </c>
      <c r="BT363" s="17">
        <f t="shared" si="268"/>
        <v>0</v>
      </c>
      <c r="BU363" s="17">
        <f t="shared" si="269"/>
        <v>0</v>
      </c>
      <c r="BV363" s="17">
        <f t="shared" si="270"/>
        <v>0</v>
      </c>
      <c r="BW363" s="17">
        <f t="shared" si="271"/>
        <v>0</v>
      </c>
      <c r="BX363" s="17">
        <f t="shared" si="272"/>
        <v>0</v>
      </c>
      <c r="BY363" s="17">
        <f t="shared" si="273"/>
        <v>0</v>
      </c>
      <c r="BZ363" s="17">
        <f t="shared" si="284"/>
        <v>0</v>
      </c>
      <c r="CA363" s="17">
        <f t="shared" si="285"/>
        <v>0</v>
      </c>
      <c r="CB363" s="17">
        <f t="shared" si="286"/>
        <v>0</v>
      </c>
      <c r="CC363" s="17">
        <f t="shared" si="287"/>
        <v>0</v>
      </c>
      <c r="CD363" s="17">
        <f t="shared" si="288"/>
        <v>0</v>
      </c>
      <c r="CE363" s="17">
        <f t="shared" si="289"/>
        <v>0</v>
      </c>
      <c r="CF363" s="17">
        <f t="shared" si="290"/>
        <v>0</v>
      </c>
      <c r="CG363" s="17">
        <f t="shared" si="291"/>
        <v>0</v>
      </c>
      <c r="CH363" s="17">
        <f t="shared" si="292"/>
        <v>0</v>
      </c>
      <c r="CI363" s="17">
        <f t="shared" si="293"/>
        <v>0</v>
      </c>
      <c r="CJ363" s="17">
        <f t="shared" si="294"/>
        <v>0</v>
      </c>
      <c r="CK363" s="17">
        <f t="shared" si="295"/>
        <v>0</v>
      </c>
      <c r="CL363" s="17">
        <f t="shared" si="296"/>
        <v>0</v>
      </c>
      <c r="CM363" s="14">
        <f t="shared" si="297"/>
        <v>0</v>
      </c>
      <c r="CN363" s="17">
        <f t="shared" si="298"/>
        <v>0</v>
      </c>
      <c r="CO363" s="14">
        <f t="shared" si="299"/>
        <v>0</v>
      </c>
      <c r="CP363" s="17">
        <f t="shared" si="300"/>
        <v>0</v>
      </c>
      <c r="CQ363" s="14">
        <f t="shared" si="274"/>
        <v>0</v>
      </c>
      <c r="CR363" s="14">
        <v>127</v>
      </c>
      <c r="CS363" s="14">
        <v>114</v>
      </c>
      <c r="CT363" s="14">
        <v>207</v>
      </c>
      <c r="CU363" s="14">
        <v>226</v>
      </c>
    </row>
    <row r="364" spans="1:99" x14ac:dyDescent="0.3">
      <c r="A364" s="14">
        <v>2022</v>
      </c>
      <c r="B364" s="14" t="s">
        <v>65</v>
      </c>
      <c r="C364" s="14" t="s">
        <v>66</v>
      </c>
      <c r="D364" s="15">
        <v>408235.8</v>
      </c>
      <c r="E364" s="15">
        <v>13776697.499999994</v>
      </c>
      <c r="F364" s="15">
        <f t="shared" si="275"/>
        <v>33.746911711319768</v>
      </c>
      <c r="AB364" s="14">
        <f t="shared" si="276"/>
        <v>0</v>
      </c>
      <c r="AM364" s="14">
        <f t="shared" si="277"/>
        <v>0</v>
      </c>
      <c r="AQ364" s="14">
        <f t="shared" si="278"/>
        <v>0</v>
      </c>
      <c r="AT364" s="14">
        <f t="shared" si="279"/>
        <v>0</v>
      </c>
      <c r="AU364" s="16">
        <v>0</v>
      </c>
      <c r="AV364" s="16">
        <v>0</v>
      </c>
      <c r="AW364" s="16">
        <v>0</v>
      </c>
      <c r="AX364" s="16">
        <v>0</v>
      </c>
      <c r="AY364" s="18">
        <f t="shared" si="280"/>
        <v>0</v>
      </c>
      <c r="AZ364" s="17">
        <f t="shared" si="281"/>
        <v>0</v>
      </c>
      <c r="BA364" s="17">
        <f t="shared" si="282"/>
        <v>0</v>
      </c>
      <c r="BB364" s="17">
        <f t="shared" si="283"/>
        <v>0</v>
      </c>
      <c r="BC364" s="17">
        <f t="shared" si="251"/>
        <v>0</v>
      </c>
      <c r="BD364" s="17">
        <f t="shared" si="252"/>
        <v>0</v>
      </c>
      <c r="BE364" s="17">
        <f t="shared" si="253"/>
        <v>0</v>
      </c>
      <c r="BF364" s="17">
        <f t="shared" si="254"/>
        <v>0</v>
      </c>
      <c r="BG364" s="17">
        <f t="shared" si="255"/>
        <v>0</v>
      </c>
      <c r="BH364" s="17">
        <f t="shared" si="256"/>
        <v>0</v>
      </c>
      <c r="BI364" s="17">
        <f t="shared" si="257"/>
        <v>0</v>
      </c>
      <c r="BJ364" s="17">
        <f t="shared" si="258"/>
        <v>0</v>
      </c>
      <c r="BK364" s="17">
        <f t="shared" si="259"/>
        <v>0</v>
      </c>
      <c r="BL364" s="17">
        <f t="shared" si="260"/>
        <v>0</v>
      </c>
      <c r="BM364" s="17">
        <f t="shared" si="261"/>
        <v>0</v>
      </c>
      <c r="BN364" s="17">
        <f t="shared" si="262"/>
        <v>0</v>
      </c>
      <c r="BO364" s="17">
        <f t="shared" si="263"/>
        <v>0</v>
      </c>
      <c r="BP364" s="17">
        <f t="shared" si="264"/>
        <v>0</v>
      </c>
      <c r="BQ364" s="17">
        <f t="shared" si="265"/>
        <v>0</v>
      </c>
      <c r="BR364" s="17">
        <f t="shared" si="266"/>
        <v>0</v>
      </c>
      <c r="BS364" s="17">
        <f t="shared" si="267"/>
        <v>0</v>
      </c>
      <c r="BT364" s="17">
        <f t="shared" si="268"/>
        <v>0</v>
      </c>
      <c r="BU364" s="17">
        <f t="shared" si="269"/>
        <v>0</v>
      </c>
      <c r="BV364" s="17">
        <f t="shared" si="270"/>
        <v>0</v>
      </c>
      <c r="BW364" s="17">
        <f t="shared" si="271"/>
        <v>0</v>
      </c>
      <c r="BX364" s="17">
        <f t="shared" si="272"/>
        <v>0</v>
      </c>
      <c r="BY364" s="17">
        <f t="shared" si="273"/>
        <v>0</v>
      </c>
      <c r="BZ364" s="17">
        <f t="shared" si="284"/>
        <v>0</v>
      </c>
      <c r="CA364" s="17">
        <f t="shared" si="285"/>
        <v>0</v>
      </c>
      <c r="CB364" s="17">
        <f t="shared" si="286"/>
        <v>0</v>
      </c>
      <c r="CC364" s="17">
        <f t="shared" si="287"/>
        <v>0</v>
      </c>
      <c r="CD364" s="17">
        <f t="shared" si="288"/>
        <v>0</v>
      </c>
      <c r="CE364" s="17">
        <f t="shared" si="289"/>
        <v>0</v>
      </c>
      <c r="CF364" s="17">
        <f t="shared" si="290"/>
        <v>0</v>
      </c>
      <c r="CG364" s="17">
        <f t="shared" si="291"/>
        <v>0</v>
      </c>
      <c r="CH364" s="17">
        <f t="shared" si="292"/>
        <v>0</v>
      </c>
      <c r="CI364" s="17">
        <f t="shared" si="293"/>
        <v>0</v>
      </c>
      <c r="CJ364" s="17">
        <f t="shared" si="294"/>
        <v>0</v>
      </c>
      <c r="CK364" s="17">
        <f t="shared" si="295"/>
        <v>0</v>
      </c>
      <c r="CL364" s="17">
        <f t="shared" si="296"/>
        <v>0</v>
      </c>
      <c r="CM364" s="14">
        <f t="shared" si="297"/>
        <v>0</v>
      </c>
      <c r="CN364" s="17">
        <f t="shared" si="298"/>
        <v>0</v>
      </c>
      <c r="CO364" s="14">
        <f t="shared" si="299"/>
        <v>0</v>
      </c>
      <c r="CP364" s="17">
        <f t="shared" si="300"/>
        <v>0</v>
      </c>
      <c r="CQ364" s="14">
        <f t="shared" si="274"/>
        <v>0</v>
      </c>
      <c r="CR364" s="14">
        <v>0</v>
      </c>
      <c r="CS364" s="14">
        <v>143</v>
      </c>
      <c r="CT364" s="14">
        <v>0</v>
      </c>
      <c r="CU364" s="14">
        <v>0</v>
      </c>
    </row>
    <row r="365" spans="1:99" x14ac:dyDescent="0.3">
      <c r="A365" s="14">
        <v>2012</v>
      </c>
      <c r="B365" s="14" t="s">
        <v>67</v>
      </c>
      <c r="C365" s="14" t="s">
        <v>68</v>
      </c>
      <c r="D365" s="15">
        <v>485442.2</v>
      </c>
      <c r="E365" s="15">
        <v>13231833.000000002</v>
      </c>
      <c r="F365" s="15">
        <f t="shared" si="275"/>
        <v>27.25727800343687</v>
      </c>
      <c r="AB365" s="14">
        <f t="shared" si="276"/>
        <v>0</v>
      </c>
      <c r="AM365" s="14">
        <f t="shared" si="277"/>
        <v>0</v>
      </c>
      <c r="AQ365" s="14">
        <f t="shared" si="278"/>
        <v>0</v>
      </c>
      <c r="AT365" s="14">
        <f t="shared" si="279"/>
        <v>0</v>
      </c>
      <c r="AU365" s="16">
        <v>0</v>
      </c>
      <c r="AV365" s="16">
        <v>0</v>
      </c>
      <c r="AW365" s="16">
        <v>0</v>
      </c>
      <c r="AX365" s="16">
        <v>0</v>
      </c>
      <c r="AY365" s="18">
        <f t="shared" si="280"/>
        <v>0</v>
      </c>
      <c r="AZ365" s="17">
        <f t="shared" si="281"/>
        <v>0</v>
      </c>
      <c r="BA365" s="17">
        <f t="shared" si="282"/>
        <v>0</v>
      </c>
      <c r="BB365" s="17">
        <f t="shared" si="283"/>
        <v>0</v>
      </c>
      <c r="BC365" s="17">
        <f t="shared" si="251"/>
        <v>0</v>
      </c>
      <c r="BD365" s="17">
        <f t="shared" si="252"/>
        <v>0</v>
      </c>
      <c r="BE365" s="17">
        <f t="shared" si="253"/>
        <v>0</v>
      </c>
      <c r="BF365" s="17">
        <f t="shared" si="254"/>
        <v>0</v>
      </c>
      <c r="BG365" s="17">
        <f t="shared" si="255"/>
        <v>0</v>
      </c>
      <c r="BH365" s="17">
        <f t="shared" si="256"/>
        <v>0</v>
      </c>
      <c r="BI365" s="17">
        <f t="shared" si="257"/>
        <v>0</v>
      </c>
      <c r="BJ365" s="17">
        <f t="shared" si="258"/>
        <v>0</v>
      </c>
      <c r="BK365" s="17">
        <f t="shared" si="259"/>
        <v>0</v>
      </c>
      <c r="BL365" s="17">
        <f t="shared" si="260"/>
        <v>0</v>
      </c>
      <c r="BM365" s="17">
        <f t="shared" si="261"/>
        <v>0</v>
      </c>
      <c r="BN365" s="17">
        <f t="shared" si="262"/>
        <v>0</v>
      </c>
      <c r="BO365" s="17">
        <f t="shared" si="263"/>
        <v>0</v>
      </c>
      <c r="BP365" s="17">
        <f t="shared" si="264"/>
        <v>0</v>
      </c>
      <c r="BQ365" s="17">
        <f t="shared" si="265"/>
        <v>0</v>
      </c>
      <c r="BR365" s="17">
        <f t="shared" si="266"/>
        <v>0</v>
      </c>
      <c r="BS365" s="17">
        <f t="shared" si="267"/>
        <v>0</v>
      </c>
      <c r="BT365" s="17">
        <f t="shared" si="268"/>
        <v>0</v>
      </c>
      <c r="BU365" s="17">
        <f t="shared" si="269"/>
        <v>0</v>
      </c>
      <c r="BV365" s="17">
        <f t="shared" si="270"/>
        <v>0</v>
      </c>
      <c r="BW365" s="17">
        <f t="shared" si="271"/>
        <v>0</v>
      </c>
      <c r="BX365" s="17">
        <f t="shared" si="272"/>
        <v>0</v>
      </c>
      <c r="BY365" s="17">
        <f t="shared" si="273"/>
        <v>0</v>
      </c>
      <c r="BZ365" s="17">
        <f t="shared" si="284"/>
        <v>0</v>
      </c>
      <c r="CA365" s="17">
        <f t="shared" si="285"/>
        <v>0</v>
      </c>
      <c r="CB365" s="17">
        <f t="shared" si="286"/>
        <v>0</v>
      </c>
      <c r="CC365" s="17">
        <f t="shared" si="287"/>
        <v>0</v>
      </c>
      <c r="CD365" s="17">
        <f t="shared" si="288"/>
        <v>0</v>
      </c>
      <c r="CE365" s="17">
        <f t="shared" si="289"/>
        <v>0</v>
      </c>
      <c r="CF365" s="17">
        <f t="shared" si="290"/>
        <v>0</v>
      </c>
      <c r="CG365" s="17">
        <f t="shared" si="291"/>
        <v>0</v>
      </c>
      <c r="CH365" s="17">
        <f t="shared" si="292"/>
        <v>0</v>
      </c>
      <c r="CI365" s="17">
        <f t="shared" si="293"/>
        <v>0</v>
      </c>
      <c r="CJ365" s="17">
        <f t="shared" si="294"/>
        <v>0</v>
      </c>
      <c r="CK365" s="17">
        <f t="shared" si="295"/>
        <v>0</v>
      </c>
      <c r="CL365" s="17">
        <f t="shared" si="296"/>
        <v>0</v>
      </c>
      <c r="CM365" s="14">
        <f t="shared" si="297"/>
        <v>0</v>
      </c>
      <c r="CN365" s="17">
        <f t="shared" si="298"/>
        <v>0</v>
      </c>
      <c r="CO365" s="14">
        <f t="shared" si="299"/>
        <v>0</v>
      </c>
      <c r="CP365" s="17">
        <f t="shared" si="300"/>
        <v>0</v>
      </c>
      <c r="CQ365" s="14">
        <f t="shared" si="274"/>
        <v>0</v>
      </c>
      <c r="CR365" s="14">
        <v>0</v>
      </c>
      <c r="CS365" s="14">
        <v>0</v>
      </c>
      <c r="CT365" s="14">
        <v>0</v>
      </c>
      <c r="CU365" s="14">
        <v>0</v>
      </c>
    </row>
    <row r="366" spans="1:99" x14ac:dyDescent="0.3">
      <c r="A366" s="14">
        <v>2013</v>
      </c>
      <c r="B366" s="14" t="s">
        <v>67</v>
      </c>
      <c r="C366" s="14" t="s">
        <v>68</v>
      </c>
      <c r="D366" s="15">
        <v>494983.7</v>
      </c>
      <c r="E366" s="15">
        <v>13595565.499999993</v>
      </c>
      <c r="F366" s="15">
        <f t="shared" si="275"/>
        <v>27.466693347679918</v>
      </c>
      <c r="G366" s="14">
        <v>54</v>
      </c>
      <c r="P366" s="14">
        <v>66</v>
      </c>
      <c r="Q366" s="14">
        <v>22</v>
      </c>
      <c r="V366" s="14">
        <v>22</v>
      </c>
      <c r="Y366" s="14">
        <v>546</v>
      </c>
      <c r="AB366" s="14">
        <f t="shared" si="276"/>
        <v>0</v>
      </c>
      <c r="AI366" s="14">
        <v>11</v>
      </c>
      <c r="AJ366" s="14">
        <v>371</v>
      </c>
      <c r="AK366" s="14">
        <v>11</v>
      </c>
      <c r="AM366" s="14">
        <f t="shared" si="277"/>
        <v>11</v>
      </c>
      <c r="AQ366" s="14">
        <f t="shared" si="278"/>
        <v>0</v>
      </c>
      <c r="AR366" s="14">
        <v>22</v>
      </c>
      <c r="AS366" s="14">
        <v>32</v>
      </c>
      <c r="AT366" s="14">
        <f t="shared" si="279"/>
        <v>54</v>
      </c>
      <c r="AU366" s="16">
        <v>42</v>
      </c>
      <c r="AV366" s="16">
        <v>0</v>
      </c>
      <c r="AW366" s="16">
        <v>7892</v>
      </c>
      <c r="AX366" s="16">
        <v>0</v>
      </c>
      <c r="AY366" s="18">
        <f t="shared" si="280"/>
        <v>3.0892425916376941E-2</v>
      </c>
      <c r="AZ366" s="17">
        <f t="shared" si="281"/>
        <v>0</v>
      </c>
      <c r="BA366" s="17">
        <f t="shared" si="282"/>
        <v>5.8048339364773049</v>
      </c>
      <c r="BB366" s="17">
        <f t="shared" si="283"/>
        <v>0</v>
      </c>
      <c r="BC366" s="17">
        <f t="shared" si="251"/>
        <v>3.9718833321056066E-2</v>
      </c>
      <c r="BD366" s="17">
        <f t="shared" si="252"/>
        <v>0</v>
      </c>
      <c r="BE366" s="17">
        <f t="shared" si="253"/>
        <v>0</v>
      </c>
      <c r="BF366" s="17">
        <f t="shared" si="254"/>
        <v>0</v>
      </c>
      <c r="BG366" s="17">
        <f t="shared" si="255"/>
        <v>0</v>
      </c>
      <c r="BH366" s="17">
        <f t="shared" si="256"/>
        <v>0</v>
      </c>
      <c r="BI366" s="17">
        <f t="shared" si="257"/>
        <v>0</v>
      </c>
      <c r="BJ366" s="17">
        <f t="shared" si="258"/>
        <v>0</v>
      </c>
      <c r="BK366" s="17">
        <f t="shared" si="259"/>
        <v>0</v>
      </c>
      <c r="BL366" s="17">
        <f t="shared" si="260"/>
        <v>4.8545240725735191E-2</v>
      </c>
      <c r="BM366" s="17">
        <f t="shared" si="261"/>
        <v>1.6181746908578397E-2</v>
      </c>
      <c r="BN366" s="17">
        <f t="shared" si="262"/>
        <v>0</v>
      </c>
      <c r="BO366" s="17">
        <f t="shared" si="263"/>
        <v>0</v>
      </c>
      <c r="BP366" s="17">
        <f t="shared" si="264"/>
        <v>0</v>
      </c>
      <c r="BQ366" s="17">
        <f t="shared" si="265"/>
        <v>0</v>
      </c>
      <c r="BR366" s="17">
        <f t="shared" si="266"/>
        <v>1.6181746908578397E-2</v>
      </c>
      <c r="BS366" s="17">
        <f t="shared" si="267"/>
        <v>0</v>
      </c>
      <c r="BT366" s="17">
        <f t="shared" si="268"/>
        <v>0</v>
      </c>
      <c r="BU366" s="17">
        <f t="shared" si="269"/>
        <v>0.40160153691290024</v>
      </c>
      <c r="BV366" s="17">
        <f t="shared" si="270"/>
        <v>0</v>
      </c>
      <c r="BW366" s="17">
        <f t="shared" si="271"/>
        <v>0</v>
      </c>
      <c r="BX366" s="17">
        <f t="shared" si="272"/>
        <v>0</v>
      </c>
      <c r="BY366" s="17">
        <f t="shared" si="273"/>
        <v>0</v>
      </c>
      <c r="BZ366" s="17">
        <f t="shared" si="284"/>
        <v>0</v>
      </c>
      <c r="CA366" s="17">
        <f t="shared" si="285"/>
        <v>0</v>
      </c>
      <c r="CB366" s="17">
        <f t="shared" si="286"/>
        <v>0</v>
      </c>
      <c r="CC366" s="17">
        <f t="shared" si="287"/>
        <v>0</v>
      </c>
      <c r="CD366" s="17">
        <f t="shared" si="288"/>
        <v>8.0908734542891984E-3</v>
      </c>
      <c r="CE366" s="17">
        <f t="shared" si="289"/>
        <v>0.27288309559466301</v>
      </c>
      <c r="CF366" s="17">
        <f t="shared" si="290"/>
        <v>8.0908734542891984E-3</v>
      </c>
      <c r="CG366" s="17">
        <f t="shared" si="291"/>
        <v>0</v>
      </c>
      <c r="CH366" s="17">
        <f t="shared" si="292"/>
        <v>0</v>
      </c>
      <c r="CI366" s="17">
        <f t="shared" si="293"/>
        <v>0</v>
      </c>
      <c r="CJ366" s="17">
        <f t="shared" si="294"/>
        <v>0</v>
      </c>
      <c r="CK366" s="17">
        <f t="shared" si="295"/>
        <v>1.6181746908578397E-2</v>
      </c>
      <c r="CL366" s="17">
        <f t="shared" si="296"/>
        <v>2.3537086412477669E-2</v>
      </c>
      <c r="CM366" s="14">
        <f t="shared" si="297"/>
        <v>7892</v>
      </c>
      <c r="CN366" s="17">
        <f t="shared" si="298"/>
        <v>5.8048339364773049</v>
      </c>
      <c r="CO366" s="14">
        <f t="shared" si="299"/>
        <v>7934</v>
      </c>
      <c r="CP366" s="17">
        <f t="shared" si="300"/>
        <v>5.8357263623936824</v>
      </c>
      <c r="CQ366" s="14">
        <f t="shared" si="274"/>
        <v>9156</v>
      </c>
      <c r="CR366" s="14">
        <v>0</v>
      </c>
      <c r="CS366" s="14">
        <v>0</v>
      </c>
      <c r="CT366" s="14">
        <v>0</v>
      </c>
      <c r="CU366" s="14">
        <v>0</v>
      </c>
    </row>
    <row r="367" spans="1:99" x14ac:dyDescent="0.3">
      <c r="A367" s="14">
        <v>2014</v>
      </c>
      <c r="B367" s="14" t="s">
        <v>67</v>
      </c>
      <c r="C367" s="14" t="s">
        <v>68</v>
      </c>
      <c r="D367" s="15">
        <v>503266.5</v>
      </c>
      <c r="E367" s="15">
        <v>13970307.499999993</v>
      </c>
      <c r="F367" s="15">
        <f t="shared" si="275"/>
        <v>27.759263730051558</v>
      </c>
      <c r="AB367" s="14">
        <f t="shared" si="276"/>
        <v>0</v>
      </c>
      <c r="AM367" s="14">
        <f t="shared" si="277"/>
        <v>0</v>
      </c>
      <c r="AQ367" s="14">
        <f t="shared" si="278"/>
        <v>0</v>
      </c>
      <c r="AT367" s="14">
        <f t="shared" si="279"/>
        <v>0</v>
      </c>
      <c r="AU367" s="16">
        <v>0</v>
      </c>
      <c r="AV367" s="16">
        <v>0</v>
      </c>
      <c r="AW367" s="16">
        <v>0</v>
      </c>
      <c r="AX367" s="16">
        <v>0</v>
      </c>
      <c r="AY367" s="18">
        <f t="shared" si="280"/>
        <v>0</v>
      </c>
      <c r="AZ367" s="17">
        <f t="shared" si="281"/>
        <v>0</v>
      </c>
      <c r="BA367" s="17">
        <f t="shared" si="282"/>
        <v>0</v>
      </c>
      <c r="BB367" s="17">
        <f t="shared" si="283"/>
        <v>0</v>
      </c>
      <c r="BC367" s="17">
        <f t="shared" si="251"/>
        <v>0</v>
      </c>
      <c r="BD367" s="17">
        <f t="shared" si="252"/>
        <v>0</v>
      </c>
      <c r="BE367" s="17">
        <f t="shared" si="253"/>
        <v>0</v>
      </c>
      <c r="BF367" s="17">
        <f t="shared" si="254"/>
        <v>0</v>
      </c>
      <c r="BG367" s="17">
        <f t="shared" si="255"/>
        <v>0</v>
      </c>
      <c r="BH367" s="17">
        <f t="shared" si="256"/>
        <v>0</v>
      </c>
      <c r="BI367" s="17">
        <f t="shared" si="257"/>
        <v>0</v>
      </c>
      <c r="BJ367" s="17">
        <f t="shared" si="258"/>
        <v>0</v>
      </c>
      <c r="BK367" s="17">
        <f t="shared" si="259"/>
        <v>0</v>
      </c>
      <c r="BL367" s="17">
        <f t="shared" si="260"/>
        <v>0</v>
      </c>
      <c r="BM367" s="17">
        <f t="shared" si="261"/>
        <v>0</v>
      </c>
      <c r="BN367" s="17">
        <f t="shared" si="262"/>
        <v>0</v>
      </c>
      <c r="BO367" s="17">
        <f t="shared" si="263"/>
        <v>0</v>
      </c>
      <c r="BP367" s="17">
        <f t="shared" si="264"/>
        <v>0</v>
      </c>
      <c r="BQ367" s="17">
        <f t="shared" si="265"/>
        <v>0</v>
      </c>
      <c r="BR367" s="17">
        <f t="shared" si="266"/>
        <v>0</v>
      </c>
      <c r="BS367" s="17">
        <f t="shared" si="267"/>
        <v>0</v>
      </c>
      <c r="BT367" s="17">
        <f t="shared" si="268"/>
        <v>0</v>
      </c>
      <c r="BU367" s="17">
        <f t="shared" si="269"/>
        <v>0</v>
      </c>
      <c r="BV367" s="17">
        <f t="shared" si="270"/>
        <v>0</v>
      </c>
      <c r="BW367" s="17">
        <f t="shared" si="271"/>
        <v>0</v>
      </c>
      <c r="BX367" s="17">
        <f t="shared" si="272"/>
        <v>0</v>
      </c>
      <c r="BY367" s="17">
        <f t="shared" si="273"/>
        <v>0</v>
      </c>
      <c r="BZ367" s="17">
        <f t="shared" si="284"/>
        <v>0</v>
      </c>
      <c r="CA367" s="17">
        <f t="shared" si="285"/>
        <v>0</v>
      </c>
      <c r="CB367" s="17">
        <f t="shared" si="286"/>
        <v>0</v>
      </c>
      <c r="CC367" s="17">
        <f t="shared" si="287"/>
        <v>0</v>
      </c>
      <c r="CD367" s="17">
        <f t="shared" si="288"/>
        <v>0</v>
      </c>
      <c r="CE367" s="17">
        <f t="shared" si="289"/>
        <v>0</v>
      </c>
      <c r="CF367" s="17">
        <f t="shared" si="290"/>
        <v>0</v>
      </c>
      <c r="CG367" s="17">
        <f t="shared" si="291"/>
        <v>0</v>
      </c>
      <c r="CH367" s="17">
        <f t="shared" si="292"/>
        <v>0</v>
      </c>
      <c r="CI367" s="17">
        <f t="shared" si="293"/>
        <v>0</v>
      </c>
      <c r="CJ367" s="17">
        <f t="shared" si="294"/>
        <v>0</v>
      </c>
      <c r="CK367" s="17">
        <f t="shared" si="295"/>
        <v>0</v>
      </c>
      <c r="CL367" s="17">
        <f t="shared" si="296"/>
        <v>0</v>
      </c>
      <c r="CM367" s="14">
        <f t="shared" si="297"/>
        <v>0</v>
      </c>
      <c r="CN367" s="17">
        <f t="shared" si="298"/>
        <v>0</v>
      </c>
      <c r="CO367" s="14">
        <f t="shared" si="299"/>
        <v>0</v>
      </c>
      <c r="CP367" s="17">
        <f t="shared" si="300"/>
        <v>0</v>
      </c>
      <c r="CQ367" s="14">
        <f t="shared" si="274"/>
        <v>0</v>
      </c>
      <c r="CR367" s="14">
        <v>10770</v>
      </c>
      <c r="CS367" s="14">
        <v>34261</v>
      </c>
      <c r="CT367" s="14">
        <v>0</v>
      </c>
      <c r="CU367" s="14">
        <v>3518</v>
      </c>
    </row>
    <row r="368" spans="1:99" x14ac:dyDescent="0.3">
      <c r="A368" s="14">
        <v>2015</v>
      </c>
      <c r="B368" s="14" t="s">
        <v>67</v>
      </c>
      <c r="C368" s="14" t="s">
        <v>68</v>
      </c>
      <c r="D368" s="15">
        <v>507578.5</v>
      </c>
      <c r="E368" s="15">
        <v>14356180.500000004</v>
      </c>
      <c r="F368" s="15">
        <f t="shared" si="275"/>
        <v>28.283665482285013</v>
      </c>
      <c r="H368" s="14">
        <v>143</v>
      </c>
      <c r="M368" s="14">
        <v>770</v>
      </c>
      <c r="AB368" s="14">
        <f t="shared" si="276"/>
        <v>0</v>
      </c>
      <c r="AM368" s="14">
        <f t="shared" si="277"/>
        <v>0</v>
      </c>
      <c r="AQ368" s="14">
        <f t="shared" si="278"/>
        <v>0</v>
      </c>
      <c r="AT368" s="14">
        <f t="shared" si="279"/>
        <v>0</v>
      </c>
      <c r="AU368" s="16">
        <v>72</v>
      </c>
      <c r="AV368" s="16">
        <v>3364</v>
      </c>
      <c r="AW368" s="16">
        <v>2232</v>
      </c>
      <c r="AX368" s="16">
        <v>0</v>
      </c>
      <c r="AY368" s="18">
        <f t="shared" si="280"/>
        <v>5.0152615453671667E-2</v>
      </c>
      <c r="AZ368" s="17">
        <f t="shared" si="281"/>
        <v>2.343241644252104</v>
      </c>
      <c r="BA368" s="17">
        <f t="shared" si="282"/>
        <v>1.5547310790638216</v>
      </c>
      <c r="BB368" s="17">
        <f t="shared" si="283"/>
        <v>0</v>
      </c>
      <c r="BC368" s="17">
        <f t="shared" si="251"/>
        <v>0</v>
      </c>
      <c r="BD368" s="17">
        <f t="shared" si="252"/>
        <v>9.9608666803820106E-2</v>
      </c>
      <c r="BE368" s="17">
        <f t="shared" si="253"/>
        <v>0</v>
      </c>
      <c r="BF368" s="17">
        <f t="shared" si="254"/>
        <v>0</v>
      </c>
      <c r="BG368" s="17">
        <f t="shared" si="255"/>
        <v>0</v>
      </c>
      <c r="BH368" s="17">
        <f t="shared" si="256"/>
        <v>0</v>
      </c>
      <c r="BI368" s="17">
        <f t="shared" si="257"/>
        <v>0.53635435971287748</v>
      </c>
      <c r="BJ368" s="17">
        <f t="shared" si="258"/>
        <v>0</v>
      </c>
      <c r="BK368" s="17">
        <f t="shared" si="259"/>
        <v>0</v>
      </c>
      <c r="BL368" s="17">
        <f t="shared" si="260"/>
        <v>0</v>
      </c>
      <c r="BM368" s="17">
        <f t="shared" si="261"/>
        <v>0</v>
      </c>
      <c r="BN368" s="17">
        <f t="shared" si="262"/>
        <v>0</v>
      </c>
      <c r="BO368" s="17">
        <f t="shared" si="263"/>
        <v>0</v>
      </c>
      <c r="BP368" s="17">
        <f t="shared" si="264"/>
        <v>0</v>
      </c>
      <c r="BQ368" s="17">
        <f t="shared" si="265"/>
        <v>0</v>
      </c>
      <c r="BR368" s="17">
        <f t="shared" si="266"/>
        <v>0</v>
      </c>
      <c r="BS368" s="17">
        <f t="shared" si="267"/>
        <v>0</v>
      </c>
      <c r="BT368" s="17">
        <f t="shared" si="268"/>
        <v>0</v>
      </c>
      <c r="BU368" s="17">
        <f t="shared" si="269"/>
        <v>0</v>
      </c>
      <c r="BV368" s="17">
        <f t="shared" si="270"/>
        <v>0</v>
      </c>
      <c r="BW368" s="17">
        <f t="shared" si="271"/>
        <v>0</v>
      </c>
      <c r="BX368" s="17">
        <f t="shared" si="272"/>
        <v>0</v>
      </c>
      <c r="BY368" s="17">
        <f t="shared" si="273"/>
        <v>0</v>
      </c>
      <c r="BZ368" s="17">
        <f t="shared" si="284"/>
        <v>0</v>
      </c>
      <c r="CA368" s="17">
        <f t="shared" si="285"/>
        <v>0</v>
      </c>
      <c r="CB368" s="17">
        <f t="shared" si="286"/>
        <v>0</v>
      </c>
      <c r="CC368" s="17">
        <f t="shared" si="287"/>
        <v>0</v>
      </c>
      <c r="CD368" s="17">
        <f t="shared" si="288"/>
        <v>0</v>
      </c>
      <c r="CE368" s="17">
        <f t="shared" si="289"/>
        <v>0</v>
      </c>
      <c r="CF368" s="17">
        <f t="shared" si="290"/>
        <v>0</v>
      </c>
      <c r="CG368" s="17">
        <f t="shared" si="291"/>
        <v>0</v>
      </c>
      <c r="CH368" s="17">
        <f t="shared" si="292"/>
        <v>0</v>
      </c>
      <c r="CI368" s="17">
        <f t="shared" si="293"/>
        <v>0</v>
      </c>
      <c r="CJ368" s="17">
        <f t="shared" si="294"/>
        <v>0</v>
      </c>
      <c r="CK368" s="17">
        <f t="shared" si="295"/>
        <v>0</v>
      </c>
      <c r="CL368" s="17">
        <f t="shared" si="296"/>
        <v>0</v>
      </c>
      <c r="CM368" s="14">
        <f t="shared" si="297"/>
        <v>5596</v>
      </c>
      <c r="CN368" s="17">
        <f t="shared" si="298"/>
        <v>3.8979727233159256</v>
      </c>
      <c r="CO368" s="14">
        <f t="shared" si="299"/>
        <v>5668</v>
      </c>
      <c r="CP368" s="17">
        <f t="shared" si="300"/>
        <v>3.9481253387695974</v>
      </c>
      <c r="CQ368" s="14">
        <f t="shared" si="274"/>
        <v>6581</v>
      </c>
      <c r="CR368" s="14">
        <v>0</v>
      </c>
      <c r="CS368" s="14">
        <v>0</v>
      </c>
      <c r="CT368" s="14">
        <v>0</v>
      </c>
      <c r="CU368" s="14">
        <v>0</v>
      </c>
    </row>
    <row r="369" spans="1:99" x14ac:dyDescent="0.3">
      <c r="A369" s="14">
        <v>2016</v>
      </c>
      <c r="B369" s="14" t="s">
        <v>67</v>
      </c>
      <c r="C369" s="14" t="s">
        <v>68</v>
      </c>
      <c r="D369" s="15">
        <v>510487.1</v>
      </c>
      <c r="E369" s="15">
        <v>14751356.499999994</v>
      </c>
      <c r="F369" s="15">
        <f t="shared" si="275"/>
        <v>28.896629317371577</v>
      </c>
      <c r="G369" s="14">
        <v>121</v>
      </c>
      <c r="H369" s="14">
        <v>170</v>
      </c>
      <c r="M369" s="14">
        <v>5</v>
      </c>
      <c r="O369" s="14">
        <v>57</v>
      </c>
      <c r="T369" s="14">
        <v>146</v>
      </c>
      <c r="V369" s="14">
        <v>78</v>
      </c>
      <c r="Y369" s="14">
        <v>37</v>
      </c>
      <c r="AB369" s="14">
        <f t="shared" si="276"/>
        <v>57</v>
      </c>
      <c r="AM369" s="14">
        <f t="shared" si="277"/>
        <v>0</v>
      </c>
      <c r="AQ369" s="14">
        <f t="shared" si="278"/>
        <v>0</v>
      </c>
      <c r="AT369" s="14">
        <f t="shared" si="279"/>
        <v>0</v>
      </c>
      <c r="AU369" s="16">
        <v>3195</v>
      </c>
      <c r="AV369" s="16">
        <v>4980</v>
      </c>
      <c r="AW369" s="16">
        <v>4004</v>
      </c>
      <c r="AX369" s="16">
        <v>0</v>
      </c>
      <c r="AY369" s="18">
        <f t="shared" si="280"/>
        <v>2.165902505305191</v>
      </c>
      <c r="AZ369" s="17">
        <f t="shared" si="281"/>
        <v>3.3759607124944759</v>
      </c>
      <c r="BA369" s="17">
        <f t="shared" si="282"/>
        <v>2.7143266451461612</v>
      </c>
      <c r="BB369" s="17">
        <f t="shared" si="283"/>
        <v>0</v>
      </c>
      <c r="BC369" s="17">
        <f t="shared" si="251"/>
        <v>8.2026354661010353E-2</v>
      </c>
      <c r="BD369" s="17">
        <f t="shared" si="252"/>
        <v>0.11524363877993191</v>
      </c>
      <c r="BE369" s="17">
        <f t="shared" si="253"/>
        <v>0</v>
      </c>
      <c r="BF369" s="17">
        <f t="shared" si="254"/>
        <v>0</v>
      </c>
      <c r="BG369" s="17">
        <f t="shared" si="255"/>
        <v>0</v>
      </c>
      <c r="BH369" s="17">
        <f t="shared" si="256"/>
        <v>0</v>
      </c>
      <c r="BI369" s="17">
        <f t="shared" si="257"/>
        <v>3.3895187876450562E-3</v>
      </c>
      <c r="BJ369" s="17">
        <f t="shared" si="258"/>
        <v>0</v>
      </c>
      <c r="BK369" s="17">
        <f t="shared" si="259"/>
        <v>3.8640514179153637E-2</v>
      </c>
      <c r="BL369" s="17">
        <f t="shared" si="260"/>
        <v>0</v>
      </c>
      <c r="BM369" s="17">
        <f t="shared" si="261"/>
        <v>0</v>
      </c>
      <c r="BN369" s="17">
        <f t="shared" si="262"/>
        <v>0</v>
      </c>
      <c r="BO369" s="17">
        <f t="shared" si="263"/>
        <v>0</v>
      </c>
      <c r="BP369" s="17">
        <f t="shared" si="264"/>
        <v>9.8973948599235639E-2</v>
      </c>
      <c r="BQ369" s="17">
        <f t="shared" si="265"/>
        <v>0</v>
      </c>
      <c r="BR369" s="17">
        <f t="shared" si="266"/>
        <v>5.2876493087262874E-2</v>
      </c>
      <c r="BS369" s="17">
        <f t="shared" si="267"/>
        <v>0</v>
      </c>
      <c r="BT369" s="17">
        <f t="shared" si="268"/>
        <v>0</v>
      </c>
      <c r="BU369" s="17">
        <f t="shared" si="269"/>
        <v>2.5082439028573416E-2</v>
      </c>
      <c r="BV369" s="17">
        <f t="shared" si="270"/>
        <v>0</v>
      </c>
      <c r="BW369" s="17">
        <f t="shared" si="271"/>
        <v>0</v>
      </c>
      <c r="BX369" s="17">
        <f t="shared" si="272"/>
        <v>0</v>
      </c>
      <c r="BY369" s="17">
        <f t="shared" si="273"/>
        <v>0</v>
      </c>
      <c r="BZ369" s="17">
        <f t="shared" si="284"/>
        <v>0</v>
      </c>
      <c r="CA369" s="17">
        <f t="shared" si="285"/>
        <v>0</v>
      </c>
      <c r="CB369" s="17">
        <f t="shared" si="286"/>
        <v>0</v>
      </c>
      <c r="CC369" s="17">
        <f t="shared" si="287"/>
        <v>0</v>
      </c>
      <c r="CD369" s="17">
        <f t="shared" si="288"/>
        <v>0</v>
      </c>
      <c r="CE369" s="17">
        <f t="shared" si="289"/>
        <v>0</v>
      </c>
      <c r="CF369" s="17">
        <f t="shared" si="290"/>
        <v>0</v>
      </c>
      <c r="CG369" s="17">
        <f t="shared" si="291"/>
        <v>0</v>
      </c>
      <c r="CH369" s="17">
        <f t="shared" si="292"/>
        <v>0</v>
      </c>
      <c r="CI369" s="17">
        <f t="shared" si="293"/>
        <v>0</v>
      </c>
      <c r="CJ369" s="17">
        <f t="shared" si="294"/>
        <v>0</v>
      </c>
      <c r="CK369" s="17">
        <f t="shared" si="295"/>
        <v>0</v>
      </c>
      <c r="CL369" s="17">
        <f t="shared" si="296"/>
        <v>0</v>
      </c>
      <c r="CM369" s="14">
        <f t="shared" si="297"/>
        <v>8984</v>
      </c>
      <c r="CN369" s="17">
        <f t="shared" si="298"/>
        <v>6.0902873576406371</v>
      </c>
      <c r="CO369" s="14">
        <f t="shared" si="299"/>
        <v>12179</v>
      </c>
      <c r="CP369" s="17">
        <f t="shared" si="300"/>
        <v>8.2561898629458277</v>
      </c>
      <c r="CQ369" s="14">
        <f t="shared" si="274"/>
        <v>12850</v>
      </c>
      <c r="CR369" s="14">
        <v>0</v>
      </c>
      <c r="CS369" s="14">
        <v>0</v>
      </c>
      <c r="CT369" s="14">
        <v>0</v>
      </c>
      <c r="CU369" s="14">
        <v>0</v>
      </c>
    </row>
    <row r="370" spans="1:99" x14ac:dyDescent="0.3">
      <c r="A370" s="14">
        <v>2017</v>
      </c>
      <c r="B370" s="14" t="s">
        <v>67</v>
      </c>
      <c r="C370" s="14" t="s">
        <v>68</v>
      </c>
      <c r="D370" s="15">
        <v>516925.5</v>
      </c>
      <c r="E370" s="15">
        <v>15157793.000000006</v>
      </c>
      <c r="F370" s="15">
        <f t="shared" si="275"/>
        <v>29.322974006892686</v>
      </c>
      <c r="G370" s="14">
        <v>121</v>
      </c>
      <c r="H370" s="14">
        <v>170</v>
      </c>
      <c r="M370" s="14">
        <v>5</v>
      </c>
      <c r="N370" s="14">
        <v>57</v>
      </c>
      <c r="T370" s="14">
        <v>146</v>
      </c>
      <c r="Z370" s="14">
        <v>37</v>
      </c>
      <c r="AB370" s="14">
        <f t="shared" si="276"/>
        <v>0</v>
      </c>
      <c r="AM370" s="14">
        <f t="shared" si="277"/>
        <v>0</v>
      </c>
      <c r="AQ370" s="14">
        <f t="shared" si="278"/>
        <v>0</v>
      </c>
      <c r="AT370" s="14">
        <f t="shared" si="279"/>
        <v>0</v>
      </c>
      <c r="AU370" s="16">
        <v>2132</v>
      </c>
      <c r="AV370" s="16">
        <v>5640</v>
      </c>
      <c r="AW370" s="16">
        <v>4004</v>
      </c>
      <c r="AX370" s="16">
        <v>0</v>
      </c>
      <c r="AY370" s="18">
        <f t="shared" si="280"/>
        <v>1.4065372181820923</v>
      </c>
      <c r="AZ370" s="17">
        <f t="shared" si="281"/>
        <v>3.7208583070107886</v>
      </c>
      <c r="BA370" s="17">
        <f t="shared" si="282"/>
        <v>2.6415455073175882</v>
      </c>
      <c r="BB370" s="17">
        <f t="shared" si="283"/>
        <v>0</v>
      </c>
      <c r="BC370" s="17">
        <f t="shared" si="251"/>
        <v>7.9826924671685354E-2</v>
      </c>
      <c r="BD370" s="17">
        <f t="shared" si="252"/>
        <v>0.11215353053046703</v>
      </c>
      <c r="BE370" s="17">
        <f t="shared" si="253"/>
        <v>0</v>
      </c>
      <c r="BF370" s="17">
        <f t="shared" si="254"/>
        <v>0</v>
      </c>
      <c r="BG370" s="17">
        <f t="shared" si="255"/>
        <v>0</v>
      </c>
      <c r="BH370" s="17">
        <f t="shared" si="256"/>
        <v>0</v>
      </c>
      <c r="BI370" s="17">
        <f t="shared" si="257"/>
        <v>3.2986332508960891E-3</v>
      </c>
      <c r="BJ370" s="17">
        <f t="shared" si="258"/>
        <v>3.7604419060215416E-2</v>
      </c>
      <c r="BK370" s="17">
        <f t="shared" si="259"/>
        <v>0</v>
      </c>
      <c r="BL370" s="17">
        <f t="shared" si="260"/>
        <v>0</v>
      </c>
      <c r="BM370" s="17">
        <f t="shared" si="261"/>
        <v>0</v>
      </c>
      <c r="BN370" s="17">
        <f t="shared" si="262"/>
        <v>0</v>
      </c>
      <c r="BO370" s="17">
        <f t="shared" si="263"/>
        <v>0</v>
      </c>
      <c r="BP370" s="17">
        <f t="shared" si="264"/>
        <v>9.6320090926165794E-2</v>
      </c>
      <c r="BQ370" s="17">
        <f t="shared" si="265"/>
        <v>0</v>
      </c>
      <c r="BR370" s="17">
        <f t="shared" si="266"/>
        <v>0</v>
      </c>
      <c r="BS370" s="17">
        <f t="shared" si="267"/>
        <v>0</v>
      </c>
      <c r="BT370" s="17">
        <f t="shared" si="268"/>
        <v>0</v>
      </c>
      <c r="BU370" s="17">
        <f t="shared" si="269"/>
        <v>0</v>
      </c>
      <c r="BV370" s="17">
        <f t="shared" si="270"/>
        <v>2.440988605663106E-2</v>
      </c>
      <c r="BW370" s="17">
        <f t="shared" si="271"/>
        <v>0</v>
      </c>
      <c r="BX370" s="17">
        <f t="shared" si="272"/>
        <v>0</v>
      </c>
      <c r="BY370" s="17">
        <f t="shared" si="273"/>
        <v>0</v>
      </c>
      <c r="BZ370" s="17">
        <f t="shared" si="284"/>
        <v>0</v>
      </c>
      <c r="CA370" s="17">
        <f t="shared" si="285"/>
        <v>0</v>
      </c>
      <c r="CB370" s="17">
        <f t="shared" si="286"/>
        <v>0</v>
      </c>
      <c r="CC370" s="17">
        <f t="shared" si="287"/>
        <v>0</v>
      </c>
      <c r="CD370" s="17">
        <f t="shared" si="288"/>
        <v>0</v>
      </c>
      <c r="CE370" s="17">
        <f t="shared" si="289"/>
        <v>0</v>
      </c>
      <c r="CF370" s="17">
        <f t="shared" si="290"/>
        <v>0</v>
      </c>
      <c r="CG370" s="17">
        <f t="shared" si="291"/>
        <v>0</v>
      </c>
      <c r="CH370" s="17">
        <f t="shared" si="292"/>
        <v>0</v>
      </c>
      <c r="CI370" s="17">
        <f t="shared" si="293"/>
        <v>0</v>
      </c>
      <c r="CJ370" s="17">
        <f t="shared" si="294"/>
        <v>0</v>
      </c>
      <c r="CK370" s="17">
        <f t="shared" si="295"/>
        <v>0</v>
      </c>
      <c r="CL370" s="17">
        <f t="shared" si="296"/>
        <v>0</v>
      </c>
      <c r="CM370" s="14">
        <f t="shared" si="297"/>
        <v>9644</v>
      </c>
      <c r="CN370" s="17">
        <f t="shared" si="298"/>
        <v>6.3624038143283768</v>
      </c>
      <c r="CO370" s="14">
        <f t="shared" si="299"/>
        <v>11776</v>
      </c>
      <c r="CP370" s="17">
        <f t="shared" si="300"/>
        <v>7.7689410325104689</v>
      </c>
      <c r="CQ370" s="14">
        <f t="shared" si="274"/>
        <v>12312</v>
      </c>
      <c r="CR370" s="14">
        <v>30</v>
      </c>
      <c r="CS370" s="14">
        <v>50</v>
      </c>
      <c r="CT370" s="14">
        <v>0</v>
      </c>
      <c r="CU370" s="14">
        <v>0</v>
      </c>
    </row>
    <row r="371" spans="1:99" x14ac:dyDescent="0.3">
      <c r="A371" s="14">
        <v>2018</v>
      </c>
      <c r="B371" s="14" t="s">
        <v>67</v>
      </c>
      <c r="C371" s="14" t="s">
        <v>68</v>
      </c>
      <c r="D371" s="15">
        <v>526366.6</v>
      </c>
      <c r="E371" s="15">
        <v>15574908.999999998</v>
      </c>
      <c r="F371" s="15">
        <f t="shared" si="275"/>
        <v>29.589470532514788</v>
      </c>
      <c r="M371" s="14">
        <v>17417</v>
      </c>
      <c r="Z371" s="14">
        <v>328</v>
      </c>
      <c r="AB371" s="14">
        <f t="shared" si="276"/>
        <v>0</v>
      </c>
      <c r="AM371" s="14">
        <f t="shared" si="277"/>
        <v>0</v>
      </c>
      <c r="AQ371" s="14">
        <f t="shared" si="278"/>
        <v>0</v>
      </c>
      <c r="AT371" s="14">
        <f t="shared" si="279"/>
        <v>0</v>
      </c>
      <c r="AU371" s="16">
        <v>0</v>
      </c>
      <c r="AV371" s="16">
        <v>0</v>
      </c>
      <c r="AW371" s="16">
        <v>0</v>
      </c>
      <c r="AX371" s="16">
        <v>0</v>
      </c>
      <c r="AY371" s="18">
        <f t="shared" si="280"/>
        <v>0</v>
      </c>
      <c r="AZ371" s="17">
        <f t="shared" si="281"/>
        <v>0</v>
      </c>
      <c r="BA371" s="17">
        <f t="shared" si="282"/>
        <v>0</v>
      </c>
      <c r="BB371" s="17">
        <f t="shared" si="283"/>
        <v>0</v>
      </c>
      <c r="BC371" s="17">
        <f t="shared" si="251"/>
        <v>0</v>
      </c>
      <c r="BD371" s="17">
        <f t="shared" si="252"/>
        <v>0</v>
      </c>
      <c r="BE371" s="17">
        <f t="shared" si="253"/>
        <v>0</v>
      </c>
      <c r="BF371" s="17">
        <f t="shared" si="254"/>
        <v>0</v>
      </c>
      <c r="BG371" s="17">
        <f t="shared" si="255"/>
        <v>0</v>
      </c>
      <c r="BH371" s="17">
        <f t="shared" si="256"/>
        <v>0</v>
      </c>
      <c r="BI371" s="17">
        <f t="shared" si="257"/>
        <v>11.182729863782834</v>
      </c>
      <c r="BJ371" s="17">
        <f t="shared" si="258"/>
        <v>0</v>
      </c>
      <c r="BK371" s="17">
        <f t="shared" si="259"/>
        <v>0</v>
      </c>
      <c r="BL371" s="17">
        <f t="shared" si="260"/>
        <v>0</v>
      </c>
      <c r="BM371" s="17">
        <f t="shared" si="261"/>
        <v>0</v>
      </c>
      <c r="BN371" s="17">
        <f t="shared" si="262"/>
        <v>0</v>
      </c>
      <c r="BO371" s="17">
        <f t="shared" si="263"/>
        <v>0</v>
      </c>
      <c r="BP371" s="17">
        <f t="shared" si="264"/>
        <v>0</v>
      </c>
      <c r="BQ371" s="17">
        <f t="shared" si="265"/>
        <v>0</v>
      </c>
      <c r="BR371" s="17">
        <f t="shared" si="266"/>
        <v>0</v>
      </c>
      <c r="BS371" s="17">
        <f t="shared" si="267"/>
        <v>0</v>
      </c>
      <c r="BT371" s="17">
        <f t="shared" si="268"/>
        <v>0</v>
      </c>
      <c r="BU371" s="17">
        <f t="shared" si="269"/>
        <v>0</v>
      </c>
      <c r="BV371" s="17">
        <f t="shared" si="270"/>
        <v>0.21059513092500254</v>
      </c>
      <c r="BW371" s="17">
        <f t="shared" si="271"/>
        <v>0</v>
      </c>
      <c r="BX371" s="17">
        <f t="shared" si="272"/>
        <v>0</v>
      </c>
      <c r="BY371" s="17">
        <f t="shared" si="273"/>
        <v>0</v>
      </c>
      <c r="BZ371" s="17">
        <f t="shared" si="284"/>
        <v>0</v>
      </c>
      <c r="CA371" s="17">
        <f t="shared" si="285"/>
        <v>0</v>
      </c>
      <c r="CB371" s="17">
        <f t="shared" si="286"/>
        <v>0</v>
      </c>
      <c r="CC371" s="17">
        <f t="shared" si="287"/>
        <v>0</v>
      </c>
      <c r="CD371" s="17">
        <f t="shared" si="288"/>
        <v>0</v>
      </c>
      <c r="CE371" s="17">
        <f t="shared" si="289"/>
        <v>0</v>
      </c>
      <c r="CF371" s="17">
        <f t="shared" si="290"/>
        <v>0</v>
      </c>
      <c r="CG371" s="17">
        <f t="shared" si="291"/>
        <v>0</v>
      </c>
      <c r="CH371" s="17">
        <f t="shared" si="292"/>
        <v>0</v>
      </c>
      <c r="CI371" s="17">
        <f t="shared" si="293"/>
        <v>0</v>
      </c>
      <c r="CJ371" s="17">
        <f t="shared" si="294"/>
        <v>0</v>
      </c>
      <c r="CK371" s="17">
        <f t="shared" si="295"/>
        <v>0</v>
      </c>
      <c r="CL371" s="17">
        <f t="shared" si="296"/>
        <v>0</v>
      </c>
      <c r="CM371" s="14">
        <f t="shared" si="297"/>
        <v>0</v>
      </c>
      <c r="CN371" s="17">
        <f t="shared" si="298"/>
        <v>0</v>
      </c>
      <c r="CO371" s="14">
        <f t="shared" si="299"/>
        <v>0</v>
      </c>
      <c r="CP371" s="17">
        <f t="shared" si="300"/>
        <v>0</v>
      </c>
      <c r="CQ371" s="14">
        <f t="shared" si="274"/>
        <v>17745</v>
      </c>
      <c r="CR371" s="14">
        <v>276</v>
      </c>
      <c r="CS371" s="14">
        <v>45</v>
      </c>
      <c r="CT371" s="14">
        <v>0</v>
      </c>
      <c r="CU371" s="14">
        <v>1925</v>
      </c>
    </row>
    <row r="372" spans="1:99" x14ac:dyDescent="0.3">
      <c r="A372" s="14">
        <v>2019</v>
      </c>
      <c r="B372" s="14" t="s">
        <v>67</v>
      </c>
      <c r="C372" s="14" t="s">
        <v>68</v>
      </c>
      <c r="D372" s="15">
        <v>535460.80000000005</v>
      </c>
      <c r="E372" s="15">
        <v>16000781.500000006</v>
      </c>
      <c r="F372" s="15">
        <f t="shared" si="275"/>
        <v>29.882264957584205</v>
      </c>
      <c r="G372" s="14">
        <v>219</v>
      </c>
      <c r="H372" s="14">
        <v>188</v>
      </c>
      <c r="I372" s="14">
        <v>2663</v>
      </c>
      <c r="J372" s="14">
        <v>445</v>
      </c>
      <c r="K372" s="14">
        <v>2</v>
      </c>
      <c r="L372" s="14">
        <v>12</v>
      </c>
      <c r="M372" s="14">
        <v>1116</v>
      </c>
      <c r="N372" s="14">
        <v>0</v>
      </c>
      <c r="O372" s="14">
        <v>21</v>
      </c>
      <c r="P372" s="14">
        <v>4</v>
      </c>
      <c r="R372" s="14">
        <v>155</v>
      </c>
      <c r="T372" s="14">
        <v>835</v>
      </c>
      <c r="U372" s="14">
        <v>90</v>
      </c>
      <c r="V372" s="14">
        <v>124</v>
      </c>
      <c r="W372" s="14">
        <v>686</v>
      </c>
      <c r="X372" s="14">
        <v>2112</v>
      </c>
      <c r="Z372" s="14">
        <v>715</v>
      </c>
      <c r="AA372" s="14">
        <v>1</v>
      </c>
      <c r="AB372" s="14">
        <f t="shared" si="276"/>
        <v>22</v>
      </c>
      <c r="AC372" s="14">
        <v>123</v>
      </c>
      <c r="AD372" s="14">
        <v>70</v>
      </c>
      <c r="AE372" s="14">
        <v>3</v>
      </c>
      <c r="AF372" s="14">
        <v>1</v>
      </c>
      <c r="AG372" s="14">
        <v>3647</v>
      </c>
      <c r="AH372" s="14">
        <v>1722</v>
      </c>
      <c r="AI372" s="14">
        <v>2352</v>
      </c>
      <c r="AJ372" s="14">
        <v>45</v>
      </c>
      <c r="AM372" s="14">
        <f t="shared" si="277"/>
        <v>0</v>
      </c>
      <c r="AN372" s="14">
        <v>16</v>
      </c>
      <c r="AP372" s="14">
        <v>402</v>
      </c>
      <c r="AQ372" s="14">
        <f t="shared" si="278"/>
        <v>402</v>
      </c>
      <c r="AT372" s="14">
        <f t="shared" si="279"/>
        <v>0</v>
      </c>
      <c r="AU372" s="16">
        <v>5952</v>
      </c>
      <c r="AV372" s="16">
        <v>14883</v>
      </c>
      <c r="AW372" s="16">
        <v>5312</v>
      </c>
      <c r="AX372" s="16">
        <v>15422</v>
      </c>
      <c r="AY372" s="18">
        <f t="shared" si="280"/>
        <v>3.7198183101244138</v>
      </c>
      <c r="AZ372" s="17">
        <f t="shared" si="281"/>
        <v>9.3014206837334754</v>
      </c>
      <c r="BA372" s="17">
        <f t="shared" si="282"/>
        <v>3.3198378466701755</v>
      </c>
      <c r="BB372" s="17">
        <f t="shared" si="283"/>
        <v>9.638279230298842</v>
      </c>
      <c r="BC372" s="17">
        <f t="shared" si="251"/>
        <v>0.13686831483824707</v>
      </c>
      <c r="BD372" s="17">
        <f t="shared" si="252"/>
        <v>0.11749426113968242</v>
      </c>
      <c r="BE372" s="17">
        <f t="shared" si="253"/>
        <v>1.6642937096541186</v>
      </c>
      <c r="BF372" s="17">
        <f t="shared" si="254"/>
        <v>0.27811141599552486</v>
      </c>
      <c r="BG372" s="17">
        <f t="shared" si="255"/>
        <v>1.2499389482944938E-3</v>
      </c>
      <c r="BH372" s="17">
        <f t="shared" si="256"/>
        <v>7.4996336897669626E-3</v>
      </c>
      <c r="BI372" s="17">
        <f t="shared" si="257"/>
        <v>0.6974659331483275</v>
      </c>
      <c r="BJ372" s="17">
        <f t="shared" si="258"/>
        <v>0</v>
      </c>
      <c r="BK372" s="17">
        <f t="shared" si="259"/>
        <v>1.3124358957092184E-2</v>
      </c>
      <c r="BL372" s="17">
        <f t="shared" si="260"/>
        <v>2.4998778965889877E-3</v>
      </c>
      <c r="BM372" s="17">
        <f t="shared" si="261"/>
        <v>0</v>
      </c>
      <c r="BN372" s="17">
        <f t="shared" si="262"/>
        <v>9.6870268492823264E-2</v>
      </c>
      <c r="BO372" s="17">
        <f t="shared" si="263"/>
        <v>0</v>
      </c>
      <c r="BP372" s="17">
        <f t="shared" si="264"/>
        <v>0.52184951091295118</v>
      </c>
      <c r="BQ372" s="17">
        <f t="shared" si="265"/>
        <v>5.6247252673252222E-2</v>
      </c>
      <c r="BR372" s="17">
        <f t="shared" si="266"/>
        <v>7.7496214794258611E-2</v>
      </c>
      <c r="BS372" s="17">
        <f t="shared" si="267"/>
        <v>0.42872905926501137</v>
      </c>
      <c r="BT372" s="17">
        <f t="shared" si="268"/>
        <v>1.3199355293989854</v>
      </c>
      <c r="BU372" s="17">
        <f t="shared" si="269"/>
        <v>0</v>
      </c>
      <c r="BV372" s="17">
        <f t="shared" si="270"/>
        <v>0.44685317401528152</v>
      </c>
      <c r="BW372" s="17">
        <f t="shared" si="271"/>
        <v>6.2496947414724692E-4</v>
      </c>
      <c r="BX372" s="17">
        <f t="shared" si="272"/>
        <v>7.6871245320111373E-2</v>
      </c>
      <c r="BY372" s="17">
        <f t="shared" si="273"/>
        <v>4.3747863190307282E-2</v>
      </c>
      <c r="BZ372" s="17">
        <f t="shared" si="284"/>
        <v>1.8749084224417407E-3</v>
      </c>
      <c r="CA372" s="17">
        <f t="shared" si="285"/>
        <v>6.2496947414724692E-4</v>
      </c>
      <c r="CB372" s="17">
        <f t="shared" si="286"/>
        <v>2.2792636722150093</v>
      </c>
      <c r="CC372" s="17">
        <f t="shared" si="287"/>
        <v>1.0761974344815592</v>
      </c>
      <c r="CD372" s="17">
        <f t="shared" si="288"/>
        <v>1.4699282031943248</v>
      </c>
      <c r="CE372" s="17">
        <f t="shared" si="289"/>
        <v>2.8123626336626111E-2</v>
      </c>
      <c r="CF372" s="17">
        <f t="shared" si="290"/>
        <v>0</v>
      </c>
      <c r="CG372" s="17">
        <f t="shared" si="291"/>
        <v>0</v>
      </c>
      <c r="CH372" s="17">
        <f t="shared" si="292"/>
        <v>9.9995115863559508E-3</v>
      </c>
      <c r="CI372" s="17">
        <f t="shared" si="293"/>
        <v>0</v>
      </c>
      <c r="CJ372" s="17">
        <f t="shared" si="294"/>
        <v>0.25123772860719323</v>
      </c>
      <c r="CK372" s="17">
        <f t="shared" si="295"/>
        <v>0</v>
      </c>
      <c r="CL372" s="17">
        <f t="shared" si="296"/>
        <v>0</v>
      </c>
      <c r="CM372" s="14">
        <f t="shared" si="297"/>
        <v>20195</v>
      </c>
      <c r="CN372" s="17">
        <f t="shared" si="298"/>
        <v>12.621258530403651</v>
      </c>
      <c r="CO372" s="14">
        <f t="shared" si="299"/>
        <v>26147</v>
      </c>
      <c r="CP372" s="17">
        <f t="shared" si="300"/>
        <v>16.341076840528064</v>
      </c>
      <c r="CQ372" s="14">
        <f t="shared" si="274"/>
        <v>59762</v>
      </c>
      <c r="CR372" s="14">
        <v>0</v>
      </c>
      <c r="CS372" s="14">
        <v>0</v>
      </c>
      <c r="CT372" s="14">
        <v>0</v>
      </c>
      <c r="CU372" s="14">
        <v>0</v>
      </c>
    </row>
    <row r="373" spans="1:99" x14ac:dyDescent="0.3">
      <c r="A373" s="14">
        <v>2020</v>
      </c>
      <c r="B373" s="14" t="s">
        <v>67</v>
      </c>
      <c r="C373" s="14" t="s">
        <v>68</v>
      </c>
      <c r="D373" s="15">
        <v>543180.80000000005</v>
      </c>
      <c r="E373" s="15">
        <v>16436119.999999993</v>
      </c>
      <c r="F373" s="15">
        <f t="shared" si="275"/>
        <v>30.259022410217725</v>
      </c>
      <c r="G373" s="14">
        <v>134</v>
      </c>
      <c r="H373" s="14">
        <v>212</v>
      </c>
      <c r="I373" s="14">
        <v>5427</v>
      </c>
      <c r="J373" s="14">
        <v>35</v>
      </c>
      <c r="K373" s="14">
        <v>1</v>
      </c>
      <c r="L373" s="14">
        <v>19</v>
      </c>
      <c r="O373" s="14">
        <v>13</v>
      </c>
      <c r="P373" s="14">
        <v>2</v>
      </c>
      <c r="Q373" s="14">
        <v>1</v>
      </c>
      <c r="R373" s="14">
        <v>60</v>
      </c>
      <c r="T373" s="14">
        <v>411</v>
      </c>
      <c r="U373" s="14">
        <v>14</v>
      </c>
      <c r="V373" s="14">
        <v>121</v>
      </c>
      <c r="W373" s="14">
        <v>27</v>
      </c>
      <c r="X373" s="14">
        <v>1482</v>
      </c>
      <c r="Y373" s="14">
        <v>323</v>
      </c>
      <c r="Z373" s="14">
        <v>101</v>
      </c>
      <c r="AB373" s="14">
        <f t="shared" si="276"/>
        <v>13</v>
      </c>
      <c r="AD373" s="14">
        <v>72</v>
      </c>
      <c r="AE373" s="14">
        <v>2</v>
      </c>
      <c r="AI373" s="14">
        <v>662</v>
      </c>
      <c r="AJ373" s="14">
        <v>48</v>
      </c>
      <c r="AK373" s="14">
        <v>1</v>
      </c>
      <c r="AL373" s="14">
        <v>97</v>
      </c>
      <c r="AM373" s="14">
        <f t="shared" si="277"/>
        <v>98</v>
      </c>
      <c r="AN373" s="14">
        <v>2</v>
      </c>
      <c r="AP373" s="14">
        <v>491</v>
      </c>
      <c r="AQ373" s="14">
        <f t="shared" si="278"/>
        <v>491</v>
      </c>
      <c r="AT373" s="14">
        <f t="shared" si="279"/>
        <v>0</v>
      </c>
      <c r="AU373" s="16">
        <v>3606</v>
      </c>
      <c r="AV373" s="16">
        <v>7600</v>
      </c>
      <c r="AW373" s="16">
        <v>4122</v>
      </c>
      <c r="AX373" s="16">
        <v>0</v>
      </c>
      <c r="AY373" s="18">
        <f t="shared" si="280"/>
        <v>2.1939484501208324</v>
      </c>
      <c r="AZ373" s="17">
        <f t="shared" si="281"/>
        <v>4.6239623463445163</v>
      </c>
      <c r="BA373" s="17">
        <f t="shared" si="282"/>
        <v>2.507891156793697</v>
      </c>
      <c r="BB373" s="17">
        <f t="shared" si="283"/>
        <v>0</v>
      </c>
      <c r="BC373" s="17">
        <f t="shared" si="251"/>
        <v>8.1527757159232259E-2</v>
      </c>
      <c r="BD373" s="17">
        <f t="shared" si="252"/>
        <v>0.12898421281908387</v>
      </c>
      <c r="BE373" s="17">
        <f t="shared" si="253"/>
        <v>3.3018741649489067</v>
      </c>
      <c r="BF373" s="17">
        <f t="shared" si="254"/>
        <v>2.1294563437112904E-2</v>
      </c>
      <c r="BG373" s="17">
        <f t="shared" si="255"/>
        <v>6.084160982032259E-4</v>
      </c>
      <c r="BH373" s="17">
        <f t="shared" si="256"/>
        <v>1.1559905865861291E-2</v>
      </c>
      <c r="BI373" s="17">
        <f t="shared" si="257"/>
        <v>0</v>
      </c>
      <c r="BJ373" s="17">
        <f t="shared" si="258"/>
        <v>0</v>
      </c>
      <c r="BK373" s="17">
        <f t="shared" si="259"/>
        <v>7.909409276641936E-3</v>
      </c>
      <c r="BL373" s="17">
        <f t="shared" si="260"/>
        <v>1.2168321964064518E-3</v>
      </c>
      <c r="BM373" s="17">
        <f t="shared" si="261"/>
        <v>6.084160982032259E-4</v>
      </c>
      <c r="BN373" s="17">
        <f t="shared" si="262"/>
        <v>3.6504965892193549E-2</v>
      </c>
      <c r="BO373" s="17">
        <f t="shared" si="263"/>
        <v>0</v>
      </c>
      <c r="BP373" s="17">
        <f t="shared" si="264"/>
        <v>0.25005901636152583</v>
      </c>
      <c r="BQ373" s="17">
        <f t="shared" si="265"/>
        <v>8.5178253748451616E-3</v>
      </c>
      <c r="BR373" s="17">
        <f t="shared" si="266"/>
        <v>7.3618347882590335E-2</v>
      </c>
      <c r="BS373" s="17">
        <f t="shared" si="267"/>
        <v>1.6427234651487099E-2</v>
      </c>
      <c r="BT373" s="17">
        <f t="shared" si="268"/>
        <v>0.90167265753718073</v>
      </c>
      <c r="BU373" s="17">
        <f t="shared" si="269"/>
        <v>0.19651839971964194</v>
      </c>
      <c r="BV373" s="17">
        <f t="shared" si="270"/>
        <v>6.1450025918525809E-2</v>
      </c>
      <c r="BW373" s="17">
        <f t="shared" si="271"/>
        <v>0</v>
      </c>
      <c r="BX373" s="17">
        <f t="shared" si="272"/>
        <v>0</v>
      </c>
      <c r="BY373" s="17">
        <f t="shared" si="273"/>
        <v>4.3805959070632262E-2</v>
      </c>
      <c r="BZ373" s="17">
        <f t="shared" si="284"/>
        <v>1.2168321964064518E-3</v>
      </c>
      <c r="CA373" s="17">
        <f t="shared" si="285"/>
        <v>0</v>
      </c>
      <c r="CB373" s="17">
        <f t="shared" si="286"/>
        <v>0</v>
      </c>
      <c r="CC373" s="17">
        <f t="shared" si="287"/>
        <v>0</v>
      </c>
      <c r="CD373" s="17">
        <f t="shared" si="288"/>
        <v>0.40277145701053552</v>
      </c>
      <c r="CE373" s="17">
        <f t="shared" si="289"/>
        <v>2.9203972713754842E-2</v>
      </c>
      <c r="CF373" s="17">
        <f t="shared" si="290"/>
        <v>6.084160982032259E-4</v>
      </c>
      <c r="CG373" s="17">
        <f t="shared" si="291"/>
        <v>5.9016361525712907E-2</v>
      </c>
      <c r="CH373" s="17">
        <f t="shared" si="292"/>
        <v>1.2168321964064518E-3</v>
      </c>
      <c r="CI373" s="17">
        <f t="shared" si="293"/>
        <v>0</v>
      </c>
      <c r="CJ373" s="17">
        <f t="shared" si="294"/>
        <v>0.29873230421778391</v>
      </c>
      <c r="CK373" s="17">
        <f t="shared" si="295"/>
        <v>0</v>
      </c>
      <c r="CL373" s="17">
        <f t="shared" si="296"/>
        <v>0</v>
      </c>
      <c r="CM373" s="14">
        <f t="shared" si="297"/>
        <v>11722</v>
      </c>
      <c r="CN373" s="17">
        <f t="shared" si="298"/>
        <v>7.1318535031382133</v>
      </c>
      <c r="CO373" s="14">
        <f t="shared" si="299"/>
        <v>15328</v>
      </c>
      <c r="CP373" s="17">
        <f t="shared" si="300"/>
        <v>9.3258019532590453</v>
      </c>
      <c r="CQ373" s="14">
        <f t="shared" si="274"/>
        <v>25688</v>
      </c>
      <c r="CR373" s="14">
        <v>327</v>
      </c>
      <c r="CS373" s="14">
        <v>584</v>
      </c>
      <c r="CT373" s="14">
        <v>0</v>
      </c>
      <c r="CU373" s="14">
        <v>2494</v>
      </c>
    </row>
    <row r="374" spans="1:99" x14ac:dyDescent="0.3">
      <c r="A374" s="14">
        <v>2021</v>
      </c>
      <c r="B374" s="14" t="s">
        <v>67</v>
      </c>
      <c r="C374" s="14" t="s">
        <v>68</v>
      </c>
      <c r="D374" s="15">
        <v>550908.19999999995</v>
      </c>
      <c r="E374" s="15">
        <v>16876719.999999996</v>
      </c>
      <c r="F374" s="15">
        <f t="shared" si="275"/>
        <v>30.634359771736921</v>
      </c>
      <c r="G374" s="14">
        <v>176</v>
      </c>
      <c r="H374" s="14">
        <v>293</v>
      </c>
      <c r="I374" s="14">
        <v>5833</v>
      </c>
      <c r="J374" s="14">
        <v>36</v>
      </c>
      <c r="L374" s="14">
        <v>15</v>
      </c>
      <c r="M374" s="14">
        <v>16443</v>
      </c>
      <c r="N374" s="14">
        <v>28</v>
      </c>
      <c r="O374" s="14">
        <v>94</v>
      </c>
      <c r="P374" s="14">
        <v>4</v>
      </c>
      <c r="R374" s="14">
        <v>87</v>
      </c>
      <c r="T374" s="14">
        <v>53</v>
      </c>
      <c r="U374" s="14">
        <v>103</v>
      </c>
      <c r="V374" s="14">
        <v>123</v>
      </c>
      <c r="W374" s="14">
        <v>188</v>
      </c>
      <c r="Y374" s="14">
        <v>14</v>
      </c>
      <c r="Z374" s="14">
        <v>434</v>
      </c>
      <c r="AA374" s="14">
        <v>4</v>
      </c>
      <c r="AB374" s="14">
        <f t="shared" si="276"/>
        <v>98</v>
      </c>
      <c r="AC374" s="14">
        <v>2</v>
      </c>
      <c r="AD374" s="14">
        <v>104</v>
      </c>
      <c r="AE374" s="14">
        <v>8</v>
      </c>
      <c r="AF374" s="14">
        <v>107</v>
      </c>
      <c r="AG374" s="14">
        <v>16</v>
      </c>
      <c r="AH374" s="14">
        <v>344</v>
      </c>
      <c r="AI374" s="14">
        <v>917</v>
      </c>
      <c r="AJ374" s="14">
        <v>40</v>
      </c>
      <c r="AM374" s="14">
        <f t="shared" si="277"/>
        <v>0</v>
      </c>
      <c r="AP374" s="14">
        <v>173</v>
      </c>
      <c r="AQ374" s="14">
        <f t="shared" si="278"/>
        <v>173</v>
      </c>
      <c r="AT374" s="14">
        <f t="shared" si="279"/>
        <v>0</v>
      </c>
      <c r="AU374" s="16">
        <v>4634</v>
      </c>
      <c r="AV374" s="16">
        <v>12954</v>
      </c>
      <c r="AW374" s="16">
        <v>5478</v>
      </c>
      <c r="AX374" s="16">
        <v>949</v>
      </c>
      <c r="AY374" s="18">
        <f t="shared" si="280"/>
        <v>2.7457942064571794</v>
      </c>
      <c r="AZ374" s="17">
        <f t="shared" si="281"/>
        <v>7.6756620954782697</v>
      </c>
      <c r="BA374" s="17">
        <f t="shared" si="282"/>
        <v>3.2458913817376844</v>
      </c>
      <c r="BB374" s="17">
        <f t="shared" si="283"/>
        <v>0.56231305609146809</v>
      </c>
      <c r="BC374" s="17">
        <f t="shared" si="251"/>
        <v>0.10428566688313845</v>
      </c>
      <c r="BD374" s="17">
        <f t="shared" si="252"/>
        <v>0.17361193407249753</v>
      </c>
      <c r="BE374" s="17">
        <f t="shared" si="253"/>
        <v>3.4562403120985601</v>
      </c>
      <c r="BF374" s="17">
        <f t="shared" si="254"/>
        <v>2.1331159135187412E-2</v>
      </c>
      <c r="BG374" s="17">
        <f t="shared" si="255"/>
        <v>0</v>
      </c>
      <c r="BH374" s="17">
        <f t="shared" si="256"/>
        <v>8.8879829729947551E-3</v>
      </c>
      <c r="BI374" s="17">
        <f t="shared" si="257"/>
        <v>9.7430069349968491</v>
      </c>
      <c r="BJ374" s="17">
        <f t="shared" si="258"/>
        <v>1.6590901549590208E-2</v>
      </c>
      <c r="BK374" s="17">
        <f t="shared" si="259"/>
        <v>5.5698026630767131E-2</v>
      </c>
      <c r="BL374" s="17">
        <f t="shared" si="260"/>
        <v>2.3701287927986011E-3</v>
      </c>
      <c r="BM374" s="17">
        <f t="shared" si="261"/>
        <v>0</v>
      </c>
      <c r="BN374" s="17">
        <f t="shared" si="262"/>
        <v>5.1550301243369574E-2</v>
      </c>
      <c r="BO374" s="17">
        <f t="shared" si="263"/>
        <v>0</v>
      </c>
      <c r="BP374" s="17">
        <f t="shared" si="264"/>
        <v>3.1404206504581464E-2</v>
      </c>
      <c r="BQ374" s="17">
        <f t="shared" si="265"/>
        <v>6.1030816414563982E-2</v>
      </c>
      <c r="BR374" s="17">
        <f t="shared" si="266"/>
        <v>7.2881460378556986E-2</v>
      </c>
      <c r="BS374" s="17">
        <f t="shared" si="267"/>
        <v>0.11139605326153426</v>
      </c>
      <c r="BT374" s="17">
        <f t="shared" si="268"/>
        <v>0</v>
      </c>
      <c r="BU374" s="17">
        <f t="shared" si="269"/>
        <v>8.2954507747951042E-3</v>
      </c>
      <c r="BV374" s="17">
        <f t="shared" si="270"/>
        <v>0.25715897401864823</v>
      </c>
      <c r="BW374" s="17">
        <f t="shared" si="271"/>
        <v>2.3701287927986011E-3</v>
      </c>
      <c r="BX374" s="17">
        <f t="shared" si="272"/>
        <v>1.1850643963993005E-3</v>
      </c>
      <c r="BY374" s="17">
        <f t="shared" si="273"/>
        <v>6.1623348612763633E-2</v>
      </c>
      <c r="BZ374" s="17">
        <f t="shared" si="284"/>
        <v>4.7402575855972021E-3</v>
      </c>
      <c r="CA374" s="17">
        <f t="shared" si="285"/>
        <v>6.3400945207362586E-2</v>
      </c>
      <c r="CB374" s="17">
        <f t="shared" si="286"/>
        <v>9.4805151711944043E-3</v>
      </c>
      <c r="CC374" s="17">
        <f t="shared" si="287"/>
        <v>0.20383107618067969</v>
      </c>
      <c r="CD374" s="17">
        <f t="shared" si="288"/>
        <v>0.54335202574907937</v>
      </c>
      <c r="CE374" s="17">
        <f t="shared" si="289"/>
        <v>2.3701287927986012E-2</v>
      </c>
      <c r="CF374" s="17">
        <f t="shared" si="290"/>
        <v>0</v>
      </c>
      <c r="CG374" s="17">
        <f t="shared" si="291"/>
        <v>0</v>
      </c>
      <c r="CH374" s="17">
        <f t="shared" si="292"/>
        <v>0</v>
      </c>
      <c r="CI374" s="17">
        <f t="shared" si="293"/>
        <v>0</v>
      </c>
      <c r="CJ374" s="17">
        <f t="shared" si="294"/>
        <v>0.1025080702885395</v>
      </c>
      <c r="CK374" s="17">
        <f t="shared" si="295"/>
        <v>0</v>
      </c>
      <c r="CL374" s="17">
        <f t="shared" si="296"/>
        <v>0</v>
      </c>
      <c r="CM374" s="14">
        <f t="shared" si="297"/>
        <v>18432</v>
      </c>
      <c r="CN374" s="17">
        <f t="shared" si="298"/>
        <v>10.921553477215955</v>
      </c>
      <c r="CO374" s="14">
        <f t="shared" si="299"/>
        <v>23066</v>
      </c>
      <c r="CP374" s="17">
        <f t="shared" si="300"/>
        <v>13.667347683673134</v>
      </c>
      <c r="CQ374" s="14">
        <f t="shared" si="274"/>
        <v>49925</v>
      </c>
      <c r="CR374" s="14">
        <v>0</v>
      </c>
      <c r="CS374" s="14">
        <v>0</v>
      </c>
      <c r="CT374" s="14">
        <v>0</v>
      </c>
      <c r="CU374" s="14">
        <v>0</v>
      </c>
    </row>
    <row r="375" spans="1:99" x14ac:dyDescent="0.3">
      <c r="A375" s="14">
        <v>2022</v>
      </c>
      <c r="B375" s="14" t="s">
        <v>67</v>
      </c>
      <c r="C375" s="14" t="s">
        <v>68</v>
      </c>
      <c r="D375" s="15">
        <v>558327.9</v>
      </c>
      <c r="E375" s="15">
        <v>17316449</v>
      </c>
      <c r="F375" s="15">
        <f t="shared" si="275"/>
        <v>31.014837338417085</v>
      </c>
      <c r="G375" s="14">
        <v>223</v>
      </c>
      <c r="H375" s="14">
        <v>352</v>
      </c>
      <c r="I375" s="14">
        <v>3584</v>
      </c>
      <c r="J375" s="14">
        <v>31</v>
      </c>
      <c r="L375" s="14">
        <v>17</v>
      </c>
      <c r="M375" s="14">
        <v>18757</v>
      </c>
      <c r="N375" s="14">
        <v>64</v>
      </c>
      <c r="O375" s="14">
        <v>15</v>
      </c>
      <c r="P375" s="14">
        <v>12</v>
      </c>
      <c r="T375" s="14">
        <v>634</v>
      </c>
      <c r="U375" s="14">
        <v>122</v>
      </c>
      <c r="V375" s="14">
        <v>237</v>
      </c>
      <c r="Y375" s="14">
        <v>252</v>
      </c>
      <c r="AB375" s="14">
        <f t="shared" si="276"/>
        <v>15</v>
      </c>
      <c r="AD375" s="14">
        <v>109</v>
      </c>
      <c r="AE375" s="14">
        <v>7</v>
      </c>
      <c r="AI375" s="14">
        <v>1083</v>
      </c>
      <c r="AJ375" s="14">
        <v>57</v>
      </c>
      <c r="AK375" s="14">
        <v>90</v>
      </c>
      <c r="AL375" s="14">
        <v>4</v>
      </c>
      <c r="AM375" s="14">
        <f t="shared" si="277"/>
        <v>94</v>
      </c>
      <c r="AN375" s="14">
        <v>14</v>
      </c>
      <c r="AP375" s="14">
        <v>543</v>
      </c>
      <c r="AQ375" s="14">
        <f t="shared" si="278"/>
        <v>543</v>
      </c>
      <c r="AT375" s="14">
        <f t="shared" si="279"/>
        <v>0</v>
      </c>
      <c r="AU375" s="16">
        <v>4876</v>
      </c>
      <c r="AV375" s="16">
        <v>9474</v>
      </c>
      <c r="AW375" s="16">
        <v>5606</v>
      </c>
      <c r="AX375" s="16">
        <v>3378</v>
      </c>
      <c r="AY375" s="18">
        <f t="shared" si="280"/>
        <v>2.815819802316283</v>
      </c>
      <c r="AZ375" s="17">
        <f t="shared" si="281"/>
        <v>5.4710986068795053</v>
      </c>
      <c r="BA375" s="17">
        <f t="shared" si="282"/>
        <v>3.237384292818926</v>
      </c>
      <c r="BB375" s="17">
        <f t="shared" si="283"/>
        <v>1.9507463683807229</v>
      </c>
      <c r="BC375" s="17">
        <f t="shared" si="251"/>
        <v>0.12877928956450599</v>
      </c>
      <c r="BD375" s="17">
        <f t="shared" si="252"/>
        <v>0.20327493240675384</v>
      </c>
      <c r="BE375" s="17">
        <f t="shared" si="253"/>
        <v>2.0697084026869481</v>
      </c>
      <c r="BF375" s="17">
        <f t="shared" si="254"/>
        <v>1.7902053706276615E-2</v>
      </c>
      <c r="BG375" s="17">
        <f t="shared" si="255"/>
        <v>0</v>
      </c>
      <c r="BH375" s="17">
        <f t="shared" si="256"/>
        <v>9.8172552582807254E-3</v>
      </c>
      <c r="BI375" s="17">
        <f t="shared" si="257"/>
        <v>10.831897463504209</v>
      </c>
      <c r="BJ375" s="17">
        <f t="shared" si="258"/>
        <v>3.6959078619409787E-2</v>
      </c>
      <c r="BK375" s="17">
        <f t="shared" si="259"/>
        <v>8.6622840514241697E-3</v>
      </c>
      <c r="BL375" s="17">
        <f t="shared" si="260"/>
        <v>6.9298272411393354E-3</v>
      </c>
      <c r="BM375" s="17">
        <f t="shared" si="261"/>
        <v>0</v>
      </c>
      <c r="BN375" s="17">
        <f t="shared" si="262"/>
        <v>0</v>
      </c>
      <c r="BO375" s="17">
        <f t="shared" si="263"/>
        <v>0</v>
      </c>
      <c r="BP375" s="17">
        <f t="shared" si="264"/>
        <v>0.36612587257352819</v>
      </c>
      <c r="BQ375" s="17">
        <f t="shared" si="265"/>
        <v>7.0453243618249908E-2</v>
      </c>
      <c r="BR375" s="17">
        <f t="shared" si="266"/>
        <v>0.13686408801250188</v>
      </c>
      <c r="BS375" s="17">
        <f t="shared" si="267"/>
        <v>0</v>
      </c>
      <c r="BT375" s="17">
        <f t="shared" si="268"/>
        <v>0</v>
      </c>
      <c r="BU375" s="17">
        <f t="shared" si="269"/>
        <v>0.14552637206392605</v>
      </c>
      <c r="BV375" s="17">
        <f t="shared" si="270"/>
        <v>0</v>
      </c>
      <c r="BW375" s="17">
        <f t="shared" si="271"/>
        <v>0</v>
      </c>
      <c r="BX375" s="17">
        <f t="shared" si="272"/>
        <v>0</v>
      </c>
      <c r="BY375" s="17">
        <f t="shared" si="273"/>
        <v>6.2945930773682296E-2</v>
      </c>
      <c r="BZ375" s="17">
        <f t="shared" si="284"/>
        <v>4.0423992239979455E-3</v>
      </c>
      <c r="CA375" s="17">
        <f t="shared" si="285"/>
        <v>0</v>
      </c>
      <c r="CB375" s="17">
        <f t="shared" si="286"/>
        <v>0</v>
      </c>
      <c r="CC375" s="17">
        <f t="shared" si="287"/>
        <v>0</v>
      </c>
      <c r="CD375" s="17">
        <f t="shared" si="288"/>
        <v>0.62541690851282505</v>
      </c>
      <c r="CE375" s="17">
        <f t="shared" si="289"/>
        <v>3.2916679395411839E-2</v>
      </c>
      <c r="CF375" s="17">
        <f t="shared" si="290"/>
        <v>5.1973704308545011E-2</v>
      </c>
      <c r="CG375" s="17">
        <f t="shared" si="291"/>
        <v>2.3099424137131117E-3</v>
      </c>
      <c r="CH375" s="17">
        <f t="shared" si="292"/>
        <v>8.0847984479958911E-3</v>
      </c>
      <c r="CI375" s="17">
        <f t="shared" si="293"/>
        <v>0</v>
      </c>
      <c r="CJ375" s="17">
        <f t="shared" si="294"/>
        <v>0.31357468266155492</v>
      </c>
      <c r="CK375" s="17">
        <f t="shared" si="295"/>
        <v>0</v>
      </c>
      <c r="CL375" s="17">
        <f t="shared" si="296"/>
        <v>0</v>
      </c>
      <c r="CM375" s="14">
        <f t="shared" si="297"/>
        <v>15080</v>
      </c>
      <c r="CN375" s="17">
        <f t="shared" si="298"/>
        <v>8.7084828996984314</v>
      </c>
      <c r="CO375" s="14">
        <f t="shared" si="299"/>
        <v>19956</v>
      </c>
      <c r="CP375" s="17">
        <f t="shared" si="300"/>
        <v>11.524302702014715</v>
      </c>
      <c r="CQ375" s="14">
        <f t="shared" si="274"/>
        <v>50193</v>
      </c>
      <c r="CR375" s="14">
        <v>18</v>
      </c>
      <c r="CS375" s="14">
        <v>17</v>
      </c>
      <c r="CT375" s="14">
        <v>0</v>
      </c>
      <c r="CU375" s="14">
        <v>0</v>
      </c>
    </row>
    <row r="376" spans="1:99" x14ac:dyDescent="0.3">
      <c r="A376" s="14">
        <v>2012</v>
      </c>
      <c r="B376" s="14" t="s">
        <v>69</v>
      </c>
      <c r="C376" s="14" t="s">
        <v>70</v>
      </c>
      <c r="D376" s="15">
        <v>1803.6</v>
      </c>
      <c r="E376" s="15">
        <v>95308.999999999985</v>
      </c>
      <c r="F376" s="15">
        <f t="shared" si="275"/>
        <v>52.843756930583275</v>
      </c>
      <c r="G376" s="14">
        <v>14</v>
      </c>
      <c r="H376" s="14">
        <v>4</v>
      </c>
      <c r="AB376" s="14">
        <f t="shared" si="276"/>
        <v>0</v>
      </c>
      <c r="AM376" s="14">
        <f t="shared" si="277"/>
        <v>0</v>
      </c>
      <c r="AQ376" s="14">
        <f t="shared" si="278"/>
        <v>0</v>
      </c>
      <c r="AT376" s="14">
        <f t="shared" si="279"/>
        <v>0</v>
      </c>
      <c r="AU376" s="16">
        <v>186</v>
      </c>
      <c r="AV376" s="16">
        <v>838</v>
      </c>
      <c r="AW376" s="16">
        <v>0</v>
      </c>
      <c r="AX376" s="16">
        <v>0</v>
      </c>
      <c r="AY376" s="18">
        <f t="shared" si="280"/>
        <v>19.515470732040001</v>
      </c>
      <c r="AZ376" s="17">
        <f t="shared" si="281"/>
        <v>87.924540179836129</v>
      </c>
      <c r="BA376" s="17">
        <f t="shared" si="282"/>
        <v>0</v>
      </c>
      <c r="BB376" s="17">
        <f t="shared" si="283"/>
        <v>0</v>
      </c>
      <c r="BC376" s="17">
        <f t="shared" si="251"/>
        <v>1.4689063991858065</v>
      </c>
      <c r="BD376" s="17">
        <f t="shared" si="252"/>
        <v>0.41968754262451613</v>
      </c>
      <c r="BE376" s="17">
        <f t="shared" si="253"/>
        <v>0</v>
      </c>
      <c r="BF376" s="17">
        <f t="shared" si="254"/>
        <v>0</v>
      </c>
      <c r="BG376" s="17">
        <f t="shared" si="255"/>
        <v>0</v>
      </c>
      <c r="BH376" s="17">
        <f t="shared" si="256"/>
        <v>0</v>
      </c>
      <c r="BI376" s="17">
        <f t="shared" si="257"/>
        <v>0</v>
      </c>
      <c r="BJ376" s="17">
        <f t="shared" si="258"/>
        <v>0</v>
      </c>
      <c r="BK376" s="17">
        <f t="shared" si="259"/>
        <v>0</v>
      </c>
      <c r="BL376" s="17">
        <f t="shared" si="260"/>
        <v>0</v>
      </c>
      <c r="BM376" s="17">
        <f t="shared" si="261"/>
        <v>0</v>
      </c>
      <c r="BN376" s="17">
        <f t="shared" si="262"/>
        <v>0</v>
      </c>
      <c r="BO376" s="17">
        <f t="shared" si="263"/>
        <v>0</v>
      </c>
      <c r="BP376" s="17">
        <f t="shared" si="264"/>
        <v>0</v>
      </c>
      <c r="BQ376" s="17">
        <f t="shared" si="265"/>
        <v>0</v>
      </c>
      <c r="BR376" s="17">
        <f t="shared" si="266"/>
        <v>0</v>
      </c>
      <c r="BS376" s="17">
        <f t="shared" si="267"/>
        <v>0</v>
      </c>
      <c r="BT376" s="17">
        <f t="shared" si="268"/>
        <v>0</v>
      </c>
      <c r="BU376" s="17">
        <f t="shared" si="269"/>
        <v>0</v>
      </c>
      <c r="BV376" s="17">
        <f t="shared" si="270"/>
        <v>0</v>
      </c>
      <c r="BW376" s="17">
        <f t="shared" si="271"/>
        <v>0</v>
      </c>
      <c r="BX376" s="17">
        <f t="shared" si="272"/>
        <v>0</v>
      </c>
      <c r="BY376" s="17">
        <f t="shared" si="273"/>
        <v>0</v>
      </c>
      <c r="BZ376" s="17">
        <f t="shared" si="284"/>
        <v>0</v>
      </c>
      <c r="CA376" s="17">
        <f t="shared" si="285"/>
        <v>0</v>
      </c>
      <c r="CB376" s="17">
        <f t="shared" si="286"/>
        <v>0</v>
      </c>
      <c r="CC376" s="17">
        <f t="shared" si="287"/>
        <v>0</v>
      </c>
      <c r="CD376" s="17">
        <f t="shared" si="288"/>
        <v>0</v>
      </c>
      <c r="CE376" s="17">
        <f t="shared" si="289"/>
        <v>0</v>
      </c>
      <c r="CF376" s="17">
        <f t="shared" si="290"/>
        <v>0</v>
      </c>
      <c r="CG376" s="17">
        <f t="shared" si="291"/>
        <v>0</v>
      </c>
      <c r="CH376" s="17">
        <f t="shared" si="292"/>
        <v>0</v>
      </c>
      <c r="CI376" s="17">
        <f t="shared" si="293"/>
        <v>0</v>
      </c>
      <c r="CJ376" s="17">
        <f t="shared" si="294"/>
        <v>0</v>
      </c>
      <c r="CK376" s="17">
        <f t="shared" si="295"/>
        <v>0</v>
      </c>
      <c r="CL376" s="17">
        <f t="shared" si="296"/>
        <v>0</v>
      </c>
      <c r="CM376" s="14">
        <f t="shared" si="297"/>
        <v>838</v>
      </c>
      <c r="CN376" s="17">
        <f t="shared" si="298"/>
        <v>87.924540179836129</v>
      </c>
      <c r="CO376" s="14">
        <f t="shared" si="299"/>
        <v>1024</v>
      </c>
      <c r="CP376" s="17">
        <f t="shared" si="300"/>
        <v>107.44001091187613</v>
      </c>
      <c r="CQ376" s="14">
        <f t="shared" si="274"/>
        <v>1042</v>
      </c>
      <c r="CR376" s="14">
        <v>0</v>
      </c>
      <c r="CS376" s="14">
        <v>0</v>
      </c>
      <c r="CT376" s="14">
        <v>0</v>
      </c>
      <c r="CU376" s="14">
        <v>0</v>
      </c>
    </row>
    <row r="377" spans="1:99" x14ac:dyDescent="0.3">
      <c r="A377" s="14">
        <v>2013</v>
      </c>
      <c r="B377" s="14" t="s">
        <v>69</v>
      </c>
      <c r="C377" s="14" t="s">
        <v>70</v>
      </c>
      <c r="D377" s="15">
        <v>1775</v>
      </c>
      <c r="E377" s="15">
        <v>96714</v>
      </c>
      <c r="F377" s="15">
        <f t="shared" si="275"/>
        <v>54.48676056338028</v>
      </c>
      <c r="AB377" s="14">
        <f t="shared" si="276"/>
        <v>0</v>
      </c>
      <c r="AM377" s="14">
        <f t="shared" si="277"/>
        <v>0</v>
      </c>
      <c r="AQ377" s="14">
        <f t="shared" si="278"/>
        <v>0</v>
      </c>
      <c r="AT377" s="14">
        <f t="shared" si="279"/>
        <v>0</v>
      </c>
      <c r="AU377" s="16">
        <v>0</v>
      </c>
      <c r="AV377" s="16">
        <v>0</v>
      </c>
      <c r="AW377" s="16">
        <v>0</v>
      </c>
      <c r="AX377" s="16">
        <v>0</v>
      </c>
      <c r="AY377" s="18">
        <f t="shared" si="280"/>
        <v>0</v>
      </c>
      <c r="AZ377" s="17">
        <f t="shared" si="281"/>
        <v>0</v>
      </c>
      <c r="BA377" s="17">
        <f t="shared" si="282"/>
        <v>0</v>
      </c>
      <c r="BB377" s="17">
        <f t="shared" si="283"/>
        <v>0</v>
      </c>
      <c r="BC377" s="17">
        <f t="shared" si="251"/>
        <v>0</v>
      </c>
      <c r="BD377" s="17">
        <f t="shared" si="252"/>
        <v>0</v>
      </c>
      <c r="BE377" s="17">
        <f t="shared" si="253"/>
        <v>0</v>
      </c>
      <c r="BF377" s="17">
        <f t="shared" si="254"/>
        <v>0</v>
      </c>
      <c r="BG377" s="17">
        <f t="shared" si="255"/>
        <v>0</v>
      </c>
      <c r="BH377" s="17">
        <f t="shared" si="256"/>
        <v>0</v>
      </c>
      <c r="BI377" s="17">
        <f t="shared" si="257"/>
        <v>0</v>
      </c>
      <c r="BJ377" s="17">
        <f t="shared" si="258"/>
        <v>0</v>
      </c>
      <c r="BK377" s="17">
        <f t="shared" si="259"/>
        <v>0</v>
      </c>
      <c r="BL377" s="17">
        <f t="shared" si="260"/>
        <v>0</v>
      </c>
      <c r="BM377" s="17">
        <f t="shared" si="261"/>
        <v>0</v>
      </c>
      <c r="BN377" s="17">
        <f t="shared" si="262"/>
        <v>0</v>
      </c>
      <c r="BO377" s="17">
        <f t="shared" si="263"/>
        <v>0</v>
      </c>
      <c r="BP377" s="17">
        <f t="shared" si="264"/>
        <v>0</v>
      </c>
      <c r="BQ377" s="17">
        <f t="shared" si="265"/>
        <v>0</v>
      </c>
      <c r="BR377" s="17">
        <f t="shared" si="266"/>
        <v>0</v>
      </c>
      <c r="BS377" s="17">
        <f t="shared" si="267"/>
        <v>0</v>
      </c>
      <c r="BT377" s="17">
        <f t="shared" si="268"/>
        <v>0</v>
      </c>
      <c r="BU377" s="17">
        <f t="shared" si="269"/>
        <v>0</v>
      </c>
      <c r="BV377" s="17">
        <f t="shared" si="270"/>
        <v>0</v>
      </c>
      <c r="BW377" s="17">
        <f t="shared" si="271"/>
        <v>0</v>
      </c>
      <c r="BX377" s="17">
        <f t="shared" si="272"/>
        <v>0</v>
      </c>
      <c r="BY377" s="17">
        <f t="shared" si="273"/>
        <v>0</v>
      </c>
      <c r="BZ377" s="17">
        <f t="shared" si="284"/>
        <v>0</v>
      </c>
      <c r="CA377" s="17">
        <f t="shared" si="285"/>
        <v>0</v>
      </c>
      <c r="CB377" s="17">
        <f t="shared" si="286"/>
        <v>0</v>
      </c>
      <c r="CC377" s="17">
        <f t="shared" si="287"/>
        <v>0</v>
      </c>
      <c r="CD377" s="17">
        <f t="shared" si="288"/>
        <v>0</v>
      </c>
      <c r="CE377" s="17">
        <f t="shared" si="289"/>
        <v>0</v>
      </c>
      <c r="CF377" s="17">
        <f t="shared" si="290"/>
        <v>0</v>
      </c>
      <c r="CG377" s="17">
        <f t="shared" si="291"/>
        <v>0</v>
      </c>
      <c r="CH377" s="17">
        <f t="shared" si="292"/>
        <v>0</v>
      </c>
      <c r="CI377" s="17">
        <f t="shared" si="293"/>
        <v>0</v>
      </c>
      <c r="CJ377" s="17">
        <f t="shared" si="294"/>
        <v>0</v>
      </c>
      <c r="CK377" s="17">
        <f t="shared" si="295"/>
        <v>0</v>
      </c>
      <c r="CL377" s="17">
        <f t="shared" si="296"/>
        <v>0</v>
      </c>
      <c r="CM377" s="14">
        <f t="shared" si="297"/>
        <v>0</v>
      </c>
      <c r="CN377" s="17">
        <f t="shared" si="298"/>
        <v>0</v>
      </c>
      <c r="CO377" s="14">
        <f t="shared" si="299"/>
        <v>0</v>
      </c>
      <c r="CP377" s="17">
        <f t="shared" si="300"/>
        <v>0</v>
      </c>
      <c r="CQ377" s="14">
        <f t="shared" si="274"/>
        <v>0</v>
      </c>
      <c r="CR377" s="14">
        <v>0</v>
      </c>
      <c r="CS377" s="14">
        <v>0</v>
      </c>
      <c r="CT377" s="14">
        <v>0</v>
      </c>
      <c r="CU377" s="14">
        <v>0</v>
      </c>
    </row>
    <row r="378" spans="1:99" x14ac:dyDescent="0.3">
      <c r="A378" s="14">
        <v>2014</v>
      </c>
      <c r="B378" s="14" t="s">
        <v>69</v>
      </c>
      <c r="C378" s="14" t="s">
        <v>70</v>
      </c>
      <c r="D378" s="15">
        <v>1726.4</v>
      </c>
      <c r="E378" s="15">
        <v>98000.999999999927</v>
      </c>
      <c r="F378" s="15">
        <f t="shared" si="275"/>
        <v>56.76610287303054</v>
      </c>
      <c r="AB378" s="14">
        <f t="shared" si="276"/>
        <v>0</v>
      </c>
      <c r="AM378" s="14">
        <f t="shared" si="277"/>
        <v>0</v>
      </c>
      <c r="AQ378" s="14">
        <f t="shared" si="278"/>
        <v>0</v>
      </c>
      <c r="AT378" s="14">
        <f t="shared" si="279"/>
        <v>0</v>
      </c>
      <c r="AU378" s="16">
        <v>0</v>
      </c>
      <c r="AV378" s="16">
        <v>0</v>
      </c>
      <c r="AW378" s="16">
        <v>0</v>
      </c>
      <c r="AX378" s="16">
        <v>0</v>
      </c>
      <c r="AY378" s="18">
        <f t="shared" si="280"/>
        <v>0</v>
      </c>
      <c r="AZ378" s="17">
        <f t="shared" si="281"/>
        <v>0</v>
      </c>
      <c r="BA378" s="17">
        <f t="shared" si="282"/>
        <v>0</v>
      </c>
      <c r="BB378" s="17">
        <f t="shared" si="283"/>
        <v>0</v>
      </c>
      <c r="BC378" s="17">
        <f t="shared" si="251"/>
        <v>0</v>
      </c>
      <c r="BD378" s="17">
        <f t="shared" si="252"/>
        <v>0</v>
      </c>
      <c r="BE378" s="17">
        <f t="shared" si="253"/>
        <v>0</v>
      </c>
      <c r="BF378" s="17">
        <f t="shared" si="254"/>
        <v>0</v>
      </c>
      <c r="BG378" s="17">
        <f t="shared" si="255"/>
        <v>0</v>
      </c>
      <c r="BH378" s="17">
        <f t="shared" si="256"/>
        <v>0</v>
      </c>
      <c r="BI378" s="17">
        <f t="shared" si="257"/>
        <v>0</v>
      </c>
      <c r="BJ378" s="17">
        <f t="shared" si="258"/>
        <v>0</v>
      </c>
      <c r="BK378" s="17">
        <f t="shared" si="259"/>
        <v>0</v>
      </c>
      <c r="BL378" s="17">
        <f t="shared" si="260"/>
        <v>0</v>
      </c>
      <c r="BM378" s="17">
        <f t="shared" si="261"/>
        <v>0</v>
      </c>
      <c r="BN378" s="17">
        <f t="shared" si="262"/>
        <v>0</v>
      </c>
      <c r="BO378" s="17">
        <f t="shared" si="263"/>
        <v>0</v>
      </c>
      <c r="BP378" s="17">
        <f t="shared" si="264"/>
        <v>0</v>
      </c>
      <c r="BQ378" s="17">
        <f t="shared" si="265"/>
        <v>0</v>
      </c>
      <c r="BR378" s="17">
        <f t="shared" si="266"/>
        <v>0</v>
      </c>
      <c r="BS378" s="17">
        <f t="shared" si="267"/>
        <v>0</v>
      </c>
      <c r="BT378" s="17">
        <f t="shared" si="268"/>
        <v>0</v>
      </c>
      <c r="BU378" s="17">
        <f t="shared" si="269"/>
        <v>0</v>
      </c>
      <c r="BV378" s="17">
        <f t="shared" si="270"/>
        <v>0</v>
      </c>
      <c r="BW378" s="17">
        <f t="shared" si="271"/>
        <v>0</v>
      </c>
      <c r="BX378" s="17">
        <f t="shared" si="272"/>
        <v>0</v>
      </c>
      <c r="BY378" s="17">
        <f t="shared" si="273"/>
        <v>0</v>
      </c>
      <c r="BZ378" s="17">
        <f t="shared" si="284"/>
        <v>0</v>
      </c>
      <c r="CA378" s="17">
        <f t="shared" si="285"/>
        <v>0</v>
      </c>
      <c r="CB378" s="17">
        <f t="shared" si="286"/>
        <v>0</v>
      </c>
      <c r="CC378" s="17">
        <f t="shared" si="287"/>
        <v>0</v>
      </c>
      <c r="CD378" s="17">
        <f t="shared" si="288"/>
        <v>0</v>
      </c>
      <c r="CE378" s="17">
        <f t="shared" si="289"/>
        <v>0</v>
      </c>
      <c r="CF378" s="17">
        <f t="shared" si="290"/>
        <v>0</v>
      </c>
      <c r="CG378" s="17">
        <f t="shared" si="291"/>
        <v>0</v>
      </c>
      <c r="CH378" s="17">
        <f t="shared" si="292"/>
        <v>0</v>
      </c>
      <c r="CI378" s="17">
        <f t="shared" si="293"/>
        <v>0</v>
      </c>
      <c r="CJ378" s="17">
        <f t="shared" si="294"/>
        <v>0</v>
      </c>
      <c r="CK378" s="17">
        <f t="shared" si="295"/>
        <v>0</v>
      </c>
      <c r="CL378" s="17">
        <f t="shared" si="296"/>
        <v>0</v>
      </c>
      <c r="CM378" s="14">
        <f t="shared" si="297"/>
        <v>0</v>
      </c>
      <c r="CN378" s="17">
        <f t="shared" si="298"/>
        <v>0</v>
      </c>
      <c r="CO378" s="14">
        <f t="shared" si="299"/>
        <v>0</v>
      </c>
      <c r="CP378" s="17">
        <f t="shared" si="300"/>
        <v>0</v>
      </c>
      <c r="CQ378" s="14">
        <f t="shared" si="274"/>
        <v>0</v>
      </c>
      <c r="CR378" s="14">
        <v>0</v>
      </c>
      <c r="CS378" s="14">
        <v>217</v>
      </c>
      <c r="CT378" s="14">
        <v>0</v>
      </c>
      <c r="CU378" s="14">
        <v>0</v>
      </c>
    </row>
    <row r="379" spans="1:99" x14ac:dyDescent="0.3">
      <c r="A379" s="14">
        <v>2015</v>
      </c>
      <c r="B379" s="14" t="s">
        <v>69</v>
      </c>
      <c r="C379" s="14" t="s">
        <v>70</v>
      </c>
      <c r="D379" s="15">
        <v>1743.6</v>
      </c>
      <c r="E379" s="15">
        <v>99239.999999999971</v>
      </c>
      <c r="F379" s="15">
        <f t="shared" si="275"/>
        <v>56.916724019270461</v>
      </c>
      <c r="AB379" s="14">
        <f t="shared" si="276"/>
        <v>0</v>
      </c>
      <c r="AM379" s="14">
        <f t="shared" si="277"/>
        <v>0</v>
      </c>
      <c r="AQ379" s="14">
        <f t="shared" si="278"/>
        <v>0</v>
      </c>
      <c r="AT379" s="14">
        <f t="shared" si="279"/>
        <v>0</v>
      </c>
      <c r="AU379" s="16">
        <v>4</v>
      </c>
      <c r="AV379" s="16">
        <v>0</v>
      </c>
      <c r="AW379" s="16">
        <v>0</v>
      </c>
      <c r="AX379" s="16">
        <v>0</v>
      </c>
      <c r="AY379" s="18">
        <f t="shared" si="280"/>
        <v>0.4030632809351069</v>
      </c>
      <c r="AZ379" s="17">
        <f t="shared" si="281"/>
        <v>0</v>
      </c>
      <c r="BA379" s="17">
        <f t="shared" si="282"/>
        <v>0</v>
      </c>
      <c r="BB379" s="17">
        <f t="shared" si="283"/>
        <v>0</v>
      </c>
      <c r="BC379" s="17">
        <f t="shared" si="251"/>
        <v>0</v>
      </c>
      <c r="BD379" s="17">
        <f t="shared" si="252"/>
        <v>0</v>
      </c>
      <c r="BE379" s="17">
        <f t="shared" si="253"/>
        <v>0</v>
      </c>
      <c r="BF379" s="17">
        <f t="shared" si="254"/>
        <v>0</v>
      </c>
      <c r="BG379" s="17">
        <f t="shared" si="255"/>
        <v>0</v>
      </c>
      <c r="BH379" s="17">
        <f t="shared" si="256"/>
        <v>0</v>
      </c>
      <c r="BI379" s="17">
        <f t="shared" si="257"/>
        <v>0</v>
      </c>
      <c r="BJ379" s="17">
        <f t="shared" si="258"/>
        <v>0</v>
      </c>
      <c r="BK379" s="17">
        <f t="shared" si="259"/>
        <v>0</v>
      </c>
      <c r="BL379" s="17">
        <f t="shared" si="260"/>
        <v>0</v>
      </c>
      <c r="BM379" s="17">
        <f t="shared" si="261"/>
        <v>0</v>
      </c>
      <c r="BN379" s="17">
        <f t="shared" si="262"/>
        <v>0</v>
      </c>
      <c r="BO379" s="17">
        <f t="shared" si="263"/>
        <v>0</v>
      </c>
      <c r="BP379" s="17">
        <f t="shared" si="264"/>
        <v>0</v>
      </c>
      <c r="BQ379" s="17">
        <f t="shared" si="265"/>
        <v>0</v>
      </c>
      <c r="BR379" s="17">
        <f t="shared" si="266"/>
        <v>0</v>
      </c>
      <c r="BS379" s="17">
        <f t="shared" si="267"/>
        <v>0</v>
      </c>
      <c r="BT379" s="17">
        <f t="shared" si="268"/>
        <v>0</v>
      </c>
      <c r="BU379" s="17">
        <f t="shared" si="269"/>
        <v>0</v>
      </c>
      <c r="BV379" s="17">
        <f t="shared" si="270"/>
        <v>0</v>
      </c>
      <c r="BW379" s="17">
        <f t="shared" si="271"/>
        <v>0</v>
      </c>
      <c r="BX379" s="17">
        <f t="shared" si="272"/>
        <v>0</v>
      </c>
      <c r="BY379" s="17">
        <f t="shared" si="273"/>
        <v>0</v>
      </c>
      <c r="BZ379" s="17">
        <f t="shared" si="284"/>
        <v>0</v>
      </c>
      <c r="CA379" s="17">
        <f t="shared" si="285"/>
        <v>0</v>
      </c>
      <c r="CB379" s="17">
        <f t="shared" si="286"/>
        <v>0</v>
      </c>
      <c r="CC379" s="17">
        <f t="shared" si="287"/>
        <v>0</v>
      </c>
      <c r="CD379" s="17">
        <f t="shared" si="288"/>
        <v>0</v>
      </c>
      <c r="CE379" s="17">
        <f t="shared" si="289"/>
        <v>0</v>
      </c>
      <c r="CF379" s="17">
        <f t="shared" si="290"/>
        <v>0</v>
      </c>
      <c r="CG379" s="17">
        <f t="shared" si="291"/>
        <v>0</v>
      </c>
      <c r="CH379" s="17">
        <f t="shared" si="292"/>
        <v>0</v>
      </c>
      <c r="CI379" s="17">
        <f t="shared" si="293"/>
        <v>0</v>
      </c>
      <c r="CJ379" s="17">
        <f t="shared" si="294"/>
        <v>0</v>
      </c>
      <c r="CK379" s="17">
        <f t="shared" si="295"/>
        <v>0</v>
      </c>
      <c r="CL379" s="17">
        <f t="shared" si="296"/>
        <v>0</v>
      </c>
      <c r="CM379" s="14">
        <f t="shared" si="297"/>
        <v>0</v>
      </c>
      <c r="CN379" s="17">
        <f t="shared" si="298"/>
        <v>0</v>
      </c>
      <c r="CO379" s="14">
        <f t="shared" si="299"/>
        <v>4</v>
      </c>
      <c r="CP379" s="17">
        <f t="shared" si="300"/>
        <v>0.4030632809351069</v>
      </c>
      <c r="CQ379" s="14">
        <f t="shared" si="274"/>
        <v>4</v>
      </c>
      <c r="CR379" s="14">
        <v>0</v>
      </c>
      <c r="CS379" s="14">
        <v>0</v>
      </c>
      <c r="CT379" s="14">
        <v>0</v>
      </c>
      <c r="CU379" s="14">
        <v>0</v>
      </c>
    </row>
    <row r="380" spans="1:99" x14ac:dyDescent="0.3">
      <c r="A380" s="14">
        <v>2016</v>
      </c>
      <c r="B380" s="14" t="s">
        <v>69</v>
      </c>
      <c r="C380" s="14" t="s">
        <v>70</v>
      </c>
      <c r="D380" s="15">
        <v>1795.8</v>
      </c>
      <c r="E380" s="15">
        <v>100508.49999999997</v>
      </c>
      <c r="F380" s="15">
        <f t="shared" si="275"/>
        <v>55.968649070052329</v>
      </c>
      <c r="G380" s="14">
        <v>34</v>
      </c>
      <c r="H380" s="14">
        <v>45</v>
      </c>
      <c r="AB380" s="14">
        <f t="shared" si="276"/>
        <v>0</v>
      </c>
      <c r="AJ380" s="14">
        <v>64</v>
      </c>
      <c r="AM380" s="14">
        <f t="shared" si="277"/>
        <v>0</v>
      </c>
      <c r="AQ380" s="14">
        <f t="shared" si="278"/>
        <v>0</v>
      </c>
      <c r="AT380" s="14">
        <f t="shared" si="279"/>
        <v>0</v>
      </c>
      <c r="AU380" s="16">
        <v>410</v>
      </c>
      <c r="AV380" s="16">
        <v>1368</v>
      </c>
      <c r="AW380" s="16">
        <v>178</v>
      </c>
      <c r="AX380" s="16">
        <v>0</v>
      </c>
      <c r="AY380" s="18">
        <f t="shared" si="280"/>
        <v>40.792569782655207</v>
      </c>
      <c r="AZ380" s="17">
        <f t="shared" si="281"/>
        <v>136.10789137237154</v>
      </c>
      <c r="BA380" s="17">
        <f t="shared" si="282"/>
        <v>17.709944930030797</v>
      </c>
      <c r="BB380" s="17">
        <f t="shared" si="283"/>
        <v>0</v>
      </c>
      <c r="BC380" s="17">
        <f t="shared" si="251"/>
        <v>3.3827984697811639</v>
      </c>
      <c r="BD380" s="17">
        <f t="shared" si="252"/>
        <v>4.4772332688280105</v>
      </c>
      <c r="BE380" s="17">
        <f t="shared" si="253"/>
        <v>0</v>
      </c>
      <c r="BF380" s="17">
        <f t="shared" si="254"/>
        <v>0</v>
      </c>
      <c r="BG380" s="17">
        <f t="shared" si="255"/>
        <v>0</v>
      </c>
      <c r="BH380" s="17">
        <f t="shared" si="256"/>
        <v>0</v>
      </c>
      <c r="BI380" s="17">
        <f t="shared" si="257"/>
        <v>0</v>
      </c>
      <c r="BJ380" s="17">
        <f t="shared" si="258"/>
        <v>0</v>
      </c>
      <c r="BK380" s="17">
        <f t="shared" si="259"/>
        <v>0</v>
      </c>
      <c r="BL380" s="17">
        <f t="shared" si="260"/>
        <v>0</v>
      </c>
      <c r="BM380" s="17">
        <f t="shared" si="261"/>
        <v>0</v>
      </c>
      <c r="BN380" s="17">
        <f t="shared" si="262"/>
        <v>0</v>
      </c>
      <c r="BO380" s="17">
        <f t="shared" si="263"/>
        <v>0</v>
      </c>
      <c r="BP380" s="17">
        <f t="shared" si="264"/>
        <v>0</v>
      </c>
      <c r="BQ380" s="17">
        <f t="shared" si="265"/>
        <v>0</v>
      </c>
      <c r="BR380" s="17">
        <f t="shared" si="266"/>
        <v>0</v>
      </c>
      <c r="BS380" s="17">
        <f t="shared" si="267"/>
        <v>0</v>
      </c>
      <c r="BT380" s="17">
        <f t="shared" si="268"/>
        <v>0</v>
      </c>
      <c r="BU380" s="17">
        <f t="shared" si="269"/>
        <v>0</v>
      </c>
      <c r="BV380" s="17">
        <f t="shared" si="270"/>
        <v>0</v>
      </c>
      <c r="BW380" s="17">
        <f t="shared" si="271"/>
        <v>0</v>
      </c>
      <c r="BX380" s="17">
        <f t="shared" si="272"/>
        <v>0</v>
      </c>
      <c r="BY380" s="17">
        <f t="shared" si="273"/>
        <v>0</v>
      </c>
      <c r="BZ380" s="17">
        <f t="shared" si="284"/>
        <v>0</v>
      </c>
      <c r="CA380" s="17">
        <f t="shared" si="285"/>
        <v>0</v>
      </c>
      <c r="CB380" s="17">
        <f t="shared" si="286"/>
        <v>0</v>
      </c>
      <c r="CC380" s="17">
        <f t="shared" si="287"/>
        <v>0</v>
      </c>
      <c r="CD380" s="17">
        <f t="shared" si="288"/>
        <v>0</v>
      </c>
      <c r="CE380" s="17">
        <f t="shared" si="289"/>
        <v>6.3676206489998375</v>
      </c>
      <c r="CF380" s="17">
        <f t="shared" si="290"/>
        <v>0</v>
      </c>
      <c r="CG380" s="17">
        <f t="shared" si="291"/>
        <v>0</v>
      </c>
      <c r="CH380" s="17">
        <f t="shared" si="292"/>
        <v>0</v>
      </c>
      <c r="CI380" s="17">
        <f t="shared" si="293"/>
        <v>0</v>
      </c>
      <c r="CJ380" s="17">
        <f t="shared" si="294"/>
        <v>0</v>
      </c>
      <c r="CK380" s="17">
        <f t="shared" si="295"/>
        <v>0</v>
      </c>
      <c r="CL380" s="17">
        <f t="shared" si="296"/>
        <v>0</v>
      </c>
      <c r="CM380" s="14">
        <f t="shared" si="297"/>
        <v>1546</v>
      </c>
      <c r="CN380" s="17">
        <f t="shared" si="298"/>
        <v>153.81783630240233</v>
      </c>
      <c r="CO380" s="14">
        <f t="shared" si="299"/>
        <v>1956</v>
      </c>
      <c r="CP380" s="17">
        <f t="shared" si="300"/>
        <v>194.61040608505755</v>
      </c>
      <c r="CQ380" s="14">
        <f t="shared" si="274"/>
        <v>2099</v>
      </c>
      <c r="CR380" s="14">
        <v>0</v>
      </c>
      <c r="CS380" s="14">
        <v>0</v>
      </c>
      <c r="CT380" s="14">
        <v>0</v>
      </c>
      <c r="CU380" s="14">
        <v>0</v>
      </c>
    </row>
    <row r="381" spans="1:99" x14ac:dyDescent="0.3">
      <c r="A381" s="14">
        <v>2017</v>
      </c>
      <c r="B381" s="14" t="s">
        <v>69</v>
      </c>
      <c r="C381" s="14" t="s">
        <v>70</v>
      </c>
      <c r="D381" s="15">
        <v>1837.1</v>
      </c>
      <c r="E381" s="15">
        <v>101810.50000000001</v>
      </c>
      <c r="F381" s="15">
        <f t="shared" si="275"/>
        <v>55.419138860160047</v>
      </c>
      <c r="AB381" s="14">
        <f t="shared" si="276"/>
        <v>0</v>
      </c>
      <c r="AM381" s="14">
        <f t="shared" si="277"/>
        <v>0</v>
      </c>
      <c r="AQ381" s="14">
        <f t="shared" si="278"/>
        <v>0</v>
      </c>
      <c r="AT381" s="14">
        <f t="shared" si="279"/>
        <v>0</v>
      </c>
      <c r="AU381" s="16">
        <v>39</v>
      </c>
      <c r="AV381" s="16">
        <v>0</v>
      </c>
      <c r="AW381" s="16">
        <v>0</v>
      </c>
      <c r="AX381" s="16">
        <v>0</v>
      </c>
      <c r="AY381" s="18">
        <f t="shared" si="280"/>
        <v>3.8306461514283883</v>
      </c>
      <c r="AZ381" s="17">
        <f t="shared" si="281"/>
        <v>0</v>
      </c>
      <c r="BA381" s="17">
        <f t="shared" si="282"/>
        <v>0</v>
      </c>
      <c r="BB381" s="17">
        <f t="shared" si="283"/>
        <v>0</v>
      </c>
      <c r="BC381" s="17">
        <f t="shared" si="251"/>
        <v>0</v>
      </c>
      <c r="BD381" s="17">
        <f t="shared" si="252"/>
        <v>0</v>
      </c>
      <c r="BE381" s="17">
        <f t="shared" si="253"/>
        <v>0</v>
      </c>
      <c r="BF381" s="17">
        <f t="shared" si="254"/>
        <v>0</v>
      </c>
      <c r="BG381" s="17">
        <f t="shared" si="255"/>
        <v>0</v>
      </c>
      <c r="BH381" s="17">
        <f t="shared" si="256"/>
        <v>0</v>
      </c>
      <c r="BI381" s="17">
        <f t="shared" si="257"/>
        <v>0</v>
      </c>
      <c r="BJ381" s="17">
        <f t="shared" si="258"/>
        <v>0</v>
      </c>
      <c r="BK381" s="17">
        <f t="shared" si="259"/>
        <v>0</v>
      </c>
      <c r="BL381" s="17">
        <f t="shared" si="260"/>
        <v>0</v>
      </c>
      <c r="BM381" s="17">
        <f t="shared" si="261"/>
        <v>0</v>
      </c>
      <c r="BN381" s="17">
        <f t="shared" si="262"/>
        <v>0</v>
      </c>
      <c r="BO381" s="17">
        <f t="shared" si="263"/>
        <v>0</v>
      </c>
      <c r="BP381" s="17">
        <f t="shared" si="264"/>
        <v>0</v>
      </c>
      <c r="BQ381" s="17">
        <f t="shared" si="265"/>
        <v>0</v>
      </c>
      <c r="BR381" s="17">
        <f t="shared" si="266"/>
        <v>0</v>
      </c>
      <c r="BS381" s="17">
        <f t="shared" si="267"/>
        <v>0</v>
      </c>
      <c r="BT381" s="17">
        <f t="shared" si="268"/>
        <v>0</v>
      </c>
      <c r="BU381" s="17">
        <f t="shared" si="269"/>
        <v>0</v>
      </c>
      <c r="BV381" s="17">
        <f t="shared" si="270"/>
        <v>0</v>
      </c>
      <c r="BW381" s="17">
        <f t="shared" si="271"/>
        <v>0</v>
      </c>
      <c r="BX381" s="17">
        <f t="shared" si="272"/>
        <v>0</v>
      </c>
      <c r="BY381" s="17">
        <f t="shared" si="273"/>
        <v>0</v>
      </c>
      <c r="BZ381" s="17">
        <f t="shared" si="284"/>
        <v>0</v>
      </c>
      <c r="CA381" s="17">
        <f t="shared" si="285"/>
        <v>0</v>
      </c>
      <c r="CB381" s="17">
        <f t="shared" si="286"/>
        <v>0</v>
      </c>
      <c r="CC381" s="17">
        <f t="shared" si="287"/>
        <v>0</v>
      </c>
      <c r="CD381" s="17">
        <f t="shared" si="288"/>
        <v>0</v>
      </c>
      <c r="CE381" s="17">
        <f t="shared" si="289"/>
        <v>0</v>
      </c>
      <c r="CF381" s="17">
        <f t="shared" si="290"/>
        <v>0</v>
      </c>
      <c r="CG381" s="17">
        <f t="shared" si="291"/>
        <v>0</v>
      </c>
      <c r="CH381" s="17">
        <f t="shared" si="292"/>
        <v>0</v>
      </c>
      <c r="CI381" s="17">
        <f t="shared" si="293"/>
        <v>0</v>
      </c>
      <c r="CJ381" s="17">
        <f t="shared" si="294"/>
        <v>0</v>
      </c>
      <c r="CK381" s="17">
        <f t="shared" si="295"/>
        <v>0</v>
      </c>
      <c r="CL381" s="17">
        <f t="shared" si="296"/>
        <v>0</v>
      </c>
      <c r="CM381" s="14">
        <f t="shared" si="297"/>
        <v>0</v>
      </c>
      <c r="CN381" s="17">
        <f t="shared" si="298"/>
        <v>0</v>
      </c>
      <c r="CO381" s="14">
        <f t="shared" si="299"/>
        <v>39</v>
      </c>
      <c r="CP381" s="17">
        <f t="shared" si="300"/>
        <v>3.8306461514283883</v>
      </c>
      <c r="CQ381" s="14">
        <f t="shared" si="274"/>
        <v>39</v>
      </c>
      <c r="CR381" s="14">
        <v>0</v>
      </c>
      <c r="CS381" s="14">
        <v>0</v>
      </c>
      <c r="CT381" s="14">
        <v>0</v>
      </c>
      <c r="CU381" s="14">
        <v>0</v>
      </c>
    </row>
    <row r="382" spans="1:99" x14ac:dyDescent="0.3">
      <c r="A382" s="14">
        <v>2018</v>
      </c>
      <c r="B382" s="14" t="s">
        <v>69</v>
      </c>
      <c r="C382" s="14" t="s">
        <v>70</v>
      </c>
      <c r="D382" s="15">
        <v>1833.4</v>
      </c>
      <c r="E382" s="15">
        <v>103101.00000000003</v>
      </c>
      <c r="F382" s="15">
        <f t="shared" si="275"/>
        <v>56.234864186756859</v>
      </c>
      <c r="H382" s="14">
        <v>124</v>
      </c>
      <c r="Z382" s="14">
        <v>71</v>
      </c>
      <c r="AB382" s="14">
        <f t="shared" si="276"/>
        <v>0</v>
      </c>
      <c r="AM382" s="14">
        <f t="shared" si="277"/>
        <v>0</v>
      </c>
      <c r="AQ382" s="14">
        <f t="shared" si="278"/>
        <v>0</v>
      </c>
      <c r="AT382" s="14">
        <f t="shared" si="279"/>
        <v>0</v>
      </c>
      <c r="AU382" s="16">
        <v>537</v>
      </c>
      <c r="AV382" s="16">
        <v>2223</v>
      </c>
      <c r="AW382" s="16">
        <v>316</v>
      </c>
      <c r="AX382" s="16">
        <v>0</v>
      </c>
      <c r="AY382" s="18">
        <f t="shared" si="280"/>
        <v>52.084848837547632</v>
      </c>
      <c r="AZ382" s="17">
        <f t="shared" si="281"/>
        <v>215.61381557889831</v>
      </c>
      <c r="BA382" s="17">
        <f t="shared" si="282"/>
        <v>30.649557230288739</v>
      </c>
      <c r="BB382" s="17">
        <f t="shared" si="283"/>
        <v>0</v>
      </c>
      <c r="BC382" s="17">
        <f t="shared" si="251"/>
        <v>0</v>
      </c>
      <c r="BD382" s="17">
        <f t="shared" si="252"/>
        <v>12.027041444796847</v>
      </c>
      <c r="BE382" s="17">
        <f t="shared" si="253"/>
        <v>0</v>
      </c>
      <c r="BF382" s="17">
        <f t="shared" si="254"/>
        <v>0</v>
      </c>
      <c r="BG382" s="17">
        <f t="shared" si="255"/>
        <v>0</v>
      </c>
      <c r="BH382" s="17">
        <f t="shared" si="256"/>
        <v>0</v>
      </c>
      <c r="BI382" s="17">
        <f t="shared" si="257"/>
        <v>0</v>
      </c>
      <c r="BJ382" s="17">
        <f t="shared" si="258"/>
        <v>0</v>
      </c>
      <c r="BK382" s="17">
        <f t="shared" si="259"/>
        <v>0</v>
      </c>
      <c r="BL382" s="17">
        <f t="shared" si="260"/>
        <v>0</v>
      </c>
      <c r="BM382" s="17">
        <f t="shared" si="261"/>
        <v>0</v>
      </c>
      <c r="BN382" s="17">
        <f t="shared" si="262"/>
        <v>0</v>
      </c>
      <c r="BO382" s="17">
        <f t="shared" si="263"/>
        <v>0</v>
      </c>
      <c r="BP382" s="17">
        <f t="shared" si="264"/>
        <v>0</v>
      </c>
      <c r="BQ382" s="17">
        <f t="shared" si="265"/>
        <v>0</v>
      </c>
      <c r="BR382" s="17">
        <f t="shared" si="266"/>
        <v>0</v>
      </c>
      <c r="BS382" s="17">
        <f t="shared" si="267"/>
        <v>0</v>
      </c>
      <c r="BT382" s="17">
        <f t="shared" si="268"/>
        <v>0</v>
      </c>
      <c r="BU382" s="17">
        <f t="shared" si="269"/>
        <v>0</v>
      </c>
      <c r="BV382" s="17">
        <f t="shared" si="270"/>
        <v>6.8864511498433556</v>
      </c>
      <c r="BW382" s="17">
        <f t="shared" si="271"/>
        <v>0</v>
      </c>
      <c r="BX382" s="17">
        <f t="shared" si="272"/>
        <v>0</v>
      </c>
      <c r="BY382" s="17">
        <f t="shared" si="273"/>
        <v>0</v>
      </c>
      <c r="BZ382" s="17">
        <f t="shared" si="284"/>
        <v>0</v>
      </c>
      <c r="CA382" s="17">
        <f t="shared" si="285"/>
        <v>0</v>
      </c>
      <c r="CB382" s="17">
        <f t="shared" si="286"/>
        <v>0</v>
      </c>
      <c r="CC382" s="17">
        <f t="shared" si="287"/>
        <v>0</v>
      </c>
      <c r="CD382" s="17">
        <f t="shared" si="288"/>
        <v>0</v>
      </c>
      <c r="CE382" s="17">
        <f t="shared" si="289"/>
        <v>0</v>
      </c>
      <c r="CF382" s="17">
        <f t="shared" si="290"/>
        <v>0</v>
      </c>
      <c r="CG382" s="17">
        <f t="shared" si="291"/>
        <v>0</v>
      </c>
      <c r="CH382" s="17">
        <f t="shared" si="292"/>
        <v>0</v>
      </c>
      <c r="CI382" s="17">
        <f t="shared" si="293"/>
        <v>0</v>
      </c>
      <c r="CJ382" s="17">
        <f t="shared" si="294"/>
        <v>0</v>
      </c>
      <c r="CK382" s="17">
        <f t="shared" si="295"/>
        <v>0</v>
      </c>
      <c r="CL382" s="17">
        <f t="shared" si="296"/>
        <v>0</v>
      </c>
      <c r="CM382" s="14">
        <f t="shared" si="297"/>
        <v>2539</v>
      </c>
      <c r="CN382" s="17">
        <f t="shared" si="298"/>
        <v>246.26337280918705</v>
      </c>
      <c r="CO382" s="14">
        <f t="shared" si="299"/>
        <v>3076</v>
      </c>
      <c r="CP382" s="17">
        <f t="shared" si="300"/>
        <v>298.34822164673466</v>
      </c>
      <c r="CQ382" s="14">
        <f t="shared" si="274"/>
        <v>3271</v>
      </c>
      <c r="CR382" s="14">
        <v>0</v>
      </c>
      <c r="CS382" s="14">
        <v>0</v>
      </c>
      <c r="CT382" s="14">
        <v>0</v>
      </c>
      <c r="CU382" s="14">
        <v>0</v>
      </c>
    </row>
    <row r="383" spans="1:99" x14ac:dyDescent="0.3">
      <c r="A383" s="14">
        <v>2019</v>
      </c>
      <c r="B383" s="14" t="s">
        <v>69</v>
      </c>
      <c r="C383" s="14" t="s">
        <v>70</v>
      </c>
      <c r="D383" s="15">
        <v>1804.7</v>
      </c>
      <c r="E383" s="15">
        <v>104372.49999999997</v>
      </c>
      <c r="F383" s="15">
        <f t="shared" si="275"/>
        <v>57.833711974289336</v>
      </c>
      <c r="G383" s="14">
        <v>42</v>
      </c>
      <c r="N383" s="14">
        <v>37</v>
      </c>
      <c r="O383" s="14">
        <v>14</v>
      </c>
      <c r="AB383" s="14">
        <f t="shared" si="276"/>
        <v>14</v>
      </c>
      <c r="AM383" s="14">
        <f t="shared" si="277"/>
        <v>0</v>
      </c>
      <c r="AQ383" s="14">
        <f t="shared" si="278"/>
        <v>0</v>
      </c>
      <c r="AT383" s="14">
        <f t="shared" si="279"/>
        <v>0</v>
      </c>
      <c r="AU383" s="16">
        <v>479</v>
      </c>
      <c r="AV383" s="16">
        <v>0</v>
      </c>
      <c r="AW383" s="16">
        <v>0</v>
      </c>
      <c r="AX383" s="16">
        <v>0</v>
      </c>
      <c r="AY383" s="18">
        <f t="shared" si="280"/>
        <v>45.893314809935582</v>
      </c>
      <c r="AZ383" s="17">
        <f t="shared" si="281"/>
        <v>0</v>
      </c>
      <c r="BA383" s="17">
        <f t="shared" si="282"/>
        <v>0</v>
      </c>
      <c r="BB383" s="17">
        <f t="shared" si="283"/>
        <v>0</v>
      </c>
      <c r="BC383" s="17">
        <f t="shared" si="251"/>
        <v>4.0240484802031196</v>
      </c>
      <c r="BD383" s="17">
        <f t="shared" si="252"/>
        <v>0</v>
      </c>
      <c r="BE383" s="17">
        <f t="shared" si="253"/>
        <v>0</v>
      </c>
      <c r="BF383" s="17">
        <f t="shared" si="254"/>
        <v>0</v>
      </c>
      <c r="BG383" s="17">
        <f t="shared" si="255"/>
        <v>0</v>
      </c>
      <c r="BH383" s="17">
        <f t="shared" si="256"/>
        <v>0</v>
      </c>
      <c r="BI383" s="17">
        <f t="shared" si="257"/>
        <v>0</v>
      </c>
      <c r="BJ383" s="17">
        <f t="shared" si="258"/>
        <v>3.5449950897027485</v>
      </c>
      <c r="BK383" s="17">
        <f t="shared" si="259"/>
        <v>1.3413494934010399</v>
      </c>
      <c r="BL383" s="17">
        <f t="shared" si="260"/>
        <v>0</v>
      </c>
      <c r="BM383" s="17">
        <f t="shared" si="261"/>
        <v>0</v>
      </c>
      <c r="BN383" s="17">
        <f t="shared" si="262"/>
        <v>0</v>
      </c>
      <c r="BO383" s="17">
        <f t="shared" si="263"/>
        <v>0</v>
      </c>
      <c r="BP383" s="17">
        <f t="shared" si="264"/>
        <v>0</v>
      </c>
      <c r="BQ383" s="17">
        <f t="shared" si="265"/>
        <v>0</v>
      </c>
      <c r="BR383" s="17">
        <f t="shared" si="266"/>
        <v>0</v>
      </c>
      <c r="BS383" s="17">
        <f t="shared" si="267"/>
        <v>0</v>
      </c>
      <c r="BT383" s="17">
        <f t="shared" si="268"/>
        <v>0</v>
      </c>
      <c r="BU383" s="17">
        <f t="shared" si="269"/>
        <v>0</v>
      </c>
      <c r="BV383" s="17">
        <f t="shared" si="270"/>
        <v>0</v>
      </c>
      <c r="BW383" s="17">
        <f t="shared" si="271"/>
        <v>0</v>
      </c>
      <c r="BX383" s="17">
        <f t="shared" si="272"/>
        <v>0</v>
      </c>
      <c r="BY383" s="17">
        <f t="shared" si="273"/>
        <v>0</v>
      </c>
      <c r="BZ383" s="17">
        <f t="shared" si="284"/>
        <v>0</v>
      </c>
      <c r="CA383" s="17">
        <f t="shared" si="285"/>
        <v>0</v>
      </c>
      <c r="CB383" s="17">
        <f t="shared" si="286"/>
        <v>0</v>
      </c>
      <c r="CC383" s="17">
        <f t="shared" si="287"/>
        <v>0</v>
      </c>
      <c r="CD383" s="17">
        <f t="shared" si="288"/>
        <v>0</v>
      </c>
      <c r="CE383" s="17">
        <f t="shared" si="289"/>
        <v>0</v>
      </c>
      <c r="CF383" s="17">
        <f t="shared" si="290"/>
        <v>0</v>
      </c>
      <c r="CG383" s="17">
        <f t="shared" si="291"/>
        <v>0</v>
      </c>
      <c r="CH383" s="17">
        <f t="shared" si="292"/>
        <v>0</v>
      </c>
      <c r="CI383" s="17">
        <f t="shared" si="293"/>
        <v>0</v>
      </c>
      <c r="CJ383" s="17">
        <f t="shared" si="294"/>
        <v>0</v>
      </c>
      <c r="CK383" s="17">
        <f t="shared" si="295"/>
        <v>0</v>
      </c>
      <c r="CL383" s="17">
        <f t="shared" si="296"/>
        <v>0</v>
      </c>
      <c r="CM383" s="14">
        <f t="shared" si="297"/>
        <v>0</v>
      </c>
      <c r="CN383" s="17">
        <f t="shared" si="298"/>
        <v>0</v>
      </c>
      <c r="CO383" s="14">
        <f t="shared" si="299"/>
        <v>479</v>
      </c>
      <c r="CP383" s="17">
        <f t="shared" si="300"/>
        <v>45.893314809935582</v>
      </c>
      <c r="CQ383" s="14">
        <f t="shared" si="274"/>
        <v>586</v>
      </c>
      <c r="CR383" s="14">
        <v>0</v>
      </c>
      <c r="CS383" s="14">
        <v>0</v>
      </c>
      <c r="CT383" s="14">
        <v>0</v>
      </c>
      <c r="CU383" s="14">
        <v>0</v>
      </c>
    </row>
    <row r="384" spans="1:99" x14ac:dyDescent="0.3">
      <c r="A384" s="14">
        <v>2020</v>
      </c>
      <c r="B384" s="14" t="s">
        <v>69</v>
      </c>
      <c r="C384" s="14" t="s">
        <v>70</v>
      </c>
      <c r="D384" s="15">
        <v>1773.9</v>
      </c>
      <c r="E384" s="15">
        <v>105529.99999999997</v>
      </c>
      <c r="F384" s="15">
        <f t="shared" si="275"/>
        <v>59.490388409718676</v>
      </c>
      <c r="AB384" s="14">
        <f t="shared" si="276"/>
        <v>0</v>
      </c>
      <c r="AM384" s="14">
        <f t="shared" si="277"/>
        <v>0</v>
      </c>
      <c r="AQ384" s="14">
        <f t="shared" si="278"/>
        <v>0</v>
      </c>
      <c r="AT384" s="14">
        <f t="shared" si="279"/>
        <v>0</v>
      </c>
      <c r="AU384" s="16">
        <v>0</v>
      </c>
      <c r="AV384" s="16">
        <v>0</v>
      </c>
      <c r="AW384" s="16">
        <v>0</v>
      </c>
      <c r="AX384" s="16">
        <v>0</v>
      </c>
      <c r="AY384" s="18">
        <f t="shared" si="280"/>
        <v>0</v>
      </c>
      <c r="AZ384" s="17">
        <f t="shared" si="281"/>
        <v>0</v>
      </c>
      <c r="BA384" s="17">
        <f t="shared" si="282"/>
        <v>0</v>
      </c>
      <c r="BB384" s="17">
        <f t="shared" si="283"/>
        <v>0</v>
      </c>
      <c r="BC384" s="17">
        <f t="shared" si="251"/>
        <v>0</v>
      </c>
      <c r="BD384" s="17">
        <f t="shared" si="252"/>
        <v>0</v>
      </c>
      <c r="BE384" s="17">
        <f t="shared" si="253"/>
        <v>0</v>
      </c>
      <c r="BF384" s="17">
        <f t="shared" si="254"/>
        <v>0</v>
      </c>
      <c r="BG384" s="17">
        <f t="shared" si="255"/>
        <v>0</v>
      </c>
      <c r="BH384" s="17">
        <f t="shared" si="256"/>
        <v>0</v>
      </c>
      <c r="BI384" s="17">
        <f t="shared" si="257"/>
        <v>0</v>
      </c>
      <c r="BJ384" s="17">
        <f t="shared" si="258"/>
        <v>0</v>
      </c>
      <c r="BK384" s="17">
        <f t="shared" si="259"/>
        <v>0</v>
      </c>
      <c r="BL384" s="17">
        <f t="shared" si="260"/>
        <v>0</v>
      </c>
      <c r="BM384" s="17">
        <f t="shared" si="261"/>
        <v>0</v>
      </c>
      <c r="BN384" s="17">
        <f t="shared" si="262"/>
        <v>0</v>
      </c>
      <c r="BO384" s="17">
        <f t="shared" si="263"/>
        <v>0</v>
      </c>
      <c r="BP384" s="17">
        <f t="shared" si="264"/>
        <v>0</v>
      </c>
      <c r="BQ384" s="17">
        <f t="shared" si="265"/>
        <v>0</v>
      </c>
      <c r="BR384" s="17">
        <f t="shared" si="266"/>
        <v>0</v>
      </c>
      <c r="BS384" s="17">
        <f t="shared" si="267"/>
        <v>0</v>
      </c>
      <c r="BT384" s="17">
        <f t="shared" si="268"/>
        <v>0</v>
      </c>
      <c r="BU384" s="17">
        <f t="shared" si="269"/>
        <v>0</v>
      </c>
      <c r="BV384" s="17">
        <f t="shared" si="270"/>
        <v>0</v>
      </c>
      <c r="BW384" s="17">
        <f t="shared" si="271"/>
        <v>0</v>
      </c>
      <c r="BX384" s="17">
        <f t="shared" si="272"/>
        <v>0</v>
      </c>
      <c r="BY384" s="17">
        <f t="shared" si="273"/>
        <v>0</v>
      </c>
      <c r="BZ384" s="17">
        <f t="shared" si="284"/>
        <v>0</v>
      </c>
      <c r="CA384" s="17">
        <f t="shared" si="285"/>
        <v>0</v>
      </c>
      <c r="CB384" s="17">
        <f t="shared" si="286"/>
        <v>0</v>
      </c>
      <c r="CC384" s="17">
        <f t="shared" si="287"/>
        <v>0</v>
      </c>
      <c r="CD384" s="17">
        <f t="shared" si="288"/>
        <v>0</v>
      </c>
      <c r="CE384" s="17">
        <f t="shared" si="289"/>
        <v>0</v>
      </c>
      <c r="CF384" s="17">
        <f t="shared" si="290"/>
        <v>0</v>
      </c>
      <c r="CG384" s="17">
        <f t="shared" si="291"/>
        <v>0</v>
      </c>
      <c r="CH384" s="17">
        <f t="shared" si="292"/>
        <v>0</v>
      </c>
      <c r="CI384" s="17">
        <f t="shared" si="293"/>
        <v>0</v>
      </c>
      <c r="CJ384" s="17">
        <f t="shared" si="294"/>
        <v>0</v>
      </c>
      <c r="CK384" s="17">
        <f t="shared" si="295"/>
        <v>0</v>
      </c>
      <c r="CL384" s="17">
        <f t="shared" si="296"/>
        <v>0</v>
      </c>
      <c r="CM384" s="14">
        <f t="shared" si="297"/>
        <v>0</v>
      </c>
      <c r="CN384" s="17">
        <f t="shared" si="298"/>
        <v>0</v>
      </c>
      <c r="CO384" s="14">
        <f t="shared" si="299"/>
        <v>0</v>
      </c>
      <c r="CP384" s="17">
        <f t="shared" si="300"/>
        <v>0</v>
      </c>
      <c r="CQ384" s="14">
        <f t="shared" si="274"/>
        <v>0</v>
      </c>
      <c r="CR384" s="14">
        <v>0</v>
      </c>
      <c r="CS384" s="14">
        <v>0</v>
      </c>
      <c r="CT384" s="14">
        <v>0</v>
      </c>
      <c r="CU384" s="14">
        <v>0</v>
      </c>
    </row>
    <row r="385" spans="1:99" x14ac:dyDescent="0.3">
      <c r="A385" s="14">
        <v>2021</v>
      </c>
      <c r="B385" s="14" t="s">
        <v>69</v>
      </c>
      <c r="C385" s="14" t="s">
        <v>70</v>
      </c>
      <c r="D385" s="15">
        <v>1744.8</v>
      </c>
      <c r="E385" s="15">
        <v>106470.49999999996</v>
      </c>
      <c r="F385" s="15">
        <f t="shared" si="275"/>
        <v>61.021607060981175</v>
      </c>
      <c r="G385" s="14">
        <v>0</v>
      </c>
      <c r="H385" s="14">
        <v>0</v>
      </c>
      <c r="I385" s="14">
        <v>0</v>
      </c>
      <c r="J385" s="14">
        <v>19</v>
      </c>
      <c r="K385" s="14">
        <v>5</v>
      </c>
      <c r="L385" s="14">
        <v>0</v>
      </c>
      <c r="M385" s="14">
        <v>0</v>
      </c>
      <c r="N385" s="14">
        <v>0</v>
      </c>
      <c r="O385" s="14">
        <v>0</v>
      </c>
      <c r="P385" s="14">
        <v>1</v>
      </c>
      <c r="Q385" s="14">
        <v>4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4</v>
      </c>
      <c r="AB385" s="14">
        <f t="shared" si="276"/>
        <v>4</v>
      </c>
      <c r="AC385" s="14">
        <v>0</v>
      </c>
      <c r="AD385" s="14">
        <v>0</v>
      </c>
      <c r="AE385" s="14">
        <v>3</v>
      </c>
      <c r="AF385" s="14">
        <v>22</v>
      </c>
      <c r="AG385" s="14">
        <v>0</v>
      </c>
      <c r="AH385" s="14">
        <v>0</v>
      </c>
      <c r="AI385" s="14">
        <v>0</v>
      </c>
      <c r="AJ385" s="14">
        <v>0</v>
      </c>
      <c r="AK385" s="14">
        <v>20</v>
      </c>
      <c r="AL385" s="14">
        <v>40</v>
      </c>
      <c r="AM385" s="14">
        <f t="shared" si="277"/>
        <v>60</v>
      </c>
      <c r="AN385" s="14">
        <v>6</v>
      </c>
      <c r="AO385" s="14">
        <v>0</v>
      </c>
      <c r="AP385" s="14">
        <v>2</v>
      </c>
      <c r="AQ385" s="14">
        <f t="shared" si="278"/>
        <v>2</v>
      </c>
      <c r="AR385" s="14">
        <v>2</v>
      </c>
      <c r="AS385" s="14">
        <v>0</v>
      </c>
      <c r="AT385" s="14">
        <f t="shared" si="279"/>
        <v>2</v>
      </c>
      <c r="AU385" s="16">
        <v>0</v>
      </c>
      <c r="AV385" s="16">
        <v>0</v>
      </c>
      <c r="AW385" s="16">
        <v>0</v>
      </c>
      <c r="AX385" s="16">
        <v>0</v>
      </c>
      <c r="AY385" s="18">
        <f t="shared" si="280"/>
        <v>0</v>
      </c>
      <c r="AZ385" s="17">
        <f t="shared" si="281"/>
        <v>0</v>
      </c>
      <c r="BA385" s="17">
        <f t="shared" si="282"/>
        <v>0</v>
      </c>
      <c r="BB385" s="17">
        <f t="shared" si="283"/>
        <v>0</v>
      </c>
      <c r="BC385" s="17">
        <f t="shared" si="251"/>
        <v>0</v>
      </c>
      <c r="BD385" s="17">
        <f t="shared" si="252"/>
        <v>0</v>
      </c>
      <c r="BE385" s="17">
        <f t="shared" si="253"/>
        <v>0</v>
      </c>
      <c r="BF385" s="17">
        <f t="shared" si="254"/>
        <v>1.7845318656341436</v>
      </c>
      <c r="BG385" s="17">
        <f t="shared" si="255"/>
        <v>0.46961364885109042</v>
      </c>
      <c r="BH385" s="17">
        <f t="shared" si="256"/>
        <v>0</v>
      </c>
      <c r="BI385" s="17">
        <f t="shared" si="257"/>
        <v>0</v>
      </c>
      <c r="BJ385" s="17">
        <f t="shared" si="258"/>
        <v>0</v>
      </c>
      <c r="BK385" s="17">
        <f t="shared" si="259"/>
        <v>0</v>
      </c>
      <c r="BL385" s="17">
        <f t="shared" si="260"/>
        <v>9.392272977021808E-2</v>
      </c>
      <c r="BM385" s="17">
        <f t="shared" si="261"/>
        <v>0.37569091908087232</v>
      </c>
      <c r="BN385" s="17">
        <f t="shared" si="262"/>
        <v>0</v>
      </c>
      <c r="BO385" s="17">
        <f t="shared" si="263"/>
        <v>0</v>
      </c>
      <c r="BP385" s="17">
        <f t="shared" si="264"/>
        <v>0</v>
      </c>
      <c r="BQ385" s="17">
        <f t="shared" si="265"/>
        <v>0</v>
      </c>
      <c r="BR385" s="17">
        <f t="shared" si="266"/>
        <v>0</v>
      </c>
      <c r="BS385" s="17">
        <f t="shared" si="267"/>
        <v>0</v>
      </c>
      <c r="BT385" s="17">
        <f t="shared" si="268"/>
        <v>0</v>
      </c>
      <c r="BU385" s="17">
        <f t="shared" si="269"/>
        <v>0</v>
      </c>
      <c r="BV385" s="17">
        <f t="shared" si="270"/>
        <v>0</v>
      </c>
      <c r="BW385" s="17">
        <f t="shared" si="271"/>
        <v>0.37569091908087232</v>
      </c>
      <c r="BX385" s="17">
        <f t="shared" si="272"/>
        <v>0</v>
      </c>
      <c r="BY385" s="17">
        <f t="shared" si="273"/>
        <v>0</v>
      </c>
      <c r="BZ385" s="17">
        <f t="shared" si="284"/>
        <v>0.28176818931065423</v>
      </c>
      <c r="CA385" s="17">
        <f t="shared" si="285"/>
        <v>2.0663000549447976</v>
      </c>
      <c r="CB385" s="17">
        <f t="shared" si="286"/>
        <v>0</v>
      </c>
      <c r="CC385" s="17">
        <f t="shared" si="287"/>
        <v>0</v>
      </c>
      <c r="CD385" s="17">
        <f t="shared" si="288"/>
        <v>0</v>
      </c>
      <c r="CE385" s="17">
        <f t="shared" si="289"/>
        <v>0</v>
      </c>
      <c r="CF385" s="17">
        <f t="shared" si="290"/>
        <v>1.8784545954043617</v>
      </c>
      <c r="CG385" s="17">
        <f t="shared" si="291"/>
        <v>3.7569091908087233</v>
      </c>
      <c r="CH385" s="17">
        <f t="shared" si="292"/>
        <v>0.56353637862130845</v>
      </c>
      <c r="CI385" s="17">
        <f t="shared" si="293"/>
        <v>0</v>
      </c>
      <c r="CJ385" s="17">
        <f t="shared" si="294"/>
        <v>0.18784545954043616</v>
      </c>
      <c r="CK385" s="17">
        <f t="shared" si="295"/>
        <v>0.18784545954043616</v>
      </c>
      <c r="CL385" s="17">
        <f t="shared" si="296"/>
        <v>0</v>
      </c>
      <c r="CM385" s="14">
        <f t="shared" si="297"/>
        <v>0</v>
      </c>
      <c r="CN385" s="17">
        <f t="shared" si="298"/>
        <v>0</v>
      </c>
      <c r="CO385" s="14">
        <f t="shared" si="299"/>
        <v>0</v>
      </c>
      <c r="CP385" s="17">
        <f t="shared" si="300"/>
        <v>0</v>
      </c>
      <c r="CQ385" s="14">
        <f t="shared" si="274"/>
        <v>196</v>
      </c>
      <c r="CR385" s="14">
        <v>0</v>
      </c>
      <c r="CS385" s="14">
        <v>0</v>
      </c>
      <c r="CT385" s="14">
        <v>0</v>
      </c>
      <c r="CU385" s="14">
        <v>0</v>
      </c>
    </row>
    <row r="386" spans="1:99" x14ac:dyDescent="0.3">
      <c r="A386" s="14">
        <v>2022</v>
      </c>
      <c r="B386" s="14" t="s">
        <v>69</v>
      </c>
      <c r="C386" s="14" t="s">
        <v>70</v>
      </c>
      <c r="D386" s="15">
        <v>1715.5</v>
      </c>
      <c r="E386" s="15">
        <v>107118.5</v>
      </c>
      <c r="F386" s="15">
        <f t="shared" si="275"/>
        <v>62.441562226756048</v>
      </c>
      <c r="G386" s="14">
        <v>44</v>
      </c>
      <c r="H386" s="14">
        <v>35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f t="shared" si="276"/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f t="shared" si="277"/>
        <v>0</v>
      </c>
      <c r="AN386" s="14">
        <v>0</v>
      </c>
      <c r="AO386" s="14">
        <v>0</v>
      </c>
      <c r="AP386" s="14">
        <v>0</v>
      </c>
      <c r="AQ386" s="14">
        <f t="shared" si="278"/>
        <v>0</v>
      </c>
      <c r="AR386" s="14">
        <v>0</v>
      </c>
      <c r="AS386" s="14">
        <v>0</v>
      </c>
      <c r="AT386" s="14">
        <f t="shared" si="279"/>
        <v>0</v>
      </c>
      <c r="AU386" s="16">
        <v>923</v>
      </c>
      <c r="AV386" s="16">
        <v>1246</v>
      </c>
      <c r="AW386" s="16">
        <v>312</v>
      </c>
      <c r="AX386" s="16">
        <v>0</v>
      </c>
      <c r="AY386" s="18">
        <f t="shared" si="280"/>
        <v>86.166255128665924</v>
      </c>
      <c r="AZ386" s="17">
        <f t="shared" si="281"/>
        <v>116.31977669590221</v>
      </c>
      <c r="BA386" s="17">
        <f t="shared" si="282"/>
        <v>29.126621451943407</v>
      </c>
      <c r="BB386" s="17">
        <f t="shared" si="283"/>
        <v>0</v>
      </c>
      <c r="BC386" s="17">
        <f t="shared" ref="BC386:BC449" si="301">(G386*10000)/$E386</f>
        <v>4.107600461171506</v>
      </c>
      <c r="BD386" s="17">
        <f t="shared" ref="BD386:BD449" si="302">(H386*10000)/$E386</f>
        <v>3.2674094577500616</v>
      </c>
      <c r="BE386" s="17">
        <f t="shared" ref="BE386:BE449" si="303">(I386*10000)/$E386</f>
        <v>0</v>
      </c>
      <c r="BF386" s="17">
        <f t="shared" ref="BF386:BF449" si="304">(J386*10000)/$E386</f>
        <v>0</v>
      </c>
      <c r="BG386" s="17">
        <f t="shared" ref="BG386:BG449" si="305">(K386*10000)/$E386</f>
        <v>0</v>
      </c>
      <c r="BH386" s="17">
        <f t="shared" ref="BH386:BH449" si="306">(L386*10000)/$E386</f>
        <v>0</v>
      </c>
      <c r="BI386" s="17">
        <f t="shared" ref="BI386:BI449" si="307">(M386*10000)/$E386</f>
        <v>0</v>
      </c>
      <c r="BJ386" s="17">
        <f t="shared" ref="BJ386:BJ449" si="308">(N386*10000)/$E386</f>
        <v>0</v>
      </c>
      <c r="BK386" s="17">
        <f t="shared" ref="BK386:BK449" si="309">(O386*10000)/$E386</f>
        <v>0</v>
      </c>
      <c r="BL386" s="17">
        <f t="shared" ref="BL386:BL449" si="310">(P386*10000)/$E386</f>
        <v>0</v>
      </c>
      <c r="BM386" s="17">
        <f t="shared" ref="BM386:BM449" si="311">(Q386*10000)/$E386</f>
        <v>0</v>
      </c>
      <c r="BN386" s="17">
        <f t="shared" ref="BN386:BN449" si="312">(R386*10000)/$E386</f>
        <v>0</v>
      </c>
      <c r="BO386" s="17">
        <f t="shared" ref="BO386:BO449" si="313">(S386*10000)/$E386</f>
        <v>0</v>
      </c>
      <c r="BP386" s="17">
        <f t="shared" ref="BP386:BP449" si="314">(T386*10000)/$E386</f>
        <v>0</v>
      </c>
      <c r="BQ386" s="17">
        <f t="shared" ref="BQ386:BQ449" si="315">(U386*10000)/$E386</f>
        <v>0</v>
      </c>
      <c r="BR386" s="17">
        <f t="shared" ref="BR386:BR449" si="316">(V386*10000)/$E386</f>
        <v>0</v>
      </c>
      <c r="BS386" s="17">
        <f t="shared" ref="BS386:BS449" si="317">(W386*10000)/$E386</f>
        <v>0</v>
      </c>
      <c r="BT386" s="17">
        <f t="shared" ref="BT386:BT449" si="318">(X386*10000)/$E386</f>
        <v>0</v>
      </c>
      <c r="BU386" s="17">
        <f t="shared" ref="BU386:BU449" si="319">(Y386*10000)/$E386</f>
        <v>0</v>
      </c>
      <c r="BV386" s="17">
        <f t="shared" ref="BV386:BV449" si="320">(Z386*10000)/$E386</f>
        <v>0</v>
      </c>
      <c r="BW386" s="17">
        <f t="shared" ref="BW386:BW449" si="321">(AA386*10000)/$E386</f>
        <v>0</v>
      </c>
      <c r="BX386" s="17">
        <f t="shared" ref="BX386:BX449" si="322">(AC386*10000)/$E386</f>
        <v>0</v>
      </c>
      <c r="BY386" s="17">
        <f t="shared" ref="BY386:BY449" si="323">(AD386*10000)/$E386</f>
        <v>0</v>
      </c>
      <c r="BZ386" s="17">
        <f t="shared" si="284"/>
        <v>0</v>
      </c>
      <c r="CA386" s="17">
        <f t="shared" si="285"/>
        <v>0</v>
      </c>
      <c r="CB386" s="17">
        <f t="shared" si="286"/>
        <v>0</v>
      </c>
      <c r="CC386" s="17">
        <f t="shared" si="287"/>
        <v>0</v>
      </c>
      <c r="CD386" s="17">
        <f t="shared" si="288"/>
        <v>0</v>
      </c>
      <c r="CE386" s="17">
        <f t="shared" si="289"/>
        <v>0</v>
      </c>
      <c r="CF386" s="17">
        <f t="shared" si="290"/>
        <v>0</v>
      </c>
      <c r="CG386" s="17">
        <f t="shared" si="291"/>
        <v>0</v>
      </c>
      <c r="CH386" s="17">
        <f t="shared" si="292"/>
        <v>0</v>
      </c>
      <c r="CI386" s="17">
        <f t="shared" si="293"/>
        <v>0</v>
      </c>
      <c r="CJ386" s="17">
        <f t="shared" si="294"/>
        <v>0</v>
      </c>
      <c r="CK386" s="17">
        <f t="shared" si="295"/>
        <v>0</v>
      </c>
      <c r="CL386" s="17">
        <f t="shared" si="296"/>
        <v>0</v>
      </c>
      <c r="CM386" s="14">
        <f t="shared" si="297"/>
        <v>1558</v>
      </c>
      <c r="CN386" s="17">
        <f t="shared" si="298"/>
        <v>145.4463981478456</v>
      </c>
      <c r="CO386" s="14">
        <f t="shared" si="299"/>
        <v>2481</v>
      </c>
      <c r="CP386" s="17">
        <f t="shared" si="300"/>
        <v>231.61265327651154</v>
      </c>
      <c r="CQ386" s="14">
        <f t="shared" ref="CQ386:CQ449" si="324">SUM(G386:AX386)</f>
        <v>2560</v>
      </c>
      <c r="CR386" s="14">
        <v>0</v>
      </c>
      <c r="CS386" s="14">
        <v>0</v>
      </c>
      <c r="CT386" s="14">
        <v>0</v>
      </c>
      <c r="CU386" s="14">
        <v>0</v>
      </c>
    </row>
    <row r="387" spans="1:99" x14ac:dyDescent="0.3">
      <c r="A387" s="14">
        <v>2012</v>
      </c>
      <c r="B387" s="14" t="s">
        <v>71</v>
      </c>
      <c r="C387" s="14" t="s">
        <v>72</v>
      </c>
      <c r="D387" s="15">
        <v>243297.8</v>
      </c>
      <c r="E387" s="15">
        <v>6788587.5000000037</v>
      </c>
      <c r="F387" s="15">
        <f t="shared" ref="F387:F450" si="325">E387/D387</f>
        <v>27.902379306348038</v>
      </c>
      <c r="AB387" s="14">
        <f t="shared" ref="AB387:AB450" si="326">AA387+O387</f>
        <v>0</v>
      </c>
      <c r="AM387" s="14">
        <f t="shared" ref="AM387:AM450" si="327">AK387+AL387</f>
        <v>0</v>
      </c>
      <c r="AQ387" s="14">
        <f t="shared" ref="AQ387:AQ450" si="328">AO387+AP387</f>
        <v>0</v>
      </c>
      <c r="AT387" s="14">
        <f t="shared" ref="AT387:AT450" si="329">AR387+AS387</f>
        <v>0</v>
      </c>
      <c r="AU387" s="16">
        <v>8</v>
      </c>
      <c r="AV387" s="16">
        <v>0</v>
      </c>
      <c r="AW387" s="16">
        <v>0</v>
      </c>
      <c r="AX387" s="16">
        <v>0</v>
      </c>
      <c r="AY387" s="18">
        <f t="shared" ref="AY387:AY450" si="330">(AU387*10000)/$E387</f>
        <v>1.1784483885638943E-2</v>
      </c>
      <c r="AZ387" s="17">
        <f t="shared" ref="AZ387:AZ450" si="331">(AV387*10000)/$E387</f>
        <v>0</v>
      </c>
      <c r="BA387" s="17">
        <f t="shared" ref="BA387:BA450" si="332">(AW387*10000)/$E387</f>
        <v>0</v>
      </c>
      <c r="BB387" s="17">
        <f t="shared" ref="BB387:BB450" si="333">(AX387*10000)/$E387</f>
        <v>0</v>
      </c>
      <c r="BC387" s="17">
        <f t="shared" si="301"/>
        <v>0</v>
      </c>
      <c r="BD387" s="17">
        <f t="shared" si="302"/>
        <v>0</v>
      </c>
      <c r="BE387" s="17">
        <f t="shared" si="303"/>
        <v>0</v>
      </c>
      <c r="BF387" s="17">
        <f t="shared" si="304"/>
        <v>0</v>
      </c>
      <c r="BG387" s="17">
        <f t="shared" si="305"/>
        <v>0</v>
      </c>
      <c r="BH387" s="17">
        <f t="shared" si="306"/>
        <v>0</v>
      </c>
      <c r="BI387" s="17">
        <f t="shared" si="307"/>
        <v>0</v>
      </c>
      <c r="BJ387" s="17">
        <f t="shared" si="308"/>
        <v>0</v>
      </c>
      <c r="BK387" s="17">
        <f t="shared" si="309"/>
        <v>0</v>
      </c>
      <c r="BL387" s="17">
        <f t="shared" si="310"/>
        <v>0</v>
      </c>
      <c r="BM387" s="17">
        <f t="shared" si="311"/>
        <v>0</v>
      </c>
      <c r="BN387" s="17">
        <f t="shared" si="312"/>
        <v>0</v>
      </c>
      <c r="BO387" s="17">
        <f t="shared" si="313"/>
        <v>0</v>
      </c>
      <c r="BP387" s="17">
        <f t="shared" si="314"/>
        <v>0</v>
      </c>
      <c r="BQ387" s="17">
        <f t="shared" si="315"/>
        <v>0</v>
      </c>
      <c r="BR387" s="17">
        <f t="shared" si="316"/>
        <v>0</v>
      </c>
      <c r="BS387" s="17">
        <f t="shared" si="317"/>
        <v>0</v>
      </c>
      <c r="BT387" s="17">
        <f t="shared" si="318"/>
        <v>0</v>
      </c>
      <c r="BU387" s="17">
        <f t="shared" si="319"/>
        <v>0</v>
      </c>
      <c r="BV387" s="17">
        <f t="shared" si="320"/>
        <v>0</v>
      </c>
      <c r="BW387" s="17">
        <f t="shared" si="321"/>
        <v>0</v>
      </c>
      <c r="BX387" s="17">
        <f t="shared" si="322"/>
        <v>0</v>
      </c>
      <c r="BY387" s="17">
        <f t="shared" si="323"/>
        <v>0</v>
      </c>
      <c r="BZ387" s="17">
        <f t="shared" ref="BZ387:BZ450" si="334">(AE387*10000)/$E387</f>
        <v>0</v>
      </c>
      <c r="CA387" s="17">
        <f t="shared" ref="CA387:CA450" si="335">(AF387*10000)/$E387</f>
        <v>0</v>
      </c>
      <c r="CB387" s="17">
        <f t="shared" ref="CB387:CB450" si="336">(AG387*10000)/$E387</f>
        <v>0</v>
      </c>
      <c r="CC387" s="17">
        <f t="shared" ref="CC387:CC450" si="337">(AH387*10000)/$E387</f>
        <v>0</v>
      </c>
      <c r="CD387" s="17">
        <f t="shared" ref="CD387:CD450" si="338">(AI387*10000)/$E387</f>
        <v>0</v>
      </c>
      <c r="CE387" s="17">
        <f t="shared" ref="CE387:CE450" si="339">(AJ387*10000)/$E387</f>
        <v>0</v>
      </c>
      <c r="CF387" s="17">
        <f t="shared" ref="CF387:CF450" si="340">(AK387*10000)/$E387</f>
        <v>0</v>
      </c>
      <c r="CG387" s="17">
        <f t="shared" ref="CG387:CG450" si="341">(AL387*10000)/$E387</f>
        <v>0</v>
      </c>
      <c r="CH387" s="17">
        <f t="shared" ref="CH387:CH450" si="342">(AN387*10000)/$E387</f>
        <v>0</v>
      </c>
      <c r="CI387" s="17">
        <f t="shared" ref="CI387:CI450" si="343">(AO387*10000)/$E387</f>
        <v>0</v>
      </c>
      <c r="CJ387" s="17">
        <f t="shared" ref="CJ387:CJ450" si="344">(AP387*10000)/$E387</f>
        <v>0</v>
      </c>
      <c r="CK387" s="17">
        <f t="shared" ref="CK387:CK450" si="345">(AR387*10000)/$E387</f>
        <v>0</v>
      </c>
      <c r="CL387" s="17">
        <f t="shared" ref="CL387:CL450" si="346">(AS387*10000)/$E387</f>
        <v>0</v>
      </c>
      <c r="CM387" s="14">
        <f t="shared" ref="CM387:CM450" si="347">AV387+AW387</f>
        <v>0</v>
      </c>
      <c r="CN387" s="17">
        <f t="shared" ref="CN387:CN450" si="348">(CM387*10000)/$E387</f>
        <v>0</v>
      </c>
      <c r="CO387" s="14">
        <f t="shared" ref="CO387:CO450" si="349">AU387+AV387+AW387</f>
        <v>8</v>
      </c>
      <c r="CP387" s="17">
        <f t="shared" ref="CP387:CP450" si="350">(CO387*10000)/$E387</f>
        <v>1.1784483885638943E-2</v>
      </c>
      <c r="CQ387" s="14">
        <f t="shared" si="324"/>
        <v>8</v>
      </c>
      <c r="CR387" s="14">
        <v>0</v>
      </c>
      <c r="CS387" s="14">
        <v>0</v>
      </c>
      <c r="CT387" s="14">
        <v>0</v>
      </c>
      <c r="CU387" s="14">
        <v>0</v>
      </c>
    </row>
    <row r="388" spans="1:99" x14ac:dyDescent="0.3">
      <c r="A388" s="14">
        <v>2013</v>
      </c>
      <c r="B388" s="14" t="s">
        <v>71</v>
      </c>
      <c r="C388" s="14" t="s">
        <v>72</v>
      </c>
      <c r="D388" s="15">
        <v>244461.1</v>
      </c>
      <c r="E388" s="15">
        <v>6964858.4999999972</v>
      </c>
      <c r="F388" s="15">
        <f t="shared" si="325"/>
        <v>28.490661704459306</v>
      </c>
      <c r="AB388" s="14">
        <f t="shared" si="326"/>
        <v>0</v>
      </c>
      <c r="AM388" s="14">
        <f t="shared" si="327"/>
        <v>0</v>
      </c>
      <c r="AQ388" s="14">
        <f t="shared" si="328"/>
        <v>0</v>
      </c>
      <c r="AT388" s="14">
        <f t="shared" si="329"/>
        <v>0</v>
      </c>
      <c r="AU388" s="16">
        <v>0</v>
      </c>
      <c r="AV388" s="16">
        <v>12212</v>
      </c>
      <c r="AW388" s="16">
        <v>4374</v>
      </c>
      <c r="AX388" s="16">
        <v>0</v>
      </c>
      <c r="AY388" s="18">
        <f t="shared" si="330"/>
        <v>0</v>
      </c>
      <c r="AZ388" s="17">
        <f t="shared" si="331"/>
        <v>17.533737404715406</v>
      </c>
      <c r="BA388" s="17">
        <f t="shared" si="332"/>
        <v>6.280098870637504</v>
      </c>
      <c r="BB388" s="17">
        <f t="shared" si="333"/>
        <v>0</v>
      </c>
      <c r="BC388" s="17">
        <f t="shared" si="301"/>
        <v>0</v>
      </c>
      <c r="BD388" s="17">
        <f t="shared" si="302"/>
        <v>0</v>
      </c>
      <c r="BE388" s="17">
        <f t="shared" si="303"/>
        <v>0</v>
      </c>
      <c r="BF388" s="17">
        <f t="shared" si="304"/>
        <v>0</v>
      </c>
      <c r="BG388" s="17">
        <f t="shared" si="305"/>
        <v>0</v>
      </c>
      <c r="BH388" s="17">
        <f t="shared" si="306"/>
        <v>0</v>
      </c>
      <c r="BI388" s="17">
        <f t="shared" si="307"/>
        <v>0</v>
      </c>
      <c r="BJ388" s="17">
        <f t="shared" si="308"/>
        <v>0</v>
      </c>
      <c r="BK388" s="17">
        <f t="shared" si="309"/>
        <v>0</v>
      </c>
      <c r="BL388" s="17">
        <f t="shared" si="310"/>
        <v>0</v>
      </c>
      <c r="BM388" s="17">
        <f t="shared" si="311"/>
        <v>0</v>
      </c>
      <c r="BN388" s="17">
        <f t="shared" si="312"/>
        <v>0</v>
      </c>
      <c r="BO388" s="17">
        <f t="shared" si="313"/>
        <v>0</v>
      </c>
      <c r="BP388" s="17">
        <f t="shared" si="314"/>
        <v>0</v>
      </c>
      <c r="BQ388" s="17">
        <f t="shared" si="315"/>
        <v>0</v>
      </c>
      <c r="BR388" s="17">
        <f t="shared" si="316"/>
        <v>0</v>
      </c>
      <c r="BS388" s="17">
        <f t="shared" si="317"/>
        <v>0</v>
      </c>
      <c r="BT388" s="17">
        <f t="shared" si="318"/>
        <v>0</v>
      </c>
      <c r="BU388" s="17">
        <f t="shared" si="319"/>
        <v>0</v>
      </c>
      <c r="BV388" s="17">
        <f t="shared" si="320"/>
        <v>0</v>
      </c>
      <c r="BW388" s="17">
        <f t="shared" si="321"/>
        <v>0</v>
      </c>
      <c r="BX388" s="17">
        <f t="shared" si="322"/>
        <v>0</v>
      </c>
      <c r="BY388" s="17">
        <f t="shared" si="323"/>
        <v>0</v>
      </c>
      <c r="BZ388" s="17">
        <f t="shared" si="334"/>
        <v>0</v>
      </c>
      <c r="CA388" s="17">
        <f t="shared" si="335"/>
        <v>0</v>
      </c>
      <c r="CB388" s="17">
        <f t="shared" si="336"/>
        <v>0</v>
      </c>
      <c r="CC388" s="17">
        <f t="shared" si="337"/>
        <v>0</v>
      </c>
      <c r="CD388" s="17">
        <f t="shared" si="338"/>
        <v>0</v>
      </c>
      <c r="CE388" s="17">
        <f t="shared" si="339"/>
        <v>0</v>
      </c>
      <c r="CF388" s="17">
        <f t="shared" si="340"/>
        <v>0</v>
      </c>
      <c r="CG388" s="17">
        <f t="shared" si="341"/>
        <v>0</v>
      </c>
      <c r="CH388" s="17">
        <f t="shared" si="342"/>
        <v>0</v>
      </c>
      <c r="CI388" s="17">
        <f t="shared" si="343"/>
        <v>0</v>
      </c>
      <c r="CJ388" s="17">
        <f t="shared" si="344"/>
        <v>0</v>
      </c>
      <c r="CK388" s="17">
        <f t="shared" si="345"/>
        <v>0</v>
      </c>
      <c r="CL388" s="17">
        <f t="shared" si="346"/>
        <v>0</v>
      </c>
      <c r="CM388" s="14">
        <f t="shared" si="347"/>
        <v>16586</v>
      </c>
      <c r="CN388" s="17">
        <f t="shared" si="348"/>
        <v>23.813836275352912</v>
      </c>
      <c r="CO388" s="14">
        <f t="shared" si="349"/>
        <v>16586</v>
      </c>
      <c r="CP388" s="17">
        <f t="shared" si="350"/>
        <v>23.813836275352912</v>
      </c>
      <c r="CQ388" s="14">
        <f t="shared" si="324"/>
        <v>16586</v>
      </c>
      <c r="CR388" s="14">
        <v>0</v>
      </c>
      <c r="CS388" s="14">
        <v>0</v>
      </c>
      <c r="CT388" s="14">
        <v>0</v>
      </c>
      <c r="CU388" s="14">
        <v>0</v>
      </c>
    </row>
    <row r="389" spans="1:99" x14ac:dyDescent="0.3">
      <c r="A389" s="14">
        <v>2014</v>
      </c>
      <c r="B389" s="14" t="s">
        <v>71</v>
      </c>
      <c r="C389" s="14" t="s">
        <v>72</v>
      </c>
      <c r="D389" s="15">
        <v>244533.1</v>
      </c>
      <c r="E389" s="15">
        <v>7140688.0000000028</v>
      </c>
      <c r="F389" s="15">
        <f t="shared" si="325"/>
        <v>29.201314668648141</v>
      </c>
      <c r="AB389" s="14">
        <f t="shared" si="326"/>
        <v>0</v>
      </c>
      <c r="AM389" s="14">
        <f t="shared" si="327"/>
        <v>0</v>
      </c>
      <c r="AO389" s="14">
        <v>1511</v>
      </c>
      <c r="AQ389" s="14">
        <f t="shared" si="328"/>
        <v>1511</v>
      </c>
      <c r="AR389" s="14">
        <v>3046</v>
      </c>
      <c r="AT389" s="14">
        <f t="shared" si="329"/>
        <v>3046</v>
      </c>
      <c r="AU389" s="16">
        <v>1</v>
      </c>
      <c r="AV389" s="16">
        <v>12216</v>
      </c>
      <c r="AW389" s="16">
        <v>1170</v>
      </c>
      <c r="AX389" s="16">
        <v>0</v>
      </c>
      <c r="AY389" s="18">
        <f t="shared" si="330"/>
        <v>1.4004252811493788E-3</v>
      </c>
      <c r="AZ389" s="17">
        <f t="shared" si="331"/>
        <v>17.107595234520812</v>
      </c>
      <c r="BA389" s="17">
        <f t="shared" si="332"/>
        <v>1.6384975789447733</v>
      </c>
      <c r="BB389" s="17">
        <f t="shared" si="333"/>
        <v>0</v>
      </c>
      <c r="BC389" s="17">
        <f t="shared" si="301"/>
        <v>0</v>
      </c>
      <c r="BD389" s="17">
        <f t="shared" si="302"/>
        <v>0</v>
      </c>
      <c r="BE389" s="17">
        <f t="shared" si="303"/>
        <v>0</v>
      </c>
      <c r="BF389" s="17">
        <f t="shared" si="304"/>
        <v>0</v>
      </c>
      <c r="BG389" s="17">
        <f t="shared" si="305"/>
        <v>0</v>
      </c>
      <c r="BH389" s="17">
        <f t="shared" si="306"/>
        <v>0</v>
      </c>
      <c r="BI389" s="17">
        <f t="shared" si="307"/>
        <v>0</v>
      </c>
      <c r="BJ389" s="17">
        <f t="shared" si="308"/>
        <v>0</v>
      </c>
      <c r="BK389" s="17">
        <f t="shared" si="309"/>
        <v>0</v>
      </c>
      <c r="BL389" s="17">
        <f t="shared" si="310"/>
        <v>0</v>
      </c>
      <c r="BM389" s="17">
        <f t="shared" si="311"/>
        <v>0</v>
      </c>
      <c r="BN389" s="17">
        <f t="shared" si="312"/>
        <v>0</v>
      </c>
      <c r="BO389" s="17">
        <f t="shared" si="313"/>
        <v>0</v>
      </c>
      <c r="BP389" s="17">
        <f t="shared" si="314"/>
        <v>0</v>
      </c>
      <c r="BQ389" s="17">
        <f t="shared" si="315"/>
        <v>0</v>
      </c>
      <c r="BR389" s="17">
        <f t="shared" si="316"/>
        <v>0</v>
      </c>
      <c r="BS389" s="17">
        <f t="shared" si="317"/>
        <v>0</v>
      </c>
      <c r="BT389" s="17">
        <f t="shared" si="318"/>
        <v>0</v>
      </c>
      <c r="BU389" s="17">
        <f t="shared" si="319"/>
        <v>0</v>
      </c>
      <c r="BV389" s="17">
        <f t="shared" si="320"/>
        <v>0</v>
      </c>
      <c r="BW389" s="17">
        <f t="shared" si="321"/>
        <v>0</v>
      </c>
      <c r="BX389" s="17">
        <f t="shared" si="322"/>
        <v>0</v>
      </c>
      <c r="BY389" s="17">
        <f t="shared" si="323"/>
        <v>0</v>
      </c>
      <c r="BZ389" s="17">
        <f t="shared" si="334"/>
        <v>0</v>
      </c>
      <c r="CA389" s="17">
        <f t="shared" si="335"/>
        <v>0</v>
      </c>
      <c r="CB389" s="17">
        <f t="shared" si="336"/>
        <v>0</v>
      </c>
      <c r="CC389" s="17">
        <f t="shared" si="337"/>
        <v>0</v>
      </c>
      <c r="CD389" s="17">
        <f t="shared" si="338"/>
        <v>0</v>
      </c>
      <c r="CE389" s="17">
        <f t="shared" si="339"/>
        <v>0</v>
      </c>
      <c r="CF389" s="17">
        <f t="shared" si="340"/>
        <v>0</v>
      </c>
      <c r="CG389" s="17">
        <f t="shared" si="341"/>
        <v>0</v>
      </c>
      <c r="CH389" s="17">
        <f t="shared" si="342"/>
        <v>0</v>
      </c>
      <c r="CI389" s="17">
        <f t="shared" si="343"/>
        <v>2.1160425998167116</v>
      </c>
      <c r="CJ389" s="17">
        <f t="shared" si="344"/>
        <v>0</v>
      </c>
      <c r="CK389" s="17">
        <f t="shared" si="345"/>
        <v>4.265695406381008</v>
      </c>
      <c r="CL389" s="17">
        <f t="shared" si="346"/>
        <v>0</v>
      </c>
      <c r="CM389" s="14">
        <f t="shared" si="347"/>
        <v>13386</v>
      </c>
      <c r="CN389" s="17">
        <f t="shared" si="348"/>
        <v>18.746092813465587</v>
      </c>
      <c r="CO389" s="14">
        <f t="shared" si="349"/>
        <v>13387</v>
      </c>
      <c r="CP389" s="17">
        <f t="shared" si="350"/>
        <v>18.747493238746735</v>
      </c>
      <c r="CQ389" s="14">
        <f t="shared" si="324"/>
        <v>22501</v>
      </c>
      <c r="CR389" s="14">
        <v>0</v>
      </c>
      <c r="CS389" s="14">
        <v>0</v>
      </c>
      <c r="CT389" s="14">
        <v>0</v>
      </c>
      <c r="CU389" s="14">
        <v>0</v>
      </c>
    </row>
    <row r="390" spans="1:99" x14ac:dyDescent="0.3">
      <c r="A390" s="14">
        <v>2015</v>
      </c>
      <c r="B390" s="14" t="s">
        <v>71</v>
      </c>
      <c r="C390" s="14" t="s">
        <v>72</v>
      </c>
      <c r="D390" s="15">
        <v>244577.3</v>
      </c>
      <c r="E390" s="15">
        <v>7314773</v>
      </c>
      <c r="F390" s="15">
        <f t="shared" si="325"/>
        <v>29.907816465387427</v>
      </c>
      <c r="AB390" s="14">
        <f t="shared" si="326"/>
        <v>0</v>
      </c>
      <c r="AM390" s="14">
        <f t="shared" si="327"/>
        <v>0</v>
      </c>
      <c r="AQ390" s="14">
        <f t="shared" si="328"/>
        <v>0</v>
      </c>
      <c r="AT390" s="14">
        <f t="shared" si="329"/>
        <v>0</v>
      </c>
      <c r="AU390" s="16">
        <v>0</v>
      </c>
      <c r="AV390" s="16">
        <v>11746</v>
      </c>
      <c r="AW390" s="16">
        <v>0</v>
      </c>
      <c r="AX390" s="16">
        <v>0</v>
      </c>
      <c r="AY390" s="18">
        <f t="shared" si="330"/>
        <v>0</v>
      </c>
      <c r="AZ390" s="17">
        <f t="shared" si="331"/>
        <v>16.057914579167392</v>
      </c>
      <c r="BA390" s="17">
        <f t="shared" si="332"/>
        <v>0</v>
      </c>
      <c r="BB390" s="17">
        <f t="shared" si="333"/>
        <v>0</v>
      </c>
      <c r="BC390" s="17">
        <f t="shared" si="301"/>
        <v>0</v>
      </c>
      <c r="BD390" s="17">
        <f t="shared" si="302"/>
        <v>0</v>
      </c>
      <c r="BE390" s="17">
        <f t="shared" si="303"/>
        <v>0</v>
      </c>
      <c r="BF390" s="17">
        <f t="shared" si="304"/>
        <v>0</v>
      </c>
      <c r="BG390" s="17">
        <f t="shared" si="305"/>
        <v>0</v>
      </c>
      <c r="BH390" s="17">
        <f t="shared" si="306"/>
        <v>0</v>
      </c>
      <c r="BI390" s="17">
        <f t="shared" si="307"/>
        <v>0</v>
      </c>
      <c r="BJ390" s="17">
        <f t="shared" si="308"/>
        <v>0</v>
      </c>
      <c r="BK390" s="17">
        <f t="shared" si="309"/>
        <v>0</v>
      </c>
      <c r="BL390" s="17">
        <f t="shared" si="310"/>
        <v>0</v>
      </c>
      <c r="BM390" s="17">
        <f t="shared" si="311"/>
        <v>0</v>
      </c>
      <c r="BN390" s="17">
        <f t="shared" si="312"/>
        <v>0</v>
      </c>
      <c r="BO390" s="17">
        <f t="shared" si="313"/>
        <v>0</v>
      </c>
      <c r="BP390" s="17">
        <f t="shared" si="314"/>
        <v>0</v>
      </c>
      <c r="BQ390" s="17">
        <f t="shared" si="315"/>
        <v>0</v>
      </c>
      <c r="BR390" s="17">
        <f t="shared" si="316"/>
        <v>0</v>
      </c>
      <c r="BS390" s="17">
        <f t="shared" si="317"/>
        <v>0</v>
      </c>
      <c r="BT390" s="17">
        <f t="shared" si="318"/>
        <v>0</v>
      </c>
      <c r="BU390" s="17">
        <f t="shared" si="319"/>
        <v>0</v>
      </c>
      <c r="BV390" s="17">
        <f t="shared" si="320"/>
        <v>0</v>
      </c>
      <c r="BW390" s="17">
        <f t="shared" si="321"/>
        <v>0</v>
      </c>
      <c r="BX390" s="17">
        <f t="shared" si="322"/>
        <v>0</v>
      </c>
      <c r="BY390" s="17">
        <f t="shared" si="323"/>
        <v>0</v>
      </c>
      <c r="BZ390" s="17">
        <f t="shared" si="334"/>
        <v>0</v>
      </c>
      <c r="CA390" s="17">
        <f t="shared" si="335"/>
        <v>0</v>
      </c>
      <c r="CB390" s="17">
        <f t="shared" si="336"/>
        <v>0</v>
      </c>
      <c r="CC390" s="17">
        <f t="shared" si="337"/>
        <v>0</v>
      </c>
      <c r="CD390" s="17">
        <f t="shared" si="338"/>
        <v>0</v>
      </c>
      <c r="CE390" s="17">
        <f t="shared" si="339"/>
        <v>0</v>
      </c>
      <c r="CF390" s="17">
        <f t="shared" si="340"/>
        <v>0</v>
      </c>
      <c r="CG390" s="17">
        <f t="shared" si="341"/>
        <v>0</v>
      </c>
      <c r="CH390" s="17">
        <f t="shared" si="342"/>
        <v>0</v>
      </c>
      <c r="CI390" s="17">
        <f t="shared" si="343"/>
        <v>0</v>
      </c>
      <c r="CJ390" s="17">
        <f t="shared" si="344"/>
        <v>0</v>
      </c>
      <c r="CK390" s="17">
        <f t="shared" si="345"/>
        <v>0</v>
      </c>
      <c r="CL390" s="17">
        <f t="shared" si="346"/>
        <v>0</v>
      </c>
      <c r="CM390" s="14">
        <f t="shared" si="347"/>
        <v>11746</v>
      </c>
      <c r="CN390" s="17">
        <f t="shared" si="348"/>
        <v>16.057914579167392</v>
      </c>
      <c r="CO390" s="14">
        <f t="shared" si="349"/>
        <v>11746</v>
      </c>
      <c r="CP390" s="17">
        <f t="shared" si="350"/>
        <v>16.057914579167392</v>
      </c>
      <c r="CQ390" s="14">
        <f t="shared" si="324"/>
        <v>11746</v>
      </c>
      <c r="CR390" s="14">
        <v>0</v>
      </c>
      <c r="CS390" s="14">
        <v>0</v>
      </c>
      <c r="CT390" s="14">
        <v>0</v>
      </c>
      <c r="CU390" s="14">
        <v>0</v>
      </c>
    </row>
    <row r="391" spans="1:99" x14ac:dyDescent="0.3">
      <c r="A391" s="14">
        <v>2016</v>
      </c>
      <c r="B391" s="14" t="s">
        <v>71</v>
      </c>
      <c r="C391" s="14" t="s">
        <v>72</v>
      </c>
      <c r="D391" s="15">
        <v>245921.2</v>
      </c>
      <c r="E391" s="15">
        <v>7493912.9999999981</v>
      </c>
      <c r="F391" s="15">
        <f t="shared" si="325"/>
        <v>30.472822188570966</v>
      </c>
      <c r="G391" s="14">
        <v>53</v>
      </c>
      <c r="H391" s="14">
        <v>82</v>
      </c>
      <c r="M391" s="14">
        <v>14622</v>
      </c>
      <c r="AB391" s="14">
        <f t="shared" si="326"/>
        <v>0</v>
      </c>
      <c r="AM391" s="14">
        <f t="shared" si="327"/>
        <v>0</v>
      </c>
      <c r="AQ391" s="14">
        <f t="shared" si="328"/>
        <v>0</v>
      </c>
      <c r="AT391" s="14">
        <f t="shared" si="329"/>
        <v>0</v>
      </c>
      <c r="AU391" s="16">
        <v>0</v>
      </c>
      <c r="AV391" s="16">
        <v>10320</v>
      </c>
      <c r="AW391" s="16">
        <v>626</v>
      </c>
      <c r="AX391" s="16">
        <v>0</v>
      </c>
      <c r="AY391" s="18">
        <f t="shared" si="330"/>
        <v>0</v>
      </c>
      <c r="AZ391" s="17">
        <f t="shared" si="331"/>
        <v>13.771176686999173</v>
      </c>
      <c r="BA391" s="17">
        <f t="shared" si="332"/>
        <v>0.83534463237029866</v>
      </c>
      <c r="BB391" s="17">
        <f t="shared" si="333"/>
        <v>0</v>
      </c>
      <c r="BC391" s="17">
        <f t="shared" si="301"/>
        <v>7.0724066318891096E-2</v>
      </c>
      <c r="BD391" s="17">
        <f t="shared" si="302"/>
        <v>0.10942214034243528</v>
      </c>
      <c r="BE391" s="17">
        <f t="shared" si="303"/>
        <v>0</v>
      </c>
      <c r="BF391" s="17">
        <f t="shared" si="304"/>
        <v>0</v>
      </c>
      <c r="BG391" s="17">
        <f t="shared" si="305"/>
        <v>0</v>
      </c>
      <c r="BH391" s="17">
        <f t="shared" si="306"/>
        <v>0</v>
      </c>
      <c r="BI391" s="17">
        <f t="shared" si="307"/>
        <v>19.511835805940105</v>
      </c>
      <c r="BJ391" s="17">
        <f t="shared" si="308"/>
        <v>0</v>
      </c>
      <c r="BK391" s="17">
        <f t="shared" si="309"/>
        <v>0</v>
      </c>
      <c r="BL391" s="17">
        <f t="shared" si="310"/>
        <v>0</v>
      </c>
      <c r="BM391" s="17">
        <f t="shared" si="311"/>
        <v>0</v>
      </c>
      <c r="BN391" s="17">
        <f t="shared" si="312"/>
        <v>0</v>
      </c>
      <c r="BO391" s="17">
        <f t="shared" si="313"/>
        <v>0</v>
      </c>
      <c r="BP391" s="17">
        <f t="shared" si="314"/>
        <v>0</v>
      </c>
      <c r="BQ391" s="17">
        <f t="shared" si="315"/>
        <v>0</v>
      </c>
      <c r="BR391" s="17">
        <f t="shared" si="316"/>
        <v>0</v>
      </c>
      <c r="BS391" s="17">
        <f t="shared" si="317"/>
        <v>0</v>
      </c>
      <c r="BT391" s="17">
        <f t="shared" si="318"/>
        <v>0</v>
      </c>
      <c r="BU391" s="17">
        <f t="shared" si="319"/>
        <v>0</v>
      </c>
      <c r="BV391" s="17">
        <f t="shared" si="320"/>
        <v>0</v>
      </c>
      <c r="BW391" s="17">
        <f t="shared" si="321"/>
        <v>0</v>
      </c>
      <c r="BX391" s="17">
        <f t="shared" si="322"/>
        <v>0</v>
      </c>
      <c r="BY391" s="17">
        <f t="shared" si="323"/>
        <v>0</v>
      </c>
      <c r="BZ391" s="17">
        <f t="shared" si="334"/>
        <v>0</v>
      </c>
      <c r="CA391" s="17">
        <f t="shared" si="335"/>
        <v>0</v>
      </c>
      <c r="CB391" s="17">
        <f t="shared" si="336"/>
        <v>0</v>
      </c>
      <c r="CC391" s="17">
        <f t="shared" si="337"/>
        <v>0</v>
      </c>
      <c r="CD391" s="17">
        <f t="shared" si="338"/>
        <v>0</v>
      </c>
      <c r="CE391" s="17">
        <f t="shared" si="339"/>
        <v>0</v>
      </c>
      <c r="CF391" s="17">
        <f t="shared" si="340"/>
        <v>0</v>
      </c>
      <c r="CG391" s="17">
        <f t="shared" si="341"/>
        <v>0</v>
      </c>
      <c r="CH391" s="17">
        <f t="shared" si="342"/>
        <v>0</v>
      </c>
      <c r="CI391" s="17">
        <f t="shared" si="343"/>
        <v>0</v>
      </c>
      <c r="CJ391" s="17">
        <f t="shared" si="344"/>
        <v>0</v>
      </c>
      <c r="CK391" s="17">
        <f t="shared" si="345"/>
        <v>0</v>
      </c>
      <c r="CL391" s="17">
        <f t="shared" si="346"/>
        <v>0</v>
      </c>
      <c r="CM391" s="14">
        <f t="shared" si="347"/>
        <v>10946</v>
      </c>
      <c r="CN391" s="17">
        <f t="shared" si="348"/>
        <v>14.60652131936947</v>
      </c>
      <c r="CO391" s="14">
        <f t="shared" si="349"/>
        <v>10946</v>
      </c>
      <c r="CP391" s="17">
        <f t="shared" si="350"/>
        <v>14.60652131936947</v>
      </c>
      <c r="CQ391" s="14">
        <f t="shared" si="324"/>
        <v>25703</v>
      </c>
      <c r="CR391" s="14">
        <v>0</v>
      </c>
      <c r="CS391" s="14">
        <v>0</v>
      </c>
      <c r="CT391" s="14">
        <v>0</v>
      </c>
      <c r="CU391" s="14">
        <v>0</v>
      </c>
    </row>
    <row r="392" spans="1:99" x14ac:dyDescent="0.3">
      <c r="A392" s="14">
        <v>2017</v>
      </c>
      <c r="B392" s="14" t="s">
        <v>71</v>
      </c>
      <c r="C392" s="14" t="s">
        <v>72</v>
      </c>
      <c r="D392" s="15">
        <v>248976</v>
      </c>
      <c r="E392" s="15">
        <v>7677565.5000000019</v>
      </c>
      <c r="F392" s="15">
        <f t="shared" si="325"/>
        <v>30.836568584923857</v>
      </c>
      <c r="AB392" s="14">
        <f t="shared" si="326"/>
        <v>0</v>
      </c>
      <c r="AM392" s="14">
        <f t="shared" si="327"/>
        <v>0</v>
      </c>
      <c r="AQ392" s="14">
        <f t="shared" si="328"/>
        <v>0</v>
      </c>
      <c r="AT392" s="14">
        <f t="shared" si="329"/>
        <v>0</v>
      </c>
      <c r="AU392" s="16">
        <v>0</v>
      </c>
      <c r="AV392" s="16">
        <v>11960</v>
      </c>
      <c r="AW392" s="16">
        <v>0</v>
      </c>
      <c r="AX392" s="16">
        <v>0</v>
      </c>
      <c r="AY392" s="18">
        <f t="shared" si="330"/>
        <v>0</v>
      </c>
      <c r="AZ392" s="17">
        <f t="shared" si="331"/>
        <v>15.57785472491247</v>
      </c>
      <c r="BA392" s="17">
        <f t="shared" si="332"/>
        <v>0</v>
      </c>
      <c r="BB392" s="17">
        <f t="shared" si="333"/>
        <v>0</v>
      </c>
      <c r="BC392" s="17">
        <f t="shared" si="301"/>
        <v>0</v>
      </c>
      <c r="BD392" s="17">
        <f t="shared" si="302"/>
        <v>0</v>
      </c>
      <c r="BE392" s="17">
        <f t="shared" si="303"/>
        <v>0</v>
      </c>
      <c r="BF392" s="17">
        <f t="shared" si="304"/>
        <v>0</v>
      </c>
      <c r="BG392" s="17">
        <f t="shared" si="305"/>
        <v>0</v>
      </c>
      <c r="BH392" s="17">
        <f t="shared" si="306"/>
        <v>0</v>
      </c>
      <c r="BI392" s="17">
        <f t="shared" si="307"/>
        <v>0</v>
      </c>
      <c r="BJ392" s="17">
        <f t="shared" si="308"/>
        <v>0</v>
      </c>
      <c r="BK392" s="17">
        <f t="shared" si="309"/>
        <v>0</v>
      </c>
      <c r="BL392" s="17">
        <f t="shared" si="310"/>
        <v>0</v>
      </c>
      <c r="BM392" s="17">
        <f t="shared" si="311"/>
        <v>0</v>
      </c>
      <c r="BN392" s="17">
        <f t="shared" si="312"/>
        <v>0</v>
      </c>
      <c r="BO392" s="17">
        <f t="shared" si="313"/>
        <v>0</v>
      </c>
      <c r="BP392" s="17">
        <f t="shared" si="314"/>
        <v>0</v>
      </c>
      <c r="BQ392" s="17">
        <f t="shared" si="315"/>
        <v>0</v>
      </c>
      <c r="BR392" s="17">
        <f t="shared" si="316"/>
        <v>0</v>
      </c>
      <c r="BS392" s="17">
        <f t="shared" si="317"/>
        <v>0</v>
      </c>
      <c r="BT392" s="17">
        <f t="shared" si="318"/>
        <v>0</v>
      </c>
      <c r="BU392" s="17">
        <f t="shared" si="319"/>
        <v>0</v>
      </c>
      <c r="BV392" s="17">
        <f t="shared" si="320"/>
        <v>0</v>
      </c>
      <c r="BW392" s="17">
        <f t="shared" si="321"/>
        <v>0</v>
      </c>
      <c r="BX392" s="17">
        <f t="shared" si="322"/>
        <v>0</v>
      </c>
      <c r="BY392" s="17">
        <f t="shared" si="323"/>
        <v>0</v>
      </c>
      <c r="BZ392" s="17">
        <f t="shared" si="334"/>
        <v>0</v>
      </c>
      <c r="CA392" s="17">
        <f t="shared" si="335"/>
        <v>0</v>
      </c>
      <c r="CB392" s="17">
        <f t="shared" si="336"/>
        <v>0</v>
      </c>
      <c r="CC392" s="17">
        <f t="shared" si="337"/>
        <v>0</v>
      </c>
      <c r="CD392" s="17">
        <f t="shared" si="338"/>
        <v>0</v>
      </c>
      <c r="CE392" s="17">
        <f t="shared" si="339"/>
        <v>0</v>
      </c>
      <c r="CF392" s="17">
        <f t="shared" si="340"/>
        <v>0</v>
      </c>
      <c r="CG392" s="17">
        <f t="shared" si="341"/>
        <v>0</v>
      </c>
      <c r="CH392" s="17">
        <f t="shared" si="342"/>
        <v>0</v>
      </c>
      <c r="CI392" s="17">
        <f t="shared" si="343"/>
        <v>0</v>
      </c>
      <c r="CJ392" s="17">
        <f t="shared" si="344"/>
        <v>0</v>
      </c>
      <c r="CK392" s="17">
        <f t="shared" si="345"/>
        <v>0</v>
      </c>
      <c r="CL392" s="17">
        <f t="shared" si="346"/>
        <v>0</v>
      </c>
      <c r="CM392" s="14">
        <f t="shared" si="347"/>
        <v>11960</v>
      </c>
      <c r="CN392" s="17">
        <f t="shared" si="348"/>
        <v>15.57785472491247</v>
      </c>
      <c r="CO392" s="14">
        <f t="shared" si="349"/>
        <v>11960</v>
      </c>
      <c r="CP392" s="17">
        <f t="shared" si="350"/>
        <v>15.57785472491247</v>
      </c>
      <c r="CQ392" s="14">
        <f t="shared" si="324"/>
        <v>11960</v>
      </c>
      <c r="CR392" s="14">
        <v>0</v>
      </c>
      <c r="CS392" s="14">
        <v>0</v>
      </c>
      <c r="CT392" s="14">
        <v>0</v>
      </c>
      <c r="CU392" s="14">
        <v>0</v>
      </c>
    </row>
    <row r="393" spans="1:99" x14ac:dyDescent="0.3">
      <c r="A393" s="14">
        <v>2018</v>
      </c>
      <c r="B393" s="14" t="s">
        <v>71</v>
      </c>
      <c r="C393" s="14" t="s">
        <v>72</v>
      </c>
      <c r="D393" s="15">
        <v>252080.8</v>
      </c>
      <c r="E393" s="15">
        <v>7861281</v>
      </c>
      <c r="F393" s="15">
        <f t="shared" si="325"/>
        <v>31.185560344143624</v>
      </c>
      <c r="G393" s="14">
        <v>15</v>
      </c>
      <c r="H393" s="14">
        <v>156</v>
      </c>
      <c r="Z393" s="14">
        <v>311</v>
      </c>
      <c r="AB393" s="14">
        <f t="shared" si="326"/>
        <v>0</v>
      </c>
      <c r="AM393" s="14">
        <f t="shared" si="327"/>
        <v>0</v>
      </c>
      <c r="AQ393" s="14">
        <f t="shared" si="328"/>
        <v>0</v>
      </c>
      <c r="AT393" s="14">
        <f t="shared" si="329"/>
        <v>0</v>
      </c>
      <c r="AU393" s="16">
        <v>1132</v>
      </c>
      <c r="AV393" s="16">
        <v>11514</v>
      </c>
      <c r="AW393" s="16">
        <v>0</v>
      </c>
      <c r="AX393" s="16">
        <v>0</v>
      </c>
      <c r="AY393" s="18">
        <f t="shared" si="330"/>
        <v>1.43996888038985</v>
      </c>
      <c r="AZ393" s="17">
        <f t="shared" si="331"/>
        <v>14.646467922975912</v>
      </c>
      <c r="BA393" s="17">
        <f t="shared" si="332"/>
        <v>0</v>
      </c>
      <c r="BB393" s="17">
        <f t="shared" si="333"/>
        <v>0</v>
      </c>
      <c r="BC393" s="17">
        <f t="shared" si="301"/>
        <v>1.9080859722480345E-2</v>
      </c>
      <c r="BD393" s="17">
        <f t="shared" si="302"/>
        <v>0.19844094111379557</v>
      </c>
      <c r="BE393" s="17">
        <f t="shared" si="303"/>
        <v>0</v>
      </c>
      <c r="BF393" s="17">
        <f t="shared" si="304"/>
        <v>0</v>
      </c>
      <c r="BG393" s="17">
        <f t="shared" si="305"/>
        <v>0</v>
      </c>
      <c r="BH393" s="17">
        <f t="shared" si="306"/>
        <v>0</v>
      </c>
      <c r="BI393" s="17">
        <f t="shared" si="307"/>
        <v>0</v>
      </c>
      <c r="BJ393" s="17">
        <f t="shared" si="308"/>
        <v>0</v>
      </c>
      <c r="BK393" s="17">
        <f t="shared" si="309"/>
        <v>0</v>
      </c>
      <c r="BL393" s="17">
        <f t="shared" si="310"/>
        <v>0</v>
      </c>
      <c r="BM393" s="17">
        <f t="shared" si="311"/>
        <v>0</v>
      </c>
      <c r="BN393" s="17">
        <f t="shared" si="312"/>
        <v>0</v>
      </c>
      <c r="BO393" s="17">
        <f t="shared" si="313"/>
        <v>0</v>
      </c>
      <c r="BP393" s="17">
        <f t="shared" si="314"/>
        <v>0</v>
      </c>
      <c r="BQ393" s="17">
        <f t="shared" si="315"/>
        <v>0</v>
      </c>
      <c r="BR393" s="17">
        <f t="shared" si="316"/>
        <v>0</v>
      </c>
      <c r="BS393" s="17">
        <f t="shared" si="317"/>
        <v>0</v>
      </c>
      <c r="BT393" s="17">
        <f t="shared" si="318"/>
        <v>0</v>
      </c>
      <c r="BU393" s="17">
        <f t="shared" si="319"/>
        <v>0</v>
      </c>
      <c r="BV393" s="17">
        <f t="shared" si="320"/>
        <v>0.39560982491275914</v>
      </c>
      <c r="BW393" s="17">
        <f t="shared" si="321"/>
        <v>0</v>
      </c>
      <c r="BX393" s="17">
        <f t="shared" si="322"/>
        <v>0</v>
      </c>
      <c r="BY393" s="17">
        <f t="shared" si="323"/>
        <v>0</v>
      </c>
      <c r="BZ393" s="17">
        <f t="shared" si="334"/>
        <v>0</v>
      </c>
      <c r="CA393" s="17">
        <f t="shared" si="335"/>
        <v>0</v>
      </c>
      <c r="CB393" s="17">
        <f t="shared" si="336"/>
        <v>0</v>
      </c>
      <c r="CC393" s="17">
        <f t="shared" si="337"/>
        <v>0</v>
      </c>
      <c r="CD393" s="17">
        <f t="shared" si="338"/>
        <v>0</v>
      </c>
      <c r="CE393" s="17">
        <f t="shared" si="339"/>
        <v>0</v>
      </c>
      <c r="CF393" s="17">
        <f t="shared" si="340"/>
        <v>0</v>
      </c>
      <c r="CG393" s="17">
        <f t="shared" si="341"/>
        <v>0</v>
      </c>
      <c r="CH393" s="17">
        <f t="shared" si="342"/>
        <v>0</v>
      </c>
      <c r="CI393" s="17">
        <f t="shared" si="343"/>
        <v>0</v>
      </c>
      <c r="CJ393" s="17">
        <f t="shared" si="344"/>
        <v>0</v>
      </c>
      <c r="CK393" s="17">
        <f t="shared" si="345"/>
        <v>0</v>
      </c>
      <c r="CL393" s="17">
        <f t="shared" si="346"/>
        <v>0</v>
      </c>
      <c r="CM393" s="14">
        <f t="shared" si="347"/>
        <v>11514</v>
      </c>
      <c r="CN393" s="17">
        <f t="shared" si="348"/>
        <v>14.646467922975912</v>
      </c>
      <c r="CO393" s="14">
        <f t="shared" si="349"/>
        <v>12646</v>
      </c>
      <c r="CP393" s="17">
        <f t="shared" si="350"/>
        <v>16.086436803365761</v>
      </c>
      <c r="CQ393" s="14">
        <f t="shared" si="324"/>
        <v>13128</v>
      </c>
      <c r="CR393" s="14">
        <v>0</v>
      </c>
      <c r="CS393" s="14">
        <v>0</v>
      </c>
      <c r="CT393" s="14">
        <v>0</v>
      </c>
      <c r="CU393" s="14">
        <v>0</v>
      </c>
    </row>
    <row r="394" spans="1:99" x14ac:dyDescent="0.3">
      <c r="A394" s="14">
        <v>2019</v>
      </c>
      <c r="B394" s="14" t="s">
        <v>71</v>
      </c>
      <c r="C394" s="14" t="s">
        <v>72</v>
      </c>
      <c r="D394" s="15">
        <v>254698.9</v>
      </c>
      <c r="E394" s="15">
        <v>8046828.5</v>
      </c>
      <c r="F394" s="15">
        <f t="shared" si="325"/>
        <v>31.593495299744131</v>
      </c>
      <c r="G394" s="14">
        <v>7</v>
      </c>
      <c r="H394" s="14">
        <v>164</v>
      </c>
      <c r="M394" s="14">
        <v>15000</v>
      </c>
      <c r="N394" s="14">
        <v>140</v>
      </c>
      <c r="O394" s="14">
        <v>25</v>
      </c>
      <c r="T394" s="14">
        <v>121</v>
      </c>
      <c r="V394" s="14">
        <v>36</v>
      </c>
      <c r="W394" s="14">
        <v>93</v>
      </c>
      <c r="Y394" s="14">
        <v>342</v>
      </c>
      <c r="AB394" s="14">
        <f t="shared" si="326"/>
        <v>25</v>
      </c>
      <c r="AC394" s="14">
        <v>64</v>
      </c>
      <c r="AE394" s="14">
        <v>130</v>
      </c>
      <c r="AF394" s="14">
        <v>15</v>
      </c>
      <c r="AI394" s="14">
        <v>319</v>
      </c>
      <c r="AJ394" s="14">
        <v>213</v>
      </c>
      <c r="AK394" s="14">
        <v>8</v>
      </c>
      <c r="AM394" s="14">
        <f t="shared" si="327"/>
        <v>8</v>
      </c>
      <c r="AQ394" s="14">
        <f t="shared" si="328"/>
        <v>0</v>
      </c>
      <c r="AT394" s="14">
        <f t="shared" si="329"/>
        <v>0</v>
      </c>
      <c r="AU394" s="25">
        <v>538</v>
      </c>
      <c r="AV394" s="25">
        <v>8622</v>
      </c>
      <c r="AW394" s="16">
        <v>4746</v>
      </c>
      <c r="AX394" s="16">
        <v>0</v>
      </c>
      <c r="AY394" s="18">
        <f t="shared" si="330"/>
        <v>0.66858638779240787</v>
      </c>
      <c r="AZ394" s="17">
        <f t="shared" si="331"/>
        <v>10.714780363468664</v>
      </c>
      <c r="BA394" s="17">
        <f t="shared" si="332"/>
        <v>5.8979758298564455</v>
      </c>
      <c r="BB394" s="17">
        <f t="shared" si="333"/>
        <v>0</v>
      </c>
      <c r="BC394" s="17">
        <f t="shared" si="301"/>
        <v>8.6990793950685041E-3</v>
      </c>
      <c r="BD394" s="17">
        <f t="shared" si="302"/>
        <v>0.2038070029701764</v>
      </c>
      <c r="BE394" s="17">
        <f t="shared" si="303"/>
        <v>0</v>
      </c>
      <c r="BF394" s="17">
        <f t="shared" si="304"/>
        <v>0</v>
      </c>
      <c r="BG394" s="17">
        <f t="shared" si="305"/>
        <v>0</v>
      </c>
      <c r="BH394" s="17">
        <f t="shared" si="306"/>
        <v>0</v>
      </c>
      <c r="BI394" s="17">
        <f t="shared" si="307"/>
        <v>18.640884418003939</v>
      </c>
      <c r="BJ394" s="17">
        <f t="shared" si="308"/>
        <v>0.17398158790137008</v>
      </c>
      <c r="BK394" s="17">
        <f t="shared" si="309"/>
        <v>3.1068140696673231E-2</v>
      </c>
      <c r="BL394" s="17">
        <f t="shared" si="310"/>
        <v>0</v>
      </c>
      <c r="BM394" s="17">
        <f t="shared" si="311"/>
        <v>0</v>
      </c>
      <c r="BN394" s="17">
        <f t="shared" si="312"/>
        <v>0</v>
      </c>
      <c r="BO394" s="17">
        <f t="shared" si="313"/>
        <v>0</v>
      </c>
      <c r="BP394" s="17">
        <f t="shared" si="314"/>
        <v>0.15036980097189842</v>
      </c>
      <c r="BQ394" s="17">
        <f t="shared" si="315"/>
        <v>0</v>
      </c>
      <c r="BR394" s="17">
        <f t="shared" si="316"/>
        <v>4.4738122603209453E-2</v>
      </c>
      <c r="BS394" s="17">
        <f t="shared" si="317"/>
        <v>0.11557348339162442</v>
      </c>
      <c r="BT394" s="17">
        <f t="shared" si="318"/>
        <v>0</v>
      </c>
      <c r="BU394" s="17">
        <f t="shared" si="319"/>
        <v>0.42501216473048981</v>
      </c>
      <c r="BV394" s="17">
        <f t="shared" si="320"/>
        <v>0</v>
      </c>
      <c r="BW394" s="17">
        <f t="shared" si="321"/>
        <v>0</v>
      </c>
      <c r="BX394" s="17">
        <f t="shared" si="322"/>
        <v>7.9534440183483462E-2</v>
      </c>
      <c r="BY394" s="17">
        <f t="shared" si="323"/>
        <v>0</v>
      </c>
      <c r="BZ394" s="17">
        <f t="shared" si="334"/>
        <v>0.1615543316227008</v>
      </c>
      <c r="CA394" s="17">
        <f t="shared" si="335"/>
        <v>1.8640884418003937E-2</v>
      </c>
      <c r="CB394" s="17">
        <f t="shared" si="336"/>
        <v>0</v>
      </c>
      <c r="CC394" s="17">
        <f t="shared" si="337"/>
        <v>0</v>
      </c>
      <c r="CD394" s="17">
        <f t="shared" si="338"/>
        <v>0.39642947528955041</v>
      </c>
      <c r="CE394" s="17">
        <f t="shared" si="339"/>
        <v>0.2647005587356559</v>
      </c>
      <c r="CF394" s="17">
        <f t="shared" si="340"/>
        <v>9.9418050229354328E-3</v>
      </c>
      <c r="CG394" s="17">
        <f t="shared" si="341"/>
        <v>0</v>
      </c>
      <c r="CH394" s="17">
        <f t="shared" si="342"/>
        <v>0</v>
      </c>
      <c r="CI394" s="17">
        <f t="shared" si="343"/>
        <v>0</v>
      </c>
      <c r="CJ394" s="17">
        <f t="shared" si="344"/>
        <v>0</v>
      </c>
      <c r="CK394" s="17">
        <f t="shared" si="345"/>
        <v>0</v>
      </c>
      <c r="CL394" s="17">
        <f t="shared" si="346"/>
        <v>0</v>
      </c>
      <c r="CM394" s="14">
        <f t="shared" si="347"/>
        <v>13368</v>
      </c>
      <c r="CN394" s="17">
        <f t="shared" si="348"/>
        <v>16.612756193325108</v>
      </c>
      <c r="CO394" s="14">
        <f t="shared" si="349"/>
        <v>13906</v>
      </c>
      <c r="CP394" s="17">
        <f t="shared" si="350"/>
        <v>17.281342581117517</v>
      </c>
      <c r="CQ394" s="14">
        <f t="shared" si="324"/>
        <v>30616</v>
      </c>
      <c r="CR394" s="14">
        <v>0</v>
      </c>
      <c r="CS394" s="14">
        <v>0</v>
      </c>
      <c r="CT394" s="14">
        <v>0</v>
      </c>
      <c r="CU394" s="14">
        <v>0</v>
      </c>
    </row>
    <row r="395" spans="1:99" x14ac:dyDescent="0.3">
      <c r="A395" s="14">
        <v>2020</v>
      </c>
      <c r="B395" s="14" t="s">
        <v>71</v>
      </c>
      <c r="C395" s="14" t="s">
        <v>72</v>
      </c>
      <c r="D395" s="15">
        <v>256574.4</v>
      </c>
      <c r="E395" s="15">
        <v>8233970.4999999991</v>
      </c>
      <c r="F395" s="15">
        <f t="shared" si="325"/>
        <v>32.091940973066677</v>
      </c>
      <c r="G395" s="14">
        <v>15</v>
      </c>
      <c r="H395" s="14">
        <v>193</v>
      </c>
      <c r="L395" s="14">
        <v>22</v>
      </c>
      <c r="M395" s="14">
        <v>13966</v>
      </c>
      <c r="N395" s="14">
        <v>66</v>
      </c>
      <c r="O395" s="14">
        <v>530</v>
      </c>
      <c r="S395" s="14">
        <v>17</v>
      </c>
      <c r="T395" s="14">
        <v>219</v>
      </c>
      <c r="W395" s="14">
        <v>487</v>
      </c>
      <c r="Z395" s="14">
        <v>114</v>
      </c>
      <c r="AB395" s="14">
        <f t="shared" si="326"/>
        <v>530</v>
      </c>
      <c r="AE395" s="14">
        <v>57</v>
      </c>
      <c r="AF395" s="14">
        <v>1</v>
      </c>
      <c r="AI395" s="14">
        <v>650</v>
      </c>
      <c r="AJ395" s="14">
        <v>332</v>
      </c>
      <c r="AK395" s="14">
        <v>6</v>
      </c>
      <c r="AM395" s="14">
        <f t="shared" si="327"/>
        <v>6</v>
      </c>
      <c r="AQ395" s="14">
        <f t="shared" si="328"/>
        <v>0</v>
      </c>
      <c r="AT395" s="14">
        <f t="shared" si="329"/>
        <v>0</v>
      </c>
      <c r="AU395" s="16">
        <v>1152</v>
      </c>
      <c r="AV395" s="16">
        <v>2080</v>
      </c>
      <c r="AW395" s="16">
        <v>1278</v>
      </c>
      <c r="AX395" s="16">
        <v>2251</v>
      </c>
      <c r="AY395" s="18">
        <f t="shared" si="330"/>
        <v>1.3990820103132506</v>
      </c>
      <c r="AZ395" s="17">
        <f t="shared" si="331"/>
        <v>2.5261202963989247</v>
      </c>
      <c r="BA395" s="17">
        <f t="shared" si="332"/>
        <v>1.5521066051912624</v>
      </c>
      <c r="BB395" s="17">
        <f t="shared" si="333"/>
        <v>2.7337965323047979</v>
      </c>
      <c r="BC395" s="17">
        <f t="shared" si="301"/>
        <v>1.8217213675953785E-2</v>
      </c>
      <c r="BD395" s="17">
        <f t="shared" si="302"/>
        <v>0.23439481596393869</v>
      </c>
      <c r="BE395" s="17">
        <f t="shared" si="303"/>
        <v>0</v>
      </c>
      <c r="BF395" s="17">
        <f t="shared" si="304"/>
        <v>0</v>
      </c>
      <c r="BG395" s="17">
        <f t="shared" si="305"/>
        <v>0</v>
      </c>
      <c r="BH395" s="17">
        <f t="shared" si="306"/>
        <v>2.6718580058065551E-2</v>
      </c>
      <c r="BI395" s="17">
        <f t="shared" si="307"/>
        <v>16.961440413224704</v>
      </c>
      <c r="BJ395" s="17">
        <f t="shared" si="308"/>
        <v>8.0155740174196646E-2</v>
      </c>
      <c r="BK395" s="17">
        <f t="shared" si="309"/>
        <v>0.6436748832170337</v>
      </c>
      <c r="BL395" s="17">
        <f t="shared" si="310"/>
        <v>0</v>
      </c>
      <c r="BM395" s="17">
        <f t="shared" si="311"/>
        <v>0</v>
      </c>
      <c r="BN395" s="17">
        <f t="shared" si="312"/>
        <v>0</v>
      </c>
      <c r="BO395" s="17">
        <f t="shared" si="313"/>
        <v>2.0646175499414287E-2</v>
      </c>
      <c r="BP395" s="17">
        <f t="shared" si="314"/>
        <v>0.26597131966892523</v>
      </c>
      <c r="BQ395" s="17">
        <f t="shared" si="315"/>
        <v>0</v>
      </c>
      <c r="BR395" s="17">
        <f t="shared" si="316"/>
        <v>0</v>
      </c>
      <c r="BS395" s="17">
        <f t="shared" si="317"/>
        <v>0.59145220401263288</v>
      </c>
      <c r="BT395" s="17">
        <f t="shared" si="318"/>
        <v>0</v>
      </c>
      <c r="BU395" s="17">
        <f t="shared" si="319"/>
        <v>0</v>
      </c>
      <c r="BV395" s="17">
        <f t="shared" si="320"/>
        <v>0.13845082393724875</v>
      </c>
      <c r="BW395" s="17">
        <f t="shared" si="321"/>
        <v>0</v>
      </c>
      <c r="BX395" s="17">
        <f t="shared" si="322"/>
        <v>0</v>
      </c>
      <c r="BY395" s="17">
        <f t="shared" si="323"/>
        <v>0</v>
      </c>
      <c r="BZ395" s="17">
        <f t="shared" si="334"/>
        <v>6.9225411968624376E-2</v>
      </c>
      <c r="CA395" s="17">
        <f t="shared" si="335"/>
        <v>1.2144809117302523E-3</v>
      </c>
      <c r="CB395" s="17">
        <f t="shared" si="336"/>
        <v>0</v>
      </c>
      <c r="CC395" s="17">
        <f t="shared" si="337"/>
        <v>0</v>
      </c>
      <c r="CD395" s="17">
        <f t="shared" si="338"/>
        <v>0.78941259262466401</v>
      </c>
      <c r="CE395" s="17">
        <f t="shared" si="339"/>
        <v>0.40320766269444375</v>
      </c>
      <c r="CF395" s="17">
        <f t="shared" si="340"/>
        <v>7.286885470381514E-3</v>
      </c>
      <c r="CG395" s="17">
        <f t="shared" si="341"/>
        <v>0</v>
      </c>
      <c r="CH395" s="17">
        <f t="shared" si="342"/>
        <v>0</v>
      </c>
      <c r="CI395" s="17">
        <f t="shared" si="343"/>
        <v>0</v>
      </c>
      <c r="CJ395" s="17">
        <f t="shared" si="344"/>
        <v>0</v>
      </c>
      <c r="CK395" s="17">
        <f t="shared" si="345"/>
        <v>0</v>
      </c>
      <c r="CL395" s="17">
        <f t="shared" si="346"/>
        <v>0</v>
      </c>
      <c r="CM395" s="14">
        <f t="shared" si="347"/>
        <v>3358</v>
      </c>
      <c r="CN395" s="17">
        <f t="shared" si="348"/>
        <v>4.0782269015901873</v>
      </c>
      <c r="CO395" s="14">
        <f t="shared" si="349"/>
        <v>4510</v>
      </c>
      <c r="CP395" s="17">
        <f t="shared" si="350"/>
        <v>5.4773089119034379</v>
      </c>
      <c r="CQ395" s="14">
        <f t="shared" si="324"/>
        <v>23972</v>
      </c>
      <c r="CR395" s="14">
        <v>0</v>
      </c>
      <c r="CS395" s="14">
        <v>78</v>
      </c>
      <c r="CT395" s="14">
        <v>0</v>
      </c>
      <c r="CU395" s="14">
        <v>0</v>
      </c>
    </row>
    <row r="396" spans="1:99" x14ac:dyDescent="0.3">
      <c r="A396" s="14">
        <v>2021</v>
      </c>
      <c r="B396" s="14" t="s">
        <v>71</v>
      </c>
      <c r="C396" s="14" t="s">
        <v>72</v>
      </c>
      <c r="D396" s="15">
        <v>258166.6</v>
      </c>
      <c r="E396" s="15">
        <v>8420641.0000000037</v>
      </c>
      <c r="F396" s="15">
        <f t="shared" si="325"/>
        <v>32.617081373035873</v>
      </c>
      <c r="AB396" s="14">
        <f t="shared" si="326"/>
        <v>0</v>
      </c>
      <c r="AM396" s="14">
        <f t="shared" si="327"/>
        <v>0</v>
      </c>
      <c r="AQ396" s="14">
        <f t="shared" si="328"/>
        <v>0</v>
      </c>
      <c r="AT396" s="14">
        <f t="shared" si="329"/>
        <v>0</v>
      </c>
      <c r="AU396" s="16">
        <v>0</v>
      </c>
      <c r="AV396" s="16">
        <v>0</v>
      </c>
      <c r="AW396" s="16">
        <v>0</v>
      </c>
      <c r="AX396" s="16">
        <v>0</v>
      </c>
      <c r="AY396" s="18">
        <f t="shared" si="330"/>
        <v>0</v>
      </c>
      <c r="AZ396" s="17">
        <f t="shared" si="331"/>
        <v>0</v>
      </c>
      <c r="BA396" s="17">
        <f t="shared" si="332"/>
        <v>0</v>
      </c>
      <c r="BB396" s="17">
        <f t="shared" si="333"/>
        <v>0</v>
      </c>
      <c r="BC396" s="17">
        <f t="shared" si="301"/>
        <v>0</v>
      </c>
      <c r="BD396" s="17">
        <f t="shared" si="302"/>
        <v>0</v>
      </c>
      <c r="BE396" s="17">
        <f t="shared" si="303"/>
        <v>0</v>
      </c>
      <c r="BF396" s="17">
        <f t="shared" si="304"/>
        <v>0</v>
      </c>
      <c r="BG396" s="17">
        <f t="shared" si="305"/>
        <v>0</v>
      </c>
      <c r="BH396" s="17">
        <f t="shared" si="306"/>
        <v>0</v>
      </c>
      <c r="BI396" s="17">
        <f t="shared" si="307"/>
        <v>0</v>
      </c>
      <c r="BJ396" s="17">
        <f t="shared" si="308"/>
        <v>0</v>
      </c>
      <c r="BK396" s="17">
        <f t="shared" si="309"/>
        <v>0</v>
      </c>
      <c r="BL396" s="17">
        <f t="shared" si="310"/>
        <v>0</v>
      </c>
      <c r="BM396" s="17">
        <f t="shared" si="311"/>
        <v>0</v>
      </c>
      <c r="BN396" s="17">
        <f t="shared" si="312"/>
        <v>0</v>
      </c>
      <c r="BO396" s="17">
        <f t="shared" si="313"/>
        <v>0</v>
      </c>
      <c r="BP396" s="17">
        <f t="shared" si="314"/>
        <v>0</v>
      </c>
      <c r="BQ396" s="17">
        <f t="shared" si="315"/>
        <v>0</v>
      </c>
      <c r="BR396" s="17">
        <f t="shared" si="316"/>
        <v>0</v>
      </c>
      <c r="BS396" s="17">
        <f t="shared" si="317"/>
        <v>0</v>
      </c>
      <c r="BT396" s="17">
        <f t="shared" si="318"/>
        <v>0</v>
      </c>
      <c r="BU396" s="17">
        <f t="shared" si="319"/>
        <v>0</v>
      </c>
      <c r="BV396" s="17">
        <f t="shared" si="320"/>
        <v>0</v>
      </c>
      <c r="BW396" s="17">
        <f t="shared" si="321"/>
        <v>0</v>
      </c>
      <c r="BX396" s="17">
        <f t="shared" si="322"/>
        <v>0</v>
      </c>
      <c r="BY396" s="17">
        <f t="shared" si="323"/>
        <v>0</v>
      </c>
      <c r="BZ396" s="17">
        <f t="shared" si="334"/>
        <v>0</v>
      </c>
      <c r="CA396" s="17">
        <f t="shared" si="335"/>
        <v>0</v>
      </c>
      <c r="CB396" s="17">
        <f t="shared" si="336"/>
        <v>0</v>
      </c>
      <c r="CC396" s="17">
        <f t="shared" si="337"/>
        <v>0</v>
      </c>
      <c r="CD396" s="17">
        <f t="shared" si="338"/>
        <v>0</v>
      </c>
      <c r="CE396" s="17">
        <f t="shared" si="339"/>
        <v>0</v>
      </c>
      <c r="CF396" s="17">
        <f t="shared" si="340"/>
        <v>0</v>
      </c>
      <c r="CG396" s="17">
        <f t="shared" si="341"/>
        <v>0</v>
      </c>
      <c r="CH396" s="17">
        <f t="shared" si="342"/>
        <v>0</v>
      </c>
      <c r="CI396" s="17">
        <f t="shared" si="343"/>
        <v>0</v>
      </c>
      <c r="CJ396" s="17">
        <f t="shared" si="344"/>
        <v>0</v>
      </c>
      <c r="CK396" s="17">
        <f t="shared" si="345"/>
        <v>0</v>
      </c>
      <c r="CL396" s="17">
        <f t="shared" si="346"/>
        <v>0</v>
      </c>
      <c r="CM396" s="14">
        <f t="shared" si="347"/>
        <v>0</v>
      </c>
      <c r="CN396" s="17">
        <f t="shared" si="348"/>
        <v>0</v>
      </c>
      <c r="CO396" s="14">
        <f t="shared" si="349"/>
        <v>0</v>
      </c>
      <c r="CP396" s="17">
        <f t="shared" si="350"/>
        <v>0</v>
      </c>
      <c r="CQ396" s="14">
        <f t="shared" si="324"/>
        <v>0</v>
      </c>
      <c r="CR396" s="14">
        <v>610</v>
      </c>
      <c r="CS396" s="14">
        <v>4740</v>
      </c>
      <c r="CT396" s="14">
        <v>120</v>
      </c>
      <c r="CU396" s="14">
        <v>790</v>
      </c>
    </row>
    <row r="397" spans="1:99" x14ac:dyDescent="0.3">
      <c r="A397" s="14">
        <v>2022</v>
      </c>
      <c r="B397" s="14" t="s">
        <v>71</v>
      </c>
      <c r="C397" s="14" t="s">
        <v>72</v>
      </c>
      <c r="D397" s="15">
        <v>259656.4</v>
      </c>
      <c r="E397" s="15">
        <v>8605718.0000000056</v>
      </c>
      <c r="F397" s="15">
        <f t="shared" si="325"/>
        <v>33.142714756886427</v>
      </c>
      <c r="G397" s="14">
        <v>6</v>
      </c>
      <c r="H397" s="14">
        <v>89</v>
      </c>
      <c r="N397" s="14">
        <v>126</v>
      </c>
      <c r="O397" s="14">
        <v>13</v>
      </c>
      <c r="P397" s="14">
        <v>100</v>
      </c>
      <c r="Q397" s="14">
        <v>14</v>
      </c>
      <c r="T397" s="14">
        <v>163</v>
      </c>
      <c r="V397" s="14">
        <v>38</v>
      </c>
      <c r="Y397" s="14">
        <v>298</v>
      </c>
      <c r="AB397" s="14">
        <f t="shared" si="326"/>
        <v>13</v>
      </c>
      <c r="AC397" s="14">
        <v>195</v>
      </c>
      <c r="AE397" s="14">
        <v>261</v>
      </c>
      <c r="AF397" s="14">
        <v>2</v>
      </c>
      <c r="AJ397" s="14">
        <v>88</v>
      </c>
      <c r="AM397" s="14">
        <f t="shared" si="327"/>
        <v>0</v>
      </c>
      <c r="AQ397" s="14">
        <f t="shared" si="328"/>
        <v>0</v>
      </c>
      <c r="AT397" s="14">
        <f t="shared" si="329"/>
        <v>0</v>
      </c>
      <c r="AU397" s="16">
        <v>753</v>
      </c>
      <c r="AV397" s="16">
        <v>14712</v>
      </c>
      <c r="AW397" s="16">
        <v>4542</v>
      </c>
      <c r="AX397" s="16">
        <v>0</v>
      </c>
      <c r="AY397" s="18">
        <f t="shared" si="330"/>
        <v>0.87499962234411999</v>
      </c>
      <c r="AZ397" s="17">
        <f t="shared" si="331"/>
        <v>17.09561015129707</v>
      </c>
      <c r="BA397" s="17">
        <f t="shared" si="332"/>
        <v>5.2778861682430183</v>
      </c>
      <c r="BB397" s="17">
        <f t="shared" si="333"/>
        <v>0</v>
      </c>
      <c r="BC397" s="17">
        <f t="shared" si="301"/>
        <v>6.9721085445746608E-3</v>
      </c>
      <c r="BD397" s="17">
        <f t="shared" si="302"/>
        <v>0.10341961007785747</v>
      </c>
      <c r="BE397" s="17">
        <f t="shared" si="303"/>
        <v>0</v>
      </c>
      <c r="BF397" s="17">
        <f t="shared" si="304"/>
        <v>0</v>
      </c>
      <c r="BG397" s="17">
        <f t="shared" si="305"/>
        <v>0</v>
      </c>
      <c r="BH397" s="17">
        <f t="shared" si="306"/>
        <v>0</v>
      </c>
      <c r="BI397" s="17">
        <f t="shared" si="307"/>
        <v>0</v>
      </c>
      <c r="BJ397" s="17">
        <f t="shared" si="308"/>
        <v>0.14641427943606788</v>
      </c>
      <c r="BK397" s="17">
        <f t="shared" si="309"/>
        <v>1.5106235179911765E-2</v>
      </c>
      <c r="BL397" s="17">
        <f t="shared" si="310"/>
        <v>0.11620180907624435</v>
      </c>
      <c r="BM397" s="17">
        <f t="shared" si="311"/>
        <v>1.6268253270674209E-2</v>
      </c>
      <c r="BN397" s="17">
        <f t="shared" si="312"/>
        <v>0</v>
      </c>
      <c r="BO397" s="17">
        <f t="shared" si="313"/>
        <v>0</v>
      </c>
      <c r="BP397" s="17">
        <f t="shared" si="314"/>
        <v>0.18940894879427828</v>
      </c>
      <c r="BQ397" s="17">
        <f t="shared" si="315"/>
        <v>0</v>
      </c>
      <c r="BR397" s="17">
        <f t="shared" si="316"/>
        <v>4.4156687448972852E-2</v>
      </c>
      <c r="BS397" s="17">
        <f t="shared" si="317"/>
        <v>0</v>
      </c>
      <c r="BT397" s="17">
        <f t="shared" si="318"/>
        <v>0</v>
      </c>
      <c r="BU397" s="17">
        <f t="shared" si="319"/>
        <v>0.34628139104720818</v>
      </c>
      <c r="BV397" s="17">
        <f t="shared" si="320"/>
        <v>0</v>
      </c>
      <c r="BW397" s="17">
        <f t="shared" si="321"/>
        <v>0</v>
      </c>
      <c r="BX397" s="17">
        <f t="shared" si="322"/>
        <v>0.22659352769867647</v>
      </c>
      <c r="BY397" s="17">
        <f t="shared" si="323"/>
        <v>0</v>
      </c>
      <c r="BZ397" s="17">
        <f t="shared" si="334"/>
        <v>0.30328672168899773</v>
      </c>
      <c r="CA397" s="17">
        <f t="shared" si="335"/>
        <v>2.3240361815248869E-3</v>
      </c>
      <c r="CB397" s="17">
        <f t="shared" si="336"/>
        <v>0</v>
      </c>
      <c r="CC397" s="17">
        <f t="shared" si="337"/>
        <v>0</v>
      </c>
      <c r="CD397" s="17">
        <f t="shared" si="338"/>
        <v>0</v>
      </c>
      <c r="CE397" s="17">
        <f t="shared" si="339"/>
        <v>0.10225759198709503</v>
      </c>
      <c r="CF397" s="17">
        <f t="shared" si="340"/>
        <v>0</v>
      </c>
      <c r="CG397" s="17">
        <f t="shared" si="341"/>
        <v>0</v>
      </c>
      <c r="CH397" s="17">
        <f t="shared" si="342"/>
        <v>0</v>
      </c>
      <c r="CI397" s="17">
        <f t="shared" si="343"/>
        <v>0</v>
      </c>
      <c r="CJ397" s="17">
        <f t="shared" si="344"/>
        <v>0</v>
      </c>
      <c r="CK397" s="17">
        <f t="shared" si="345"/>
        <v>0</v>
      </c>
      <c r="CL397" s="17">
        <f t="shared" si="346"/>
        <v>0</v>
      </c>
      <c r="CM397" s="14">
        <f t="shared" si="347"/>
        <v>19254</v>
      </c>
      <c r="CN397" s="17">
        <f t="shared" si="348"/>
        <v>22.373496319540088</v>
      </c>
      <c r="CO397" s="14">
        <f t="shared" si="349"/>
        <v>20007</v>
      </c>
      <c r="CP397" s="17">
        <f t="shared" si="350"/>
        <v>23.248495941884208</v>
      </c>
      <c r="CQ397" s="14">
        <f t="shared" si="324"/>
        <v>21413</v>
      </c>
      <c r="CR397" s="14">
        <v>0</v>
      </c>
      <c r="CS397" s="14">
        <v>0</v>
      </c>
      <c r="CT397" s="14">
        <v>0</v>
      </c>
      <c r="CU397" s="14">
        <v>0</v>
      </c>
    </row>
    <row r="398" spans="1:99" x14ac:dyDescent="0.3">
      <c r="A398" s="14">
        <v>2012</v>
      </c>
      <c r="B398" s="14" t="s">
        <v>73</v>
      </c>
      <c r="C398" s="14" t="s">
        <v>74</v>
      </c>
      <c r="D398" s="15">
        <v>1201525.5</v>
      </c>
      <c r="E398" s="15">
        <v>53145033.000000007</v>
      </c>
      <c r="F398" s="15">
        <f t="shared" si="325"/>
        <v>44.231298461830406</v>
      </c>
      <c r="G398" s="14">
        <v>5554</v>
      </c>
      <c r="H398" s="14">
        <v>13642</v>
      </c>
      <c r="J398" s="14">
        <v>61920</v>
      </c>
      <c r="K398" s="14">
        <v>2285</v>
      </c>
      <c r="L398" s="14">
        <v>1</v>
      </c>
      <c r="N398" s="14">
        <v>4104</v>
      </c>
      <c r="T398" s="14">
        <v>3255</v>
      </c>
      <c r="V398" s="14">
        <v>8095</v>
      </c>
      <c r="Y398" s="14">
        <v>171</v>
      </c>
      <c r="Z398" s="14">
        <v>133</v>
      </c>
      <c r="AB398" s="14">
        <f t="shared" si="326"/>
        <v>0</v>
      </c>
      <c r="AF398" s="14">
        <v>3453</v>
      </c>
      <c r="AI398" s="14">
        <v>90</v>
      </c>
      <c r="AJ398" s="14">
        <v>7320</v>
      </c>
      <c r="AL398" s="14">
        <v>7791</v>
      </c>
      <c r="AM398" s="14">
        <f t="shared" si="327"/>
        <v>7791</v>
      </c>
      <c r="AQ398" s="14">
        <f t="shared" si="328"/>
        <v>0</v>
      </c>
      <c r="AT398" s="14">
        <f t="shared" si="329"/>
        <v>0</v>
      </c>
      <c r="AU398" s="16">
        <v>0</v>
      </c>
      <c r="AV398" s="16">
        <v>117444</v>
      </c>
      <c r="AW398" s="16">
        <v>0</v>
      </c>
      <c r="AX398" s="16">
        <v>0</v>
      </c>
      <c r="AY398" s="18">
        <f t="shared" si="330"/>
        <v>0</v>
      </c>
      <c r="AZ398" s="17">
        <f t="shared" si="331"/>
        <v>22.098772617188889</v>
      </c>
      <c r="BA398" s="17">
        <f t="shared" si="332"/>
        <v>0</v>
      </c>
      <c r="BB398" s="17">
        <f t="shared" si="333"/>
        <v>0</v>
      </c>
      <c r="BC398" s="17">
        <f t="shared" si="301"/>
        <v>1.0450647382230431</v>
      </c>
      <c r="BD398" s="17">
        <f t="shared" si="302"/>
        <v>2.5669379112061135</v>
      </c>
      <c r="BE398" s="17">
        <f t="shared" si="303"/>
        <v>0</v>
      </c>
      <c r="BF398" s="17">
        <f t="shared" si="304"/>
        <v>11.651135864380777</v>
      </c>
      <c r="BG398" s="17">
        <f t="shared" si="305"/>
        <v>0.42995551437516272</v>
      </c>
      <c r="BH398" s="17">
        <f t="shared" si="306"/>
        <v>1.8816433889503838E-4</v>
      </c>
      <c r="BI398" s="17">
        <f t="shared" si="307"/>
        <v>0</v>
      </c>
      <c r="BJ398" s="17">
        <f t="shared" si="308"/>
        <v>0.77222644682523756</v>
      </c>
      <c r="BK398" s="17">
        <f t="shared" si="309"/>
        <v>0</v>
      </c>
      <c r="BL398" s="17">
        <f t="shared" si="310"/>
        <v>0</v>
      </c>
      <c r="BM398" s="17">
        <f t="shared" si="311"/>
        <v>0</v>
      </c>
      <c r="BN398" s="17">
        <f t="shared" si="312"/>
        <v>0</v>
      </c>
      <c r="BO398" s="17">
        <f t="shared" si="313"/>
        <v>0</v>
      </c>
      <c r="BP398" s="17">
        <f t="shared" si="314"/>
        <v>0.61247492310334994</v>
      </c>
      <c r="BQ398" s="17">
        <f t="shared" si="315"/>
        <v>0</v>
      </c>
      <c r="BR398" s="17">
        <f t="shared" si="316"/>
        <v>1.5231903233553357</v>
      </c>
      <c r="BS398" s="17">
        <f t="shared" si="317"/>
        <v>0</v>
      </c>
      <c r="BT398" s="17">
        <f t="shared" si="318"/>
        <v>0</v>
      </c>
      <c r="BU398" s="17">
        <f t="shared" si="319"/>
        <v>3.2176101951051563E-2</v>
      </c>
      <c r="BV398" s="17">
        <f t="shared" si="320"/>
        <v>2.5025857073040104E-2</v>
      </c>
      <c r="BW398" s="17">
        <f t="shared" si="321"/>
        <v>0</v>
      </c>
      <c r="BX398" s="17">
        <f t="shared" si="322"/>
        <v>0</v>
      </c>
      <c r="BY398" s="17">
        <f t="shared" si="323"/>
        <v>0</v>
      </c>
      <c r="BZ398" s="17">
        <f t="shared" si="334"/>
        <v>0</v>
      </c>
      <c r="CA398" s="17">
        <f t="shared" si="335"/>
        <v>0.64973146220456757</v>
      </c>
      <c r="CB398" s="17">
        <f t="shared" si="336"/>
        <v>0</v>
      </c>
      <c r="CC398" s="17">
        <f t="shared" si="337"/>
        <v>0</v>
      </c>
      <c r="CD398" s="17">
        <f t="shared" si="338"/>
        <v>1.6934790500553455E-2</v>
      </c>
      <c r="CE398" s="17">
        <f t="shared" si="339"/>
        <v>1.3773629607116811</v>
      </c>
      <c r="CF398" s="17">
        <f t="shared" si="340"/>
        <v>0</v>
      </c>
      <c r="CG398" s="17">
        <f t="shared" si="341"/>
        <v>1.4659883643312441</v>
      </c>
      <c r="CH398" s="17">
        <f t="shared" si="342"/>
        <v>0</v>
      </c>
      <c r="CI398" s="17">
        <f t="shared" si="343"/>
        <v>0</v>
      </c>
      <c r="CJ398" s="17">
        <f t="shared" si="344"/>
        <v>0</v>
      </c>
      <c r="CK398" s="17">
        <f t="shared" si="345"/>
        <v>0</v>
      </c>
      <c r="CL398" s="17">
        <f t="shared" si="346"/>
        <v>0</v>
      </c>
      <c r="CM398" s="14">
        <f t="shared" si="347"/>
        <v>117444</v>
      </c>
      <c r="CN398" s="17">
        <f t="shared" si="348"/>
        <v>22.098772617188889</v>
      </c>
      <c r="CO398" s="14">
        <f t="shared" si="349"/>
        <v>117444</v>
      </c>
      <c r="CP398" s="17">
        <f t="shared" si="350"/>
        <v>22.098772617188889</v>
      </c>
      <c r="CQ398" s="14">
        <f t="shared" si="324"/>
        <v>243049</v>
      </c>
      <c r="CR398" s="14">
        <v>0</v>
      </c>
      <c r="CS398" s="14">
        <v>0</v>
      </c>
      <c r="CT398" s="14">
        <v>0</v>
      </c>
      <c r="CU398" s="14">
        <v>0</v>
      </c>
    </row>
    <row r="399" spans="1:99" x14ac:dyDescent="0.3">
      <c r="A399" s="14">
        <v>2013</v>
      </c>
      <c r="B399" s="14" t="s">
        <v>73</v>
      </c>
      <c r="C399" s="14" t="s">
        <v>74</v>
      </c>
      <c r="D399" s="15">
        <v>1214423.8999999999</v>
      </c>
      <c r="E399" s="15">
        <v>53873616</v>
      </c>
      <c r="F399" s="15">
        <f t="shared" si="325"/>
        <v>44.361458960087994</v>
      </c>
      <c r="G399" s="14">
        <v>5770</v>
      </c>
      <c r="J399" s="14">
        <v>64876</v>
      </c>
      <c r="K399" s="14">
        <v>2586</v>
      </c>
      <c r="L399" s="14">
        <v>2</v>
      </c>
      <c r="N399" s="14">
        <v>4625</v>
      </c>
      <c r="T399" s="14">
        <v>3330</v>
      </c>
      <c r="V399" s="14">
        <v>8476</v>
      </c>
      <c r="Y399" s="14">
        <v>273</v>
      </c>
      <c r="Z399" s="14">
        <v>144</v>
      </c>
      <c r="AB399" s="14">
        <f t="shared" si="326"/>
        <v>0</v>
      </c>
      <c r="AF399" s="14">
        <v>3588</v>
      </c>
      <c r="AI399" s="14">
        <v>217</v>
      </c>
      <c r="AL399" s="14">
        <v>8185</v>
      </c>
      <c r="AM399" s="14">
        <f t="shared" si="327"/>
        <v>8185</v>
      </c>
      <c r="AQ399" s="14">
        <f t="shared" si="328"/>
        <v>0</v>
      </c>
      <c r="AT399" s="14">
        <f t="shared" si="329"/>
        <v>0</v>
      </c>
      <c r="AU399" s="16">
        <v>0</v>
      </c>
      <c r="AV399" s="16">
        <v>0</v>
      </c>
      <c r="AW399" s="16">
        <v>0</v>
      </c>
      <c r="AX399" s="16">
        <v>0</v>
      </c>
      <c r="AY399" s="18">
        <f t="shared" si="330"/>
        <v>0</v>
      </c>
      <c r="AZ399" s="17">
        <f t="shared" si="331"/>
        <v>0</v>
      </c>
      <c r="BA399" s="17">
        <f t="shared" si="332"/>
        <v>0</v>
      </c>
      <c r="BB399" s="17">
        <f t="shared" si="333"/>
        <v>0</v>
      </c>
      <c r="BC399" s="17">
        <f t="shared" si="301"/>
        <v>1.0710251934824646</v>
      </c>
      <c r="BD399" s="17">
        <f t="shared" si="302"/>
        <v>0</v>
      </c>
      <c r="BE399" s="17">
        <f t="shared" si="303"/>
        <v>0</v>
      </c>
      <c r="BF399" s="17">
        <f t="shared" si="304"/>
        <v>12.042258310635766</v>
      </c>
      <c r="BG399" s="17">
        <f t="shared" si="305"/>
        <v>0.48001233108243563</v>
      </c>
      <c r="BH399" s="17">
        <f t="shared" si="306"/>
        <v>3.7123923517589762E-4</v>
      </c>
      <c r="BI399" s="17">
        <f t="shared" si="307"/>
        <v>0</v>
      </c>
      <c r="BJ399" s="17">
        <f t="shared" si="308"/>
        <v>0.85849073134426324</v>
      </c>
      <c r="BK399" s="17">
        <f t="shared" si="309"/>
        <v>0</v>
      </c>
      <c r="BL399" s="17">
        <f t="shared" si="310"/>
        <v>0</v>
      </c>
      <c r="BM399" s="17">
        <f t="shared" si="311"/>
        <v>0</v>
      </c>
      <c r="BN399" s="17">
        <f t="shared" si="312"/>
        <v>0</v>
      </c>
      <c r="BO399" s="17">
        <f t="shared" si="313"/>
        <v>0</v>
      </c>
      <c r="BP399" s="17">
        <f t="shared" si="314"/>
        <v>0.61811332656786955</v>
      </c>
      <c r="BQ399" s="17">
        <f t="shared" si="315"/>
        <v>0</v>
      </c>
      <c r="BR399" s="17">
        <f t="shared" si="316"/>
        <v>1.5733118786754541</v>
      </c>
      <c r="BS399" s="17">
        <f t="shared" si="317"/>
        <v>0</v>
      </c>
      <c r="BT399" s="17">
        <f t="shared" si="318"/>
        <v>0</v>
      </c>
      <c r="BU399" s="17">
        <f t="shared" si="319"/>
        <v>5.0674155601510021E-2</v>
      </c>
      <c r="BV399" s="17">
        <f t="shared" si="320"/>
        <v>2.6729224932664629E-2</v>
      </c>
      <c r="BW399" s="17">
        <f t="shared" si="321"/>
        <v>0</v>
      </c>
      <c r="BX399" s="17">
        <f t="shared" si="322"/>
        <v>0</v>
      </c>
      <c r="BY399" s="17">
        <f t="shared" si="323"/>
        <v>0</v>
      </c>
      <c r="BZ399" s="17">
        <f t="shared" si="334"/>
        <v>0</v>
      </c>
      <c r="CA399" s="17">
        <f t="shared" si="335"/>
        <v>0.66600318790556035</v>
      </c>
      <c r="CB399" s="17">
        <f t="shared" si="336"/>
        <v>0</v>
      </c>
      <c r="CC399" s="17">
        <f t="shared" si="337"/>
        <v>0</v>
      </c>
      <c r="CD399" s="17">
        <f t="shared" si="338"/>
        <v>4.0279457016584891E-2</v>
      </c>
      <c r="CE399" s="17">
        <f t="shared" si="339"/>
        <v>0</v>
      </c>
      <c r="CF399" s="17">
        <f t="shared" si="340"/>
        <v>0</v>
      </c>
      <c r="CG399" s="17">
        <f t="shared" si="341"/>
        <v>1.5192965699573608</v>
      </c>
      <c r="CH399" s="17">
        <f t="shared" si="342"/>
        <v>0</v>
      </c>
      <c r="CI399" s="17">
        <f t="shared" si="343"/>
        <v>0</v>
      </c>
      <c r="CJ399" s="17">
        <f t="shared" si="344"/>
        <v>0</v>
      </c>
      <c r="CK399" s="17">
        <f t="shared" si="345"/>
        <v>0</v>
      </c>
      <c r="CL399" s="17">
        <f t="shared" si="346"/>
        <v>0</v>
      </c>
      <c r="CM399" s="14">
        <f t="shared" si="347"/>
        <v>0</v>
      </c>
      <c r="CN399" s="17">
        <f t="shared" si="348"/>
        <v>0</v>
      </c>
      <c r="CO399" s="14">
        <f t="shared" si="349"/>
        <v>0</v>
      </c>
      <c r="CP399" s="17">
        <f t="shared" si="350"/>
        <v>0</v>
      </c>
      <c r="CQ399" s="14">
        <f t="shared" si="324"/>
        <v>110257</v>
      </c>
      <c r="CR399" s="14">
        <v>0</v>
      </c>
      <c r="CS399" s="14">
        <v>0</v>
      </c>
      <c r="CT399" s="14">
        <v>0</v>
      </c>
      <c r="CU399" s="14">
        <v>0</v>
      </c>
    </row>
    <row r="400" spans="1:99" x14ac:dyDescent="0.3">
      <c r="A400" s="14">
        <v>2014</v>
      </c>
      <c r="B400" s="14" t="s">
        <v>73</v>
      </c>
      <c r="C400" s="14" t="s">
        <v>74</v>
      </c>
      <c r="D400" s="15">
        <v>1224226.8999999999</v>
      </c>
      <c r="E400" s="15">
        <v>54729550.99999997</v>
      </c>
      <c r="F400" s="15">
        <f t="shared" si="325"/>
        <v>44.705398157808794</v>
      </c>
      <c r="G400" s="14">
        <v>5817</v>
      </c>
      <c r="H400" s="14">
        <v>14994</v>
      </c>
      <c r="J400" s="14">
        <v>67335</v>
      </c>
      <c r="K400" s="14">
        <v>2746</v>
      </c>
      <c r="L400" s="14">
        <v>2</v>
      </c>
      <c r="N400" s="14">
        <v>4687</v>
      </c>
      <c r="T400" s="14">
        <v>3435</v>
      </c>
      <c r="V400" s="14">
        <v>8924</v>
      </c>
      <c r="Y400" s="14">
        <v>326</v>
      </c>
      <c r="Z400" s="14">
        <v>145</v>
      </c>
      <c r="AB400" s="14">
        <f t="shared" si="326"/>
        <v>0</v>
      </c>
      <c r="AF400" s="14">
        <v>3705</v>
      </c>
      <c r="AI400" s="14">
        <v>362</v>
      </c>
      <c r="AJ400" s="14">
        <v>17491</v>
      </c>
      <c r="AL400" s="14">
        <v>8781</v>
      </c>
      <c r="AM400" s="14">
        <f t="shared" si="327"/>
        <v>8781</v>
      </c>
      <c r="AQ400" s="14">
        <f t="shared" si="328"/>
        <v>0</v>
      </c>
      <c r="AT400" s="14">
        <f t="shared" si="329"/>
        <v>0</v>
      </c>
      <c r="AU400" s="16">
        <v>5084</v>
      </c>
      <c r="AV400" s="16">
        <v>0</v>
      </c>
      <c r="AW400" s="16">
        <v>0</v>
      </c>
      <c r="AX400" s="16">
        <v>0</v>
      </c>
      <c r="AY400" s="18">
        <f t="shared" si="330"/>
        <v>0.92893142865359934</v>
      </c>
      <c r="AZ400" s="17">
        <f t="shared" si="331"/>
        <v>0</v>
      </c>
      <c r="BA400" s="17">
        <f t="shared" si="332"/>
        <v>0</v>
      </c>
      <c r="BB400" s="17">
        <f t="shared" si="333"/>
        <v>0</v>
      </c>
      <c r="BC400" s="17">
        <f t="shared" si="301"/>
        <v>1.0628627302277709</v>
      </c>
      <c r="BD400" s="17">
        <f t="shared" si="302"/>
        <v>2.739653391273027</v>
      </c>
      <c r="BE400" s="17">
        <f t="shared" si="303"/>
        <v>0</v>
      </c>
      <c r="BF400" s="17">
        <f t="shared" si="304"/>
        <v>12.303225363570046</v>
      </c>
      <c r="BG400" s="17">
        <f t="shared" si="305"/>
        <v>0.50173991012643271</v>
      </c>
      <c r="BH400" s="17">
        <f t="shared" si="306"/>
        <v>3.6543329215326487E-4</v>
      </c>
      <c r="BI400" s="17">
        <f t="shared" si="307"/>
        <v>0</v>
      </c>
      <c r="BJ400" s="17">
        <f t="shared" si="308"/>
        <v>0.8563929201611763</v>
      </c>
      <c r="BK400" s="17">
        <f t="shared" si="309"/>
        <v>0</v>
      </c>
      <c r="BL400" s="17">
        <f t="shared" si="310"/>
        <v>0</v>
      </c>
      <c r="BM400" s="17">
        <f t="shared" si="311"/>
        <v>0</v>
      </c>
      <c r="BN400" s="17">
        <f t="shared" si="312"/>
        <v>0</v>
      </c>
      <c r="BO400" s="17">
        <f t="shared" si="313"/>
        <v>0</v>
      </c>
      <c r="BP400" s="17">
        <f t="shared" si="314"/>
        <v>0.62763167927323249</v>
      </c>
      <c r="BQ400" s="17">
        <f t="shared" si="315"/>
        <v>0</v>
      </c>
      <c r="BR400" s="17">
        <f t="shared" si="316"/>
        <v>1.630563349587868</v>
      </c>
      <c r="BS400" s="17">
        <f t="shared" si="317"/>
        <v>0</v>
      </c>
      <c r="BT400" s="17">
        <f t="shared" si="318"/>
        <v>0</v>
      </c>
      <c r="BU400" s="17">
        <f t="shared" si="319"/>
        <v>5.9565626620982179E-2</v>
      </c>
      <c r="BV400" s="17">
        <f t="shared" si="320"/>
        <v>2.6493913681111706E-2</v>
      </c>
      <c r="BW400" s="17">
        <f t="shared" si="321"/>
        <v>0</v>
      </c>
      <c r="BX400" s="17">
        <f t="shared" si="322"/>
        <v>0</v>
      </c>
      <c r="BY400" s="17">
        <f t="shared" si="323"/>
        <v>0</v>
      </c>
      <c r="BZ400" s="17">
        <f t="shared" si="334"/>
        <v>0</v>
      </c>
      <c r="CA400" s="17">
        <f t="shared" si="335"/>
        <v>0.67696517371392317</v>
      </c>
      <c r="CB400" s="17">
        <f t="shared" si="336"/>
        <v>0</v>
      </c>
      <c r="CC400" s="17">
        <f t="shared" si="337"/>
        <v>0</v>
      </c>
      <c r="CD400" s="17">
        <f t="shared" si="338"/>
        <v>6.6143425879740952E-2</v>
      </c>
      <c r="CE400" s="17">
        <f t="shared" si="339"/>
        <v>3.1958968565263781</v>
      </c>
      <c r="CF400" s="17">
        <f t="shared" si="340"/>
        <v>0</v>
      </c>
      <c r="CG400" s="17">
        <f t="shared" si="341"/>
        <v>1.6044348691989094</v>
      </c>
      <c r="CH400" s="17">
        <f t="shared" si="342"/>
        <v>0</v>
      </c>
      <c r="CI400" s="17">
        <f t="shared" si="343"/>
        <v>0</v>
      </c>
      <c r="CJ400" s="17">
        <f t="shared" si="344"/>
        <v>0</v>
      </c>
      <c r="CK400" s="17">
        <f t="shared" si="345"/>
        <v>0</v>
      </c>
      <c r="CL400" s="17">
        <f t="shared" si="346"/>
        <v>0</v>
      </c>
      <c r="CM400" s="14">
        <f t="shared" si="347"/>
        <v>0</v>
      </c>
      <c r="CN400" s="17">
        <f t="shared" si="348"/>
        <v>0</v>
      </c>
      <c r="CO400" s="14">
        <f t="shared" si="349"/>
        <v>5084</v>
      </c>
      <c r="CP400" s="17">
        <f t="shared" si="350"/>
        <v>0.92893142865359934</v>
      </c>
      <c r="CQ400" s="14">
        <f t="shared" si="324"/>
        <v>152615</v>
      </c>
      <c r="CR400" s="14">
        <v>0</v>
      </c>
      <c r="CS400" s="14">
        <v>0</v>
      </c>
      <c r="CT400" s="14">
        <v>0</v>
      </c>
      <c r="CU400" s="14">
        <v>0</v>
      </c>
    </row>
    <row r="401" spans="1:99" x14ac:dyDescent="0.3">
      <c r="A401" s="14">
        <v>2015</v>
      </c>
      <c r="B401" s="14" t="s">
        <v>73</v>
      </c>
      <c r="C401" s="14" t="s">
        <v>74</v>
      </c>
      <c r="D401" s="15">
        <v>1224304.8999999999</v>
      </c>
      <c r="E401" s="15">
        <v>55876503.999999993</v>
      </c>
      <c r="F401" s="15">
        <f t="shared" si="325"/>
        <v>45.639369735431096</v>
      </c>
      <c r="G401" s="14">
        <v>5985</v>
      </c>
      <c r="H401" s="14">
        <v>15784</v>
      </c>
      <c r="J401" s="14">
        <v>69276</v>
      </c>
      <c r="K401" s="14">
        <v>2913</v>
      </c>
      <c r="L401" s="14">
        <v>2</v>
      </c>
      <c r="N401" s="14">
        <v>4785</v>
      </c>
      <c r="T401" s="14">
        <v>3518</v>
      </c>
      <c r="V401" s="14">
        <v>9175</v>
      </c>
      <c r="Y401" s="14">
        <v>453</v>
      </c>
      <c r="Z401" s="14">
        <v>149</v>
      </c>
      <c r="AB401" s="14">
        <f t="shared" si="326"/>
        <v>0</v>
      </c>
      <c r="AF401" s="14">
        <v>3783</v>
      </c>
      <c r="AI401" s="14">
        <v>474</v>
      </c>
      <c r="AJ401" s="14">
        <v>18477</v>
      </c>
      <c r="AL401" s="14">
        <v>9289</v>
      </c>
      <c r="AM401" s="14">
        <f t="shared" si="327"/>
        <v>9289</v>
      </c>
      <c r="AQ401" s="14">
        <f t="shared" si="328"/>
        <v>0</v>
      </c>
      <c r="AT401" s="14">
        <f t="shared" si="329"/>
        <v>0</v>
      </c>
      <c r="AU401" s="16">
        <v>1143</v>
      </c>
      <c r="AV401" s="16">
        <v>0</v>
      </c>
      <c r="AW401" s="16">
        <v>0</v>
      </c>
      <c r="AX401" s="16">
        <v>0</v>
      </c>
      <c r="AY401" s="18">
        <f t="shared" si="330"/>
        <v>0.20455825224856591</v>
      </c>
      <c r="AZ401" s="17">
        <f t="shared" si="331"/>
        <v>0</v>
      </c>
      <c r="BA401" s="17">
        <f t="shared" si="332"/>
        <v>0</v>
      </c>
      <c r="BB401" s="17">
        <f t="shared" si="333"/>
        <v>0</v>
      </c>
      <c r="BC401" s="17">
        <f t="shared" si="301"/>
        <v>1.0711121082306798</v>
      </c>
      <c r="BD401" s="17">
        <f t="shared" si="302"/>
        <v>2.8248009216897323</v>
      </c>
      <c r="BE401" s="17">
        <f t="shared" si="303"/>
        <v>0</v>
      </c>
      <c r="BF401" s="17">
        <f t="shared" si="304"/>
        <v>12.398055540482634</v>
      </c>
      <c r="BG401" s="17">
        <f t="shared" si="305"/>
        <v>0.52132824916891729</v>
      </c>
      <c r="BH401" s="17">
        <f t="shared" si="306"/>
        <v>3.5793219991000157E-4</v>
      </c>
      <c r="BI401" s="17">
        <f t="shared" si="307"/>
        <v>0</v>
      </c>
      <c r="BJ401" s="17">
        <f t="shared" si="308"/>
        <v>0.85635278828467876</v>
      </c>
      <c r="BK401" s="17">
        <f t="shared" si="309"/>
        <v>0</v>
      </c>
      <c r="BL401" s="17">
        <f t="shared" si="310"/>
        <v>0</v>
      </c>
      <c r="BM401" s="17">
        <f t="shared" si="311"/>
        <v>0</v>
      </c>
      <c r="BN401" s="17">
        <f t="shared" si="312"/>
        <v>0</v>
      </c>
      <c r="BO401" s="17">
        <f t="shared" si="313"/>
        <v>0</v>
      </c>
      <c r="BP401" s="17">
        <f t="shared" si="314"/>
        <v>0.62960273964169278</v>
      </c>
      <c r="BQ401" s="17">
        <f t="shared" si="315"/>
        <v>0</v>
      </c>
      <c r="BR401" s="17">
        <f t="shared" si="316"/>
        <v>1.6420139670871323</v>
      </c>
      <c r="BS401" s="17">
        <f t="shared" si="317"/>
        <v>0</v>
      </c>
      <c r="BT401" s="17">
        <f t="shared" si="318"/>
        <v>0</v>
      </c>
      <c r="BU401" s="17">
        <f t="shared" si="319"/>
        <v>8.1071643279615357E-2</v>
      </c>
      <c r="BV401" s="17">
        <f t="shared" si="320"/>
        <v>2.6665948893295117E-2</v>
      </c>
      <c r="BW401" s="17">
        <f t="shared" si="321"/>
        <v>0</v>
      </c>
      <c r="BX401" s="17">
        <f t="shared" si="322"/>
        <v>0</v>
      </c>
      <c r="BY401" s="17">
        <f t="shared" si="323"/>
        <v>0</v>
      </c>
      <c r="BZ401" s="17">
        <f t="shared" si="334"/>
        <v>0</v>
      </c>
      <c r="CA401" s="17">
        <f t="shared" si="335"/>
        <v>0.67702875612976798</v>
      </c>
      <c r="CB401" s="17">
        <f t="shared" si="336"/>
        <v>0</v>
      </c>
      <c r="CC401" s="17">
        <f t="shared" si="337"/>
        <v>0</v>
      </c>
      <c r="CD401" s="17">
        <f t="shared" si="338"/>
        <v>8.482993137867037E-2</v>
      </c>
      <c r="CE401" s="17">
        <f t="shared" si="339"/>
        <v>3.3067566288685497</v>
      </c>
      <c r="CF401" s="17">
        <f t="shared" si="340"/>
        <v>0</v>
      </c>
      <c r="CG401" s="17">
        <f t="shared" si="341"/>
        <v>1.6624161024820023</v>
      </c>
      <c r="CH401" s="17">
        <f t="shared" si="342"/>
        <v>0</v>
      </c>
      <c r="CI401" s="17">
        <f t="shared" si="343"/>
        <v>0</v>
      </c>
      <c r="CJ401" s="17">
        <f t="shared" si="344"/>
        <v>0</v>
      </c>
      <c r="CK401" s="17">
        <f t="shared" si="345"/>
        <v>0</v>
      </c>
      <c r="CL401" s="17">
        <f t="shared" si="346"/>
        <v>0</v>
      </c>
      <c r="CM401" s="14">
        <f t="shared" si="347"/>
        <v>0</v>
      </c>
      <c r="CN401" s="17">
        <f t="shared" si="348"/>
        <v>0</v>
      </c>
      <c r="CO401" s="14">
        <f t="shared" si="349"/>
        <v>1143</v>
      </c>
      <c r="CP401" s="17">
        <f t="shared" si="350"/>
        <v>0.20455825224856591</v>
      </c>
      <c r="CQ401" s="14">
        <f t="shared" si="324"/>
        <v>154495</v>
      </c>
      <c r="CR401" s="14">
        <v>0</v>
      </c>
      <c r="CS401" s="14">
        <v>0</v>
      </c>
      <c r="CT401" s="14">
        <v>0</v>
      </c>
      <c r="CU401" s="14">
        <v>0</v>
      </c>
    </row>
    <row r="402" spans="1:99" x14ac:dyDescent="0.3">
      <c r="A402" s="14">
        <v>2016</v>
      </c>
      <c r="B402" s="14" t="s">
        <v>73</v>
      </c>
      <c r="C402" s="14" t="s">
        <v>74</v>
      </c>
      <c r="D402" s="15">
        <v>1193987.6000000001</v>
      </c>
      <c r="E402" s="15">
        <v>56422273.499999985</v>
      </c>
      <c r="F402" s="15">
        <f t="shared" si="325"/>
        <v>47.255326185967071</v>
      </c>
      <c r="G402" s="14">
        <v>6158</v>
      </c>
      <c r="H402" s="14">
        <v>15267</v>
      </c>
      <c r="K402" s="14">
        <v>3140</v>
      </c>
      <c r="L402" s="14">
        <v>2</v>
      </c>
      <c r="N402" s="14">
        <v>5484</v>
      </c>
      <c r="P402" s="14">
        <v>3145</v>
      </c>
      <c r="Q402" s="14">
        <v>156</v>
      </c>
      <c r="T402" s="14">
        <v>3642</v>
      </c>
      <c r="V402" s="14">
        <v>8484</v>
      </c>
      <c r="Y402" s="14">
        <v>5377</v>
      </c>
      <c r="Z402" s="14">
        <v>4802</v>
      </c>
      <c r="AB402" s="14">
        <f t="shared" si="326"/>
        <v>0</v>
      </c>
      <c r="AE402" s="14">
        <v>197</v>
      </c>
      <c r="AF402" s="14">
        <v>3725</v>
      </c>
      <c r="AJ402" s="14">
        <v>21713</v>
      </c>
      <c r="AK402" s="14">
        <v>7199</v>
      </c>
      <c r="AL402" s="14">
        <v>252</v>
      </c>
      <c r="AM402" s="14">
        <f t="shared" si="327"/>
        <v>7451</v>
      </c>
      <c r="AN402" s="14">
        <v>8190</v>
      </c>
      <c r="AQ402" s="14">
        <f t="shared" si="328"/>
        <v>0</v>
      </c>
      <c r="AT402" s="14">
        <f t="shared" si="329"/>
        <v>0</v>
      </c>
      <c r="AU402" s="16">
        <v>87529</v>
      </c>
      <c r="AV402" s="16">
        <v>0</v>
      </c>
      <c r="AW402" s="16">
        <v>2568</v>
      </c>
      <c r="AX402" s="16">
        <v>0</v>
      </c>
      <c r="AY402" s="18">
        <f t="shared" si="330"/>
        <v>15.513199764982888</v>
      </c>
      <c r="AZ402" s="17">
        <f t="shared" si="331"/>
        <v>0</v>
      </c>
      <c r="BA402" s="17">
        <f t="shared" si="332"/>
        <v>0.45513940518543633</v>
      </c>
      <c r="BB402" s="17">
        <f t="shared" si="333"/>
        <v>0</v>
      </c>
      <c r="BC402" s="17">
        <f t="shared" si="301"/>
        <v>1.0914129505965409</v>
      </c>
      <c r="BD402" s="17">
        <f t="shared" si="302"/>
        <v>2.7058463002204269</v>
      </c>
      <c r="BE402" s="17">
        <f t="shared" si="303"/>
        <v>0</v>
      </c>
      <c r="BF402" s="17">
        <f t="shared" si="304"/>
        <v>0</v>
      </c>
      <c r="BG402" s="17">
        <f t="shared" si="305"/>
        <v>0.55651780852113319</v>
      </c>
      <c r="BH402" s="17">
        <f t="shared" si="306"/>
        <v>3.5446994173320585E-4</v>
      </c>
      <c r="BI402" s="17">
        <f t="shared" si="307"/>
        <v>0</v>
      </c>
      <c r="BJ402" s="17">
        <f t="shared" si="308"/>
        <v>0.97195658023245046</v>
      </c>
      <c r="BK402" s="17">
        <f t="shared" si="309"/>
        <v>0</v>
      </c>
      <c r="BL402" s="17">
        <f t="shared" si="310"/>
        <v>0.55740398337546626</v>
      </c>
      <c r="BM402" s="17">
        <f t="shared" si="311"/>
        <v>2.7648655455190057E-2</v>
      </c>
      <c r="BN402" s="17">
        <f t="shared" si="312"/>
        <v>0</v>
      </c>
      <c r="BO402" s="17">
        <f t="shared" si="313"/>
        <v>0</v>
      </c>
      <c r="BP402" s="17">
        <f t="shared" si="314"/>
        <v>0.64548976389616786</v>
      </c>
      <c r="BQ402" s="17">
        <f t="shared" si="315"/>
        <v>0</v>
      </c>
      <c r="BR402" s="17">
        <f t="shared" si="316"/>
        <v>1.5036614928322594</v>
      </c>
      <c r="BS402" s="17">
        <f t="shared" si="317"/>
        <v>0</v>
      </c>
      <c r="BT402" s="17">
        <f t="shared" si="318"/>
        <v>0</v>
      </c>
      <c r="BU402" s="17">
        <f t="shared" si="319"/>
        <v>0.95299243834972391</v>
      </c>
      <c r="BV402" s="17">
        <f t="shared" si="320"/>
        <v>0.85108233010142731</v>
      </c>
      <c r="BW402" s="17">
        <f t="shared" si="321"/>
        <v>0</v>
      </c>
      <c r="BX402" s="17">
        <f t="shared" si="322"/>
        <v>0</v>
      </c>
      <c r="BY402" s="17">
        <f t="shared" si="323"/>
        <v>0</v>
      </c>
      <c r="BZ402" s="17">
        <f t="shared" si="334"/>
        <v>3.491528926072078E-2</v>
      </c>
      <c r="CA402" s="17">
        <f t="shared" si="335"/>
        <v>0.66020026647809593</v>
      </c>
      <c r="CB402" s="17">
        <f t="shared" si="336"/>
        <v>0</v>
      </c>
      <c r="CC402" s="17">
        <f t="shared" si="337"/>
        <v>0</v>
      </c>
      <c r="CD402" s="17">
        <f t="shared" si="338"/>
        <v>0</v>
      </c>
      <c r="CE402" s="17">
        <f t="shared" si="339"/>
        <v>3.8483029224265493</v>
      </c>
      <c r="CF402" s="17">
        <f t="shared" si="340"/>
        <v>1.2759145552686746</v>
      </c>
      <c r="CG402" s="17">
        <f t="shared" si="341"/>
        <v>4.4663212658383938E-2</v>
      </c>
      <c r="CH402" s="17">
        <f t="shared" si="342"/>
        <v>1.4515544113974781</v>
      </c>
      <c r="CI402" s="17">
        <f t="shared" si="343"/>
        <v>0</v>
      </c>
      <c r="CJ402" s="17">
        <f t="shared" si="344"/>
        <v>0</v>
      </c>
      <c r="CK402" s="17">
        <f t="shared" si="345"/>
        <v>0</v>
      </c>
      <c r="CL402" s="17">
        <f t="shared" si="346"/>
        <v>0</v>
      </c>
      <c r="CM402" s="14">
        <f t="shared" si="347"/>
        <v>2568</v>
      </c>
      <c r="CN402" s="17">
        <f t="shared" si="348"/>
        <v>0.45513940518543633</v>
      </c>
      <c r="CO402" s="14">
        <f t="shared" si="349"/>
        <v>90097</v>
      </c>
      <c r="CP402" s="17">
        <f t="shared" si="350"/>
        <v>15.968339170168324</v>
      </c>
      <c r="CQ402" s="14">
        <f t="shared" si="324"/>
        <v>194481</v>
      </c>
      <c r="CR402" s="14">
        <v>1090</v>
      </c>
      <c r="CS402" s="14">
        <v>2355</v>
      </c>
      <c r="CT402" s="14">
        <v>0</v>
      </c>
      <c r="CU402" s="14">
        <v>0</v>
      </c>
    </row>
    <row r="403" spans="1:99" x14ac:dyDescent="0.3">
      <c r="A403" s="14">
        <v>2017</v>
      </c>
      <c r="B403" s="14" t="s">
        <v>73</v>
      </c>
      <c r="C403" s="14" t="s">
        <v>74</v>
      </c>
      <c r="D403" s="15">
        <v>1185951.8</v>
      </c>
      <c r="E403" s="15">
        <v>56641209.500000007</v>
      </c>
      <c r="F403" s="15">
        <f t="shared" si="325"/>
        <v>47.760127772477773</v>
      </c>
      <c r="G403" s="14">
        <v>6314</v>
      </c>
      <c r="K403" s="14">
        <v>3323</v>
      </c>
      <c r="L403" s="14">
        <v>2</v>
      </c>
      <c r="N403" s="14">
        <v>6948</v>
      </c>
      <c r="O403" s="14">
        <v>3330</v>
      </c>
      <c r="P403" s="14">
        <v>3658</v>
      </c>
      <c r="Q403" s="14">
        <v>152</v>
      </c>
      <c r="T403" s="14">
        <v>3730</v>
      </c>
      <c r="V403" s="14">
        <v>8681</v>
      </c>
      <c r="Y403" s="14">
        <v>5525</v>
      </c>
      <c r="Z403" s="14">
        <v>5267</v>
      </c>
      <c r="AB403" s="14">
        <f t="shared" si="326"/>
        <v>3330</v>
      </c>
      <c r="AE403" s="14">
        <v>219</v>
      </c>
      <c r="AF403" s="14">
        <v>3790</v>
      </c>
      <c r="AI403" s="14">
        <v>8919</v>
      </c>
      <c r="AJ403" s="14">
        <v>11741</v>
      </c>
      <c r="AK403" s="14">
        <v>7476</v>
      </c>
      <c r="AL403" s="14">
        <v>228</v>
      </c>
      <c r="AM403" s="14">
        <f t="shared" si="327"/>
        <v>7704</v>
      </c>
      <c r="AN403" s="14">
        <v>8453</v>
      </c>
      <c r="AO403" s="14">
        <v>12683</v>
      </c>
      <c r="AP403" s="14">
        <v>15011</v>
      </c>
      <c r="AQ403" s="14">
        <f t="shared" si="328"/>
        <v>27694</v>
      </c>
      <c r="AS403" s="14">
        <v>49732</v>
      </c>
      <c r="AT403" s="14">
        <f t="shared" si="329"/>
        <v>49732</v>
      </c>
      <c r="AU403" s="16">
        <v>89306</v>
      </c>
      <c r="AV403" s="16">
        <v>0</v>
      </c>
      <c r="AW403" s="16">
        <v>0</v>
      </c>
      <c r="AX403" s="16">
        <v>0</v>
      </c>
      <c r="AY403" s="18">
        <f t="shared" si="330"/>
        <v>15.766965569476405</v>
      </c>
      <c r="AZ403" s="17">
        <f t="shared" si="331"/>
        <v>0</v>
      </c>
      <c r="BA403" s="17">
        <f t="shared" si="332"/>
        <v>0</v>
      </c>
      <c r="BB403" s="17">
        <f t="shared" si="333"/>
        <v>0</v>
      </c>
      <c r="BC403" s="17">
        <f t="shared" si="301"/>
        <v>1.1147360827455493</v>
      </c>
      <c r="BD403" s="17">
        <f t="shared" si="302"/>
        <v>0</v>
      </c>
      <c r="BE403" s="17">
        <f t="shared" si="303"/>
        <v>0</v>
      </c>
      <c r="BF403" s="17">
        <f t="shared" si="304"/>
        <v>0</v>
      </c>
      <c r="BG403" s="17">
        <f t="shared" si="305"/>
        <v>0.58667532514467224</v>
      </c>
      <c r="BH403" s="17">
        <f t="shared" si="306"/>
        <v>3.5309980448069349E-4</v>
      </c>
      <c r="BI403" s="17">
        <f t="shared" si="307"/>
        <v>0</v>
      </c>
      <c r="BJ403" s="17">
        <f t="shared" si="308"/>
        <v>1.226668720765929</v>
      </c>
      <c r="BK403" s="17">
        <f t="shared" si="309"/>
        <v>0.58791117446035457</v>
      </c>
      <c r="BL403" s="17">
        <f t="shared" si="310"/>
        <v>0.64581954239518835</v>
      </c>
      <c r="BM403" s="17">
        <f t="shared" si="311"/>
        <v>2.6835585140532702E-2</v>
      </c>
      <c r="BN403" s="17">
        <f t="shared" si="312"/>
        <v>0</v>
      </c>
      <c r="BO403" s="17">
        <f t="shared" si="313"/>
        <v>0</v>
      </c>
      <c r="BP403" s="17">
        <f t="shared" si="314"/>
        <v>0.65853113535649332</v>
      </c>
      <c r="BQ403" s="17">
        <f t="shared" si="315"/>
        <v>0</v>
      </c>
      <c r="BR403" s="17">
        <f t="shared" si="316"/>
        <v>1.53262970134845</v>
      </c>
      <c r="BS403" s="17">
        <f t="shared" si="317"/>
        <v>0</v>
      </c>
      <c r="BT403" s="17">
        <f t="shared" si="318"/>
        <v>0</v>
      </c>
      <c r="BU403" s="17">
        <f t="shared" si="319"/>
        <v>0.97543820987791574</v>
      </c>
      <c r="BV403" s="17">
        <f t="shared" si="320"/>
        <v>0.9298883350999062</v>
      </c>
      <c r="BW403" s="17">
        <f t="shared" si="321"/>
        <v>0</v>
      </c>
      <c r="BX403" s="17">
        <f t="shared" si="322"/>
        <v>0</v>
      </c>
      <c r="BY403" s="17">
        <f t="shared" si="323"/>
        <v>0</v>
      </c>
      <c r="BZ403" s="17">
        <f t="shared" si="334"/>
        <v>3.8664428590635937E-2</v>
      </c>
      <c r="CA403" s="17">
        <f t="shared" si="335"/>
        <v>0.66912412949091415</v>
      </c>
      <c r="CB403" s="17">
        <f t="shared" si="336"/>
        <v>0</v>
      </c>
      <c r="CC403" s="17">
        <f t="shared" si="337"/>
        <v>0</v>
      </c>
      <c r="CD403" s="17">
        <f t="shared" si="338"/>
        <v>1.5746485780816526</v>
      </c>
      <c r="CE403" s="17">
        <f t="shared" si="339"/>
        <v>2.0728724022039109</v>
      </c>
      <c r="CF403" s="17">
        <f t="shared" si="340"/>
        <v>1.3198870691488322</v>
      </c>
      <c r="CG403" s="17">
        <f t="shared" si="341"/>
        <v>4.0253377710799058E-2</v>
      </c>
      <c r="CH403" s="17">
        <f t="shared" si="342"/>
        <v>1.492376323637651</v>
      </c>
      <c r="CI403" s="17">
        <f t="shared" si="343"/>
        <v>2.2391824101143176</v>
      </c>
      <c r="CJ403" s="17">
        <f t="shared" si="344"/>
        <v>2.6501905825298446</v>
      </c>
      <c r="CK403" s="17">
        <f t="shared" si="345"/>
        <v>0</v>
      </c>
      <c r="CL403" s="17">
        <f t="shared" si="346"/>
        <v>8.7801797382169244</v>
      </c>
      <c r="CM403" s="14">
        <f t="shared" si="347"/>
        <v>0</v>
      </c>
      <c r="CN403" s="17">
        <f t="shared" si="348"/>
        <v>0</v>
      </c>
      <c r="CO403" s="14">
        <f t="shared" si="349"/>
        <v>89306</v>
      </c>
      <c r="CP403" s="17">
        <f t="shared" si="350"/>
        <v>15.766965569476405</v>
      </c>
      <c r="CQ403" s="14">
        <f t="shared" si="324"/>
        <v>342948</v>
      </c>
      <c r="CR403" s="14">
        <v>0</v>
      </c>
      <c r="CS403" s="14">
        <v>0</v>
      </c>
      <c r="CT403" s="14">
        <v>0</v>
      </c>
      <c r="CU403" s="14">
        <v>0</v>
      </c>
    </row>
    <row r="404" spans="1:99" x14ac:dyDescent="0.3">
      <c r="A404" s="14">
        <v>2018</v>
      </c>
      <c r="B404" s="14" t="s">
        <v>73</v>
      </c>
      <c r="C404" s="14" t="s">
        <v>74</v>
      </c>
      <c r="D404" s="15">
        <v>1221592.2</v>
      </c>
      <c r="E404" s="15">
        <v>57339635.000000015</v>
      </c>
      <c r="F404" s="15">
        <f t="shared" si="325"/>
        <v>46.938442305050749</v>
      </c>
      <c r="G404" s="14">
        <v>6433</v>
      </c>
      <c r="K404" s="14">
        <v>3512</v>
      </c>
      <c r="L404" s="14">
        <v>2</v>
      </c>
      <c r="M404" s="14">
        <v>54180</v>
      </c>
      <c r="P404" s="14">
        <v>3422</v>
      </c>
      <c r="Q404" s="14">
        <v>150</v>
      </c>
      <c r="T404" s="14">
        <v>3831</v>
      </c>
      <c r="V404" s="14">
        <v>8878</v>
      </c>
      <c r="Y404" s="14">
        <v>5731</v>
      </c>
      <c r="Z404" s="14">
        <v>5455</v>
      </c>
      <c r="AB404" s="14">
        <f t="shared" si="326"/>
        <v>0</v>
      </c>
      <c r="AE404" s="14">
        <v>230</v>
      </c>
      <c r="AF404" s="14">
        <v>3848</v>
      </c>
      <c r="AK404" s="14">
        <v>7705</v>
      </c>
      <c r="AL404" s="14">
        <v>217</v>
      </c>
      <c r="AM404" s="14">
        <f t="shared" si="327"/>
        <v>7922</v>
      </c>
      <c r="AN404" s="14">
        <v>8565</v>
      </c>
      <c r="AQ404" s="14">
        <f t="shared" si="328"/>
        <v>0</v>
      </c>
      <c r="AT404" s="14">
        <f t="shared" si="329"/>
        <v>0</v>
      </c>
      <c r="AU404" s="16">
        <v>87006</v>
      </c>
      <c r="AV404" s="16">
        <v>141104</v>
      </c>
      <c r="AW404" s="16">
        <v>0</v>
      </c>
      <c r="AX404" s="16">
        <v>0</v>
      </c>
      <c r="AY404" s="18">
        <f t="shared" si="330"/>
        <v>15.173797321869937</v>
      </c>
      <c r="AZ404" s="17">
        <f t="shared" si="331"/>
        <v>24.608458006403417</v>
      </c>
      <c r="BA404" s="17">
        <f t="shared" si="332"/>
        <v>0</v>
      </c>
      <c r="BB404" s="17">
        <f t="shared" si="333"/>
        <v>0</v>
      </c>
      <c r="BC404" s="17">
        <f t="shared" si="301"/>
        <v>1.1219115712892136</v>
      </c>
      <c r="BD404" s="17">
        <f t="shared" si="302"/>
        <v>0</v>
      </c>
      <c r="BE404" s="17">
        <f t="shared" si="303"/>
        <v>0</v>
      </c>
      <c r="BF404" s="17">
        <f t="shared" si="304"/>
        <v>0</v>
      </c>
      <c r="BG404" s="17">
        <f t="shared" si="305"/>
        <v>0.61249081895969504</v>
      </c>
      <c r="BH404" s="17">
        <f t="shared" si="306"/>
        <v>3.4879887184492882E-4</v>
      </c>
      <c r="BI404" s="17">
        <f t="shared" si="307"/>
        <v>9.448961438279122</v>
      </c>
      <c r="BJ404" s="17">
        <f t="shared" si="308"/>
        <v>0</v>
      </c>
      <c r="BK404" s="17">
        <f t="shared" si="309"/>
        <v>0</v>
      </c>
      <c r="BL404" s="17">
        <f t="shared" si="310"/>
        <v>0.59679486972667317</v>
      </c>
      <c r="BM404" s="17">
        <f t="shared" si="311"/>
        <v>2.6159915388369662E-2</v>
      </c>
      <c r="BN404" s="17">
        <f t="shared" si="312"/>
        <v>0</v>
      </c>
      <c r="BO404" s="17">
        <f t="shared" si="313"/>
        <v>0</v>
      </c>
      <c r="BP404" s="17">
        <f t="shared" si="314"/>
        <v>0.66812423901896112</v>
      </c>
      <c r="BQ404" s="17">
        <f t="shared" si="315"/>
        <v>0</v>
      </c>
      <c r="BR404" s="17">
        <f t="shared" si="316"/>
        <v>1.5483181921196389</v>
      </c>
      <c r="BS404" s="17">
        <f t="shared" si="317"/>
        <v>0</v>
      </c>
      <c r="BT404" s="17">
        <f t="shared" si="318"/>
        <v>0</v>
      </c>
      <c r="BU404" s="17">
        <f t="shared" si="319"/>
        <v>0.99948316727164355</v>
      </c>
      <c r="BV404" s="17">
        <f t="shared" si="320"/>
        <v>0.95134892295704332</v>
      </c>
      <c r="BW404" s="17">
        <f t="shared" si="321"/>
        <v>0</v>
      </c>
      <c r="BX404" s="17">
        <f t="shared" si="322"/>
        <v>0</v>
      </c>
      <c r="BY404" s="17">
        <f t="shared" si="323"/>
        <v>0</v>
      </c>
      <c r="BZ404" s="17">
        <f t="shared" si="334"/>
        <v>4.0111870262166817E-2</v>
      </c>
      <c r="CA404" s="17">
        <f t="shared" si="335"/>
        <v>0.67108902942964299</v>
      </c>
      <c r="CB404" s="17">
        <f t="shared" si="336"/>
        <v>0</v>
      </c>
      <c r="CC404" s="17">
        <f t="shared" si="337"/>
        <v>0</v>
      </c>
      <c r="CD404" s="17">
        <f t="shared" si="338"/>
        <v>0</v>
      </c>
      <c r="CE404" s="17">
        <f t="shared" si="339"/>
        <v>0</v>
      </c>
      <c r="CF404" s="17">
        <f t="shared" si="340"/>
        <v>1.3437476537825883</v>
      </c>
      <c r="CG404" s="17">
        <f t="shared" si="341"/>
        <v>3.7844677595174778E-2</v>
      </c>
      <c r="CH404" s="17">
        <f t="shared" si="342"/>
        <v>1.4937311686759076</v>
      </c>
      <c r="CI404" s="17">
        <f t="shared" si="343"/>
        <v>0</v>
      </c>
      <c r="CJ404" s="17">
        <f t="shared" si="344"/>
        <v>0</v>
      </c>
      <c r="CK404" s="17">
        <f t="shared" si="345"/>
        <v>0</v>
      </c>
      <c r="CL404" s="17">
        <f t="shared" si="346"/>
        <v>0</v>
      </c>
      <c r="CM404" s="14">
        <f t="shared" si="347"/>
        <v>141104</v>
      </c>
      <c r="CN404" s="17">
        <f t="shared" si="348"/>
        <v>24.608458006403417</v>
      </c>
      <c r="CO404" s="14">
        <f t="shared" si="349"/>
        <v>228110</v>
      </c>
      <c r="CP404" s="17">
        <f t="shared" si="350"/>
        <v>39.782255328273358</v>
      </c>
      <c r="CQ404" s="14">
        <f t="shared" si="324"/>
        <v>348191</v>
      </c>
      <c r="CR404" s="14">
        <v>0</v>
      </c>
      <c r="CS404" s="14">
        <v>0</v>
      </c>
      <c r="CT404" s="14">
        <v>0</v>
      </c>
      <c r="CU404" s="14">
        <v>0</v>
      </c>
    </row>
    <row r="405" spans="1:99" x14ac:dyDescent="0.3">
      <c r="A405" s="14">
        <v>2019</v>
      </c>
      <c r="B405" s="14" t="s">
        <v>73</v>
      </c>
      <c r="C405" s="14" t="s">
        <v>74</v>
      </c>
      <c r="D405" s="15">
        <v>1253306.6000000001</v>
      </c>
      <c r="E405" s="15">
        <v>58087054.999999985</v>
      </c>
      <c r="F405" s="15">
        <f t="shared" si="325"/>
        <v>46.347043093844697</v>
      </c>
      <c r="G405" s="14">
        <v>6365</v>
      </c>
      <c r="K405" s="14">
        <v>3676</v>
      </c>
      <c r="L405" s="14">
        <v>2</v>
      </c>
      <c r="P405" s="14">
        <v>3555</v>
      </c>
      <c r="Q405" s="14">
        <v>140</v>
      </c>
      <c r="T405" s="14">
        <v>3881</v>
      </c>
      <c r="Z405" s="14">
        <v>9939</v>
      </c>
      <c r="AB405" s="14">
        <f t="shared" si="326"/>
        <v>0</v>
      </c>
      <c r="AE405" s="14">
        <v>226</v>
      </c>
      <c r="AF405" s="14">
        <v>3830</v>
      </c>
      <c r="AK405" s="14">
        <v>7908</v>
      </c>
      <c r="AL405" s="14">
        <v>202</v>
      </c>
      <c r="AM405" s="14">
        <f t="shared" si="327"/>
        <v>8110</v>
      </c>
      <c r="AN405" s="14">
        <v>8742</v>
      </c>
      <c r="AQ405" s="14">
        <f t="shared" si="328"/>
        <v>0</v>
      </c>
      <c r="AT405" s="14">
        <f t="shared" si="329"/>
        <v>0</v>
      </c>
      <c r="AU405" s="16">
        <v>92786</v>
      </c>
      <c r="AV405" s="16">
        <v>129276</v>
      </c>
      <c r="AW405" s="16">
        <v>0</v>
      </c>
      <c r="AX405" s="16">
        <v>0</v>
      </c>
      <c r="AY405" s="18">
        <f t="shared" si="330"/>
        <v>15.973610643541839</v>
      </c>
      <c r="AZ405" s="17">
        <f t="shared" si="331"/>
        <v>22.255561071223191</v>
      </c>
      <c r="BA405" s="17">
        <f t="shared" si="332"/>
        <v>0</v>
      </c>
      <c r="BB405" s="17">
        <f t="shared" si="333"/>
        <v>0</v>
      </c>
      <c r="BC405" s="17">
        <f t="shared" si="301"/>
        <v>1.095769100361518</v>
      </c>
      <c r="BD405" s="17">
        <f t="shared" si="302"/>
        <v>0</v>
      </c>
      <c r="BE405" s="17">
        <f t="shared" si="303"/>
        <v>0</v>
      </c>
      <c r="BF405" s="17">
        <f t="shared" si="304"/>
        <v>0</v>
      </c>
      <c r="BG405" s="17">
        <f t="shared" si="305"/>
        <v>0.63284323848058766</v>
      </c>
      <c r="BH405" s="17">
        <f t="shared" si="306"/>
        <v>3.4431079351500958E-4</v>
      </c>
      <c r="BI405" s="17">
        <f t="shared" si="307"/>
        <v>0</v>
      </c>
      <c r="BJ405" s="17">
        <f t="shared" si="308"/>
        <v>0</v>
      </c>
      <c r="BK405" s="17">
        <f t="shared" si="309"/>
        <v>0</v>
      </c>
      <c r="BL405" s="17">
        <f t="shared" si="310"/>
        <v>0.61201243547292949</v>
      </c>
      <c r="BM405" s="17">
        <f t="shared" si="311"/>
        <v>2.4101755546050672E-2</v>
      </c>
      <c r="BN405" s="17">
        <f t="shared" si="312"/>
        <v>0</v>
      </c>
      <c r="BO405" s="17">
        <f t="shared" si="313"/>
        <v>0</v>
      </c>
      <c r="BP405" s="17">
        <f t="shared" si="314"/>
        <v>0.66813509481587607</v>
      </c>
      <c r="BQ405" s="17">
        <f t="shared" si="315"/>
        <v>0</v>
      </c>
      <c r="BR405" s="17">
        <f t="shared" si="316"/>
        <v>0</v>
      </c>
      <c r="BS405" s="17">
        <f t="shared" si="317"/>
        <v>0</v>
      </c>
      <c r="BT405" s="17">
        <f t="shared" si="318"/>
        <v>0</v>
      </c>
      <c r="BU405" s="17">
        <f t="shared" si="319"/>
        <v>0</v>
      </c>
      <c r="BV405" s="17">
        <f t="shared" si="320"/>
        <v>1.7110524883728402</v>
      </c>
      <c r="BW405" s="17">
        <f t="shared" si="321"/>
        <v>0</v>
      </c>
      <c r="BX405" s="17">
        <f t="shared" si="322"/>
        <v>0</v>
      </c>
      <c r="BY405" s="17">
        <f t="shared" si="323"/>
        <v>0</v>
      </c>
      <c r="BZ405" s="17">
        <f t="shared" si="334"/>
        <v>3.890711966719608E-2</v>
      </c>
      <c r="CA405" s="17">
        <f t="shared" si="335"/>
        <v>0.65935516958124341</v>
      </c>
      <c r="CB405" s="17">
        <f t="shared" si="336"/>
        <v>0</v>
      </c>
      <c r="CC405" s="17">
        <f t="shared" si="337"/>
        <v>0</v>
      </c>
      <c r="CD405" s="17">
        <f t="shared" si="338"/>
        <v>0</v>
      </c>
      <c r="CE405" s="17">
        <f t="shared" si="339"/>
        <v>0</v>
      </c>
      <c r="CF405" s="17">
        <f t="shared" si="340"/>
        <v>1.3614048775583478</v>
      </c>
      <c r="CG405" s="17">
        <f t="shared" si="341"/>
        <v>3.4775390145015968E-2</v>
      </c>
      <c r="CH405" s="17">
        <f t="shared" si="342"/>
        <v>1.5049824784541068</v>
      </c>
      <c r="CI405" s="17">
        <f t="shared" si="343"/>
        <v>0</v>
      </c>
      <c r="CJ405" s="17">
        <f t="shared" si="344"/>
        <v>0</v>
      </c>
      <c r="CK405" s="17">
        <f t="shared" si="345"/>
        <v>0</v>
      </c>
      <c r="CL405" s="17">
        <f t="shared" si="346"/>
        <v>0</v>
      </c>
      <c r="CM405" s="14">
        <f t="shared" si="347"/>
        <v>129276</v>
      </c>
      <c r="CN405" s="17">
        <f t="shared" si="348"/>
        <v>22.255561071223191</v>
      </c>
      <c r="CO405" s="14">
        <f t="shared" si="349"/>
        <v>222062</v>
      </c>
      <c r="CP405" s="17">
        <f t="shared" si="350"/>
        <v>38.22917171476503</v>
      </c>
      <c r="CQ405" s="14">
        <f t="shared" si="324"/>
        <v>278638</v>
      </c>
      <c r="CR405" s="14">
        <v>0</v>
      </c>
      <c r="CS405" s="14">
        <v>0</v>
      </c>
      <c r="CT405" s="14">
        <v>0</v>
      </c>
      <c r="CU405" s="14">
        <v>0</v>
      </c>
    </row>
    <row r="406" spans="1:99" x14ac:dyDescent="0.3">
      <c r="A406" s="14">
        <v>2020</v>
      </c>
      <c r="B406" s="14" t="s">
        <v>73</v>
      </c>
      <c r="C406" s="14" t="s">
        <v>74</v>
      </c>
      <c r="D406" s="15">
        <v>1247502</v>
      </c>
      <c r="E406" s="15">
        <v>58801926.500000022</v>
      </c>
      <c r="F406" s="15">
        <f t="shared" si="325"/>
        <v>47.135737257335073</v>
      </c>
      <c r="AB406" s="14">
        <f t="shared" si="326"/>
        <v>0</v>
      </c>
      <c r="AM406" s="14">
        <f t="shared" si="327"/>
        <v>0</v>
      </c>
      <c r="AQ406" s="14">
        <f t="shared" si="328"/>
        <v>0</v>
      </c>
      <c r="AT406" s="14">
        <f t="shared" si="329"/>
        <v>0</v>
      </c>
      <c r="AU406" s="16">
        <v>0</v>
      </c>
      <c r="AV406" s="16">
        <v>122056</v>
      </c>
      <c r="AW406" s="16">
        <v>0</v>
      </c>
      <c r="AX406" s="16">
        <v>0</v>
      </c>
      <c r="AY406" s="18">
        <f t="shared" si="330"/>
        <v>0</v>
      </c>
      <c r="AZ406" s="17">
        <f t="shared" si="331"/>
        <v>20.757143050406683</v>
      </c>
      <c r="BA406" s="17">
        <f t="shared" si="332"/>
        <v>0</v>
      </c>
      <c r="BB406" s="17">
        <f t="shared" si="333"/>
        <v>0</v>
      </c>
      <c r="BC406" s="17">
        <f t="shared" si="301"/>
        <v>0</v>
      </c>
      <c r="BD406" s="17">
        <f t="shared" si="302"/>
        <v>0</v>
      </c>
      <c r="BE406" s="17">
        <f t="shared" si="303"/>
        <v>0</v>
      </c>
      <c r="BF406" s="17">
        <f t="shared" si="304"/>
        <v>0</v>
      </c>
      <c r="BG406" s="17">
        <f t="shared" si="305"/>
        <v>0</v>
      </c>
      <c r="BH406" s="17">
        <f t="shared" si="306"/>
        <v>0</v>
      </c>
      <c r="BI406" s="17">
        <f t="shared" si="307"/>
        <v>0</v>
      </c>
      <c r="BJ406" s="17">
        <f t="shared" si="308"/>
        <v>0</v>
      </c>
      <c r="BK406" s="17">
        <f t="shared" si="309"/>
        <v>0</v>
      </c>
      <c r="BL406" s="17">
        <f t="shared" si="310"/>
        <v>0</v>
      </c>
      <c r="BM406" s="17">
        <f t="shared" si="311"/>
        <v>0</v>
      </c>
      <c r="BN406" s="17">
        <f t="shared" si="312"/>
        <v>0</v>
      </c>
      <c r="BO406" s="17">
        <f t="shared" si="313"/>
        <v>0</v>
      </c>
      <c r="BP406" s="17">
        <f t="shared" si="314"/>
        <v>0</v>
      </c>
      <c r="BQ406" s="17">
        <f t="shared" si="315"/>
        <v>0</v>
      </c>
      <c r="BR406" s="17">
        <f t="shared" si="316"/>
        <v>0</v>
      </c>
      <c r="BS406" s="17">
        <f t="shared" si="317"/>
        <v>0</v>
      </c>
      <c r="BT406" s="17">
        <f t="shared" si="318"/>
        <v>0</v>
      </c>
      <c r="BU406" s="17">
        <f t="shared" si="319"/>
        <v>0</v>
      </c>
      <c r="BV406" s="17">
        <f t="shared" si="320"/>
        <v>0</v>
      </c>
      <c r="BW406" s="17">
        <f t="shared" si="321"/>
        <v>0</v>
      </c>
      <c r="BX406" s="17">
        <f t="shared" si="322"/>
        <v>0</v>
      </c>
      <c r="BY406" s="17">
        <f t="shared" si="323"/>
        <v>0</v>
      </c>
      <c r="BZ406" s="17">
        <f t="shared" si="334"/>
        <v>0</v>
      </c>
      <c r="CA406" s="17">
        <f t="shared" si="335"/>
        <v>0</v>
      </c>
      <c r="CB406" s="17">
        <f t="shared" si="336"/>
        <v>0</v>
      </c>
      <c r="CC406" s="17">
        <f t="shared" si="337"/>
        <v>0</v>
      </c>
      <c r="CD406" s="17">
        <f t="shared" si="338"/>
        <v>0</v>
      </c>
      <c r="CE406" s="17">
        <f t="shared" si="339"/>
        <v>0</v>
      </c>
      <c r="CF406" s="17">
        <f t="shared" si="340"/>
        <v>0</v>
      </c>
      <c r="CG406" s="17">
        <f t="shared" si="341"/>
        <v>0</v>
      </c>
      <c r="CH406" s="17">
        <f t="shared" si="342"/>
        <v>0</v>
      </c>
      <c r="CI406" s="17">
        <f t="shared" si="343"/>
        <v>0</v>
      </c>
      <c r="CJ406" s="17">
        <f t="shared" si="344"/>
        <v>0</v>
      </c>
      <c r="CK406" s="17">
        <f t="shared" si="345"/>
        <v>0</v>
      </c>
      <c r="CL406" s="17">
        <f t="shared" si="346"/>
        <v>0</v>
      </c>
      <c r="CM406" s="14">
        <f t="shared" si="347"/>
        <v>122056</v>
      </c>
      <c r="CN406" s="17">
        <f t="shared" si="348"/>
        <v>20.757143050406683</v>
      </c>
      <c r="CO406" s="14">
        <f t="shared" si="349"/>
        <v>122056</v>
      </c>
      <c r="CP406" s="17">
        <f t="shared" si="350"/>
        <v>20.757143050406683</v>
      </c>
      <c r="CQ406" s="14">
        <f t="shared" si="324"/>
        <v>122056</v>
      </c>
      <c r="CR406" s="14">
        <v>0</v>
      </c>
      <c r="CS406" s="14">
        <v>0</v>
      </c>
      <c r="CT406" s="14">
        <v>0</v>
      </c>
      <c r="CU406" s="14">
        <v>0</v>
      </c>
    </row>
    <row r="407" spans="1:99" x14ac:dyDescent="0.3">
      <c r="A407" s="14">
        <v>2021</v>
      </c>
      <c r="B407" s="14" t="s">
        <v>73</v>
      </c>
      <c r="C407" s="14" t="s">
        <v>74</v>
      </c>
      <c r="D407" s="15">
        <v>1219311.2</v>
      </c>
      <c r="E407" s="15">
        <v>59392255</v>
      </c>
      <c r="F407" s="15">
        <f t="shared" si="325"/>
        <v>48.709677234163024</v>
      </c>
      <c r="G407" s="14">
        <v>6586</v>
      </c>
      <c r="J407" s="14">
        <v>41029</v>
      </c>
      <c r="K407" s="14">
        <v>4037</v>
      </c>
      <c r="L407" s="14">
        <v>1</v>
      </c>
      <c r="N407" s="14">
        <v>6165</v>
      </c>
      <c r="P407" s="14">
        <v>3822</v>
      </c>
      <c r="Q407" s="14">
        <v>135</v>
      </c>
      <c r="S407" s="14">
        <v>549</v>
      </c>
      <c r="T407" s="14">
        <v>4196</v>
      </c>
      <c r="V407" s="14">
        <v>9281</v>
      </c>
      <c r="Y407" s="14">
        <v>6353</v>
      </c>
      <c r="Z407" s="14">
        <v>6166</v>
      </c>
      <c r="AB407" s="14">
        <f t="shared" si="326"/>
        <v>0</v>
      </c>
      <c r="AE407" s="14">
        <v>216</v>
      </c>
      <c r="AF407" s="14">
        <v>4012</v>
      </c>
      <c r="AI407" s="14">
        <v>3870</v>
      </c>
      <c r="AK407" s="14">
        <v>8345</v>
      </c>
      <c r="AL407" s="14">
        <v>164</v>
      </c>
      <c r="AM407" s="14">
        <f t="shared" si="327"/>
        <v>8509</v>
      </c>
      <c r="AN407" s="14">
        <v>9125</v>
      </c>
      <c r="AQ407" s="14">
        <f t="shared" si="328"/>
        <v>0</v>
      </c>
      <c r="AT407" s="14">
        <f t="shared" si="329"/>
        <v>0</v>
      </c>
      <c r="AU407" s="16">
        <v>99093</v>
      </c>
      <c r="AV407" s="16">
        <v>0</v>
      </c>
      <c r="AW407" s="16">
        <v>0</v>
      </c>
      <c r="AX407" s="16">
        <v>0</v>
      </c>
      <c r="AY407" s="18">
        <f t="shared" si="330"/>
        <v>16.684498677479077</v>
      </c>
      <c r="AZ407" s="17">
        <f t="shared" si="331"/>
        <v>0</v>
      </c>
      <c r="BA407" s="17">
        <f t="shared" si="332"/>
        <v>0</v>
      </c>
      <c r="BB407" s="17">
        <f t="shared" si="333"/>
        <v>0</v>
      </c>
      <c r="BC407" s="17">
        <f t="shared" si="301"/>
        <v>1.108898794969142</v>
      </c>
      <c r="BD407" s="17">
        <f t="shared" si="302"/>
        <v>0</v>
      </c>
      <c r="BE407" s="17">
        <f t="shared" si="303"/>
        <v>0</v>
      </c>
      <c r="BF407" s="17">
        <f t="shared" si="304"/>
        <v>6.9081397902807362</v>
      </c>
      <c r="BG407" s="17">
        <f t="shared" si="305"/>
        <v>0.67971825619350534</v>
      </c>
      <c r="BH407" s="17">
        <f t="shared" si="306"/>
        <v>1.683721219206107E-4</v>
      </c>
      <c r="BI407" s="17">
        <f t="shared" si="307"/>
        <v>0</v>
      </c>
      <c r="BJ407" s="17">
        <f t="shared" si="308"/>
        <v>1.0380141316405649</v>
      </c>
      <c r="BK407" s="17">
        <f t="shared" si="309"/>
        <v>0</v>
      </c>
      <c r="BL407" s="17">
        <f t="shared" si="310"/>
        <v>0.64351824998057405</v>
      </c>
      <c r="BM407" s="17">
        <f t="shared" si="311"/>
        <v>2.2730236459282443E-2</v>
      </c>
      <c r="BN407" s="17">
        <f t="shared" si="312"/>
        <v>0</v>
      </c>
      <c r="BO407" s="17">
        <f t="shared" si="313"/>
        <v>9.243629493441527E-2</v>
      </c>
      <c r="BP407" s="17">
        <f t="shared" si="314"/>
        <v>0.70648942357888245</v>
      </c>
      <c r="BQ407" s="17">
        <f t="shared" si="315"/>
        <v>0</v>
      </c>
      <c r="BR407" s="17">
        <f t="shared" si="316"/>
        <v>1.5626616635451878</v>
      </c>
      <c r="BS407" s="17">
        <f t="shared" si="317"/>
        <v>0</v>
      </c>
      <c r="BT407" s="17">
        <f t="shared" si="318"/>
        <v>0</v>
      </c>
      <c r="BU407" s="17">
        <f t="shared" si="319"/>
        <v>1.0696680905616398</v>
      </c>
      <c r="BV407" s="17">
        <f t="shared" si="320"/>
        <v>1.0381825037624854</v>
      </c>
      <c r="BW407" s="17">
        <f t="shared" si="321"/>
        <v>0</v>
      </c>
      <c r="BX407" s="17">
        <f t="shared" si="322"/>
        <v>0</v>
      </c>
      <c r="BY407" s="17">
        <f t="shared" si="323"/>
        <v>0</v>
      </c>
      <c r="BZ407" s="17">
        <f t="shared" si="334"/>
        <v>3.636837833485191E-2</v>
      </c>
      <c r="CA407" s="17">
        <f t="shared" si="335"/>
        <v>0.67550895314549009</v>
      </c>
      <c r="CB407" s="17">
        <f t="shared" si="336"/>
        <v>0</v>
      </c>
      <c r="CC407" s="17">
        <f t="shared" si="337"/>
        <v>0</v>
      </c>
      <c r="CD407" s="17">
        <f t="shared" si="338"/>
        <v>0.65160011183276334</v>
      </c>
      <c r="CE407" s="17">
        <f t="shared" si="339"/>
        <v>0</v>
      </c>
      <c r="CF407" s="17">
        <f t="shared" si="340"/>
        <v>1.4050653574274963</v>
      </c>
      <c r="CG407" s="17">
        <f t="shared" si="341"/>
        <v>2.7613027994980152E-2</v>
      </c>
      <c r="CH407" s="17">
        <f t="shared" si="342"/>
        <v>1.5363956125255727</v>
      </c>
      <c r="CI407" s="17">
        <f t="shared" si="343"/>
        <v>0</v>
      </c>
      <c r="CJ407" s="17">
        <f t="shared" si="344"/>
        <v>0</v>
      </c>
      <c r="CK407" s="17">
        <f t="shared" si="345"/>
        <v>0</v>
      </c>
      <c r="CL407" s="17">
        <f t="shared" si="346"/>
        <v>0</v>
      </c>
      <c r="CM407" s="14">
        <f t="shared" si="347"/>
        <v>0</v>
      </c>
      <c r="CN407" s="17">
        <f t="shared" si="348"/>
        <v>0</v>
      </c>
      <c r="CO407" s="14">
        <f t="shared" si="349"/>
        <v>99093</v>
      </c>
      <c r="CP407" s="17">
        <f t="shared" si="350"/>
        <v>16.684498677479077</v>
      </c>
      <c r="CQ407" s="14">
        <f t="shared" si="324"/>
        <v>221654</v>
      </c>
      <c r="CR407" s="14">
        <v>366</v>
      </c>
      <c r="CS407" s="14">
        <v>494</v>
      </c>
      <c r="CT407" s="14">
        <v>0</v>
      </c>
      <c r="CU407" s="14">
        <v>0</v>
      </c>
    </row>
    <row r="408" spans="1:99" x14ac:dyDescent="0.3">
      <c r="A408" s="14">
        <v>2022</v>
      </c>
      <c r="B408" s="14" t="s">
        <v>73</v>
      </c>
      <c r="C408" s="14" t="s">
        <v>74</v>
      </c>
      <c r="D408" s="15">
        <v>1197906.7</v>
      </c>
      <c r="E408" s="15">
        <v>59893885.5</v>
      </c>
      <c r="F408" s="15">
        <f t="shared" si="325"/>
        <v>49.998789972541267</v>
      </c>
      <c r="G408" s="14">
        <v>1348</v>
      </c>
      <c r="H408" s="14">
        <v>3609</v>
      </c>
      <c r="I408" s="14">
        <v>33735</v>
      </c>
      <c r="J408" s="14">
        <v>2025</v>
      </c>
      <c r="K408" s="14">
        <v>586</v>
      </c>
      <c r="L408" s="14">
        <v>53</v>
      </c>
      <c r="M408" s="14">
        <v>63290</v>
      </c>
      <c r="N408" s="14">
        <v>1550</v>
      </c>
      <c r="O408" s="14">
        <v>54</v>
      </c>
      <c r="P408" s="14">
        <v>1549</v>
      </c>
      <c r="Q408" s="14">
        <v>2</v>
      </c>
      <c r="R408" s="14">
        <v>339</v>
      </c>
      <c r="T408" s="14">
        <v>1168</v>
      </c>
      <c r="W408" s="14">
        <v>26692</v>
      </c>
      <c r="Z408" s="14">
        <v>13</v>
      </c>
      <c r="AA408" s="14">
        <v>275</v>
      </c>
      <c r="AB408" s="14">
        <f t="shared" si="326"/>
        <v>329</v>
      </c>
      <c r="AE408" s="14">
        <v>643</v>
      </c>
      <c r="AF408" s="14">
        <v>255</v>
      </c>
      <c r="AG408" s="14">
        <v>15459</v>
      </c>
      <c r="AI408" s="14">
        <v>20327</v>
      </c>
      <c r="AK408" s="14">
        <v>1446</v>
      </c>
      <c r="AL408" s="14">
        <v>109</v>
      </c>
      <c r="AM408" s="14">
        <f t="shared" si="327"/>
        <v>1555</v>
      </c>
      <c r="AN408" s="14">
        <v>723</v>
      </c>
      <c r="AO408" s="14">
        <v>6656</v>
      </c>
      <c r="AP408" s="14">
        <v>9098</v>
      </c>
      <c r="AQ408" s="14">
        <f t="shared" si="328"/>
        <v>15754</v>
      </c>
      <c r="AS408" s="14">
        <v>9</v>
      </c>
      <c r="AT408" s="14">
        <f t="shared" si="329"/>
        <v>9</v>
      </c>
      <c r="AU408" s="16">
        <v>0</v>
      </c>
      <c r="AV408" s="16">
        <v>0</v>
      </c>
      <c r="AW408" s="16">
        <v>0</v>
      </c>
      <c r="AX408" s="16">
        <v>2857</v>
      </c>
      <c r="AY408" s="18">
        <f t="shared" si="330"/>
        <v>0</v>
      </c>
      <c r="AZ408" s="17">
        <f t="shared" si="331"/>
        <v>0</v>
      </c>
      <c r="BA408" s="17">
        <f t="shared" si="332"/>
        <v>0</v>
      </c>
      <c r="BB408" s="17">
        <f t="shared" si="333"/>
        <v>0.47701029514941051</v>
      </c>
      <c r="BC408" s="17">
        <f t="shared" si="301"/>
        <v>0.22506471048701623</v>
      </c>
      <c r="BD408" s="17">
        <f t="shared" si="302"/>
        <v>0.60256568260210808</v>
      </c>
      <c r="BE408" s="17">
        <f t="shared" si="303"/>
        <v>5.6324614304744012</v>
      </c>
      <c r="BF408" s="17">
        <f t="shared" si="304"/>
        <v>0.33809795158472394</v>
      </c>
      <c r="BG408" s="17">
        <f t="shared" si="305"/>
        <v>9.783970352032012E-2</v>
      </c>
      <c r="BH408" s="17">
        <f t="shared" si="306"/>
        <v>8.8489834241927759E-3</v>
      </c>
      <c r="BI408" s="17">
        <f t="shared" si="307"/>
        <v>10.567021904097372</v>
      </c>
      <c r="BJ408" s="17">
        <f t="shared" si="308"/>
        <v>0.25879102466978871</v>
      </c>
      <c r="BK408" s="17">
        <f t="shared" si="309"/>
        <v>9.0159453755926395E-3</v>
      </c>
      <c r="BL408" s="17">
        <f t="shared" si="310"/>
        <v>0.25862406271838884</v>
      </c>
      <c r="BM408" s="17">
        <f t="shared" si="311"/>
        <v>3.3392390279972736E-4</v>
      </c>
      <c r="BN408" s="17">
        <f t="shared" si="312"/>
        <v>5.6600101524553789E-2</v>
      </c>
      <c r="BO408" s="17">
        <f t="shared" si="313"/>
        <v>0</v>
      </c>
      <c r="BP408" s="17">
        <f t="shared" si="314"/>
        <v>0.19501155923504077</v>
      </c>
      <c r="BQ408" s="17">
        <f t="shared" si="315"/>
        <v>0</v>
      </c>
      <c r="BR408" s="17">
        <f t="shared" si="316"/>
        <v>0</v>
      </c>
      <c r="BS408" s="17">
        <f t="shared" si="317"/>
        <v>4.4565484067651617</v>
      </c>
      <c r="BT408" s="17">
        <f t="shared" si="318"/>
        <v>0</v>
      </c>
      <c r="BU408" s="17">
        <f t="shared" si="319"/>
        <v>0</v>
      </c>
      <c r="BV408" s="17">
        <f t="shared" si="320"/>
        <v>2.1705053681982276E-3</v>
      </c>
      <c r="BW408" s="17">
        <f t="shared" si="321"/>
        <v>4.5914536634962512E-2</v>
      </c>
      <c r="BX408" s="17">
        <f t="shared" si="322"/>
        <v>0</v>
      </c>
      <c r="BY408" s="17">
        <f t="shared" si="323"/>
        <v>0</v>
      </c>
      <c r="BZ408" s="17">
        <f t="shared" si="334"/>
        <v>0.10735653475011235</v>
      </c>
      <c r="CA408" s="17">
        <f t="shared" si="335"/>
        <v>4.257529760696524E-2</v>
      </c>
      <c r="CB408" s="17">
        <f t="shared" si="336"/>
        <v>2.5810648066904927</v>
      </c>
      <c r="CC408" s="17">
        <f t="shared" si="337"/>
        <v>0</v>
      </c>
      <c r="CD408" s="17">
        <f t="shared" si="338"/>
        <v>3.3938355861050291</v>
      </c>
      <c r="CE408" s="17">
        <f t="shared" si="339"/>
        <v>0</v>
      </c>
      <c r="CF408" s="17">
        <f t="shared" si="340"/>
        <v>0.24142698172420288</v>
      </c>
      <c r="CG408" s="17">
        <f t="shared" si="341"/>
        <v>1.8198852702585141E-2</v>
      </c>
      <c r="CH408" s="17">
        <f t="shared" si="342"/>
        <v>0.12071349086210144</v>
      </c>
      <c r="CI408" s="17">
        <f t="shared" si="343"/>
        <v>1.1112987485174926</v>
      </c>
      <c r="CJ408" s="17">
        <f t="shared" si="344"/>
        <v>1.5190198338359597</v>
      </c>
      <c r="CK408" s="17">
        <f t="shared" si="345"/>
        <v>0</v>
      </c>
      <c r="CL408" s="17">
        <f t="shared" si="346"/>
        <v>1.502657562598773E-3</v>
      </c>
      <c r="CM408" s="14">
        <f t="shared" si="347"/>
        <v>0</v>
      </c>
      <c r="CN408" s="17">
        <f t="shared" si="348"/>
        <v>0</v>
      </c>
      <c r="CO408" s="14">
        <f t="shared" si="349"/>
        <v>0</v>
      </c>
      <c r="CP408" s="17">
        <f t="shared" si="350"/>
        <v>0</v>
      </c>
      <c r="CQ408" s="14">
        <f t="shared" si="324"/>
        <v>211517</v>
      </c>
      <c r="CR408" s="14">
        <v>0</v>
      </c>
      <c r="CS408" s="14">
        <v>0</v>
      </c>
      <c r="CT408" s="14">
        <v>0</v>
      </c>
      <c r="CU408" s="14">
        <v>0</v>
      </c>
    </row>
    <row r="409" spans="1:99" x14ac:dyDescent="0.3">
      <c r="A409" s="14">
        <v>2012</v>
      </c>
      <c r="B409" s="14" t="s">
        <v>75</v>
      </c>
      <c r="C409" s="14" t="s">
        <v>76</v>
      </c>
      <c r="D409" s="15">
        <v>408449.5</v>
      </c>
      <c r="E409" s="15">
        <v>10701604.500000004</v>
      </c>
      <c r="F409" s="15">
        <f t="shared" si="325"/>
        <v>26.20055722922908</v>
      </c>
      <c r="AB409" s="14">
        <f t="shared" si="326"/>
        <v>0</v>
      </c>
      <c r="AM409" s="14">
        <f t="shared" si="327"/>
        <v>0</v>
      </c>
      <c r="AQ409" s="14">
        <f t="shared" si="328"/>
        <v>0</v>
      </c>
      <c r="AT409" s="14">
        <f t="shared" si="329"/>
        <v>0</v>
      </c>
      <c r="AU409" s="16">
        <v>0</v>
      </c>
      <c r="AV409" s="16">
        <v>0</v>
      </c>
      <c r="AW409" s="16">
        <v>0</v>
      </c>
      <c r="AX409" s="16">
        <v>0</v>
      </c>
      <c r="AY409" s="18">
        <f t="shared" si="330"/>
        <v>0</v>
      </c>
      <c r="AZ409" s="17">
        <f t="shared" si="331"/>
        <v>0</v>
      </c>
      <c r="BA409" s="17">
        <f t="shared" si="332"/>
        <v>0</v>
      </c>
      <c r="BB409" s="17">
        <f t="shared" si="333"/>
        <v>0</v>
      </c>
      <c r="BC409" s="17">
        <f t="shared" si="301"/>
        <v>0</v>
      </c>
      <c r="BD409" s="17">
        <f t="shared" si="302"/>
        <v>0</v>
      </c>
      <c r="BE409" s="17">
        <f t="shared" si="303"/>
        <v>0</v>
      </c>
      <c r="BF409" s="17">
        <f t="shared" si="304"/>
        <v>0</v>
      </c>
      <c r="BG409" s="17">
        <f t="shared" si="305"/>
        <v>0</v>
      </c>
      <c r="BH409" s="17">
        <f t="shared" si="306"/>
        <v>0</v>
      </c>
      <c r="BI409" s="17">
        <f t="shared" si="307"/>
        <v>0</v>
      </c>
      <c r="BJ409" s="17">
        <f t="shared" si="308"/>
        <v>0</v>
      </c>
      <c r="BK409" s="17">
        <f t="shared" si="309"/>
        <v>0</v>
      </c>
      <c r="BL409" s="17">
        <f t="shared" si="310"/>
        <v>0</v>
      </c>
      <c r="BM409" s="17">
        <f t="shared" si="311"/>
        <v>0</v>
      </c>
      <c r="BN409" s="17">
        <f t="shared" si="312"/>
        <v>0</v>
      </c>
      <c r="BO409" s="17">
        <f t="shared" si="313"/>
        <v>0</v>
      </c>
      <c r="BP409" s="17">
        <f t="shared" si="314"/>
        <v>0</v>
      </c>
      <c r="BQ409" s="17">
        <f t="shared" si="315"/>
        <v>0</v>
      </c>
      <c r="BR409" s="17">
        <f t="shared" si="316"/>
        <v>0</v>
      </c>
      <c r="BS409" s="17">
        <f t="shared" si="317"/>
        <v>0</v>
      </c>
      <c r="BT409" s="17">
        <f t="shared" si="318"/>
        <v>0</v>
      </c>
      <c r="BU409" s="17">
        <f t="shared" si="319"/>
        <v>0</v>
      </c>
      <c r="BV409" s="17">
        <f t="shared" si="320"/>
        <v>0</v>
      </c>
      <c r="BW409" s="17">
        <f t="shared" si="321"/>
        <v>0</v>
      </c>
      <c r="BX409" s="17">
        <f t="shared" si="322"/>
        <v>0</v>
      </c>
      <c r="BY409" s="17">
        <f t="shared" si="323"/>
        <v>0</v>
      </c>
      <c r="BZ409" s="17">
        <f t="shared" si="334"/>
        <v>0</v>
      </c>
      <c r="CA409" s="17">
        <f t="shared" si="335"/>
        <v>0</v>
      </c>
      <c r="CB409" s="17">
        <f t="shared" si="336"/>
        <v>0</v>
      </c>
      <c r="CC409" s="17">
        <f t="shared" si="337"/>
        <v>0</v>
      </c>
      <c r="CD409" s="17">
        <f t="shared" si="338"/>
        <v>0</v>
      </c>
      <c r="CE409" s="17">
        <f t="shared" si="339"/>
        <v>0</v>
      </c>
      <c r="CF409" s="17">
        <f t="shared" si="340"/>
        <v>0</v>
      </c>
      <c r="CG409" s="17">
        <f t="shared" si="341"/>
        <v>0</v>
      </c>
      <c r="CH409" s="17">
        <f t="shared" si="342"/>
        <v>0</v>
      </c>
      <c r="CI409" s="17">
        <f t="shared" si="343"/>
        <v>0</v>
      </c>
      <c r="CJ409" s="17">
        <f t="shared" si="344"/>
        <v>0</v>
      </c>
      <c r="CK409" s="17">
        <f t="shared" si="345"/>
        <v>0</v>
      </c>
      <c r="CL409" s="17">
        <f t="shared" si="346"/>
        <v>0</v>
      </c>
      <c r="CM409" s="14">
        <f t="shared" si="347"/>
        <v>0</v>
      </c>
      <c r="CN409" s="17">
        <f t="shared" si="348"/>
        <v>0</v>
      </c>
      <c r="CO409" s="14">
        <f t="shared" si="349"/>
        <v>0</v>
      </c>
      <c r="CP409" s="17">
        <f t="shared" si="350"/>
        <v>0</v>
      </c>
      <c r="CQ409" s="14">
        <f t="shared" si="324"/>
        <v>0</v>
      </c>
      <c r="CR409" s="14">
        <v>68</v>
      </c>
      <c r="CS409" s="14">
        <v>0</v>
      </c>
      <c r="CT409" s="14">
        <v>0</v>
      </c>
      <c r="CU409" s="14">
        <v>0</v>
      </c>
    </row>
    <row r="410" spans="1:99" x14ac:dyDescent="0.3">
      <c r="A410" s="14">
        <v>2013</v>
      </c>
      <c r="B410" s="14" t="s">
        <v>75</v>
      </c>
      <c r="C410" s="14" t="s">
        <v>76</v>
      </c>
      <c r="D410" s="15">
        <v>420676</v>
      </c>
      <c r="E410" s="15">
        <v>11106031.000000004</v>
      </c>
      <c r="F410" s="15">
        <f t="shared" si="325"/>
        <v>26.400438817522282</v>
      </c>
      <c r="AB410" s="14">
        <f t="shared" si="326"/>
        <v>0</v>
      </c>
      <c r="AM410" s="14">
        <f t="shared" si="327"/>
        <v>0</v>
      </c>
      <c r="AQ410" s="14">
        <f t="shared" si="328"/>
        <v>0</v>
      </c>
      <c r="AT410" s="14">
        <f t="shared" si="329"/>
        <v>0</v>
      </c>
      <c r="AU410" s="16">
        <v>32</v>
      </c>
      <c r="AV410" s="16">
        <v>0</v>
      </c>
      <c r="AW410" s="16">
        <v>0</v>
      </c>
      <c r="AX410" s="16">
        <v>0</v>
      </c>
      <c r="AY410" s="18">
        <f t="shared" si="330"/>
        <v>2.881317367113417E-2</v>
      </c>
      <c r="AZ410" s="17">
        <f t="shared" si="331"/>
        <v>0</v>
      </c>
      <c r="BA410" s="17">
        <f t="shared" si="332"/>
        <v>0</v>
      </c>
      <c r="BB410" s="17">
        <f t="shared" si="333"/>
        <v>0</v>
      </c>
      <c r="BC410" s="17">
        <f t="shared" si="301"/>
        <v>0</v>
      </c>
      <c r="BD410" s="17">
        <f t="shared" si="302"/>
        <v>0</v>
      </c>
      <c r="BE410" s="17">
        <f t="shared" si="303"/>
        <v>0</v>
      </c>
      <c r="BF410" s="17">
        <f t="shared" si="304"/>
        <v>0</v>
      </c>
      <c r="BG410" s="17">
        <f t="shared" si="305"/>
        <v>0</v>
      </c>
      <c r="BH410" s="17">
        <f t="shared" si="306"/>
        <v>0</v>
      </c>
      <c r="BI410" s="17">
        <f t="shared" si="307"/>
        <v>0</v>
      </c>
      <c r="BJ410" s="17">
        <f t="shared" si="308"/>
        <v>0</v>
      </c>
      <c r="BK410" s="17">
        <f t="shared" si="309"/>
        <v>0</v>
      </c>
      <c r="BL410" s="17">
        <f t="shared" si="310"/>
        <v>0</v>
      </c>
      <c r="BM410" s="17">
        <f t="shared" si="311"/>
        <v>0</v>
      </c>
      <c r="BN410" s="17">
        <f t="shared" si="312"/>
        <v>0</v>
      </c>
      <c r="BO410" s="17">
        <f t="shared" si="313"/>
        <v>0</v>
      </c>
      <c r="BP410" s="17">
        <f t="shared" si="314"/>
        <v>0</v>
      </c>
      <c r="BQ410" s="17">
        <f t="shared" si="315"/>
        <v>0</v>
      </c>
      <c r="BR410" s="17">
        <f t="shared" si="316"/>
        <v>0</v>
      </c>
      <c r="BS410" s="17">
        <f t="shared" si="317"/>
        <v>0</v>
      </c>
      <c r="BT410" s="17">
        <f t="shared" si="318"/>
        <v>0</v>
      </c>
      <c r="BU410" s="17">
        <f t="shared" si="319"/>
        <v>0</v>
      </c>
      <c r="BV410" s="17">
        <f t="shared" si="320"/>
        <v>0</v>
      </c>
      <c r="BW410" s="17">
        <f t="shared" si="321"/>
        <v>0</v>
      </c>
      <c r="BX410" s="17">
        <f t="shared" si="322"/>
        <v>0</v>
      </c>
      <c r="BY410" s="17">
        <f t="shared" si="323"/>
        <v>0</v>
      </c>
      <c r="BZ410" s="17">
        <f t="shared" si="334"/>
        <v>0</v>
      </c>
      <c r="CA410" s="17">
        <f t="shared" si="335"/>
        <v>0</v>
      </c>
      <c r="CB410" s="17">
        <f t="shared" si="336"/>
        <v>0</v>
      </c>
      <c r="CC410" s="17">
        <f t="shared" si="337"/>
        <v>0</v>
      </c>
      <c r="CD410" s="17">
        <f t="shared" si="338"/>
        <v>0</v>
      </c>
      <c r="CE410" s="17">
        <f t="shared" si="339"/>
        <v>0</v>
      </c>
      <c r="CF410" s="17">
        <f t="shared" si="340"/>
        <v>0</v>
      </c>
      <c r="CG410" s="17">
        <f t="shared" si="341"/>
        <v>0</v>
      </c>
      <c r="CH410" s="17">
        <f t="shared" si="342"/>
        <v>0</v>
      </c>
      <c r="CI410" s="17">
        <f t="shared" si="343"/>
        <v>0</v>
      </c>
      <c r="CJ410" s="17">
        <f t="shared" si="344"/>
        <v>0</v>
      </c>
      <c r="CK410" s="17">
        <f t="shared" si="345"/>
        <v>0</v>
      </c>
      <c r="CL410" s="17">
        <f t="shared" si="346"/>
        <v>0</v>
      </c>
      <c r="CM410" s="14">
        <f t="shared" si="347"/>
        <v>0</v>
      </c>
      <c r="CN410" s="17">
        <f t="shared" si="348"/>
        <v>0</v>
      </c>
      <c r="CO410" s="14">
        <f t="shared" si="349"/>
        <v>32</v>
      </c>
      <c r="CP410" s="17">
        <f t="shared" si="350"/>
        <v>2.881317367113417E-2</v>
      </c>
      <c r="CQ410" s="14">
        <f t="shared" si="324"/>
        <v>32</v>
      </c>
      <c r="CR410" s="14">
        <v>0</v>
      </c>
      <c r="CS410" s="14">
        <v>0</v>
      </c>
      <c r="CT410" s="14">
        <v>0</v>
      </c>
      <c r="CU410" s="14">
        <v>0</v>
      </c>
    </row>
    <row r="411" spans="1:99" x14ac:dyDescent="0.3">
      <c r="A411" s="14">
        <v>2014</v>
      </c>
      <c r="B411" s="14" t="s">
        <v>75</v>
      </c>
      <c r="C411" s="14" t="s">
        <v>76</v>
      </c>
      <c r="D411" s="15">
        <v>423842.2</v>
      </c>
      <c r="E411" s="15">
        <v>11213284.499999998</v>
      </c>
      <c r="F411" s="15">
        <f t="shared" si="325"/>
        <v>26.456271933280824</v>
      </c>
      <c r="AB411" s="14">
        <f t="shared" si="326"/>
        <v>0</v>
      </c>
      <c r="AM411" s="14">
        <f t="shared" si="327"/>
        <v>0</v>
      </c>
      <c r="AQ411" s="14">
        <f t="shared" si="328"/>
        <v>0</v>
      </c>
      <c r="AT411" s="14">
        <f t="shared" si="329"/>
        <v>0</v>
      </c>
      <c r="AU411" s="16">
        <v>0</v>
      </c>
      <c r="AV411" s="16">
        <v>0</v>
      </c>
      <c r="AW411" s="16">
        <v>0</v>
      </c>
      <c r="AX411" s="16">
        <v>0</v>
      </c>
      <c r="AY411" s="18">
        <f t="shared" si="330"/>
        <v>0</v>
      </c>
      <c r="AZ411" s="17">
        <f t="shared" si="331"/>
        <v>0</v>
      </c>
      <c r="BA411" s="17">
        <f t="shared" si="332"/>
        <v>0</v>
      </c>
      <c r="BB411" s="17">
        <f t="shared" si="333"/>
        <v>0</v>
      </c>
      <c r="BC411" s="17">
        <f t="shared" si="301"/>
        <v>0</v>
      </c>
      <c r="BD411" s="17">
        <f t="shared" si="302"/>
        <v>0</v>
      </c>
      <c r="BE411" s="17">
        <f t="shared" si="303"/>
        <v>0</v>
      </c>
      <c r="BF411" s="17">
        <f t="shared" si="304"/>
        <v>0</v>
      </c>
      <c r="BG411" s="17">
        <f t="shared" si="305"/>
        <v>0</v>
      </c>
      <c r="BH411" s="17">
        <f t="shared" si="306"/>
        <v>0</v>
      </c>
      <c r="BI411" s="17">
        <f t="shared" si="307"/>
        <v>0</v>
      </c>
      <c r="BJ411" s="17">
        <f t="shared" si="308"/>
        <v>0</v>
      </c>
      <c r="BK411" s="17">
        <f t="shared" si="309"/>
        <v>0</v>
      </c>
      <c r="BL411" s="17">
        <f t="shared" si="310"/>
        <v>0</v>
      </c>
      <c r="BM411" s="17">
        <f t="shared" si="311"/>
        <v>0</v>
      </c>
      <c r="BN411" s="17">
        <f t="shared" si="312"/>
        <v>0</v>
      </c>
      <c r="BO411" s="17">
        <f t="shared" si="313"/>
        <v>0</v>
      </c>
      <c r="BP411" s="17">
        <f t="shared" si="314"/>
        <v>0</v>
      </c>
      <c r="BQ411" s="17">
        <f t="shared" si="315"/>
        <v>0</v>
      </c>
      <c r="BR411" s="17">
        <f t="shared" si="316"/>
        <v>0</v>
      </c>
      <c r="BS411" s="17">
        <f t="shared" si="317"/>
        <v>0</v>
      </c>
      <c r="BT411" s="17">
        <f t="shared" si="318"/>
        <v>0</v>
      </c>
      <c r="BU411" s="17">
        <f t="shared" si="319"/>
        <v>0</v>
      </c>
      <c r="BV411" s="17">
        <f t="shared" si="320"/>
        <v>0</v>
      </c>
      <c r="BW411" s="17">
        <f t="shared" si="321"/>
        <v>0</v>
      </c>
      <c r="BX411" s="17">
        <f t="shared" si="322"/>
        <v>0</v>
      </c>
      <c r="BY411" s="17">
        <f t="shared" si="323"/>
        <v>0</v>
      </c>
      <c r="BZ411" s="17">
        <f t="shared" si="334"/>
        <v>0</v>
      </c>
      <c r="CA411" s="17">
        <f t="shared" si="335"/>
        <v>0</v>
      </c>
      <c r="CB411" s="17">
        <f t="shared" si="336"/>
        <v>0</v>
      </c>
      <c r="CC411" s="17">
        <f t="shared" si="337"/>
        <v>0</v>
      </c>
      <c r="CD411" s="17">
        <f t="shared" si="338"/>
        <v>0</v>
      </c>
      <c r="CE411" s="17">
        <f t="shared" si="339"/>
        <v>0</v>
      </c>
      <c r="CF411" s="17">
        <f t="shared" si="340"/>
        <v>0</v>
      </c>
      <c r="CG411" s="17">
        <f t="shared" si="341"/>
        <v>0</v>
      </c>
      <c r="CH411" s="17">
        <f t="shared" si="342"/>
        <v>0</v>
      </c>
      <c r="CI411" s="17">
        <f t="shared" si="343"/>
        <v>0</v>
      </c>
      <c r="CJ411" s="17">
        <f t="shared" si="344"/>
        <v>0</v>
      </c>
      <c r="CK411" s="17">
        <f t="shared" si="345"/>
        <v>0</v>
      </c>
      <c r="CL411" s="17">
        <f t="shared" si="346"/>
        <v>0</v>
      </c>
      <c r="CM411" s="14">
        <f t="shared" si="347"/>
        <v>0</v>
      </c>
      <c r="CN411" s="17">
        <f t="shared" si="348"/>
        <v>0</v>
      </c>
      <c r="CO411" s="14">
        <f t="shared" si="349"/>
        <v>0</v>
      </c>
      <c r="CP411" s="17">
        <f t="shared" si="350"/>
        <v>0</v>
      </c>
      <c r="CQ411" s="14">
        <f t="shared" si="324"/>
        <v>0</v>
      </c>
      <c r="CR411" s="14">
        <v>0</v>
      </c>
      <c r="CS411" s="14">
        <v>0</v>
      </c>
      <c r="CT411" s="14">
        <v>0</v>
      </c>
      <c r="CU411" s="14">
        <v>0</v>
      </c>
    </row>
    <row r="412" spans="1:99" x14ac:dyDescent="0.3">
      <c r="A412" s="14">
        <v>2015</v>
      </c>
      <c r="B412" s="14" t="s">
        <v>75</v>
      </c>
      <c r="C412" s="14" t="s">
        <v>76</v>
      </c>
      <c r="D412" s="15">
        <v>409891.2</v>
      </c>
      <c r="E412" s="15">
        <v>11194299.499999998</v>
      </c>
      <c r="F412" s="15">
        <f t="shared" si="325"/>
        <v>27.310416764253532</v>
      </c>
      <c r="AB412" s="14">
        <f t="shared" si="326"/>
        <v>0</v>
      </c>
      <c r="AM412" s="14">
        <f t="shared" si="327"/>
        <v>0</v>
      </c>
      <c r="AQ412" s="14">
        <f t="shared" si="328"/>
        <v>0</v>
      </c>
      <c r="AT412" s="14">
        <f t="shared" si="329"/>
        <v>0</v>
      </c>
      <c r="AU412" s="16">
        <v>0</v>
      </c>
      <c r="AV412" s="16">
        <v>0</v>
      </c>
      <c r="AW412" s="16">
        <v>0</v>
      </c>
      <c r="AX412" s="16">
        <v>0</v>
      </c>
      <c r="AY412" s="18">
        <f t="shared" si="330"/>
        <v>0</v>
      </c>
      <c r="AZ412" s="17">
        <f t="shared" si="331"/>
        <v>0</v>
      </c>
      <c r="BA412" s="17">
        <f t="shared" si="332"/>
        <v>0</v>
      </c>
      <c r="BB412" s="17">
        <f t="shared" si="333"/>
        <v>0</v>
      </c>
      <c r="BC412" s="17">
        <f t="shared" si="301"/>
        <v>0</v>
      </c>
      <c r="BD412" s="17">
        <f t="shared" si="302"/>
        <v>0</v>
      </c>
      <c r="BE412" s="17">
        <f t="shared" si="303"/>
        <v>0</v>
      </c>
      <c r="BF412" s="17">
        <f t="shared" si="304"/>
        <v>0</v>
      </c>
      <c r="BG412" s="17">
        <f t="shared" si="305"/>
        <v>0</v>
      </c>
      <c r="BH412" s="17">
        <f t="shared" si="306"/>
        <v>0</v>
      </c>
      <c r="BI412" s="17">
        <f t="shared" si="307"/>
        <v>0</v>
      </c>
      <c r="BJ412" s="17">
        <f t="shared" si="308"/>
        <v>0</v>
      </c>
      <c r="BK412" s="17">
        <f t="shared" si="309"/>
        <v>0</v>
      </c>
      <c r="BL412" s="17">
        <f t="shared" si="310"/>
        <v>0</v>
      </c>
      <c r="BM412" s="17">
        <f t="shared" si="311"/>
        <v>0</v>
      </c>
      <c r="BN412" s="17">
        <f t="shared" si="312"/>
        <v>0</v>
      </c>
      <c r="BO412" s="17">
        <f t="shared" si="313"/>
        <v>0</v>
      </c>
      <c r="BP412" s="17">
        <f t="shared" si="314"/>
        <v>0</v>
      </c>
      <c r="BQ412" s="17">
        <f t="shared" si="315"/>
        <v>0</v>
      </c>
      <c r="BR412" s="17">
        <f t="shared" si="316"/>
        <v>0</v>
      </c>
      <c r="BS412" s="17">
        <f t="shared" si="317"/>
        <v>0</v>
      </c>
      <c r="BT412" s="17">
        <f t="shared" si="318"/>
        <v>0</v>
      </c>
      <c r="BU412" s="17">
        <f t="shared" si="319"/>
        <v>0</v>
      </c>
      <c r="BV412" s="17">
        <f t="shared" si="320"/>
        <v>0</v>
      </c>
      <c r="BW412" s="17">
        <f t="shared" si="321"/>
        <v>0</v>
      </c>
      <c r="BX412" s="17">
        <f t="shared" si="322"/>
        <v>0</v>
      </c>
      <c r="BY412" s="17">
        <f t="shared" si="323"/>
        <v>0</v>
      </c>
      <c r="BZ412" s="17">
        <f t="shared" si="334"/>
        <v>0</v>
      </c>
      <c r="CA412" s="17">
        <f t="shared" si="335"/>
        <v>0</v>
      </c>
      <c r="CB412" s="17">
        <f t="shared" si="336"/>
        <v>0</v>
      </c>
      <c r="CC412" s="17">
        <f t="shared" si="337"/>
        <v>0</v>
      </c>
      <c r="CD412" s="17">
        <f t="shared" si="338"/>
        <v>0</v>
      </c>
      <c r="CE412" s="17">
        <f t="shared" si="339"/>
        <v>0</v>
      </c>
      <c r="CF412" s="17">
        <f t="shared" si="340"/>
        <v>0</v>
      </c>
      <c r="CG412" s="17">
        <f t="shared" si="341"/>
        <v>0</v>
      </c>
      <c r="CH412" s="17">
        <f t="shared" si="342"/>
        <v>0</v>
      </c>
      <c r="CI412" s="17">
        <f t="shared" si="343"/>
        <v>0</v>
      </c>
      <c r="CJ412" s="17">
        <f t="shared" si="344"/>
        <v>0</v>
      </c>
      <c r="CK412" s="17">
        <f t="shared" si="345"/>
        <v>0</v>
      </c>
      <c r="CL412" s="17">
        <f t="shared" si="346"/>
        <v>0</v>
      </c>
      <c r="CM412" s="14">
        <f t="shared" si="347"/>
        <v>0</v>
      </c>
      <c r="CN412" s="17">
        <f t="shared" si="348"/>
        <v>0</v>
      </c>
      <c r="CO412" s="14">
        <f t="shared" si="349"/>
        <v>0</v>
      </c>
      <c r="CP412" s="17">
        <f t="shared" si="350"/>
        <v>0</v>
      </c>
      <c r="CQ412" s="14">
        <f t="shared" si="324"/>
        <v>0</v>
      </c>
      <c r="CR412" s="14">
        <v>0</v>
      </c>
      <c r="CS412" s="14">
        <v>0</v>
      </c>
      <c r="CT412" s="14">
        <v>0</v>
      </c>
      <c r="CU412" s="14">
        <v>0</v>
      </c>
    </row>
    <row r="413" spans="1:99" x14ac:dyDescent="0.3">
      <c r="A413" s="14">
        <v>2016</v>
      </c>
      <c r="B413" s="14" t="s">
        <v>75</v>
      </c>
      <c r="C413" s="14" t="s">
        <v>76</v>
      </c>
      <c r="D413" s="15">
        <v>389229.6</v>
      </c>
      <c r="E413" s="15">
        <v>11066105</v>
      </c>
      <c r="F413" s="15">
        <f t="shared" si="325"/>
        <v>28.430789950199063</v>
      </c>
      <c r="AB413" s="14">
        <f t="shared" si="326"/>
        <v>0</v>
      </c>
      <c r="AM413" s="14">
        <f t="shared" si="327"/>
        <v>0</v>
      </c>
      <c r="AQ413" s="14">
        <f t="shared" si="328"/>
        <v>0</v>
      </c>
      <c r="AT413" s="14">
        <f t="shared" si="329"/>
        <v>0</v>
      </c>
      <c r="AU413" s="16">
        <v>0</v>
      </c>
      <c r="AV413" s="16">
        <v>0</v>
      </c>
      <c r="AW413" s="16">
        <v>0</v>
      </c>
      <c r="AX413" s="16">
        <v>0</v>
      </c>
      <c r="AY413" s="18">
        <f t="shared" si="330"/>
        <v>0</v>
      </c>
      <c r="AZ413" s="17">
        <f t="shared" si="331"/>
        <v>0</v>
      </c>
      <c r="BA413" s="17">
        <f t="shared" si="332"/>
        <v>0</v>
      </c>
      <c r="BB413" s="17">
        <f t="shared" si="333"/>
        <v>0</v>
      </c>
      <c r="BC413" s="17">
        <f t="shared" si="301"/>
        <v>0</v>
      </c>
      <c r="BD413" s="17">
        <f t="shared" si="302"/>
        <v>0</v>
      </c>
      <c r="BE413" s="17">
        <f t="shared" si="303"/>
        <v>0</v>
      </c>
      <c r="BF413" s="17">
        <f t="shared" si="304"/>
        <v>0</v>
      </c>
      <c r="BG413" s="17">
        <f t="shared" si="305"/>
        <v>0</v>
      </c>
      <c r="BH413" s="17">
        <f t="shared" si="306"/>
        <v>0</v>
      </c>
      <c r="BI413" s="17">
        <f t="shared" si="307"/>
        <v>0</v>
      </c>
      <c r="BJ413" s="17">
        <f t="shared" si="308"/>
        <v>0</v>
      </c>
      <c r="BK413" s="17">
        <f t="shared" si="309"/>
        <v>0</v>
      </c>
      <c r="BL413" s="17">
        <f t="shared" si="310"/>
        <v>0</v>
      </c>
      <c r="BM413" s="17">
        <f t="shared" si="311"/>
        <v>0</v>
      </c>
      <c r="BN413" s="17">
        <f t="shared" si="312"/>
        <v>0</v>
      </c>
      <c r="BO413" s="17">
        <f t="shared" si="313"/>
        <v>0</v>
      </c>
      <c r="BP413" s="17">
        <f t="shared" si="314"/>
        <v>0</v>
      </c>
      <c r="BQ413" s="17">
        <f t="shared" si="315"/>
        <v>0</v>
      </c>
      <c r="BR413" s="17">
        <f t="shared" si="316"/>
        <v>0</v>
      </c>
      <c r="BS413" s="17">
        <f t="shared" si="317"/>
        <v>0</v>
      </c>
      <c r="BT413" s="17">
        <f t="shared" si="318"/>
        <v>0</v>
      </c>
      <c r="BU413" s="17">
        <f t="shared" si="319"/>
        <v>0</v>
      </c>
      <c r="BV413" s="17">
        <f t="shared" si="320"/>
        <v>0</v>
      </c>
      <c r="BW413" s="17">
        <f t="shared" si="321"/>
        <v>0</v>
      </c>
      <c r="BX413" s="17">
        <f t="shared" si="322"/>
        <v>0</v>
      </c>
      <c r="BY413" s="17">
        <f t="shared" si="323"/>
        <v>0</v>
      </c>
      <c r="BZ413" s="17">
        <f t="shared" si="334"/>
        <v>0</v>
      </c>
      <c r="CA413" s="17">
        <f t="shared" si="335"/>
        <v>0</v>
      </c>
      <c r="CB413" s="17">
        <f t="shared" si="336"/>
        <v>0</v>
      </c>
      <c r="CC413" s="17">
        <f t="shared" si="337"/>
        <v>0</v>
      </c>
      <c r="CD413" s="17">
        <f t="shared" si="338"/>
        <v>0</v>
      </c>
      <c r="CE413" s="17">
        <f t="shared" si="339"/>
        <v>0</v>
      </c>
      <c r="CF413" s="17">
        <f t="shared" si="340"/>
        <v>0</v>
      </c>
      <c r="CG413" s="17">
        <f t="shared" si="341"/>
        <v>0</v>
      </c>
      <c r="CH413" s="17">
        <f t="shared" si="342"/>
        <v>0</v>
      </c>
      <c r="CI413" s="17">
        <f t="shared" si="343"/>
        <v>0</v>
      </c>
      <c r="CJ413" s="17">
        <f t="shared" si="344"/>
        <v>0</v>
      </c>
      <c r="CK413" s="17">
        <f t="shared" si="345"/>
        <v>0</v>
      </c>
      <c r="CL413" s="17">
        <f t="shared" si="346"/>
        <v>0</v>
      </c>
      <c r="CM413" s="14">
        <f t="shared" si="347"/>
        <v>0</v>
      </c>
      <c r="CN413" s="17">
        <f t="shared" si="348"/>
        <v>0</v>
      </c>
      <c r="CO413" s="14">
        <f t="shared" si="349"/>
        <v>0</v>
      </c>
      <c r="CP413" s="17">
        <f t="shared" si="350"/>
        <v>0</v>
      </c>
      <c r="CQ413" s="14">
        <f t="shared" si="324"/>
        <v>0</v>
      </c>
      <c r="CR413" s="14">
        <v>0</v>
      </c>
      <c r="CS413" s="14">
        <v>0</v>
      </c>
      <c r="CT413" s="14">
        <v>0</v>
      </c>
      <c r="CU413" s="14">
        <v>0</v>
      </c>
    </row>
    <row r="414" spans="1:99" x14ac:dyDescent="0.3">
      <c r="A414" s="14">
        <v>2017</v>
      </c>
      <c r="B414" s="14" t="s">
        <v>75</v>
      </c>
      <c r="C414" s="14" t="s">
        <v>76</v>
      </c>
      <c r="D414" s="15">
        <v>360673.9</v>
      </c>
      <c r="E414" s="15">
        <v>10658225.499999994</v>
      </c>
      <c r="F414" s="15">
        <f t="shared" si="325"/>
        <v>29.550864368062101</v>
      </c>
      <c r="AB414" s="14">
        <f t="shared" si="326"/>
        <v>0</v>
      </c>
      <c r="AM414" s="14">
        <f t="shared" si="327"/>
        <v>0</v>
      </c>
      <c r="AQ414" s="14">
        <f t="shared" si="328"/>
        <v>0</v>
      </c>
      <c r="AT414" s="14">
        <f t="shared" si="329"/>
        <v>0</v>
      </c>
      <c r="AU414" s="16">
        <v>1</v>
      </c>
      <c r="AV414" s="16">
        <v>0</v>
      </c>
      <c r="AW414" s="16">
        <v>0</v>
      </c>
      <c r="AX414" s="16">
        <v>0</v>
      </c>
      <c r="AY414" s="18">
        <f t="shared" si="330"/>
        <v>9.382424869881018E-4</v>
      </c>
      <c r="AZ414" s="17">
        <f t="shared" si="331"/>
        <v>0</v>
      </c>
      <c r="BA414" s="17">
        <f t="shared" si="332"/>
        <v>0</v>
      </c>
      <c r="BB414" s="17">
        <f t="shared" si="333"/>
        <v>0</v>
      </c>
      <c r="BC414" s="17">
        <f t="shared" si="301"/>
        <v>0</v>
      </c>
      <c r="BD414" s="17">
        <f t="shared" si="302"/>
        <v>0</v>
      </c>
      <c r="BE414" s="17">
        <f t="shared" si="303"/>
        <v>0</v>
      </c>
      <c r="BF414" s="17">
        <f t="shared" si="304"/>
        <v>0</v>
      </c>
      <c r="BG414" s="17">
        <f t="shared" si="305"/>
        <v>0</v>
      </c>
      <c r="BH414" s="17">
        <f t="shared" si="306"/>
        <v>0</v>
      </c>
      <c r="BI414" s="17">
        <f t="shared" si="307"/>
        <v>0</v>
      </c>
      <c r="BJ414" s="17">
        <f t="shared" si="308"/>
        <v>0</v>
      </c>
      <c r="BK414" s="17">
        <f t="shared" si="309"/>
        <v>0</v>
      </c>
      <c r="BL414" s="17">
        <f t="shared" si="310"/>
        <v>0</v>
      </c>
      <c r="BM414" s="17">
        <f t="shared" si="311"/>
        <v>0</v>
      </c>
      <c r="BN414" s="17">
        <f t="shared" si="312"/>
        <v>0</v>
      </c>
      <c r="BO414" s="17">
        <f t="shared" si="313"/>
        <v>0</v>
      </c>
      <c r="BP414" s="17">
        <f t="shared" si="314"/>
        <v>0</v>
      </c>
      <c r="BQ414" s="17">
        <f t="shared" si="315"/>
        <v>0</v>
      </c>
      <c r="BR414" s="17">
        <f t="shared" si="316"/>
        <v>0</v>
      </c>
      <c r="BS414" s="17">
        <f t="shared" si="317"/>
        <v>0</v>
      </c>
      <c r="BT414" s="17">
        <f t="shared" si="318"/>
        <v>0</v>
      </c>
      <c r="BU414" s="17">
        <f t="shared" si="319"/>
        <v>0</v>
      </c>
      <c r="BV414" s="17">
        <f t="shared" si="320"/>
        <v>0</v>
      </c>
      <c r="BW414" s="17">
        <f t="shared" si="321"/>
        <v>0</v>
      </c>
      <c r="BX414" s="17">
        <f t="shared" si="322"/>
        <v>0</v>
      </c>
      <c r="BY414" s="17">
        <f t="shared" si="323"/>
        <v>0</v>
      </c>
      <c r="BZ414" s="17">
        <f t="shared" si="334"/>
        <v>0</v>
      </c>
      <c r="CA414" s="17">
        <f t="shared" si="335"/>
        <v>0</v>
      </c>
      <c r="CB414" s="17">
        <f t="shared" si="336"/>
        <v>0</v>
      </c>
      <c r="CC414" s="17">
        <f t="shared" si="337"/>
        <v>0</v>
      </c>
      <c r="CD414" s="17">
        <f t="shared" si="338"/>
        <v>0</v>
      </c>
      <c r="CE414" s="17">
        <f t="shared" si="339"/>
        <v>0</v>
      </c>
      <c r="CF414" s="17">
        <f t="shared" si="340"/>
        <v>0</v>
      </c>
      <c r="CG414" s="17">
        <f t="shared" si="341"/>
        <v>0</v>
      </c>
      <c r="CH414" s="17">
        <f t="shared" si="342"/>
        <v>0</v>
      </c>
      <c r="CI414" s="17">
        <f t="shared" si="343"/>
        <v>0</v>
      </c>
      <c r="CJ414" s="17">
        <f t="shared" si="344"/>
        <v>0</v>
      </c>
      <c r="CK414" s="17">
        <f t="shared" si="345"/>
        <v>0</v>
      </c>
      <c r="CL414" s="17">
        <f t="shared" si="346"/>
        <v>0</v>
      </c>
      <c r="CM414" s="14">
        <f t="shared" si="347"/>
        <v>0</v>
      </c>
      <c r="CN414" s="17">
        <f t="shared" si="348"/>
        <v>0</v>
      </c>
      <c r="CO414" s="14">
        <f t="shared" si="349"/>
        <v>1</v>
      </c>
      <c r="CP414" s="17">
        <f t="shared" si="350"/>
        <v>9.382424869881018E-4</v>
      </c>
      <c r="CQ414" s="14">
        <f t="shared" si="324"/>
        <v>1</v>
      </c>
      <c r="CR414" s="14">
        <v>10504</v>
      </c>
      <c r="CS414" s="14">
        <v>32485</v>
      </c>
      <c r="CT414" s="14">
        <v>0</v>
      </c>
      <c r="CU414" s="14">
        <v>3435</v>
      </c>
    </row>
    <row r="415" spans="1:99" x14ac:dyDescent="0.3">
      <c r="A415" s="14">
        <v>2018</v>
      </c>
      <c r="B415" s="14" t="s">
        <v>75</v>
      </c>
      <c r="C415" s="14" t="s">
        <v>76</v>
      </c>
      <c r="D415" s="15">
        <v>323958.40000000002</v>
      </c>
      <c r="E415" s="15">
        <v>10395329.5</v>
      </c>
      <c r="F415" s="15">
        <f t="shared" si="325"/>
        <v>32.088470309768162</v>
      </c>
      <c r="G415" s="14">
        <v>32</v>
      </c>
      <c r="H415" s="14">
        <v>360</v>
      </c>
      <c r="M415" s="14">
        <v>1455</v>
      </c>
      <c r="N415" s="14">
        <v>22</v>
      </c>
      <c r="O415" s="14">
        <v>2</v>
      </c>
      <c r="Z415" s="14">
        <v>272</v>
      </c>
      <c r="AB415" s="14">
        <f t="shared" si="326"/>
        <v>2</v>
      </c>
      <c r="AM415" s="14">
        <f t="shared" si="327"/>
        <v>0</v>
      </c>
      <c r="AQ415" s="14">
        <f t="shared" si="328"/>
        <v>0</v>
      </c>
      <c r="AT415" s="14">
        <f t="shared" si="329"/>
        <v>0</v>
      </c>
      <c r="AU415" s="16">
        <v>822</v>
      </c>
      <c r="AV415" s="16">
        <v>7452</v>
      </c>
      <c r="AW415" s="16">
        <v>0</v>
      </c>
      <c r="AX415" s="16">
        <v>0</v>
      </c>
      <c r="AY415" s="18">
        <f t="shared" si="330"/>
        <v>0.79073972595096675</v>
      </c>
      <c r="AZ415" s="17">
        <f t="shared" si="331"/>
        <v>7.1686039389131437</v>
      </c>
      <c r="BA415" s="17">
        <f t="shared" si="332"/>
        <v>0</v>
      </c>
      <c r="BB415" s="17">
        <f t="shared" si="333"/>
        <v>0</v>
      </c>
      <c r="BC415" s="17">
        <f t="shared" si="301"/>
        <v>3.0783055024855153E-2</v>
      </c>
      <c r="BD415" s="17">
        <f t="shared" si="302"/>
        <v>0.34630936902962045</v>
      </c>
      <c r="BE415" s="17">
        <f t="shared" si="303"/>
        <v>0</v>
      </c>
      <c r="BF415" s="17">
        <f t="shared" si="304"/>
        <v>0</v>
      </c>
      <c r="BG415" s="17">
        <f t="shared" si="305"/>
        <v>0</v>
      </c>
      <c r="BH415" s="17">
        <f t="shared" si="306"/>
        <v>0</v>
      </c>
      <c r="BI415" s="17">
        <f t="shared" si="307"/>
        <v>1.3996670331613827</v>
      </c>
      <c r="BJ415" s="17">
        <f t="shared" si="308"/>
        <v>2.1163350329587917E-2</v>
      </c>
      <c r="BK415" s="17">
        <f t="shared" si="309"/>
        <v>1.923940939053447E-3</v>
      </c>
      <c r="BL415" s="17">
        <f t="shared" si="310"/>
        <v>0</v>
      </c>
      <c r="BM415" s="17">
        <f t="shared" si="311"/>
        <v>0</v>
      </c>
      <c r="BN415" s="17">
        <f t="shared" si="312"/>
        <v>0</v>
      </c>
      <c r="BO415" s="17">
        <f t="shared" si="313"/>
        <v>0</v>
      </c>
      <c r="BP415" s="17">
        <f t="shared" si="314"/>
        <v>0</v>
      </c>
      <c r="BQ415" s="17">
        <f t="shared" si="315"/>
        <v>0</v>
      </c>
      <c r="BR415" s="17">
        <f t="shared" si="316"/>
        <v>0</v>
      </c>
      <c r="BS415" s="17">
        <f t="shared" si="317"/>
        <v>0</v>
      </c>
      <c r="BT415" s="17">
        <f t="shared" si="318"/>
        <v>0</v>
      </c>
      <c r="BU415" s="17">
        <f t="shared" si="319"/>
        <v>0</v>
      </c>
      <c r="BV415" s="17">
        <f t="shared" si="320"/>
        <v>0.26165596771126881</v>
      </c>
      <c r="BW415" s="17">
        <f t="shared" si="321"/>
        <v>0</v>
      </c>
      <c r="BX415" s="17">
        <f t="shared" si="322"/>
        <v>0</v>
      </c>
      <c r="BY415" s="17">
        <f t="shared" si="323"/>
        <v>0</v>
      </c>
      <c r="BZ415" s="17">
        <f t="shared" si="334"/>
        <v>0</v>
      </c>
      <c r="CA415" s="17">
        <f t="shared" si="335"/>
        <v>0</v>
      </c>
      <c r="CB415" s="17">
        <f t="shared" si="336"/>
        <v>0</v>
      </c>
      <c r="CC415" s="17">
        <f t="shared" si="337"/>
        <v>0</v>
      </c>
      <c r="CD415" s="17">
        <f t="shared" si="338"/>
        <v>0</v>
      </c>
      <c r="CE415" s="17">
        <f t="shared" si="339"/>
        <v>0</v>
      </c>
      <c r="CF415" s="17">
        <f t="shared" si="340"/>
        <v>0</v>
      </c>
      <c r="CG415" s="17">
        <f t="shared" si="341"/>
        <v>0</v>
      </c>
      <c r="CH415" s="17">
        <f t="shared" si="342"/>
        <v>0</v>
      </c>
      <c r="CI415" s="17">
        <f t="shared" si="343"/>
        <v>0</v>
      </c>
      <c r="CJ415" s="17">
        <f t="shared" si="344"/>
        <v>0</v>
      </c>
      <c r="CK415" s="17">
        <f t="shared" si="345"/>
        <v>0</v>
      </c>
      <c r="CL415" s="17">
        <f t="shared" si="346"/>
        <v>0</v>
      </c>
      <c r="CM415" s="14">
        <f t="shared" si="347"/>
        <v>7452</v>
      </c>
      <c r="CN415" s="17">
        <f t="shared" si="348"/>
        <v>7.1686039389131437</v>
      </c>
      <c r="CO415" s="14">
        <f t="shared" si="349"/>
        <v>8274</v>
      </c>
      <c r="CP415" s="17">
        <f t="shared" si="350"/>
        <v>7.95934366486411</v>
      </c>
      <c r="CQ415" s="14">
        <f t="shared" si="324"/>
        <v>10419</v>
      </c>
      <c r="CR415" s="14">
        <v>0</v>
      </c>
      <c r="CS415" s="14">
        <v>0</v>
      </c>
      <c r="CT415" s="14">
        <v>0</v>
      </c>
      <c r="CU415" s="14">
        <v>0</v>
      </c>
    </row>
    <row r="416" spans="1:99" x14ac:dyDescent="0.3">
      <c r="A416" s="14">
        <v>2019</v>
      </c>
      <c r="B416" s="14" t="s">
        <v>75</v>
      </c>
      <c r="C416" s="14" t="s">
        <v>76</v>
      </c>
      <c r="D416" s="15">
        <v>303184.59999999998</v>
      </c>
      <c r="E416" s="15">
        <v>10447665.999999998</v>
      </c>
      <c r="F416" s="15">
        <f t="shared" si="325"/>
        <v>34.459751583688615</v>
      </c>
      <c r="G416" s="14">
        <v>20</v>
      </c>
      <c r="H416" s="14">
        <v>98</v>
      </c>
      <c r="K416" s="14">
        <v>0</v>
      </c>
      <c r="L416" s="14">
        <v>9</v>
      </c>
      <c r="M416" s="14">
        <v>850</v>
      </c>
      <c r="N416" s="14">
        <v>96</v>
      </c>
      <c r="T416" s="14">
        <v>8</v>
      </c>
      <c r="V416" s="14">
        <v>13</v>
      </c>
      <c r="Z416" s="14">
        <v>485</v>
      </c>
      <c r="AB416" s="14">
        <f t="shared" si="326"/>
        <v>0</v>
      </c>
      <c r="AC416" s="14">
        <v>850</v>
      </c>
      <c r="AE416" s="14">
        <v>168</v>
      </c>
      <c r="AF416" s="14">
        <v>13</v>
      </c>
      <c r="AI416" s="14">
        <v>580</v>
      </c>
      <c r="AJ416" s="14">
        <v>253</v>
      </c>
      <c r="AK416" s="14">
        <v>11</v>
      </c>
      <c r="AM416" s="14">
        <f t="shared" si="327"/>
        <v>11</v>
      </c>
      <c r="AQ416" s="14">
        <f t="shared" si="328"/>
        <v>0</v>
      </c>
      <c r="AR416" s="14">
        <v>0</v>
      </c>
      <c r="AS416" s="14">
        <v>0</v>
      </c>
      <c r="AT416" s="14">
        <f t="shared" si="329"/>
        <v>0</v>
      </c>
      <c r="AU416" s="16">
        <v>747</v>
      </c>
      <c r="AV416" s="16">
        <v>7428</v>
      </c>
      <c r="AW416" s="16">
        <v>4760</v>
      </c>
      <c r="AX416" s="16">
        <v>5870</v>
      </c>
      <c r="AY416" s="18">
        <f t="shared" si="330"/>
        <v>0.71499222888633707</v>
      </c>
      <c r="AZ416" s="17">
        <f t="shared" si="331"/>
        <v>7.1097219225806043</v>
      </c>
      <c r="BA416" s="17">
        <f t="shared" si="332"/>
        <v>4.5560415120468063</v>
      </c>
      <c r="BB416" s="17">
        <f t="shared" si="333"/>
        <v>5.6184797638056203</v>
      </c>
      <c r="BC416" s="17">
        <f t="shared" si="301"/>
        <v>1.9143031563221877E-2</v>
      </c>
      <c r="BD416" s="17">
        <f t="shared" si="302"/>
        <v>9.3800854659787186E-2</v>
      </c>
      <c r="BE416" s="17">
        <f t="shared" si="303"/>
        <v>0</v>
      </c>
      <c r="BF416" s="17">
        <f t="shared" si="304"/>
        <v>0</v>
      </c>
      <c r="BG416" s="17">
        <f t="shared" si="305"/>
        <v>0</v>
      </c>
      <c r="BH416" s="17">
        <f t="shared" si="306"/>
        <v>8.6143642034498431E-3</v>
      </c>
      <c r="BI416" s="17">
        <f t="shared" si="307"/>
        <v>0.81357884143692971</v>
      </c>
      <c r="BJ416" s="17">
        <f t="shared" si="308"/>
        <v>9.1886551503465003E-2</v>
      </c>
      <c r="BK416" s="17">
        <f t="shared" si="309"/>
        <v>0</v>
      </c>
      <c r="BL416" s="17">
        <f t="shared" si="310"/>
        <v>0</v>
      </c>
      <c r="BM416" s="17">
        <f t="shared" si="311"/>
        <v>0</v>
      </c>
      <c r="BN416" s="17">
        <f t="shared" si="312"/>
        <v>0</v>
      </c>
      <c r="BO416" s="17">
        <f t="shared" si="313"/>
        <v>0</v>
      </c>
      <c r="BP416" s="17">
        <f t="shared" si="314"/>
        <v>7.6572126252887496E-3</v>
      </c>
      <c r="BQ416" s="17">
        <f t="shared" si="315"/>
        <v>0</v>
      </c>
      <c r="BR416" s="17">
        <f t="shared" si="316"/>
        <v>1.2442970516094219E-2</v>
      </c>
      <c r="BS416" s="17">
        <f t="shared" si="317"/>
        <v>0</v>
      </c>
      <c r="BT416" s="17">
        <f t="shared" si="318"/>
        <v>0</v>
      </c>
      <c r="BU416" s="17">
        <f t="shared" si="319"/>
        <v>0</v>
      </c>
      <c r="BV416" s="17">
        <f t="shared" si="320"/>
        <v>0.46421851540813047</v>
      </c>
      <c r="BW416" s="17">
        <f t="shared" si="321"/>
        <v>0</v>
      </c>
      <c r="BX416" s="17">
        <f t="shared" si="322"/>
        <v>0.81357884143692971</v>
      </c>
      <c r="BY416" s="17">
        <f t="shared" si="323"/>
        <v>0</v>
      </c>
      <c r="BZ416" s="17">
        <f t="shared" si="334"/>
        <v>0.16080146513106375</v>
      </c>
      <c r="CA416" s="17">
        <f t="shared" si="335"/>
        <v>1.2442970516094219E-2</v>
      </c>
      <c r="CB416" s="17">
        <f t="shared" si="336"/>
        <v>0</v>
      </c>
      <c r="CC416" s="17">
        <f t="shared" si="337"/>
        <v>0</v>
      </c>
      <c r="CD416" s="17">
        <f t="shared" si="338"/>
        <v>0.55514791533343433</v>
      </c>
      <c r="CE416" s="17">
        <f t="shared" si="339"/>
        <v>0.24215934927475671</v>
      </c>
      <c r="CF416" s="17">
        <f t="shared" si="340"/>
        <v>1.0528667359772032E-2</v>
      </c>
      <c r="CG416" s="17">
        <f t="shared" si="341"/>
        <v>0</v>
      </c>
      <c r="CH416" s="17">
        <f t="shared" si="342"/>
        <v>0</v>
      </c>
      <c r="CI416" s="17">
        <f t="shared" si="343"/>
        <v>0</v>
      </c>
      <c r="CJ416" s="17">
        <f t="shared" si="344"/>
        <v>0</v>
      </c>
      <c r="CK416" s="17">
        <f t="shared" si="345"/>
        <v>0</v>
      </c>
      <c r="CL416" s="17">
        <f t="shared" si="346"/>
        <v>0</v>
      </c>
      <c r="CM416" s="14">
        <f t="shared" si="347"/>
        <v>12188</v>
      </c>
      <c r="CN416" s="17">
        <f t="shared" si="348"/>
        <v>11.665763434627411</v>
      </c>
      <c r="CO416" s="14">
        <f t="shared" si="349"/>
        <v>12935</v>
      </c>
      <c r="CP416" s="17">
        <f t="shared" si="350"/>
        <v>12.380755663513748</v>
      </c>
      <c r="CQ416" s="14">
        <f t="shared" si="324"/>
        <v>22270</v>
      </c>
      <c r="CR416" s="14">
        <v>0</v>
      </c>
      <c r="CS416" s="14">
        <v>0</v>
      </c>
      <c r="CT416" s="14">
        <v>0</v>
      </c>
      <c r="CU416" s="14">
        <v>0</v>
      </c>
    </row>
    <row r="417" spans="1:99" x14ac:dyDescent="0.3">
      <c r="A417" s="14">
        <v>2020</v>
      </c>
      <c r="B417" s="14" t="s">
        <v>75</v>
      </c>
      <c r="C417" s="14" t="s">
        <v>76</v>
      </c>
      <c r="D417" s="15">
        <v>301708.79999999999</v>
      </c>
      <c r="E417" s="15">
        <v>10606227.000000002</v>
      </c>
      <c r="F417" s="15">
        <f t="shared" si="325"/>
        <v>35.153853649611818</v>
      </c>
      <c r="G417" s="14">
        <v>28</v>
      </c>
      <c r="H417" s="14">
        <v>139</v>
      </c>
      <c r="L417" s="14">
        <v>7</v>
      </c>
      <c r="M417" s="14">
        <v>2826</v>
      </c>
      <c r="N417" s="14">
        <v>128</v>
      </c>
      <c r="Q417" s="14">
        <v>10</v>
      </c>
      <c r="T417" s="14">
        <v>10</v>
      </c>
      <c r="V417" s="14">
        <v>16</v>
      </c>
      <c r="Z417" s="14">
        <v>635</v>
      </c>
      <c r="AB417" s="14">
        <f t="shared" si="326"/>
        <v>0</v>
      </c>
      <c r="AC417" s="14">
        <v>1006</v>
      </c>
      <c r="AE417" s="14">
        <v>197</v>
      </c>
      <c r="AF417" s="14">
        <v>24</v>
      </c>
      <c r="AI417" s="14">
        <v>623</v>
      </c>
      <c r="AJ417" s="14">
        <v>291</v>
      </c>
      <c r="AL417" s="14">
        <v>17</v>
      </c>
      <c r="AM417" s="14">
        <f t="shared" si="327"/>
        <v>17</v>
      </c>
      <c r="AQ417" s="14">
        <f t="shared" si="328"/>
        <v>0</v>
      </c>
      <c r="AT417" s="14">
        <f t="shared" si="329"/>
        <v>0</v>
      </c>
      <c r="AU417" s="16">
        <v>995</v>
      </c>
      <c r="AV417" s="16">
        <v>9060</v>
      </c>
      <c r="AW417" s="16">
        <v>6040</v>
      </c>
      <c r="AX417" s="16">
        <v>0</v>
      </c>
      <c r="AY417" s="18">
        <f t="shared" si="330"/>
        <v>0.93812813925253513</v>
      </c>
      <c r="AZ417" s="17">
        <f t="shared" si="331"/>
        <v>8.5421517001286116</v>
      </c>
      <c r="BA417" s="17">
        <f t="shared" si="332"/>
        <v>5.6947678000857413</v>
      </c>
      <c r="BB417" s="17">
        <f t="shared" si="333"/>
        <v>0</v>
      </c>
      <c r="BC417" s="17">
        <f t="shared" si="301"/>
        <v>2.6399585828212044E-2</v>
      </c>
      <c r="BD417" s="17">
        <f t="shared" si="302"/>
        <v>0.13105508679005265</v>
      </c>
      <c r="BE417" s="17">
        <f t="shared" si="303"/>
        <v>0</v>
      </c>
      <c r="BF417" s="17">
        <f t="shared" si="304"/>
        <v>0</v>
      </c>
      <c r="BG417" s="17">
        <f t="shared" si="305"/>
        <v>0</v>
      </c>
      <c r="BH417" s="17">
        <f t="shared" si="306"/>
        <v>6.599896457053011E-3</v>
      </c>
      <c r="BI417" s="17">
        <f t="shared" si="307"/>
        <v>2.6644724839474012</v>
      </c>
      <c r="BJ417" s="17">
        <f t="shared" si="308"/>
        <v>0.12068382092896934</v>
      </c>
      <c r="BK417" s="17">
        <f t="shared" si="309"/>
        <v>0</v>
      </c>
      <c r="BL417" s="17">
        <f t="shared" si="310"/>
        <v>0</v>
      </c>
      <c r="BM417" s="17">
        <f t="shared" si="311"/>
        <v>9.4284235100757299E-3</v>
      </c>
      <c r="BN417" s="17">
        <f t="shared" si="312"/>
        <v>0</v>
      </c>
      <c r="BO417" s="17">
        <f t="shared" si="313"/>
        <v>0</v>
      </c>
      <c r="BP417" s="17">
        <f t="shared" si="314"/>
        <v>9.4284235100757299E-3</v>
      </c>
      <c r="BQ417" s="17">
        <f t="shared" si="315"/>
        <v>0</v>
      </c>
      <c r="BR417" s="17">
        <f t="shared" si="316"/>
        <v>1.5085477616121168E-2</v>
      </c>
      <c r="BS417" s="17">
        <f t="shared" si="317"/>
        <v>0</v>
      </c>
      <c r="BT417" s="17">
        <f t="shared" si="318"/>
        <v>0</v>
      </c>
      <c r="BU417" s="17">
        <f t="shared" si="319"/>
        <v>0</v>
      </c>
      <c r="BV417" s="17">
        <f t="shared" si="320"/>
        <v>0.59870489288980888</v>
      </c>
      <c r="BW417" s="17">
        <f t="shared" si="321"/>
        <v>0</v>
      </c>
      <c r="BX417" s="17">
        <f t="shared" si="322"/>
        <v>0.94849940511361841</v>
      </c>
      <c r="BY417" s="17">
        <f t="shared" si="323"/>
        <v>0</v>
      </c>
      <c r="BZ417" s="17">
        <f t="shared" si="334"/>
        <v>0.18573994314849188</v>
      </c>
      <c r="CA417" s="17">
        <f t="shared" si="335"/>
        <v>2.2628216424181752E-2</v>
      </c>
      <c r="CB417" s="17">
        <f t="shared" si="336"/>
        <v>0</v>
      </c>
      <c r="CC417" s="17">
        <f t="shared" si="337"/>
        <v>0</v>
      </c>
      <c r="CD417" s="17">
        <f t="shared" si="338"/>
        <v>0.58739078467771799</v>
      </c>
      <c r="CE417" s="17">
        <f t="shared" si="339"/>
        <v>0.27436712414320374</v>
      </c>
      <c r="CF417" s="17">
        <f t="shared" si="340"/>
        <v>0</v>
      </c>
      <c r="CG417" s="17">
        <f t="shared" si="341"/>
        <v>1.6028319967128741E-2</v>
      </c>
      <c r="CH417" s="17">
        <f t="shared" si="342"/>
        <v>0</v>
      </c>
      <c r="CI417" s="17">
        <f t="shared" si="343"/>
        <v>0</v>
      </c>
      <c r="CJ417" s="17">
        <f t="shared" si="344"/>
        <v>0</v>
      </c>
      <c r="CK417" s="17">
        <f t="shared" si="345"/>
        <v>0</v>
      </c>
      <c r="CL417" s="17">
        <f t="shared" si="346"/>
        <v>0</v>
      </c>
      <c r="CM417" s="14">
        <f t="shared" si="347"/>
        <v>15100</v>
      </c>
      <c r="CN417" s="17">
        <f t="shared" si="348"/>
        <v>14.236919500214352</v>
      </c>
      <c r="CO417" s="14">
        <f t="shared" si="349"/>
        <v>16095</v>
      </c>
      <c r="CP417" s="17">
        <f t="shared" si="350"/>
        <v>15.175047639466888</v>
      </c>
      <c r="CQ417" s="14">
        <f t="shared" si="324"/>
        <v>22069</v>
      </c>
      <c r="CR417" s="14">
        <v>21</v>
      </c>
      <c r="CS417" s="14">
        <v>0</v>
      </c>
      <c r="CT417" s="14">
        <v>0</v>
      </c>
      <c r="CU417" s="14">
        <v>0</v>
      </c>
    </row>
    <row r="418" spans="1:99" x14ac:dyDescent="0.3">
      <c r="A418" s="14">
        <v>2021</v>
      </c>
      <c r="B418" s="14" t="s">
        <v>75</v>
      </c>
      <c r="C418" s="14" t="s">
        <v>76</v>
      </c>
      <c r="D418" s="15">
        <v>306239.5</v>
      </c>
      <c r="E418" s="15">
        <v>10748272.499999998</v>
      </c>
      <c r="F418" s="15">
        <f t="shared" si="325"/>
        <v>35.09760334640044</v>
      </c>
      <c r="AB418" s="14">
        <f t="shared" si="326"/>
        <v>0</v>
      </c>
      <c r="AM418" s="14">
        <f t="shared" si="327"/>
        <v>0</v>
      </c>
      <c r="AQ418" s="14">
        <f t="shared" si="328"/>
        <v>0</v>
      </c>
      <c r="AT418" s="14">
        <f t="shared" si="329"/>
        <v>0</v>
      </c>
      <c r="AU418" s="16">
        <v>0</v>
      </c>
      <c r="AV418" s="16">
        <v>0</v>
      </c>
      <c r="AW418" s="16">
        <v>0</v>
      </c>
      <c r="AX418" s="16">
        <v>0</v>
      </c>
      <c r="AY418" s="18">
        <f t="shared" si="330"/>
        <v>0</v>
      </c>
      <c r="AZ418" s="17">
        <f t="shared" si="331"/>
        <v>0</v>
      </c>
      <c r="BA418" s="17">
        <f t="shared" si="332"/>
        <v>0</v>
      </c>
      <c r="BB418" s="17">
        <f t="shared" si="333"/>
        <v>0</v>
      </c>
      <c r="BC418" s="17">
        <f t="shared" si="301"/>
        <v>0</v>
      </c>
      <c r="BD418" s="17">
        <f t="shared" si="302"/>
        <v>0</v>
      </c>
      <c r="BE418" s="17">
        <f t="shared" si="303"/>
        <v>0</v>
      </c>
      <c r="BF418" s="17">
        <f t="shared" si="304"/>
        <v>0</v>
      </c>
      <c r="BG418" s="17">
        <f t="shared" si="305"/>
        <v>0</v>
      </c>
      <c r="BH418" s="17">
        <f t="shared" si="306"/>
        <v>0</v>
      </c>
      <c r="BI418" s="17">
        <f t="shared" si="307"/>
        <v>0</v>
      </c>
      <c r="BJ418" s="17">
        <f t="shared" si="308"/>
        <v>0</v>
      </c>
      <c r="BK418" s="17">
        <f t="shared" si="309"/>
        <v>0</v>
      </c>
      <c r="BL418" s="17">
        <f t="shared" si="310"/>
        <v>0</v>
      </c>
      <c r="BM418" s="17">
        <f t="shared" si="311"/>
        <v>0</v>
      </c>
      <c r="BN418" s="17">
        <f t="shared" si="312"/>
        <v>0</v>
      </c>
      <c r="BO418" s="17">
        <f t="shared" si="313"/>
        <v>0</v>
      </c>
      <c r="BP418" s="17">
        <f t="shared" si="314"/>
        <v>0</v>
      </c>
      <c r="BQ418" s="17">
        <f t="shared" si="315"/>
        <v>0</v>
      </c>
      <c r="BR418" s="17">
        <f t="shared" si="316"/>
        <v>0</v>
      </c>
      <c r="BS418" s="17">
        <f t="shared" si="317"/>
        <v>0</v>
      </c>
      <c r="BT418" s="17">
        <f t="shared" si="318"/>
        <v>0</v>
      </c>
      <c r="BU418" s="17">
        <f t="shared" si="319"/>
        <v>0</v>
      </c>
      <c r="BV418" s="17">
        <f t="shared" si="320"/>
        <v>0</v>
      </c>
      <c r="BW418" s="17">
        <f t="shared" si="321"/>
        <v>0</v>
      </c>
      <c r="BX418" s="17">
        <f t="shared" si="322"/>
        <v>0</v>
      </c>
      <c r="BY418" s="17">
        <f t="shared" si="323"/>
        <v>0</v>
      </c>
      <c r="BZ418" s="17">
        <f t="shared" si="334"/>
        <v>0</v>
      </c>
      <c r="CA418" s="17">
        <f t="shared" si="335"/>
        <v>0</v>
      </c>
      <c r="CB418" s="17">
        <f t="shared" si="336"/>
        <v>0</v>
      </c>
      <c r="CC418" s="17">
        <f t="shared" si="337"/>
        <v>0</v>
      </c>
      <c r="CD418" s="17">
        <f t="shared" si="338"/>
        <v>0</v>
      </c>
      <c r="CE418" s="17">
        <f t="shared" si="339"/>
        <v>0</v>
      </c>
      <c r="CF418" s="17">
        <f t="shared" si="340"/>
        <v>0</v>
      </c>
      <c r="CG418" s="17">
        <f t="shared" si="341"/>
        <v>0</v>
      </c>
      <c r="CH418" s="17">
        <f t="shared" si="342"/>
        <v>0</v>
      </c>
      <c r="CI418" s="17">
        <f t="shared" si="343"/>
        <v>0</v>
      </c>
      <c r="CJ418" s="17">
        <f t="shared" si="344"/>
        <v>0</v>
      </c>
      <c r="CK418" s="17">
        <f t="shared" si="345"/>
        <v>0</v>
      </c>
      <c r="CL418" s="17">
        <f t="shared" si="346"/>
        <v>0</v>
      </c>
      <c r="CM418" s="14">
        <f t="shared" si="347"/>
        <v>0</v>
      </c>
      <c r="CN418" s="17">
        <f t="shared" si="348"/>
        <v>0</v>
      </c>
      <c r="CO418" s="14">
        <f t="shared" si="349"/>
        <v>0</v>
      </c>
      <c r="CP418" s="17">
        <f t="shared" si="350"/>
        <v>0</v>
      </c>
      <c r="CQ418" s="14">
        <f t="shared" si="324"/>
        <v>0</v>
      </c>
      <c r="CR418" s="14">
        <v>0</v>
      </c>
      <c r="CS418" s="14">
        <v>0</v>
      </c>
      <c r="CT418" s="14">
        <v>0</v>
      </c>
      <c r="CU418" s="14">
        <v>0</v>
      </c>
    </row>
    <row r="419" spans="1:99" x14ac:dyDescent="0.3">
      <c r="A419" s="14">
        <v>2022</v>
      </c>
      <c r="B419" s="14" t="s">
        <v>75</v>
      </c>
      <c r="C419" s="14" t="s">
        <v>76</v>
      </c>
      <c r="D419" s="15">
        <v>309372.40000000002</v>
      </c>
      <c r="E419" s="15">
        <v>10913163.5</v>
      </c>
      <c r="F419" s="15">
        <f t="shared" si="325"/>
        <v>35.275168373132182</v>
      </c>
      <c r="AB419" s="14">
        <f t="shared" si="326"/>
        <v>0</v>
      </c>
      <c r="AM419" s="14">
        <f t="shared" si="327"/>
        <v>0</v>
      </c>
      <c r="AQ419" s="14">
        <f t="shared" si="328"/>
        <v>0</v>
      </c>
      <c r="AT419" s="14">
        <f t="shared" si="329"/>
        <v>0</v>
      </c>
      <c r="AU419" s="16">
        <v>0</v>
      </c>
      <c r="AV419" s="16">
        <v>0</v>
      </c>
      <c r="AW419" s="16">
        <v>0</v>
      </c>
      <c r="AX419" s="16">
        <v>0</v>
      </c>
      <c r="AY419" s="18">
        <f t="shared" si="330"/>
        <v>0</v>
      </c>
      <c r="AZ419" s="17">
        <f t="shared" si="331"/>
        <v>0</v>
      </c>
      <c r="BA419" s="17">
        <f t="shared" si="332"/>
        <v>0</v>
      </c>
      <c r="BB419" s="17">
        <f t="shared" si="333"/>
        <v>0</v>
      </c>
      <c r="BC419" s="17">
        <f t="shared" si="301"/>
        <v>0</v>
      </c>
      <c r="BD419" s="17">
        <f t="shared" si="302"/>
        <v>0</v>
      </c>
      <c r="BE419" s="17">
        <f t="shared" si="303"/>
        <v>0</v>
      </c>
      <c r="BF419" s="17">
        <f t="shared" si="304"/>
        <v>0</v>
      </c>
      <c r="BG419" s="17">
        <f t="shared" si="305"/>
        <v>0</v>
      </c>
      <c r="BH419" s="17">
        <f t="shared" si="306"/>
        <v>0</v>
      </c>
      <c r="BI419" s="17">
        <f t="shared" si="307"/>
        <v>0</v>
      </c>
      <c r="BJ419" s="17">
        <f t="shared" si="308"/>
        <v>0</v>
      </c>
      <c r="BK419" s="17">
        <f t="shared" si="309"/>
        <v>0</v>
      </c>
      <c r="BL419" s="17">
        <f t="shared" si="310"/>
        <v>0</v>
      </c>
      <c r="BM419" s="17">
        <f t="shared" si="311"/>
        <v>0</v>
      </c>
      <c r="BN419" s="17">
        <f t="shared" si="312"/>
        <v>0</v>
      </c>
      <c r="BO419" s="17">
        <f t="shared" si="313"/>
        <v>0</v>
      </c>
      <c r="BP419" s="17">
        <f t="shared" si="314"/>
        <v>0</v>
      </c>
      <c r="BQ419" s="17">
        <f t="shared" si="315"/>
        <v>0</v>
      </c>
      <c r="BR419" s="17">
        <f t="shared" si="316"/>
        <v>0</v>
      </c>
      <c r="BS419" s="17">
        <f t="shared" si="317"/>
        <v>0</v>
      </c>
      <c r="BT419" s="17">
        <f t="shared" si="318"/>
        <v>0</v>
      </c>
      <c r="BU419" s="17">
        <f t="shared" si="319"/>
        <v>0</v>
      </c>
      <c r="BV419" s="17">
        <f t="shared" si="320"/>
        <v>0</v>
      </c>
      <c r="BW419" s="17">
        <f t="shared" si="321"/>
        <v>0</v>
      </c>
      <c r="BX419" s="17">
        <f t="shared" si="322"/>
        <v>0</v>
      </c>
      <c r="BY419" s="17">
        <f t="shared" si="323"/>
        <v>0</v>
      </c>
      <c r="BZ419" s="17">
        <f t="shared" si="334"/>
        <v>0</v>
      </c>
      <c r="CA419" s="17">
        <f t="shared" si="335"/>
        <v>0</v>
      </c>
      <c r="CB419" s="17">
        <f t="shared" si="336"/>
        <v>0</v>
      </c>
      <c r="CC419" s="17">
        <f t="shared" si="337"/>
        <v>0</v>
      </c>
      <c r="CD419" s="17">
        <f t="shared" si="338"/>
        <v>0</v>
      </c>
      <c r="CE419" s="17">
        <f t="shared" si="339"/>
        <v>0</v>
      </c>
      <c r="CF419" s="17">
        <f t="shared" si="340"/>
        <v>0</v>
      </c>
      <c r="CG419" s="17">
        <f t="shared" si="341"/>
        <v>0</v>
      </c>
      <c r="CH419" s="17">
        <f t="shared" si="342"/>
        <v>0</v>
      </c>
      <c r="CI419" s="17">
        <f t="shared" si="343"/>
        <v>0</v>
      </c>
      <c r="CJ419" s="17">
        <f t="shared" si="344"/>
        <v>0</v>
      </c>
      <c r="CK419" s="17">
        <f t="shared" si="345"/>
        <v>0</v>
      </c>
      <c r="CL419" s="17">
        <f t="shared" si="346"/>
        <v>0</v>
      </c>
      <c r="CM419" s="14">
        <f t="shared" si="347"/>
        <v>0</v>
      </c>
      <c r="CN419" s="17">
        <f t="shared" si="348"/>
        <v>0</v>
      </c>
      <c r="CO419" s="14">
        <f t="shared" si="349"/>
        <v>0</v>
      </c>
      <c r="CP419" s="17">
        <f t="shared" si="350"/>
        <v>0</v>
      </c>
      <c r="CQ419" s="14">
        <f t="shared" si="324"/>
        <v>0</v>
      </c>
      <c r="CR419" s="14">
        <v>0</v>
      </c>
      <c r="CS419" s="14">
        <v>0</v>
      </c>
      <c r="CT419" s="14">
        <v>0</v>
      </c>
      <c r="CU419" s="14">
        <v>0</v>
      </c>
    </row>
    <row r="420" spans="1:99" x14ac:dyDescent="0.3">
      <c r="A420" s="14">
        <v>2012</v>
      </c>
      <c r="B420" s="14" t="s">
        <v>77</v>
      </c>
      <c r="C420" s="14" t="s">
        <v>78</v>
      </c>
      <c r="D420" s="15">
        <v>174681.1</v>
      </c>
      <c r="E420" s="15">
        <v>4713256.5000000028</v>
      </c>
      <c r="F420" s="15">
        <f t="shared" si="325"/>
        <v>26.98206331423378</v>
      </c>
      <c r="AB420" s="14">
        <f t="shared" si="326"/>
        <v>0</v>
      </c>
      <c r="AM420" s="14">
        <f t="shared" si="327"/>
        <v>0</v>
      </c>
      <c r="AQ420" s="14">
        <f t="shared" si="328"/>
        <v>0</v>
      </c>
      <c r="AT420" s="14">
        <f t="shared" si="329"/>
        <v>0</v>
      </c>
      <c r="AU420" s="16">
        <v>0</v>
      </c>
      <c r="AV420" s="16">
        <v>0</v>
      </c>
      <c r="AW420" s="16">
        <v>0</v>
      </c>
      <c r="AX420" s="16">
        <v>0</v>
      </c>
      <c r="AY420" s="18">
        <f t="shared" si="330"/>
        <v>0</v>
      </c>
      <c r="AZ420" s="17">
        <f t="shared" si="331"/>
        <v>0</v>
      </c>
      <c r="BA420" s="17">
        <f t="shared" si="332"/>
        <v>0</v>
      </c>
      <c r="BB420" s="17">
        <f t="shared" si="333"/>
        <v>0</v>
      </c>
      <c r="BC420" s="17">
        <f t="shared" si="301"/>
        <v>0</v>
      </c>
      <c r="BD420" s="17">
        <f t="shared" si="302"/>
        <v>0</v>
      </c>
      <c r="BE420" s="17">
        <f t="shared" si="303"/>
        <v>0</v>
      </c>
      <c r="BF420" s="17">
        <f t="shared" si="304"/>
        <v>0</v>
      </c>
      <c r="BG420" s="17">
        <f t="shared" si="305"/>
        <v>0</v>
      </c>
      <c r="BH420" s="17">
        <f t="shared" si="306"/>
        <v>0</v>
      </c>
      <c r="BI420" s="17">
        <f t="shared" si="307"/>
        <v>0</v>
      </c>
      <c r="BJ420" s="17">
        <f t="shared" si="308"/>
        <v>0</v>
      </c>
      <c r="BK420" s="17">
        <f t="shared" si="309"/>
        <v>0</v>
      </c>
      <c r="BL420" s="17">
        <f t="shared" si="310"/>
        <v>0</v>
      </c>
      <c r="BM420" s="17">
        <f t="shared" si="311"/>
        <v>0</v>
      </c>
      <c r="BN420" s="17">
        <f t="shared" si="312"/>
        <v>0</v>
      </c>
      <c r="BO420" s="17">
        <f t="shared" si="313"/>
        <v>0</v>
      </c>
      <c r="BP420" s="17">
        <f t="shared" si="314"/>
        <v>0</v>
      </c>
      <c r="BQ420" s="17">
        <f t="shared" si="315"/>
        <v>0</v>
      </c>
      <c r="BR420" s="17">
        <f t="shared" si="316"/>
        <v>0</v>
      </c>
      <c r="BS420" s="17">
        <f t="shared" si="317"/>
        <v>0</v>
      </c>
      <c r="BT420" s="17">
        <f t="shared" si="318"/>
        <v>0</v>
      </c>
      <c r="BU420" s="17">
        <f t="shared" si="319"/>
        <v>0</v>
      </c>
      <c r="BV420" s="17">
        <f t="shared" si="320"/>
        <v>0</v>
      </c>
      <c r="BW420" s="17">
        <f t="shared" si="321"/>
        <v>0</v>
      </c>
      <c r="BX420" s="17">
        <f t="shared" si="322"/>
        <v>0</v>
      </c>
      <c r="BY420" s="17">
        <f t="shared" si="323"/>
        <v>0</v>
      </c>
      <c r="BZ420" s="17">
        <f t="shared" si="334"/>
        <v>0</v>
      </c>
      <c r="CA420" s="17">
        <f t="shared" si="335"/>
        <v>0</v>
      </c>
      <c r="CB420" s="17">
        <f t="shared" si="336"/>
        <v>0</v>
      </c>
      <c r="CC420" s="17">
        <f t="shared" si="337"/>
        <v>0</v>
      </c>
      <c r="CD420" s="17">
        <f t="shared" si="338"/>
        <v>0</v>
      </c>
      <c r="CE420" s="17">
        <f t="shared" si="339"/>
        <v>0</v>
      </c>
      <c r="CF420" s="17">
        <f t="shared" si="340"/>
        <v>0</v>
      </c>
      <c r="CG420" s="17">
        <f t="shared" si="341"/>
        <v>0</v>
      </c>
      <c r="CH420" s="17">
        <f t="shared" si="342"/>
        <v>0</v>
      </c>
      <c r="CI420" s="17">
        <f t="shared" si="343"/>
        <v>0</v>
      </c>
      <c r="CJ420" s="17">
        <f t="shared" si="344"/>
        <v>0</v>
      </c>
      <c r="CK420" s="17">
        <f t="shared" si="345"/>
        <v>0</v>
      </c>
      <c r="CL420" s="17">
        <f t="shared" si="346"/>
        <v>0</v>
      </c>
      <c r="CM420" s="14">
        <f t="shared" si="347"/>
        <v>0</v>
      </c>
      <c r="CN420" s="17">
        <f t="shared" si="348"/>
        <v>0</v>
      </c>
      <c r="CO420" s="14">
        <f t="shared" si="349"/>
        <v>0</v>
      </c>
      <c r="CP420" s="17">
        <f t="shared" si="350"/>
        <v>0</v>
      </c>
      <c r="CQ420" s="14">
        <f t="shared" si="324"/>
        <v>0</v>
      </c>
      <c r="CR420" s="14">
        <v>278</v>
      </c>
      <c r="CS420" s="14">
        <v>704</v>
      </c>
      <c r="CT420" s="14">
        <v>819</v>
      </c>
      <c r="CU420" s="14">
        <v>4104</v>
      </c>
    </row>
    <row r="421" spans="1:99" x14ac:dyDescent="0.3">
      <c r="A421" s="14">
        <v>2013</v>
      </c>
      <c r="B421" s="14" t="s">
        <v>77</v>
      </c>
      <c r="C421" s="14" t="s">
        <v>78</v>
      </c>
      <c r="D421" s="15">
        <v>175389.3</v>
      </c>
      <c r="E421" s="15">
        <v>4828066.5000000028</v>
      </c>
      <c r="F421" s="15">
        <f t="shared" si="325"/>
        <v>27.527714062374404</v>
      </c>
      <c r="AB421" s="14">
        <f t="shared" si="326"/>
        <v>0</v>
      </c>
      <c r="AM421" s="14">
        <f t="shared" si="327"/>
        <v>0</v>
      </c>
      <c r="AQ421" s="14">
        <f t="shared" si="328"/>
        <v>0</v>
      </c>
      <c r="AT421" s="14">
        <f t="shared" si="329"/>
        <v>0</v>
      </c>
      <c r="AU421" s="16">
        <v>0</v>
      </c>
      <c r="AV421" s="16">
        <v>6578</v>
      </c>
      <c r="AW421" s="16">
        <v>2564</v>
      </c>
      <c r="AX421" s="16">
        <v>0</v>
      </c>
      <c r="AY421" s="18">
        <f t="shared" si="330"/>
        <v>0</v>
      </c>
      <c r="AZ421" s="17">
        <f t="shared" si="331"/>
        <v>13.624501650919672</v>
      </c>
      <c r="BA421" s="17">
        <f t="shared" si="332"/>
        <v>5.3106145078987597</v>
      </c>
      <c r="BB421" s="17">
        <f t="shared" si="333"/>
        <v>0</v>
      </c>
      <c r="BC421" s="17">
        <f t="shared" si="301"/>
        <v>0</v>
      </c>
      <c r="BD421" s="17">
        <f t="shared" si="302"/>
        <v>0</v>
      </c>
      <c r="BE421" s="17">
        <f t="shared" si="303"/>
        <v>0</v>
      </c>
      <c r="BF421" s="17">
        <f t="shared" si="304"/>
        <v>0</v>
      </c>
      <c r="BG421" s="17">
        <f t="shared" si="305"/>
        <v>0</v>
      </c>
      <c r="BH421" s="17">
        <f t="shared" si="306"/>
        <v>0</v>
      </c>
      <c r="BI421" s="17">
        <f t="shared" si="307"/>
        <v>0</v>
      </c>
      <c r="BJ421" s="17">
        <f t="shared" si="308"/>
        <v>0</v>
      </c>
      <c r="BK421" s="17">
        <f t="shared" si="309"/>
        <v>0</v>
      </c>
      <c r="BL421" s="17">
        <f t="shared" si="310"/>
        <v>0</v>
      </c>
      <c r="BM421" s="17">
        <f t="shared" si="311"/>
        <v>0</v>
      </c>
      <c r="BN421" s="17">
        <f t="shared" si="312"/>
        <v>0</v>
      </c>
      <c r="BO421" s="17">
        <f t="shared" si="313"/>
        <v>0</v>
      </c>
      <c r="BP421" s="17">
        <f t="shared" si="314"/>
        <v>0</v>
      </c>
      <c r="BQ421" s="17">
        <f t="shared" si="315"/>
        <v>0</v>
      </c>
      <c r="BR421" s="17">
        <f t="shared" si="316"/>
        <v>0</v>
      </c>
      <c r="BS421" s="17">
        <f t="shared" si="317"/>
        <v>0</v>
      </c>
      <c r="BT421" s="17">
        <f t="shared" si="318"/>
        <v>0</v>
      </c>
      <c r="BU421" s="17">
        <f t="shared" si="319"/>
        <v>0</v>
      </c>
      <c r="BV421" s="17">
        <f t="shared" si="320"/>
        <v>0</v>
      </c>
      <c r="BW421" s="17">
        <f t="shared" si="321"/>
        <v>0</v>
      </c>
      <c r="BX421" s="17">
        <f t="shared" si="322"/>
        <v>0</v>
      </c>
      <c r="BY421" s="17">
        <f t="shared" si="323"/>
        <v>0</v>
      </c>
      <c r="BZ421" s="17">
        <f t="shared" si="334"/>
        <v>0</v>
      </c>
      <c r="CA421" s="17">
        <f t="shared" si="335"/>
        <v>0</v>
      </c>
      <c r="CB421" s="17">
        <f t="shared" si="336"/>
        <v>0</v>
      </c>
      <c r="CC421" s="17">
        <f t="shared" si="337"/>
        <v>0</v>
      </c>
      <c r="CD421" s="17">
        <f t="shared" si="338"/>
        <v>0</v>
      </c>
      <c r="CE421" s="17">
        <f t="shared" si="339"/>
        <v>0</v>
      </c>
      <c r="CF421" s="17">
        <f t="shared" si="340"/>
        <v>0</v>
      </c>
      <c r="CG421" s="17">
        <f t="shared" si="341"/>
        <v>0</v>
      </c>
      <c r="CH421" s="17">
        <f t="shared" si="342"/>
        <v>0</v>
      </c>
      <c r="CI421" s="17">
        <f t="shared" si="343"/>
        <v>0</v>
      </c>
      <c r="CJ421" s="17">
        <f t="shared" si="344"/>
        <v>0</v>
      </c>
      <c r="CK421" s="17">
        <f t="shared" si="345"/>
        <v>0</v>
      </c>
      <c r="CL421" s="17">
        <f t="shared" si="346"/>
        <v>0</v>
      </c>
      <c r="CM421" s="14">
        <f t="shared" si="347"/>
        <v>9142</v>
      </c>
      <c r="CN421" s="17">
        <f t="shared" si="348"/>
        <v>18.935116158818431</v>
      </c>
      <c r="CO421" s="14">
        <f t="shared" si="349"/>
        <v>9142</v>
      </c>
      <c r="CP421" s="17">
        <f t="shared" si="350"/>
        <v>18.935116158818431</v>
      </c>
      <c r="CQ421" s="14">
        <f t="shared" si="324"/>
        <v>9142</v>
      </c>
      <c r="CR421" s="14">
        <v>0</v>
      </c>
      <c r="CS421" s="14">
        <v>0</v>
      </c>
      <c r="CT421" s="14">
        <v>0</v>
      </c>
      <c r="CU421" s="14">
        <v>0</v>
      </c>
    </row>
    <row r="422" spans="1:99" x14ac:dyDescent="0.3">
      <c r="A422" s="14">
        <v>2014</v>
      </c>
      <c r="B422" s="14" t="s">
        <v>77</v>
      </c>
      <c r="C422" s="14" t="s">
        <v>78</v>
      </c>
      <c r="D422" s="15">
        <v>175074.6</v>
      </c>
      <c r="E422" s="15">
        <v>4944861.5000000019</v>
      </c>
      <c r="F422" s="15">
        <f t="shared" si="325"/>
        <v>28.244311282162013</v>
      </c>
      <c r="AB422" s="14">
        <f t="shared" si="326"/>
        <v>0</v>
      </c>
      <c r="AM422" s="14">
        <f t="shared" si="327"/>
        <v>0</v>
      </c>
      <c r="AQ422" s="14">
        <f t="shared" si="328"/>
        <v>0</v>
      </c>
      <c r="AT422" s="14">
        <f t="shared" si="329"/>
        <v>0</v>
      </c>
      <c r="AU422" s="16">
        <v>0</v>
      </c>
      <c r="AV422" s="16">
        <v>6916</v>
      </c>
      <c r="AW422" s="16">
        <v>0</v>
      </c>
      <c r="AX422" s="16">
        <v>0</v>
      </c>
      <c r="AY422" s="18">
        <f t="shared" si="330"/>
        <v>0</v>
      </c>
      <c r="AZ422" s="17">
        <f t="shared" si="331"/>
        <v>13.986236014901523</v>
      </c>
      <c r="BA422" s="17">
        <f t="shared" si="332"/>
        <v>0</v>
      </c>
      <c r="BB422" s="17">
        <f t="shared" si="333"/>
        <v>0</v>
      </c>
      <c r="BC422" s="17">
        <f t="shared" si="301"/>
        <v>0</v>
      </c>
      <c r="BD422" s="17">
        <f t="shared" si="302"/>
        <v>0</v>
      </c>
      <c r="BE422" s="17">
        <f t="shared" si="303"/>
        <v>0</v>
      </c>
      <c r="BF422" s="17">
        <f t="shared" si="304"/>
        <v>0</v>
      </c>
      <c r="BG422" s="17">
        <f t="shared" si="305"/>
        <v>0</v>
      </c>
      <c r="BH422" s="17">
        <f t="shared" si="306"/>
        <v>0</v>
      </c>
      <c r="BI422" s="17">
        <f t="shared" si="307"/>
        <v>0</v>
      </c>
      <c r="BJ422" s="17">
        <f t="shared" si="308"/>
        <v>0</v>
      </c>
      <c r="BK422" s="17">
        <f t="shared" si="309"/>
        <v>0</v>
      </c>
      <c r="BL422" s="17">
        <f t="shared" si="310"/>
        <v>0</v>
      </c>
      <c r="BM422" s="17">
        <f t="shared" si="311"/>
        <v>0</v>
      </c>
      <c r="BN422" s="17">
        <f t="shared" si="312"/>
        <v>0</v>
      </c>
      <c r="BO422" s="17">
        <f t="shared" si="313"/>
        <v>0</v>
      </c>
      <c r="BP422" s="17">
        <f t="shared" si="314"/>
        <v>0</v>
      </c>
      <c r="BQ422" s="17">
        <f t="shared" si="315"/>
        <v>0</v>
      </c>
      <c r="BR422" s="17">
        <f t="shared" si="316"/>
        <v>0</v>
      </c>
      <c r="BS422" s="17">
        <f t="shared" si="317"/>
        <v>0</v>
      </c>
      <c r="BT422" s="17">
        <f t="shared" si="318"/>
        <v>0</v>
      </c>
      <c r="BU422" s="17">
        <f t="shared" si="319"/>
        <v>0</v>
      </c>
      <c r="BV422" s="17">
        <f t="shared" si="320"/>
        <v>0</v>
      </c>
      <c r="BW422" s="17">
        <f t="shared" si="321"/>
        <v>0</v>
      </c>
      <c r="BX422" s="17">
        <f t="shared" si="322"/>
        <v>0</v>
      </c>
      <c r="BY422" s="17">
        <f t="shared" si="323"/>
        <v>0</v>
      </c>
      <c r="BZ422" s="17">
        <f t="shared" si="334"/>
        <v>0</v>
      </c>
      <c r="CA422" s="17">
        <f t="shared" si="335"/>
        <v>0</v>
      </c>
      <c r="CB422" s="17">
        <f t="shared" si="336"/>
        <v>0</v>
      </c>
      <c r="CC422" s="17">
        <f t="shared" si="337"/>
        <v>0</v>
      </c>
      <c r="CD422" s="17">
        <f t="shared" si="338"/>
        <v>0</v>
      </c>
      <c r="CE422" s="17">
        <f t="shared" si="339"/>
        <v>0</v>
      </c>
      <c r="CF422" s="17">
        <f t="shared" si="340"/>
        <v>0</v>
      </c>
      <c r="CG422" s="17">
        <f t="shared" si="341"/>
        <v>0</v>
      </c>
      <c r="CH422" s="17">
        <f t="shared" si="342"/>
        <v>0</v>
      </c>
      <c r="CI422" s="17">
        <f t="shared" si="343"/>
        <v>0</v>
      </c>
      <c r="CJ422" s="17">
        <f t="shared" si="344"/>
        <v>0</v>
      </c>
      <c r="CK422" s="17">
        <f t="shared" si="345"/>
        <v>0</v>
      </c>
      <c r="CL422" s="17">
        <f t="shared" si="346"/>
        <v>0</v>
      </c>
      <c r="CM422" s="14">
        <f t="shared" si="347"/>
        <v>6916</v>
      </c>
      <c r="CN422" s="17">
        <f t="shared" si="348"/>
        <v>13.986236014901523</v>
      </c>
      <c r="CO422" s="14">
        <f t="shared" si="349"/>
        <v>6916</v>
      </c>
      <c r="CP422" s="17">
        <f t="shared" si="350"/>
        <v>13.986236014901523</v>
      </c>
      <c r="CQ422" s="14">
        <f t="shared" si="324"/>
        <v>6916</v>
      </c>
      <c r="CR422" s="14">
        <v>0</v>
      </c>
      <c r="CS422" s="14">
        <v>0</v>
      </c>
      <c r="CT422" s="14">
        <v>0</v>
      </c>
      <c r="CU422" s="14">
        <v>0</v>
      </c>
    </row>
    <row r="423" spans="1:99" x14ac:dyDescent="0.3">
      <c r="A423" s="14">
        <v>2015</v>
      </c>
      <c r="B423" s="14" t="s">
        <v>77</v>
      </c>
      <c r="C423" s="14" t="s">
        <v>78</v>
      </c>
      <c r="D423" s="15">
        <v>174962.3</v>
      </c>
      <c r="E423" s="15">
        <v>5064386.0000000019</v>
      </c>
      <c r="F423" s="15">
        <f t="shared" si="325"/>
        <v>28.945584277298607</v>
      </c>
      <c r="AB423" s="14">
        <f t="shared" si="326"/>
        <v>0</v>
      </c>
      <c r="AM423" s="14">
        <f t="shared" si="327"/>
        <v>0</v>
      </c>
      <c r="AQ423" s="14">
        <f t="shared" si="328"/>
        <v>0</v>
      </c>
      <c r="AT423" s="14">
        <f t="shared" si="329"/>
        <v>0</v>
      </c>
      <c r="AU423" s="16">
        <v>0</v>
      </c>
      <c r="AV423" s="16">
        <v>7704</v>
      </c>
      <c r="AW423" s="16">
        <v>0</v>
      </c>
      <c r="AX423" s="16">
        <v>0</v>
      </c>
      <c r="AY423" s="18">
        <f t="shared" si="330"/>
        <v>0</v>
      </c>
      <c r="AZ423" s="17">
        <f t="shared" si="331"/>
        <v>15.2121106092624</v>
      </c>
      <c r="BA423" s="17">
        <f t="shared" si="332"/>
        <v>0</v>
      </c>
      <c r="BB423" s="17">
        <f t="shared" si="333"/>
        <v>0</v>
      </c>
      <c r="BC423" s="17">
        <f t="shared" si="301"/>
        <v>0</v>
      </c>
      <c r="BD423" s="17">
        <f t="shared" si="302"/>
        <v>0</v>
      </c>
      <c r="BE423" s="17">
        <f t="shared" si="303"/>
        <v>0</v>
      </c>
      <c r="BF423" s="17">
        <f t="shared" si="304"/>
        <v>0</v>
      </c>
      <c r="BG423" s="17">
        <f t="shared" si="305"/>
        <v>0</v>
      </c>
      <c r="BH423" s="17">
        <f t="shared" si="306"/>
        <v>0</v>
      </c>
      <c r="BI423" s="17">
        <f t="shared" si="307"/>
        <v>0</v>
      </c>
      <c r="BJ423" s="17">
        <f t="shared" si="308"/>
        <v>0</v>
      </c>
      <c r="BK423" s="17">
        <f t="shared" si="309"/>
        <v>0</v>
      </c>
      <c r="BL423" s="17">
        <f t="shared" si="310"/>
        <v>0</v>
      </c>
      <c r="BM423" s="17">
        <f t="shared" si="311"/>
        <v>0</v>
      </c>
      <c r="BN423" s="17">
        <f t="shared" si="312"/>
        <v>0</v>
      </c>
      <c r="BO423" s="17">
        <f t="shared" si="313"/>
        <v>0</v>
      </c>
      <c r="BP423" s="17">
        <f t="shared" si="314"/>
        <v>0</v>
      </c>
      <c r="BQ423" s="17">
        <f t="shared" si="315"/>
        <v>0</v>
      </c>
      <c r="BR423" s="17">
        <f t="shared" si="316"/>
        <v>0</v>
      </c>
      <c r="BS423" s="17">
        <f t="shared" si="317"/>
        <v>0</v>
      </c>
      <c r="BT423" s="17">
        <f t="shared" si="318"/>
        <v>0</v>
      </c>
      <c r="BU423" s="17">
        <f t="shared" si="319"/>
        <v>0</v>
      </c>
      <c r="BV423" s="17">
        <f t="shared" si="320"/>
        <v>0</v>
      </c>
      <c r="BW423" s="17">
        <f t="shared" si="321"/>
        <v>0</v>
      </c>
      <c r="BX423" s="17">
        <f t="shared" si="322"/>
        <v>0</v>
      </c>
      <c r="BY423" s="17">
        <f t="shared" si="323"/>
        <v>0</v>
      </c>
      <c r="BZ423" s="17">
        <f t="shared" si="334"/>
        <v>0</v>
      </c>
      <c r="CA423" s="17">
        <f t="shared" si="335"/>
        <v>0</v>
      </c>
      <c r="CB423" s="17">
        <f t="shared" si="336"/>
        <v>0</v>
      </c>
      <c r="CC423" s="17">
        <f t="shared" si="337"/>
        <v>0</v>
      </c>
      <c r="CD423" s="17">
        <f t="shared" si="338"/>
        <v>0</v>
      </c>
      <c r="CE423" s="17">
        <f t="shared" si="339"/>
        <v>0</v>
      </c>
      <c r="CF423" s="17">
        <f t="shared" si="340"/>
        <v>0</v>
      </c>
      <c r="CG423" s="17">
        <f t="shared" si="341"/>
        <v>0</v>
      </c>
      <c r="CH423" s="17">
        <f t="shared" si="342"/>
        <v>0</v>
      </c>
      <c r="CI423" s="17">
        <f t="shared" si="343"/>
        <v>0</v>
      </c>
      <c r="CJ423" s="17">
        <f t="shared" si="344"/>
        <v>0</v>
      </c>
      <c r="CK423" s="17">
        <f t="shared" si="345"/>
        <v>0</v>
      </c>
      <c r="CL423" s="17">
        <f t="shared" si="346"/>
        <v>0</v>
      </c>
      <c r="CM423" s="14">
        <f t="shared" si="347"/>
        <v>7704</v>
      </c>
      <c r="CN423" s="17">
        <f t="shared" si="348"/>
        <v>15.2121106092624</v>
      </c>
      <c r="CO423" s="14">
        <f t="shared" si="349"/>
        <v>7704</v>
      </c>
      <c r="CP423" s="17">
        <f t="shared" si="350"/>
        <v>15.2121106092624</v>
      </c>
      <c r="CQ423" s="14">
        <f t="shared" si="324"/>
        <v>7704</v>
      </c>
      <c r="CR423" s="14">
        <v>0</v>
      </c>
      <c r="CS423" s="14">
        <v>0</v>
      </c>
      <c r="CT423" s="14">
        <v>0</v>
      </c>
      <c r="CU423" s="14">
        <v>0</v>
      </c>
    </row>
    <row r="424" spans="1:99" x14ac:dyDescent="0.3">
      <c r="A424" s="14">
        <v>2016</v>
      </c>
      <c r="B424" s="14" t="s">
        <v>77</v>
      </c>
      <c r="C424" s="14" t="s">
        <v>78</v>
      </c>
      <c r="D424" s="15">
        <v>174800</v>
      </c>
      <c r="E424" s="15">
        <v>5186823.4999999981</v>
      </c>
      <c r="F424" s="15">
        <f t="shared" si="325"/>
        <v>29.672903318077793</v>
      </c>
      <c r="G424" s="14">
        <v>27</v>
      </c>
      <c r="H424" s="14">
        <v>73</v>
      </c>
      <c r="AB424" s="14">
        <f t="shared" si="326"/>
        <v>0</v>
      </c>
      <c r="AM424" s="14">
        <f t="shared" si="327"/>
        <v>0</v>
      </c>
      <c r="AN424" s="14">
        <v>67</v>
      </c>
      <c r="AQ424" s="14">
        <f t="shared" si="328"/>
        <v>0</v>
      </c>
      <c r="AT424" s="14">
        <f t="shared" si="329"/>
        <v>0</v>
      </c>
      <c r="AU424" s="16">
        <v>1060</v>
      </c>
      <c r="AV424" s="16">
        <v>7434</v>
      </c>
      <c r="AW424" s="16">
        <v>1842</v>
      </c>
      <c r="AX424" s="16">
        <v>565</v>
      </c>
      <c r="AY424" s="18">
        <f t="shared" si="330"/>
        <v>2.0436400043302041</v>
      </c>
      <c r="AZ424" s="17">
        <f t="shared" si="331"/>
        <v>14.332471502066733</v>
      </c>
      <c r="BA424" s="17">
        <f t="shared" si="332"/>
        <v>3.5513064980907885</v>
      </c>
      <c r="BB424" s="17">
        <f t="shared" si="333"/>
        <v>1.0892986815533634</v>
      </c>
      <c r="BC424" s="17">
        <f t="shared" si="301"/>
        <v>5.2054981242373122E-2</v>
      </c>
      <c r="BD424" s="17">
        <f t="shared" si="302"/>
        <v>0.14074124558123102</v>
      </c>
      <c r="BE424" s="17">
        <f t="shared" si="303"/>
        <v>0</v>
      </c>
      <c r="BF424" s="17">
        <f t="shared" si="304"/>
        <v>0</v>
      </c>
      <c r="BG424" s="17">
        <f t="shared" si="305"/>
        <v>0</v>
      </c>
      <c r="BH424" s="17">
        <f t="shared" si="306"/>
        <v>0</v>
      </c>
      <c r="BI424" s="17">
        <f t="shared" si="307"/>
        <v>0</v>
      </c>
      <c r="BJ424" s="17">
        <f t="shared" si="308"/>
        <v>0</v>
      </c>
      <c r="BK424" s="17">
        <f t="shared" si="309"/>
        <v>0</v>
      </c>
      <c r="BL424" s="17">
        <f t="shared" si="310"/>
        <v>0</v>
      </c>
      <c r="BM424" s="17">
        <f t="shared" si="311"/>
        <v>0</v>
      </c>
      <c r="BN424" s="17">
        <f t="shared" si="312"/>
        <v>0</v>
      </c>
      <c r="BO424" s="17">
        <f t="shared" si="313"/>
        <v>0</v>
      </c>
      <c r="BP424" s="17">
        <f t="shared" si="314"/>
        <v>0</v>
      </c>
      <c r="BQ424" s="17">
        <f t="shared" si="315"/>
        <v>0</v>
      </c>
      <c r="BR424" s="17">
        <f t="shared" si="316"/>
        <v>0</v>
      </c>
      <c r="BS424" s="17">
        <f t="shared" si="317"/>
        <v>0</v>
      </c>
      <c r="BT424" s="17">
        <f t="shared" si="318"/>
        <v>0</v>
      </c>
      <c r="BU424" s="17">
        <f t="shared" si="319"/>
        <v>0</v>
      </c>
      <c r="BV424" s="17">
        <f t="shared" si="320"/>
        <v>0</v>
      </c>
      <c r="BW424" s="17">
        <f t="shared" si="321"/>
        <v>0</v>
      </c>
      <c r="BX424" s="17">
        <f t="shared" si="322"/>
        <v>0</v>
      </c>
      <c r="BY424" s="17">
        <f t="shared" si="323"/>
        <v>0</v>
      </c>
      <c r="BZ424" s="17">
        <f t="shared" si="334"/>
        <v>0</v>
      </c>
      <c r="CA424" s="17">
        <f t="shared" si="335"/>
        <v>0</v>
      </c>
      <c r="CB424" s="17">
        <f t="shared" si="336"/>
        <v>0</v>
      </c>
      <c r="CC424" s="17">
        <f t="shared" si="337"/>
        <v>0</v>
      </c>
      <c r="CD424" s="17">
        <f t="shared" si="338"/>
        <v>0</v>
      </c>
      <c r="CE424" s="17">
        <f t="shared" si="339"/>
        <v>0</v>
      </c>
      <c r="CF424" s="17">
        <f t="shared" si="340"/>
        <v>0</v>
      </c>
      <c r="CG424" s="17">
        <f t="shared" si="341"/>
        <v>0</v>
      </c>
      <c r="CH424" s="17">
        <f t="shared" si="342"/>
        <v>0.12917347197181478</v>
      </c>
      <c r="CI424" s="17">
        <f t="shared" si="343"/>
        <v>0</v>
      </c>
      <c r="CJ424" s="17">
        <f t="shared" si="344"/>
        <v>0</v>
      </c>
      <c r="CK424" s="17">
        <f t="shared" si="345"/>
        <v>0</v>
      </c>
      <c r="CL424" s="17">
        <f t="shared" si="346"/>
        <v>0</v>
      </c>
      <c r="CM424" s="14">
        <f t="shared" si="347"/>
        <v>9276</v>
      </c>
      <c r="CN424" s="17">
        <f t="shared" si="348"/>
        <v>17.88377800015752</v>
      </c>
      <c r="CO424" s="14">
        <f t="shared" si="349"/>
        <v>10336</v>
      </c>
      <c r="CP424" s="17">
        <f t="shared" si="350"/>
        <v>19.927418004487723</v>
      </c>
      <c r="CQ424" s="14">
        <f t="shared" si="324"/>
        <v>11068</v>
      </c>
      <c r="CR424" s="14">
        <v>1037</v>
      </c>
      <c r="CS424" s="14">
        <v>1839</v>
      </c>
      <c r="CT424" s="14">
        <v>0</v>
      </c>
      <c r="CU424" s="14">
        <v>2324</v>
      </c>
    </row>
    <row r="425" spans="1:99" x14ac:dyDescent="0.3">
      <c r="A425" s="14">
        <v>2017</v>
      </c>
      <c r="B425" s="14" t="s">
        <v>77</v>
      </c>
      <c r="C425" s="14" t="s">
        <v>78</v>
      </c>
      <c r="D425" s="15">
        <v>175040.4</v>
      </c>
      <c r="E425" s="15">
        <v>5312339.5000000009</v>
      </c>
      <c r="F425" s="15">
        <f t="shared" si="325"/>
        <v>30.349219380211661</v>
      </c>
      <c r="AB425" s="14">
        <f t="shared" si="326"/>
        <v>0</v>
      </c>
      <c r="AM425" s="14">
        <f t="shared" si="327"/>
        <v>0</v>
      </c>
      <c r="AQ425" s="14">
        <f t="shared" si="328"/>
        <v>0</v>
      </c>
      <c r="AT425" s="14">
        <f t="shared" si="329"/>
        <v>0</v>
      </c>
      <c r="AU425" s="16">
        <v>0</v>
      </c>
      <c r="AV425" s="16">
        <v>0</v>
      </c>
      <c r="AW425" s="16">
        <v>0</v>
      </c>
      <c r="AX425" s="16">
        <v>0</v>
      </c>
      <c r="AY425" s="18">
        <f t="shared" si="330"/>
        <v>0</v>
      </c>
      <c r="AZ425" s="17">
        <f t="shared" si="331"/>
        <v>0</v>
      </c>
      <c r="BA425" s="17">
        <f t="shared" si="332"/>
        <v>0</v>
      </c>
      <c r="BB425" s="17">
        <f t="shared" si="333"/>
        <v>0</v>
      </c>
      <c r="BC425" s="17">
        <f t="shared" si="301"/>
        <v>0</v>
      </c>
      <c r="BD425" s="17">
        <f t="shared" si="302"/>
        <v>0</v>
      </c>
      <c r="BE425" s="17">
        <f t="shared" si="303"/>
        <v>0</v>
      </c>
      <c r="BF425" s="17">
        <f t="shared" si="304"/>
        <v>0</v>
      </c>
      <c r="BG425" s="17">
        <f t="shared" si="305"/>
        <v>0</v>
      </c>
      <c r="BH425" s="17">
        <f t="shared" si="306"/>
        <v>0</v>
      </c>
      <c r="BI425" s="17">
        <f t="shared" si="307"/>
        <v>0</v>
      </c>
      <c r="BJ425" s="17">
        <f t="shared" si="308"/>
        <v>0</v>
      </c>
      <c r="BK425" s="17">
        <f t="shared" si="309"/>
        <v>0</v>
      </c>
      <c r="BL425" s="17">
        <f t="shared" si="310"/>
        <v>0</v>
      </c>
      <c r="BM425" s="17">
        <f t="shared" si="311"/>
        <v>0</v>
      </c>
      <c r="BN425" s="17">
        <f t="shared" si="312"/>
        <v>0</v>
      </c>
      <c r="BO425" s="17">
        <f t="shared" si="313"/>
        <v>0</v>
      </c>
      <c r="BP425" s="17">
        <f t="shared" si="314"/>
        <v>0</v>
      </c>
      <c r="BQ425" s="17">
        <f t="shared" si="315"/>
        <v>0</v>
      </c>
      <c r="BR425" s="17">
        <f t="shared" si="316"/>
        <v>0</v>
      </c>
      <c r="BS425" s="17">
        <f t="shared" si="317"/>
        <v>0</v>
      </c>
      <c r="BT425" s="17">
        <f t="shared" si="318"/>
        <v>0</v>
      </c>
      <c r="BU425" s="17">
        <f t="shared" si="319"/>
        <v>0</v>
      </c>
      <c r="BV425" s="17">
        <f t="shared" si="320"/>
        <v>0</v>
      </c>
      <c r="BW425" s="17">
        <f t="shared" si="321"/>
        <v>0</v>
      </c>
      <c r="BX425" s="17">
        <f t="shared" si="322"/>
        <v>0</v>
      </c>
      <c r="BY425" s="17">
        <f t="shared" si="323"/>
        <v>0</v>
      </c>
      <c r="BZ425" s="17">
        <f t="shared" si="334"/>
        <v>0</v>
      </c>
      <c r="CA425" s="17">
        <f t="shared" si="335"/>
        <v>0</v>
      </c>
      <c r="CB425" s="17">
        <f t="shared" si="336"/>
        <v>0</v>
      </c>
      <c r="CC425" s="17">
        <f t="shared" si="337"/>
        <v>0</v>
      </c>
      <c r="CD425" s="17">
        <f t="shared" si="338"/>
        <v>0</v>
      </c>
      <c r="CE425" s="17">
        <f t="shared" si="339"/>
        <v>0</v>
      </c>
      <c r="CF425" s="17">
        <f t="shared" si="340"/>
        <v>0</v>
      </c>
      <c r="CG425" s="17">
        <f t="shared" si="341"/>
        <v>0</v>
      </c>
      <c r="CH425" s="17">
        <f t="shared" si="342"/>
        <v>0</v>
      </c>
      <c r="CI425" s="17">
        <f t="shared" si="343"/>
        <v>0</v>
      </c>
      <c r="CJ425" s="17">
        <f t="shared" si="344"/>
        <v>0</v>
      </c>
      <c r="CK425" s="17">
        <f t="shared" si="345"/>
        <v>0</v>
      </c>
      <c r="CL425" s="17">
        <f t="shared" si="346"/>
        <v>0</v>
      </c>
      <c r="CM425" s="14">
        <f t="shared" si="347"/>
        <v>0</v>
      </c>
      <c r="CN425" s="17">
        <f t="shared" si="348"/>
        <v>0</v>
      </c>
      <c r="CO425" s="14">
        <f t="shared" si="349"/>
        <v>0</v>
      </c>
      <c r="CP425" s="17">
        <f t="shared" si="350"/>
        <v>0</v>
      </c>
      <c r="CQ425" s="14">
        <f t="shared" si="324"/>
        <v>0</v>
      </c>
      <c r="CR425" s="14">
        <v>0</v>
      </c>
      <c r="CS425" s="14">
        <v>207</v>
      </c>
      <c r="CT425" s="14">
        <v>0</v>
      </c>
      <c r="CU425" s="14">
        <v>0</v>
      </c>
    </row>
    <row r="426" spans="1:99" x14ac:dyDescent="0.3">
      <c r="A426" s="14">
        <v>2018</v>
      </c>
      <c r="B426" s="14" t="s">
        <v>77</v>
      </c>
      <c r="C426" s="14" t="s">
        <v>78</v>
      </c>
      <c r="D426" s="15">
        <v>175834.5</v>
      </c>
      <c r="E426" s="15">
        <v>5441061.9999999972</v>
      </c>
      <c r="F426" s="15">
        <f t="shared" si="325"/>
        <v>30.944223118898723</v>
      </c>
      <c r="G426" s="14">
        <v>27</v>
      </c>
      <c r="H426" s="14">
        <v>157</v>
      </c>
      <c r="Z426" s="14">
        <v>320</v>
      </c>
      <c r="AB426" s="14">
        <f t="shared" si="326"/>
        <v>0</v>
      </c>
      <c r="AM426" s="14">
        <f t="shared" si="327"/>
        <v>0</v>
      </c>
      <c r="AQ426" s="14">
        <f t="shared" si="328"/>
        <v>0</v>
      </c>
      <c r="AT426" s="14">
        <f t="shared" si="329"/>
        <v>0</v>
      </c>
      <c r="AU426" s="16">
        <v>1088</v>
      </c>
      <c r="AV426" s="16">
        <v>10162</v>
      </c>
      <c r="AW426" s="16">
        <v>0</v>
      </c>
      <c r="AX426" s="16">
        <v>0</v>
      </c>
      <c r="AY426" s="18">
        <f t="shared" si="330"/>
        <v>1.9996096350308092</v>
      </c>
      <c r="AZ426" s="17">
        <f t="shared" si="331"/>
        <v>18.676501021307981</v>
      </c>
      <c r="BA426" s="17">
        <f t="shared" si="332"/>
        <v>0</v>
      </c>
      <c r="BB426" s="17">
        <f t="shared" si="333"/>
        <v>0</v>
      </c>
      <c r="BC426" s="17">
        <f t="shared" si="301"/>
        <v>4.9622665575213103E-2</v>
      </c>
      <c r="BD426" s="17">
        <f t="shared" si="302"/>
        <v>0.28854661093735023</v>
      </c>
      <c r="BE426" s="17">
        <f t="shared" si="303"/>
        <v>0</v>
      </c>
      <c r="BF426" s="17">
        <f t="shared" si="304"/>
        <v>0</v>
      </c>
      <c r="BG426" s="17">
        <f t="shared" si="305"/>
        <v>0</v>
      </c>
      <c r="BH426" s="17">
        <f t="shared" si="306"/>
        <v>0</v>
      </c>
      <c r="BI426" s="17">
        <f t="shared" si="307"/>
        <v>0</v>
      </c>
      <c r="BJ426" s="17">
        <f t="shared" si="308"/>
        <v>0</v>
      </c>
      <c r="BK426" s="17">
        <f t="shared" si="309"/>
        <v>0</v>
      </c>
      <c r="BL426" s="17">
        <f t="shared" si="310"/>
        <v>0</v>
      </c>
      <c r="BM426" s="17">
        <f t="shared" si="311"/>
        <v>0</v>
      </c>
      <c r="BN426" s="17">
        <f t="shared" si="312"/>
        <v>0</v>
      </c>
      <c r="BO426" s="17">
        <f t="shared" si="313"/>
        <v>0</v>
      </c>
      <c r="BP426" s="17">
        <f t="shared" si="314"/>
        <v>0</v>
      </c>
      <c r="BQ426" s="17">
        <f t="shared" si="315"/>
        <v>0</v>
      </c>
      <c r="BR426" s="17">
        <f t="shared" si="316"/>
        <v>0</v>
      </c>
      <c r="BS426" s="17">
        <f t="shared" si="317"/>
        <v>0</v>
      </c>
      <c r="BT426" s="17">
        <f t="shared" si="318"/>
        <v>0</v>
      </c>
      <c r="BU426" s="17">
        <f t="shared" si="319"/>
        <v>0</v>
      </c>
      <c r="BV426" s="17">
        <f t="shared" si="320"/>
        <v>0.58812048089141455</v>
      </c>
      <c r="BW426" s="17">
        <f t="shared" si="321"/>
        <v>0</v>
      </c>
      <c r="BX426" s="17">
        <f t="shared" si="322"/>
        <v>0</v>
      </c>
      <c r="BY426" s="17">
        <f t="shared" si="323"/>
        <v>0</v>
      </c>
      <c r="BZ426" s="17">
        <f t="shared" si="334"/>
        <v>0</v>
      </c>
      <c r="CA426" s="17">
        <f t="shared" si="335"/>
        <v>0</v>
      </c>
      <c r="CB426" s="17">
        <f t="shared" si="336"/>
        <v>0</v>
      </c>
      <c r="CC426" s="17">
        <f t="shared" si="337"/>
        <v>0</v>
      </c>
      <c r="CD426" s="17">
        <f t="shared" si="338"/>
        <v>0</v>
      </c>
      <c r="CE426" s="17">
        <f t="shared" si="339"/>
        <v>0</v>
      </c>
      <c r="CF426" s="17">
        <f t="shared" si="340"/>
        <v>0</v>
      </c>
      <c r="CG426" s="17">
        <f t="shared" si="341"/>
        <v>0</v>
      </c>
      <c r="CH426" s="17">
        <f t="shared" si="342"/>
        <v>0</v>
      </c>
      <c r="CI426" s="17">
        <f t="shared" si="343"/>
        <v>0</v>
      </c>
      <c r="CJ426" s="17">
        <f t="shared" si="344"/>
        <v>0</v>
      </c>
      <c r="CK426" s="17">
        <f t="shared" si="345"/>
        <v>0</v>
      </c>
      <c r="CL426" s="17">
        <f t="shared" si="346"/>
        <v>0</v>
      </c>
      <c r="CM426" s="14">
        <f t="shared" si="347"/>
        <v>10162</v>
      </c>
      <c r="CN426" s="17">
        <f t="shared" si="348"/>
        <v>18.676501021307981</v>
      </c>
      <c r="CO426" s="14">
        <f t="shared" si="349"/>
        <v>11250</v>
      </c>
      <c r="CP426" s="17">
        <f t="shared" si="350"/>
        <v>20.676110656338793</v>
      </c>
      <c r="CQ426" s="14">
        <f t="shared" si="324"/>
        <v>11754</v>
      </c>
      <c r="CR426" s="14">
        <v>0</v>
      </c>
      <c r="CS426" s="14">
        <v>0</v>
      </c>
      <c r="CT426" s="14">
        <v>0</v>
      </c>
      <c r="CU426" s="14">
        <v>0</v>
      </c>
    </row>
    <row r="427" spans="1:99" x14ac:dyDescent="0.3">
      <c r="A427" s="14">
        <v>2019</v>
      </c>
      <c r="B427" s="14" t="s">
        <v>77</v>
      </c>
      <c r="C427" s="14" t="s">
        <v>78</v>
      </c>
      <c r="D427" s="15">
        <v>176455.7</v>
      </c>
      <c r="E427" s="15">
        <v>5570732.4999999953</v>
      </c>
      <c r="F427" s="15">
        <f t="shared" si="325"/>
        <v>31.570147634788761</v>
      </c>
      <c r="AB427" s="14">
        <f t="shared" si="326"/>
        <v>0</v>
      </c>
      <c r="AM427" s="14">
        <f t="shared" si="327"/>
        <v>0</v>
      </c>
      <c r="AQ427" s="14">
        <f t="shared" si="328"/>
        <v>0</v>
      </c>
      <c r="AT427" s="14">
        <f t="shared" si="329"/>
        <v>0</v>
      </c>
      <c r="AU427" s="16">
        <v>0</v>
      </c>
      <c r="AV427" s="16">
        <v>0</v>
      </c>
      <c r="AW427" s="16">
        <v>0</v>
      </c>
      <c r="AX427" s="16">
        <v>0</v>
      </c>
      <c r="AY427" s="18">
        <f t="shared" si="330"/>
        <v>0</v>
      </c>
      <c r="AZ427" s="17">
        <f t="shared" si="331"/>
        <v>0</v>
      </c>
      <c r="BA427" s="17">
        <f t="shared" si="332"/>
        <v>0</v>
      </c>
      <c r="BB427" s="17">
        <f t="shared" si="333"/>
        <v>0</v>
      </c>
      <c r="BC427" s="17">
        <f t="shared" si="301"/>
        <v>0</v>
      </c>
      <c r="BD427" s="17">
        <f t="shared" si="302"/>
        <v>0</v>
      </c>
      <c r="BE427" s="17">
        <f t="shared" si="303"/>
        <v>0</v>
      </c>
      <c r="BF427" s="17">
        <f t="shared" si="304"/>
        <v>0</v>
      </c>
      <c r="BG427" s="17">
        <f t="shared" si="305"/>
        <v>0</v>
      </c>
      <c r="BH427" s="17">
        <f t="shared" si="306"/>
        <v>0</v>
      </c>
      <c r="BI427" s="17">
        <f t="shared" si="307"/>
        <v>0</v>
      </c>
      <c r="BJ427" s="17">
        <f t="shared" si="308"/>
        <v>0</v>
      </c>
      <c r="BK427" s="17">
        <f t="shared" si="309"/>
        <v>0</v>
      </c>
      <c r="BL427" s="17">
        <f t="shared" si="310"/>
        <v>0</v>
      </c>
      <c r="BM427" s="17">
        <f t="shared" si="311"/>
        <v>0</v>
      </c>
      <c r="BN427" s="17">
        <f t="shared" si="312"/>
        <v>0</v>
      </c>
      <c r="BO427" s="17">
        <f t="shared" si="313"/>
        <v>0</v>
      </c>
      <c r="BP427" s="17">
        <f t="shared" si="314"/>
        <v>0</v>
      </c>
      <c r="BQ427" s="17">
        <f t="shared" si="315"/>
        <v>0</v>
      </c>
      <c r="BR427" s="17">
        <f t="shared" si="316"/>
        <v>0</v>
      </c>
      <c r="BS427" s="17">
        <f t="shared" si="317"/>
        <v>0</v>
      </c>
      <c r="BT427" s="17">
        <f t="shared" si="318"/>
        <v>0</v>
      </c>
      <c r="BU427" s="17">
        <f t="shared" si="319"/>
        <v>0</v>
      </c>
      <c r="BV427" s="17">
        <f t="shared" si="320"/>
        <v>0</v>
      </c>
      <c r="BW427" s="17">
        <f t="shared" si="321"/>
        <v>0</v>
      </c>
      <c r="BX427" s="17">
        <f t="shared" si="322"/>
        <v>0</v>
      </c>
      <c r="BY427" s="17">
        <f t="shared" si="323"/>
        <v>0</v>
      </c>
      <c r="BZ427" s="17">
        <f t="shared" si="334"/>
        <v>0</v>
      </c>
      <c r="CA427" s="17">
        <f t="shared" si="335"/>
        <v>0</v>
      </c>
      <c r="CB427" s="17">
        <f t="shared" si="336"/>
        <v>0</v>
      </c>
      <c r="CC427" s="17">
        <f t="shared" si="337"/>
        <v>0</v>
      </c>
      <c r="CD427" s="17">
        <f t="shared" si="338"/>
        <v>0</v>
      </c>
      <c r="CE427" s="17">
        <f t="shared" si="339"/>
        <v>0</v>
      </c>
      <c r="CF427" s="17">
        <f t="shared" si="340"/>
        <v>0</v>
      </c>
      <c r="CG427" s="17">
        <f t="shared" si="341"/>
        <v>0</v>
      </c>
      <c r="CH427" s="17">
        <f t="shared" si="342"/>
        <v>0</v>
      </c>
      <c r="CI427" s="17">
        <f t="shared" si="343"/>
        <v>0</v>
      </c>
      <c r="CJ427" s="17">
        <f t="shared" si="344"/>
        <v>0</v>
      </c>
      <c r="CK427" s="17">
        <f t="shared" si="345"/>
        <v>0</v>
      </c>
      <c r="CL427" s="17">
        <f t="shared" si="346"/>
        <v>0</v>
      </c>
      <c r="CM427" s="14">
        <f t="shared" si="347"/>
        <v>0</v>
      </c>
      <c r="CN427" s="17">
        <f t="shared" si="348"/>
        <v>0</v>
      </c>
      <c r="CO427" s="14">
        <f t="shared" si="349"/>
        <v>0</v>
      </c>
      <c r="CP427" s="17">
        <f t="shared" si="350"/>
        <v>0</v>
      </c>
      <c r="CQ427" s="14">
        <f t="shared" si="324"/>
        <v>0</v>
      </c>
      <c r="CR427" s="14">
        <v>0</v>
      </c>
      <c r="CS427" s="14">
        <v>0</v>
      </c>
      <c r="CT427" s="14">
        <v>0</v>
      </c>
      <c r="CU427" s="14">
        <v>0</v>
      </c>
    </row>
    <row r="428" spans="1:99" x14ac:dyDescent="0.3">
      <c r="A428" s="14">
        <v>2020</v>
      </c>
      <c r="B428" s="14" t="s">
        <v>77</v>
      </c>
      <c r="C428" s="14" t="s">
        <v>78</v>
      </c>
      <c r="D428" s="15">
        <v>177536.2</v>
      </c>
      <c r="E428" s="15">
        <v>5702174</v>
      </c>
      <c r="F428" s="15">
        <f t="shared" si="325"/>
        <v>32.118373604932401</v>
      </c>
      <c r="AB428" s="14">
        <f t="shared" si="326"/>
        <v>0</v>
      </c>
      <c r="AM428" s="14">
        <f t="shared" si="327"/>
        <v>0</v>
      </c>
      <c r="AQ428" s="14">
        <f t="shared" si="328"/>
        <v>0</v>
      </c>
      <c r="AT428" s="14">
        <f t="shared" si="329"/>
        <v>0</v>
      </c>
      <c r="AU428" s="16">
        <v>0</v>
      </c>
      <c r="AV428" s="16">
        <v>0</v>
      </c>
      <c r="AW428" s="16">
        <v>0</v>
      </c>
      <c r="AX428" s="16">
        <v>0</v>
      </c>
      <c r="AY428" s="18">
        <f t="shared" si="330"/>
        <v>0</v>
      </c>
      <c r="AZ428" s="17">
        <f t="shared" si="331"/>
        <v>0</v>
      </c>
      <c r="BA428" s="17">
        <f t="shared" si="332"/>
        <v>0</v>
      </c>
      <c r="BB428" s="17">
        <f t="shared" si="333"/>
        <v>0</v>
      </c>
      <c r="BC428" s="17">
        <f t="shared" si="301"/>
        <v>0</v>
      </c>
      <c r="BD428" s="17">
        <f t="shared" si="302"/>
        <v>0</v>
      </c>
      <c r="BE428" s="17">
        <f t="shared" si="303"/>
        <v>0</v>
      </c>
      <c r="BF428" s="17">
        <f t="shared" si="304"/>
        <v>0</v>
      </c>
      <c r="BG428" s="17">
        <f t="shared" si="305"/>
        <v>0</v>
      </c>
      <c r="BH428" s="17">
        <f t="shared" si="306"/>
        <v>0</v>
      </c>
      <c r="BI428" s="17">
        <f t="shared" si="307"/>
        <v>0</v>
      </c>
      <c r="BJ428" s="17">
        <f t="shared" si="308"/>
        <v>0</v>
      </c>
      <c r="BK428" s="17">
        <f t="shared" si="309"/>
        <v>0</v>
      </c>
      <c r="BL428" s="17">
        <f t="shared" si="310"/>
        <v>0</v>
      </c>
      <c r="BM428" s="17">
        <f t="shared" si="311"/>
        <v>0</v>
      </c>
      <c r="BN428" s="17">
        <f t="shared" si="312"/>
        <v>0</v>
      </c>
      <c r="BO428" s="17">
        <f t="shared" si="313"/>
        <v>0</v>
      </c>
      <c r="BP428" s="17">
        <f t="shared" si="314"/>
        <v>0</v>
      </c>
      <c r="BQ428" s="17">
        <f t="shared" si="315"/>
        <v>0</v>
      </c>
      <c r="BR428" s="17">
        <f t="shared" si="316"/>
        <v>0</v>
      </c>
      <c r="BS428" s="17">
        <f t="shared" si="317"/>
        <v>0</v>
      </c>
      <c r="BT428" s="17">
        <f t="shared" si="318"/>
        <v>0</v>
      </c>
      <c r="BU428" s="17">
        <f t="shared" si="319"/>
        <v>0</v>
      </c>
      <c r="BV428" s="17">
        <f t="shared" si="320"/>
        <v>0</v>
      </c>
      <c r="BW428" s="17">
        <f t="shared" si="321"/>
        <v>0</v>
      </c>
      <c r="BX428" s="17">
        <f t="shared" si="322"/>
        <v>0</v>
      </c>
      <c r="BY428" s="17">
        <f t="shared" si="323"/>
        <v>0</v>
      </c>
      <c r="BZ428" s="17">
        <f t="shared" si="334"/>
        <v>0</v>
      </c>
      <c r="CA428" s="17">
        <f t="shared" si="335"/>
        <v>0</v>
      </c>
      <c r="CB428" s="17">
        <f t="shared" si="336"/>
        <v>0</v>
      </c>
      <c r="CC428" s="17">
        <f t="shared" si="337"/>
        <v>0</v>
      </c>
      <c r="CD428" s="17">
        <f t="shared" si="338"/>
        <v>0</v>
      </c>
      <c r="CE428" s="17">
        <f t="shared" si="339"/>
        <v>0</v>
      </c>
      <c r="CF428" s="17">
        <f t="shared" si="340"/>
        <v>0</v>
      </c>
      <c r="CG428" s="17">
        <f t="shared" si="341"/>
        <v>0</v>
      </c>
      <c r="CH428" s="17">
        <f t="shared" si="342"/>
        <v>0</v>
      </c>
      <c r="CI428" s="17">
        <f t="shared" si="343"/>
        <v>0</v>
      </c>
      <c r="CJ428" s="17">
        <f t="shared" si="344"/>
        <v>0</v>
      </c>
      <c r="CK428" s="17">
        <f t="shared" si="345"/>
        <v>0</v>
      </c>
      <c r="CL428" s="17">
        <f t="shared" si="346"/>
        <v>0</v>
      </c>
      <c r="CM428" s="14">
        <f t="shared" si="347"/>
        <v>0</v>
      </c>
      <c r="CN428" s="17">
        <f t="shared" si="348"/>
        <v>0</v>
      </c>
      <c r="CO428" s="14">
        <f t="shared" si="349"/>
        <v>0</v>
      </c>
      <c r="CP428" s="17">
        <f t="shared" si="350"/>
        <v>0</v>
      </c>
      <c r="CQ428" s="14">
        <f t="shared" si="324"/>
        <v>0</v>
      </c>
      <c r="CR428" s="14">
        <v>0</v>
      </c>
      <c r="CS428" s="14">
        <v>283</v>
      </c>
      <c r="CT428" s="14">
        <v>582</v>
      </c>
      <c r="CU428" s="14">
        <v>0</v>
      </c>
    </row>
    <row r="429" spans="1:99" x14ac:dyDescent="0.3">
      <c r="A429" s="14">
        <v>2021</v>
      </c>
      <c r="B429" s="14" t="s">
        <v>77</v>
      </c>
      <c r="C429" s="14" t="s">
        <v>78</v>
      </c>
      <c r="D429" s="15">
        <v>179200.3</v>
      </c>
      <c r="E429" s="15">
        <v>5835806.0000000009</v>
      </c>
      <c r="F429" s="15">
        <f t="shared" si="325"/>
        <v>32.565827177744687</v>
      </c>
      <c r="AB429" s="14">
        <f t="shared" si="326"/>
        <v>0</v>
      </c>
      <c r="AM429" s="14">
        <f t="shared" si="327"/>
        <v>0</v>
      </c>
      <c r="AQ429" s="14">
        <f t="shared" si="328"/>
        <v>0</v>
      </c>
      <c r="AT429" s="14">
        <f t="shared" si="329"/>
        <v>0</v>
      </c>
      <c r="AU429" s="16">
        <v>0</v>
      </c>
      <c r="AV429" s="16">
        <v>0</v>
      </c>
      <c r="AW429" s="16">
        <v>0</v>
      </c>
      <c r="AX429" s="16">
        <v>0</v>
      </c>
      <c r="AY429" s="18">
        <f t="shared" si="330"/>
        <v>0</v>
      </c>
      <c r="AZ429" s="17">
        <f t="shared" si="331"/>
        <v>0</v>
      </c>
      <c r="BA429" s="17">
        <f t="shared" si="332"/>
        <v>0</v>
      </c>
      <c r="BB429" s="17">
        <f t="shared" si="333"/>
        <v>0</v>
      </c>
      <c r="BC429" s="17">
        <f t="shared" si="301"/>
        <v>0</v>
      </c>
      <c r="BD429" s="17">
        <f t="shared" si="302"/>
        <v>0</v>
      </c>
      <c r="BE429" s="17">
        <f t="shared" si="303"/>
        <v>0</v>
      </c>
      <c r="BF429" s="17">
        <f t="shared" si="304"/>
        <v>0</v>
      </c>
      <c r="BG429" s="17">
        <f t="shared" si="305"/>
        <v>0</v>
      </c>
      <c r="BH429" s="17">
        <f t="shared" si="306"/>
        <v>0</v>
      </c>
      <c r="BI429" s="17">
        <f t="shared" si="307"/>
        <v>0</v>
      </c>
      <c r="BJ429" s="17">
        <f t="shared" si="308"/>
        <v>0</v>
      </c>
      <c r="BK429" s="17">
        <f t="shared" si="309"/>
        <v>0</v>
      </c>
      <c r="BL429" s="17">
        <f t="shared" si="310"/>
        <v>0</v>
      </c>
      <c r="BM429" s="17">
        <f t="shared" si="311"/>
        <v>0</v>
      </c>
      <c r="BN429" s="17">
        <f t="shared" si="312"/>
        <v>0</v>
      </c>
      <c r="BO429" s="17">
        <f t="shared" si="313"/>
        <v>0</v>
      </c>
      <c r="BP429" s="17">
        <f t="shared" si="314"/>
        <v>0</v>
      </c>
      <c r="BQ429" s="17">
        <f t="shared" si="315"/>
        <v>0</v>
      </c>
      <c r="BR429" s="17">
        <f t="shared" si="316"/>
        <v>0</v>
      </c>
      <c r="BS429" s="17">
        <f t="shared" si="317"/>
        <v>0</v>
      </c>
      <c r="BT429" s="17">
        <f t="shared" si="318"/>
        <v>0</v>
      </c>
      <c r="BU429" s="17">
        <f t="shared" si="319"/>
        <v>0</v>
      </c>
      <c r="BV429" s="17">
        <f t="shared" si="320"/>
        <v>0</v>
      </c>
      <c r="BW429" s="17">
        <f t="shared" si="321"/>
        <v>0</v>
      </c>
      <c r="BX429" s="17">
        <f t="shared" si="322"/>
        <v>0</v>
      </c>
      <c r="BY429" s="17">
        <f t="shared" si="323"/>
        <v>0</v>
      </c>
      <c r="BZ429" s="17">
        <f t="shared" si="334"/>
        <v>0</v>
      </c>
      <c r="CA429" s="17">
        <f t="shared" si="335"/>
        <v>0</v>
      </c>
      <c r="CB429" s="17">
        <f t="shared" si="336"/>
        <v>0</v>
      </c>
      <c r="CC429" s="17">
        <f t="shared" si="337"/>
        <v>0</v>
      </c>
      <c r="CD429" s="17">
        <f t="shared" si="338"/>
        <v>0</v>
      </c>
      <c r="CE429" s="17">
        <f t="shared" si="339"/>
        <v>0</v>
      </c>
      <c r="CF429" s="17">
        <f t="shared" si="340"/>
        <v>0</v>
      </c>
      <c r="CG429" s="17">
        <f t="shared" si="341"/>
        <v>0</v>
      </c>
      <c r="CH429" s="17">
        <f t="shared" si="342"/>
        <v>0</v>
      </c>
      <c r="CI429" s="17">
        <f t="shared" si="343"/>
        <v>0</v>
      </c>
      <c r="CJ429" s="17">
        <f t="shared" si="344"/>
        <v>0</v>
      </c>
      <c r="CK429" s="17">
        <f t="shared" si="345"/>
        <v>0</v>
      </c>
      <c r="CL429" s="17">
        <f t="shared" si="346"/>
        <v>0</v>
      </c>
      <c r="CM429" s="14">
        <f t="shared" si="347"/>
        <v>0</v>
      </c>
      <c r="CN429" s="17">
        <f t="shared" si="348"/>
        <v>0</v>
      </c>
      <c r="CO429" s="14">
        <f t="shared" si="349"/>
        <v>0</v>
      </c>
      <c r="CP429" s="17">
        <f t="shared" si="350"/>
        <v>0</v>
      </c>
      <c r="CQ429" s="14">
        <f t="shared" si="324"/>
        <v>0</v>
      </c>
      <c r="CR429" s="14">
        <v>0</v>
      </c>
      <c r="CS429" s="14">
        <v>0</v>
      </c>
      <c r="CT429" s="14">
        <v>0</v>
      </c>
      <c r="CU429" s="14">
        <v>0</v>
      </c>
    </row>
    <row r="430" spans="1:99" x14ac:dyDescent="0.3">
      <c r="A430" s="14">
        <v>2022</v>
      </c>
      <c r="B430" s="14" t="s">
        <v>77</v>
      </c>
      <c r="C430" s="14" t="s">
        <v>78</v>
      </c>
      <c r="D430" s="15">
        <v>180285.9</v>
      </c>
      <c r="E430" s="15">
        <v>5970424.0000000009</v>
      </c>
      <c r="F430" s="15">
        <f t="shared" si="325"/>
        <v>33.116422304794781</v>
      </c>
      <c r="G430" s="14">
        <v>9</v>
      </c>
      <c r="H430" s="14">
        <v>28</v>
      </c>
      <c r="I430" s="14">
        <v>2442</v>
      </c>
      <c r="Y430" s="14">
        <v>777</v>
      </c>
      <c r="AB430" s="14">
        <f t="shared" si="326"/>
        <v>0</v>
      </c>
      <c r="AJ430" s="14">
        <v>80</v>
      </c>
      <c r="AM430" s="14">
        <f t="shared" si="327"/>
        <v>0</v>
      </c>
      <c r="AQ430" s="14">
        <f t="shared" si="328"/>
        <v>0</v>
      </c>
      <c r="AT430" s="14">
        <f t="shared" si="329"/>
        <v>0</v>
      </c>
      <c r="AU430" s="16">
        <v>2339</v>
      </c>
      <c r="AV430" s="16">
        <v>11146</v>
      </c>
      <c r="AW430" s="16">
        <v>1814</v>
      </c>
      <c r="AX430" s="16">
        <v>0</v>
      </c>
      <c r="AY430" s="18">
        <f t="shared" si="330"/>
        <v>3.9176447099904457</v>
      </c>
      <c r="AZ430" s="17">
        <f t="shared" si="331"/>
        <v>18.668690866846305</v>
      </c>
      <c r="BA430" s="17">
        <f t="shared" si="332"/>
        <v>3.0383101769656555</v>
      </c>
      <c r="BB430" s="17">
        <f t="shared" si="333"/>
        <v>0</v>
      </c>
      <c r="BC430" s="17">
        <f t="shared" si="301"/>
        <v>1.5074306280424972E-2</v>
      </c>
      <c r="BD430" s="17">
        <f t="shared" si="302"/>
        <v>4.689784176132214E-2</v>
      </c>
      <c r="BE430" s="17">
        <f t="shared" si="303"/>
        <v>4.0901617707553095</v>
      </c>
      <c r="BF430" s="17">
        <f t="shared" si="304"/>
        <v>0</v>
      </c>
      <c r="BG430" s="17">
        <f t="shared" si="305"/>
        <v>0</v>
      </c>
      <c r="BH430" s="17">
        <f t="shared" si="306"/>
        <v>0</v>
      </c>
      <c r="BI430" s="17">
        <f t="shared" si="307"/>
        <v>0</v>
      </c>
      <c r="BJ430" s="17">
        <f t="shared" si="308"/>
        <v>0</v>
      </c>
      <c r="BK430" s="17">
        <f t="shared" si="309"/>
        <v>0</v>
      </c>
      <c r="BL430" s="17">
        <f t="shared" si="310"/>
        <v>0</v>
      </c>
      <c r="BM430" s="17">
        <f t="shared" si="311"/>
        <v>0</v>
      </c>
      <c r="BN430" s="17">
        <f t="shared" si="312"/>
        <v>0</v>
      </c>
      <c r="BO430" s="17">
        <f t="shared" si="313"/>
        <v>0</v>
      </c>
      <c r="BP430" s="17">
        <f t="shared" si="314"/>
        <v>0</v>
      </c>
      <c r="BQ430" s="17">
        <f t="shared" si="315"/>
        <v>0</v>
      </c>
      <c r="BR430" s="17">
        <f t="shared" si="316"/>
        <v>0</v>
      </c>
      <c r="BS430" s="17">
        <f t="shared" si="317"/>
        <v>0</v>
      </c>
      <c r="BT430" s="17">
        <f t="shared" si="318"/>
        <v>0</v>
      </c>
      <c r="BU430" s="17">
        <f t="shared" si="319"/>
        <v>1.3014151088766892</v>
      </c>
      <c r="BV430" s="17">
        <f t="shared" si="320"/>
        <v>0</v>
      </c>
      <c r="BW430" s="17">
        <f t="shared" si="321"/>
        <v>0</v>
      </c>
      <c r="BX430" s="17">
        <f t="shared" si="322"/>
        <v>0</v>
      </c>
      <c r="BY430" s="17">
        <f t="shared" si="323"/>
        <v>0</v>
      </c>
      <c r="BZ430" s="17">
        <f t="shared" si="334"/>
        <v>0</v>
      </c>
      <c r="CA430" s="17">
        <f t="shared" si="335"/>
        <v>0</v>
      </c>
      <c r="CB430" s="17">
        <f t="shared" si="336"/>
        <v>0</v>
      </c>
      <c r="CC430" s="17">
        <f t="shared" si="337"/>
        <v>0</v>
      </c>
      <c r="CD430" s="17">
        <f t="shared" si="338"/>
        <v>0</v>
      </c>
      <c r="CE430" s="17">
        <f t="shared" si="339"/>
        <v>0.13399383360377753</v>
      </c>
      <c r="CF430" s="17">
        <f t="shared" si="340"/>
        <v>0</v>
      </c>
      <c r="CG430" s="17">
        <f t="shared" si="341"/>
        <v>0</v>
      </c>
      <c r="CH430" s="17">
        <f t="shared" si="342"/>
        <v>0</v>
      </c>
      <c r="CI430" s="17">
        <f t="shared" si="343"/>
        <v>0</v>
      </c>
      <c r="CJ430" s="17">
        <f t="shared" si="344"/>
        <v>0</v>
      </c>
      <c r="CK430" s="17">
        <f t="shared" si="345"/>
        <v>0</v>
      </c>
      <c r="CL430" s="17">
        <f t="shared" si="346"/>
        <v>0</v>
      </c>
      <c r="CM430" s="14">
        <f t="shared" si="347"/>
        <v>12960</v>
      </c>
      <c r="CN430" s="17">
        <f t="shared" si="348"/>
        <v>21.70700104381196</v>
      </c>
      <c r="CO430" s="14">
        <f t="shared" si="349"/>
        <v>15299</v>
      </c>
      <c r="CP430" s="17">
        <f t="shared" si="350"/>
        <v>25.624645753802405</v>
      </c>
      <c r="CQ430" s="14">
        <f t="shared" si="324"/>
        <v>18635</v>
      </c>
      <c r="CR430" s="14">
        <v>0</v>
      </c>
      <c r="CS430" s="14">
        <v>0</v>
      </c>
      <c r="CT430" s="14">
        <v>0</v>
      </c>
      <c r="CU430" s="14">
        <v>0</v>
      </c>
    </row>
    <row r="431" spans="1:99" x14ac:dyDescent="0.3">
      <c r="A431" s="14">
        <v>2012</v>
      </c>
      <c r="B431" s="14" t="s">
        <v>79</v>
      </c>
      <c r="C431" s="14" t="s">
        <v>80</v>
      </c>
      <c r="D431" s="15">
        <v>819636.9</v>
      </c>
      <c r="E431" s="15">
        <v>17954407.000000004</v>
      </c>
      <c r="F431" s="15">
        <f t="shared" si="325"/>
        <v>21.905318074381476</v>
      </c>
      <c r="H431" s="14">
        <v>53</v>
      </c>
      <c r="AB431" s="14">
        <f t="shared" si="326"/>
        <v>0</v>
      </c>
      <c r="AM431" s="14">
        <f t="shared" si="327"/>
        <v>0</v>
      </c>
      <c r="AQ431" s="14">
        <f t="shared" si="328"/>
        <v>0</v>
      </c>
      <c r="AT431" s="14">
        <f t="shared" si="329"/>
        <v>0</v>
      </c>
      <c r="AU431" s="16">
        <v>1904</v>
      </c>
      <c r="AV431" s="16">
        <v>0</v>
      </c>
      <c r="AW431" s="16">
        <v>1788</v>
      </c>
      <c r="AX431" s="16">
        <v>0</v>
      </c>
      <c r="AY431" s="18">
        <f t="shared" si="330"/>
        <v>1.060463873855594</v>
      </c>
      <c r="AZ431" s="17">
        <f t="shared" si="331"/>
        <v>0</v>
      </c>
      <c r="BA431" s="17">
        <f t="shared" si="332"/>
        <v>0.99585578070052638</v>
      </c>
      <c r="BB431" s="17">
        <f t="shared" si="333"/>
        <v>0</v>
      </c>
      <c r="BC431" s="17">
        <f t="shared" si="301"/>
        <v>0</v>
      </c>
      <c r="BD431" s="17">
        <f t="shared" si="302"/>
        <v>2.9519214976022317E-2</v>
      </c>
      <c r="BE431" s="17">
        <f t="shared" si="303"/>
        <v>0</v>
      </c>
      <c r="BF431" s="17">
        <f t="shared" si="304"/>
        <v>0</v>
      </c>
      <c r="BG431" s="17">
        <f t="shared" si="305"/>
        <v>0</v>
      </c>
      <c r="BH431" s="17">
        <f t="shared" si="306"/>
        <v>0</v>
      </c>
      <c r="BI431" s="17">
        <f t="shared" si="307"/>
        <v>0</v>
      </c>
      <c r="BJ431" s="17">
        <f t="shared" si="308"/>
        <v>0</v>
      </c>
      <c r="BK431" s="17">
        <f t="shared" si="309"/>
        <v>0</v>
      </c>
      <c r="BL431" s="17">
        <f t="shared" si="310"/>
        <v>0</v>
      </c>
      <c r="BM431" s="17">
        <f t="shared" si="311"/>
        <v>0</v>
      </c>
      <c r="BN431" s="17">
        <f t="shared" si="312"/>
        <v>0</v>
      </c>
      <c r="BO431" s="17">
        <f t="shared" si="313"/>
        <v>0</v>
      </c>
      <c r="BP431" s="17">
        <f t="shared" si="314"/>
        <v>0</v>
      </c>
      <c r="BQ431" s="17">
        <f t="shared" si="315"/>
        <v>0</v>
      </c>
      <c r="BR431" s="17">
        <f t="shared" si="316"/>
        <v>0</v>
      </c>
      <c r="BS431" s="17">
        <f t="shared" si="317"/>
        <v>0</v>
      </c>
      <c r="BT431" s="17">
        <f t="shared" si="318"/>
        <v>0</v>
      </c>
      <c r="BU431" s="17">
        <f t="shared" si="319"/>
        <v>0</v>
      </c>
      <c r="BV431" s="17">
        <f t="shared" si="320"/>
        <v>0</v>
      </c>
      <c r="BW431" s="17">
        <f t="shared" si="321"/>
        <v>0</v>
      </c>
      <c r="BX431" s="17">
        <f t="shared" si="322"/>
        <v>0</v>
      </c>
      <c r="BY431" s="17">
        <f t="shared" si="323"/>
        <v>0</v>
      </c>
      <c r="BZ431" s="17">
        <f t="shared" si="334"/>
        <v>0</v>
      </c>
      <c r="CA431" s="17">
        <f t="shared" si="335"/>
        <v>0</v>
      </c>
      <c r="CB431" s="17">
        <f t="shared" si="336"/>
        <v>0</v>
      </c>
      <c r="CC431" s="17">
        <f t="shared" si="337"/>
        <v>0</v>
      </c>
      <c r="CD431" s="17">
        <f t="shared" si="338"/>
        <v>0</v>
      </c>
      <c r="CE431" s="17">
        <f t="shared" si="339"/>
        <v>0</v>
      </c>
      <c r="CF431" s="17">
        <f t="shared" si="340"/>
        <v>0</v>
      </c>
      <c r="CG431" s="17">
        <f t="shared" si="341"/>
        <v>0</v>
      </c>
      <c r="CH431" s="17">
        <f t="shared" si="342"/>
        <v>0</v>
      </c>
      <c r="CI431" s="17">
        <f t="shared" si="343"/>
        <v>0</v>
      </c>
      <c r="CJ431" s="17">
        <f t="shared" si="344"/>
        <v>0</v>
      </c>
      <c r="CK431" s="17">
        <f t="shared" si="345"/>
        <v>0</v>
      </c>
      <c r="CL431" s="17">
        <f t="shared" si="346"/>
        <v>0</v>
      </c>
      <c r="CM431" s="14">
        <f t="shared" si="347"/>
        <v>1788</v>
      </c>
      <c r="CN431" s="17">
        <f t="shared" si="348"/>
        <v>0.99585578070052638</v>
      </c>
      <c r="CO431" s="14">
        <f t="shared" si="349"/>
        <v>3692</v>
      </c>
      <c r="CP431" s="17">
        <f t="shared" si="350"/>
        <v>2.0563196545561206</v>
      </c>
      <c r="CQ431" s="14">
        <f t="shared" si="324"/>
        <v>3745</v>
      </c>
      <c r="CR431" s="14">
        <v>0</v>
      </c>
      <c r="CS431" s="14">
        <v>0</v>
      </c>
      <c r="CT431" s="14">
        <v>0</v>
      </c>
      <c r="CU431" s="14">
        <v>0</v>
      </c>
    </row>
    <row r="432" spans="1:99" x14ac:dyDescent="0.3">
      <c r="A432" s="14">
        <v>2013</v>
      </c>
      <c r="B432" s="14" t="s">
        <v>79</v>
      </c>
      <c r="C432" s="14" t="s">
        <v>80</v>
      </c>
      <c r="D432" s="15">
        <v>845295.7</v>
      </c>
      <c r="E432" s="15">
        <v>18653199</v>
      </c>
      <c r="F432" s="15">
        <f t="shared" si="325"/>
        <v>22.067069547378509</v>
      </c>
      <c r="G432" s="14">
        <v>30</v>
      </c>
      <c r="H432" s="14">
        <v>51</v>
      </c>
      <c r="M432" s="14">
        <v>6560</v>
      </c>
      <c r="AB432" s="14">
        <f t="shared" si="326"/>
        <v>0</v>
      </c>
      <c r="AM432" s="14">
        <f t="shared" si="327"/>
        <v>0</v>
      </c>
      <c r="AQ432" s="14">
        <f t="shared" si="328"/>
        <v>0</v>
      </c>
      <c r="AT432" s="14">
        <f t="shared" si="329"/>
        <v>0</v>
      </c>
      <c r="AU432" s="16">
        <v>1892</v>
      </c>
      <c r="AV432" s="16">
        <v>6578</v>
      </c>
      <c r="AW432" s="16">
        <v>1672</v>
      </c>
      <c r="AX432" s="16">
        <v>0</v>
      </c>
      <c r="AY432" s="18">
        <f t="shared" si="330"/>
        <v>1.0143032302394888</v>
      </c>
      <c r="AZ432" s="17">
        <f t="shared" si="331"/>
        <v>3.5264728586233387</v>
      </c>
      <c r="BA432" s="17">
        <f t="shared" si="332"/>
        <v>0.89636099416512949</v>
      </c>
      <c r="BB432" s="17">
        <f t="shared" si="333"/>
        <v>0</v>
      </c>
      <c r="BC432" s="17">
        <f t="shared" si="301"/>
        <v>1.6083032191958065E-2</v>
      </c>
      <c r="BD432" s="17">
        <f t="shared" si="302"/>
        <v>2.7341154726328712E-2</v>
      </c>
      <c r="BE432" s="17">
        <f t="shared" si="303"/>
        <v>0</v>
      </c>
      <c r="BF432" s="17">
        <f t="shared" si="304"/>
        <v>0</v>
      </c>
      <c r="BG432" s="17">
        <f t="shared" si="305"/>
        <v>0</v>
      </c>
      <c r="BH432" s="17">
        <f t="shared" si="306"/>
        <v>0</v>
      </c>
      <c r="BI432" s="17">
        <f t="shared" si="307"/>
        <v>3.5168230393081639</v>
      </c>
      <c r="BJ432" s="17">
        <f t="shared" si="308"/>
        <v>0</v>
      </c>
      <c r="BK432" s="17">
        <f t="shared" si="309"/>
        <v>0</v>
      </c>
      <c r="BL432" s="17">
        <f t="shared" si="310"/>
        <v>0</v>
      </c>
      <c r="BM432" s="17">
        <f t="shared" si="311"/>
        <v>0</v>
      </c>
      <c r="BN432" s="17">
        <f t="shared" si="312"/>
        <v>0</v>
      </c>
      <c r="BO432" s="17">
        <f t="shared" si="313"/>
        <v>0</v>
      </c>
      <c r="BP432" s="17">
        <f t="shared" si="314"/>
        <v>0</v>
      </c>
      <c r="BQ432" s="17">
        <f t="shared" si="315"/>
        <v>0</v>
      </c>
      <c r="BR432" s="17">
        <f t="shared" si="316"/>
        <v>0</v>
      </c>
      <c r="BS432" s="17">
        <f t="shared" si="317"/>
        <v>0</v>
      </c>
      <c r="BT432" s="17">
        <f t="shared" si="318"/>
        <v>0</v>
      </c>
      <c r="BU432" s="17">
        <f t="shared" si="319"/>
        <v>0</v>
      </c>
      <c r="BV432" s="17">
        <f t="shared" si="320"/>
        <v>0</v>
      </c>
      <c r="BW432" s="17">
        <f t="shared" si="321"/>
        <v>0</v>
      </c>
      <c r="BX432" s="17">
        <f t="shared" si="322"/>
        <v>0</v>
      </c>
      <c r="BY432" s="17">
        <f t="shared" si="323"/>
        <v>0</v>
      </c>
      <c r="BZ432" s="17">
        <f t="shared" si="334"/>
        <v>0</v>
      </c>
      <c r="CA432" s="17">
        <f t="shared" si="335"/>
        <v>0</v>
      </c>
      <c r="CB432" s="17">
        <f t="shared" si="336"/>
        <v>0</v>
      </c>
      <c r="CC432" s="17">
        <f t="shared" si="337"/>
        <v>0</v>
      </c>
      <c r="CD432" s="17">
        <f t="shared" si="338"/>
        <v>0</v>
      </c>
      <c r="CE432" s="17">
        <f t="shared" si="339"/>
        <v>0</v>
      </c>
      <c r="CF432" s="17">
        <f t="shared" si="340"/>
        <v>0</v>
      </c>
      <c r="CG432" s="17">
        <f t="shared" si="341"/>
        <v>0</v>
      </c>
      <c r="CH432" s="17">
        <f t="shared" si="342"/>
        <v>0</v>
      </c>
      <c r="CI432" s="17">
        <f t="shared" si="343"/>
        <v>0</v>
      </c>
      <c r="CJ432" s="17">
        <f t="shared" si="344"/>
        <v>0</v>
      </c>
      <c r="CK432" s="17">
        <f t="shared" si="345"/>
        <v>0</v>
      </c>
      <c r="CL432" s="17">
        <f t="shared" si="346"/>
        <v>0</v>
      </c>
      <c r="CM432" s="14">
        <f t="shared" si="347"/>
        <v>8250</v>
      </c>
      <c r="CN432" s="17">
        <f t="shared" si="348"/>
        <v>4.4228338527884681</v>
      </c>
      <c r="CO432" s="14">
        <f t="shared" si="349"/>
        <v>10142</v>
      </c>
      <c r="CP432" s="17">
        <f t="shared" si="350"/>
        <v>5.4371370830279568</v>
      </c>
      <c r="CQ432" s="14">
        <f t="shared" si="324"/>
        <v>16783</v>
      </c>
      <c r="CR432" s="14">
        <v>0</v>
      </c>
      <c r="CS432" s="14">
        <v>0</v>
      </c>
      <c r="CT432" s="14">
        <v>0</v>
      </c>
      <c r="CU432" s="14">
        <v>0</v>
      </c>
    </row>
    <row r="433" spans="1:99" x14ac:dyDescent="0.3">
      <c r="A433" s="14">
        <v>2014</v>
      </c>
      <c r="B433" s="14" t="s">
        <v>79</v>
      </c>
      <c r="C433" s="14" t="s">
        <v>80</v>
      </c>
      <c r="D433" s="15">
        <v>873411.1</v>
      </c>
      <c r="E433" s="15">
        <v>19372013.999999993</v>
      </c>
      <c r="F433" s="15">
        <f t="shared" si="325"/>
        <v>22.179720408865876</v>
      </c>
      <c r="G433" s="14">
        <v>21</v>
      </c>
      <c r="AB433" s="14">
        <f t="shared" si="326"/>
        <v>0</v>
      </c>
      <c r="AM433" s="14">
        <f t="shared" si="327"/>
        <v>0</v>
      </c>
      <c r="AQ433" s="14">
        <f t="shared" si="328"/>
        <v>0</v>
      </c>
      <c r="AT433" s="14">
        <f t="shared" si="329"/>
        <v>0</v>
      </c>
      <c r="AU433" s="16">
        <v>1119</v>
      </c>
      <c r="AV433" s="16">
        <v>9880</v>
      </c>
      <c r="AW433" s="16">
        <v>1918</v>
      </c>
      <c r="AX433" s="16">
        <v>0</v>
      </c>
      <c r="AY433" s="18">
        <f t="shared" si="330"/>
        <v>0.57763741033843996</v>
      </c>
      <c r="AZ433" s="17">
        <f t="shared" si="331"/>
        <v>5.1001408526754126</v>
      </c>
      <c r="BA433" s="17">
        <f t="shared" si="332"/>
        <v>0.99008807241208929</v>
      </c>
      <c r="BB433" s="17">
        <f t="shared" si="333"/>
        <v>0</v>
      </c>
      <c r="BC433" s="17">
        <f t="shared" si="301"/>
        <v>1.084038035487689E-2</v>
      </c>
      <c r="BD433" s="17">
        <f t="shared" si="302"/>
        <v>0</v>
      </c>
      <c r="BE433" s="17">
        <f t="shared" si="303"/>
        <v>0</v>
      </c>
      <c r="BF433" s="17">
        <f t="shared" si="304"/>
        <v>0</v>
      </c>
      <c r="BG433" s="17">
        <f t="shared" si="305"/>
        <v>0</v>
      </c>
      <c r="BH433" s="17">
        <f t="shared" si="306"/>
        <v>0</v>
      </c>
      <c r="BI433" s="17">
        <f t="shared" si="307"/>
        <v>0</v>
      </c>
      <c r="BJ433" s="17">
        <f t="shared" si="308"/>
        <v>0</v>
      </c>
      <c r="BK433" s="17">
        <f t="shared" si="309"/>
        <v>0</v>
      </c>
      <c r="BL433" s="17">
        <f t="shared" si="310"/>
        <v>0</v>
      </c>
      <c r="BM433" s="17">
        <f t="shared" si="311"/>
        <v>0</v>
      </c>
      <c r="BN433" s="17">
        <f t="shared" si="312"/>
        <v>0</v>
      </c>
      <c r="BO433" s="17">
        <f t="shared" si="313"/>
        <v>0</v>
      </c>
      <c r="BP433" s="17">
        <f t="shared" si="314"/>
        <v>0</v>
      </c>
      <c r="BQ433" s="17">
        <f t="shared" si="315"/>
        <v>0</v>
      </c>
      <c r="BR433" s="17">
        <f t="shared" si="316"/>
        <v>0</v>
      </c>
      <c r="BS433" s="17">
        <f t="shared" si="317"/>
        <v>0</v>
      </c>
      <c r="BT433" s="17">
        <f t="shared" si="318"/>
        <v>0</v>
      </c>
      <c r="BU433" s="17">
        <f t="shared" si="319"/>
        <v>0</v>
      </c>
      <c r="BV433" s="17">
        <f t="shared" si="320"/>
        <v>0</v>
      </c>
      <c r="BW433" s="17">
        <f t="shared" si="321"/>
        <v>0</v>
      </c>
      <c r="BX433" s="17">
        <f t="shared" si="322"/>
        <v>0</v>
      </c>
      <c r="BY433" s="17">
        <f t="shared" si="323"/>
        <v>0</v>
      </c>
      <c r="BZ433" s="17">
        <f t="shared" si="334"/>
        <v>0</v>
      </c>
      <c r="CA433" s="17">
        <f t="shared" si="335"/>
        <v>0</v>
      </c>
      <c r="CB433" s="17">
        <f t="shared" si="336"/>
        <v>0</v>
      </c>
      <c r="CC433" s="17">
        <f t="shared" si="337"/>
        <v>0</v>
      </c>
      <c r="CD433" s="17">
        <f t="shared" si="338"/>
        <v>0</v>
      </c>
      <c r="CE433" s="17">
        <f t="shared" si="339"/>
        <v>0</v>
      </c>
      <c r="CF433" s="17">
        <f t="shared" si="340"/>
        <v>0</v>
      </c>
      <c r="CG433" s="17">
        <f t="shared" si="341"/>
        <v>0</v>
      </c>
      <c r="CH433" s="17">
        <f t="shared" si="342"/>
        <v>0</v>
      </c>
      <c r="CI433" s="17">
        <f t="shared" si="343"/>
        <v>0</v>
      </c>
      <c r="CJ433" s="17">
        <f t="shared" si="344"/>
        <v>0</v>
      </c>
      <c r="CK433" s="17">
        <f t="shared" si="345"/>
        <v>0</v>
      </c>
      <c r="CL433" s="17">
        <f t="shared" si="346"/>
        <v>0</v>
      </c>
      <c r="CM433" s="14">
        <f t="shared" si="347"/>
        <v>11798</v>
      </c>
      <c r="CN433" s="17">
        <f t="shared" si="348"/>
        <v>6.0902289250875024</v>
      </c>
      <c r="CO433" s="14">
        <f t="shared" si="349"/>
        <v>12917</v>
      </c>
      <c r="CP433" s="17">
        <f t="shared" si="350"/>
        <v>6.6678663354259422</v>
      </c>
      <c r="CQ433" s="14">
        <f t="shared" si="324"/>
        <v>12938</v>
      </c>
      <c r="CR433" s="14">
        <v>0</v>
      </c>
      <c r="CS433" s="14">
        <v>0</v>
      </c>
      <c r="CT433" s="14">
        <v>0</v>
      </c>
      <c r="CU433" s="14">
        <v>0</v>
      </c>
    </row>
    <row r="434" spans="1:99" x14ac:dyDescent="0.3">
      <c r="A434" s="14">
        <v>2015</v>
      </c>
      <c r="B434" s="14" t="s">
        <v>79</v>
      </c>
      <c r="C434" s="14" t="s">
        <v>80</v>
      </c>
      <c r="D434" s="15">
        <v>903031.3</v>
      </c>
      <c r="E434" s="15">
        <v>20128123.999999989</v>
      </c>
      <c r="F434" s="15">
        <f t="shared" si="325"/>
        <v>22.289508680374631</v>
      </c>
      <c r="G434" s="14">
        <v>30</v>
      </c>
      <c r="H434" s="14">
        <v>50</v>
      </c>
      <c r="AB434" s="14">
        <f t="shared" si="326"/>
        <v>0</v>
      </c>
      <c r="AM434" s="14">
        <f t="shared" si="327"/>
        <v>0</v>
      </c>
      <c r="AQ434" s="14">
        <f t="shared" si="328"/>
        <v>0</v>
      </c>
      <c r="AT434" s="14">
        <f t="shared" si="329"/>
        <v>0</v>
      </c>
      <c r="AU434" s="16">
        <v>1268</v>
      </c>
      <c r="AV434" s="16">
        <v>6506</v>
      </c>
      <c r="AW434" s="16">
        <v>1648</v>
      </c>
      <c r="AX434" s="16">
        <v>0</v>
      </c>
      <c r="AY434" s="18">
        <f t="shared" si="330"/>
        <v>0.62996432255683676</v>
      </c>
      <c r="AZ434" s="17">
        <f t="shared" si="331"/>
        <v>3.2322932827719084</v>
      </c>
      <c r="BA434" s="17">
        <f t="shared" si="332"/>
        <v>0.81875489240825472</v>
      </c>
      <c r="BB434" s="17">
        <f t="shared" si="333"/>
        <v>0</v>
      </c>
      <c r="BC434" s="17">
        <f t="shared" si="301"/>
        <v>1.4904518672480365E-2</v>
      </c>
      <c r="BD434" s="17">
        <f t="shared" si="302"/>
        <v>2.4840864454133939E-2</v>
      </c>
      <c r="BE434" s="17">
        <f t="shared" si="303"/>
        <v>0</v>
      </c>
      <c r="BF434" s="17">
        <f t="shared" si="304"/>
        <v>0</v>
      </c>
      <c r="BG434" s="17">
        <f t="shared" si="305"/>
        <v>0</v>
      </c>
      <c r="BH434" s="17">
        <f t="shared" si="306"/>
        <v>0</v>
      </c>
      <c r="BI434" s="17">
        <f t="shared" si="307"/>
        <v>0</v>
      </c>
      <c r="BJ434" s="17">
        <f t="shared" si="308"/>
        <v>0</v>
      </c>
      <c r="BK434" s="17">
        <f t="shared" si="309"/>
        <v>0</v>
      </c>
      <c r="BL434" s="17">
        <f t="shared" si="310"/>
        <v>0</v>
      </c>
      <c r="BM434" s="17">
        <f t="shared" si="311"/>
        <v>0</v>
      </c>
      <c r="BN434" s="17">
        <f t="shared" si="312"/>
        <v>0</v>
      </c>
      <c r="BO434" s="17">
        <f t="shared" si="313"/>
        <v>0</v>
      </c>
      <c r="BP434" s="17">
        <f t="shared" si="314"/>
        <v>0</v>
      </c>
      <c r="BQ434" s="17">
        <f t="shared" si="315"/>
        <v>0</v>
      </c>
      <c r="BR434" s="17">
        <f t="shared" si="316"/>
        <v>0</v>
      </c>
      <c r="BS434" s="17">
        <f t="shared" si="317"/>
        <v>0</v>
      </c>
      <c r="BT434" s="17">
        <f t="shared" si="318"/>
        <v>0</v>
      </c>
      <c r="BU434" s="17">
        <f t="shared" si="319"/>
        <v>0</v>
      </c>
      <c r="BV434" s="17">
        <f t="shared" si="320"/>
        <v>0</v>
      </c>
      <c r="BW434" s="17">
        <f t="shared" si="321"/>
        <v>0</v>
      </c>
      <c r="BX434" s="17">
        <f t="shared" si="322"/>
        <v>0</v>
      </c>
      <c r="BY434" s="17">
        <f t="shared" si="323"/>
        <v>0</v>
      </c>
      <c r="BZ434" s="17">
        <f t="shared" si="334"/>
        <v>0</v>
      </c>
      <c r="CA434" s="17">
        <f t="shared" si="335"/>
        <v>0</v>
      </c>
      <c r="CB434" s="17">
        <f t="shared" si="336"/>
        <v>0</v>
      </c>
      <c r="CC434" s="17">
        <f t="shared" si="337"/>
        <v>0</v>
      </c>
      <c r="CD434" s="17">
        <f t="shared" si="338"/>
        <v>0</v>
      </c>
      <c r="CE434" s="17">
        <f t="shared" si="339"/>
        <v>0</v>
      </c>
      <c r="CF434" s="17">
        <f t="shared" si="340"/>
        <v>0</v>
      </c>
      <c r="CG434" s="17">
        <f t="shared" si="341"/>
        <v>0</v>
      </c>
      <c r="CH434" s="17">
        <f t="shared" si="342"/>
        <v>0</v>
      </c>
      <c r="CI434" s="17">
        <f t="shared" si="343"/>
        <v>0</v>
      </c>
      <c r="CJ434" s="17">
        <f t="shared" si="344"/>
        <v>0</v>
      </c>
      <c r="CK434" s="17">
        <f t="shared" si="345"/>
        <v>0</v>
      </c>
      <c r="CL434" s="17">
        <f t="shared" si="346"/>
        <v>0</v>
      </c>
      <c r="CM434" s="14">
        <f t="shared" si="347"/>
        <v>8154</v>
      </c>
      <c r="CN434" s="17">
        <f t="shared" si="348"/>
        <v>4.0510481751801635</v>
      </c>
      <c r="CO434" s="14">
        <f t="shared" si="349"/>
        <v>9422</v>
      </c>
      <c r="CP434" s="17">
        <f t="shared" si="350"/>
        <v>4.681012497737</v>
      </c>
      <c r="CQ434" s="14">
        <f t="shared" si="324"/>
        <v>9502</v>
      </c>
      <c r="CR434" s="14">
        <v>0</v>
      </c>
      <c r="CS434" s="14">
        <v>0</v>
      </c>
      <c r="CT434" s="14">
        <v>0</v>
      </c>
      <c r="CU434" s="14">
        <v>0</v>
      </c>
    </row>
    <row r="435" spans="1:99" x14ac:dyDescent="0.3">
      <c r="A435" s="14">
        <v>2016</v>
      </c>
      <c r="B435" s="14" t="s">
        <v>79</v>
      </c>
      <c r="C435" s="14" t="s">
        <v>80</v>
      </c>
      <c r="D435" s="15">
        <v>937299.4</v>
      </c>
      <c r="E435" s="15">
        <v>20921743.000000011</v>
      </c>
      <c r="F435" s="15">
        <f t="shared" si="325"/>
        <v>22.321302030066391</v>
      </c>
      <c r="G435" s="14">
        <v>18</v>
      </c>
      <c r="H435" s="14">
        <v>24</v>
      </c>
      <c r="AB435" s="14">
        <f t="shared" si="326"/>
        <v>0</v>
      </c>
      <c r="AM435" s="14">
        <f t="shared" si="327"/>
        <v>0</v>
      </c>
      <c r="AQ435" s="14">
        <f t="shared" si="328"/>
        <v>0</v>
      </c>
      <c r="AT435" s="14">
        <f t="shared" si="329"/>
        <v>0</v>
      </c>
      <c r="AU435" s="16">
        <v>1362</v>
      </c>
      <c r="AV435" s="16">
        <v>9492</v>
      </c>
      <c r="AW435" s="16">
        <v>1712</v>
      </c>
      <c r="AX435" s="16">
        <v>0</v>
      </c>
      <c r="AY435" s="18">
        <f t="shared" si="330"/>
        <v>0.65099738582966016</v>
      </c>
      <c r="AZ435" s="17">
        <f t="shared" si="331"/>
        <v>4.5369068915529622</v>
      </c>
      <c r="BA435" s="17">
        <f t="shared" si="332"/>
        <v>0.81828746295181964</v>
      </c>
      <c r="BB435" s="17">
        <f t="shared" si="333"/>
        <v>0</v>
      </c>
      <c r="BC435" s="17">
        <f t="shared" si="301"/>
        <v>8.6034896805681962E-3</v>
      </c>
      <c r="BD435" s="17">
        <f t="shared" si="302"/>
        <v>1.1471319574090928E-2</v>
      </c>
      <c r="BE435" s="17">
        <f t="shared" si="303"/>
        <v>0</v>
      </c>
      <c r="BF435" s="17">
        <f t="shared" si="304"/>
        <v>0</v>
      </c>
      <c r="BG435" s="17">
        <f t="shared" si="305"/>
        <v>0</v>
      </c>
      <c r="BH435" s="17">
        <f t="shared" si="306"/>
        <v>0</v>
      </c>
      <c r="BI435" s="17">
        <f t="shared" si="307"/>
        <v>0</v>
      </c>
      <c r="BJ435" s="17">
        <f t="shared" si="308"/>
        <v>0</v>
      </c>
      <c r="BK435" s="17">
        <f t="shared" si="309"/>
        <v>0</v>
      </c>
      <c r="BL435" s="17">
        <f t="shared" si="310"/>
        <v>0</v>
      </c>
      <c r="BM435" s="17">
        <f t="shared" si="311"/>
        <v>0</v>
      </c>
      <c r="BN435" s="17">
        <f t="shared" si="312"/>
        <v>0</v>
      </c>
      <c r="BO435" s="17">
        <f t="shared" si="313"/>
        <v>0</v>
      </c>
      <c r="BP435" s="17">
        <f t="shared" si="314"/>
        <v>0</v>
      </c>
      <c r="BQ435" s="17">
        <f t="shared" si="315"/>
        <v>0</v>
      </c>
      <c r="BR435" s="17">
        <f t="shared" si="316"/>
        <v>0</v>
      </c>
      <c r="BS435" s="17">
        <f t="shared" si="317"/>
        <v>0</v>
      </c>
      <c r="BT435" s="17">
        <f t="shared" si="318"/>
        <v>0</v>
      </c>
      <c r="BU435" s="17">
        <f t="shared" si="319"/>
        <v>0</v>
      </c>
      <c r="BV435" s="17">
        <f t="shared" si="320"/>
        <v>0</v>
      </c>
      <c r="BW435" s="17">
        <f t="shared" si="321"/>
        <v>0</v>
      </c>
      <c r="BX435" s="17">
        <f t="shared" si="322"/>
        <v>0</v>
      </c>
      <c r="BY435" s="17">
        <f t="shared" si="323"/>
        <v>0</v>
      </c>
      <c r="BZ435" s="17">
        <f t="shared" si="334"/>
        <v>0</v>
      </c>
      <c r="CA435" s="17">
        <f t="shared" si="335"/>
        <v>0</v>
      </c>
      <c r="CB435" s="17">
        <f t="shared" si="336"/>
        <v>0</v>
      </c>
      <c r="CC435" s="17">
        <f t="shared" si="337"/>
        <v>0</v>
      </c>
      <c r="CD435" s="17">
        <f t="shared" si="338"/>
        <v>0</v>
      </c>
      <c r="CE435" s="17">
        <f t="shared" si="339"/>
        <v>0</v>
      </c>
      <c r="CF435" s="17">
        <f t="shared" si="340"/>
        <v>0</v>
      </c>
      <c r="CG435" s="17">
        <f t="shared" si="341"/>
        <v>0</v>
      </c>
      <c r="CH435" s="17">
        <f t="shared" si="342"/>
        <v>0</v>
      </c>
      <c r="CI435" s="17">
        <f t="shared" si="343"/>
        <v>0</v>
      </c>
      <c r="CJ435" s="17">
        <f t="shared" si="344"/>
        <v>0</v>
      </c>
      <c r="CK435" s="17">
        <f t="shared" si="345"/>
        <v>0</v>
      </c>
      <c r="CL435" s="17">
        <f t="shared" si="346"/>
        <v>0</v>
      </c>
      <c r="CM435" s="14">
        <f t="shared" si="347"/>
        <v>11204</v>
      </c>
      <c r="CN435" s="17">
        <f t="shared" si="348"/>
        <v>5.355194354504782</v>
      </c>
      <c r="CO435" s="14">
        <f t="shared" si="349"/>
        <v>12566</v>
      </c>
      <c r="CP435" s="17">
        <f t="shared" si="350"/>
        <v>6.006191740334442</v>
      </c>
      <c r="CQ435" s="14">
        <f t="shared" si="324"/>
        <v>12608</v>
      </c>
      <c r="CR435" s="14">
        <v>0</v>
      </c>
      <c r="CS435" s="14">
        <v>0</v>
      </c>
      <c r="CT435" s="14">
        <v>0</v>
      </c>
      <c r="CU435" s="14">
        <v>0</v>
      </c>
    </row>
    <row r="436" spans="1:99" x14ac:dyDescent="0.3">
      <c r="A436" s="14">
        <v>2017</v>
      </c>
      <c r="B436" s="14" t="s">
        <v>79</v>
      </c>
      <c r="C436" s="14" t="s">
        <v>80</v>
      </c>
      <c r="D436" s="15">
        <v>973023.7</v>
      </c>
      <c r="E436" s="15">
        <v>21737922.000000011</v>
      </c>
      <c r="F436" s="15">
        <f t="shared" si="325"/>
        <v>22.340588415266772</v>
      </c>
      <c r="AB436" s="14">
        <f t="shared" si="326"/>
        <v>0</v>
      </c>
      <c r="AM436" s="14">
        <f t="shared" si="327"/>
        <v>0</v>
      </c>
      <c r="AQ436" s="14">
        <f t="shared" si="328"/>
        <v>0</v>
      </c>
      <c r="AT436" s="14">
        <f t="shared" si="329"/>
        <v>0</v>
      </c>
      <c r="AU436" s="16">
        <v>950</v>
      </c>
      <c r="AV436" s="16">
        <v>0</v>
      </c>
      <c r="AW436" s="16">
        <v>0</v>
      </c>
      <c r="AX436" s="16">
        <v>0</v>
      </c>
      <c r="AY436" s="18">
        <f t="shared" si="330"/>
        <v>0.43702429330641607</v>
      </c>
      <c r="AZ436" s="17">
        <f t="shared" si="331"/>
        <v>0</v>
      </c>
      <c r="BA436" s="17">
        <f t="shared" si="332"/>
        <v>0</v>
      </c>
      <c r="BB436" s="17">
        <f t="shared" si="333"/>
        <v>0</v>
      </c>
      <c r="BC436" s="17">
        <f t="shared" si="301"/>
        <v>0</v>
      </c>
      <c r="BD436" s="17">
        <f t="shared" si="302"/>
        <v>0</v>
      </c>
      <c r="BE436" s="17">
        <f t="shared" si="303"/>
        <v>0</v>
      </c>
      <c r="BF436" s="17">
        <f t="shared" si="304"/>
        <v>0</v>
      </c>
      <c r="BG436" s="17">
        <f t="shared" si="305"/>
        <v>0</v>
      </c>
      <c r="BH436" s="17">
        <f t="shared" si="306"/>
        <v>0</v>
      </c>
      <c r="BI436" s="17">
        <f t="shared" si="307"/>
        <v>0</v>
      </c>
      <c r="BJ436" s="17">
        <f t="shared" si="308"/>
        <v>0</v>
      </c>
      <c r="BK436" s="17">
        <f t="shared" si="309"/>
        <v>0</v>
      </c>
      <c r="BL436" s="17">
        <f t="shared" si="310"/>
        <v>0</v>
      </c>
      <c r="BM436" s="17">
        <f t="shared" si="311"/>
        <v>0</v>
      </c>
      <c r="BN436" s="17">
        <f t="shared" si="312"/>
        <v>0</v>
      </c>
      <c r="BO436" s="17">
        <f t="shared" si="313"/>
        <v>0</v>
      </c>
      <c r="BP436" s="17">
        <f t="shared" si="314"/>
        <v>0</v>
      </c>
      <c r="BQ436" s="17">
        <f t="shared" si="315"/>
        <v>0</v>
      </c>
      <c r="BR436" s="17">
        <f t="shared" si="316"/>
        <v>0</v>
      </c>
      <c r="BS436" s="17">
        <f t="shared" si="317"/>
        <v>0</v>
      </c>
      <c r="BT436" s="17">
        <f t="shared" si="318"/>
        <v>0</v>
      </c>
      <c r="BU436" s="17">
        <f t="shared" si="319"/>
        <v>0</v>
      </c>
      <c r="BV436" s="17">
        <f t="shared" si="320"/>
        <v>0</v>
      </c>
      <c r="BW436" s="17">
        <f t="shared" si="321"/>
        <v>0</v>
      </c>
      <c r="BX436" s="17">
        <f t="shared" si="322"/>
        <v>0</v>
      </c>
      <c r="BY436" s="17">
        <f t="shared" si="323"/>
        <v>0</v>
      </c>
      <c r="BZ436" s="17">
        <f t="shared" si="334"/>
        <v>0</v>
      </c>
      <c r="CA436" s="17">
        <f t="shared" si="335"/>
        <v>0</v>
      </c>
      <c r="CB436" s="17">
        <f t="shared" si="336"/>
        <v>0</v>
      </c>
      <c r="CC436" s="17">
        <f t="shared" si="337"/>
        <v>0</v>
      </c>
      <c r="CD436" s="17">
        <f t="shared" si="338"/>
        <v>0</v>
      </c>
      <c r="CE436" s="17">
        <f t="shared" si="339"/>
        <v>0</v>
      </c>
      <c r="CF436" s="17">
        <f t="shared" si="340"/>
        <v>0</v>
      </c>
      <c r="CG436" s="17">
        <f t="shared" si="341"/>
        <v>0</v>
      </c>
      <c r="CH436" s="17">
        <f t="shared" si="342"/>
        <v>0</v>
      </c>
      <c r="CI436" s="17">
        <f t="shared" si="343"/>
        <v>0</v>
      </c>
      <c r="CJ436" s="17">
        <f t="shared" si="344"/>
        <v>0</v>
      </c>
      <c r="CK436" s="17">
        <f t="shared" si="345"/>
        <v>0</v>
      </c>
      <c r="CL436" s="17">
        <f t="shared" si="346"/>
        <v>0</v>
      </c>
      <c r="CM436" s="14">
        <f t="shared" si="347"/>
        <v>0</v>
      </c>
      <c r="CN436" s="17">
        <f t="shared" si="348"/>
        <v>0</v>
      </c>
      <c r="CO436" s="14">
        <f t="shared" si="349"/>
        <v>950</v>
      </c>
      <c r="CP436" s="17">
        <f t="shared" si="350"/>
        <v>0.43702429330641607</v>
      </c>
      <c r="CQ436" s="14">
        <f t="shared" si="324"/>
        <v>950</v>
      </c>
      <c r="CR436" s="14">
        <v>0</v>
      </c>
      <c r="CS436" s="14">
        <v>0</v>
      </c>
      <c r="CT436" s="14">
        <v>0</v>
      </c>
      <c r="CU436" s="14">
        <v>0</v>
      </c>
    </row>
    <row r="437" spans="1:99" x14ac:dyDescent="0.3">
      <c r="A437" s="14">
        <v>2018</v>
      </c>
      <c r="B437" s="14" t="s">
        <v>79</v>
      </c>
      <c r="C437" s="14" t="s">
        <v>80</v>
      </c>
      <c r="D437" s="15">
        <v>1007593.1</v>
      </c>
      <c r="E437" s="15">
        <v>22577057.999999996</v>
      </c>
      <c r="F437" s="15">
        <f t="shared" si="325"/>
        <v>22.406920015629321</v>
      </c>
      <c r="G437" s="14">
        <v>30</v>
      </c>
      <c r="H437" s="14">
        <v>60</v>
      </c>
      <c r="X437" s="14">
        <v>439</v>
      </c>
      <c r="Z437" s="14">
        <v>432</v>
      </c>
      <c r="AB437" s="14">
        <f t="shared" si="326"/>
        <v>0</v>
      </c>
      <c r="AH437" s="14">
        <v>249</v>
      </c>
      <c r="AM437" s="14">
        <f t="shared" si="327"/>
        <v>0</v>
      </c>
      <c r="AQ437" s="14">
        <f t="shared" si="328"/>
        <v>0</v>
      </c>
      <c r="AT437" s="14">
        <f t="shared" si="329"/>
        <v>0</v>
      </c>
      <c r="AU437" s="16">
        <v>1745</v>
      </c>
      <c r="AV437" s="16">
        <v>8251</v>
      </c>
      <c r="AW437" s="16">
        <v>1812</v>
      </c>
      <c r="AX437" s="16">
        <v>95</v>
      </c>
      <c r="AY437" s="18">
        <f t="shared" si="330"/>
        <v>0.77290849852979082</v>
      </c>
      <c r="AZ437" s="17">
        <f t="shared" si="331"/>
        <v>3.6545948546528964</v>
      </c>
      <c r="BA437" s="17">
        <f t="shared" si="332"/>
        <v>0.80258464145328423</v>
      </c>
      <c r="BB437" s="17">
        <f t="shared" si="333"/>
        <v>4.2078113100475718E-2</v>
      </c>
      <c r="BC437" s="17">
        <f t="shared" si="301"/>
        <v>1.3287825189623912E-2</v>
      </c>
      <c r="BD437" s="17">
        <f t="shared" si="302"/>
        <v>2.6575650379247823E-2</v>
      </c>
      <c r="BE437" s="17">
        <f t="shared" si="303"/>
        <v>0</v>
      </c>
      <c r="BF437" s="17">
        <f t="shared" si="304"/>
        <v>0</v>
      </c>
      <c r="BG437" s="17">
        <f t="shared" si="305"/>
        <v>0</v>
      </c>
      <c r="BH437" s="17">
        <f t="shared" si="306"/>
        <v>0</v>
      </c>
      <c r="BI437" s="17">
        <f t="shared" si="307"/>
        <v>0</v>
      </c>
      <c r="BJ437" s="17">
        <f t="shared" si="308"/>
        <v>0</v>
      </c>
      <c r="BK437" s="17">
        <f t="shared" si="309"/>
        <v>0</v>
      </c>
      <c r="BL437" s="17">
        <f t="shared" si="310"/>
        <v>0</v>
      </c>
      <c r="BM437" s="17">
        <f t="shared" si="311"/>
        <v>0</v>
      </c>
      <c r="BN437" s="17">
        <f t="shared" si="312"/>
        <v>0</v>
      </c>
      <c r="BO437" s="17">
        <f t="shared" si="313"/>
        <v>0</v>
      </c>
      <c r="BP437" s="17">
        <f t="shared" si="314"/>
        <v>0</v>
      </c>
      <c r="BQ437" s="17">
        <f t="shared" si="315"/>
        <v>0</v>
      </c>
      <c r="BR437" s="17">
        <f t="shared" si="316"/>
        <v>0</v>
      </c>
      <c r="BS437" s="17">
        <f t="shared" si="317"/>
        <v>0</v>
      </c>
      <c r="BT437" s="17">
        <f t="shared" si="318"/>
        <v>0.19444517527482991</v>
      </c>
      <c r="BU437" s="17">
        <f t="shared" si="319"/>
        <v>0</v>
      </c>
      <c r="BV437" s="17">
        <f t="shared" si="320"/>
        <v>0.19134468273058433</v>
      </c>
      <c r="BW437" s="17">
        <f t="shared" si="321"/>
        <v>0</v>
      </c>
      <c r="BX437" s="17">
        <f t="shared" si="322"/>
        <v>0</v>
      </c>
      <c r="BY437" s="17">
        <f t="shared" si="323"/>
        <v>0</v>
      </c>
      <c r="BZ437" s="17">
        <f t="shared" si="334"/>
        <v>0</v>
      </c>
      <c r="CA437" s="17">
        <f t="shared" si="335"/>
        <v>0</v>
      </c>
      <c r="CB437" s="17">
        <f t="shared" si="336"/>
        <v>0</v>
      </c>
      <c r="CC437" s="17">
        <f t="shared" si="337"/>
        <v>0.11028894907387847</v>
      </c>
      <c r="CD437" s="17">
        <f t="shared" si="338"/>
        <v>0</v>
      </c>
      <c r="CE437" s="17">
        <f t="shared" si="339"/>
        <v>0</v>
      </c>
      <c r="CF437" s="17">
        <f t="shared" si="340"/>
        <v>0</v>
      </c>
      <c r="CG437" s="17">
        <f t="shared" si="341"/>
        <v>0</v>
      </c>
      <c r="CH437" s="17">
        <f t="shared" si="342"/>
        <v>0</v>
      </c>
      <c r="CI437" s="17">
        <f t="shared" si="343"/>
        <v>0</v>
      </c>
      <c r="CJ437" s="17">
        <f t="shared" si="344"/>
        <v>0</v>
      </c>
      <c r="CK437" s="17">
        <f t="shared" si="345"/>
        <v>0</v>
      </c>
      <c r="CL437" s="17">
        <f t="shared" si="346"/>
        <v>0</v>
      </c>
      <c r="CM437" s="14">
        <f t="shared" si="347"/>
        <v>10063</v>
      </c>
      <c r="CN437" s="17">
        <f t="shared" si="348"/>
        <v>4.457179496106181</v>
      </c>
      <c r="CO437" s="14">
        <f t="shared" si="349"/>
        <v>11808</v>
      </c>
      <c r="CP437" s="17">
        <f t="shared" si="350"/>
        <v>5.230087994635972</v>
      </c>
      <c r="CQ437" s="14">
        <f t="shared" si="324"/>
        <v>13113</v>
      </c>
      <c r="CR437" s="14">
        <v>0</v>
      </c>
      <c r="CS437" s="14">
        <v>2100</v>
      </c>
      <c r="CT437" s="14">
        <v>0</v>
      </c>
      <c r="CU437" s="14">
        <v>0</v>
      </c>
    </row>
    <row r="438" spans="1:99" x14ac:dyDescent="0.3">
      <c r="A438" s="14">
        <v>2019</v>
      </c>
      <c r="B438" s="14" t="s">
        <v>79</v>
      </c>
      <c r="C438" s="14" t="s">
        <v>80</v>
      </c>
      <c r="D438" s="15">
        <v>1041927.9</v>
      </c>
      <c r="E438" s="15">
        <v>23443392.999999978</v>
      </c>
      <c r="F438" s="15">
        <f t="shared" si="325"/>
        <v>22.500014636329421</v>
      </c>
      <c r="AB438" s="14">
        <f t="shared" si="326"/>
        <v>0</v>
      </c>
      <c r="AM438" s="14">
        <f t="shared" si="327"/>
        <v>0</v>
      </c>
      <c r="AQ438" s="14">
        <f t="shared" si="328"/>
        <v>0</v>
      </c>
      <c r="AT438" s="14">
        <f t="shared" si="329"/>
        <v>0</v>
      </c>
      <c r="AU438" s="16">
        <v>1776</v>
      </c>
      <c r="AV438" s="16">
        <v>0</v>
      </c>
      <c r="AW438" s="16">
        <v>0</v>
      </c>
      <c r="AX438" s="16">
        <v>0</v>
      </c>
      <c r="AY438" s="18">
        <f t="shared" si="330"/>
        <v>0.75756952076007156</v>
      </c>
      <c r="AZ438" s="17">
        <f t="shared" si="331"/>
        <v>0</v>
      </c>
      <c r="BA438" s="17">
        <f t="shared" si="332"/>
        <v>0</v>
      </c>
      <c r="BB438" s="17">
        <f t="shared" si="333"/>
        <v>0</v>
      </c>
      <c r="BC438" s="17">
        <f t="shared" si="301"/>
        <v>0</v>
      </c>
      <c r="BD438" s="17">
        <f t="shared" si="302"/>
        <v>0</v>
      </c>
      <c r="BE438" s="17">
        <f t="shared" si="303"/>
        <v>0</v>
      </c>
      <c r="BF438" s="17">
        <f t="shared" si="304"/>
        <v>0</v>
      </c>
      <c r="BG438" s="17">
        <f t="shared" si="305"/>
        <v>0</v>
      </c>
      <c r="BH438" s="17">
        <f t="shared" si="306"/>
        <v>0</v>
      </c>
      <c r="BI438" s="17">
        <f t="shared" si="307"/>
        <v>0</v>
      </c>
      <c r="BJ438" s="17">
        <f t="shared" si="308"/>
        <v>0</v>
      </c>
      <c r="BK438" s="17">
        <f t="shared" si="309"/>
        <v>0</v>
      </c>
      <c r="BL438" s="17">
        <f t="shared" si="310"/>
        <v>0</v>
      </c>
      <c r="BM438" s="17">
        <f t="shared" si="311"/>
        <v>0</v>
      </c>
      <c r="BN438" s="17">
        <f t="shared" si="312"/>
        <v>0</v>
      </c>
      <c r="BO438" s="17">
        <f t="shared" si="313"/>
        <v>0</v>
      </c>
      <c r="BP438" s="17">
        <f t="shared" si="314"/>
        <v>0</v>
      </c>
      <c r="BQ438" s="17">
        <f t="shared" si="315"/>
        <v>0</v>
      </c>
      <c r="BR438" s="17">
        <f t="shared" si="316"/>
        <v>0</v>
      </c>
      <c r="BS438" s="17">
        <f t="shared" si="317"/>
        <v>0</v>
      </c>
      <c r="BT438" s="17">
        <f t="shared" si="318"/>
        <v>0</v>
      </c>
      <c r="BU438" s="17">
        <f t="shared" si="319"/>
        <v>0</v>
      </c>
      <c r="BV438" s="17">
        <f t="shared" si="320"/>
        <v>0</v>
      </c>
      <c r="BW438" s="17">
        <f t="shared" si="321"/>
        <v>0</v>
      </c>
      <c r="BX438" s="17">
        <f t="shared" si="322"/>
        <v>0</v>
      </c>
      <c r="BY438" s="17">
        <f t="shared" si="323"/>
        <v>0</v>
      </c>
      <c r="BZ438" s="17">
        <f t="shared" si="334"/>
        <v>0</v>
      </c>
      <c r="CA438" s="17">
        <f t="shared" si="335"/>
        <v>0</v>
      </c>
      <c r="CB438" s="17">
        <f t="shared" si="336"/>
        <v>0</v>
      </c>
      <c r="CC438" s="17">
        <f t="shared" si="337"/>
        <v>0</v>
      </c>
      <c r="CD438" s="17">
        <f t="shared" si="338"/>
        <v>0</v>
      </c>
      <c r="CE438" s="17">
        <f t="shared" si="339"/>
        <v>0</v>
      </c>
      <c r="CF438" s="17">
        <f t="shared" si="340"/>
        <v>0</v>
      </c>
      <c r="CG438" s="17">
        <f t="shared" si="341"/>
        <v>0</v>
      </c>
      <c r="CH438" s="17">
        <f t="shared" si="342"/>
        <v>0</v>
      </c>
      <c r="CI438" s="17">
        <f t="shared" si="343"/>
        <v>0</v>
      </c>
      <c r="CJ438" s="17">
        <f t="shared" si="344"/>
        <v>0</v>
      </c>
      <c r="CK438" s="17">
        <f t="shared" si="345"/>
        <v>0</v>
      </c>
      <c r="CL438" s="17">
        <f t="shared" si="346"/>
        <v>0</v>
      </c>
      <c r="CM438" s="14">
        <f t="shared" si="347"/>
        <v>0</v>
      </c>
      <c r="CN438" s="17">
        <f t="shared" si="348"/>
        <v>0</v>
      </c>
      <c r="CO438" s="14">
        <f t="shared" si="349"/>
        <v>1776</v>
      </c>
      <c r="CP438" s="17">
        <f t="shared" si="350"/>
        <v>0.75756952076007156</v>
      </c>
      <c r="CQ438" s="14">
        <f t="shared" si="324"/>
        <v>1776</v>
      </c>
      <c r="CR438" s="14">
        <v>0</v>
      </c>
      <c r="CS438" s="14">
        <v>0</v>
      </c>
      <c r="CT438" s="14">
        <v>0</v>
      </c>
      <c r="CU438" s="14">
        <v>0</v>
      </c>
    </row>
    <row r="439" spans="1:99" x14ac:dyDescent="0.3">
      <c r="A439" s="14">
        <v>2020</v>
      </c>
      <c r="B439" s="14" t="s">
        <v>79</v>
      </c>
      <c r="C439" s="14" t="s">
        <v>80</v>
      </c>
      <c r="D439" s="15">
        <v>1076476.3999999999</v>
      </c>
      <c r="E439" s="15">
        <v>24333638.499999985</v>
      </c>
      <c r="F439" s="15">
        <f t="shared" si="325"/>
        <v>22.604897329843912</v>
      </c>
      <c r="M439" s="14">
        <v>21429</v>
      </c>
      <c r="AB439" s="14">
        <f t="shared" si="326"/>
        <v>0</v>
      </c>
      <c r="AM439" s="14">
        <f t="shared" si="327"/>
        <v>0</v>
      </c>
      <c r="AQ439" s="14">
        <f t="shared" si="328"/>
        <v>0</v>
      </c>
      <c r="AT439" s="14">
        <f t="shared" si="329"/>
        <v>0</v>
      </c>
      <c r="AU439" s="16">
        <v>1670</v>
      </c>
      <c r="AV439" s="16">
        <v>0</v>
      </c>
      <c r="AW439" s="16">
        <v>0</v>
      </c>
      <c r="AX439" s="16">
        <v>0</v>
      </c>
      <c r="AY439" s="18">
        <f t="shared" si="330"/>
        <v>0.68629276299966446</v>
      </c>
      <c r="AZ439" s="17">
        <f t="shared" si="331"/>
        <v>0</v>
      </c>
      <c r="BA439" s="17">
        <f t="shared" si="332"/>
        <v>0</v>
      </c>
      <c r="BB439" s="17">
        <f t="shared" si="333"/>
        <v>0</v>
      </c>
      <c r="BC439" s="17">
        <f t="shared" si="301"/>
        <v>0</v>
      </c>
      <c r="BD439" s="17">
        <f t="shared" si="302"/>
        <v>0</v>
      </c>
      <c r="BE439" s="17">
        <f t="shared" si="303"/>
        <v>0</v>
      </c>
      <c r="BF439" s="17">
        <f t="shared" si="304"/>
        <v>0</v>
      </c>
      <c r="BG439" s="17">
        <f t="shared" si="305"/>
        <v>0</v>
      </c>
      <c r="BH439" s="17">
        <f t="shared" si="306"/>
        <v>0</v>
      </c>
      <c r="BI439" s="17">
        <f t="shared" si="307"/>
        <v>8.8063279151615621</v>
      </c>
      <c r="BJ439" s="17">
        <f t="shared" si="308"/>
        <v>0</v>
      </c>
      <c r="BK439" s="17">
        <f t="shared" si="309"/>
        <v>0</v>
      </c>
      <c r="BL439" s="17">
        <f t="shared" si="310"/>
        <v>0</v>
      </c>
      <c r="BM439" s="17">
        <f t="shared" si="311"/>
        <v>0</v>
      </c>
      <c r="BN439" s="17">
        <f t="shared" si="312"/>
        <v>0</v>
      </c>
      <c r="BO439" s="17">
        <f t="shared" si="313"/>
        <v>0</v>
      </c>
      <c r="BP439" s="17">
        <f t="shared" si="314"/>
        <v>0</v>
      </c>
      <c r="BQ439" s="17">
        <f t="shared" si="315"/>
        <v>0</v>
      </c>
      <c r="BR439" s="17">
        <f t="shared" si="316"/>
        <v>0</v>
      </c>
      <c r="BS439" s="17">
        <f t="shared" si="317"/>
        <v>0</v>
      </c>
      <c r="BT439" s="17">
        <f t="shared" si="318"/>
        <v>0</v>
      </c>
      <c r="BU439" s="17">
        <f t="shared" si="319"/>
        <v>0</v>
      </c>
      <c r="BV439" s="17">
        <f t="shared" si="320"/>
        <v>0</v>
      </c>
      <c r="BW439" s="17">
        <f t="shared" si="321"/>
        <v>0</v>
      </c>
      <c r="BX439" s="17">
        <f t="shared" si="322"/>
        <v>0</v>
      </c>
      <c r="BY439" s="17">
        <f t="shared" si="323"/>
        <v>0</v>
      </c>
      <c r="BZ439" s="17">
        <f t="shared" si="334"/>
        <v>0</v>
      </c>
      <c r="CA439" s="17">
        <f t="shared" si="335"/>
        <v>0</v>
      </c>
      <c r="CB439" s="17">
        <f t="shared" si="336"/>
        <v>0</v>
      </c>
      <c r="CC439" s="17">
        <f t="shared" si="337"/>
        <v>0</v>
      </c>
      <c r="CD439" s="17">
        <f t="shared" si="338"/>
        <v>0</v>
      </c>
      <c r="CE439" s="17">
        <f t="shared" si="339"/>
        <v>0</v>
      </c>
      <c r="CF439" s="17">
        <f t="shared" si="340"/>
        <v>0</v>
      </c>
      <c r="CG439" s="17">
        <f t="shared" si="341"/>
        <v>0</v>
      </c>
      <c r="CH439" s="17">
        <f t="shared" si="342"/>
        <v>0</v>
      </c>
      <c r="CI439" s="17">
        <f t="shared" si="343"/>
        <v>0</v>
      </c>
      <c r="CJ439" s="17">
        <f t="shared" si="344"/>
        <v>0</v>
      </c>
      <c r="CK439" s="17">
        <f t="shared" si="345"/>
        <v>0</v>
      </c>
      <c r="CL439" s="17">
        <f t="shared" si="346"/>
        <v>0</v>
      </c>
      <c r="CM439" s="14">
        <f t="shared" si="347"/>
        <v>0</v>
      </c>
      <c r="CN439" s="17">
        <f t="shared" si="348"/>
        <v>0</v>
      </c>
      <c r="CO439" s="14">
        <f t="shared" si="349"/>
        <v>1670</v>
      </c>
      <c r="CP439" s="17">
        <f t="shared" si="350"/>
        <v>0.68629276299966446</v>
      </c>
      <c r="CQ439" s="14">
        <f t="shared" si="324"/>
        <v>23099</v>
      </c>
      <c r="CR439" s="14">
        <v>4</v>
      </c>
      <c r="CS439" s="14">
        <v>0</v>
      </c>
      <c r="CT439" s="14">
        <v>0</v>
      </c>
      <c r="CU439" s="14">
        <v>0</v>
      </c>
    </row>
    <row r="440" spans="1:99" x14ac:dyDescent="0.3">
      <c r="A440" s="14">
        <v>2021</v>
      </c>
      <c r="B440" s="14" t="s">
        <v>79</v>
      </c>
      <c r="C440" s="14" t="s">
        <v>80</v>
      </c>
      <c r="D440" s="15">
        <v>1111347.5</v>
      </c>
      <c r="E440" s="15">
        <v>25252721.999999989</v>
      </c>
      <c r="F440" s="15">
        <f t="shared" si="325"/>
        <v>22.722615563538849</v>
      </c>
      <c r="AB440" s="14">
        <f t="shared" si="326"/>
        <v>0</v>
      </c>
      <c r="AM440" s="14">
        <f t="shared" si="327"/>
        <v>0</v>
      </c>
      <c r="AQ440" s="14">
        <f t="shared" si="328"/>
        <v>0</v>
      </c>
      <c r="AT440" s="14">
        <f t="shared" si="329"/>
        <v>0</v>
      </c>
      <c r="AU440" s="16">
        <v>0</v>
      </c>
      <c r="AV440" s="16">
        <v>0</v>
      </c>
      <c r="AW440" s="16">
        <v>0</v>
      </c>
      <c r="AX440" s="16">
        <v>0</v>
      </c>
      <c r="AY440" s="18">
        <f t="shared" si="330"/>
        <v>0</v>
      </c>
      <c r="AZ440" s="17">
        <f t="shared" si="331"/>
        <v>0</v>
      </c>
      <c r="BA440" s="17">
        <f t="shared" si="332"/>
        <v>0</v>
      </c>
      <c r="BB440" s="17">
        <f t="shared" si="333"/>
        <v>0</v>
      </c>
      <c r="BC440" s="17">
        <f t="shared" si="301"/>
        <v>0</v>
      </c>
      <c r="BD440" s="17">
        <f t="shared" si="302"/>
        <v>0</v>
      </c>
      <c r="BE440" s="17">
        <f t="shared" si="303"/>
        <v>0</v>
      </c>
      <c r="BF440" s="17">
        <f t="shared" si="304"/>
        <v>0</v>
      </c>
      <c r="BG440" s="17">
        <f t="shared" si="305"/>
        <v>0</v>
      </c>
      <c r="BH440" s="17">
        <f t="shared" si="306"/>
        <v>0</v>
      </c>
      <c r="BI440" s="17">
        <f t="shared" si="307"/>
        <v>0</v>
      </c>
      <c r="BJ440" s="17">
        <f t="shared" si="308"/>
        <v>0</v>
      </c>
      <c r="BK440" s="17">
        <f t="shared" si="309"/>
        <v>0</v>
      </c>
      <c r="BL440" s="17">
        <f t="shared" si="310"/>
        <v>0</v>
      </c>
      <c r="BM440" s="17">
        <f t="shared" si="311"/>
        <v>0</v>
      </c>
      <c r="BN440" s="17">
        <f t="shared" si="312"/>
        <v>0</v>
      </c>
      <c r="BO440" s="17">
        <f t="shared" si="313"/>
        <v>0</v>
      </c>
      <c r="BP440" s="17">
        <f t="shared" si="314"/>
        <v>0</v>
      </c>
      <c r="BQ440" s="17">
        <f t="shared" si="315"/>
        <v>0</v>
      </c>
      <c r="BR440" s="17">
        <f t="shared" si="316"/>
        <v>0</v>
      </c>
      <c r="BS440" s="17">
        <f t="shared" si="317"/>
        <v>0</v>
      </c>
      <c r="BT440" s="17">
        <f t="shared" si="318"/>
        <v>0</v>
      </c>
      <c r="BU440" s="17">
        <f t="shared" si="319"/>
        <v>0</v>
      </c>
      <c r="BV440" s="17">
        <f t="shared" si="320"/>
        <v>0</v>
      </c>
      <c r="BW440" s="17">
        <f t="shared" si="321"/>
        <v>0</v>
      </c>
      <c r="BX440" s="17">
        <f t="shared" si="322"/>
        <v>0</v>
      </c>
      <c r="BY440" s="17">
        <f t="shared" si="323"/>
        <v>0</v>
      </c>
      <c r="BZ440" s="17">
        <f t="shared" si="334"/>
        <v>0</v>
      </c>
      <c r="CA440" s="17">
        <f t="shared" si="335"/>
        <v>0</v>
      </c>
      <c r="CB440" s="17">
        <f t="shared" si="336"/>
        <v>0</v>
      </c>
      <c r="CC440" s="17">
        <f t="shared" si="337"/>
        <v>0</v>
      </c>
      <c r="CD440" s="17">
        <f t="shared" si="338"/>
        <v>0</v>
      </c>
      <c r="CE440" s="17">
        <f t="shared" si="339"/>
        <v>0</v>
      </c>
      <c r="CF440" s="17">
        <f t="shared" si="340"/>
        <v>0</v>
      </c>
      <c r="CG440" s="17">
        <f t="shared" si="341"/>
        <v>0</v>
      </c>
      <c r="CH440" s="17">
        <f t="shared" si="342"/>
        <v>0</v>
      </c>
      <c r="CI440" s="17">
        <f t="shared" si="343"/>
        <v>0</v>
      </c>
      <c r="CJ440" s="17">
        <f t="shared" si="344"/>
        <v>0</v>
      </c>
      <c r="CK440" s="17">
        <f t="shared" si="345"/>
        <v>0</v>
      </c>
      <c r="CL440" s="17">
        <f t="shared" si="346"/>
        <v>0</v>
      </c>
      <c r="CM440" s="14">
        <f t="shared" si="347"/>
        <v>0</v>
      </c>
      <c r="CN440" s="17">
        <f t="shared" si="348"/>
        <v>0</v>
      </c>
      <c r="CO440" s="14">
        <f t="shared" si="349"/>
        <v>0</v>
      </c>
      <c r="CP440" s="17">
        <f t="shared" si="350"/>
        <v>0</v>
      </c>
      <c r="CQ440" s="14">
        <f t="shared" si="324"/>
        <v>0</v>
      </c>
      <c r="CR440" s="14">
        <v>0</v>
      </c>
      <c r="CS440" s="14">
        <v>0</v>
      </c>
      <c r="CT440" s="14">
        <v>0</v>
      </c>
      <c r="CU440" s="14">
        <v>0</v>
      </c>
    </row>
    <row r="441" spans="1:99" x14ac:dyDescent="0.3">
      <c r="A441" s="14">
        <v>2022</v>
      </c>
      <c r="B441" s="14" t="s">
        <v>79</v>
      </c>
      <c r="C441" s="14" t="s">
        <v>80</v>
      </c>
      <c r="D441" s="15">
        <v>1147745.3</v>
      </c>
      <c r="E441" s="15">
        <v>26207976.5</v>
      </c>
      <c r="F441" s="15">
        <f t="shared" si="325"/>
        <v>22.83431393707297</v>
      </c>
      <c r="G441" s="14">
        <v>24</v>
      </c>
      <c r="H441" s="14">
        <v>43</v>
      </c>
      <c r="M441" s="14">
        <v>2239</v>
      </c>
      <c r="O441" s="14">
        <v>6</v>
      </c>
      <c r="T441" s="14">
        <v>136</v>
      </c>
      <c r="Y441" s="14">
        <v>418</v>
      </c>
      <c r="AB441" s="14">
        <f t="shared" si="326"/>
        <v>6</v>
      </c>
      <c r="AE441" s="14">
        <v>119</v>
      </c>
      <c r="AI441" s="14">
        <v>1592</v>
      </c>
      <c r="AJ441" s="14">
        <v>4</v>
      </c>
      <c r="AM441" s="14">
        <f t="shared" si="327"/>
        <v>0</v>
      </c>
      <c r="AQ441" s="14">
        <f t="shared" si="328"/>
        <v>0</v>
      </c>
      <c r="AT441" s="14">
        <f t="shared" si="329"/>
        <v>0</v>
      </c>
      <c r="AU441" s="16">
        <v>1415</v>
      </c>
      <c r="AV441" s="16">
        <v>9130</v>
      </c>
      <c r="AW441" s="16">
        <v>1436</v>
      </c>
      <c r="AX441" s="16">
        <v>0</v>
      </c>
      <c r="AY441" s="18">
        <f t="shared" si="330"/>
        <v>0.53991196153583243</v>
      </c>
      <c r="AZ441" s="17">
        <f t="shared" si="331"/>
        <v>3.4836722323831451</v>
      </c>
      <c r="BA441" s="17">
        <f t="shared" si="332"/>
        <v>0.54792478923353738</v>
      </c>
      <c r="BB441" s="17">
        <f t="shared" si="333"/>
        <v>0</v>
      </c>
      <c r="BC441" s="17">
        <f t="shared" si="301"/>
        <v>9.1575173688056375E-3</v>
      </c>
      <c r="BD441" s="17">
        <f t="shared" si="302"/>
        <v>1.6407218619110101E-2</v>
      </c>
      <c r="BE441" s="17">
        <f t="shared" si="303"/>
        <v>0</v>
      </c>
      <c r="BF441" s="17">
        <f t="shared" si="304"/>
        <v>0</v>
      </c>
      <c r="BG441" s="17">
        <f t="shared" si="305"/>
        <v>0</v>
      </c>
      <c r="BH441" s="17">
        <f t="shared" si="306"/>
        <v>0</v>
      </c>
      <c r="BI441" s="17">
        <f t="shared" si="307"/>
        <v>0.85432005786482601</v>
      </c>
      <c r="BJ441" s="17">
        <f t="shared" si="308"/>
        <v>0</v>
      </c>
      <c r="BK441" s="17">
        <f t="shared" si="309"/>
        <v>2.2893793422014094E-3</v>
      </c>
      <c r="BL441" s="17">
        <f t="shared" si="310"/>
        <v>0</v>
      </c>
      <c r="BM441" s="17">
        <f t="shared" si="311"/>
        <v>0</v>
      </c>
      <c r="BN441" s="17">
        <f t="shared" si="312"/>
        <v>0</v>
      </c>
      <c r="BO441" s="17">
        <f t="shared" si="313"/>
        <v>0</v>
      </c>
      <c r="BP441" s="17">
        <f t="shared" si="314"/>
        <v>5.1892598423231948E-2</v>
      </c>
      <c r="BQ441" s="17">
        <f t="shared" si="315"/>
        <v>0</v>
      </c>
      <c r="BR441" s="17">
        <f t="shared" si="316"/>
        <v>0</v>
      </c>
      <c r="BS441" s="17">
        <f t="shared" si="317"/>
        <v>0</v>
      </c>
      <c r="BT441" s="17">
        <f t="shared" si="318"/>
        <v>0</v>
      </c>
      <c r="BU441" s="17">
        <f t="shared" si="319"/>
        <v>0.1594934275066982</v>
      </c>
      <c r="BV441" s="17">
        <f t="shared" si="320"/>
        <v>0</v>
      </c>
      <c r="BW441" s="17">
        <f t="shared" si="321"/>
        <v>0</v>
      </c>
      <c r="BX441" s="17">
        <f t="shared" si="322"/>
        <v>0</v>
      </c>
      <c r="BY441" s="17">
        <f t="shared" si="323"/>
        <v>0</v>
      </c>
      <c r="BZ441" s="17">
        <f t="shared" si="334"/>
        <v>4.5406023620327959E-2</v>
      </c>
      <c r="CA441" s="17">
        <f t="shared" si="335"/>
        <v>0</v>
      </c>
      <c r="CB441" s="17">
        <f t="shared" si="336"/>
        <v>0</v>
      </c>
      <c r="CC441" s="17">
        <f t="shared" si="337"/>
        <v>0</v>
      </c>
      <c r="CD441" s="17">
        <f t="shared" si="338"/>
        <v>0.60744865213077404</v>
      </c>
      <c r="CE441" s="17">
        <f t="shared" si="339"/>
        <v>1.5262528948009398E-3</v>
      </c>
      <c r="CF441" s="17">
        <f t="shared" si="340"/>
        <v>0</v>
      </c>
      <c r="CG441" s="17">
        <f t="shared" si="341"/>
        <v>0</v>
      </c>
      <c r="CH441" s="17">
        <f t="shared" si="342"/>
        <v>0</v>
      </c>
      <c r="CI441" s="17">
        <f t="shared" si="343"/>
        <v>0</v>
      </c>
      <c r="CJ441" s="17">
        <f t="shared" si="344"/>
        <v>0</v>
      </c>
      <c r="CK441" s="17">
        <f t="shared" si="345"/>
        <v>0</v>
      </c>
      <c r="CL441" s="17">
        <f t="shared" si="346"/>
        <v>0</v>
      </c>
      <c r="CM441" s="14">
        <f t="shared" si="347"/>
        <v>10566</v>
      </c>
      <c r="CN441" s="17">
        <f t="shared" si="348"/>
        <v>4.0315970216166823</v>
      </c>
      <c r="CO441" s="14">
        <f t="shared" si="349"/>
        <v>11981</v>
      </c>
      <c r="CP441" s="17">
        <f t="shared" si="350"/>
        <v>4.5715089831525146</v>
      </c>
      <c r="CQ441" s="14">
        <f t="shared" si="324"/>
        <v>16568</v>
      </c>
      <c r="CR441" s="14">
        <v>0</v>
      </c>
      <c r="CS441" s="14">
        <v>0</v>
      </c>
      <c r="CT441" s="14">
        <v>0</v>
      </c>
      <c r="CU441" s="14">
        <v>0</v>
      </c>
    </row>
    <row r="442" spans="1:99" x14ac:dyDescent="0.3">
      <c r="A442" s="14">
        <v>2012</v>
      </c>
      <c r="B442" s="14" t="s">
        <v>81</v>
      </c>
      <c r="C442" s="14" t="s">
        <v>82</v>
      </c>
      <c r="D442" s="15">
        <v>1402343.9</v>
      </c>
      <c r="E442" s="15">
        <v>34273295.000000015</v>
      </c>
      <c r="F442" s="15">
        <f t="shared" si="325"/>
        <v>24.440007190818186</v>
      </c>
      <c r="H442" s="14">
        <v>550</v>
      </c>
      <c r="AB442" s="14">
        <f t="shared" si="326"/>
        <v>0</v>
      </c>
      <c r="AJ442" s="14">
        <v>650</v>
      </c>
      <c r="AM442" s="14">
        <f t="shared" si="327"/>
        <v>0</v>
      </c>
      <c r="AO442" s="14">
        <v>6046</v>
      </c>
      <c r="AQ442" s="14">
        <f t="shared" si="328"/>
        <v>6046</v>
      </c>
      <c r="AR442" s="14">
        <v>19791</v>
      </c>
      <c r="AT442" s="14">
        <f t="shared" si="329"/>
        <v>19791</v>
      </c>
      <c r="AU442" s="16">
        <v>6740</v>
      </c>
      <c r="AV442" s="16">
        <v>81632</v>
      </c>
      <c r="AW442" s="16">
        <v>0</v>
      </c>
      <c r="AX442" s="16">
        <v>0</v>
      </c>
      <c r="AY442" s="18">
        <f t="shared" si="330"/>
        <v>1.9665456735338687</v>
      </c>
      <c r="AZ442" s="17">
        <f t="shared" si="331"/>
        <v>23.81796089345946</v>
      </c>
      <c r="BA442" s="17">
        <f t="shared" si="332"/>
        <v>0</v>
      </c>
      <c r="BB442" s="17">
        <f t="shared" si="333"/>
        <v>0</v>
      </c>
      <c r="BC442" s="17">
        <f t="shared" si="301"/>
        <v>0</v>
      </c>
      <c r="BD442" s="17">
        <f t="shared" si="302"/>
        <v>0.16047479531804565</v>
      </c>
      <c r="BE442" s="17">
        <f t="shared" si="303"/>
        <v>0</v>
      </c>
      <c r="BF442" s="17">
        <f t="shared" si="304"/>
        <v>0</v>
      </c>
      <c r="BG442" s="17">
        <f t="shared" si="305"/>
        <v>0</v>
      </c>
      <c r="BH442" s="17">
        <f t="shared" si="306"/>
        <v>0</v>
      </c>
      <c r="BI442" s="17">
        <f t="shared" si="307"/>
        <v>0</v>
      </c>
      <c r="BJ442" s="17">
        <f t="shared" si="308"/>
        <v>0</v>
      </c>
      <c r="BK442" s="17">
        <f t="shared" si="309"/>
        <v>0</v>
      </c>
      <c r="BL442" s="17">
        <f t="shared" si="310"/>
        <v>0</v>
      </c>
      <c r="BM442" s="17">
        <f t="shared" si="311"/>
        <v>0</v>
      </c>
      <c r="BN442" s="17">
        <f t="shared" si="312"/>
        <v>0</v>
      </c>
      <c r="BO442" s="17">
        <f t="shared" si="313"/>
        <v>0</v>
      </c>
      <c r="BP442" s="17">
        <f t="shared" si="314"/>
        <v>0</v>
      </c>
      <c r="BQ442" s="17">
        <f t="shared" si="315"/>
        <v>0</v>
      </c>
      <c r="BR442" s="17">
        <f t="shared" si="316"/>
        <v>0</v>
      </c>
      <c r="BS442" s="17">
        <f t="shared" si="317"/>
        <v>0</v>
      </c>
      <c r="BT442" s="17">
        <f t="shared" si="318"/>
        <v>0</v>
      </c>
      <c r="BU442" s="17">
        <f t="shared" si="319"/>
        <v>0</v>
      </c>
      <c r="BV442" s="17">
        <f t="shared" si="320"/>
        <v>0</v>
      </c>
      <c r="BW442" s="17">
        <f t="shared" si="321"/>
        <v>0</v>
      </c>
      <c r="BX442" s="17">
        <f t="shared" si="322"/>
        <v>0</v>
      </c>
      <c r="BY442" s="17">
        <f t="shared" si="323"/>
        <v>0</v>
      </c>
      <c r="BZ442" s="17">
        <f t="shared" si="334"/>
        <v>0</v>
      </c>
      <c r="CA442" s="17">
        <f t="shared" si="335"/>
        <v>0</v>
      </c>
      <c r="CB442" s="17">
        <f t="shared" si="336"/>
        <v>0</v>
      </c>
      <c r="CC442" s="17">
        <f t="shared" si="337"/>
        <v>0</v>
      </c>
      <c r="CD442" s="17">
        <f t="shared" si="338"/>
        <v>0</v>
      </c>
      <c r="CE442" s="17">
        <f t="shared" si="339"/>
        <v>0.1896520308304176</v>
      </c>
      <c r="CF442" s="17">
        <f t="shared" si="340"/>
        <v>0</v>
      </c>
      <c r="CG442" s="17">
        <f t="shared" si="341"/>
        <v>0</v>
      </c>
      <c r="CH442" s="17">
        <f t="shared" si="342"/>
        <v>0</v>
      </c>
      <c r="CI442" s="17">
        <f t="shared" si="343"/>
        <v>1.7640556590780074</v>
      </c>
      <c r="CJ442" s="17">
        <f t="shared" si="344"/>
        <v>0</v>
      </c>
      <c r="CK442" s="17">
        <f t="shared" si="345"/>
        <v>5.7744666802535303</v>
      </c>
      <c r="CL442" s="17">
        <f t="shared" si="346"/>
        <v>0</v>
      </c>
      <c r="CM442" s="14">
        <f t="shared" si="347"/>
        <v>81632</v>
      </c>
      <c r="CN442" s="17">
        <f t="shared" si="348"/>
        <v>23.81796089345946</v>
      </c>
      <c r="CO442" s="14">
        <f t="shared" si="349"/>
        <v>88372</v>
      </c>
      <c r="CP442" s="17">
        <f t="shared" si="350"/>
        <v>25.784506566993329</v>
      </c>
      <c r="CQ442" s="14">
        <f t="shared" si="324"/>
        <v>141246</v>
      </c>
      <c r="CR442" s="14">
        <v>0</v>
      </c>
      <c r="CS442" s="14">
        <v>72</v>
      </c>
      <c r="CT442" s="14">
        <v>0</v>
      </c>
      <c r="CU442" s="14">
        <v>0</v>
      </c>
    </row>
    <row r="443" spans="1:99" x14ac:dyDescent="0.3">
      <c r="A443" s="14">
        <v>2013</v>
      </c>
      <c r="B443" s="14" t="s">
        <v>81</v>
      </c>
      <c r="C443" s="14" t="s">
        <v>82</v>
      </c>
      <c r="D443" s="15">
        <v>1420776.7</v>
      </c>
      <c r="E443" s="15">
        <v>35273569.999999993</v>
      </c>
      <c r="F443" s="15">
        <f t="shared" si="325"/>
        <v>24.826962604327615</v>
      </c>
      <c r="AB443" s="14">
        <f t="shared" si="326"/>
        <v>0</v>
      </c>
      <c r="AM443" s="14">
        <f t="shared" si="327"/>
        <v>0</v>
      </c>
      <c r="AQ443" s="14">
        <f t="shared" si="328"/>
        <v>0</v>
      </c>
      <c r="AT443" s="14">
        <f t="shared" si="329"/>
        <v>0</v>
      </c>
      <c r="AU443" s="16">
        <v>0</v>
      </c>
      <c r="AV443" s="16">
        <v>80298</v>
      </c>
      <c r="AW443" s="16">
        <v>14000</v>
      </c>
      <c r="AX443" s="16">
        <v>0</v>
      </c>
      <c r="AY443" s="18">
        <f t="shared" si="330"/>
        <v>0</v>
      </c>
      <c r="AZ443" s="17">
        <f t="shared" si="331"/>
        <v>22.764353026926397</v>
      </c>
      <c r="BA443" s="17">
        <f t="shared" si="332"/>
        <v>3.968977339123883</v>
      </c>
      <c r="BB443" s="17">
        <f t="shared" si="333"/>
        <v>0</v>
      </c>
      <c r="BC443" s="17">
        <f t="shared" si="301"/>
        <v>0</v>
      </c>
      <c r="BD443" s="17">
        <f t="shared" si="302"/>
        <v>0</v>
      </c>
      <c r="BE443" s="17">
        <f t="shared" si="303"/>
        <v>0</v>
      </c>
      <c r="BF443" s="17">
        <f t="shared" si="304"/>
        <v>0</v>
      </c>
      <c r="BG443" s="17">
        <f t="shared" si="305"/>
        <v>0</v>
      </c>
      <c r="BH443" s="17">
        <f t="shared" si="306"/>
        <v>0</v>
      </c>
      <c r="BI443" s="17">
        <f t="shared" si="307"/>
        <v>0</v>
      </c>
      <c r="BJ443" s="17">
        <f t="shared" si="308"/>
        <v>0</v>
      </c>
      <c r="BK443" s="17">
        <f t="shared" si="309"/>
        <v>0</v>
      </c>
      <c r="BL443" s="17">
        <f t="shared" si="310"/>
        <v>0</v>
      </c>
      <c r="BM443" s="17">
        <f t="shared" si="311"/>
        <v>0</v>
      </c>
      <c r="BN443" s="17">
        <f t="shared" si="312"/>
        <v>0</v>
      </c>
      <c r="BO443" s="17">
        <f t="shared" si="313"/>
        <v>0</v>
      </c>
      <c r="BP443" s="17">
        <f t="shared" si="314"/>
        <v>0</v>
      </c>
      <c r="BQ443" s="17">
        <f t="shared" si="315"/>
        <v>0</v>
      </c>
      <c r="BR443" s="17">
        <f t="shared" si="316"/>
        <v>0</v>
      </c>
      <c r="BS443" s="17">
        <f t="shared" si="317"/>
        <v>0</v>
      </c>
      <c r="BT443" s="17">
        <f t="shared" si="318"/>
        <v>0</v>
      </c>
      <c r="BU443" s="17">
        <f t="shared" si="319"/>
        <v>0</v>
      </c>
      <c r="BV443" s="17">
        <f t="shared" si="320"/>
        <v>0</v>
      </c>
      <c r="BW443" s="17">
        <f t="shared" si="321"/>
        <v>0</v>
      </c>
      <c r="BX443" s="17">
        <f t="shared" si="322"/>
        <v>0</v>
      </c>
      <c r="BY443" s="17">
        <f t="shared" si="323"/>
        <v>0</v>
      </c>
      <c r="BZ443" s="17">
        <f t="shared" si="334"/>
        <v>0</v>
      </c>
      <c r="CA443" s="17">
        <f t="shared" si="335"/>
        <v>0</v>
      </c>
      <c r="CB443" s="17">
        <f t="shared" si="336"/>
        <v>0</v>
      </c>
      <c r="CC443" s="17">
        <f t="shared" si="337"/>
        <v>0</v>
      </c>
      <c r="CD443" s="17">
        <f t="shared" si="338"/>
        <v>0</v>
      </c>
      <c r="CE443" s="17">
        <f t="shared" si="339"/>
        <v>0</v>
      </c>
      <c r="CF443" s="17">
        <f t="shared" si="340"/>
        <v>0</v>
      </c>
      <c r="CG443" s="17">
        <f t="shared" si="341"/>
        <v>0</v>
      </c>
      <c r="CH443" s="17">
        <f t="shared" si="342"/>
        <v>0</v>
      </c>
      <c r="CI443" s="17">
        <f t="shared" si="343"/>
        <v>0</v>
      </c>
      <c r="CJ443" s="17">
        <f t="shared" si="344"/>
        <v>0</v>
      </c>
      <c r="CK443" s="17">
        <f t="shared" si="345"/>
        <v>0</v>
      </c>
      <c r="CL443" s="17">
        <f t="shared" si="346"/>
        <v>0</v>
      </c>
      <c r="CM443" s="14">
        <f t="shared" si="347"/>
        <v>94298</v>
      </c>
      <c r="CN443" s="17">
        <f t="shared" si="348"/>
        <v>26.733330366050282</v>
      </c>
      <c r="CO443" s="14">
        <f t="shared" si="349"/>
        <v>94298</v>
      </c>
      <c r="CP443" s="17">
        <f t="shared" si="350"/>
        <v>26.733330366050282</v>
      </c>
      <c r="CQ443" s="14">
        <f t="shared" si="324"/>
        <v>94298</v>
      </c>
      <c r="CR443" s="14">
        <v>0</v>
      </c>
      <c r="CS443" s="14">
        <v>0</v>
      </c>
      <c r="CT443" s="14">
        <v>0</v>
      </c>
      <c r="CU443" s="14">
        <v>0</v>
      </c>
    </row>
    <row r="444" spans="1:99" x14ac:dyDescent="0.3">
      <c r="A444" s="14">
        <v>2014</v>
      </c>
      <c r="B444" s="14" t="s">
        <v>81</v>
      </c>
      <c r="C444" s="14" t="s">
        <v>82</v>
      </c>
      <c r="D444" s="15">
        <v>1437486</v>
      </c>
      <c r="E444" s="15">
        <v>36336539.50000003</v>
      </c>
      <c r="F444" s="15">
        <f t="shared" si="325"/>
        <v>25.277838879822156</v>
      </c>
      <c r="AB444" s="14">
        <f t="shared" si="326"/>
        <v>0</v>
      </c>
      <c r="AM444" s="14">
        <f t="shared" si="327"/>
        <v>0</v>
      </c>
      <c r="AQ444" s="14">
        <f t="shared" si="328"/>
        <v>0</v>
      </c>
      <c r="AT444" s="14">
        <f t="shared" si="329"/>
        <v>0</v>
      </c>
      <c r="AU444" s="16">
        <v>0</v>
      </c>
      <c r="AV444" s="16">
        <v>90776</v>
      </c>
      <c r="AW444" s="16">
        <v>0</v>
      </c>
      <c r="AX444" s="16">
        <v>0</v>
      </c>
      <c r="AY444" s="18">
        <f t="shared" si="330"/>
        <v>0</v>
      </c>
      <c r="AZ444" s="17">
        <f t="shared" si="331"/>
        <v>24.98201569249596</v>
      </c>
      <c r="BA444" s="17">
        <f t="shared" si="332"/>
        <v>0</v>
      </c>
      <c r="BB444" s="17">
        <f t="shared" si="333"/>
        <v>0</v>
      </c>
      <c r="BC444" s="17">
        <f t="shared" si="301"/>
        <v>0</v>
      </c>
      <c r="BD444" s="17">
        <f t="shared" si="302"/>
        <v>0</v>
      </c>
      <c r="BE444" s="17">
        <f t="shared" si="303"/>
        <v>0</v>
      </c>
      <c r="BF444" s="17">
        <f t="shared" si="304"/>
        <v>0</v>
      </c>
      <c r="BG444" s="17">
        <f t="shared" si="305"/>
        <v>0</v>
      </c>
      <c r="BH444" s="17">
        <f t="shared" si="306"/>
        <v>0</v>
      </c>
      <c r="BI444" s="17">
        <f t="shared" si="307"/>
        <v>0</v>
      </c>
      <c r="BJ444" s="17">
        <f t="shared" si="308"/>
        <v>0</v>
      </c>
      <c r="BK444" s="17">
        <f t="shared" si="309"/>
        <v>0</v>
      </c>
      <c r="BL444" s="17">
        <f t="shared" si="310"/>
        <v>0</v>
      </c>
      <c r="BM444" s="17">
        <f t="shared" si="311"/>
        <v>0</v>
      </c>
      <c r="BN444" s="17">
        <f t="shared" si="312"/>
        <v>0</v>
      </c>
      <c r="BO444" s="17">
        <f t="shared" si="313"/>
        <v>0</v>
      </c>
      <c r="BP444" s="17">
        <f t="shared" si="314"/>
        <v>0</v>
      </c>
      <c r="BQ444" s="17">
        <f t="shared" si="315"/>
        <v>0</v>
      </c>
      <c r="BR444" s="17">
        <f t="shared" si="316"/>
        <v>0</v>
      </c>
      <c r="BS444" s="17">
        <f t="shared" si="317"/>
        <v>0</v>
      </c>
      <c r="BT444" s="17">
        <f t="shared" si="318"/>
        <v>0</v>
      </c>
      <c r="BU444" s="17">
        <f t="shared" si="319"/>
        <v>0</v>
      </c>
      <c r="BV444" s="17">
        <f t="shared" si="320"/>
        <v>0</v>
      </c>
      <c r="BW444" s="17">
        <f t="shared" si="321"/>
        <v>0</v>
      </c>
      <c r="BX444" s="17">
        <f t="shared" si="322"/>
        <v>0</v>
      </c>
      <c r="BY444" s="17">
        <f t="shared" si="323"/>
        <v>0</v>
      </c>
      <c r="BZ444" s="17">
        <f t="shared" si="334"/>
        <v>0</v>
      </c>
      <c r="CA444" s="17">
        <f t="shared" si="335"/>
        <v>0</v>
      </c>
      <c r="CB444" s="17">
        <f t="shared" si="336"/>
        <v>0</v>
      </c>
      <c r="CC444" s="17">
        <f t="shared" si="337"/>
        <v>0</v>
      </c>
      <c r="CD444" s="17">
        <f t="shared" si="338"/>
        <v>0</v>
      </c>
      <c r="CE444" s="17">
        <f t="shared" si="339"/>
        <v>0</v>
      </c>
      <c r="CF444" s="17">
        <f t="shared" si="340"/>
        <v>0</v>
      </c>
      <c r="CG444" s="17">
        <f t="shared" si="341"/>
        <v>0</v>
      </c>
      <c r="CH444" s="17">
        <f t="shared" si="342"/>
        <v>0</v>
      </c>
      <c r="CI444" s="17">
        <f t="shared" si="343"/>
        <v>0</v>
      </c>
      <c r="CJ444" s="17">
        <f t="shared" si="344"/>
        <v>0</v>
      </c>
      <c r="CK444" s="17">
        <f t="shared" si="345"/>
        <v>0</v>
      </c>
      <c r="CL444" s="17">
        <f t="shared" si="346"/>
        <v>0</v>
      </c>
      <c r="CM444" s="14">
        <f t="shared" si="347"/>
        <v>90776</v>
      </c>
      <c r="CN444" s="17">
        <f t="shared" si="348"/>
        <v>24.98201569249596</v>
      </c>
      <c r="CO444" s="14">
        <f t="shared" si="349"/>
        <v>90776</v>
      </c>
      <c r="CP444" s="17">
        <f t="shared" si="350"/>
        <v>24.98201569249596</v>
      </c>
      <c r="CQ444" s="14">
        <f t="shared" si="324"/>
        <v>90776</v>
      </c>
      <c r="CR444" s="14">
        <v>0</v>
      </c>
      <c r="CS444" s="14">
        <v>0</v>
      </c>
      <c r="CT444" s="14">
        <v>0</v>
      </c>
      <c r="CU444" s="14">
        <v>0</v>
      </c>
    </row>
    <row r="445" spans="1:99" x14ac:dyDescent="0.3">
      <c r="A445" s="14">
        <v>2015</v>
      </c>
      <c r="B445" s="14" t="s">
        <v>81</v>
      </c>
      <c r="C445" s="14" t="s">
        <v>82</v>
      </c>
      <c r="D445" s="15">
        <v>1456401</v>
      </c>
      <c r="E445" s="15">
        <v>37477355.999999978</v>
      </c>
      <c r="F445" s="15">
        <f t="shared" si="325"/>
        <v>25.732855168322445</v>
      </c>
      <c r="G445" s="14">
        <v>276</v>
      </c>
      <c r="H445" s="14">
        <v>45</v>
      </c>
      <c r="M445" s="14">
        <v>179175</v>
      </c>
      <c r="T445" s="14">
        <v>1925</v>
      </c>
      <c r="V445" s="14">
        <v>121</v>
      </c>
      <c r="Y445" s="14">
        <v>2447</v>
      </c>
      <c r="AA445" s="14">
        <v>227</v>
      </c>
      <c r="AB445" s="14">
        <f t="shared" si="326"/>
        <v>227</v>
      </c>
      <c r="AK445" s="14">
        <v>114</v>
      </c>
      <c r="AM445" s="14">
        <f t="shared" si="327"/>
        <v>114</v>
      </c>
      <c r="AQ445" s="14">
        <f t="shared" si="328"/>
        <v>0</v>
      </c>
      <c r="AT445" s="14">
        <f t="shared" si="329"/>
        <v>0</v>
      </c>
      <c r="AU445" s="16">
        <v>7290</v>
      </c>
      <c r="AV445" s="16">
        <v>101362</v>
      </c>
      <c r="AW445" s="16">
        <v>17630</v>
      </c>
      <c r="AX445" s="16">
        <v>0</v>
      </c>
      <c r="AY445" s="18">
        <f t="shared" si="330"/>
        <v>1.9451745742148951</v>
      </c>
      <c r="AZ445" s="17">
        <f t="shared" si="331"/>
        <v>27.046198243013745</v>
      </c>
      <c r="BA445" s="17">
        <f t="shared" si="332"/>
        <v>4.7041739017021396</v>
      </c>
      <c r="BB445" s="17">
        <f t="shared" si="333"/>
        <v>0</v>
      </c>
      <c r="BC445" s="17">
        <f t="shared" si="301"/>
        <v>7.3644469476448704E-2</v>
      </c>
      <c r="BD445" s="17">
        <f t="shared" si="302"/>
        <v>1.2007250458116635E-2</v>
      </c>
      <c r="BE445" s="17">
        <f t="shared" si="303"/>
        <v>0</v>
      </c>
      <c r="BF445" s="17">
        <f t="shared" si="304"/>
        <v>0</v>
      </c>
      <c r="BG445" s="17">
        <f t="shared" si="305"/>
        <v>0</v>
      </c>
      <c r="BH445" s="17">
        <f t="shared" si="306"/>
        <v>0</v>
      </c>
      <c r="BI445" s="17">
        <f t="shared" si="307"/>
        <v>47.80886890740107</v>
      </c>
      <c r="BJ445" s="17">
        <f t="shared" si="308"/>
        <v>0</v>
      </c>
      <c r="BK445" s="17">
        <f t="shared" si="309"/>
        <v>0</v>
      </c>
      <c r="BL445" s="17">
        <f t="shared" si="310"/>
        <v>0</v>
      </c>
      <c r="BM445" s="17">
        <f t="shared" si="311"/>
        <v>0</v>
      </c>
      <c r="BN445" s="17">
        <f t="shared" si="312"/>
        <v>0</v>
      </c>
      <c r="BO445" s="17">
        <f t="shared" si="313"/>
        <v>0</v>
      </c>
      <c r="BP445" s="17">
        <f t="shared" si="314"/>
        <v>0.51364349181943392</v>
      </c>
      <c r="BQ445" s="17">
        <f t="shared" si="315"/>
        <v>0</v>
      </c>
      <c r="BR445" s="17">
        <f t="shared" si="316"/>
        <v>3.2286162342935847E-2</v>
      </c>
      <c r="BS445" s="17">
        <f t="shared" si="317"/>
        <v>0</v>
      </c>
      <c r="BT445" s="17">
        <f t="shared" si="318"/>
        <v>0</v>
      </c>
      <c r="BU445" s="17">
        <f t="shared" si="319"/>
        <v>0.65292759713358683</v>
      </c>
      <c r="BV445" s="17">
        <f t="shared" si="320"/>
        <v>0</v>
      </c>
      <c r="BW445" s="17">
        <f t="shared" si="321"/>
        <v>6.0569907866499476E-2</v>
      </c>
      <c r="BX445" s="17">
        <f t="shared" si="322"/>
        <v>0</v>
      </c>
      <c r="BY445" s="17">
        <f t="shared" si="323"/>
        <v>0</v>
      </c>
      <c r="BZ445" s="17">
        <f t="shared" si="334"/>
        <v>0</v>
      </c>
      <c r="CA445" s="17">
        <f t="shared" si="335"/>
        <v>0</v>
      </c>
      <c r="CB445" s="17">
        <f t="shared" si="336"/>
        <v>0</v>
      </c>
      <c r="CC445" s="17">
        <f t="shared" si="337"/>
        <v>0</v>
      </c>
      <c r="CD445" s="17">
        <f t="shared" si="338"/>
        <v>0</v>
      </c>
      <c r="CE445" s="17">
        <f t="shared" si="339"/>
        <v>0</v>
      </c>
      <c r="CF445" s="17">
        <f t="shared" si="340"/>
        <v>3.0418367827228811E-2</v>
      </c>
      <c r="CG445" s="17">
        <f t="shared" si="341"/>
        <v>0</v>
      </c>
      <c r="CH445" s="17">
        <f t="shared" si="342"/>
        <v>0</v>
      </c>
      <c r="CI445" s="17">
        <f t="shared" si="343"/>
        <v>0</v>
      </c>
      <c r="CJ445" s="17">
        <f t="shared" si="344"/>
        <v>0</v>
      </c>
      <c r="CK445" s="17">
        <f t="shared" si="345"/>
        <v>0</v>
      </c>
      <c r="CL445" s="17">
        <f t="shared" si="346"/>
        <v>0</v>
      </c>
      <c r="CM445" s="14">
        <f t="shared" si="347"/>
        <v>118992</v>
      </c>
      <c r="CN445" s="17">
        <f t="shared" si="348"/>
        <v>31.750372144715882</v>
      </c>
      <c r="CO445" s="14">
        <f t="shared" si="349"/>
        <v>126282</v>
      </c>
      <c r="CP445" s="17">
        <f t="shared" si="350"/>
        <v>33.695546718930778</v>
      </c>
      <c r="CQ445" s="14">
        <f t="shared" si="324"/>
        <v>310953</v>
      </c>
      <c r="CR445" s="14">
        <v>0</v>
      </c>
      <c r="CS445" s="14">
        <v>0</v>
      </c>
      <c r="CT445" s="14">
        <v>0</v>
      </c>
      <c r="CU445" s="14">
        <v>0</v>
      </c>
    </row>
    <row r="446" spans="1:99" x14ac:dyDescent="0.3">
      <c r="A446" s="14">
        <v>2016</v>
      </c>
      <c r="B446" s="14" t="s">
        <v>81</v>
      </c>
      <c r="C446" s="14" t="s">
        <v>82</v>
      </c>
      <c r="D446" s="15">
        <v>1479060.5</v>
      </c>
      <c r="E446" s="15">
        <v>38748298.999999978</v>
      </c>
      <c r="F446" s="15">
        <f t="shared" si="325"/>
        <v>26.19791347277544</v>
      </c>
      <c r="AB446" s="14">
        <f t="shared" si="326"/>
        <v>0</v>
      </c>
      <c r="AM446" s="14">
        <f t="shared" si="327"/>
        <v>0</v>
      </c>
      <c r="AQ446" s="14">
        <f t="shared" si="328"/>
        <v>0</v>
      </c>
      <c r="AT446" s="14">
        <f t="shared" si="329"/>
        <v>0</v>
      </c>
      <c r="AU446" s="16">
        <v>42</v>
      </c>
      <c r="AV446" s="16">
        <v>110456</v>
      </c>
      <c r="AW446" s="16">
        <v>19604</v>
      </c>
      <c r="AX446" s="16">
        <v>0</v>
      </c>
      <c r="AY446" s="18">
        <f t="shared" si="330"/>
        <v>1.0839185482696937E-2</v>
      </c>
      <c r="AZ446" s="17">
        <f t="shared" si="331"/>
        <v>28.506025516113638</v>
      </c>
      <c r="BA446" s="17">
        <f t="shared" si="332"/>
        <v>5.0593188619712084</v>
      </c>
      <c r="BB446" s="17">
        <f t="shared" si="333"/>
        <v>0</v>
      </c>
      <c r="BC446" s="17">
        <f t="shared" si="301"/>
        <v>0</v>
      </c>
      <c r="BD446" s="17">
        <f t="shared" si="302"/>
        <v>0</v>
      </c>
      <c r="BE446" s="17">
        <f t="shared" si="303"/>
        <v>0</v>
      </c>
      <c r="BF446" s="17">
        <f t="shared" si="304"/>
        <v>0</v>
      </c>
      <c r="BG446" s="17">
        <f t="shared" si="305"/>
        <v>0</v>
      </c>
      <c r="BH446" s="17">
        <f t="shared" si="306"/>
        <v>0</v>
      </c>
      <c r="BI446" s="17">
        <f t="shared" si="307"/>
        <v>0</v>
      </c>
      <c r="BJ446" s="17">
        <f t="shared" si="308"/>
        <v>0</v>
      </c>
      <c r="BK446" s="17">
        <f t="shared" si="309"/>
        <v>0</v>
      </c>
      <c r="BL446" s="17">
        <f t="shared" si="310"/>
        <v>0</v>
      </c>
      <c r="BM446" s="17">
        <f t="shared" si="311"/>
        <v>0</v>
      </c>
      <c r="BN446" s="17">
        <f t="shared" si="312"/>
        <v>0</v>
      </c>
      <c r="BO446" s="17">
        <f t="shared" si="313"/>
        <v>0</v>
      </c>
      <c r="BP446" s="17">
        <f t="shared" si="314"/>
        <v>0</v>
      </c>
      <c r="BQ446" s="17">
        <f t="shared" si="315"/>
        <v>0</v>
      </c>
      <c r="BR446" s="17">
        <f t="shared" si="316"/>
        <v>0</v>
      </c>
      <c r="BS446" s="17">
        <f t="shared" si="317"/>
        <v>0</v>
      </c>
      <c r="BT446" s="17">
        <f t="shared" si="318"/>
        <v>0</v>
      </c>
      <c r="BU446" s="17">
        <f t="shared" si="319"/>
        <v>0</v>
      </c>
      <c r="BV446" s="17">
        <f t="shared" si="320"/>
        <v>0</v>
      </c>
      <c r="BW446" s="17">
        <f t="shared" si="321"/>
        <v>0</v>
      </c>
      <c r="BX446" s="17">
        <f t="shared" si="322"/>
        <v>0</v>
      </c>
      <c r="BY446" s="17">
        <f t="shared" si="323"/>
        <v>0</v>
      </c>
      <c r="BZ446" s="17">
        <f t="shared" si="334"/>
        <v>0</v>
      </c>
      <c r="CA446" s="17">
        <f t="shared" si="335"/>
        <v>0</v>
      </c>
      <c r="CB446" s="17">
        <f t="shared" si="336"/>
        <v>0</v>
      </c>
      <c r="CC446" s="17">
        <f t="shared" si="337"/>
        <v>0</v>
      </c>
      <c r="CD446" s="17">
        <f t="shared" si="338"/>
        <v>0</v>
      </c>
      <c r="CE446" s="17">
        <f t="shared" si="339"/>
        <v>0</v>
      </c>
      <c r="CF446" s="17">
        <f t="shared" si="340"/>
        <v>0</v>
      </c>
      <c r="CG446" s="17">
        <f t="shared" si="341"/>
        <v>0</v>
      </c>
      <c r="CH446" s="17">
        <f t="shared" si="342"/>
        <v>0</v>
      </c>
      <c r="CI446" s="17">
        <f t="shared" si="343"/>
        <v>0</v>
      </c>
      <c r="CJ446" s="17">
        <f t="shared" si="344"/>
        <v>0</v>
      </c>
      <c r="CK446" s="17">
        <f t="shared" si="345"/>
        <v>0</v>
      </c>
      <c r="CL446" s="17">
        <f t="shared" si="346"/>
        <v>0</v>
      </c>
      <c r="CM446" s="14">
        <f t="shared" si="347"/>
        <v>130060</v>
      </c>
      <c r="CN446" s="17">
        <f t="shared" si="348"/>
        <v>33.565344378084845</v>
      </c>
      <c r="CO446" s="14">
        <f t="shared" si="349"/>
        <v>130102</v>
      </c>
      <c r="CP446" s="17">
        <f t="shared" si="350"/>
        <v>33.576183563567547</v>
      </c>
      <c r="CQ446" s="14">
        <f t="shared" si="324"/>
        <v>130102</v>
      </c>
      <c r="CR446" s="14">
        <v>0</v>
      </c>
      <c r="CS446" s="14">
        <v>0</v>
      </c>
      <c r="CT446" s="14">
        <v>0</v>
      </c>
      <c r="CU446" s="14">
        <v>5112</v>
      </c>
    </row>
    <row r="447" spans="1:99" x14ac:dyDescent="0.3">
      <c r="A447" s="14">
        <v>2017</v>
      </c>
      <c r="B447" s="14" t="s">
        <v>81</v>
      </c>
      <c r="C447" s="14" t="s">
        <v>82</v>
      </c>
      <c r="D447" s="15">
        <v>1511805.9</v>
      </c>
      <c r="E447" s="15">
        <v>40127084.999999978</v>
      </c>
      <c r="F447" s="15">
        <f t="shared" si="325"/>
        <v>26.542484719764609</v>
      </c>
      <c r="AB447" s="14">
        <f t="shared" si="326"/>
        <v>0</v>
      </c>
      <c r="AM447" s="14">
        <f t="shared" si="327"/>
        <v>0</v>
      </c>
      <c r="AQ447" s="14">
        <f t="shared" si="328"/>
        <v>0</v>
      </c>
      <c r="AT447" s="14">
        <f t="shared" si="329"/>
        <v>0</v>
      </c>
      <c r="AU447" s="16">
        <v>13836</v>
      </c>
      <c r="AV447" s="16">
        <v>120912</v>
      </c>
      <c r="AW447" s="16">
        <v>0</v>
      </c>
      <c r="AX447" s="16">
        <v>0</v>
      </c>
      <c r="AY447" s="18">
        <f t="shared" si="330"/>
        <v>3.4480451296175656</v>
      </c>
      <c r="AZ447" s="17">
        <f t="shared" si="331"/>
        <v>30.13226602430754</v>
      </c>
      <c r="BA447" s="17">
        <f t="shared" si="332"/>
        <v>0</v>
      </c>
      <c r="BB447" s="17">
        <f t="shared" si="333"/>
        <v>0</v>
      </c>
      <c r="BC447" s="17">
        <f t="shared" si="301"/>
        <v>0</v>
      </c>
      <c r="BD447" s="17">
        <f t="shared" si="302"/>
        <v>0</v>
      </c>
      <c r="BE447" s="17">
        <f t="shared" si="303"/>
        <v>0</v>
      </c>
      <c r="BF447" s="17">
        <f t="shared" si="304"/>
        <v>0</v>
      </c>
      <c r="BG447" s="17">
        <f t="shared" si="305"/>
        <v>0</v>
      </c>
      <c r="BH447" s="17">
        <f t="shared" si="306"/>
        <v>0</v>
      </c>
      <c r="BI447" s="17">
        <f t="shared" si="307"/>
        <v>0</v>
      </c>
      <c r="BJ447" s="17">
        <f t="shared" si="308"/>
        <v>0</v>
      </c>
      <c r="BK447" s="17">
        <f t="shared" si="309"/>
        <v>0</v>
      </c>
      <c r="BL447" s="17">
        <f t="shared" si="310"/>
        <v>0</v>
      </c>
      <c r="BM447" s="17">
        <f t="shared" si="311"/>
        <v>0</v>
      </c>
      <c r="BN447" s="17">
        <f t="shared" si="312"/>
        <v>0</v>
      </c>
      <c r="BO447" s="17">
        <f t="shared" si="313"/>
        <v>0</v>
      </c>
      <c r="BP447" s="17">
        <f t="shared" si="314"/>
        <v>0</v>
      </c>
      <c r="BQ447" s="17">
        <f t="shared" si="315"/>
        <v>0</v>
      </c>
      <c r="BR447" s="17">
        <f t="shared" si="316"/>
        <v>0</v>
      </c>
      <c r="BS447" s="17">
        <f t="shared" si="317"/>
        <v>0</v>
      </c>
      <c r="BT447" s="17">
        <f t="shared" si="318"/>
        <v>0</v>
      </c>
      <c r="BU447" s="17">
        <f t="shared" si="319"/>
        <v>0</v>
      </c>
      <c r="BV447" s="17">
        <f t="shared" si="320"/>
        <v>0</v>
      </c>
      <c r="BW447" s="17">
        <f t="shared" si="321"/>
        <v>0</v>
      </c>
      <c r="BX447" s="17">
        <f t="shared" si="322"/>
        <v>0</v>
      </c>
      <c r="BY447" s="17">
        <f t="shared" si="323"/>
        <v>0</v>
      </c>
      <c r="BZ447" s="17">
        <f t="shared" si="334"/>
        <v>0</v>
      </c>
      <c r="CA447" s="17">
        <f t="shared" si="335"/>
        <v>0</v>
      </c>
      <c r="CB447" s="17">
        <f t="shared" si="336"/>
        <v>0</v>
      </c>
      <c r="CC447" s="17">
        <f t="shared" si="337"/>
        <v>0</v>
      </c>
      <c r="CD447" s="17">
        <f t="shared" si="338"/>
        <v>0</v>
      </c>
      <c r="CE447" s="17">
        <f t="shared" si="339"/>
        <v>0</v>
      </c>
      <c r="CF447" s="17">
        <f t="shared" si="340"/>
        <v>0</v>
      </c>
      <c r="CG447" s="17">
        <f t="shared" si="341"/>
        <v>0</v>
      </c>
      <c r="CH447" s="17">
        <f t="shared" si="342"/>
        <v>0</v>
      </c>
      <c r="CI447" s="17">
        <f t="shared" si="343"/>
        <v>0</v>
      </c>
      <c r="CJ447" s="17">
        <f t="shared" si="344"/>
        <v>0</v>
      </c>
      <c r="CK447" s="17">
        <f t="shared" si="345"/>
        <v>0</v>
      </c>
      <c r="CL447" s="17">
        <f t="shared" si="346"/>
        <v>0</v>
      </c>
      <c r="CM447" s="14">
        <f t="shared" si="347"/>
        <v>120912</v>
      </c>
      <c r="CN447" s="17">
        <f t="shared" si="348"/>
        <v>30.13226602430754</v>
      </c>
      <c r="CO447" s="14">
        <f t="shared" si="349"/>
        <v>134748</v>
      </c>
      <c r="CP447" s="17">
        <f t="shared" si="350"/>
        <v>33.580311153925102</v>
      </c>
      <c r="CQ447" s="14">
        <f t="shared" si="324"/>
        <v>134748</v>
      </c>
      <c r="CR447" s="14">
        <v>0</v>
      </c>
      <c r="CS447" s="14">
        <v>0</v>
      </c>
      <c r="CT447" s="14">
        <v>0</v>
      </c>
      <c r="CU447" s="14">
        <v>0</v>
      </c>
    </row>
    <row r="448" spans="1:99" x14ac:dyDescent="0.3">
      <c r="A448" s="14">
        <v>2018</v>
      </c>
      <c r="B448" s="14" t="s">
        <v>81</v>
      </c>
      <c r="C448" s="14" t="s">
        <v>82</v>
      </c>
      <c r="D448" s="15">
        <v>1554009.4</v>
      </c>
      <c r="E448" s="15">
        <v>41515395.000000015</v>
      </c>
      <c r="F448" s="15">
        <f t="shared" si="325"/>
        <v>26.715021801026442</v>
      </c>
      <c r="G448" s="14">
        <v>26</v>
      </c>
      <c r="H448" s="14">
        <v>324</v>
      </c>
      <c r="Z448" s="14">
        <v>3874</v>
      </c>
      <c r="AB448" s="14">
        <f t="shared" si="326"/>
        <v>0</v>
      </c>
      <c r="AM448" s="14">
        <f t="shared" si="327"/>
        <v>0</v>
      </c>
      <c r="AQ448" s="14">
        <f t="shared" si="328"/>
        <v>0</v>
      </c>
      <c r="AT448" s="14">
        <f t="shared" si="329"/>
        <v>0</v>
      </c>
      <c r="AU448" s="16">
        <v>0</v>
      </c>
      <c r="AV448" s="16">
        <v>105814</v>
      </c>
      <c r="AW448" s="16">
        <v>0</v>
      </c>
      <c r="AX448" s="16">
        <v>0</v>
      </c>
      <c r="AY448" s="18">
        <f t="shared" si="330"/>
        <v>0</v>
      </c>
      <c r="AZ448" s="17">
        <f t="shared" si="331"/>
        <v>25.487894310050514</v>
      </c>
      <c r="BA448" s="17">
        <f t="shared" si="332"/>
        <v>0</v>
      </c>
      <c r="BB448" s="17">
        <f t="shared" si="333"/>
        <v>0</v>
      </c>
      <c r="BC448" s="17">
        <f t="shared" si="301"/>
        <v>6.2627369919038443E-3</v>
      </c>
      <c r="BD448" s="17">
        <f t="shared" si="302"/>
        <v>7.8043337899109444E-2</v>
      </c>
      <c r="BE448" s="17">
        <f t="shared" si="303"/>
        <v>0</v>
      </c>
      <c r="BF448" s="17">
        <f t="shared" si="304"/>
        <v>0</v>
      </c>
      <c r="BG448" s="17">
        <f t="shared" si="305"/>
        <v>0</v>
      </c>
      <c r="BH448" s="17">
        <f t="shared" si="306"/>
        <v>0</v>
      </c>
      <c r="BI448" s="17">
        <f t="shared" si="307"/>
        <v>0</v>
      </c>
      <c r="BJ448" s="17">
        <f t="shared" si="308"/>
        <v>0</v>
      </c>
      <c r="BK448" s="17">
        <f t="shared" si="309"/>
        <v>0</v>
      </c>
      <c r="BL448" s="17">
        <f t="shared" si="310"/>
        <v>0</v>
      </c>
      <c r="BM448" s="17">
        <f t="shared" si="311"/>
        <v>0</v>
      </c>
      <c r="BN448" s="17">
        <f t="shared" si="312"/>
        <v>0</v>
      </c>
      <c r="BO448" s="17">
        <f t="shared" si="313"/>
        <v>0</v>
      </c>
      <c r="BP448" s="17">
        <f t="shared" si="314"/>
        <v>0</v>
      </c>
      <c r="BQ448" s="17">
        <f t="shared" si="315"/>
        <v>0</v>
      </c>
      <c r="BR448" s="17">
        <f t="shared" si="316"/>
        <v>0</v>
      </c>
      <c r="BS448" s="17">
        <f t="shared" si="317"/>
        <v>0</v>
      </c>
      <c r="BT448" s="17">
        <f t="shared" si="318"/>
        <v>0</v>
      </c>
      <c r="BU448" s="17">
        <f t="shared" si="319"/>
        <v>0</v>
      </c>
      <c r="BV448" s="17">
        <f t="shared" si="320"/>
        <v>0.93314781179367279</v>
      </c>
      <c r="BW448" s="17">
        <f t="shared" si="321"/>
        <v>0</v>
      </c>
      <c r="BX448" s="17">
        <f t="shared" si="322"/>
        <v>0</v>
      </c>
      <c r="BY448" s="17">
        <f t="shared" si="323"/>
        <v>0</v>
      </c>
      <c r="BZ448" s="17">
        <f t="shared" si="334"/>
        <v>0</v>
      </c>
      <c r="CA448" s="17">
        <f t="shared" si="335"/>
        <v>0</v>
      </c>
      <c r="CB448" s="17">
        <f t="shared" si="336"/>
        <v>0</v>
      </c>
      <c r="CC448" s="17">
        <f t="shared" si="337"/>
        <v>0</v>
      </c>
      <c r="CD448" s="17">
        <f t="shared" si="338"/>
        <v>0</v>
      </c>
      <c r="CE448" s="17">
        <f t="shared" si="339"/>
        <v>0</v>
      </c>
      <c r="CF448" s="17">
        <f t="shared" si="340"/>
        <v>0</v>
      </c>
      <c r="CG448" s="17">
        <f t="shared" si="341"/>
        <v>0</v>
      </c>
      <c r="CH448" s="17">
        <f t="shared" si="342"/>
        <v>0</v>
      </c>
      <c r="CI448" s="17">
        <f t="shared" si="343"/>
        <v>0</v>
      </c>
      <c r="CJ448" s="17">
        <f t="shared" si="344"/>
        <v>0</v>
      </c>
      <c r="CK448" s="17">
        <f t="shared" si="345"/>
        <v>0</v>
      </c>
      <c r="CL448" s="17">
        <f t="shared" si="346"/>
        <v>0</v>
      </c>
      <c r="CM448" s="14">
        <f t="shared" si="347"/>
        <v>105814</v>
      </c>
      <c r="CN448" s="17">
        <f t="shared" si="348"/>
        <v>25.487894310050514</v>
      </c>
      <c r="CO448" s="14">
        <f t="shared" si="349"/>
        <v>105814</v>
      </c>
      <c r="CP448" s="17">
        <f t="shared" si="350"/>
        <v>25.487894310050514</v>
      </c>
      <c r="CQ448" s="14">
        <f t="shared" si="324"/>
        <v>110038</v>
      </c>
      <c r="CR448" s="14">
        <v>0</v>
      </c>
      <c r="CS448" s="14">
        <v>0</v>
      </c>
      <c r="CT448" s="14">
        <v>0</v>
      </c>
      <c r="CU448" s="14">
        <v>0</v>
      </c>
    </row>
    <row r="449" spans="1:99" x14ac:dyDescent="0.3">
      <c r="A449" s="14">
        <v>2019</v>
      </c>
      <c r="B449" s="14" t="s">
        <v>81</v>
      </c>
      <c r="C449" s="14" t="s">
        <v>82</v>
      </c>
      <c r="D449" s="15">
        <v>1595456</v>
      </c>
      <c r="E449" s="15">
        <v>42949080.000000015</v>
      </c>
      <c r="F449" s="15">
        <f t="shared" si="325"/>
        <v>26.919626739941442</v>
      </c>
      <c r="G449" s="14">
        <v>310</v>
      </c>
      <c r="M449" s="14">
        <v>179000</v>
      </c>
      <c r="N449" s="14">
        <v>900</v>
      </c>
      <c r="O449" s="14">
        <v>30</v>
      </c>
      <c r="AB449" s="14">
        <f t="shared" si="326"/>
        <v>30</v>
      </c>
      <c r="AM449" s="14">
        <f t="shared" si="327"/>
        <v>0</v>
      </c>
      <c r="AQ449" s="14">
        <f t="shared" si="328"/>
        <v>0</v>
      </c>
      <c r="AT449" s="14">
        <f t="shared" si="329"/>
        <v>0</v>
      </c>
      <c r="AU449" s="16">
        <v>0</v>
      </c>
      <c r="AV449" s="16">
        <v>0</v>
      </c>
      <c r="AW449" s="16">
        <v>0</v>
      </c>
      <c r="AX449" s="16">
        <v>0</v>
      </c>
      <c r="AY449" s="18">
        <f t="shared" si="330"/>
        <v>0</v>
      </c>
      <c r="AZ449" s="17">
        <f t="shared" si="331"/>
        <v>0</v>
      </c>
      <c r="BA449" s="17">
        <f t="shared" si="332"/>
        <v>0</v>
      </c>
      <c r="BB449" s="17">
        <f t="shared" si="333"/>
        <v>0</v>
      </c>
      <c r="BC449" s="17">
        <f t="shared" si="301"/>
        <v>7.2178496023663344E-2</v>
      </c>
      <c r="BD449" s="17">
        <f t="shared" si="302"/>
        <v>0</v>
      </c>
      <c r="BE449" s="17">
        <f t="shared" si="303"/>
        <v>0</v>
      </c>
      <c r="BF449" s="17">
        <f t="shared" si="304"/>
        <v>0</v>
      </c>
      <c r="BG449" s="17">
        <f t="shared" si="305"/>
        <v>0</v>
      </c>
      <c r="BH449" s="17">
        <f t="shared" si="306"/>
        <v>0</v>
      </c>
      <c r="BI449" s="17">
        <f t="shared" si="307"/>
        <v>41.677260607212062</v>
      </c>
      <c r="BJ449" s="17">
        <f t="shared" si="308"/>
        <v>0.20955047232676455</v>
      </c>
      <c r="BK449" s="17">
        <f t="shared" si="309"/>
        <v>6.9850157442254849E-3</v>
      </c>
      <c r="BL449" s="17">
        <f t="shared" si="310"/>
        <v>0</v>
      </c>
      <c r="BM449" s="17">
        <f t="shared" si="311"/>
        <v>0</v>
      </c>
      <c r="BN449" s="17">
        <f t="shared" si="312"/>
        <v>0</v>
      </c>
      <c r="BO449" s="17">
        <f t="shared" si="313"/>
        <v>0</v>
      </c>
      <c r="BP449" s="17">
        <f t="shared" si="314"/>
        <v>0</v>
      </c>
      <c r="BQ449" s="17">
        <f t="shared" si="315"/>
        <v>0</v>
      </c>
      <c r="BR449" s="17">
        <f t="shared" si="316"/>
        <v>0</v>
      </c>
      <c r="BS449" s="17">
        <f t="shared" si="317"/>
        <v>0</v>
      </c>
      <c r="BT449" s="17">
        <f t="shared" si="318"/>
        <v>0</v>
      </c>
      <c r="BU449" s="17">
        <f t="shared" si="319"/>
        <v>0</v>
      </c>
      <c r="BV449" s="17">
        <f t="shared" si="320"/>
        <v>0</v>
      </c>
      <c r="BW449" s="17">
        <f t="shared" si="321"/>
        <v>0</v>
      </c>
      <c r="BX449" s="17">
        <f t="shared" si="322"/>
        <v>0</v>
      </c>
      <c r="BY449" s="17">
        <f t="shared" si="323"/>
        <v>0</v>
      </c>
      <c r="BZ449" s="17">
        <f t="shared" si="334"/>
        <v>0</v>
      </c>
      <c r="CA449" s="17">
        <f t="shared" si="335"/>
        <v>0</v>
      </c>
      <c r="CB449" s="17">
        <f t="shared" si="336"/>
        <v>0</v>
      </c>
      <c r="CC449" s="17">
        <f t="shared" si="337"/>
        <v>0</v>
      </c>
      <c r="CD449" s="17">
        <f t="shared" si="338"/>
        <v>0</v>
      </c>
      <c r="CE449" s="17">
        <f t="shared" si="339"/>
        <v>0</v>
      </c>
      <c r="CF449" s="17">
        <f t="shared" si="340"/>
        <v>0</v>
      </c>
      <c r="CG449" s="17">
        <f t="shared" si="341"/>
        <v>0</v>
      </c>
      <c r="CH449" s="17">
        <f t="shared" si="342"/>
        <v>0</v>
      </c>
      <c r="CI449" s="17">
        <f t="shared" si="343"/>
        <v>0</v>
      </c>
      <c r="CJ449" s="17">
        <f t="shared" si="344"/>
        <v>0</v>
      </c>
      <c r="CK449" s="17">
        <f t="shared" si="345"/>
        <v>0</v>
      </c>
      <c r="CL449" s="17">
        <f t="shared" si="346"/>
        <v>0</v>
      </c>
      <c r="CM449" s="14">
        <f t="shared" si="347"/>
        <v>0</v>
      </c>
      <c r="CN449" s="17">
        <f t="shared" si="348"/>
        <v>0</v>
      </c>
      <c r="CO449" s="14">
        <f t="shared" si="349"/>
        <v>0</v>
      </c>
      <c r="CP449" s="17">
        <f t="shared" si="350"/>
        <v>0</v>
      </c>
      <c r="CQ449" s="14">
        <f t="shared" si="324"/>
        <v>180270</v>
      </c>
      <c r="CR449" s="14">
        <v>1045</v>
      </c>
      <c r="CS449" s="14">
        <v>2202</v>
      </c>
      <c r="CT449" s="14">
        <v>0</v>
      </c>
      <c r="CU449" s="14">
        <v>0</v>
      </c>
    </row>
    <row r="450" spans="1:99" x14ac:dyDescent="0.3">
      <c r="A450" s="14">
        <v>2020</v>
      </c>
      <c r="B450" s="14" t="s">
        <v>81</v>
      </c>
      <c r="C450" s="14" t="s">
        <v>82</v>
      </c>
      <c r="D450" s="15">
        <v>1634390</v>
      </c>
      <c r="E450" s="15">
        <v>44404611.000000007</v>
      </c>
      <c r="F450" s="15">
        <f t="shared" si="325"/>
        <v>27.168919902838372</v>
      </c>
      <c r="G450" s="14">
        <v>255</v>
      </c>
      <c r="H450" s="14">
        <v>1717</v>
      </c>
      <c r="AB450" s="14">
        <f t="shared" si="326"/>
        <v>0</v>
      </c>
      <c r="AM450" s="14">
        <f t="shared" si="327"/>
        <v>0</v>
      </c>
      <c r="AQ450" s="14">
        <f t="shared" si="328"/>
        <v>0</v>
      </c>
      <c r="AT450" s="14">
        <f t="shared" si="329"/>
        <v>0</v>
      </c>
      <c r="AU450" s="16">
        <v>14062</v>
      </c>
      <c r="AV450" s="16">
        <v>102654</v>
      </c>
      <c r="AW450" s="16">
        <v>47092</v>
      </c>
      <c r="AX450" s="16">
        <v>0</v>
      </c>
      <c r="AY450" s="18">
        <f t="shared" si="330"/>
        <v>3.1667882418787539</v>
      </c>
      <c r="AZ450" s="17">
        <f t="shared" si="331"/>
        <v>23.117869448287699</v>
      </c>
      <c r="BA450" s="17">
        <f t="shared" si="332"/>
        <v>10.605204941441778</v>
      </c>
      <c r="BB450" s="17">
        <f t="shared" si="333"/>
        <v>0</v>
      </c>
      <c r="BC450" s="17">
        <f t="shared" ref="BC450:BC518" si="351">(G450*10000)/$E450</f>
        <v>5.7426468616063306E-2</v>
      </c>
      <c r="BD450" s="17">
        <f t="shared" ref="BD450:BD518" si="352">(H450*10000)/$E450</f>
        <v>0.38667155534815961</v>
      </c>
      <c r="BE450" s="17">
        <f t="shared" ref="BE450:BE518" si="353">(I450*10000)/$E450</f>
        <v>0</v>
      </c>
      <c r="BF450" s="17">
        <f t="shared" ref="BF450:BF518" si="354">(J450*10000)/$E450</f>
        <v>0</v>
      </c>
      <c r="BG450" s="17">
        <f t="shared" ref="BG450:BG518" si="355">(K450*10000)/$E450</f>
        <v>0</v>
      </c>
      <c r="BH450" s="17">
        <f t="shared" ref="BH450:BH518" si="356">(L450*10000)/$E450</f>
        <v>0</v>
      </c>
      <c r="BI450" s="17">
        <f t="shared" ref="BI450:BI518" si="357">(M450*10000)/$E450</f>
        <v>0</v>
      </c>
      <c r="BJ450" s="17">
        <f t="shared" ref="BJ450:BJ518" si="358">(N450*10000)/$E450</f>
        <v>0</v>
      </c>
      <c r="BK450" s="17">
        <f t="shared" ref="BK450:BK518" si="359">(O450*10000)/$E450</f>
        <v>0</v>
      </c>
      <c r="BL450" s="17">
        <f t="shared" ref="BL450:BL518" si="360">(P450*10000)/$E450</f>
        <v>0</v>
      </c>
      <c r="BM450" s="17">
        <f t="shared" ref="BM450:BM518" si="361">(Q450*10000)/$E450</f>
        <v>0</v>
      </c>
      <c r="BN450" s="17">
        <f t="shared" ref="BN450:BN518" si="362">(R450*10000)/$E450</f>
        <v>0</v>
      </c>
      <c r="BO450" s="17">
        <f t="shared" ref="BO450:BO518" si="363">(S450*10000)/$E450</f>
        <v>0</v>
      </c>
      <c r="BP450" s="17">
        <f t="shared" ref="BP450:BP518" si="364">(T450*10000)/$E450</f>
        <v>0</v>
      </c>
      <c r="BQ450" s="17">
        <f t="shared" ref="BQ450:BQ518" si="365">(U450*10000)/$E450</f>
        <v>0</v>
      </c>
      <c r="BR450" s="17">
        <f t="shared" ref="BR450:BR518" si="366">(V450*10000)/$E450</f>
        <v>0</v>
      </c>
      <c r="BS450" s="17">
        <f t="shared" ref="BS450:BS518" si="367">(W450*10000)/$E450</f>
        <v>0</v>
      </c>
      <c r="BT450" s="17">
        <f t="shared" ref="BT450:BT518" si="368">(X450*10000)/$E450</f>
        <v>0</v>
      </c>
      <c r="BU450" s="17">
        <f t="shared" ref="BU450:BU518" si="369">(Y450*10000)/$E450</f>
        <v>0</v>
      </c>
      <c r="BV450" s="17">
        <f t="shared" ref="BV450:BV518" si="370">(Z450*10000)/$E450</f>
        <v>0</v>
      </c>
      <c r="BW450" s="17">
        <f t="shared" ref="BW450:BW518" si="371">(AA450*10000)/$E450</f>
        <v>0</v>
      </c>
      <c r="BX450" s="17">
        <f t="shared" ref="BX450:BX518" si="372">(AC450*10000)/$E450</f>
        <v>0</v>
      </c>
      <c r="BY450" s="17">
        <f t="shared" ref="BY450:BY518" si="373">(AD450*10000)/$E450</f>
        <v>0</v>
      </c>
      <c r="BZ450" s="17">
        <f t="shared" si="334"/>
        <v>0</v>
      </c>
      <c r="CA450" s="17">
        <f t="shared" si="335"/>
        <v>0</v>
      </c>
      <c r="CB450" s="17">
        <f t="shared" si="336"/>
        <v>0</v>
      </c>
      <c r="CC450" s="17">
        <f t="shared" si="337"/>
        <v>0</v>
      </c>
      <c r="CD450" s="17">
        <f t="shared" si="338"/>
        <v>0</v>
      </c>
      <c r="CE450" s="17">
        <f t="shared" si="339"/>
        <v>0</v>
      </c>
      <c r="CF450" s="17">
        <f t="shared" si="340"/>
        <v>0</v>
      </c>
      <c r="CG450" s="17">
        <f t="shared" si="341"/>
        <v>0</v>
      </c>
      <c r="CH450" s="17">
        <f t="shared" si="342"/>
        <v>0</v>
      </c>
      <c r="CI450" s="17">
        <f t="shared" si="343"/>
        <v>0</v>
      </c>
      <c r="CJ450" s="17">
        <f t="shared" si="344"/>
        <v>0</v>
      </c>
      <c r="CK450" s="17">
        <f t="shared" si="345"/>
        <v>0</v>
      </c>
      <c r="CL450" s="17">
        <f t="shared" si="346"/>
        <v>0</v>
      </c>
      <c r="CM450" s="14">
        <f t="shared" si="347"/>
        <v>149746</v>
      </c>
      <c r="CN450" s="17">
        <f t="shared" si="348"/>
        <v>33.723074389729476</v>
      </c>
      <c r="CO450" s="14">
        <f t="shared" si="349"/>
        <v>163808</v>
      </c>
      <c r="CP450" s="17">
        <f t="shared" si="350"/>
        <v>36.889862631608231</v>
      </c>
      <c r="CQ450" s="14">
        <f t="shared" ref="CQ450:CQ518" si="374">SUM(G450:AX450)</f>
        <v>165780</v>
      </c>
      <c r="CR450" s="14">
        <v>0</v>
      </c>
      <c r="CS450" s="14">
        <v>0</v>
      </c>
      <c r="CT450" s="14">
        <v>0</v>
      </c>
      <c r="CU450" s="14">
        <v>0</v>
      </c>
    </row>
    <row r="451" spans="1:99" x14ac:dyDescent="0.3">
      <c r="A451" s="14">
        <v>2021</v>
      </c>
      <c r="B451" s="14" t="s">
        <v>81</v>
      </c>
      <c r="C451" s="14" t="s">
        <v>82</v>
      </c>
      <c r="D451" s="15">
        <v>1671156.9</v>
      </c>
      <c r="E451" s="15">
        <v>45853778.000000022</v>
      </c>
      <c r="F451" s="15">
        <f t="shared" ref="F451:F514" si="375">E451/D451</f>
        <v>27.43834405973492</v>
      </c>
      <c r="AB451" s="14">
        <f t="shared" ref="AB451:AB514" si="376">AA451+O451</f>
        <v>0</v>
      </c>
      <c r="AM451" s="14">
        <f t="shared" ref="AM451:AM514" si="377">AK451+AL451</f>
        <v>0</v>
      </c>
      <c r="AQ451" s="14">
        <f t="shared" ref="AQ451:AQ514" si="378">AO451+AP451</f>
        <v>0</v>
      </c>
      <c r="AT451" s="14">
        <f t="shared" ref="AT451:AT514" si="379">AR451+AS451</f>
        <v>0</v>
      </c>
      <c r="AU451" s="16">
        <v>0</v>
      </c>
      <c r="AV451" s="16">
        <v>0</v>
      </c>
      <c r="AW451" s="16">
        <v>0</v>
      </c>
      <c r="AX451" s="16">
        <v>0</v>
      </c>
      <c r="AY451" s="18">
        <f t="shared" ref="AY451:AY514" si="380">(AU451*10000)/$E451</f>
        <v>0</v>
      </c>
      <c r="AZ451" s="17">
        <f t="shared" ref="AZ451:AZ514" si="381">(AV451*10000)/$E451</f>
        <v>0</v>
      </c>
      <c r="BA451" s="17">
        <f t="shared" ref="BA451:BA514" si="382">(AW451*10000)/$E451</f>
        <v>0</v>
      </c>
      <c r="BB451" s="17">
        <f t="shared" ref="BB451:BB514" si="383">(AX451*10000)/$E451</f>
        <v>0</v>
      </c>
      <c r="BC451" s="17">
        <f t="shared" si="351"/>
        <v>0</v>
      </c>
      <c r="BD451" s="17">
        <f t="shared" si="352"/>
        <v>0</v>
      </c>
      <c r="BE451" s="17">
        <f t="shared" si="353"/>
        <v>0</v>
      </c>
      <c r="BF451" s="17">
        <f t="shared" si="354"/>
        <v>0</v>
      </c>
      <c r="BG451" s="17">
        <f t="shared" si="355"/>
        <v>0</v>
      </c>
      <c r="BH451" s="17">
        <f t="shared" si="356"/>
        <v>0</v>
      </c>
      <c r="BI451" s="17">
        <f t="shared" si="357"/>
        <v>0</v>
      </c>
      <c r="BJ451" s="17">
        <f t="shared" si="358"/>
        <v>0</v>
      </c>
      <c r="BK451" s="17">
        <f t="shared" si="359"/>
        <v>0</v>
      </c>
      <c r="BL451" s="17">
        <f t="shared" si="360"/>
        <v>0</v>
      </c>
      <c r="BM451" s="17">
        <f t="shared" si="361"/>
        <v>0</v>
      </c>
      <c r="BN451" s="17">
        <f t="shared" si="362"/>
        <v>0</v>
      </c>
      <c r="BO451" s="17">
        <f t="shared" si="363"/>
        <v>0</v>
      </c>
      <c r="BP451" s="17">
        <f t="shared" si="364"/>
        <v>0</v>
      </c>
      <c r="BQ451" s="17">
        <f t="shared" si="365"/>
        <v>0</v>
      </c>
      <c r="BR451" s="17">
        <f t="shared" si="366"/>
        <v>0</v>
      </c>
      <c r="BS451" s="17">
        <f t="shared" si="367"/>
        <v>0</v>
      </c>
      <c r="BT451" s="17">
        <f t="shared" si="368"/>
        <v>0</v>
      </c>
      <c r="BU451" s="17">
        <f t="shared" si="369"/>
        <v>0</v>
      </c>
      <c r="BV451" s="17">
        <f t="shared" si="370"/>
        <v>0</v>
      </c>
      <c r="BW451" s="17">
        <f t="shared" si="371"/>
        <v>0</v>
      </c>
      <c r="BX451" s="17">
        <f t="shared" si="372"/>
        <v>0</v>
      </c>
      <c r="BY451" s="17">
        <f t="shared" si="373"/>
        <v>0</v>
      </c>
      <c r="BZ451" s="17">
        <f t="shared" ref="BZ451:BZ514" si="384">(AE451*10000)/$E451</f>
        <v>0</v>
      </c>
      <c r="CA451" s="17">
        <f t="shared" ref="CA451:CA514" si="385">(AF451*10000)/$E451</f>
        <v>0</v>
      </c>
      <c r="CB451" s="17">
        <f t="shared" ref="CB451:CB514" si="386">(AG451*10000)/$E451</f>
        <v>0</v>
      </c>
      <c r="CC451" s="17">
        <f t="shared" ref="CC451:CC514" si="387">(AH451*10000)/$E451</f>
        <v>0</v>
      </c>
      <c r="CD451" s="17">
        <f t="shared" ref="CD451:CD514" si="388">(AI451*10000)/$E451</f>
        <v>0</v>
      </c>
      <c r="CE451" s="17">
        <f t="shared" ref="CE451:CE514" si="389">(AJ451*10000)/$E451</f>
        <v>0</v>
      </c>
      <c r="CF451" s="17">
        <f t="shared" ref="CF451:CF514" si="390">(AK451*10000)/$E451</f>
        <v>0</v>
      </c>
      <c r="CG451" s="17">
        <f t="shared" ref="CG451:CG514" si="391">(AL451*10000)/$E451</f>
        <v>0</v>
      </c>
      <c r="CH451" s="17">
        <f t="shared" ref="CH451:CH514" si="392">(AN451*10000)/$E451</f>
        <v>0</v>
      </c>
      <c r="CI451" s="17">
        <f t="shared" ref="CI451:CI514" si="393">(AO451*10000)/$E451</f>
        <v>0</v>
      </c>
      <c r="CJ451" s="17">
        <f t="shared" ref="CJ451:CJ514" si="394">(AP451*10000)/$E451</f>
        <v>0</v>
      </c>
      <c r="CK451" s="17">
        <f t="shared" ref="CK451:CK514" si="395">(AR451*10000)/$E451</f>
        <v>0</v>
      </c>
      <c r="CL451" s="17">
        <f t="shared" ref="CL451:CL514" si="396">(AS451*10000)/$E451</f>
        <v>0</v>
      </c>
      <c r="CM451" s="14">
        <f t="shared" ref="CM451:CM514" si="397">AV451+AW451</f>
        <v>0</v>
      </c>
      <c r="CN451" s="17">
        <f t="shared" ref="CN451:CN514" si="398">(CM451*10000)/$E451</f>
        <v>0</v>
      </c>
      <c r="CO451" s="14">
        <f t="shared" ref="CO451:CO514" si="399">AU451+AV451+AW451</f>
        <v>0</v>
      </c>
      <c r="CP451" s="17">
        <f t="shared" ref="CP451:CP514" si="400">(CO451*10000)/$E451</f>
        <v>0</v>
      </c>
      <c r="CQ451" s="14">
        <f t="shared" si="374"/>
        <v>0</v>
      </c>
      <c r="CR451" s="14">
        <v>111</v>
      </c>
      <c r="CS451" s="14">
        <v>17</v>
      </c>
      <c r="CT451" s="14">
        <v>0</v>
      </c>
      <c r="CU451" s="14">
        <v>0</v>
      </c>
    </row>
    <row r="452" spans="1:99" x14ac:dyDescent="0.3">
      <c r="A452" s="14">
        <v>2022</v>
      </c>
      <c r="B452" s="14" t="s">
        <v>81</v>
      </c>
      <c r="C452" s="14" t="s">
        <v>82</v>
      </c>
      <c r="D452" s="15">
        <v>1701068.1</v>
      </c>
      <c r="E452" s="15">
        <v>47249584.999999978</v>
      </c>
      <c r="F452" s="15">
        <f t="shared" si="375"/>
        <v>27.776421767006255</v>
      </c>
      <c r="G452" s="14">
        <v>1440</v>
      </c>
      <c r="H452" s="14">
        <v>1712</v>
      </c>
      <c r="S452" s="14">
        <v>3936</v>
      </c>
      <c r="T452" s="14">
        <v>426</v>
      </c>
      <c r="V452" s="14">
        <v>1249</v>
      </c>
      <c r="X452" s="14">
        <v>14531</v>
      </c>
      <c r="Y452" s="14">
        <v>13380</v>
      </c>
      <c r="Z452" s="14">
        <v>3309</v>
      </c>
      <c r="AB452" s="14">
        <f t="shared" si="376"/>
        <v>0</v>
      </c>
      <c r="AJ452" s="14">
        <v>1820</v>
      </c>
      <c r="AK452" s="14">
        <v>572</v>
      </c>
      <c r="AM452" s="14">
        <f t="shared" si="377"/>
        <v>572</v>
      </c>
      <c r="AQ452" s="14">
        <f t="shared" si="378"/>
        <v>0</v>
      </c>
      <c r="AT452" s="14">
        <f t="shared" si="379"/>
        <v>0</v>
      </c>
      <c r="AU452" s="16">
        <v>17454</v>
      </c>
      <c r="AV452" s="16">
        <v>148394</v>
      </c>
      <c r="AW452" s="16">
        <v>65914</v>
      </c>
      <c r="AX452" s="16">
        <v>0</v>
      </c>
      <c r="AY452" s="18">
        <f t="shared" si="380"/>
        <v>3.6940006986304765</v>
      </c>
      <c r="AZ452" s="17">
        <f t="shared" si="381"/>
        <v>31.406413410826797</v>
      </c>
      <c r="BA452" s="17">
        <f t="shared" si="382"/>
        <v>13.950175435403303</v>
      </c>
      <c r="BB452" s="17">
        <f t="shared" si="383"/>
        <v>0</v>
      </c>
      <c r="BC452" s="17">
        <f t="shared" si="351"/>
        <v>0.30476458153018715</v>
      </c>
      <c r="BD452" s="17">
        <f t="shared" si="352"/>
        <v>0.36233122470811135</v>
      </c>
      <c r="BE452" s="17">
        <f t="shared" si="353"/>
        <v>0</v>
      </c>
      <c r="BF452" s="17">
        <f t="shared" si="354"/>
        <v>0</v>
      </c>
      <c r="BG452" s="17">
        <f t="shared" si="355"/>
        <v>0</v>
      </c>
      <c r="BH452" s="17">
        <f t="shared" si="356"/>
        <v>0</v>
      </c>
      <c r="BI452" s="17">
        <f t="shared" si="357"/>
        <v>0</v>
      </c>
      <c r="BJ452" s="17">
        <f t="shared" si="358"/>
        <v>0</v>
      </c>
      <c r="BK452" s="17">
        <f t="shared" si="359"/>
        <v>0</v>
      </c>
      <c r="BL452" s="17">
        <f t="shared" si="360"/>
        <v>0</v>
      </c>
      <c r="BM452" s="17">
        <f t="shared" si="361"/>
        <v>0</v>
      </c>
      <c r="BN452" s="17">
        <f t="shared" si="362"/>
        <v>0</v>
      </c>
      <c r="BO452" s="17">
        <f t="shared" si="363"/>
        <v>0.83302318951584486</v>
      </c>
      <c r="BP452" s="17">
        <f t="shared" si="364"/>
        <v>9.0159522036013698E-2</v>
      </c>
      <c r="BQ452" s="17">
        <f t="shared" si="365"/>
        <v>0</v>
      </c>
      <c r="BR452" s="17">
        <f t="shared" si="366"/>
        <v>0.26434094606333591</v>
      </c>
      <c r="BS452" s="17">
        <f t="shared" si="367"/>
        <v>0</v>
      </c>
      <c r="BT452" s="17">
        <f t="shared" si="368"/>
        <v>3.075370926538298</v>
      </c>
      <c r="BU452" s="17">
        <f t="shared" si="369"/>
        <v>2.8317709033846552</v>
      </c>
      <c r="BV452" s="17">
        <f t="shared" si="370"/>
        <v>0.70032361130790921</v>
      </c>
      <c r="BW452" s="17">
        <f t="shared" si="371"/>
        <v>0</v>
      </c>
      <c r="BX452" s="17">
        <f t="shared" si="372"/>
        <v>0</v>
      </c>
      <c r="BY452" s="17">
        <f t="shared" si="373"/>
        <v>0</v>
      </c>
      <c r="BZ452" s="17">
        <f t="shared" si="384"/>
        <v>0</v>
      </c>
      <c r="CA452" s="17">
        <f t="shared" si="385"/>
        <v>0</v>
      </c>
      <c r="CB452" s="17">
        <f t="shared" si="386"/>
        <v>0</v>
      </c>
      <c r="CC452" s="17">
        <f t="shared" si="387"/>
        <v>0</v>
      </c>
      <c r="CD452" s="17">
        <f t="shared" si="388"/>
        <v>0</v>
      </c>
      <c r="CE452" s="17">
        <f t="shared" si="389"/>
        <v>0.3851885683228754</v>
      </c>
      <c r="CF452" s="17">
        <f t="shared" si="390"/>
        <v>0.12105926433004656</v>
      </c>
      <c r="CG452" s="17">
        <f t="shared" si="391"/>
        <v>0</v>
      </c>
      <c r="CH452" s="17">
        <f t="shared" si="392"/>
        <v>0</v>
      </c>
      <c r="CI452" s="17">
        <f t="shared" si="393"/>
        <v>0</v>
      </c>
      <c r="CJ452" s="17">
        <f t="shared" si="394"/>
        <v>0</v>
      </c>
      <c r="CK452" s="17">
        <f t="shared" si="395"/>
        <v>0</v>
      </c>
      <c r="CL452" s="17">
        <f t="shared" si="396"/>
        <v>0</v>
      </c>
      <c r="CM452" s="14">
        <f t="shared" si="397"/>
        <v>214308</v>
      </c>
      <c r="CN452" s="17">
        <f t="shared" si="398"/>
        <v>45.356588846230096</v>
      </c>
      <c r="CO452" s="14">
        <f t="shared" si="399"/>
        <v>231762</v>
      </c>
      <c r="CP452" s="17">
        <f t="shared" si="400"/>
        <v>49.050589544860578</v>
      </c>
      <c r="CQ452" s="14">
        <f t="shared" si="374"/>
        <v>274709</v>
      </c>
      <c r="CR452" s="14">
        <v>0</v>
      </c>
      <c r="CS452" s="14">
        <v>170</v>
      </c>
      <c r="CT452" s="14">
        <v>0</v>
      </c>
      <c r="CU452" s="14">
        <v>0</v>
      </c>
    </row>
    <row r="453" spans="1:99" x14ac:dyDescent="0.3">
      <c r="A453" s="14">
        <v>2012</v>
      </c>
      <c r="B453" s="14" t="s">
        <v>83</v>
      </c>
      <c r="C453" s="14" t="s">
        <v>84</v>
      </c>
      <c r="D453" s="15">
        <v>581879</v>
      </c>
      <c r="E453" s="15">
        <v>14744657.999999998</v>
      </c>
      <c r="F453" s="15">
        <f t="shared" si="375"/>
        <v>25.33973214362436</v>
      </c>
      <c r="H453" s="14">
        <v>409</v>
      </c>
      <c r="J453" s="14">
        <v>17</v>
      </c>
      <c r="N453" s="14">
        <v>282</v>
      </c>
      <c r="O453" s="14">
        <v>42</v>
      </c>
      <c r="T453" s="14">
        <v>566</v>
      </c>
      <c r="V453" s="14">
        <v>500</v>
      </c>
      <c r="Y453" s="14">
        <v>1126</v>
      </c>
      <c r="Z453" s="14">
        <v>184</v>
      </c>
      <c r="AA453" s="14">
        <v>11</v>
      </c>
      <c r="AB453" s="14">
        <f t="shared" si="376"/>
        <v>53</v>
      </c>
      <c r="AE453" s="14">
        <v>49</v>
      </c>
      <c r="AF453" s="14">
        <v>18</v>
      </c>
      <c r="AI453" s="14">
        <v>3141</v>
      </c>
      <c r="AJ453" s="14">
        <v>814</v>
      </c>
      <c r="AK453" s="14">
        <v>70</v>
      </c>
      <c r="AL453" s="14">
        <v>415</v>
      </c>
      <c r="AM453" s="14">
        <f t="shared" si="377"/>
        <v>485</v>
      </c>
      <c r="AQ453" s="14">
        <f t="shared" si="378"/>
        <v>0</v>
      </c>
      <c r="AT453" s="14">
        <f t="shared" si="379"/>
        <v>0</v>
      </c>
      <c r="AU453" s="16">
        <v>156</v>
      </c>
      <c r="AV453" s="16">
        <v>0</v>
      </c>
      <c r="AW453" s="16">
        <v>0</v>
      </c>
      <c r="AX453" s="16">
        <v>0</v>
      </c>
      <c r="AY453" s="18">
        <f t="shared" si="380"/>
        <v>0.10580102976956129</v>
      </c>
      <c r="AZ453" s="17">
        <f t="shared" si="381"/>
        <v>0</v>
      </c>
      <c r="BA453" s="17">
        <f t="shared" si="382"/>
        <v>0</v>
      </c>
      <c r="BB453" s="17">
        <f t="shared" si="383"/>
        <v>0</v>
      </c>
      <c r="BC453" s="17">
        <f t="shared" si="351"/>
        <v>0</v>
      </c>
      <c r="BD453" s="17">
        <f t="shared" si="352"/>
        <v>0.2773885972804524</v>
      </c>
      <c r="BE453" s="17">
        <f t="shared" si="353"/>
        <v>0</v>
      </c>
      <c r="BF453" s="17">
        <f t="shared" si="354"/>
        <v>1.1529599397965013E-2</v>
      </c>
      <c r="BG453" s="17">
        <f t="shared" si="355"/>
        <v>0</v>
      </c>
      <c r="BH453" s="17">
        <f t="shared" si="356"/>
        <v>0</v>
      </c>
      <c r="BI453" s="17">
        <f t="shared" si="357"/>
        <v>0</v>
      </c>
      <c r="BJ453" s="17">
        <f t="shared" si="358"/>
        <v>0.19125570766036082</v>
      </c>
      <c r="BK453" s="17">
        <f t="shared" si="359"/>
        <v>2.8484892630266503E-2</v>
      </c>
      <c r="BL453" s="17">
        <f t="shared" si="360"/>
        <v>0</v>
      </c>
      <c r="BM453" s="17">
        <f t="shared" si="361"/>
        <v>0</v>
      </c>
      <c r="BN453" s="17">
        <f t="shared" si="362"/>
        <v>0</v>
      </c>
      <c r="BO453" s="17">
        <f t="shared" si="363"/>
        <v>0</v>
      </c>
      <c r="BP453" s="17">
        <f t="shared" si="364"/>
        <v>0.38386783877930575</v>
      </c>
      <c r="BQ453" s="17">
        <f t="shared" si="365"/>
        <v>0</v>
      </c>
      <c r="BR453" s="17">
        <f t="shared" si="366"/>
        <v>0.33910586464602982</v>
      </c>
      <c r="BS453" s="17">
        <f t="shared" si="367"/>
        <v>0</v>
      </c>
      <c r="BT453" s="17">
        <f t="shared" si="368"/>
        <v>0</v>
      </c>
      <c r="BU453" s="17">
        <f t="shared" si="369"/>
        <v>0.76366640718285916</v>
      </c>
      <c r="BV453" s="17">
        <f t="shared" si="370"/>
        <v>0.12479095818973897</v>
      </c>
      <c r="BW453" s="17">
        <f t="shared" si="371"/>
        <v>7.4603290222126561E-3</v>
      </c>
      <c r="BX453" s="17">
        <f t="shared" si="372"/>
        <v>0</v>
      </c>
      <c r="BY453" s="17">
        <f t="shared" si="373"/>
        <v>0</v>
      </c>
      <c r="BZ453" s="17">
        <f t="shared" si="384"/>
        <v>3.3232374735310918E-2</v>
      </c>
      <c r="CA453" s="17">
        <f t="shared" si="385"/>
        <v>1.2207811127257074E-2</v>
      </c>
      <c r="CB453" s="17">
        <f t="shared" si="386"/>
        <v>0</v>
      </c>
      <c r="CC453" s="17">
        <f t="shared" si="387"/>
        <v>0</v>
      </c>
      <c r="CD453" s="17">
        <f t="shared" si="388"/>
        <v>2.1302630417063595</v>
      </c>
      <c r="CE453" s="17">
        <f t="shared" si="389"/>
        <v>0.55206434764373657</v>
      </c>
      <c r="CF453" s="17">
        <f t="shared" si="390"/>
        <v>4.7474821050444177E-2</v>
      </c>
      <c r="CG453" s="17">
        <f t="shared" si="391"/>
        <v>0.28145786765620473</v>
      </c>
      <c r="CH453" s="17">
        <f t="shared" si="392"/>
        <v>0</v>
      </c>
      <c r="CI453" s="17">
        <f t="shared" si="393"/>
        <v>0</v>
      </c>
      <c r="CJ453" s="17">
        <f t="shared" si="394"/>
        <v>0</v>
      </c>
      <c r="CK453" s="17">
        <f t="shared" si="395"/>
        <v>0</v>
      </c>
      <c r="CL453" s="17">
        <f t="shared" si="396"/>
        <v>0</v>
      </c>
      <c r="CM453" s="14">
        <f t="shared" si="397"/>
        <v>0</v>
      </c>
      <c r="CN453" s="17">
        <f t="shared" si="398"/>
        <v>0</v>
      </c>
      <c r="CO453" s="14">
        <f t="shared" si="399"/>
        <v>156</v>
      </c>
      <c r="CP453" s="17">
        <f t="shared" si="400"/>
        <v>0.10580102976956129</v>
      </c>
      <c r="CQ453" s="14">
        <f t="shared" si="374"/>
        <v>8338</v>
      </c>
      <c r="CR453" s="14">
        <v>0</v>
      </c>
      <c r="CS453" s="14">
        <v>0</v>
      </c>
      <c r="CT453" s="14">
        <v>0</v>
      </c>
      <c r="CU453" s="14">
        <v>0</v>
      </c>
    </row>
    <row r="454" spans="1:99" x14ac:dyDescent="0.3">
      <c r="A454" s="14">
        <v>2013</v>
      </c>
      <c r="B454" s="14" t="s">
        <v>83</v>
      </c>
      <c r="C454" s="14" t="s">
        <v>84</v>
      </c>
      <c r="D454" s="15">
        <v>589977.69999999995</v>
      </c>
      <c r="E454" s="15">
        <v>15234975.999999991</v>
      </c>
      <c r="F454" s="15">
        <f t="shared" si="375"/>
        <v>25.822969241040791</v>
      </c>
      <c r="AB454" s="14">
        <f t="shared" si="376"/>
        <v>0</v>
      </c>
      <c r="AM454" s="14">
        <f t="shared" si="377"/>
        <v>0</v>
      </c>
      <c r="AQ454" s="14">
        <f t="shared" si="378"/>
        <v>0</v>
      </c>
      <c r="AT454" s="14">
        <f t="shared" si="379"/>
        <v>0</v>
      </c>
      <c r="AU454" s="16">
        <v>0</v>
      </c>
      <c r="AV454" s="16">
        <v>0</v>
      </c>
      <c r="AW454" s="16">
        <v>5546</v>
      </c>
      <c r="AX454" s="16">
        <v>0</v>
      </c>
      <c r="AY454" s="18">
        <f t="shared" si="380"/>
        <v>0</v>
      </c>
      <c r="AZ454" s="17">
        <f t="shared" si="381"/>
        <v>0</v>
      </c>
      <c r="BA454" s="17">
        <f t="shared" si="382"/>
        <v>3.6403076709802518</v>
      </c>
      <c r="BB454" s="17">
        <f t="shared" si="383"/>
        <v>0</v>
      </c>
      <c r="BC454" s="17">
        <f t="shared" si="351"/>
        <v>0</v>
      </c>
      <c r="BD454" s="17">
        <f t="shared" si="352"/>
        <v>0</v>
      </c>
      <c r="BE454" s="17">
        <f t="shared" si="353"/>
        <v>0</v>
      </c>
      <c r="BF454" s="17">
        <f t="shared" si="354"/>
        <v>0</v>
      </c>
      <c r="BG454" s="17">
        <f t="shared" si="355"/>
        <v>0</v>
      </c>
      <c r="BH454" s="17">
        <f t="shared" si="356"/>
        <v>0</v>
      </c>
      <c r="BI454" s="17">
        <f t="shared" si="357"/>
        <v>0</v>
      </c>
      <c r="BJ454" s="17">
        <f t="shared" si="358"/>
        <v>0</v>
      </c>
      <c r="BK454" s="17">
        <f t="shared" si="359"/>
        <v>0</v>
      </c>
      <c r="BL454" s="17">
        <f t="shared" si="360"/>
        <v>0</v>
      </c>
      <c r="BM454" s="17">
        <f t="shared" si="361"/>
        <v>0</v>
      </c>
      <c r="BN454" s="17">
        <f t="shared" si="362"/>
        <v>0</v>
      </c>
      <c r="BO454" s="17">
        <f t="shared" si="363"/>
        <v>0</v>
      </c>
      <c r="BP454" s="17">
        <f t="shared" si="364"/>
        <v>0</v>
      </c>
      <c r="BQ454" s="17">
        <f t="shared" si="365"/>
        <v>0</v>
      </c>
      <c r="BR454" s="17">
        <f t="shared" si="366"/>
        <v>0</v>
      </c>
      <c r="BS454" s="17">
        <f t="shared" si="367"/>
        <v>0</v>
      </c>
      <c r="BT454" s="17">
        <f t="shared" si="368"/>
        <v>0</v>
      </c>
      <c r="BU454" s="17">
        <f t="shared" si="369"/>
        <v>0</v>
      </c>
      <c r="BV454" s="17">
        <f t="shared" si="370"/>
        <v>0</v>
      </c>
      <c r="BW454" s="17">
        <f t="shared" si="371"/>
        <v>0</v>
      </c>
      <c r="BX454" s="17">
        <f t="shared" si="372"/>
        <v>0</v>
      </c>
      <c r="BY454" s="17">
        <f t="shared" si="373"/>
        <v>0</v>
      </c>
      <c r="BZ454" s="17">
        <f t="shared" si="384"/>
        <v>0</v>
      </c>
      <c r="CA454" s="17">
        <f t="shared" si="385"/>
        <v>0</v>
      </c>
      <c r="CB454" s="17">
        <f t="shared" si="386"/>
        <v>0</v>
      </c>
      <c r="CC454" s="17">
        <f t="shared" si="387"/>
        <v>0</v>
      </c>
      <c r="CD454" s="17">
        <f t="shared" si="388"/>
        <v>0</v>
      </c>
      <c r="CE454" s="17">
        <f t="shared" si="389"/>
        <v>0</v>
      </c>
      <c r="CF454" s="17">
        <f t="shared" si="390"/>
        <v>0</v>
      </c>
      <c r="CG454" s="17">
        <f t="shared" si="391"/>
        <v>0</v>
      </c>
      <c r="CH454" s="17">
        <f t="shared" si="392"/>
        <v>0</v>
      </c>
      <c r="CI454" s="17">
        <f t="shared" si="393"/>
        <v>0</v>
      </c>
      <c r="CJ454" s="17">
        <f t="shared" si="394"/>
        <v>0</v>
      </c>
      <c r="CK454" s="17">
        <f t="shared" si="395"/>
        <v>0</v>
      </c>
      <c r="CL454" s="17">
        <f t="shared" si="396"/>
        <v>0</v>
      </c>
      <c r="CM454" s="14">
        <f t="shared" si="397"/>
        <v>5546</v>
      </c>
      <c r="CN454" s="17">
        <f t="shared" si="398"/>
        <v>3.6403076709802518</v>
      </c>
      <c r="CO454" s="14">
        <f t="shared" si="399"/>
        <v>5546</v>
      </c>
      <c r="CP454" s="17">
        <f t="shared" si="400"/>
        <v>3.6403076709802518</v>
      </c>
      <c r="CQ454" s="14">
        <f t="shared" si="374"/>
        <v>5546</v>
      </c>
      <c r="CR454" s="14">
        <v>351</v>
      </c>
      <c r="CS454" s="14">
        <v>460</v>
      </c>
      <c r="CT454" s="14">
        <v>0</v>
      </c>
      <c r="CU454" s="14">
        <v>0</v>
      </c>
    </row>
    <row r="455" spans="1:99" x14ac:dyDescent="0.3">
      <c r="A455" s="14">
        <v>2014</v>
      </c>
      <c r="B455" s="14" t="s">
        <v>83</v>
      </c>
      <c r="C455" s="14" t="s">
        <v>84</v>
      </c>
      <c r="D455" s="15">
        <v>597001.9</v>
      </c>
      <c r="E455" s="15">
        <v>15737792.999999998</v>
      </c>
      <c r="F455" s="15">
        <f t="shared" si="375"/>
        <v>26.361378414373551</v>
      </c>
      <c r="AB455" s="14">
        <f t="shared" si="376"/>
        <v>0</v>
      </c>
      <c r="AM455" s="14">
        <f t="shared" si="377"/>
        <v>0</v>
      </c>
      <c r="AQ455" s="14">
        <f t="shared" si="378"/>
        <v>0</v>
      </c>
      <c r="AT455" s="14">
        <f t="shared" si="379"/>
        <v>0</v>
      </c>
      <c r="AU455" s="16">
        <v>0</v>
      </c>
      <c r="AV455" s="16">
        <v>0</v>
      </c>
      <c r="AW455" s="16">
        <v>0</v>
      </c>
      <c r="AX455" s="16">
        <v>0</v>
      </c>
      <c r="AY455" s="18">
        <f t="shared" si="380"/>
        <v>0</v>
      </c>
      <c r="AZ455" s="17">
        <f t="shared" si="381"/>
        <v>0</v>
      </c>
      <c r="BA455" s="17">
        <f t="shared" si="382"/>
        <v>0</v>
      </c>
      <c r="BB455" s="17">
        <f t="shared" si="383"/>
        <v>0</v>
      </c>
      <c r="BC455" s="17">
        <f t="shared" si="351"/>
        <v>0</v>
      </c>
      <c r="BD455" s="17">
        <f t="shared" si="352"/>
        <v>0</v>
      </c>
      <c r="BE455" s="17">
        <f t="shared" si="353"/>
        <v>0</v>
      </c>
      <c r="BF455" s="17">
        <f t="shared" si="354"/>
        <v>0</v>
      </c>
      <c r="BG455" s="17">
        <f t="shared" si="355"/>
        <v>0</v>
      </c>
      <c r="BH455" s="17">
        <f t="shared" si="356"/>
        <v>0</v>
      </c>
      <c r="BI455" s="17">
        <f t="shared" si="357"/>
        <v>0</v>
      </c>
      <c r="BJ455" s="17">
        <f t="shared" si="358"/>
        <v>0</v>
      </c>
      <c r="BK455" s="17">
        <f t="shared" si="359"/>
        <v>0</v>
      </c>
      <c r="BL455" s="17">
        <f t="shared" si="360"/>
        <v>0</v>
      </c>
      <c r="BM455" s="17">
        <f t="shared" si="361"/>
        <v>0</v>
      </c>
      <c r="BN455" s="17">
        <f t="shared" si="362"/>
        <v>0</v>
      </c>
      <c r="BO455" s="17">
        <f t="shared" si="363"/>
        <v>0</v>
      </c>
      <c r="BP455" s="17">
        <f t="shared" si="364"/>
        <v>0</v>
      </c>
      <c r="BQ455" s="17">
        <f t="shared" si="365"/>
        <v>0</v>
      </c>
      <c r="BR455" s="17">
        <f t="shared" si="366"/>
        <v>0</v>
      </c>
      <c r="BS455" s="17">
        <f t="shared" si="367"/>
        <v>0</v>
      </c>
      <c r="BT455" s="17">
        <f t="shared" si="368"/>
        <v>0</v>
      </c>
      <c r="BU455" s="17">
        <f t="shared" si="369"/>
        <v>0</v>
      </c>
      <c r="BV455" s="17">
        <f t="shared" si="370"/>
        <v>0</v>
      </c>
      <c r="BW455" s="17">
        <f t="shared" si="371"/>
        <v>0</v>
      </c>
      <c r="BX455" s="17">
        <f t="shared" si="372"/>
        <v>0</v>
      </c>
      <c r="BY455" s="17">
        <f t="shared" si="373"/>
        <v>0</v>
      </c>
      <c r="BZ455" s="17">
        <f t="shared" si="384"/>
        <v>0</v>
      </c>
      <c r="CA455" s="17">
        <f t="shared" si="385"/>
        <v>0</v>
      </c>
      <c r="CB455" s="17">
        <f t="shared" si="386"/>
        <v>0</v>
      </c>
      <c r="CC455" s="17">
        <f t="shared" si="387"/>
        <v>0</v>
      </c>
      <c r="CD455" s="17">
        <f t="shared" si="388"/>
        <v>0</v>
      </c>
      <c r="CE455" s="17">
        <f t="shared" si="389"/>
        <v>0</v>
      </c>
      <c r="CF455" s="17">
        <f t="shared" si="390"/>
        <v>0</v>
      </c>
      <c r="CG455" s="17">
        <f t="shared" si="391"/>
        <v>0</v>
      </c>
      <c r="CH455" s="17">
        <f t="shared" si="392"/>
        <v>0</v>
      </c>
      <c r="CI455" s="17">
        <f t="shared" si="393"/>
        <v>0</v>
      </c>
      <c r="CJ455" s="17">
        <f t="shared" si="394"/>
        <v>0</v>
      </c>
      <c r="CK455" s="17">
        <f t="shared" si="395"/>
        <v>0</v>
      </c>
      <c r="CL455" s="17">
        <f t="shared" si="396"/>
        <v>0</v>
      </c>
      <c r="CM455" s="14">
        <f t="shared" si="397"/>
        <v>0</v>
      </c>
      <c r="CN455" s="17">
        <f t="shared" si="398"/>
        <v>0</v>
      </c>
      <c r="CO455" s="14">
        <f t="shared" si="399"/>
        <v>0</v>
      </c>
      <c r="CP455" s="17">
        <f t="shared" si="400"/>
        <v>0</v>
      </c>
      <c r="CQ455" s="14">
        <f t="shared" si="374"/>
        <v>0</v>
      </c>
      <c r="CR455" s="14">
        <v>374</v>
      </c>
      <c r="CS455" s="14">
        <v>1491</v>
      </c>
      <c r="CT455" s="14">
        <v>0</v>
      </c>
      <c r="CU455" s="14">
        <v>0</v>
      </c>
    </row>
    <row r="456" spans="1:99" x14ac:dyDescent="0.3">
      <c r="A456" s="14">
        <v>2015</v>
      </c>
      <c r="B456" s="14" t="s">
        <v>83</v>
      </c>
      <c r="C456" s="14" t="s">
        <v>84</v>
      </c>
      <c r="D456" s="15">
        <v>604047.80000000005</v>
      </c>
      <c r="E456" s="15">
        <v>16248229.999999996</v>
      </c>
      <c r="F456" s="15">
        <f t="shared" si="375"/>
        <v>26.898914291219992</v>
      </c>
      <c r="AB456" s="14">
        <f t="shared" si="376"/>
        <v>0</v>
      </c>
      <c r="AM456" s="14">
        <f t="shared" si="377"/>
        <v>0</v>
      </c>
      <c r="AQ456" s="14">
        <f t="shared" si="378"/>
        <v>0</v>
      </c>
      <c r="AT456" s="14">
        <f t="shared" si="379"/>
        <v>0</v>
      </c>
      <c r="AU456" s="16">
        <v>0</v>
      </c>
      <c r="AV456" s="16">
        <v>0</v>
      </c>
      <c r="AW456" s="16">
        <v>0</v>
      </c>
      <c r="AX456" s="16">
        <v>0</v>
      </c>
      <c r="AY456" s="18">
        <f t="shared" si="380"/>
        <v>0</v>
      </c>
      <c r="AZ456" s="17">
        <f t="shared" si="381"/>
        <v>0</v>
      </c>
      <c r="BA456" s="17">
        <f t="shared" si="382"/>
        <v>0</v>
      </c>
      <c r="BB456" s="17">
        <f t="shared" si="383"/>
        <v>0</v>
      </c>
      <c r="BC456" s="17">
        <f t="shared" si="351"/>
        <v>0</v>
      </c>
      <c r="BD456" s="17">
        <f t="shared" si="352"/>
        <v>0</v>
      </c>
      <c r="BE456" s="17">
        <f t="shared" si="353"/>
        <v>0</v>
      </c>
      <c r="BF456" s="17">
        <f t="shared" si="354"/>
        <v>0</v>
      </c>
      <c r="BG456" s="17">
        <f t="shared" si="355"/>
        <v>0</v>
      </c>
      <c r="BH456" s="17">
        <f t="shared" si="356"/>
        <v>0</v>
      </c>
      <c r="BI456" s="17">
        <f t="shared" si="357"/>
        <v>0</v>
      </c>
      <c r="BJ456" s="17">
        <f t="shared" si="358"/>
        <v>0</v>
      </c>
      <c r="BK456" s="17">
        <f t="shared" si="359"/>
        <v>0</v>
      </c>
      <c r="BL456" s="17">
        <f t="shared" si="360"/>
        <v>0</v>
      </c>
      <c r="BM456" s="17">
        <f t="shared" si="361"/>
        <v>0</v>
      </c>
      <c r="BN456" s="17">
        <f t="shared" si="362"/>
        <v>0</v>
      </c>
      <c r="BO456" s="17">
        <f t="shared" si="363"/>
        <v>0</v>
      </c>
      <c r="BP456" s="17">
        <f t="shared" si="364"/>
        <v>0</v>
      </c>
      <c r="BQ456" s="17">
        <f t="shared" si="365"/>
        <v>0</v>
      </c>
      <c r="BR456" s="17">
        <f t="shared" si="366"/>
        <v>0</v>
      </c>
      <c r="BS456" s="17">
        <f t="shared" si="367"/>
        <v>0</v>
      </c>
      <c r="BT456" s="17">
        <f t="shared" si="368"/>
        <v>0</v>
      </c>
      <c r="BU456" s="17">
        <f t="shared" si="369"/>
        <v>0</v>
      </c>
      <c r="BV456" s="17">
        <f t="shared" si="370"/>
        <v>0</v>
      </c>
      <c r="BW456" s="17">
        <f t="shared" si="371"/>
        <v>0</v>
      </c>
      <c r="BX456" s="17">
        <f t="shared" si="372"/>
        <v>0</v>
      </c>
      <c r="BY456" s="17">
        <f t="shared" si="373"/>
        <v>0</v>
      </c>
      <c r="BZ456" s="17">
        <f t="shared" si="384"/>
        <v>0</v>
      </c>
      <c r="CA456" s="17">
        <f t="shared" si="385"/>
        <v>0</v>
      </c>
      <c r="CB456" s="17">
        <f t="shared" si="386"/>
        <v>0</v>
      </c>
      <c r="CC456" s="17">
        <f t="shared" si="387"/>
        <v>0</v>
      </c>
      <c r="CD456" s="17">
        <f t="shared" si="388"/>
        <v>0</v>
      </c>
      <c r="CE456" s="17">
        <f t="shared" si="389"/>
        <v>0</v>
      </c>
      <c r="CF456" s="17">
        <f t="shared" si="390"/>
        <v>0</v>
      </c>
      <c r="CG456" s="17">
        <f t="shared" si="391"/>
        <v>0</v>
      </c>
      <c r="CH456" s="17">
        <f t="shared" si="392"/>
        <v>0</v>
      </c>
      <c r="CI456" s="17">
        <f t="shared" si="393"/>
        <v>0</v>
      </c>
      <c r="CJ456" s="17">
        <f t="shared" si="394"/>
        <v>0</v>
      </c>
      <c r="CK456" s="17">
        <f t="shared" si="395"/>
        <v>0</v>
      </c>
      <c r="CL456" s="17">
        <f t="shared" si="396"/>
        <v>0</v>
      </c>
      <c r="CM456" s="14">
        <f t="shared" si="397"/>
        <v>0</v>
      </c>
      <c r="CN456" s="17">
        <f t="shared" si="398"/>
        <v>0</v>
      </c>
      <c r="CO456" s="14">
        <f t="shared" si="399"/>
        <v>0</v>
      </c>
      <c r="CP456" s="17">
        <f t="shared" si="400"/>
        <v>0</v>
      </c>
      <c r="CQ456" s="14">
        <f t="shared" si="374"/>
        <v>0</v>
      </c>
      <c r="CR456" s="14">
        <v>0</v>
      </c>
      <c r="CS456" s="14">
        <v>0</v>
      </c>
      <c r="CT456" s="14">
        <v>0</v>
      </c>
      <c r="CU456" s="14">
        <v>0</v>
      </c>
    </row>
    <row r="457" spans="1:99" x14ac:dyDescent="0.3">
      <c r="A457" s="14">
        <v>2016</v>
      </c>
      <c r="B457" s="14" t="s">
        <v>83</v>
      </c>
      <c r="C457" s="14" t="s">
        <v>84</v>
      </c>
      <c r="D457" s="15">
        <v>613228.69999999995</v>
      </c>
      <c r="E457" s="15">
        <v>16767760.499999996</v>
      </c>
      <c r="F457" s="15">
        <f t="shared" si="375"/>
        <v>27.343404671046866</v>
      </c>
      <c r="G457" s="14">
        <v>312</v>
      </c>
      <c r="H457" s="14">
        <v>1159</v>
      </c>
      <c r="I457" s="14">
        <v>19254</v>
      </c>
      <c r="T457" s="14">
        <v>1796</v>
      </c>
      <c r="V457" s="14">
        <v>419</v>
      </c>
      <c r="Z457" s="14">
        <v>921</v>
      </c>
      <c r="AB457" s="14">
        <f t="shared" si="376"/>
        <v>0</v>
      </c>
      <c r="AE457" s="14">
        <v>202</v>
      </c>
      <c r="AI457" s="14">
        <v>1814</v>
      </c>
      <c r="AL457" s="14">
        <v>432</v>
      </c>
      <c r="AM457" s="14">
        <f t="shared" si="377"/>
        <v>432</v>
      </c>
      <c r="AQ457" s="14">
        <f t="shared" si="378"/>
        <v>0</v>
      </c>
      <c r="AT457" s="14">
        <f t="shared" si="379"/>
        <v>0</v>
      </c>
      <c r="AU457" s="16">
        <v>3074</v>
      </c>
      <c r="AV457" s="16">
        <v>0</v>
      </c>
      <c r="AW457" s="16">
        <v>6666</v>
      </c>
      <c r="AX457" s="16">
        <v>0</v>
      </c>
      <c r="AY457" s="18">
        <f t="shared" si="380"/>
        <v>1.8332800018225455</v>
      </c>
      <c r="AZ457" s="17">
        <f t="shared" si="381"/>
        <v>0</v>
      </c>
      <c r="BA457" s="17">
        <f t="shared" si="382"/>
        <v>3.9754861718116747</v>
      </c>
      <c r="BB457" s="17">
        <f t="shared" si="383"/>
        <v>0</v>
      </c>
      <c r="BC457" s="17">
        <f t="shared" si="351"/>
        <v>0.18607135997678406</v>
      </c>
      <c r="BD457" s="17">
        <f t="shared" si="352"/>
        <v>0.69120739170863055</v>
      </c>
      <c r="BE457" s="17">
        <f t="shared" si="353"/>
        <v>11.482749887798079</v>
      </c>
      <c r="BF457" s="17">
        <f t="shared" si="354"/>
        <v>0</v>
      </c>
      <c r="BG457" s="17">
        <f t="shared" si="355"/>
        <v>0</v>
      </c>
      <c r="BH457" s="17">
        <f t="shared" si="356"/>
        <v>0</v>
      </c>
      <c r="BI457" s="17">
        <f t="shared" si="357"/>
        <v>0</v>
      </c>
      <c r="BJ457" s="17">
        <f t="shared" si="358"/>
        <v>0</v>
      </c>
      <c r="BK457" s="17">
        <f t="shared" si="359"/>
        <v>0</v>
      </c>
      <c r="BL457" s="17">
        <f t="shared" si="360"/>
        <v>0</v>
      </c>
      <c r="BM457" s="17">
        <f t="shared" si="361"/>
        <v>0</v>
      </c>
      <c r="BN457" s="17">
        <f t="shared" si="362"/>
        <v>0</v>
      </c>
      <c r="BO457" s="17">
        <f t="shared" si="363"/>
        <v>0</v>
      </c>
      <c r="BP457" s="17">
        <f t="shared" si="364"/>
        <v>1.0711030849945646</v>
      </c>
      <c r="BQ457" s="17">
        <f t="shared" si="365"/>
        <v>0</v>
      </c>
      <c r="BR457" s="17">
        <f t="shared" si="366"/>
        <v>0.24988429432779655</v>
      </c>
      <c r="BS457" s="17">
        <f t="shared" si="367"/>
        <v>0</v>
      </c>
      <c r="BT457" s="17">
        <f t="shared" si="368"/>
        <v>0</v>
      </c>
      <c r="BU457" s="17">
        <f t="shared" si="369"/>
        <v>0</v>
      </c>
      <c r="BV457" s="17">
        <f t="shared" si="370"/>
        <v>0.54926834146992987</v>
      </c>
      <c r="BW457" s="17">
        <f t="shared" si="371"/>
        <v>0</v>
      </c>
      <c r="BX457" s="17">
        <f t="shared" si="372"/>
        <v>0</v>
      </c>
      <c r="BY457" s="17">
        <f t="shared" si="373"/>
        <v>0</v>
      </c>
      <c r="BZ457" s="17">
        <f t="shared" si="384"/>
        <v>0.12046927793368711</v>
      </c>
      <c r="CA457" s="17">
        <f t="shared" si="385"/>
        <v>0</v>
      </c>
      <c r="CB457" s="17">
        <f t="shared" si="386"/>
        <v>0</v>
      </c>
      <c r="CC457" s="17">
        <f t="shared" si="387"/>
        <v>0</v>
      </c>
      <c r="CD457" s="17">
        <f t="shared" si="388"/>
        <v>1.0818379711470714</v>
      </c>
      <c r="CE457" s="17">
        <f t="shared" si="389"/>
        <v>0</v>
      </c>
      <c r="CF457" s="17">
        <f t="shared" si="390"/>
        <v>0</v>
      </c>
      <c r="CG457" s="17">
        <f t="shared" si="391"/>
        <v>0.25763726766016254</v>
      </c>
      <c r="CH457" s="17">
        <f t="shared" si="392"/>
        <v>0</v>
      </c>
      <c r="CI457" s="17">
        <f t="shared" si="393"/>
        <v>0</v>
      </c>
      <c r="CJ457" s="17">
        <f t="shared" si="394"/>
        <v>0</v>
      </c>
      <c r="CK457" s="17">
        <f t="shared" si="395"/>
        <v>0</v>
      </c>
      <c r="CL457" s="17">
        <f t="shared" si="396"/>
        <v>0</v>
      </c>
      <c r="CM457" s="14">
        <f t="shared" si="397"/>
        <v>6666</v>
      </c>
      <c r="CN457" s="17">
        <f t="shared" si="398"/>
        <v>3.9754861718116747</v>
      </c>
      <c r="CO457" s="14">
        <f t="shared" si="399"/>
        <v>9740</v>
      </c>
      <c r="CP457" s="17">
        <f t="shared" si="400"/>
        <v>5.8087661736342202</v>
      </c>
      <c r="CQ457" s="14">
        <f t="shared" si="374"/>
        <v>36481</v>
      </c>
      <c r="CR457" s="14">
        <v>0</v>
      </c>
      <c r="CS457" s="14">
        <v>0</v>
      </c>
      <c r="CT457" s="14">
        <v>0</v>
      </c>
      <c r="CU457" s="14">
        <v>0</v>
      </c>
    </row>
    <row r="458" spans="1:99" x14ac:dyDescent="0.3">
      <c r="A458" s="14">
        <v>2017</v>
      </c>
      <c r="B458" s="14" t="s">
        <v>83</v>
      </c>
      <c r="C458" s="14" t="s">
        <v>84</v>
      </c>
      <c r="D458" s="15">
        <v>622980.80000000005</v>
      </c>
      <c r="E458" s="15">
        <v>17298053.500000004</v>
      </c>
      <c r="F458" s="15">
        <f t="shared" si="375"/>
        <v>27.766591683082371</v>
      </c>
      <c r="AB458" s="14">
        <f t="shared" si="376"/>
        <v>0</v>
      </c>
      <c r="AM458" s="14">
        <f t="shared" si="377"/>
        <v>0</v>
      </c>
      <c r="AQ458" s="14">
        <f t="shared" si="378"/>
        <v>0</v>
      </c>
      <c r="AT458" s="14">
        <f t="shared" si="379"/>
        <v>0</v>
      </c>
      <c r="AU458" s="16">
        <v>0</v>
      </c>
      <c r="AV458" s="16">
        <v>31382</v>
      </c>
      <c r="AW458" s="16">
        <v>0</v>
      </c>
      <c r="AX458" s="16">
        <v>0</v>
      </c>
      <c r="AY458" s="18">
        <f t="shared" si="380"/>
        <v>0</v>
      </c>
      <c r="AZ458" s="17">
        <f t="shared" si="381"/>
        <v>18.141925621862594</v>
      </c>
      <c r="BA458" s="17">
        <f t="shared" si="382"/>
        <v>0</v>
      </c>
      <c r="BB458" s="17">
        <f t="shared" si="383"/>
        <v>0</v>
      </c>
      <c r="BC458" s="17">
        <f t="shared" si="351"/>
        <v>0</v>
      </c>
      <c r="BD458" s="17">
        <f t="shared" si="352"/>
        <v>0</v>
      </c>
      <c r="BE458" s="17">
        <f t="shared" si="353"/>
        <v>0</v>
      </c>
      <c r="BF458" s="17">
        <f t="shared" si="354"/>
        <v>0</v>
      </c>
      <c r="BG458" s="17">
        <f t="shared" si="355"/>
        <v>0</v>
      </c>
      <c r="BH458" s="17">
        <f t="shared" si="356"/>
        <v>0</v>
      </c>
      <c r="BI458" s="17">
        <f t="shared" si="357"/>
        <v>0</v>
      </c>
      <c r="BJ458" s="17">
        <f t="shared" si="358"/>
        <v>0</v>
      </c>
      <c r="BK458" s="17">
        <f t="shared" si="359"/>
        <v>0</v>
      </c>
      <c r="BL458" s="17">
        <f t="shared" si="360"/>
        <v>0</v>
      </c>
      <c r="BM458" s="17">
        <f t="shared" si="361"/>
        <v>0</v>
      </c>
      <c r="BN458" s="17">
        <f t="shared" si="362"/>
        <v>0</v>
      </c>
      <c r="BO458" s="17">
        <f t="shared" si="363"/>
        <v>0</v>
      </c>
      <c r="BP458" s="17">
        <f t="shared" si="364"/>
        <v>0</v>
      </c>
      <c r="BQ458" s="17">
        <f t="shared" si="365"/>
        <v>0</v>
      </c>
      <c r="BR458" s="17">
        <f t="shared" si="366"/>
        <v>0</v>
      </c>
      <c r="BS458" s="17">
        <f t="shared" si="367"/>
        <v>0</v>
      </c>
      <c r="BT458" s="17">
        <f t="shared" si="368"/>
        <v>0</v>
      </c>
      <c r="BU458" s="17">
        <f t="shared" si="369"/>
        <v>0</v>
      </c>
      <c r="BV458" s="17">
        <f t="shared" si="370"/>
        <v>0</v>
      </c>
      <c r="BW458" s="17">
        <f t="shared" si="371"/>
        <v>0</v>
      </c>
      <c r="BX458" s="17">
        <f t="shared" si="372"/>
        <v>0</v>
      </c>
      <c r="BY458" s="17">
        <f t="shared" si="373"/>
        <v>0</v>
      </c>
      <c r="BZ458" s="17">
        <f t="shared" si="384"/>
        <v>0</v>
      </c>
      <c r="CA458" s="17">
        <f t="shared" si="385"/>
        <v>0</v>
      </c>
      <c r="CB458" s="17">
        <f t="shared" si="386"/>
        <v>0</v>
      </c>
      <c r="CC458" s="17">
        <f t="shared" si="387"/>
        <v>0</v>
      </c>
      <c r="CD458" s="17">
        <f t="shared" si="388"/>
        <v>0</v>
      </c>
      <c r="CE458" s="17">
        <f t="shared" si="389"/>
        <v>0</v>
      </c>
      <c r="CF458" s="17">
        <f t="shared" si="390"/>
        <v>0</v>
      </c>
      <c r="CG458" s="17">
        <f t="shared" si="391"/>
        <v>0</v>
      </c>
      <c r="CH458" s="17">
        <f t="shared" si="392"/>
        <v>0</v>
      </c>
      <c r="CI458" s="17">
        <f t="shared" si="393"/>
        <v>0</v>
      </c>
      <c r="CJ458" s="17">
        <f t="shared" si="394"/>
        <v>0</v>
      </c>
      <c r="CK458" s="17">
        <f t="shared" si="395"/>
        <v>0</v>
      </c>
      <c r="CL458" s="17">
        <f t="shared" si="396"/>
        <v>0</v>
      </c>
      <c r="CM458" s="14">
        <f t="shared" si="397"/>
        <v>31382</v>
      </c>
      <c r="CN458" s="17">
        <f t="shared" si="398"/>
        <v>18.141925621862594</v>
      </c>
      <c r="CO458" s="14">
        <f t="shared" si="399"/>
        <v>31382</v>
      </c>
      <c r="CP458" s="17">
        <f t="shared" si="400"/>
        <v>18.141925621862594</v>
      </c>
      <c r="CQ458" s="14">
        <f t="shared" si="374"/>
        <v>31382</v>
      </c>
      <c r="CR458" s="14">
        <v>54</v>
      </c>
      <c r="CS458" s="14">
        <v>371</v>
      </c>
      <c r="CT458" s="14">
        <v>66</v>
      </c>
      <c r="CU458" s="14">
        <v>0</v>
      </c>
    </row>
    <row r="459" spans="1:99" x14ac:dyDescent="0.3">
      <c r="A459" s="14">
        <v>2018</v>
      </c>
      <c r="B459" s="14" t="s">
        <v>83</v>
      </c>
      <c r="C459" s="14" t="s">
        <v>84</v>
      </c>
      <c r="D459" s="15">
        <v>632342.80000000005</v>
      </c>
      <c r="E459" s="15">
        <v>17835892.999999981</v>
      </c>
      <c r="F459" s="15">
        <f t="shared" si="375"/>
        <v>28.206050578894835</v>
      </c>
      <c r="G459" s="14">
        <v>160</v>
      </c>
      <c r="H459" s="14">
        <v>727</v>
      </c>
      <c r="M459" s="14">
        <v>1283</v>
      </c>
      <c r="N459" s="14">
        <v>353</v>
      </c>
      <c r="P459" s="14">
        <v>1</v>
      </c>
      <c r="T459" s="14">
        <v>2742</v>
      </c>
      <c r="V459" s="14">
        <v>761</v>
      </c>
      <c r="Y459" s="14">
        <v>1712</v>
      </c>
      <c r="Z459" s="14">
        <v>18</v>
      </c>
      <c r="AB459" s="14">
        <f t="shared" si="376"/>
        <v>0</v>
      </c>
      <c r="AC459" s="14">
        <v>67</v>
      </c>
      <c r="AF459" s="14">
        <v>16</v>
      </c>
      <c r="AI459" s="14">
        <v>3616</v>
      </c>
      <c r="AJ459" s="14">
        <v>1132</v>
      </c>
      <c r="AK459" s="14">
        <v>739</v>
      </c>
      <c r="AM459" s="14">
        <f t="shared" si="377"/>
        <v>739</v>
      </c>
      <c r="AQ459" s="14">
        <f t="shared" si="378"/>
        <v>0</v>
      </c>
      <c r="AT459" s="14">
        <f t="shared" si="379"/>
        <v>0</v>
      </c>
      <c r="AU459" s="16">
        <v>8042</v>
      </c>
      <c r="AV459" s="16">
        <v>41492</v>
      </c>
      <c r="AW459" s="16">
        <v>4274</v>
      </c>
      <c r="AX459" s="16">
        <v>119</v>
      </c>
      <c r="AY459" s="18">
        <f t="shared" si="380"/>
        <v>4.5088855377188057</v>
      </c>
      <c r="AZ459" s="17">
        <f t="shared" si="381"/>
        <v>23.26320302549474</v>
      </c>
      <c r="BA459" s="17">
        <f t="shared" si="382"/>
        <v>2.3962915677953465</v>
      </c>
      <c r="BB459" s="17">
        <f t="shared" si="383"/>
        <v>6.6719395546945767E-2</v>
      </c>
      <c r="BC459" s="17">
        <f t="shared" si="351"/>
        <v>8.9706750315221198E-2</v>
      </c>
      <c r="BD459" s="17">
        <f t="shared" si="352"/>
        <v>0.40760504674478637</v>
      </c>
      <c r="BE459" s="17">
        <f t="shared" si="353"/>
        <v>0</v>
      </c>
      <c r="BF459" s="17">
        <f t="shared" si="354"/>
        <v>0</v>
      </c>
      <c r="BG459" s="17">
        <f t="shared" si="355"/>
        <v>0</v>
      </c>
      <c r="BH459" s="17">
        <f t="shared" si="356"/>
        <v>0</v>
      </c>
      <c r="BI459" s="17">
        <f t="shared" si="357"/>
        <v>0.71933600409018006</v>
      </c>
      <c r="BJ459" s="17">
        <f t="shared" si="358"/>
        <v>0.19791551788295678</v>
      </c>
      <c r="BK459" s="17">
        <f t="shared" si="359"/>
        <v>0</v>
      </c>
      <c r="BL459" s="17">
        <f t="shared" si="360"/>
        <v>5.6066718947013255E-4</v>
      </c>
      <c r="BM459" s="17">
        <f t="shared" si="361"/>
        <v>0</v>
      </c>
      <c r="BN459" s="17">
        <f t="shared" si="362"/>
        <v>0</v>
      </c>
      <c r="BO459" s="17">
        <f t="shared" si="363"/>
        <v>0</v>
      </c>
      <c r="BP459" s="17">
        <f t="shared" si="364"/>
        <v>1.5373494335271034</v>
      </c>
      <c r="BQ459" s="17">
        <f t="shared" si="365"/>
        <v>0</v>
      </c>
      <c r="BR459" s="17">
        <f t="shared" si="366"/>
        <v>0.42666773118677087</v>
      </c>
      <c r="BS459" s="17">
        <f t="shared" si="367"/>
        <v>0</v>
      </c>
      <c r="BT459" s="17">
        <f t="shared" si="368"/>
        <v>0</v>
      </c>
      <c r="BU459" s="17">
        <f t="shared" si="369"/>
        <v>0.95986222837286683</v>
      </c>
      <c r="BV459" s="17">
        <f t="shared" si="370"/>
        <v>1.0092009410462385E-2</v>
      </c>
      <c r="BW459" s="17">
        <f t="shared" si="371"/>
        <v>0</v>
      </c>
      <c r="BX459" s="17">
        <f t="shared" si="372"/>
        <v>3.7564701694498881E-2</v>
      </c>
      <c r="BY459" s="17">
        <f t="shared" si="373"/>
        <v>0</v>
      </c>
      <c r="BZ459" s="17">
        <f t="shared" si="384"/>
        <v>0</v>
      </c>
      <c r="CA459" s="17">
        <f t="shared" si="385"/>
        <v>8.9706750315221209E-3</v>
      </c>
      <c r="CB459" s="17">
        <f t="shared" si="386"/>
        <v>0</v>
      </c>
      <c r="CC459" s="17">
        <f t="shared" si="387"/>
        <v>0</v>
      </c>
      <c r="CD459" s="17">
        <f t="shared" si="388"/>
        <v>2.0273725571239991</v>
      </c>
      <c r="CE459" s="17">
        <f t="shared" si="389"/>
        <v>0.63467525848019002</v>
      </c>
      <c r="CF459" s="17">
        <f t="shared" si="390"/>
        <v>0.41433305301842793</v>
      </c>
      <c r="CG459" s="17">
        <f t="shared" si="391"/>
        <v>0</v>
      </c>
      <c r="CH459" s="17">
        <f t="shared" si="392"/>
        <v>0</v>
      </c>
      <c r="CI459" s="17">
        <f t="shared" si="393"/>
        <v>0</v>
      </c>
      <c r="CJ459" s="17">
        <f t="shared" si="394"/>
        <v>0</v>
      </c>
      <c r="CK459" s="17">
        <f t="shared" si="395"/>
        <v>0</v>
      </c>
      <c r="CL459" s="17">
        <f t="shared" si="396"/>
        <v>0</v>
      </c>
      <c r="CM459" s="14">
        <f t="shared" si="397"/>
        <v>45766</v>
      </c>
      <c r="CN459" s="17">
        <f t="shared" si="398"/>
        <v>25.659494593290084</v>
      </c>
      <c r="CO459" s="14">
        <f t="shared" si="399"/>
        <v>53808</v>
      </c>
      <c r="CP459" s="17">
        <f t="shared" si="400"/>
        <v>30.168380131008892</v>
      </c>
      <c r="CQ459" s="14">
        <f t="shared" si="374"/>
        <v>67993</v>
      </c>
      <c r="CR459" s="14">
        <v>0</v>
      </c>
      <c r="CS459" s="14">
        <v>0</v>
      </c>
      <c r="CT459" s="14">
        <v>0</v>
      </c>
      <c r="CU459" s="14">
        <v>0</v>
      </c>
    </row>
    <row r="460" spans="1:99" x14ac:dyDescent="0.3">
      <c r="A460" s="14">
        <v>2019</v>
      </c>
      <c r="B460" s="14" t="s">
        <v>83</v>
      </c>
      <c r="C460" s="14" t="s">
        <v>84</v>
      </c>
      <c r="D460" s="15">
        <v>641968.30000000005</v>
      </c>
      <c r="E460" s="15">
        <v>18380476.500000004</v>
      </c>
      <c r="F460" s="15">
        <f t="shared" si="375"/>
        <v>28.631439434003209</v>
      </c>
      <c r="G460" s="14">
        <v>180</v>
      </c>
      <c r="H460" s="14">
        <v>856</v>
      </c>
      <c r="M460" s="14">
        <v>1846</v>
      </c>
      <c r="N460" s="14">
        <v>390</v>
      </c>
      <c r="T460" s="14">
        <v>3207</v>
      </c>
      <c r="V460" s="14">
        <v>929</v>
      </c>
      <c r="Y460" s="14">
        <v>2045</v>
      </c>
      <c r="Z460" s="14">
        <v>18</v>
      </c>
      <c r="AB460" s="14">
        <f t="shared" si="376"/>
        <v>0</v>
      </c>
      <c r="AI460" s="14">
        <v>4562</v>
      </c>
      <c r="AJ460" s="14">
        <v>1312</v>
      </c>
      <c r="AK460" s="14">
        <v>864</v>
      </c>
      <c r="AM460" s="14">
        <f t="shared" si="377"/>
        <v>864</v>
      </c>
      <c r="AQ460" s="14">
        <f t="shared" si="378"/>
        <v>0</v>
      </c>
      <c r="AT460" s="14">
        <f t="shared" si="379"/>
        <v>0</v>
      </c>
      <c r="AU460" s="16">
        <v>8772</v>
      </c>
      <c r="AV460" s="16">
        <v>46070</v>
      </c>
      <c r="AW460" s="16">
        <v>6446</v>
      </c>
      <c r="AX460" s="16">
        <v>0</v>
      </c>
      <c r="AY460" s="18">
        <f t="shared" si="380"/>
        <v>4.7724551645872717</v>
      </c>
      <c r="AZ460" s="17">
        <f t="shared" si="381"/>
        <v>25.064638558200595</v>
      </c>
      <c r="BA460" s="17">
        <f t="shared" si="382"/>
        <v>3.5069819871100725</v>
      </c>
      <c r="BB460" s="17">
        <f t="shared" si="383"/>
        <v>0</v>
      </c>
      <c r="BC460" s="17">
        <f t="shared" si="351"/>
        <v>9.7929996537358524E-2</v>
      </c>
      <c r="BD460" s="17">
        <f t="shared" si="352"/>
        <v>0.46571153908877161</v>
      </c>
      <c r="BE460" s="17">
        <f t="shared" si="353"/>
        <v>0</v>
      </c>
      <c r="BF460" s="17">
        <f t="shared" si="354"/>
        <v>0</v>
      </c>
      <c r="BG460" s="17">
        <f t="shared" si="355"/>
        <v>0</v>
      </c>
      <c r="BH460" s="17">
        <f t="shared" si="356"/>
        <v>0</v>
      </c>
      <c r="BI460" s="17">
        <f t="shared" si="357"/>
        <v>1.0043265200442435</v>
      </c>
      <c r="BJ460" s="17">
        <f t="shared" si="358"/>
        <v>0.21218165916427678</v>
      </c>
      <c r="BK460" s="17">
        <f t="shared" si="359"/>
        <v>0</v>
      </c>
      <c r="BL460" s="17">
        <f t="shared" si="360"/>
        <v>0</v>
      </c>
      <c r="BM460" s="17">
        <f t="shared" si="361"/>
        <v>0</v>
      </c>
      <c r="BN460" s="17">
        <f t="shared" si="362"/>
        <v>0</v>
      </c>
      <c r="BO460" s="17">
        <f t="shared" si="363"/>
        <v>0</v>
      </c>
      <c r="BP460" s="17">
        <f t="shared" si="364"/>
        <v>1.7447861049739377</v>
      </c>
      <c r="BQ460" s="17">
        <f t="shared" si="365"/>
        <v>0</v>
      </c>
      <c r="BR460" s="17">
        <f t="shared" si="366"/>
        <v>0.50542759324003372</v>
      </c>
      <c r="BS460" s="17">
        <f t="shared" si="367"/>
        <v>0</v>
      </c>
      <c r="BT460" s="17">
        <f t="shared" si="368"/>
        <v>0</v>
      </c>
      <c r="BU460" s="17">
        <f t="shared" si="369"/>
        <v>1.1125935717716564</v>
      </c>
      <c r="BV460" s="17">
        <f t="shared" si="370"/>
        <v>9.7929996537358521E-3</v>
      </c>
      <c r="BW460" s="17">
        <f t="shared" si="371"/>
        <v>0</v>
      </c>
      <c r="BX460" s="17">
        <f t="shared" si="372"/>
        <v>0</v>
      </c>
      <c r="BY460" s="17">
        <f t="shared" si="373"/>
        <v>0</v>
      </c>
      <c r="BZ460" s="17">
        <f t="shared" si="384"/>
        <v>0</v>
      </c>
      <c r="CA460" s="17">
        <f t="shared" si="385"/>
        <v>0</v>
      </c>
      <c r="CB460" s="17">
        <f t="shared" si="386"/>
        <v>0</v>
      </c>
      <c r="CC460" s="17">
        <f t="shared" si="387"/>
        <v>0</v>
      </c>
      <c r="CD460" s="17">
        <f t="shared" si="388"/>
        <v>2.4819813566857198</v>
      </c>
      <c r="CE460" s="17">
        <f t="shared" si="389"/>
        <v>0.71380086365007989</v>
      </c>
      <c r="CF460" s="17">
        <f t="shared" si="390"/>
        <v>0.47006398337932087</v>
      </c>
      <c r="CG460" s="17">
        <f t="shared" si="391"/>
        <v>0</v>
      </c>
      <c r="CH460" s="17">
        <f t="shared" si="392"/>
        <v>0</v>
      </c>
      <c r="CI460" s="17">
        <f t="shared" si="393"/>
        <v>0</v>
      </c>
      <c r="CJ460" s="17">
        <f t="shared" si="394"/>
        <v>0</v>
      </c>
      <c r="CK460" s="17">
        <f t="shared" si="395"/>
        <v>0</v>
      </c>
      <c r="CL460" s="17">
        <f t="shared" si="396"/>
        <v>0</v>
      </c>
      <c r="CM460" s="14">
        <f t="shared" si="397"/>
        <v>52516</v>
      </c>
      <c r="CN460" s="17">
        <f t="shared" si="398"/>
        <v>28.571620545310665</v>
      </c>
      <c r="CO460" s="14">
        <f t="shared" si="399"/>
        <v>61288</v>
      </c>
      <c r="CP460" s="17">
        <f t="shared" si="400"/>
        <v>33.344075709897936</v>
      </c>
      <c r="CQ460" s="14">
        <f t="shared" si="374"/>
        <v>78361</v>
      </c>
      <c r="CR460" s="14">
        <v>0</v>
      </c>
      <c r="CS460" s="14">
        <v>0</v>
      </c>
      <c r="CT460" s="14">
        <v>0</v>
      </c>
      <c r="CU460" s="14">
        <v>0</v>
      </c>
    </row>
    <row r="461" spans="1:99" x14ac:dyDescent="0.3">
      <c r="A461" s="14">
        <v>2020</v>
      </c>
      <c r="B461" s="14" t="s">
        <v>83</v>
      </c>
      <c r="C461" s="14" t="s">
        <v>84</v>
      </c>
      <c r="D461" s="15">
        <v>652088.9</v>
      </c>
      <c r="E461" s="15">
        <v>18927715.000000022</v>
      </c>
      <c r="F461" s="15">
        <f t="shared" si="375"/>
        <v>29.026280005686374</v>
      </c>
      <c r="G461" s="14">
        <v>205</v>
      </c>
      <c r="H461" s="14">
        <v>1082</v>
      </c>
      <c r="M461" s="14">
        <v>41669</v>
      </c>
      <c r="N461" s="14">
        <v>453</v>
      </c>
      <c r="T461" s="14">
        <v>3830</v>
      </c>
      <c r="V461" s="14">
        <v>1075</v>
      </c>
      <c r="Y461" s="14">
        <v>2506</v>
      </c>
      <c r="Z461" s="14">
        <v>19</v>
      </c>
      <c r="AB461" s="14">
        <f t="shared" si="376"/>
        <v>0</v>
      </c>
      <c r="AI461" s="14">
        <v>5544</v>
      </c>
      <c r="AJ461" s="14">
        <v>1544</v>
      </c>
      <c r="AK461" s="14">
        <v>1036</v>
      </c>
      <c r="AM461" s="14">
        <f t="shared" si="377"/>
        <v>1036</v>
      </c>
      <c r="AQ461" s="14">
        <f t="shared" si="378"/>
        <v>0</v>
      </c>
      <c r="AT461" s="14">
        <f t="shared" si="379"/>
        <v>0</v>
      </c>
      <c r="AU461" s="16">
        <v>9636</v>
      </c>
      <c r="AV461" s="16">
        <v>55348</v>
      </c>
      <c r="AW461" s="16">
        <v>6624</v>
      </c>
      <c r="AX461" s="16">
        <v>0</v>
      </c>
      <c r="AY461" s="18">
        <f t="shared" si="380"/>
        <v>5.0909473224845092</v>
      </c>
      <c r="AZ461" s="17">
        <f t="shared" si="381"/>
        <v>29.241775882614427</v>
      </c>
      <c r="BA461" s="17">
        <f t="shared" si="382"/>
        <v>3.4996300398648184</v>
      </c>
      <c r="BB461" s="17">
        <f t="shared" si="383"/>
        <v>0</v>
      </c>
      <c r="BC461" s="17">
        <f t="shared" si="351"/>
        <v>0.10830678716369078</v>
      </c>
      <c r="BD461" s="17">
        <f t="shared" si="352"/>
        <v>0.57164850590787042</v>
      </c>
      <c r="BE461" s="17">
        <f t="shared" si="353"/>
        <v>0</v>
      </c>
      <c r="BF461" s="17">
        <f t="shared" si="354"/>
        <v>0</v>
      </c>
      <c r="BG461" s="17">
        <f t="shared" si="355"/>
        <v>0</v>
      </c>
      <c r="BH461" s="17">
        <f t="shared" si="356"/>
        <v>0</v>
      </c>
      <c r="BI461" s="17">
        <f t="shared" si="357"/>
        <v>22.01480738694552</v>
      </c>
      <c r="BJ461" s="17">
        <f t="shared" si="358"/>
        <v>0.23933158334220453</v>
      </c>
      <c r="BK461" s="17">
        <f t="shared" si="359"/>
        <v>0</v>
      </c>
      <c r="BL461" s="17">
        <f t="shared" si="360"/>
        <v>0</v>
      </c>
      <c r="BM461" s="17">
        <f t="shared" si="361"/>
        <v>0</v>
      </c>
      <c r="BN461" s="17">
        <f t="shared" si="362"/>
        <v>0</v>
      </c>
      <c r="BO461" s="17">
        <f t="shared" si="363"/>
        <v>0</v>
      </c>
      <c r="BP461" s="17">
        <f t="shared" si="364"/>
        <v>2.0234877796923691</v>
      </c>
      <c r="BQ461" s="17">
        <f t="shared" si="365"/>
        <v>0</v>
      </c>
      <c r="BR461" s="17">
        <f t="shared" si="366"/>
        <v>0.5679502253705736</v>
      </c>
      <c r="BS461" s="17">
        <f t="shared" si="367"/>
        <v>0</v>
      </c>
      <c r="BT461" s="17">
        <f t="shared" si="368"/>
        <v>0</v>
      </c>
      <c r="BU461" s="17">
        <f t="shared" si="369"/>
        <v>1.3239844323522396</v>
      </c>
      <c r="BV461" s="17">
        <f t="shared" si="370"/>
        <v>1.0038190029805487E-2</v>
      </c>
      <c r="BW461" s="17">
        <f t="shared" si="371"/>
        <v>0</v>
      </c>
      <c r="BX461" s="17">
        <f t="shared" si="372"/>
        <v>0</v>
      </c>
      <c r="BY461" s="17">
        <f t="shared" si="373"/>
        <v>0</v>
      </c>
      <c r="BZ461" s="17">
        <f t="shared" si="384"/>
        <v>0</v>
      </c>
      <c r="CA461" s="17">
        <f t="shared" si="385"/>
        <v>0</v>
      </c>
      <c r="CB461" s="17">
        <f t="shared" si="386"/>
        <v>0</v>
      </c>
      <c r="CC461" s="17">
        <f t="shared" si="387"/>
        <v>0</v>
      </c>
      <c r="CD461" s="17">
        <f t="shared" si="388"/>
        <v>2.9290381855390328</v>
      </c>
      <c r="CE461" s="17">
        <f t="shared" si="389"/>
        <v>0.81573502136945641</v>
      </c>
      <c r="CF461" s="17">
        <f t="shared" si="390"/>
        <v>0.54734551951992028</v>
      </c>
      <c r="CG461" s="17">
        <f t="shared" si="391"/>
        <v>0</v>
      </c>
      <c r="CH461" s="17">
        <f t="shared" si="392"/>
        <v>0</v>
      </c>
      <c r="CI461" s="17">
        <f t="shared" si="393"/>
        <v>0</v>
      </c>
      <c r="CJ461" s="17">
        <f t="shared" si="394"/>
        <v>0</v>
      </c>
      <c r="CK461" s="17">
        <f t="shared" si="395"/>
        <v>0</v>
      </c>
      <c r="CL461" s="17">
        <f t="shared" si="396"/>
        <v>0</v>
      </c>
      <c r="CM461" s="14">
        <f t="shared" si="397"/>
        <v>61972</v>
      </c>
      <c r="CN461" s="17">
        <f t="shared" si="398"/>
        <v>32.741405922479245</v>
      </c>
      <c r="CO461" s="14">
        <f t="shared" si="399"/>
        <v>71608</v>
      </c>
      <c r="CP461" s="17">
        <f t="shared" si="400"/>
        <v>37.832353244963755</v>
      </c>
      <c r="CQ461" s="14">
        <f t="shared" si="374"/>
        <v>131607</v>
      </c>
      <c r="CR461" s="14">
        <v>10395</v>
      </c>
      <c r="CS461" s="14">
        <v>0</v>
      </c>
      <c r="CT461" s="14">
        <v>0</v>
      </c>
      <c r="CU461" s="14">
        <v>3330</v>
      </c>
    </row>
    <row r="462" spans="1:99" x14ac:dyDescent="0.3">
      <c r="A462" s="14">
        <v>2021</v>
      </c>
      <c r="B462" s="14" t="s">
        <v>83</v>
      </c>
      <c r="C462" s="14" t="s">
        <v>84</v>
      </c>
      <c r="D462" s="15">
        <v>663224.69999999995</v>
      </c>
      <c r="E462" s="15">
        <v>19473124.999999996</v>
      </c>
      <c r="F462" s="15">
        <f t="shared" si="375"/>
        <v>29.361278311860215</v>
      </c>
      <c r="G462" s="14">
        <v>269</v>
      </c>
      <c r="H462" s="14">
        <v>1376</v>
      </c>
      <c r="N462" s="14">
        <v>499</v>
      </c>
      <c r="T462" s="14">
        <v>4646</v>
      </c>
      <c r="V462" s="14">
        <v>1375</v>
      </c>
      <c r="Y462" s="14">
        <v>3182</v>
      </c>
      <c r="Z462" s="14">
        <v>19</v>
      </c>
      <c r="AB462" s="14">
        <f t="shared" si="376"/>
        <v>0</v>
      </c>
      <c r="AI462" s="14">
        <v>8281</v>
      </c>
      <c r="AJ462" s="14">
        <v>1944</v>
      </c>
      <c r="AK462" s="14">
        <v>1324</v>
      </c>
      <c r="AM462" s="14">
        <f t="shared" si="377"/>
        <v>1324</v>
      </c>
      <c r="AQ462" s="14">
        <f t="shared" si="378"/>
        <v>0</v>
      </c>
      <c r="AT462" s="14">
        <f t="shared" si="379"/>
        <v>0</v>
      </c>
      <c r="AU462" s="16">
        <v>11546</v>
      </c>
      <c r="AV462" s="16">
        <v>65084</v>
      </c>
      <c r="AW462" s="16">
        <v>7492</v>
      </c>
      <c r="AX462" s="16">
        <v>0</v>
      </c>
      <c r="AY462" s="18">
        <f t="shared" si="380"/>
        <v>5.9291972911384292</v>
      </c>
      <c r="AZ462" s="17">
        <f t="shared" si="381"/>
        <v>33.42247328048272</v>
      </c>
      <c r="BA462" s="17">
        <f t="shared" si="382"/>
        <v>3.8473537246846621</v>
      </c>
      <c r="BB462" s="17">
        <f t="shared" si="383"/>
        <v>0</v>
      </c>
      <c r="BC462" s="17">
        <f t="shared" si="351"/>
        <v>0.13813910196745519</v>
      </c>
      <c r="BD462" s="17">
        <f t="shared" si="352"/>
        <v>0.70661488590043986</v>
      </c>
      <c r="BE462" s="17">
        <f t="shared" si="353"/>
        <v>0</v>
      </c>
      <c r="BF462" s="17">
        <f t="shared" si="354"/>
        <v>0</v>
      </c>
      <c r="BG462" s="17">
        <f t="shared" si="355"/>
        <v>0</v>
      </c>
      <c r="BH462" s="17">
        <f t="shared" si="356"/>
        <v>0</v>
      </c>
      <c r="BI462" s="17">
        <f t="shared" si="357"/>
        <v>0</v>
      </c>
      <c r="BJ462" s="17">
        <f t="shared" si="358"/>
        <v>0.25625060179092984</v>
      </c>
      <c r="BK462" s="17">
        <f t="shared" si="359"/>
        <v>0</v>
      </c>
      <c r="BL462" s="17">
        <f t="shared" si="360"/>
        <v>0</v>
      </c>
      <c r="BM462" s="17">
        <f t="shared" si="361"/>
        <v>0</v>
      </c>
      <c r="BN462" s="17">
        <f t="shared" si="362"/>
        <v>0</v>
      </c>
      <c r="BO462" s="17">
        <f t="shared" si="363"/>
        <v>0</v>
      </c>
      <c r="BP462" s="17">
        <f t="shared" si="364"/>
        <v>2.3858522964341886</v>
      </c>
      <c r="BQ462" s="17">
        <f t="shared" si="365"/>
        <v>0</v>
      </c>
      <c r="BR462" s="17">
        <f t="shared" si="366"/>
        <v>0.70610135764033777</v>
      </c>
      <c r="BS462" s="17">
        <f t="shared" si="367"/>
        <v>0</v>
      </c>
      <c r="BT462" s="17">
        <f t="shared" si="368"/>
        <v>0</v>
      </c>
      <c r="BU462" s="17">
        <f t="shared" si="369"/>
        <v>1.6340469236447672</v>
      </c>
      <c r="BV462" s="17">
        <f t="shared" si="370"/>
        <v>9.7570369419392126E-3</v>
      </c>
      <c r="BW462" s="17">
        <f t="shared" si="371"/>
        <v>0</v>
      </c>
      <c r="BX462" s="17">
        <f t="shared" si="372"/>
        <v>0</v>
      </c>
      <c r="BY462" s="17">
        <f t="shared" si="373"/>
        <v>0</v>
      </c>
      <c r="BZ462" s="17">
        <f t="shared" si="384"/>
        <v>0</v>
      </c>
      <c r="CA462" s="17">
        <f t="shared" si="385"/>
        <v>0</v>
      </c>
      <c r="CB462" s="17">
        <f t="shared" si="386"/>
        <v>0</v>
      </c>
      <c r="CC462" s="17">
        <f t="shared" si="387"/>
        <v>0</v>
      </c>
      <c r="CD462" s="17">
        <f t="shared" si="388"/>
        <v>4.2525275219051908</v>
      </c>
      <c r="CE462" s="17">
        <f t="shared" si="389"/>
        <v>0.99829893763841215</v>
      </c>
      <c r="CF462" s="17">
        <f t="shared" si="390"/>
        <v>0.67991141637513253</v>
      </c>
      <c r="CG462" s="17">
        <f t="shared" si="391"/>
        <v>0</v>
      </c>
      <c r="CH462" s="17">
        <f t="shared" si="392"/>
        <v>0</v>
      </c>
      <c r="CI462" s="17">
        <f t="shared" si="393"/>
        <v>0</v>
      </c>
      <c r="CJ462" s="17">
        <f t="shared" si="394"/>
        <v>0</v>
      </c>
      <c r="CK462" s="17">
        <f t="shared" si="395"/>
        <v>0</v>
      </c>
      <c r="CL462" s="17">
        <f t="shared" si="396"/>
        <v>0</v>
      </c>
      <c r="CM462" s="14">
        <f t="shared" si="397"/>
        <v>72576</v>
      </c>
      <c r="CN462" s="17">
        <f t="shared" si="398"/>
        <v>37.269827005167386</v>
      </c>
      <c r="CO462" s="14">
        <f t="shared" si="399"/>
        <v>84122</v>
      </c>
      <c r="CP462" s="17">
        <f t="shared" si="400"/>
        <v>43.199024296305815</v>
      </c>
      <c r="CQ462" s="14">
        <f t="shared" si="374"/>
        <v>108361</v>
      </c>
      <c r="CR462" s="14">
        <v>0</v>
      </c>
      <c r="CS462" s="14">
        <v>0</v>
      </c>
      <c r="CT462" s="14">
        <v>0</v>
      </c>
      <c r="CU462" s="14">
        <v>0</v>
      </c>
    </row>
    <row r="463" spans="1:99" x14ac:dyDescent="0.3">
      <c r="A463" s="14">
        <v>2022</v>
      </c>
      <c r="B463" s="14" t="s">
        <v>83</v>
      </c>
      <c r="C463" s="14" t="s">
        <v>84</v>
      </c>
      <c r="D463" s="15">
        <v>675227.8</v>
      </c>
      <c r="E463" s="15">
        <v>20017675.000000004</v>
      </c>
      <c r="F463" s="15">
        <f t="shared" si="375"/>
        <v>29.645809902969045</v>
      </c>
      <c r="G463" s="14">
        <v>261</v>
      </c>
      <c r="H463" s="14">
        <v>639</v>
      </c>
      <c r="I463" s="14">
        <v>0</v>
      </c>
      <c r="J463" s="14">
        <v>18</v>
      </c>
      <c r="K463" s="14">
        <v>2</v>
      </c>
      <c r="L463" s="14">
        <v>3</v>
      </c>
      <c r="M463" s="14">
        <v>2421</v>
      </c>
      <c r="N463" s="14">
        <v>743</v>
      </c>
      <c r="O463" s="14">
        <v>23</v>
      </c>
      <c r="P463" s="14">
        <v>3</v>
      </c>
      <c r="Q463" s="14">
        <v>0</v>
      </c>
      <c r="R463" s="14">
        <v>0</v>
      </c>
      <c r="S463" s="14">
        <v>3325</v>
      </c>
      <c r="T463" s="14">
        <v>463</v>
      </c>
      <c r="U463" s="14">
        <v>0</v>
      </c>
      <c r="V463" s="14">
        <v>2633</v>
      </c>
      <c r="W463" s="14">
        <v>0</v>
      </c>
      <c r="X463" s="14">
        <v>7144</v>
      </c>
      <c r="Y463" s="14">
        <v>1474</v>
      </c>
      <c r="Z463" s="14">
        <v>388</v>
      </c>
      <c r="AA463" s="14">
        <v>5</v>
      </c>
      <c r="AB463" s="14">
        <f t="shared" si="376"/>
        <v>28</v>
      </c>
      <c r="AC463" s="14">
        <v>0</v>
      </c>
      <c r="AD463" s="14">
        <v>0</v>
      </c>
      <c r="AE463" s="14">
        <v>773</v>
      </c>
      <c r="AF463" s="14">
        <v>137</v>
      </c>
      <c r="AG463" s="14">
        <v>0</v>
      </c>
      <c r="AH463" s="14">
        <v>0</v>
      </c>
      <c r="AI463" s="14">
        <v>970</v>
      </c>
      <c r="AJ463" s="14">
        <v>1800</v>
      </c>
      <c r="AK463" s="14">
        <v>269</v>
      </c>
      <c r="AL463" s="14">
        <v>970</v>
      </c>
      <c r="AM463" s="14">
        <f t="shared" si="377"/>
        <v>1239</v>
      </c>
      <c r="AN463" s="14">
        <v>4</v>
      </c>
      <c r="AO463" s="14">
        <v>0</v>
      </c>
      <c r="AP463" s="14">
        <v>0</v>
      </c>
      <c r="AQ463" s="14">
        <f t="shared" si="378"/>
        <v>0</v>
      </c>
      <c r="AR463" s="14">
        <v>0</v>
      </c>
      <c r="AS463" s="14">
        <v>0</v>
      </c>
      <c r="AT463" s="14">
        <f t="shared" si="379"/>
        <v>0</v>
      </c>
      <c r="AU463" s="16">
        <v>11020</v>
      </c>
      <c r="AV463" s="16">
        <v>67558</v>
      </c>
      <c r="AW463" s="16">
        <v>18404</v>
      </c>
      <c r="AX463" s="16">
        <v>0</v>
      </c>
      <c r="AY463" s="18">
        <f t="shared" si="380"/>
        <v>5.5051348370877227</v>
      </c>
      <c r="AZ463" s="17">
        <f t="shared" si="381"/>
        <v>33.749174167329613</v>
      </c>
      <c r="BA463" s="17">
        <f t="shared" si="382"/>
        <v>9.1938749130455939</v>
      </c>
      <c r="BB463" s="17">
        <f t="shared" si="383"/>
        <v>0</v>
      </c>
      <c r="BC463" s="17">
        <f t="shared" si="351"/>
        <v>0.13038477245734081</v>
      </c>
      <c r="BD463" s="17">
        <f t="shared" si="352"/>
        <v>0.31921789118866195</v>
      </c>
      <c r="BE463" s="17">
        <f t="shared" si="353"/>
        <v>0</v>
      </c>
      <c r="BF463" s="17">
        <f t="shared" si="354"/>
        <v>8.9920532729200545E-3</v>
      </c>
      <c r="BG463" s="17">
        <f t="shared" si="355"/>
        <v>9.9911703032445052E-4</v>
      </c>
      <c r="BH463" s="17">
        <f t="shared" si="356"/>
        <v>1.4986755454866759E-3</v>
      </c>
      <c r="BI463" s="17">
        <f t="shared" si="357"/>
        <v>1.2094311652077474</v>
      </c>
      <c r="BJ463" s="17">
        <f t="shared" si="358"/>
        <v>0.37117197676553337</v>
      </c>
      <c r="BK463" s="17">
        <f t="shared" si="359"/>
        <v>1.1489845848731181E-2</v>
      </c>
      <c r="BL463" s="17">
        <f t="shared" si="360"/>
        <v>1.4986755454866759E-3</v>
      </c>
      <c r="BM463" s="17">
        <f t="shared" si="361"/>
        <v>0</v>
      </c>
      <c r="BN463" s="17">
        <f t="shared" si="362"/>
        <v>0</v>
      </c>
      <c r="BO463" s="17">
        <f t="shared" si="363"/>
        <v>1.6610320629143991</v>
      </c>
      <c r="BP463" s="17">
        <f t="shared" si="364"/>
        <v>0.23129559252011031</v>
      </c>
      <c r="BQ463" s="17">
        <f t="shared" si="365"/>
        <v>0</v>
      </c>
      <c r="BR463" s="17">
        <f t="shared" si="366"/>
        <v>1.3153375704221393</v>
      </c>
      <c r="BS463" s="17">
        <f t="shared" si="367"/>
        <v>0</v>
      </c>
      <c r="BT463" s="17">
        <f t="shared" si="368"/>
        <v>3.5688460323189375</v>
      </c>
      <c r="BU463" s="17">
        <f t="shared" si="369"/>
        <v>0.7363492513491201</v>
      </c>
      <c r="BV463" s="17">
        <f t="shared" si="370"/>
        <v>0.1938287038829434</v>
      </c>
      <c r="BW463" s="17">
        <f t="shared" si="371"/>
        <v>2.4977925758111266E-3</v>
      </c>
      <c r="BX463" s="17">
        <f t="shared" si="372"/>
        <v>0</v>
      </c>
      <c r="BY463" s="17">
        <f t="shared" si="373"/>
        <v>0</v>
      </c>
      <c r="BZ463" s="17">
        <f t="shared" si="384"/>
        <v>0.38615873222040015</v>
      </c>
      <c r="CA463" s="17">
        <f t="shared" si="385"/>
        <v>6.8439516577224871E-2</v>
      </c>
      <c r="CB463" s="17">
        <f t="shared" si="386"/>
        <v>0</v>
      </c>
      <c r="CC463" s="17">
        <f t="shared" si="387"/>
        <v>0</v>
      </c>
      <c r="CD463" s="17">
        <f t="shared" si="388"/>
        <v>0.48457175970735855</v>
      </c>
      <c r="CE463" s="17">
        <f t="shared" si="389"/>
        <v>0.89920532729200553</v>
      </c>
      <c r="CF463" s="17">
        <f t="shared" si="390"/>
        <v>0.13438124057863859</v>
      </c>
      <c r="CG463" s="17">
        <f t="shared" si="391"/>
        <v>0.48457175970735855</v>
      </c>
      <c r="CH463" s="17">
        <f t="shared" si="392"/>
        <v>1.998234060648901E-3</v>
      </c>
      <c r="CI463" s="17">
        <f t="shared" si="393"/>
        <v>0</v>
      </c>
      <c r="CJ463" s="17">
        <f t="shared" si="394"/>
        <v>0</v>
      </c>
      <c r="CK463" s="17">
        <f t="shared" si="395"/>
        <v>0</v>
      </c>
      <c r="CL463" s="17">
        <f t="shared" si="396"/>
        <v>0</v>
      </c>
      <c r="CM463" s="14">
        <f t="shared" si="397"/>
        <v>85962</v>
      </c>
      <c r="CN463" s="17">
        <f t="shared" si="398"/>
        <v>42.943049080375211</v>
      </c>
      <c r="CO463" s="14">
        <f t="shared" si="399"/>
        <v>96982</v>
      </c>
      <c r="CP463" s="17">
        <f t="shared" si="400"/>
        <v>48.448183917462934</v>
      </c>
      <c r="CQ463" s="14">
        <f t="shared" si="374"/>
        <v>122717</v>
      </c>
      <c r="CR463" s="14">
        <v>0</v>
      </c>
      <c r="CS463" s="14">
        <v>0</v>
      </c>
      <c r="CT463" s="14">
        <v>0</v>
      </c>
      <c r="CU463" s="14">
        <v>0</v>
      </c>
    </row>
    <row r="464" spans="1:99" x14ac:dyDescent="0.3">
      <c r="A464" s="14">
        <v>2012</v>
      </c>
      <c r="B464" s="14" t="s">
        <v>85</v>
      </c>
      <c r="C464" s="14" t="s">
        <v>86</v>
      </c>
      <c r="D464" s="15">
        <v>481316.8</v>
      </c>
      <c r="E464" s="15">
        <v>13265331.000000002</v>
      </c>
      <c r="F464" s="15">
        <f t="shared" si="375"/>
        <v>27.560498615464912</v>
      </c>
      <c r="G464" s="14">
        <v>233</v>
      </c>
      <c r="H464" s="14">
        <v>378</v>
      </c>
      <c r="I464" s="14">
        <v>5226</v>
      </c>
      <c r="T464" s="14">
        <v>1905</v>
      </c>
      <c r="V464" s="14">
        <v>233</v>
      </c>
      <c r="Z464" s="14">
        <v>352</v>
      </c>
      <c r="AA464" s="14">
        <v>27</v>
      </c>
      <c r="AB464" s="14">
        <f t="shared" si="376"/>
        <v>27</v>
      </c>
      <c r="AE464" s="14">
        <v>855</v>
      </c>
      <c r="AK464" s="14">
        <v>377</v>
      </c>
      <c r="AM464" s="14">
        <f t="shared" si="377"/>
        <v>377</v>
      </c>
      <c r="AQ464" s="14">
        <f t="shared" si="378"/>
        <v>0</v>
      </c>
      <c r="AT464" s="14">
        <f t="shared" si="379"/>
        <v>0</v>
      </c>
      <c r="AU464" s="16">
        <v>2118</v>
      </c>
      <c r="AV464" s="16">
        <v>31072</v>
      </c>
      <c r="AW464" s="16">
        <v>0</v>
      </c>
      <c r="AX464" s="16">
        <v>0</v>
      </c>
      <c r="AY464" s="18">
        <f t="shared" si="380"/>
        <v>1.5966431595261359</v>
      </c>
      <c r="AZ464" s="17">
        <f t="shared" si="381"/>
        <v>23.423463764304106</v>
      </c>
      <c r="BA464" s="17">
        <f t="shared" si="382"/>
        <v>0</v>
      </c>
      <c r="BB464" s="17">
        <f t="shared" si="383"/>
        <v>0</v>
      </c>
      <c r="BC464" s="17">
        <f t="shared" si="351"/>
        <v>0.1756458244426769</v>
      </c>
      <c r="BD464" s="17">
        <f t="shared" si="352"/>
        <v>0.28495331175678912</v>
      </c>
      <c r="BE464" s="17">
        <f t="shared" si="353"/>
        <v>3.9395926117486244</v>
      </c>
      <c r="BF464" s="17">
        <f t="shared" si="354"/>
        <v>0</v>
      </c>
      <c r="BG464" s="17">
        <f t="shared" si="355"/>
        <v>0</v>
      </c>
      <c r="BH464" s="17">
        <f t="shared" si="356"/>
        <v>0</v>
      </c>
      <c r="BI464" s="17">
        <f t="shared" si="357"/>
        <v>0</v>
      </c>
      <c r="BJ464" s="17">
        <f t="shared" si="358"/>
        <v>0</v>
      </c>
      <c r="BK464" s="17">
        <f t="shared" si="359"/>
        <v>0</v>
      </c>
      <c r="BL464" s="17">
        <f t="shared" si="360"/>
        <v>0</v>
      </c>
      <c r="BM464" s="17">
        <f t="shared" si="361"/>
        <v>0</v>
      </c>
      <c r="BN464" s="17">
        <f t="shared" si="362"/>
        <v>0</v>
      </c>
      <c r="BO464" s="17">
        <f t="shared" si="363"/>
        <v>0</v>
      </c>
      <c r="BP464" s="17">
        <f t="shared" si="364"/>
        <v>1.4360742298854057</v>
      </c>
      <c r="BQ464" s="17">
        <f t="shared" si="365"/>
        <v>0</v>
      </c>
      <c r="BR464" s="17">
        <f t="shared" si="366"/>
        <v>0.1756458244426769</v>
      </c>
      <c r="BS464" s="17">
        <f t="shared" si="367"/>
        <v>0</v>
      </c>
      <c r="BT464" s="17">
        <f t="shared" si="368"/>
        <v>0</v>
      </c>
      <c r="BU464" s="17">
        <f t="shared" si="369"/>
        <v>0</v>
      </c>
      <c r="BV464" s="17">
        <f t="shared" si="370"/>
        <v>0.26535334851425868</v>
      </c>
      <c r="BW464" s="17">
        <f t="shared" si="371"/>
        <v>2.0353807982627797E-2</v>
      </c>
      <c r="BX464" s="17">
        <f t="shared" si="372"/>
        <v>0</v>
      </c>
      <c r="BY464" s="17">
        <f t="shared" si="373"/>
        <v>0</v>
      </c>
      <c r="BZ464" s="17">
        <f t="shared" si="384"/>
        <v>0.6445372527832135</v>
      </c>
      <c r="CA464" s="17">
        <f t="shared" si="385"/>
        <v>0</v>
      </c>
      <c r="CB464" s="17">
        <f t="shared" si="386"/>
        <v>0</v>
      </c>
      <c r="CC464" s="17">
        <f t="shared" si="387"/>
        <v>0</v>
      </c>
      <c r="CD464" s="17">
        <f t="shared" si="388"/>
        <v>0</v>
      </c>
      <c r="CE464" s="17">
        <f t="shared" si="389"/>
        <v>0</v>
      </c>
      <c r="CF464" s="17">
        <f t="shared" si="390"/>
        <v>0.2841994670166918</v>
      </c>
      <c r="CG464" s="17">
        <f t="shared" si="391"/>
        <v>0</v>
      </c>
      <c r="CH464" s="17">
        <f t="shared" si="392"/>
        <v>0</v>
      </c>
      <c r="CI464" s="17">
        <f t="shared" si="393"/>
        <v>0</v>
      </c>
      <c r="CJ464" s="17">
        <f t="shared" si="394"/>
        <v>0</v>
      </c>
      <c r="CK464" s="17">
        <f t="shared" si="395"/>
        <v>0</v>
      </c>
      <c r="CL464" s="17">
        <f t="shared" si="396"/>
        <v>0</v>
      </c>
      <c r="CM464" s="14">
        <f t="shared" si="397"/>
        <v>31072</v>
      </c>
      <c r="CN464" s="17">
        <f t="shared" si="398"/>
        <v>23.423463764304106</v>
      </c>
      <c r="CO464" s="14">
        <f t="shared" si="399"/>
        <v>33190</v>
      </c>
      <c r="CP464" s="17">
        <f t="shared" si="400"/>
        <v>25.020106923830241</v>
      </c>
      <c r="CQ464" s="14">
        <f t="shared" si="374"/>
        <v>43180</v>
      </c>
      <c r="CR464" s="14">
        <v>30</v>
      </c>
      <c r="CS464" s="14">
        <v>51</v>
      </c>
      <c r="CT464" s="14">
        <v>0</v>
      </c>
      <c r="CU464" s="14">
        <v>0</v>
      </c>
    </row>
    <row r="465" spans="1:99" x14ac:dyDescent="0.3">
      <c r="A465" s="14">
        <v>2013</v>
      </c>
      <c r="B465" s="14" t="s">
        <v>85</v>
      </c>
      <c r="C465" s="14" t="s">
        <v>86</v>
      </c>
      <c r="D465" s="15">
        <v>485648.9</v>
      </c>
      <c r="E465" s="15">
        <v>13555421.500000011</v>
      </c>
      <c r="F465" s="15">
        <f t="shared" si="375"/>
        <v>27.911978180121505</v>
      </c>
      <c r="G465" s="14">
        <v>236</v>
      </c>
      <c r="H465" s="14">
        <v>394</v>
      </c>
      <c r="I465" s="14">
        <v>5334</v>
      </c>
      <c r="T465" s="14">
        <v>1885</v>
      </c>
      <c r="V465" s="14">
        <v>239</v>
      </c>
      <c r="Z465" s="14">
        <v>343</v>
      </c>
      <c r="AA465" s="14">
        <v>26</v>
      </c>
      <c r="AB465" s="14">
        <f t="shared" si="376"/>
        <v>26</v>
      </c>
      <c r="AE465" s="14">
        <v>845</v>
      </c>
      <c r="AK465" s="14">
        <v>419</v>
      </c>
      <c r="AM465" s="14">
        <f t="shared" si="377"/>
        <v>419</v>
      </c>
      <c r="AQ465" s="14">
        <f t="shared" si="378"/>
        <v>0</v>
      </c>
      <c r="AT465" s="14">
        <f t="shared" si="379"/>
        <v>0</v>
      </c>
      <c r="AU465" s="16">
        <v>2228</v>
      </c>
      <c r="AV465" s="16">
        <v>37444</v>
      </c>
      <c r="AW465" s="16">
        <v>0</v>
      </c>
      <c r="AX465" s="16">
        <v>0</v>
      </c>
      <c r="AY465" s="18">
        <f t="shared" si="380"/>
        <v>1.6436228117288705</v>
      </c>
      <c r="AZ465" s="17">
        <f t="shared" si="381"/>
        <v>27.622896123148934</v>
      </c>
      <c r="BA465" s="17">
        <f t="shared" si="382"/>
        <v>0</v>
      </c>
      <c r="BB465" s="17">
        <f t="shared" si="383"/>
        <v>0</v>
      </c>
      <c r="BC465" s="17">
        <f t="shared" si="351"/>
        <v>0.17410008239138841</v>
      </c>
      <c r="BD465" s="17">
        <f t="shared" si="352"/>
        <v>0.29065861212799593</v>
      </c>
      <c r="BE465" s="17">
        <f t="shared" si="353"/>
        <v>3.9349569469307877</v>
      </c>
      <c r="BF465" s="17">
        <f t="shared" si="354"/>
        <v>0</v>
      </c>
      <c r="BG465" s="17">
        <f t="shared" si="355"/>
        <v>0</v>
      </c>
      <c r="BH465" s="17">
        <f t="shared" si="356"/>
        <v>0</v>
      </c>
      <c r="BI465" s="17">
        <f t="shared" si="357"/>
        <v>0</v>
      </c>
      <c r="BJ465" s="17">
        <f t="shared" si="358"/>
        <v>0</v>
      </c>
      <c r="BK465" s="17">
        <f t="shared" si="359"/>
        <v>0</v>
      </c>
      <c r="BL465" s="17">
        <f t="shared" si="360"/>
        <v>0</v>
      </c>
      <c r="BM465" s="17">
        <f t="shared" si="361"/>
        <v>0</v>
      </c>
      <c r="BN465" s="17">
        <f t="shared" si="362"/>
        <v>0</v>
      </c>
      <c r="BO465" s="17">
        <f t="shared" si="363"/>
        <v>0</v>
      </c>
      <c r="BP465" s="17">
        <f t="shared" si="364"/>
        <v>1.3905875224905389</v>
      </c>
      <c r="BQ465" s="17">
        <f t="shared" si="365"/>
        <v>0</v>
      </c>
      <c r="BR465" s="17">
        <f t="shared" si="366"/>
        <v>0.17631321903195693</v>
      </c>
      <c r="BS465" s="17">
        <f t="shared" si="367"/>
        <v>0</v>
      </c>
      <c r="BT465" s="17">
        <f t="shared" si="368"/>
        <v>0</v>
      </c>
      <c r="BU465" s="17">
        <f t="shared" si="369"/>
        <v>0</v>
      </c>
      <c r="BV465" s="17">
        <f t="shared" si="370"/>
        <v>0.25303528923833146</v>
      </c>
      <c r="BW465" s="17">
        <f t="shared" si="371"/>
        <v>1.918051755159364E-2</v>
      </c>
      <c r="BX465" s="17">
        <f t="shared" si="372"/>
        <v>0</v>
      </c>
      <c r="BY465" s="17">
        <f t="shared" si="373"/>
        <v>0</v>
      </c>
      <c r="BZ465" s="17">
        <f t="shared" si="384"/>
        <v>0.62336682042679326</v>
      </c>
      <c r="CA465" s="17">
        <f t="shared" si="385"/>
        <v>0</v>
      </c>
      <c r="CB465" s="17">
        <f t="shared" si="386"/>
        <v>0</v>
      </c>
      <c r="CC465" s="17">
        <f t="shared" si="387"/>
        <v>0</v>
      </c>
      <c r="CD465" s="17">
        <f t="shared" si="388"/>
        <v>0</v>
      </c>
      <c r="CE465" s="17">
        <f t="shared" si="389"/>
        <v>0</v>
      </c>
      <c r="CF465" s="17">
        <f t="shared" si="390"/>
        <v>0.30910141746606673</v>
      </c>
      <c r="CG465" s="17">
        <f t="shared" si="391"/>
        <v>0</v>
      </c>
      <c r="CH465" s="17">
        <f t="shared" si="392"/>
        <v>0</v>
      </c>
      <c r="CI465" s="17">
        <f t="shared" si="393"/>
        <v>0</v>
      </c>
      <c r="CJ465" s="17">
        <f t="shared" si="394"/>
        <v>0</v>
      </c>
      <c r="CK465" s="17">
        <f t="shared" si="395"/>
        <v>0</v>
      </c>
      <c r="CL465" s="17">
        <f t="shared" si="396"/>
        <v>0</v>
      </c>
      <c r="CM465" s="14">
        <f t="shared" si="397"/>
        <v>37444</v>
      </c>
      <c r="CN465" s="17">
        <f t="shared" si="398"/>
        <v>27.622896123148934</v>
      </c>
      <c r="CO465" s="14">
        <f t="shared" si="399"/>
        <v>39672</v>
      </c>
      <c r="CP465" s="17">
        <f t="shared" si="400"/>
        <v>29.266518934877801</v>
      </c>
      <c r="CQ465" s="14">
        <f t="shared" si="374"/>
        <v>49838</v>
      </c>
      <c r="CR465" s="14">
        <v>0</v>
      </c>
      <c r="CS465" s="14">
        <v>0</v>
      </c>
      <c r="CT465" s="14">
        <v>0</v>
      </c>
      <c r="CU465" s="14">
        <v>0</v>
      </c>
    </row>
    <row r="466" spans="1:99" x14ac:dyDescent="0.3">
      <c r="A466" s="14">
        <v>2014</v>
      </c>
      <c r="B466" s="14" t="s">
        <v>85</v>
      </c>
      <c r="C466" s="14" t="s">
        <v>86</v>
      </c>
      <c r="D466" s="15">
        <v>485908.2</v>
      </c>
      <c r="E466" s="15">
        <v>13855753.000000004</v>
      </c>
      <c r="F466" s="15">
        <f t="shared" si="375"/>
        <v>28.515166033419487</v>
      </c>
      <c r="G466" s="14">
        <v>107</v>
      </c>
      <c r="H466" s="14">
        <v>193</v>
      </c>
      <c r="I466" s="14">
        <v>5218</v>
      </c>
      <c r="N466" s="14">
        <v>171</v>
      </c>
      <c r="R466" s="14">
        <v>111</v>
      </c>
      <c r="S466" s="14">
        <v>2052</v>
      </c>
      <c r="T466" s="14">
        <v>2052</v>
      </c>
      <c r="U466" s="14">
        <v>190</v>
      </c>
      <c r="V466" s="14">
        <v>312</v>
      </c>
      <c r="W466" s="14">
        <v>229</v>
      </c>
      <c r="Y466" s="14">
        <v>519</v>
      </c>
      <c r="AA466" s="14">
        <v>26</v>
      </c>
      <c r="AB466" s="14">
        <f t="shared" si="376"/>
        <v>26</v>
      </c>
      <c r="AE466" s="14">
        <v>819</v>
      </c>
      <c r="AI466" s="14">
        <v>145</v>
      </c>
      <c r="AJ466" s="14">
        <v>511</v>
      </c>
      <c r="AK466" s="14">
        <v>413</v>
      </c>
      <c r="AM466" s="14">
        <f t="shared" si="377"/>
        <v>413</v>
      </c>
      <c r="AQ466" s="14">
        <f t="shared" si="378"/>
        <v>0</v>
      </c>
      <c r="AT466" s="14">
        <f t="shared" si="379"/>
        <v>0</v>
      </c>
      <c r="AU466" s="16">
        <v>3561</v>
      </c>
      <c r="AV466" s="16">
        <v>44810</v>
      </c>
      <c r="AW466" s="16">
        <v>0</v>
      </c>
      <c r="AX466" s="16">
        <v>0</v>
      </c>
      <c r="AY466" s="18">
        <f t="shared" si="380"/>
        <v>2.5700515879577233</v>
      </c>
      <c r="AZ466" s="17">
        <f t="shared" si="381"/>
        <v>32.340357106539059</v>
      </c>
      <c r="BA466" s="17">
        <f t="shared" si="382"/>
        <v>0</v>
      </c>
      <c r="BB466" s="17">
        <f t="shared" si="383"/>
        <v>0</v>
      </c>
      <c r="BC466" s="17">
        <f t="shared" si="351"/>
        <v>7.7224240357055995E-2</v>
      </c>
      <c r="BD466" s="17">
        <f t="shared" si="352"/>
        <v>0.13929232139169914</v>
      </c>
      <c r="BE466" s="17">
        <f t="shared" si="353"/>
        <v>3.7659447306833478</v>
      </c>
      <c r="BF466" s="17">
        <f t="shared" si="354"/>
        <v>0</v>
      </c>
      <c r="BG466" s="17">
        <f t="shared" si="355"/>
        <v>0</v>
      </c>
      <c r="BH466" s="17">
        <f t="shared" si="356"/>
        <v>0</v>
      </c>
      <c r="BI466" s="17">
        <f t="shared" si="357"/>
        <v>0</v>
      </c>
      <c r="BJ466" s="17">
        <f t="shared" si="358"/>
        <v>0.12341444019679043</v>
      </c>
      <c r="BK466" s="17">
        <f t="shared" si="359"/>
        <v>0</v>
      </c>
      <c r="BL466" s="17">
        <f t="shared" si="360"/>
        <v>0</v>
      </c>
      <c r="BM466" s="17">
        <f t="shared" si="361"/>
        <v>0</v>
      </c>
      <c r="BN466" s="17">
        <f t="shared" si="362"/>
        <v>8.0111127847039401E-2</v>
      </c>
      <c r="BO466" s="17">
        <f t="shared" si="363"/>
        <v>1.4809732823614852</v>
      </c>
      <c r="BP466" s="17">
        <f t="shared" si="364"/>
        <v>1.4809732823614852</v>
      </c>
      <c r="BQ466" s="17">
        <f t="shared" si="365"/>
        <v>0.13712715577421158</v>
      </c>
      <c r="BR466" s="17">
        <f t="shared" si="366"/>
        <v>0.22517722421870534</v>
      </c>
      <c r="BS466" s="17">
        <f t="shared" si="367"/>
        <v>0.16527430880154975</v>
      </c>
      <c r="BT466" s="17">
        <f t="shared" si="368"/>
        <v>0</v>
      </c>
      <c r="BU466" s="17">
        <f t="shared" si="369"/>
        <v>0.37457365182534635</v>
      </c>
      <c r="BV466" s="17">
        <f t="shared" si="370"/>
        <v>0</v>
      </c>
      <c r="BW466" s="17">
        <f t="shared" si="371"/>
        <v>1.8764768684892113E-2</v>
      </c>
      <c r="BX466" s="17">
        <f t="shared" si="372"/>
        <v>0</v>
      </c>
      <c r="BY466" s="17">
        <f t="shared" si="373"/>
        <v>0</v>
      </c>
      <c r="BZ466" s="17">
        <f t="shared" si="384"/>
        <v>0.59109021357410152</v>
      </c>
      <c r="CA466" s="17">
        <f t="shared" si="385"/>
        <v>0</v>
      </c>
      <c r="CB466" s="17">
        <f t="shared" si="386"/>
        <v>0</v>
      </c>
      <c r="CC466" s="17">
        <f t="shared" si="387"/>
        <v>0</v>
      </c>
      <c r="CD466" s="17">
        <f t="shared" si="388"/>
        <v>0.10464967151189832</v>
      </c>
      <c r="CE466" s="17">
        <f t="shared" si="389"/>
        <v>0.36879987684537957</v>
      </c>
      <c r="CF466" s="17">
        <f t="shared" si="390"/>
        <v>0.29807113334078622</v>
      </c>
      <c r="CG466" s="17">
        <f t="shared" si="391"/>
        <v>0</v>
      </c>
      <c r="CH466" s="17">
        <f t="shared" si="392"/>
        <v>0</v>
      </c>
      <c r="CI466" s="17">
        <f t="shared" si="393"/>
        <v>0</v>
      </c>
      <c r="CJ466" s="17">
        <f t="shared" si="394"/>
        <v>0</v>
      </c>
      <c r="CK466" s="17">
        <f t="shared" si="395"/>
        <v>0</v>
      </c>
      <c r="CL466" s="17">
        <f t="shared" si="396"/>
        <v>0</v>
      </c>
      <c r="CM466" s="14">
        <f t="shared" si="397"/>
        <v>44810</v>
      </c>
      <c r="CN466" s="17">
        <f t="shared" si="398"/>
        <v>32.340357106539059</v>
      </c>
      <c r="CO466" s="14">
        <f t="shared" si="399"/>
        <v>48371</v>
      </c>
      <c r="CP466" s="17">
        <f t="shared" si="400"/>
        <v>34.91040869449678</v>
      </c>
      <c r="CQ466" s="14">
        <f t="shared" si="374"/>
        <v>61878</v>
      </c>
      <c r="CR466" s="14">
        <v>0</v>
      </c>
      <c r="CS466" s="14">
        <v>0</v>
      </c>
      <c r="CT466" s="14">
        <v>0</v>
      </c>
      <c r="CU466" s="14">
        <v>0</v>
      </c>
    </row>
    <row r="467" spans="1:99" x14ac:dyDescent="0.3">
      <c r="A467" s="14">
        <v>2015</v>
      </c>
      <c r="B467" s="14" t="s">
        <v>85</v>
      </c>
      <c r="C467" s="14" t="s">
        <v>86</v>
      </c>
      <c r="D467" s="15">
        <v>481447.2</v>
      </c>
      <c r="E467" s="15">
        <v>14154937</v>
      </c>
      <c r="F467" s="15">
        <f t="shared" si="375"/>
        <v>29.400808645267851</v>
      </c>
      <c r="G467" s="14">
        <v>66</v>
      </c>
      <c r="H467" s="14">
        <v>141</v>
      </c>
      <c r="I467" s="14">
        <v>8424</v>
      </c>
      <c r="M467" s="14">
        <v>11200</v>
      </c>
      <c r="N467" s="14">
        <v>261</v>
      </c>
      <c r="T467" s="14">
        <v>2494</v>
      </c>
      <c r="U467" s="14">
        <v>418</v>
      </c>
      <c r="V467" s="14">
        <v>511</v>
      </c>
      <c r="W467" s="14">
        <v>270</v>
      </c>
      <c r="Y467" s="14">
        <v>644</v>
      </c>
      <c r="AB467" s="14">
        <f t="shared" si="376"/>
        <v>0</v>
      </c>
      <c r="AJ467" s="14">
        <v>443</v>
      </c>
      <c r="AK467" s="14">
        <v>472</v>
      </c>
      <c r="AM467" s="14">
        <f t="shared" si="377"/>
        <v>472</v>
      </c>
      <c r="AQ467" s="14">
        <f t="shared" si="378"/>
        <v>0</v>
      </c>
      <c r="AT467" s="14">
        <f t="shared" si="379"/>
        <v>0</v>
      </c>
      <c r="AU467" s="16">
        <v>5462</v>
      </c>
      <c r="AV467" s="16">
        <v>41532</v>
      </c>
      <c r="AW467" s="16">
        <v>0</v>
      </c>
      <c r="AX467" s="16">
        <v>0</v>
      </c>
      <c r="AY467" s="18">
        <f t="shared" si="380"/>
        <v>3.858724344728627</v>
      </c>
      <c r="AZ467" s="17">
        <f t="shared" si="381"/>
        <v>29.340999539595266</v>
      </c>
      <c r="BA467" s="17">
        <f t="shared" si="382"/>
        <v>0</v>
      </c>
      <c r="BB467" s="17">
        <f t="shared" si="383"/>
        <v>0</v>
      </c>
      <c r="BC467" s="17">
        <f t="shared" si="351"/>
        <v>4.6626841221546943E-2</v>
      </c>
      <c r="BD467" s="17">
        <f t="shared" si="352"/>
        <v>9.9611888064213922E-2</v>
      </c>
      <c r="BE467" s="17">
        <f t="shared" si="353"/>
        <v>5.9512804613683548</v>
      </c>
      <c r="BF467" s="17">
        <f t="shared" si="354"/>
        <v>0</v>
      </c>
      <c r="BG467" s="17">
        <f t="shared" si="355"/>
        <v>0</v>
      </c>
      <c r="BH467" s="17">
        <f t="shared" si="356"/>
        <v>0</v>
      </c>
      <c r="BI467" s="17">
        <f t="shared" si="357"/>
        <v>7.9124336618382687</v>
      </c>
      <c r="BJ467" s="17">
        <f t="shared" si="358"/>
        <v>0.18438796301248109</v>
      </c>
      <c r="BK467" s="17">
        <f t="shared" si="359"/>
        <v>0</v>
      </c>
      <c r="BL467" s="17">
        <f t="shared" si="360"/>
        <v>0</v>
      </c>
      <c r="BM467" s="17">
        <f t="shared" si="361"/>
        <v>0</v>
      </c>
      <c r="BN467" s="17">
        <f t="shared" si="362"/>
        <v>0</v>
      </c>
      <c r="BO467" s="17">
        <f t="shared" si="363"/>
        <v>0</v>
      </c>
      <c r="BP467" s="17">
        <f t="shared" si="364"/>
        <v>1.761929424341486</v>
      </c>
      <c r="BQ467" s="17">
        <f t="shared" si="365"/>
        <v>0.29530332773646395</v>
      </c>
      <c r="BR467" s="17">
        <f t="shared" si="366"/>
        <v>0.36100478582137102</v>
      </c>
      <c r="BS467" s="17">
        <f t="shared" si="367"/>
        <v>0.19074616863360114</v>
      </c>
      <c r="BT467" s="17">
        <f t="shared" si="368"/>
        <v>0</v>
      </c>
      <c r="BU467" s="17">
        <f t="shared" si="369"/>
        <v>0.45496493555570044</v>
      </c>
      <c r="BV467" s="17">
        <f t="shared" si="370"/>
        <v>0</v>
      </c>
      <c r="BW467" s="17">
        <f t="shared" si="371"/>
        <v>0</v>
      </c>
      <c r="BX467" s="17">
        <f t="shared" si="372"/>
        <v>0</v>
      </c>
      <c r="BY467" s="17">
        <f t="shared" si="373"/>
        <v>0</v>
      </c>
      <c r="BZ467" s="17">
        <f t="shared" si="384"/>
        <v>0</v>
      </c>
      <c r="CA467" s="17">
        <f t="shared" si="385"/>
        <v>0</v>
      </c>
      <c r="CB467" s="17">
        <f t="shared" si="386"/>
        <v>0</v>
      </c>
      <c r="CC467" s="17">
        <f t="shared" si="387"/>
        <v>0</v>
      </c>
      <c r="CD467" s="17">
        <f t="shared" si="388"/>
        <v>0</v>
      </c>
      <c r="CE467" s="17">
        <f t="shared" si="389"/>
        <v>0.31296501001735294</v>
      </c>
      <c r="CF467" s="17">
        <f t="shared" si="390"/>
        <v>0.33345256146318419</v>
      </c>
      <c r="CG467" s="17">
        <f t="shared" si="391"/>
        <v>0</v>
      </c>
      <c r="CH467" s="17">
        <f t="shared" si="392"/>
        <v>0</v>
      </c>
      <c r="CI467" s="17">
        <f t="shared" si="393"/>
        <v>0</v>
      </c>
      <c r="CJ467" s="17">
        <f t="shared" si="394"/>
        <v>0</v>
      </c>
      <c r="CK467" s="17">
        <f t="shared" si="395"/>
        <v>0</v>
      </c>
      <c r="CL467" s="17">
        <f t="shared" si="396"/>
        <v>0</v>
      </c>
      <c r="CM467" s="14">
        <f t="shared" si="397"/>
        <v>41532</v>
      </c>
      <c r="CN467" s="17">
        <f t="shared" si="398"/>
        <v>29.340999539595266</v>
      </c>
      <c r="CO467" s="14">
        <f t="shared" si="399"/>
        <v>46994</v>
      </c>
      <c r="CP467" s="17">
        <f t="shared" si="400"/>
        <v>33.199723884323895</v>
      </c>
      <c r="CQ467" s="14">
        <f t="shared" si="374"/>
        <v>72810</v>
      </c>
      <c r="CR467" s="14">
        <v>236</v>
      </c>
      <c r="CS467" s="14">
        <v>394</v>
      </c>
      <c r="CT467" s="14">
        <v>845</v>
      </c>
      <c r="CU467" s="14">
        <v>1885</v>
      </c>
    </row>
    <row r="468" spans="1:99" x14ac:dyDescent="0.3">
      <c r="A468" s="14">
        <v>2016</v>
      </c>
      <c r="B468" s="14" t="s">
        <v>85</v>
      </c>
      <c r="C468" s="14" t="s">
        <v>86</v>
      </c>
      <c r="D468" s="15">
        <v>478618.1</v>
      </c>
      <c r="E468" s="15">
        <v>14452704.499999994</v>
      </c>
      <c r="F468" s="15">
        <f t="shared" si="375"/>
        <v>30.196736186951547</v>
      </c>
      <c r="G468" s="14">
        <v>136</v>
      </c>
      <c r="H468" s="14">
        <v>219</v>
      </c>
      <c r="I468" s="14">
        <v>9368</v>
      </c>
      <c r="N468" s="14">
        <v>157</v>
      </c>
      <c r="P468" s="14">
        <v>3</v>
      </c>
      <c r="R468" s="14">
        <v>117</v>
      </c>
      <c r="T468" s="14">
        <v>1843</v>
      </c>
      <c r="U468" s="14">
        <v>52</v>
      </c>
      <c r="V468" s="14">
        <v>320</v>
      </c>
      <c r="W468" s="14">
        <v>257</v>
      </c>
      <c r="Y468" s="14">
        <v>600</v>
      </c>
      <c r="AA468" s="14">
        <v>17</v>
      </c>
      <c r="AB468" s="14">
        <f t="shared" si="376"/>
        <v>17</v>
      </c>
      <c r="AC468" s="14">
        <v>678</v>
      </c>
      <c r="AE468" s="14">
        <v>58</v>
      </c>
      <c r="AF468" s="14">
        <v>13</v>
      </c>
      <c r="AI468" s="14">
        <v>130</v>
      </c>
      <c r="AJ468" s="14">
        <v>540</v>
      </c>
      <c r="AK468" s="14">
        <v>432</v>
      </c>
      <c r="AM468" s="14">
        <f t="shared" si="377"/>
        <v>432</v>
      </c>
      <c r="AQ468" s="14">
        <f t="shared" si="378"/>
        <v>0</v>
      </c>
      <c r="AT468" s="14">
        <f t="shared" si="379"/>
        <v>0</v>
      </c>
      <c r="AU468" s="16">
        <v>5458</v>
      </c>
      <c r="AV468" s="16">
        <v>42747</v>
      </c>
      <c r="AW468" s="16">
        <v>0</v>
      </c>
      <c r="AX468" s="16">
        <v>551</v>
      </c>
      <c r="AY468" s="18">
        <f t="shared" si="380"/>
        <v>3.7764558183556596</v>
      </c>
      <c r="AZ468" s="17">
        <f t="shared" si="381"/>
        <v>29.57716322228827</v>
      </c>
      <c r="BA468" s="17">
        <f t="shared" si="382"/>
        <v>0</v>
      </c>
      <c r="BB468" s="17">
        <f t="shared" si="383"/>
        <v>0.38124352435213782</v>
      </c>
      <c r="BC468" s="17">
        <f t="shared" si="351"/>
        <v>9.4100035048803529E-2</v>
      </c>
      <c r="BD468" s="17">
        <f t="shared" si="352"/>
        <v>0.15152873290947039</v>
      </c>
      <c r="BE468" s="17">
        <f t="shared" si="353"/>
        <v>6.4818318260087606</v>
      </c>
      <c r="BF468" s="17">
        <f t="shared" si="354"/>
        <v>0</v>
      </c>
      <c r="BG468" s="17">
        <f t="shared" si="355"/>
        <v>0</v>
      </c>
      <c r="BH468" s="17">
        <f t="shared" si="356"/>
        <v>0</v>
      </c>
      <c r="BI468" s="17">
        <f t="shared" si="357"/>
        <v>0</v>
      </c>
      <c r="BJ468" s="17">
        <f t="shared" si="358"/>
        <v>0.10863018751957466</v>
      </c>
      <c r="BK468" s="17">
        <f t="shared" si="359"/>
        <v>0</v>
      </c>
      <c r="BL468" s="17">
        <f t="shared" si="360"/>
        <v>2.075736067253019E-3</v>
      </c>
      <c r="BM468" s="17">
        <f t="shared" si="361"/>
        <v>0</v>
      </c>
      <c r="BN468" s="17">
        <f t="shared" si="362"/>
        <v>8.0953706622867744E-2</v>
      </c>
      <c r="BO468" s="17">
        <f t="shared" si="363"/>
        <v>0</v>
      </c>
      <c r="BP468" s="17">
        <f t="shared" si="364"/>
        <v>1.2751938573157713</v>
      </c>
      <c r="BQ468" s="17">
        <f t="shared" si="365"/>
        <v>3.5979425165718996E-2</v>
      </c>
      <c r="BR468" s="17">
        <f t="shared" si="366"/>
        <v>0.22141184717365536</v>
      </c>
      <c r="BS468" s="17">
        <f t="shared" si="367"/>
        <v>0.17782138976134196</v>
      </c>
      <c r="BT468" s="17">
        <f t="shared" si="368"/>
        <v>0</v>
      </c>
      <c r="BU468" s="17">
        <f t="shared" si="369"/>
        <v>0.41514721345060379</v>
      </c>
      <c r="BV468" s="17">
        <f t="shared" si="370"/>
        <v>0</v>
      </c>
      <c r="BW468" s="17">
        <f t="shared" si="371"/>
        <v>1.1762504381100441E-2</v>
      </c>
      <c r="BX468" s="17">
        <f t="shared" si="372"/>
        <v>0.46911635119918232</v>
      </c>
      <c r="BY468" s="17">
        <f t="shared" si="373"/>
        <v>0</v>
      </c>
      <c r="BZ468" s="17">
        <f t="shared" si="384"/>
        <v>4.0130897300225038E-2</v>
      </c>
      <c r="CA468" s="17">
        <f t="shared" si="385"/>
        <v>8.9948562914297491E-3</v>
      </c>
      <c r="CB468" s="17">
        <f t="shared" si="386"/>
        <v>0</v>
      </c>
      <c r="CC468" s="17">
        <f t="shared" si="387"/>
        <v>0</v>
      </c>
      <c r="CD468" s="17">
        <f t="shared" si="388"/>
        <v>8.9948562914297495E-2</v>
      </c>
      <c r="CE468" s="17">
        <f t="shared" si="389"/>
        <v>0.37363249210554345</v>
      </c>
      <c r="CF468" s="17">
        <f t="shared" si="390"/>
        <v>0.29890599368443477</v>
      </c>
      <c r="CG468" s="17">
        <f t="shared" si="391"/>
        <v>0</v>
      </c>
      <c r="CH468" s="17">
        <f t="shared" si="392"/>
        <v>0</v>
      </c>
      <c r="CI468" s="17">
        <f t="shared" si="393"/>
        <v>0</v>
      </c>
      <c r="CJ468" s="17">
        <f t="shared" si="394"/>
        <v>0</v>
      </c>
      <c r="CK468" s="17">
        <f t="shared" si="395"/>
        <v>0</v>
      </c>
      <c r="CL468" s="17">
        <f t="shared" si="396"/>
        <v>0</v>
      </c>
      <c r="CM468" s="14">
        <f t="shared" si="397"/>
        <v>42747</v>
      </c>
      <c r="CN468" s="17">
        <f t="shared" si="398"/>
        <v>29.57716322228827</v>
      </c>
      <c r="CO468" s="14">
        <f t="shared" si="399"/>
        <v>48205</v>
      </c>
      <c r="CP468" s="17">
        <f t="shared" si="400"/>
        <v>33.353619040643927</v>
      </c>
      <c r="CQ468" s="14">
        <f t="shared" si="374"/>
        <v>64145</v>
      </c>
      <c r="CR468" s="14">
        <v>0</v>
      </c>
      <c r="CS468" s="14">
        <v>0</v>
      </c>
      <c r="CT468" s="14">
        <v>0</v>
      </c>
      <c r="CU468" s="14">
        <v>0</v>
      </c>
    </row>
    <row r="469" spans="1:99" x14ac:dyDescent="0.3">
      <c r="A469" s="14">
        <v>2017</v>
      </c>
      <c r="B469" s="14" t="s">
        <v>85</v>
      </c>
      <c r="C469" s="14" t="s">
        <v>86</v>
      </c>
      <c r="D469" s="15">
        <v>478807.6</v>
      </c>
      <c r="E469" s="15">
        <v>14751100.999999998</v>
      </c>
      <c r="F469" s="15">
        <f t="shared" si="375"/>
        <v>30.807992604962827</v>
      </c>
      <c r="G469" s="14">
        <v>109</v>
      </c>
      <c r="H469" s="14">
        <v>272</v>
      </c>
      <c r="I469" s="14">
        <v>11460</v>
      </c>
      <c r="M469" s="14">
        <v>15000</v>
      </c>
      <c r="N469" s="14">
        <v>276</v>
      </c>
      <c r="T469" s="14">
        <v>2036</v>
      </c>
      <c r="V469" s="14">
        <v>417</v>
      </c>
      <c r="W469" s="14">
        <v>451</v>
      </c>
      <c r="Y469" s="14">
        <v>781</v>
      </c>
      <c r="AB469" s="14">
        <f t="shared" si="376"/>
        <v>0</v>
      </c>
      <c r="AC469" s="14">
        <v>605</v>
      </c>
      <c r="AF469" s="14">
        <v>20</v>
      </c>
      <c r="AG469" s="14">
        <v>1733</v>
      </c>
      <c r="AI469" s="14">
        <v>174</v>
      </c>
      <c r="AJ469" s="14">
        <v>726</v>
      </c>
      <c r="AK469" s="14">
        <v>503</v>
      </c>
      <c r="AM469" s="14">
        <f t="shared" si="377"/>
        <v>503</v>
      </c>
      <c r="AQ469" s="14">
        <f t="shared" si="378"/>
        <v>0</v>
      </c>
      <c r="AS469" s="14">
        <v>596</v>
      </c>
      <c r="AT469" s="14">
        <f t="shared" si="379"/>
        <v>596</v>
      </c>
      <c r="AU469" s="16">
        <v>5734</v>
      </c>
      <c r="AV469" s="16">
        <v>59965</v>
      </c>
      <c r="AW469" s="16">
        <v>17612</v>
      </c>
      <c r="AX469" s="16">
        <v>607</v>
      </c>
      <c r="AY469" s="18">
        <f t="shared" si="380"/>
        <v>3.8871674731262438</v>
      </c>
      <c r="AZ469" s="17">
        <f t="shared" si="381"/>
        <v>40.65120291698905</v>
      </c>
      <c r="BA469" s="17">
        <f t="shared" si="382"/>
        <v>11.939447774101744</v>
      </c>
      <c r="BB469" s="17">
        <f t="shared" si="383"/>
        <v>0.411494708089925</v>
      </c>
      <c r="BC469" s="17">
        <f t="shared" si="351"/>
        <v>7.3892789426362154E-2</v>
      </c>
      <c r="BD469" s="17">
        <f t="shared" si="352"/>
        <v>0.18439301581624315</v>
      </c>
      <c r="BE469" s="17">
        <f t="shared" si="353"/>
        <v>7.7689116222578924</v>
      </c>
      <c r="BF469" s="17">
        <f t="shared" si="354"/>
        <v>0</v>
      </c>
      <c r="BG469" s="17">
        <f t="shared" si="355"/>
        <v>0</v>
      </c>
      <c r="BH469" s="17">
        <f t="shared" si="356"/>
        <v>0</v>
      </c>
      <c r="BI469" s="17">
        <f t="shared" si="357"/>
        <v>10.16873248986635</v>
      </c>
      <c r="BJ469" s="17">
        <f t="shared" si="358"/>
        <v>0.18710467781354087</v>
      </c>
      <c r="BK469" s="17">
        <f t="shared" si="359"/>
        <v>0</v>
      </c>
      <c r="BL469" s="17">
        <f t="shared" si="360"/>
        <v>0</v>
      </c>
      <c r="BM469" s="17">
        <f t="shared" si="361"/>
        <v>0</v>
      </c>
      <c r="BN469" s="17">
        <f t="shared" si="362"/>
        <v>0</v>
      </c>
      <c r="BO469" s="17">
        <f t="shared" si="363"/>
        <v>0</v>
      </c>
      <c r="BP469" s="17">
        <f t="shared" si="364"/>
        <v>1.3802359566245261</v>
      </c>
      <c r="BQ469" s="17">
        <f t="shared" si="365"/>
        <v>0</v>
      </c>
      <c r="BR469" s="17">
        <f t="shared" si="366"/>
        <v>0.28269076321828457</v>
      </c>
      <c r="BS469" s="17">
        <f t="shared" si="367"/>
        <v>0.30573989019531495</v>
      </c>
      <c r="BT469" s="17">
        <f t="shared" si="368"/>
        <v>0</v>
      </c>
      <c r="BU469" s="17">
        <f t="shared" si="369"/>
        <v>0.52945200497237466</v>
      </c>
      <c r="BV469" s="17">
        <f t="shared" si="370"/>
        <v>0</v>
      </c>
      <c r="BW469" s="17">
        <f t="shared" si="371"/>
        <v>0</v>
      </c>
      <c r="BX469" s="17">
        <f t="shared" si="372"/>
        <v>0.41013887709127617</v>
      </c>
      <c r="BY469" s="17">
        <f t="shared" si="373"/>
        <v>0</v>
      </c>
      <c r="BZ469" s="17">
        <f t="shared" si="384"/>
        <v>0</v>
      </c>
      <c r="CA469" s="17">
        <f t="shared" si="385"/>
        <v>1.3558309986488468E-2</v>
      </c>
      <c r="CB469" s="17">
        <f t="shared" si="386"/>
        <v>1.1748275603292258</v>
      </c>
      <c r="CC469" s="17">
        <f t="shared" si="387"/>
        <v>0</v>
      </c>
      <c r="CD469" s="17">
        <f t="shared" si="388"/>
        <v>0.11795729688244967</v>
      </c>
      <c r="CE469" s="17">
        <f t="shared" si="389"/>
        <v>0.4921666525095314</v>
      </c>
      <c r="CF469" s="17">
        <f t="shared" si="390"/>
        <v>0.34099149616018498</v>
      </c>
      <c r="CG469" s="17">
        <f t="shared" si="391"/>
        <v>0</v>
      </c>
      <c r="CH469" s="17">
        <f t="shared" si="392"/>
        <v>0</v>
      </c>
      <c r="CI469" s="17">
        <f t="shared" si="393"/>
        <v>0</v>
      </c>
      <c r="CJ469" s="17">
        <f t="shared" si="394"/>
        <v>0</v>
      </c>
      <c r="CK469" s="17">
        <f t="shared" si="395"/>
        <v>0</v>
      </c>
      <c r="CL469" s="17">
        <f t="shared" si="396"/>
        <v>0.40403763759735634</v>
      </c>
      <c r="CM469" s="14">
        <f t="shared" si="397"/>
        <v>77577</v>
      </c>
      <c r="CN469" s="17">
        <f t="shared" si="398"/>
        <v>52.590650691090794</v>
      </c>
      <c r="CO469" s="14">
        <f t="shared" si="399"/>
        <v>83311</v>
      </c>
      <c r="CP469" s="17">
        <f t="shared" si="400"/>
        <v>56.477818164217041</v>
      </c>
      <c r="CQ469" s="14">
        <f t="shared" si="374"/>
        <v>120176</v>
      </c>
      <c r="CR469" s="14">
        <v>0</v>
      </c>
      <c r="CS469" s="14">
        <v>0</v>
      </c>
      <c r="CT469" s="14">
        <v>0</v>
      </c>
      <c r="CU469" s="14">
        <v>0</v>
      </c>
    </row>
    <row r="470" spans="1:99" x14ac:dyDescent="0.3">
      <c r="A470" s="14">
        <v>2018</v>
      </c>
      <c r="B470" s="14" t="s">
        <v>85</v>
      </c>
      <c r="C470" s="14" t="s">
        <v>86</v>
      </c>
      <c r="D470" s="15">
        <v>481109.7</v>
      </c>
      <c r="E470" s="15">
        <v>15052184.000000007</v>
      </c>
      <c r="F470" s="15">
        <f t="shared" si="375"/>
        <v>31.28638645198799</v>
      </c>
      <c r="G470" s="14">
        <v>104</v>
      </c>
      <c r="H470" s="14">
        <v>1397</v>
      </c>
      <c r="I470" s="14">
        <v>12259</v>
      </c>
      <c r="J470" s="14">
        <v>419</v>
      </c>
      <c r="M470" s="14">
        <v>15888</v>
      </c>
      <c r="N470" s="14">
        <v>508</v>
      </c>
      <c r="O470" s="14">
        <v>14</v>
      </c>
      <c r="P470" s="14">
        <v>3</v>
      </c>
      <c r="R470" s="14">
        <v>80</v>
      </c>
      <c r="T470" s="14">
        <v>2305</v>
      </c>
      <c r="U470" s="14">
        <v>10</v>
      </c>
      <c r="V470" s="14">
        <v>480</v>
      </c>
      <c r="W470" s="14">
        <v>414</v>
      </c>
      <c r="X470" s="14">
        <v>164</v>
      </c>
      <c r="Y470" s="14">
        <v>1126</v>
      </c>
      <c r="Z470" s="14">
        <v>644</v>
      </c>
      <c r="AA470" s="14">
        <v>26</v>
      </c>
      <c r="AB470" s="14">
        <f t="shared" si="376"/>
        <v>40</v>
      </c>
      <c r="AC470" s="14">
        <v>703</v>
      </c>
      <c r="AE470" s="14">
        <v>56</v>
      </c>
      <c r="AF470" s="14">
        <v>20</v>
      </c>
      <c r="AJ470" s="14">
        <v>1827</v>
      </c>
      <c r="AK470" s="14">
        <v>439</v>
      </c>
      <c r="AL470" s="14">
        <v>249</v>
      </c>
      <c r="AM470" s="14">
        <f t="shared" si="377"/>
        <v>688</v>
      </c>
      <c r="AP470" s="14">
        <v>12</v>
      </c>
      <c r="AQ470" s="14">
        <f t="shared" si="378"/>
        <v>12</v>
      </c>
      <c r="AS470" s="14">
        <v>1215</v>
      </c>
      <c r="AT470" s="14">
        <f t="shared" si="379"/>
        <v>1215</v>
      </c>
      <c r="AU470" s="16">
        <v>6665</v>
      </c>
      <c r="AV470" s="16">
        <v>67752</v>
      </c>
      <c r="AW470" s="16">
        <v>0</v>
      </c>
      <c r="AX470" s="16">
        <v>2021</v>
      </c>
      <c r="AY470" s="18">
        <f t="shared" si="380"/>
        <v>4.4279288640106955</v>
      </c>
      <c r="AZ470" s="17">
        <f t="shared" si="381"/>
        <v>45.01140831124571</v>
      </c>
      <c r="BA470" s="17">
        <f t="shared" si="382"/>
        <v>0</v>
      </c>
      <c r="BB470" s="17">
        <f t="shared" si="383"/>
        <v>1.3426623007000174</v>
      </c>
      <c r="BC470" s="17">
        <f t="shared" si="351"/>
        <v>6.9092963519446715E-2</v>
      </c>
      <c r="BD470" s="17">
        <f t="shared" si="352"/>
        <v>0.92810451958333706</v>
      </c>
      <c r="BE470" s="17">
        <f t="shared" si="353"/>
        <v>8.1443330748547815</v>
      </c>
      <c r="BF470" s="17">
        <f t="shared" si="354"/>
        <v>0.27836492033315552</v>
      </c>
      <c r="BG470" s="17">
        <f t="shared" si="355"/>
        <v>0</v>
      </c>
      <c r="BH470" s="17">
        <f t="shared" si="356"/>
        <v>0</v>
      </c>
      <c r="BI470" s="17">
        <f t="shared" si="357"/>
        <v>10.555278888432397</v>
      </c>
      <c r="BJ470" s="17">
        <f t="shared" si="358"/>
        <v>0.33749255257575894</v>
      </c>
      <c r="BK470" s="17">
        <f t="shared" si="359"/>
        <v>9.3009758583870571E-3</v>
      </c>
      <c r="BL470" s="17">
        <f t="shared" si="360"/>
        <v>1.993066255368655E-3</v>
      </c>
      <c r="BM470" s="17">
        <f t="shared" si="361"/>
        <v>0</v>
      </c>
      <c r="BN470" s="17">
        <f t="shared" si="362"/>
        <v>5.3148433476497468E-2</v>
      </c>
      <c r="BO470" s="17">
        <f t="shared" si="363"/>
        <v>0</v>
      </c>
      <c r="BP470" s="17">
        <f t="shared" si="364"/>
        <v>1.5313392395415835</v>
      </c>
      <c r="BQ470" s="17">
        <f t="shared" si="365"/>
        <v>6.6435541845621835E-3</v>
      </c>
      <c r="BR470" s="17">
        <f t="shared" si="366"/>
        <v>0.3188906008589848</v>
      </c>
      <c r="BS470" s="17">
        <f t="shared" si="367"/>
        <v>0.27504314324087442</v>
      </c>
      <c r="BT470" s="17">
        <f t="shared" si="368"/>
        <v>0.10895428862681981</v>
      </c>
      <c r="BU470" s="17">
        <f t="shared" si="369"/>
        <v>0.74806420118170192</v>
      </c>
      <c r="BV470" s="17">
        <f t="shared" si="370"/>
        <v>0.42784488948580462</v>
      </c>
      <c r="BW470" s="17">
        <f t="shared" si="371"/>
        <v>1.7273240879861679E-2</v>
      </c>
      <c r="BX470" s="17">
        <f t="shared" si="372"/>
        <v>0.46704185917472152</v>
      </c>
      <c r="BY470" s="17">
        <f t="shared" si="373"/>
        <v>0</v>
      </c>
      <c r="BZ470" s="17">
        <f t="shared" si="384"/>
        <v>3.7203903433548229E-2</v>
      </c>
      <c r="CA470" s="17">
        <f t="shared" si="385"/>
        <v>1.3287108369124367E-2</v>
      </c>
      <c r="CB470" s="17">
        <f t="shared" si="386"/>
        <v>0</v>
      </c>
      <c r="CC470" s="17">
        <f t="shared" si="387"/>
        <v>0</v>
      </c>
      <c r="CD470" s="17">
        <f t="shared" si="388"/>
        <v>0</v>
      </c>
      <c r="CE470" s="17">
        <f t="shared" si="389"/>
        <v>1.213777349519511</v>
      </c>
      <c r="CF470" s="17">
        <f t="shared" si="390"/>
        <v>0.29165202870227985</v>
      </c>
      <c r="CG470" s="17">
        <f t="shared" si="391"/>
        <v>0.16542449919559837</v>
      </c>
      <c r="CH470" s="17">
        <f t="shared" si="392"/>
        <v>0</v>
      </c>
      <c r="CI470" s="17">
        <f t="shared" si="393"/>
        <v>0</v>
      </c>
      <c r="CJ470" s="17">
        <f t="shared" si="394"/>
        <v>7.9722650214746199E-3</v>
      </c>
      <c r="CK470" s="17">
        <f t="shared" si="395"/>
        <v>0</v>
      </c>
      <c r="CL470" s="17">
        <f t="shared" si="396"/>
        <v>0.80719183342430534</v>
      </c>
      <c r="CM470" s="14">
        <f t="shared" si="397"/>
        <v>67752</v>
      </c>
      <c r="CN470" s="17">
        <f t="shared" si="398"/>
        <v>45.01140831124571</v>
      </c>
      <c r="CO470" s="14">
        <f t="shared" si="399"/>
        <v>74417</v>
      </c>
      <c r="CP470" s="17">
        <f t="shared" si="400"/>
        <v>49.439337175256405</v>
      </c>
      <c r="CQ470" s="14">
        <f t="shared" si="374"/>
        <v>118755</v>
      </c>
      <c r="CR470" s="14">
        <v>0</v>
      </c>
      <c r="CS470" s="14">
        <v>0</v>
      </c>
      <c r="CT470" s="14">
        <v>0</v>
      </c>
      <c r="CU470" s="14">
        <v>0</v>
      </c>
    </row>
    <row r="471" spans="1:99" x14ac:dyDescent="0.3">
      <c r="A471" s="14">
        <v>2019</v>
      </c>
      <c r="B471" s="14" t="s">
        <v>85</v>
      </c>
      <c r="C471" s="14" t="s">
        <v>86</v>
      </c>
      <c r="D471" s="15">
        <v>483729.8</v>
      </c>
      <c r="E471" s="15">
        <v>15354607.5</v>
      </c>
      <c r="F471" s="15">
        <f t="shared" si="375"/>
        <v>31.742116156581631</v>
      </c>
      <c r="G471" s="14">
        <v>248</v>
      </c>
      <c r="N471" s="14">
        <v>329</v>
      </c>
      <c r="O471" s="14">
        <v>25</v>
      </c>
      <c r="AB471" s="14">
        <f t="shared" si="376"/>
        <v>25</v>
      </c>
      <c r="AM471" s="14">
        <f t="shared" si="377"/>
        <v>0</v>
      </c>
      <c r="AQ471" s="14">
        <f t="shared" si="378"/>
        <v>0</v>
      </c>
      <c r="AT471" s="14">
        <f t="shared" si="379"/>
        <v>0</v>
      </c>
      <c r="AU471" s="16">
        <v>0</v>
      </c>
      <c r="AV471" s="16">
        <v>0</v>
      </c>
      <c r="AW471" s="16">
        <v>0</v>
      </c>
      <c r="AX471" s="16">
        <v>0</v>
      </c>
      <c r="AY471" s="18">
        <f t="shared" si="380"/>
        <v>0</v>
      </c>
      <c r="AZ471" s="17">
        <f t="shared" si="381"/>
        <v>0</v>
      </c>
      <c r="BA471" s="17">
        <f t="shared" si="382"/>
        <v>0</v>
      </c>
      <c r="BB471" s="17">
        <f t="shared" si="383"/>
        <v>0</v>
      </c>
      <c r="BC471" s="17">
        <f t="shared" si="351"/>
        <v>0.16151503709879916</v>
      </c>
      <c r="BD471" s="17">
        <f t="shared" si="352"/>
        <v>0</v>
      </c>
      <c r="BE471" s="17">
        <f t="shared" si="353"/>
        <v>0</v>
      </c>
      <c r="BF471" s="17">
        <f t="shared" si="354"/>
        <v>0</v>
      </c>
      <c r="BG471" s="17">
        <f t="shared" si="355"/>
        <v>0</v>
      </c>
      <c r="BH471" s="17">
        <f t="shared" si="356"/>
        <v>0</v>
      </c>
      <c r="BI471" s="17">
        <f t="shared" si="357"/>
        <v>0</v>
      </c>
      <c r="BJ471" s="17">
        <f t="shared" si="358"/>
        <v>0.21426793228026181</v>
      </c>
      <c r="BK471" s="17">
        <f t="shared" si="359"/>
        <v>1.6281757772056368E-2</v>
      </c>
      <c r="BL471" s="17">
        <f t="shared" si="360"/>
        <v>0</v>
      </c>
      <c r="BM471" s="17">
        <f t="shared" si="361"/>
        <v>0</v>
      </c>
      <c r="BN471" s="17">
        <f t="shared" si="362"/>
        <v>0</v>
      </c>
      <c r="BO471" s="17">
        <f t="shared" si="363"/>
        <v>0</v>
      </c>
      <c r="BP471" s="17">
        <f t="shared" si="364"/>
        <v>0</v>
      </c>
      <c r="BQ471" s="17">
        <f t="shared" si="365"/>
        <v>0</v>
      </c>
      <c r="BR471" s="17">
        <f t="shared" si="366"/>
        <v>0</v>
      </c>
      <c r="BS471" s="17">
        <f t="shared" si="367"/>
        <v>0</v>
      </c>
      <c r="BT471" s="17">
        <f t="shared" si="368"/>
        <v>0</v>
      </c>
      <c r="BU471" s="17">
        <f t="shared" si="369"/>
        <v>0</v>
      </c>
      <c r="BV471" s="17">
        <f t="shared" si="370"/>
        <v>0</v>
      </c>
      <c r="BW471" s="17">
        <f t="shared" si="371"/>
        <v>0</v>
      </c>
      <c r="BX471" s="17">
        <f t="shared" si="372"/>
        <v>0</v>
      </c>
      <c r="BY471" s="17">
        <f t="shared" si="373"/>
        <v>0</v>
      </c>
      <c r="BZ471" s="17">
        <f t="shared" si="384"/>
        <v>0</v>
      </c>
      <c r="CA471" s="17">
        <f t="shared" si="385"/>
        <v>0</v>
      </c>
      <c r="CB471" s="17">
        <f t="shared" si="386"/>
        <v>0</v>
      </c>
      <c r="CC471" s="17">
        <f t="shared" si="387"/>
        <v>0</v>
      </c>
      <c r="CD471" s="17">
        <f t="shared" si="388"/>
        <v>0</v>
      </c>
      <c r="CE471" s="17">
        <f t="shared" si="389"/>
        <v>0</v>
      </c>
      <c r="CF471" s="17">
        <f t="shared" si="390"/>
        <v>0</v>
      </c>
      <c r="CG471" s="17">
        <f t="shared" si="391"/>
        <v>0</v>
      </c>
      <c r="CH471" s="17">
        <f t="shared" si="392"/>
        <v>0</v>
      </c>
      <c r="CI471" s="17">
        <f t="shared" si="393"/>
        <v>0</v>
      </c>
      <c r="CJ471" s="17">
        <f t="shared" si="394"/>
        <v>0</v>
      </c>
      <c r="CK471" s="17">
        <f t="shared" si="395"/>
        <v>0</v>
      </c>
      <c r="CL471" s="17">
        <f t="shared" si="396"/>
        <v>0</v>
      </c>
      <c r="CM471" s="14">
        <f t="shared" si="397"/>
        <v>0</v>
      </c>
      <c r="CN471" s="17">
        <f t="shared" si="398"/>
        <v>0</v>
      </c>
      <c r="CO471" s="14">
        <f t="shared" si="399"/>
        <v>0</v>
      </c>
      <c r="CP471" s="17">
        <f t="shared" si="400"/>
        <v>0</v>
      </c>
      <c r="CQ471" s="14">
        <f t="shared" si="374"/>
        <v>627</v>
      </c>
      <c r="CR471" s="14">
        <v>0</v>
      </c>
      <c r="CS471" s="14">
        <v>0</v>
      </c>
      <c r="CT471" s="14">
        <v>0</v>
      </c>
      <c r="CU471" s="14">
        <v>0</v>
      </c>
    </row>
    <row r="472" spans="1:99" x14ac:dyDescent="0.3">
      <c r="A472" s="14">
        <v>2020</v>
      </c>
      <c r="B472" s="14" t="s">
        <v>85</v>
      </c>
      <c r="C472" s="14" t="s">
        <v>86</v>
      </c>
      <c r="D472" s="15">
        <v>485539.3</v>
      </c>
      <c r="E472" s="15">
        <v>15669665.999999998</v>
      </c>
      <c r="F472" s="15">
        <f t="shared" si="375"/>
        <v>32.272703774957037</v>
      </c>
      <c r="G472" s="14">
        <v>234</v>
      </c>
      <c r="H472" s="14">
        <v>1600</v>
      </c>
      <c r="AB472" s="14">
        <f t="shared" si="376"/>
        <v>0</v>
      </c>
      <c r="AM472" s="14">
        <f t="shared" si="377"/>
        <v>0</v>
      </c>
      <c r="AQ472" s="14">
        <f t="shared" si="378"/>
        <v>0</v>
      </c>
      <c r="AT472" s="14">
        <f t="shared" si="379"/>
        <v>0</v>
      </c>
      <c r="AU472" s="16">
        <v>5914</v>
      </c>
      <c r="AV472" s="16">
        <v>44998</v>
      </c>
      <c r="AW472" s="16">
        <v>18586</v>
      </c>
      <c r="AX472" s="16">
        <v>0</v>
      </c>
      <c r="AY472" s="18">
        <f t="shared" si="380"/>
        <v>3.774171064016298</v>
      </c>
      <c r="AZ472" s="17">
        <f t="shared" si="381"/>
        <v>28.716629952418899</v>
      </c>
      <c r="BA472" s="17">
        <f t="shared" si="382"/>
        <v>11.861133479169245</v>
      </c>
      <c r="BB472" s="17">
        <f t="shared" si="383"/>
        <v>0</v>
      </c>
      <c r="BC472" s="17">
        <f t="shared" si="351"/>
        <v>0.14933311277981293</v>
      </c>
      <c r="BD472" s="17">
        <f t="shared" si="352"/>
        <v>1.021081113024362</v>
      </c>
      <c r="BE472" s="17">
        <f t="shared" si="353"/>
        <v>0</v>
      </c>
      <c r="BF472" s="17">
        <f t="shared" si="354"/>
        <v>0</v>
      </c>
      <c r="BG472" s="17">
        <f t="shared" si="355"/>
        <v>0</v>
      </c>
      <c r="BH472" s="17">
        <f t="shared" si="356"/>
        <v>0</v>
      </c>
      <c r="BI472" s="17">
        <f t="shared" si="357"/>
        <v>0</v>
      </c>
      <c r="BJ472" s="17">
        <f t="shared" si="358"/>
        <v>0</v>
      </c>
      <c r="BK472" s="17">
        <f t="shared" si="359"/>
        <v>0</v>
      </c>
      <c r="BL472" s="17">
        <f t="shared" si="360"/>
        <v>0</v>
      </c>
      <c r="BM472" s="17">
        <f t="shared" si="361"/>
        <v>0</v>
      </c>
      <c r="BN472" s="17">
        <f t="shared" si="362"/>
        <v>0</v>
      </c>
      <c r="BO472" s="17">
        <f t="shared" si="363"/>
        <v>0</v>
      </c>
      <c r="BP472" s="17">
        <f t="shared" si="364"/>
        <v>0</v>
      </c>
      <c r="BQ472" s="17">
        <f t="shared" si="365"/>
        <v>0</v>
      </c>
      <c r="BR472" s="17">
        <f t="shared" si="366"/>
        <v>0</v>
      </c>
      <c r="BS472" s="17">
        <f t="shared" si="367"/>
        <v>0</v>
      </c>
      <c r="BT472" s="17">
        <f t="shared" si="368"/>
        <v>0</v>
      </c>
      <c r="BU472" s="17">
        <f t="shared" si="369"/>
        <v>0</v>
      </c>
      <c r="BV472" s="17">
        <f t="shared" si="370"/>
        <v>0</v>
      </c>
      <c r="BW472" s="17">
        <f t="shared" si="371"/>
        <v>0</v>
      </c>
      <c r="BX472" s="17">
        <f t="shared" si="372"/>
        <v>0</v>
      </c>
      <c r="BY472" s="17">
        <f t="shared" si="373"/>
        <v>0</v>
      </c>
      <c r="BZ472" s="17">
        <f t="shared" si="384"/>
        <v>0</v>
      </c>
      <c r="CA472" s="17">
        <f t="shared" si="385"/>
        <v>0</v>
      </c>
      <c r="CB472" s="17">
        <f t="shared" si="386"/>
        <v>0</v>
      </c>
      <c r="CC472" s="17">
        <f t="shared" si="387"/>
        <v>0</v>
      </c>
      <c r="CD472" s="17">
        <f t="shared" si="388"/>
        <v>0</v>
      </c>
      <c r="CE472" s="17">
        <f t="shared" si="389"/>
        <v>0</v>
      </c>
      <c r="CF472" s="17">
        <f t="shared" si="390"/>
        <v>0</v>
      </c>
      <c r="CG472" s="17">
        <f t="shared" si="391"/>
        <v>0</v>
      </c>
      <c r="CH472" s="17">
        <f t="shared" si="392"/>
        <v>0</v>
      </c>
      <c r="CI472" s="17">
        <f t="shared" si="393"/>
        <v>0</v>
      </c>
      <c r="CJ472" s="17">
        <f t="shared" si="394"/>
        <v>0</v>
      </c>
      <c r="CK472" s="17">
        <f t="shared" si="395"/>
        <v>0</v>
      </c>
      <c r="CL472" s="17">
        <f t="shared" si="396"/>
        <v>0</v>
      </c>
      <c r="CM472" s="14">
        <f t="shared" si="397"/>
        <v>63584</v>
      </c>
      <c r="CN472" s="17">
        <f t="shared" si="398"/>
        <v>40.577763431588146</v>
      </c>
      <c r="CO472" s="14">
        <f t="shared" si="399"/>
        <v>69498</v>
      </c>
      <c r="CP472" s="17">
        <f t="shared" si="400"/>
        <v>44.351934495604439</v>
      </c>
      <c r="CQ472" s="14">
        <f t="shared" si="374"/>
        <v>71332</v>
      </c>
      <c r="CR472" s="14">
        <v>38</v>
      </c>
      <c r="CS472" s="14">
        <v>351</v>
      </c>
      <c r="CT472" s="14">
        <v>0</v>
      </c>
      <c r="CU472" s="14">
        <v>91</v>
      </c>
    </row>
    <row r="473" spans="1:99" x14ac:dyDescent="0.3">
      <c r="A473" s="14">
        <v>2021</v>
      </c>
      <c r="B473" s="14" t="s">
        <v>85</v>
      </c>
      <c r="C473" s="14" t="s">
        <v>86</v>
      </c>
      <c r="D473" s="15">
        <v>487965.1</v>
      </c>
      <c r="E473" s="15">
        <v>15993524.000000002</v>
      </c>
      <c r="F473" s="15">
        <f t="shared" si="375"/>
        <v>32.775958772461394</v>
      </c>
      <c r="AB473" s="14">
        <f t="shared" si="376"/>
        <v>0</v>
      </c>
      <c r="AM473" s="14">
        <f t="shared" si="377"/>
        <v>0</v>
      </c>
      <c r="AQ473" s="14">
        <f t="shared" si="378"/>
        <v>0</v>
      </c>
      <c r="AT473" s="14">
        <f t="shared" si="379"/>
        <v>0</v>
      </c>
      <c r="AU473" s="16">
        <v>0</v>
      </c>
      <c r="AV473" s="16">
        <v>0</v>
      </c>
      <c r="AW473" s="16">
        <v>0</v>
      </c>
      <c r="AX473" s="16">
        <v>0</v>
      </c>
      <c r="AY473" s="18">
        <f t="shared" si="380"/>
        <v>0</v>
      </c>
      <c r="AZ473" s="17">
        <f t="shared" si="381"/>
        <v>0</v>
      </c>
      <c r="BA473" s="17">
        <f t="shared" si="382"/>
        <v>0</v>
      </c>
      <c r="BB473" s="17">
        <f t="shared" si="383"/>
        <v>0</v>
      </c>
      <c r="BC473" s="17">
        <f t="shared" si="351"/>
        <v>0</v>
      </c>
      <c r="BD473" s="17">
        <f t="shared" si="352"/>
        <v>0</v>
      </c>
      <c r="BE473" s="17">
        <f t="shared" si="353"/>
        <v>0</v>
      </c>
      <c r="BF473" s="17">
        <f t="shared" si="354"/>
        <v>0</v>
      </c>
      <c r="BG473" s="17">
        <f t="shared" si="355"/>
        <v>0</v>
      </c>
      <c r="BH473" s="17">
        <f t="shared" si="356"/>
        <v>0</v>
      </c>
      <c r="BI473" s="17">
        <f t="shared" si="357"/>
        <v>0</v>
      </c>
      <c r="BJ473" s="17">
        <f t="shared" si="358"/>
        <v>0</v>
      </c>
      <c r="BK473" s="17">
        <f t="shared" si="359"/>
        <v>0</v>
      </c>
      <c r="BL473" s="17">
        <f t="shared" si="360"/>
        <v>0</v>
      </c>
      <c r="BM473" s="17">
        <f t="shared" si="361"/>
        <v>0</v>
      </c>
      <c r="BN473" s="17">
        <f t="shared" si="362"/>
        <v>0</v>
      </c>
      <c r="BO473" s="17">
        <f t="shared" si="363"/>
        <v>0</v>
      </c>
      <c r="BP473" s="17">
        <f t="shared" si="364"/>
        <v>0</v>
      </c>
      <c r="BQ473" s="17">
        <f t="shared" si="365"/>
        <v>0</v>
      </c>
      <c r="BR473" s="17">
        <f t="shared" si="366"/>
        <v>0</v>
      </c>
      <c r="BS473" s="17">
        <f t="shared" si="367"/>
        <v>0</v>
      </c>
      <c r="BT473" s="17">
        <f t="shared" si="368"/>
        <v>0</v>
      </c>
      <c r="BU473" s="17">
        <f t="shared" si="369"/>
        <v>0</v>
      </c>
      <c r="BV473" s="17">
        <f t="shared" si="370"/>
        <v>0</v>
      </c>
      <c r="BW473" s="17">
        <f t="shared" si="371"/>
        <v>0</v>
      </c>
      <c r="BX473" s="17">
        <f t="shared" si="372"/>
        <v>0</v>
      </c>
      <c r="BY473" s="17">
        <f t="shared" si="373"/>
        <v>0</v>
      </c>
      <c r="BZ473" s="17">
        <f t="shared" si="384"/>
        <v>0</v>
      </c>
      <c r="CA473" s="17">
        <f t="shared" si="385"/>
        <v>0</v>
      </c>
      <c r="CB473" s="17">
        <f t="shared" si="386"/>
        <v>0</v>
      </c>
      <c r="CC473" s="17">
        <f t="shared" si="387"/>
        <v>0</v>
      </c>
      <c r="CD473" s="17">
        <f t="shared" si="388"/>
        <v>0</v>
      </c>
      <c r="CE473" s="17">
        <f t="shared" si="389"/>
        <v>0</v>
      </c>
      <c r="CF473" s="17">
        <f t="shared" si="390"/>
        <v>0</v>
      </c>
      <c r="CG473" s="17">
        <f t="shared" si="391"/>
        <v>0</v>
      </c>
      <c r="CH473" s="17">
        <f t="shared" si="392"/>
        <v>0</v>
      </c>
      <c r="CI473" s="17">
        <f t="shared" si="393"/>
        <v>0</v>
      </c>
      <c r="CJ473" s="17">
        <f t="shared" si="394"/>
        <v>0</v>
      </c>
      <c r="CK473" s="17">
        <f t="shared" si="395"/>
        <v>0</v>
      </c>
      <c r="CL473" s="17">
        <f t="shared" si="396"/>
        <v>0</v>
      </c>
      <c r="CM473" s="14">
        <f t="shared" si="397"/>
        <v>0</v>
      </c>
      <c r="CN473" s="17">
        <f t="shared" si="398"/>
        <v>0</v>
      </c>
      <c r="CO473" s="14">
        <f t="shared" si="399"/>
        <v>0</v>
      </c>
      <c r="CP473" s="17">
        <f t="shared" si="400"/>
        <v>0</v>
      </c>
      <c r="CQ473" s="14">
        <f t="shared" si="374"/>
        <v>0</v>
      </c>
      <c r="CR473" s="14">
        <v>0</v>
      </c>
      <c r="CS473" s="14">
        <v>0</v>
      </c>
      <c r="CT473" s="14">
        <v>0</v>
      </c>
      <c r="CU473" s="14">
        <v>0</v>
      </c>
    </row>
    <row r="474" spans="1:99" x14ac:dyDescent="0.3">
      <c r="A474" s="14">
        <v>2022</v>
      </c>
      <c r="B474" s="14" t="s">
        <v>85</v>
      </c>
      <c r="C474" s="14" t="s">
        <v>86</v>
      </c>
      <c r="D474" s="15">
        <v>490571.8</v>
      </c>
      <c r="E474" s="15">
        <v>16320536.999999996</v>
      </c>
      <c r="F474" s="15">
        <f t="shared" si="375"/>
        <v>33.26839618583864</v>
      </c>
      <c r="G474" s="14">
        <v>2703</v>
      </c>
      <c r="H474" s="14">
        <v>1902</v>
      </c>
      <c r="L474" s="14">
        <v>63</v>
      </c>
      <c r="M474" s="14">
        <v>19722</v>
      </c>
      <c r="N474" s="14">
        <v>178</v>
      </c>
      <c r="P474" s="14">
        <v>14</v>
      </c>
      <c r="S474" s="14">
        <v>1994</v>
      </c>
      <c r="T474" s="14">
        <v>690</v>
      </c>
      <c r="U474" s="14">
        <v>265</v>
      </c>
      <c r="Y474" s="14">
        <v>795</v>
      </c>
      <c r="Z474" s="14">
        <v>757</v>
      </c>
      <c r="AB474" s="14">
        <f t="shared" si="376"/>
        <v>0</v>
      </c>
      <c r="AE474" s="14">
        <v>77</v>
      </c>
      <c r="AJ474" s="14">
        <v>588</v>
      </c>
      <c r="AK474" s="14">
        <v>400</v>
      </c>
      <c r="AL474" s="14">
        <v>557</v>
      </c>
      <c r="AM474" s="14">
        <f t="shared" si="377"/>
        <v>957</v>
      </c>
      <c r="AN474" s="14">
        <v>39</v>
      </c>
      <c r="AP474" s="14">
        <v>84</v>
      </c>
      <c r="AQ474" s="14">
        <f t="shared" si="378"/>
        <v>84</v>
      </c>
      <c r="AT474" s="14">
        <f t="shared" si="379"/>
        <v>0</v>
      </c>
      <c r="AU474" s="16">
        <v>6133</v>
      </c>
      <c r="AV474" s="16">
        <v>64364</v>
      </c>
      <c r="AW474" s="16">
        <v>5592</v>
      </c>
      <c r="AX474" s="16">
        <v>0</v>
      </c>
      <c r="AY474" s="18">
        <f t="shared" si="380"/>
        <v>3.7578420366927885</v>
      </c>
      <c r="AZ474" s="17">
        <f t="shared" si="381"/>
        <v>39.437427824832</v>
      </c>
      <c r="BA474" s="17">
        <f t="shared" si="382"/>
        <v>3.4263578459458786</v>
      </c>
      <c r="BB474" s="17">
        <f t="shared" si="383"/>
        <v>0</v>
      </c>
      <c r="BC474" s="17">
        <f t="shared" si="351"/>
        <v>1.6561955038611784</v>
      </c>
      <c r="BD474" s="17">
        <f t="shared" si="352"/>
        <v>1.1654028295760124</v>
      </c>
      <c r="BE474" s="17">
        <f t="shared" si="353"/>
        <v>0</v>
      </c>
      <c r="BF474" s="17">
        <f t="shared" si="354"/>
        <v>0</v>
      </c>
      <c r="BG474" s="17">
        <f t="shared" si="355"/>
        <v>0</v>
      </c>
      <c r="BH474" s="17">
        <f t="shared" si="356"/>
        <v>3.8601671011192842E-2</v>
      </c>
      <c r="BI474" s="17">
        <f t="shared" si="357"/>
        <v>12.084161201313416</v>
      </c>
      <c r="BJ474" s="17">
        <f t="shared" si="358"/>
        <v>0.10906503873003691</v>
      </c>
      <c r="BK474" s="17">
        <f t="shared" si="359"/>
        <v>0</v>
      </c>
      <c r="BL474" s="17">
        <f t="shared" si="360"/>
        <v>8.5781491135984086E-3</v>
      </c>
      <c r="BM474" s="17">
        <f t="shared" si="361"/>
        <v>0</v>
      </c>
      <c r="BN474" s="17">
        <f t="shared" si="362"/>
        <v>0</v>
      </c>
      <c r="BO474" s="17">
        <f t="shared" si="363"/>
        <v>1.2217735237510876</v>
      </c>
      <c r="BP474" s="17">
        <f t="shared" si="364"/>
        <v>0.42278020631306445</v>
      </c>
      <c r="BQ474" s="17">
        <f t="shared" si="365"/>
        <v>0.16237210822168416</v>
      </c>
      <c r="BR474" s="17">
        <f t="shared" si="366"/>
        <v>0</v>
      </c>
      <c r="BS474" s="17">
        <f t="shared" si="367"/>
        <v>0</v>
      </c>
      <c r="BT474" s="17">
        <f t="shared" si="368"/>
        <v>0</v>
      </c>
      <c r="BU474" s="17">
        <f t="shared" si="369"/>
        <v>0.4871163246650525</v>
      </c>
      <c r="BV474" s="17">
        <f t="shared" si="370"/>
        <v>0.46383277707099968</v>
      </c>
      <c r="BW474" s="17">
        <f t="shared" si="371"/>
        <v>0</v>
      </c>
      <c r="BX474" s="17">
        <f t="shared" si="372"/>
        <v>0</v>
      </c>
      <c r="BY474" s="17">
        <f t="shared" si="373"/>
        <v>0</v>
      </c>
      <c r="BZ474" s="17">
        <f t="shared" si="384"/>
        <v>4.7179820124791251E-2</v>
      </c>
      <c r="CA474" s="17">
        <f t="shared" si="385"/>
        <v>0</v>
      </c>
      <c r="CB474" s="17">
        <f t="shared" si="386"/>
        <v>0</v>
      </c>
      <c r="CC474" s="17">
        <f t="shared" si="387"/>
        <v>0</v>
      </c>
      <c r="CD474" s="17">
        <f t="shared" si="388"/>
        <v>0</v>
      </c>
      <c r="CE474" s="17">
        <f t="shared" si="389"/>
        <v>0.36028226277113318</v>
      </c>
      <c r="CF474" s="17">
        <f t="shared" si="390"/>
        <v>0.24508997467424024</v>
      </c>
      <c r="CG474" s="17">
        <f t="shared" si="391"/>
        <v>0.34128778973387952</v>
      </c>
      <c r="CH474" s="17">
        <f t="shared" si="392"/>
        <v>2.3896272530738425E-2</v>
      </c>
      <c r="CI474" s="17">
        <f t="shared" si="393"/>
        <v>0</v>
      </c>
      <c r="CJ474" s="17">
        <f t="shared" si="394"/>
        <v>5.1468894681590452E-2</v>
      </c>
      <c r="CK474" s="17">
        <f t="shared" si="395"/>
        <v>0</v>
      </c>
      <c r="CL474" s="17">
        <f t="shared" si="396"/>
        <v>0</v>
      </c>
      <c r="CM474" s="14">
        <f t="shared" si="397"/>
        <v>69956</v>
      </c>
      <c r="CN474" s="17">
        <f t="shared" si="398"/>
        <v>42.863785670777879</v>
      </c>
      <c r="CO474" s="14">
        <f t="shared" si="399"/>
        <v>76089</v>
      </c>
      <c r="CP474" s="17">
        <f t="shared" si="400"/>
        <v>46.621627707470665</v>
      </c>
      <c r="CQ474" s="14">
        <f t="shared" si="374"/>
        <v>107958</v>
      </c>
      <c r="CR474" s="14">
        <v>0</v>
      </c>
      <c r="CS474" s="14">
        <v>0</v>
      </c>
      <c r="CT474" s="14">
        <v>0</v>
      </c>
      <c r="CU474" s="14">
        <v>0</v>
      </c>
    </row>
    <row r="475" spans="1:99" x14ac:dyDescent="0.3">
      <c r="A475" s="14">
        <v>2012</v>
      </c>
      <c r="B475" s="14" t="s">
        <v>87</v>
      </c>
      <c r="C475" s="14" t="s">
        <v>88</v>
      </c>
      <c r="D475" s="15">
        <v>105648.1</v>
      </c>
      <c r="E475" s="15">
        <v>3252595.9999999991</v>
      </c>
      <c r="F475" s="15">
        <f t="shared" si="375"/>
        <v>30.787075205327866</v>
      </c>
      <c r="AB475" s="14">
        <f t="shared" si="376"/>
        <v>0</v>
      </c>
      <c r="AM475" s="14">
        <f t="shared" si="377"/>
        <v>0</v>
      </c>
      <c r="AQ475" s="14">
        <f t="shared" si="378"/>
        <v>0</v>
      </c>
      <c r="AT475" s="14">
        <f t="shared" si="379"/>
        <v>0</v>
      </c>
      <c r="AU475" s="16">
        <v>389</v>
      </c>
      <c r="AV475" s="16">
        <v>0</v>
      </c>
      <c r="AW475" s="16">
        <v>0</v>
      </c>
      <c r="AX475" s="16">
        <v>0</v>
      </c>
      <c r="AY475" s="18">
        <f t="shared" si="380"/>
        <v>1.1959677746636843</v>
      </c>
      <c r="AZ475" s="17">
        <f t="shared" si="381"/>
        <v>0</v>
      </c>
      <c r="BA475" s="17">
        <f t="shared" si="382"/>
        <v>0</v>
      </c>
      <c r="BB475" s="17">
        <f t="shared" si="383"/>
        <v>0</v>
      </c>
      <c r="BC475" s="17">
        <f t="shared" si="351"/>
        <v>0</v>
      </c>
      <c r="BD475" s="17">
        <f t="shared" si="352"/>
        <v>0</v>
      </c>
      <c r="BE475" s="17">
        <f t="shared" si="353"/>
        <v>0</v>
      </c>
      <c r="BF475" s="17">
        <f t="shared" si="354"/>
        <v>0</v>
      </c>
      <c r="BG475" s="17">
        <f t="shared" si="355"/>
        <v>0</v>
      </c>
      <c r="BH475" s="17">
        <f t="shared" si="356"/>
        <v>0</v>
      </c>
      <c r="BI475" s="17">
        <f t="shared" si="357"/>
        <v>0</v>
      </c>
      <c r="BJ475" s="17">
        <f t="shared" si="358"/>
        <v>0</v>
      </c>
      <c r="BK475" s="17">
        <f t="shared" si="359"/>
        <v>0</v>
      </c>
      <c r="BL475" s="17">
        <f t="shared" si="360"/>
        <v>0</v>
      </c>
      <c r="BM475" s="17">
        <f t="shared" si="361"/>
        <v>0</v>
      </c>
      <c r="BN475" s="17">
        <f t="shared" si="362"/>
        <v>0</v>
      </c>
      <c r="BO475" s="17">
        <f t="shared" si="363"/>
        <v>0</v>
      </c>
      <c r="BP475" s="17">
        <f t="shared" si="364"/>
        <v>0</v>
      </c>
      <c r="BQ475" s="17">
        <f t="shared" si="365"/>
        <v>0</v>
      </c>
      <c r="BR475" s="17">
        <f t="shared" si="366"/>
        <v>0</v>
      </c>
      <c r="BS475" s="17">
        <f t="shared" si="367"/>
        <v>0</v>
      </c>
      <c r="BT475" s="17">
        <f t="shared" si="368"/>
        <v>0</v>
      </c>
      <c r="BU475" s="17">
        <f t="shared" si="369"/>
        <v>0</v>
      </c>
      <c r="BV475" s="17">
        <f t="shared" si="370"/>
        <v>0</v>
      </c>
      <c r="BW475" s="17">
        <f t="shared" si="371"/>
        <v>0</v>
      </c>
      <c r="BX475" s="17">
        <f t="shared" si="372"/>
        <v>0</v>
      </c>
      <c r="BY475" s="17">
        <f t="shared" si="373"/>
        <v>0</v>
      </c>
      <c r="BZ475" s="17">
        <f t="shared" si="384"/>
        <v>0</v>
      </c>
      <c r="CA475" s="17">
        <f t="shared" si="385"/>
        <v>0</v>
      </c>
      <c r="CB475" s="17">
        <f t="shared" si="386"/>
        <v>0</v>
      </c>
      <c r="CC475" s="17">
        <f t="shared" si="387"/>
        <v>0</v>
      </c>
      <c r="CD475" s="17">
        <f t="shared" si="388"/>
        <v>0</v>
      </c>
      <c r="CE475" s="17">
        <f t="shared" si="389"/>
        <v>0</v>
      </c>
      <c r="CF475" s="17">
        <f t="shared" si="390"/>
        <v>0</v>
      </c>
      <c r="CG475" s="17">
        <f t="shared" si="391"/>
        <v>0</v>
      </c>
      <c r="CH475" s="17">
        <f t="shared" si="392"/>
        <v>0</v>
      </c>
      <c r="CI475" s="17">
        <f t="shared" si="393"/>
        <v>0</v>
      </c>
      <c r="CJ475" s="17">
        <f t="shared" si="394"/>
        <v>0</v>
      </c>
      <c r="CK475" s="17">
        <f t="shared" si="395"/>
        <v>0</v>
      </c>
      <c r="CL475" s="17">
        <f t="shared" si="396"/>
        <v>0</v>
      </c>
      <c r="CM475" s="14">
        <f t="shared" si="397"/>
        <v>0</v>
      </c>
      <c r="CN475" s="17">
        <f t="shared" si="398"/>
        <v>0</v>
      </c>
      <c r="CO475" s="14">
        <f t="shared" si="399"/>
        <v>389</v>
      </c>
      <c r="CP475" s="17"/>
      <c r="CQ475" s="14">
        <f t="shared" si="374"/>
        <v>389</v>
      </c>
      <c r="CR475" s="14">
        <v>0</v>
      </c>
      <c r="CS475" s="14">
        <v>0</v>
      </c>
      <c r="CT475" s="14">
        <v>0</v>
      </c>
      <c r="CU475" s="14">
        <v>0</v>
      </c>
    </row>
    <row r="476" spans="1:99" x14ac:dyDescent="0.3">
      <c r="A476" s="14">
        <v>2013</v>
      </c>
      <c r="B476" s="14" t="s">
        <v>87</v>
      </c>
      <c r="C476" s="14" t="s">
        <v>88</v>
      </c>
      <c r="D476" s="15">
        <v>104956.6</v>
      </c>
      <c r="E476" s="15">
        <v>3296367</v>
      </c>
      <c r="F476" s="15">
        <f t="shared" si="375"/>
        <v>31.406952969132</v>
      </c>
      <c r="AB476" s="14">
        <f t="shared" si="376"/>
        <v>0</v>
      </c>
      <c r="AM476" s="14">
        <f t="shared" si="377"/>
        <v>0</v>
      </c>
      <c r="AQ476" s="14">
        <f t="shared" si="378"/>
        <v>0</v>
      </c>
      <c r="AT476" s="14">
        <f t="shared" si="379"/>
        <v>0</v>
      </c>
      <c r="AU476" s="16">
        <v>427</v>
      </c>
      <c r="AV476" s="16">
        <v>8524</v>
      </c>
      <c r="AW476" s="16">
        <v>0</v>
      </c>
      <c r="AX476" s="16">
        <v>0</v>
      </c>
      <c r="AY476" s="18">
        <f t="shared" si="380"/>
        <v>1.2953654735652917</v>
      </c>
      <c r="AZ476" s="17">
        <f t="shared" si="381"/>
        <v>25.858771186582075</v>
      </c>
      <c r="BA476" s="17">
        <f t="shared" si="382"/>
        <v>0</v>
      </c>
      <c r="BB476" s="17">
        <f t="shared" si="383"/>
        <v>0</v>
      </c>
      <c r="BC476" s="17">
        <f t="shared" si="351"/>
        <v>0</v>
      </c>
      <c r="BD476" s="17">
        <f t="shared" si="352"/>
        <v>0</v>
      </c>
      <c r="BE476" s="17">
        <f t="shared" si="353"/>
        <v>0</v>
      </c>
      <c r="BF476" s="17">
        <f t="shared" si="354"/>
        <v>0</v>
      </c>
      <c r="BG476" s="17">
        <f t="shared" si="355"/>
        <v>0</v>
      </c>
      <c r="BH476" s="17">
        <f t="shared" si="356"/>
        <v>0</v>
      </c>
      <c r="BI476" s="17">
        <f t="shared" si="357"/>
        <v>0</v>
      </c>
      <c r="BJ476" s="17">
        <f t="shared" si="358"/>
        <v>0</v>
      </c>
      <c r="BK476" s="17">
        <f t="shared" si="359"/>
        <v>0</v>
      </c>
      <c r="BL476" s="17">
        <f t="shared" si="360"/>
        <v>0</v>
      </c>
      <c r="BM476" s="17">
        <f t="shared" si="361"/>
        <v>0</v>
      </c>
      <c r="BN476" s="17">
        <f t="shared" si="362"/>
        <v>0</v>
      </c>
      <c r="BO476" s="17">
        <f t="shared" si="363"/>
        <v>0</v>
      </c>
      <c r="BP476" s="17">
        <f t="shared" si="364"/>
        <v>0</v>
      </c>
      <c r="BQ476" s="17">
        <f t="shared" si="365"/>
        <v>0</v>
      </c>
      <c r="BR476" s="17">
        <f t="shared" si="366"/>
        <v>0</v>
      </c>
      <c r="BS476" s="17">
        <f t="shared" si="367"/>
        <v>0</v>
      </c>
      <c r="BT476" s="17">
        <f t="shared" si="368"/>
        <v>0</v>
      </c>
      <c r="BU476" s="17">
        <f t="shared" si="369"/>
        <v>0</v>
      </c>
      <c r="BV476" s="17">
        <f t="shared" si="370"/>
        <v>0</v>
      </c>
      <c r="BW476" s="17">
        <f t="shared" si="371"/>
        <v>0</v>
      </c>
      <c r="BX476" s="17">
        <f t="shared" si="372"/>
        <v>0</v>
      </c>
      <c r="BY476" s="17">
        <f t="shared" si="373"/>
        <v>0</v>
      </c>
      <c r="BZ476" s="17">
        <f t="shared" si="384"/>
        <v>0</v>
      </c>
      <c r="CA476" s="17">
        <f t="shared" si="385"/>
        <v>0</v>
      </c>
      <c r="CB476" s="17">
        <f t="shared" si="386"/>
        <v>0</v>
      </c>
      <c r="CC476" s="17">
        <f t="shared" si="387"/>
        <v>0</v>
      </c>
      <c r="CD476" s="17">
        <f t="shared" si="388"/>
        <v>0</v>
      </c>
      <c r="CE476" s="17">
        <f t="shared" si="389"/>
        <v>0</v>
      </c>
      <c r="CF476" s="17">
        <f t="shared" si="390"/>
        <v>0</v>
      </c>
      <c r="CG476" s="17">
        <f t="shared" si="391"/>
        <v>0</v>
      </c>
      <c r="CH476" s="17">
        <f t="shared" si="392"/>
        <v>0</v>
      </c>
      <c r="CI476" s="17">
        <f t="shared" si="393"/>
        <v>0</v>
      </c>
      <c r="CJ476" s="17">
        <f t="shared" si="394"/>
        <v>0</v>
      </c>
      <c r="CK476" s="17">
        <f t="shared" si="395"/>
        <v>0</v>
      </c>
      <c r="CL476" s="17">
        <f t="shared" si="396"/>
        <v>0</v>
      </c>
      <c r="CM476" s="14">
        <f t="shared" si="397"/>
        <v>8524</v>
      </c>
      <c r="CN476" s="17">
        <f t="shared" si="398"/>
        <v>25.858771186582075</v>
      </c>
      <c r="CO476" s="14">
        <f t="shared" si="399"/>
        <v>8951</v>
      </c>
      <c r="CP476" s="17">
        <f t="shared" si="400"/>
        <v>27.154136660147369</v>
      </c>
      <c r="CQ476" s="14">
        <f t="shared" si="374"/>
        <v>8951</v>
      </c>
      <c r="CR476" s="14">
        <v>0</v>
      </c>
      <c r="CS476" s="14">
        <v>0</v>
      </c>
      <c r="CT476" s="14">
        <v>0</v>
      </c>
      <c r="CU476" s="14">
        <v>0</v>
      </c>
    </row>
    <row r="477" spans="1:99" x14ac:dyDescent="0.3">
      <c r="A477" s="14">
        <v>2014</v>
      </c>
      <c r="B477" s="14" t="s">
        <v>87</v>
      </c>
      <c r="C477" s="14" t="s">
        <v>88</v>
      </c>
      <c r="D477" s="15">
        <v>104202.4</v>
      </c>
      <c r="E477" s="15">
        <v>3323425.0000000009</v>
      </c>
      <c r="F477" s="15">
        <f t="shared" si="375"/>
        <v>31.893939103130073</v>
      </c>
      <c r="AB477" s="14">
        <f t="shared" si="376"/>
        <v>0</v>
      </c>
      <c r="AM477" s="14">
        <f t="shared" si="377"/>
        <v>0</v>
      </c>
      <c r="AQ477" s="14">
        <f t="shared" si="378"/>
        <v>0</v>
      </c>
      <c r="AT477" s="14">
        <f t="shared" si="379"/>
        <v>0</v>
      </c>
      <c r="AU477" s="16">
        <v>484</v>
      </c>
      <c r="AV477" s="16">
        <v>8264</v>
      </c>
      <c r="AW477" s="16">
        <v>0</v>
      </c>
      <c r="AX477" s="16">
        <v>0</v>
      </c>
      <c r="AY477" s="18">
        <f t="shared" si="380"/>
        <v>1.4563289377675135</v>
      </c>
      <c r="AZ477" s="17">
        <f t="shared" si="381"/>
        <v>24.865913929154406</v>
      </c>
      <c r="BA477" s="17">
        <f t="shared" si="382"/>
        <v>0</v>
      </c>
      <c r="BB477" s="17">
        <f t="shared" si="383"/>
        <v>0</v>
      </c>
      <c r="BC477" s="17">
        <f t="shared" si="351"/>
        <v>0</v>
      </c>
      <c r="BD477" s="17">
        <f t="shared" si="352"/>
        <v>0</v>
      </c>
      <c r="BE477" s="17">
        <f t="shared" si="353"/>
        <v>0</v>
      </c>
      <c r="BF477" s="17">
        <f t="shared" si="354"/>
        <v>0</v>
      </c>
      <c r="BG477" s="17">
        <f t="shared" si="355"/>
        <v>0</v>
      </c>
      <c r="BH477" s="17">
        <f t="shared" si="356"/>
        <v>0</v>
      </c>
      <c r="BI477" s="17">
        <f t="shared" si="357"/>
        <v>0</v>
      </c>
      <c r="BJ477" s="17">
        <f t="shared" si="358"/>
        <v>0</v>
      </c>
      <c r="BK477" s="17">
        <f t="shared" si="359"/>
        <v>0</v>
      </c>
      <c r="BL477" s="17">
        <f t="shared" si="360"/>
        <v>0</v>
      </c>
      <c r="BM477" s="17">
        <f t="shared" si="361"/>
        <v>0</v>
      </c>
      <c r="BN477" s="17">
        <f t="shared" si="362"/>
        <v>0</v>
      </c>
      <c r="BO477" s="17">
        <f t="shared" si="363"/>
        <v>0</v>
      </c>
      <c r="BP477" s="17">
        <f t="shared" si="364"/>
        <v>0</v>
      </c>
      <c r="BQ477" s="17">
        <f t="shared" si="365"/>
        <v>0</v>
      </c>
      <c r="BR477" s="17">
        <f t="shared" si="366"/>
        <v>0</v>
      </c>
      <c r="BS477" s="17">
        <f t="shared" si="367"/>
        <v>0</v>
      </c>
      <c r="BT477" s="17">
        <f t="shared" si="368"/>
        <v>0</v>
      </c>
      <c r="BU477" s="17">
        <f t="shared" si="369"/>
        <v>0</v>
      </c>
      <c r="BV477" s="17">
        <f t="shared" si="370"/>
        <v>0</v>
      </c>
      <c r="BW477" s="17">
        <f t="shared" si="371"/>
        <v>0</v>
      </c>
      <c r="BX477" s="17">
        <f t="shared" si="372"/>
        <v>0</v>
      </c>
      <c r="BY477" s="17">
        <f t="shared" si="373"/>
        <v>0</v>
      </c>
      <c r="BZ477" s="17">
        <f t="shared" si="384"/>
        <v>0</v>
      </c>
      <c r="CA477" s="17">
        <f t="shared" si="385"/>
        <v>0</v>
      </c>
      <c r="CB477" s="17">
        <f t="shared" si="386"/>
        <v>0</v>
      </c>
      <c r="CC477" s="17">
        <f t="shared" si="387"/>
        <v>0</v>
      </c>
      <c r="CD477" s="17">
        <f t="shared" si="388"/>
        <v>0</v>
      </c>
      <c r="CE477" s="17">
        <f t="shared" si="389"/>
        <v>0</v>
      </c>
      <c r="CF477" s="17">
        <f t="shared" si="390"/>
        <v>0</v>
      </c>
      <c r="CG477" s="17">
        <f t="shared" si="391"/>
        <v>0</v>
      </c>
      <c r="CH477" s="17">
        <f t="shared" si="392"/>
        <v>0</v>
      </c>
      <c r="CI477" s="17">
        <f t="shared" si="393"/>
        <v>0</v>
      </c>
      <c r="CJ477" s="17">
        <f t="shared" si="394"/>
        <v>0</v>
      </c>
      <c r="CK477" s="17">
        <f t="shared" si="395"/>
        <v>0</v>
      </c>
      <c r="CL477" s="17">
        <f t="shared" si="396"/>
        <v>0</v>
      </c>
      <c r="CM477" s="14">
        <f t="shared" si="397"/>
        <v>8264</v>
      </c>
      <c r="CN477" s="17">
        <f t="shared" si="398"/>
        <v>24.865913929154406</v>
      </c>
      <c r="CO477" s="14">
        <f t="shared" si="399"/>
        <v>8748</v>
      </c>
      <c r="CP477" s="17">
        <f t="shared" si="400"/>
        <v>26.322242866921918</v>
      </c>
      <c r="CQ477" s="14">
        <f t="shared" si="374"/>
        <v>8748</v>
      </c>
      <c r="CR477" s="14">
        <v>0</v>
      </c>
      <c r="CS477" s="14">
        <v>0</v>
      </c>
      <c r="CT477" s="14">
        <v>0</v>
      </c>
      <c r="CU477" s="14">
        <v>0</v>
      </c>
    </row>
    <row r="478" spans="1:99" x14ac:dyDescent="0.3">
      <c r="A478" s="14">
        <v>2015</v>
      </c>
      <c r="B478" s="14" t="s">
        <v>87</v>
      </c>
      <c r="C478" s="14" t="s">
        <v>88</v>
      </c>
      <c r="D478" s="15">
        <v>102828.4</v>
      </c>
      <c r="E478" s="15">
        <v>3340005.9999999991</v>
      </c>
      <c r="F478" s="15">
        <f t="shared" si="375"/>
        <v>32.481357290398364</v>
      </c>
      <c r="AB478" s="14">
        <f t="shared" si="376"/>
        <v>0</v>
      </c>
      <c r="AM478" s="14">
        <f t="shared" si="377"/>
        <v>0</v>
      </c>
      <c r="AQ478" s="14">
        <f t="shared" si="378"/>
        <v>0</v>
      </c>
      <c r="AT478" s="14">
        <f t="shared" si="379"/>
        <v>0</v>
      </c>
      <c r="AU478" s="16">
        <v>497</v>
      </c>
      <c r="AV478" s="16">
        <v>7924</v>
      </c>
      <c r="AW478" s="16">
        <v>0</v>
      </c>
      <c r="AX478" s="16">
        <v>0</v>
      </c>
      <c r="AY478" s="18">
        <f t="shared" si="380"/>
        <v>1.4880212790036909</v>
      </c>
      <c r="AZ478" s="17">
        <f t="shared" si="381"/>
        <v>23.72450827932645</v>
      </c>
      <c r="BA478" s="17">
        <f t="shared" si="382"/>
        <v>0</v>
      </c>
      <c r="BB478" s="17">
        <f t="shared" si="383"/>
        <v>0</v>
      </c>
      <c r="BC478" s="17">
        <f t="shared" si="351"/>
        <v>0</v>
      </c>
      <c r="BD478" s="17">
        <f t="shared" si="352"/>
        <v>0</v>
      </c>
      <c r="BE478" s="17">
        <f t="shared" si="353"/>
        <v>0</v>
      </c>
      <c r="BF478" s="17">
        <f t="shared" si="354"/>
        <v>0</v>
      </c>
      <c r="BG478" s="17">
        <f t="shared" si="355"/>
        <v>0</v>
      </c>
      <c r="BH478" s="17">
        <f t="shared" si="356"/>
        <v>0</v>
      </c>
      <c r="BI478" s="17">
        <f t="shared" si="357"/>
        <v>0</v>
      </c>
      <c r="BJ478" s="17">
        <f t="shared" si="358"/>
        <v>0</v>
      </c>
      <c r="BK478" s="17">
        <f t="shared" si="359"/>
        <v>0</v>
      </c>
      <c r="BL478" s="17">
        <f t="shared" si="360"/>
        <v>0</v>
      </c>
      <c r="BM478" s="17">
        <f t="shared" si="361"/>
        <v>0</v>
      </c>
      <c r="BN478" s="17">
        <f t="shared" si="362"/>
        <v>0</v>
      </c>
      <c r="BO478" s="17">
        <f t="shared" si="363"/>
        <v>0</v>
      </c>
      <c r="BP478" s="17">
        <f t="shared" si="364"/>
        <v>0</v>
      </c>
      <c r="BQ478" s="17">
        <f t="shared" si="365"/>
        <v>0</v>
      </c>
      <c r="BR478" s="17">
        <f t="shared" si="366"/>
        <v>0</v>
      </c>
      <c r="BS478" s="17">
        <f t="shared" si="367"/>
        <v>0</v>
      </c>
      <c r="BT478" s="17">
        <f t="shared" si="368"/>
        <v>0</v>
      </c>
      <c r="BU478" s="17">
        <f t="shared" si="369"/>
        <v>0</v>
      </c>
      <c r="BV478" s="17">
        <f t="shared" si="370"/>
        <v>0</v>
      </c>
      <c r="BW478" s="17">
        <f t="shared" si="371"/>
        <v>0</v>
      </c>
      <c r="BX478" s="17">
        <f t="shared" si="372"/>
        <v>0</v>
      </c>
      <c r="BY478" s="17">
        <f t="shared" si="373"/>
        <v>0</v>
      </c>
      <c r="BZ478" s="17">
        <f t="shared" si="384"/>
        <v>0</v>
      </c>
      <c r="CA478" s="17">
        <f t="shared" si="385"/>
        <v>0</v>
      </c>
      <c r="CB478" s="17">
        <f t="shared" si="386"/>
        <v>0</v>
      </c>
      <c r="CC478" s="17">
        <f t="shared" si="387"/>
        <v>0</v>
      </c>
      <c r="CD478" s="17">
        <f t="shared" si="388"/>
        <v>0</v>
      </c>
      <c r="CE478" s="17">
        <f t="shared" si="389"/>
        <v>0</v>
      </c>
      <c r="CF478" s="17">
        <f t="shared" si="390"/>
        <v>0</v>
      </c>
      <c r="CG478" s="17">
        <f t="shared" si="391"/>
        <v>0</v>
      </c>
      <c r="CH478" s="17">
        <f t="shared" si="392"/>
        <v>0</v>
      </c>
      <c r="CI478" s="17">
        <f t="shared" si="393"/>
        <v>0</v>
      </c>
      <c r="CJ478" s="17">
        <f t="shared" si="394"/>
        <v>0</v>
      </c>
      <c r="CK478" s="17">
        <f t="shared" si="395"/>
        <v>0</v>
      </c>
      <c r="CL478" s="17">
        <f t="shared" si="396"/>
        <v>0</v>
      </c>
      <c r="CM478" s="14">
        <f t="shared" si="397"/>
        <v>7924</v>
      </c>
      <c r="CN478" s="17">
        <f t="shared" si="398"/>
        <v>23.72450827932645</v>
      </c>
      <c r="CO478" s="14">
        <f t="shared" si="399"/>
        <v>8421</v>
      </c>
      <c r="CP478" s="17">
        <f t="shared" si="400"/>
        <v>25.212529558330143</v>
      </c>
      <c r="CQ478" s="14">
        <f t="shared" si="374"/>
        <v>8421</v>
      </c>
      <c r="CR478" s="14">
        <v>0</v>
      </c>
      <c r="CS478" s="14">
        <v>0</v>
      </c>
      <c r="CT478" s="14">
        <v>0</v>
      </c>
      <c r="CU478" s="14">
        <v>0</v>
      </c>
    </row>
    <row r="479" spans="1:99" x14ac:dyDescent="0.3">
      <c r="A479" s="14">
        <v>2016</v>
      </c>
      <c r="B479" s="14" t="s">
        <v>87</v>
      </c>
      <c r="C479" s="14" t="s">
        <v>88</v>
      </c>
      <c r="D479" s="15">
        <v>101415.1</v>
      </c>
      <c r="E479" s="15">
        <v>3365287.5000000014</v>
      </c>
      <c r="F479" s="15">
        <f t="shared" si="375"/>
        <v>33.18329814790895</v>
      </c>
      <c r="AB479" s="14">
        <f t="shared" si="376"/>
        <v>0</v>
      </c>
      <c r="AM479" s="14">
        <f t="shared" si="377"/>
        <v>0</v>
      </c>
      <c r="AQ479" s="14">
        <f t="shared" si="378"/>
        <v>0</v>
      </c>
      <c r="AT479" s="14">
        <f t="shared" si="379"/>
        <v>0</v>
      </c>
      <c r="AU479" s="16">
        <v>537</v>
      </c>
      <c r="AV479" s="16">
        <v>8968</v>
      </c>
      <c r="AW479" s="16">
        <v>752</v>
      </c>
      <c r="AX479" s="16">
        <v>0</v>
      </c>
      <c r="AY479" s="18">
        <f t="shared" si="380"/>
        <v>1.595703190292062</v>
      </c>
      <c r="AZ479" s="17">
        <f t="shared" si="381"/>
        <v>26.64854042930952</v>
      </c>
      <c r="BA479" s="17">
        <f t="shared" si="382"/>
        <v>2.2345787692730554</v>
      </c>
      <c r="BB479" s="17">
        <f t="shared" si="383"/>
        <v>0</v>
      </c>
      <c r="BC479" s="17">
        <f t="shared" si="351"/>
        <v>0</v>
      </c>
      <c r="BD479" s="17">
        <f t="shared" si="352"/>
        <v>0</v>
      </c>
      <c r="BE479" s="17">
        <f t="shared" si="353"/>
        <v>0</v>
      </c>
      <c r="BF479" s="17">
        <f t="shared" si="354"/>
        <v>0</v>
      </c>
      <c r="BG479" s="17">
        <f t="shared" si="355"/>
        <v>0</v>
      </c>
      <c r="BH479" s="17">
        <f t="shared" si="356"/>
        <v>0</v>
      </c>
      <c r="BI479" s="17">
        <f t="shared" si="357"/>
        <v>0</v>
      </c>
      <c r="BJ479" s="17">
        <f t="shared" si="358"/>
        <v>0</v>
      </c>
      <c r="BK479" s="17">
        <f t="shared" si="359"/>
        <v>0</v>
      </c>
      <c r="BL479" s="17">
        <f t="shared" si="360"/>
        <v>0</v>
      </c>
      <c r="BM479" s="17">
        <f t="shared" si="361"/>
        <v>0</v>
      </c>
      <c r="BN479" s="17">
        <f t="shared" si="362"/>
        <v>0</v>
      </c>
      <c r="BO479" s="17">
        <f t="shared" si="363"/>
        <v>0</v>
      </c>
      <c r="BP479" s="17">
        <f t="shared" si="364"/>
        <v>0</v>
      </c>
      <c r="BQ479" s="17">
        <f t="shared" si="365"/>
        <v>0</v>
      </c>
      <c r="BR479" s="17">
        <f t="shared" si="366"/>
        <v>0</v>
      </c>
      <c r="BS479" s="17">
        <f t="shared" si="367"/>
        <v>0</v>
      </c>
      <c r="BT479" s="17">
        <f t="shared" si="368"/>
        <v>0</v>
      </c>
      <c r="BU479" s="17">
        <f t="shared" si="369"/>
        <v>0</v>
      </c>
      <c r="BV479" s="17">
        <f t="shared" si="370"/>
        <v>0</v>
      </c>
      <c r="BW479" s="17">
        <f t="shared" si="371"/>
        <v>0</v>
      </c>
      <c r="BX479" s="17">
        <f t="shared" si="372"/>
        <v>0</v>
      </c>
      <c r="BY479" s="17">
        <f t="shared" si="373"/>
        <v>0</v>
      </c>
      <c r="BZ479" s="17">
        <f t="shared" si="384"/>
        <v>0</v>
      </c>
      <c r="CA479" s="17">
        <f t="shared" si="385"/>
        <v>0</v>
      </c>
      <c r="CB479" s="17">
        <f t="shared" si="386"/>
        <v>0</v>
      </c>
      <c r="CC479" s="17">
        <f t="shared" si="387"/>
        <v>0</v>
      </c>
      <c r="CD479" s="17">
        <f t="shared" si="388"/>
        <v>0</v>
      </c>
      <c r="CE479" s="17">
        <f t="shared" si="389"/>
        <v>0</v>
      </c>
      <c r="CF479" s="17">
        <f t="shared" si="390"/>
        <v>0</v>
      </c>
      <c r="CG479" s="17">
        <f t="shared" si="391"/>
        <v>0</v>
      </c>
      <c r="CH479" s="17">
        <f t="shared" si="392"/>
        <v>0</v>
      </c>
      <c r="CI479" s="17">
        <f t="shared" si="393"/>
        <v>0</v>
      </c>
      <c r="CJ479" s="17">
        <f t="shared" si="394"/>
        <v>0</v>
      </c>
      <c r="CK479" s="17">
        <f t="shared" si="395"/>
        <v>0</v>
      </c>
      <c r="CL479" s="17">
        <f t="shared" si="396"/>
        <v>0</v>
      </c>
      <c r="CM479" s="14">
        <f t="shared" si="397"/>
        <v>9720</v>
      </c>
      <c r="CN479" s="17">
        <f t="shared" si="398"/>
        <v>28.883119198582577</v>
      </c>
      <c r="CO479" s="14">
        <f t="shared" si="399"/>
        <v>10257</v>
      </c>
      <c r="CP479" s="17">
        <f t="shared" si="400"/>
        <v>30.478822388874637</v>
      </c>
      <c r="CQ479" s="14">
        <f t="shared" si="374"/>
        <v>10257</v>
      </c>
      <c r="CR479" s="14">
        <v>0</v>
      </c>
      <c r="CS479" s="14">
        <v>0</v>
      </c>
      <c r="CT479" s="14">
        <v>0</v>
      </c>
      <c r="CU479" s="14">
        <v>0</v>
      </c>
    </row>
    <row r="480" spans="1:99" x14ac:dyDescent="0.3">
      <c r="A480" s="14">
        <v>2017</v>
      </c>
      <c r="B480" s="14" t="s">
        <v>87</v>
      </c>
      <c r="C480" s="14" t="s">
        <v>88</v>
      </c>
      <c r="D480" s="15">
        <v>100718.5</v>
      </c>
      <c r="E480" s="15">
        <v>3396933.0000000019</v>
      </c>
      <c r="F480" s="15">
        <f t="shared" si="375"/>
        <v>33.727001494263732</v>
      </c>
      <c r="AB480" s="14">
        <f t="shared" si="376"/>
        <v>0</v>
      </c>
      <c r="AM480" s="14">
        <f t="shared" si="377"/>
        <v>0</v>
      </c>
      <c r="AQ480" s="14">
        <f t="shared" si="378"/>
        <v>0</v>
      </c>
      <c r="AT480" s="14">
        <f t="shared" si="379"/>
        <v>0</v>
      </c>
      <c r="AU480" s="16">
        <v>529</v>
      </c>
      <c r="AV480" s="16">
        <v>9056</v>
      </c>
      <c r="AW480" s="16">
        <v>0</v>
      </c>
      <c r="AX480" s="16">
        <v>0</v>
      </c>
      <c r="AY480" s="18">
        <f t="shared" si="380"/>
        <v>1.557287117526309</v>
      </c>
      <c r="AZ480" s="17">
        <f t="shared" si="381"/>
        <v>26.65934241269991</v>
      </c>
      <c r="BA480" s="17">
        <f t="shared" si="382"/>
        <v>0</v>
      </c>
      <c r="BB480" s="17">
        <f t="shared" si="383"/>
        <v>0</v>
      </c>
      <c r="BC480" s="17">
        <f t="shared" si="351"/>
        <v>0</v>
      </c>
      <c r="BD480" s="17">
        <f t="shared" si="352"/>
        <v>0</v>
      </c>
      <c r="BE480" s="17">
        <f t="shared" si="353"/>
        <v>0</v>
      </c>
      <c r="BF480" s="17">
        <f t="shared" si="354"/>
        <v>0</v>
      </c>
      <c r="BG480" s="17">
        <f t="shared" si="355"/>
        <v>0</v>
      </c>
      <c r="BH480" s="17">
        <f t="shared" si="356"/>
        <v>0</v>
      </c>
      <c r="BI480" s="17">
        <f t="shared" si="357"/>
        <v>0</v>
      </c>
      <c r="BJ480" s="17">
        <f t="shared" si="358"/>
        <v>0</v>
      </c>
      <c r="BK480" s="17">
        <f t="shared" si="359"/>
        <v>0</v>
      </c>
      <c r="BL480" s="17">
        <f t="shared" si="360"/>
        <v>0</v>
      </c>
      <c r="BM480" s="17">
        <f t="shared" si="361"/>
        <v>0</v>
      </c>
      <c r="BN480" s="17">
        <f t="shared" si="362"/>
        <v>0</v>
      </c>
      <c r="BO480" s="17">
        <f t="shared" si="363"/>
        <v>0</v>
      </c>
      <c r="BP480" s="17">
        <f t="shared" si="364"/>
        <v>0</v>
      </c>
      <c r="BQ480" s="17">
        <f t="shared" si="365"/>
        <v>0</v>
      </c>
      <c r="BR480" s="17">
        <f t="shared" si="366"/>
        <v>0</v>
      </c>
      <c r="BS480" s="17">
        <f t="shared" si="367"/>
        <v>0</v>
      </c>
      <c r="BT480" s="17">
        <f t="shared" si="368"/>
        <v>0</v>
      </c>
      <c r="BU480" s="17">
        <f t="shared" si="369"/>
        <v>0</v>
      </c>
      <c r="BV480" s="17">
        <f t="shared" si="370"/>
        <v>0</v>
      </c>
      <c r="BW480" s="17">
        <f t="shared" si="371"/>
        <v>0</v>
      </c>
      <c r="BX480" s="17">
        <f t="shared" si="372"/>
        <v>0</v>
      </c>
      <c r="BY480" s="17">
        <f t="shared" si="373"/>
        <v>0</v>
      </c>
      <c r="BZ480" s="17">
        <f t="shared" si="384"/>
        <v>0</v>
      </c>
      <c r="CA480" s="17">
        <f t="shared" si="385"/>
        <v>0</v>
      </c>
      <c r="CB480" s="17">
        <f t="shared" si="386"/>
        <v>0</v>
      </c>
      <c r="CC480" s="17">
        <f t="shared" si="387"/>
        <v>0</v>
      </c>
      <c r="CD480" s="17">
        <f t="shared" si="388"/>
        <v>0</v>
      </c>
      <c r="CE480" s="17">
        <f t="shared" si="389"/>
        <v>0</v>
      </c>
      <c r="CF480" s="17">
        <f t="shared" si="390"/>
        <v>0</v>
      </c>
      <c r="CG480" s="17">
        <f t="shared" si="391"/>
        <v>0</v>
      </c>
      <c r="CH480" s="17">
        <f t="shared" si="392"/>
        <v>0</v>
      </c>
      <c r="CI480" s="17">
        <f t="shared" si="393"/>
        <v>0</v>
      </c>
      <c r="CJ480" s="17">
        <f t="shared" si="394"/>
        <v>0</v>
      </c>
      <c r="CK480" s="17">
        <f t="shared" si="395"/>
        <v>0</v>
      </c>
      <c r="CL480" s="17">
        <f t="shared" si="396"/>
        <v>0</v>
      </c>
      <c r="CM480" s="14">
        <f t="shared" si="397"/>
        <v>9056</v>
      </c>
      <c r="CN480" s="17">
        <f t="shared" si="398"/>
        <v>26.65934241269991</v>
      </c>
      <c r="CO480" s="14">
        <f t="shared" si="399"/>
        <v>9585</v>
      </c>
      <c r="CP480" s="17">
        <f t="shared" si="400"/>
        <v>28.216629530226221</v>
      </c>
      <c r="CQ480" s="14">
        <f t="shared" si="374"/>
        <v>9585</v>
      </c>
      <c r="CR480" s="14">
        <v>0</v>
      </c>
      <c r="CS480" s="14">
        <v>0</v>
      </c>
      <c r="CT480" s="14">
        <v>0</v>
      </c>
      <c r="CU480" s="14">
        <v>0</v>
      </c>
    </row>
    <row r="481" spans="1:99" x14ac:dyDescent="0.3">
      <c r="A481" s="14">
        <v>2018</v>
      </c>
      <c r="B481" s="14" t="s">
        <v>87</v>
      </c>
      <c r="C481" s="14" t="s">
        <v>88</v>
      </c>
      <c r="D481" s="15">
        <v>100677</v>
      </c>
      <c r="E481" s="15">
        <v>3445374.4999999986</v>
      </c>
      <c r="F481" s="15">
        <f t="shared" si="375"/>
        <v>34.222061642679051</v>
      </c>
      <c r="G481" s="14">
        <v>186</v>
      </c>
      <c r="H481" s="14">
        <v>451</v>
      </c>
      <c r="M481" s="14">
        <v>243</v>
      </c>
      <c r="Z481" s="14">
        <v>549</v>
      </c>
      <c r="AB481" s="14">
        <f t="shared" si="376"/>
        <v>0</v>
      </c>
      <c r="AM481" s="14">
        <f t="shared" si="377"/>
        <v>0</v>
      </c>
      <c r="AQ481" s="14">
        <f t="shared" si="378"/>
        <v>0</v>
      </c>
      <c r="AT481" s="14">
        <f t="shared" si="379"/>
        <v>0</v>
      </c>
      <c r="AU481" s="16">
        <v>639</v>
      </c>
      <c r="AV481" s="16">
        <v>9942</v>
      </c>
      <c r="AW481" s="16">
        <v>0</v>
      </c>
      <c r="AX481" s="16">
        <v>0</v>
      </c>
      <c r="AY481" s="18">
        <f t="shared" si="380"/>
        <v>1.8546605020731426</v>
      </c>
      <c r="AZ481" s="17">
        <f t="shared" si="381"/>
        <v>28.856079360893872</v>
      </c>
      <c r="BA481" s="17">
        <f t="shared" si="382"/>
        <v>0</v>
      </c>
      <c r="BB481" s="17">
        <f t="shared" si="383"/>
        <v>0</v>
      </c>
      <c r="BC481" s="17">
        <f t="shared" si="351"/>
        <v>0.53985423065039828</v>
      </c>
      <c r="BD481" s="17">
        <f t="shared" si="352"/>
        <v>1.3090013872222024</v>
      </c>
      <c r="BE481" s="17">
        <f t="shared" si="353"/>
        <v>0</v>
      </c>
      <c r="BF481" s="17">
        <f t="shared" si="354"/>
        <v>0</v>
      </c>
      <c r="BG481" s="17">
        <f t="shared" si="355"/>
        <v>0</v>
      </c>
      <c r="BH481" s="17">
        <f t="shared" si="356"/>
        <v>0</v>
      </c>
      <c r="BI481" s="17">
        <f t="shared" si="357"/>
        <v>0.70529343036584291</v>
      </c>
      <c r="BJ481" s="17">
        <f t="shared" si="358"/>
        <v>0</v>
      </c>
      <c r="BK481" s="17">
        <f t="shared" si="359"/>
        <v>0</v>
      </c>
      <c r="BL481" s="17">
        <f t="shared" si="360"/>
        <v>0</v>
      </c>
      <c r="BM481" s="17">
        <f t="shared" si="361"/>
        <v>0</v>
      </c>
      <c r="BN481" s="17">
        <f t="shared" si="362"/>
        <v>0</v>
      </c>
      <c r="BO481" s="17">
        <f t="shared" si="363"/>
        <v>0</v>
      </c>
      <c r="BP481" s="17">
        <f t="shared" si="364"/>
        <v>0</v>
      </c>
      <c r="BQ481" s="17">
        <f t="shared" si="365"/>
        <v>0</v>
      </c>
      <c r="BR481" s="17">
        <f t="shared" si="366"/>
        <v>0</v>
      </c>
      <c r="BS481" s="17">
        <f t="shared" si="367"/>
        <v>0</v>
      </c>
      <c r="BT481" s="17">
        <f t="shared" si="368"/>
        <v>0</v>
      </c>
      <c r="BU481" s="17">
        <f t="shared" si="369"/>
        <v>0</v>
      </c>
      <c r="BV481" s="17">
        <f t="shared" si="370"/>
        <v>1.5934407130487562</v>
      </c>
      <c r="BW481" s="17">
        <f t="shared" si="371"/>
        <v>0</v>
      </c>
      <c r="BX481" s="17">
        <f t="shared" si="372"/>
        <v>0</v>
      </c>
      <c r="BY481" s="17">
        <f t="shared" si="373"/>
        <v>0</v>
      </c>
      <c r="BZ481" s="17">
        <f t="shared" si="384"/>
        <v>0</v>
      </c>
      <c r="CA481" s="17">
        <f t="shared" si="385"/>
        <v>0</v>
      </c>
      <c r="CB481" s="17">
        <f t="shared" si="386"/>
        <v>0</v>
      </c>
      <c r="CC481" s="17">
        <f t="shared" si="387"/>
        <v>0</v>
      </c>
      <c r="CD481" s="17">
        <f t="shared" si="388"/>
        <v>0</v>
      </c>
      <c r="CE481" s="17">
        <f t="shared" si="389"/>
        <v>0</v>
      </c>
      <c r="CF481" s="17">
        <f t="shared" si="390"/>
        <v>0</v>
      </c>
      <c r="CG481" s="17">
        <f t="shared" si="391"/>
        <v>0</v>
      </c>
      <c r="CH481" s="17">
        <f t="shared" si="392"/>
        <v>0</v>
      </c>
      <c r="CI481" s="17">
        <f t="shared" si="393"/>
        <v>0</v>
      </c>
      <c r="CJ481" s="17">
        <f t="shared" si="394"/>
        <v>0</v>
      </c>
      <c r="CK481" s="17">
        <f t="shared" si="395"/>
        <v>0</v>
      </c>
      <c r="CL481" s="17">
        <f t="shared" si="396"/>
        <v>0</v>
      </c>
      <c r="CM481" s="14">
        <f t="shared" si="397"/>
        <v>9942</v>
      </c>
      <c r="CN481" s="17">
        <f t="shared" si="398"/>
        <v>28.856079360893872</v>
      </c>
      <c r="CO481" s="14">
        <f t="shared" si="399"/>
        <v>10581</v>
      </c>
      <c r="CP481" s="17">
        <f t="shared" si="400"/>
        <v>30.710739862967014</v>
      </c>
      <c r="CQ481" s="14">
        <f t="shared" si="374"/>
        <v>12010</v>
      </c>
      <c r="CR481" s="14">
        <v>0</v>
      </c>
      <c r="CS481" s="14">
        <v>0</v>
      </c>
      <c r="CT481" s="14">
        <v>0</v>
      </c>
      <c r="CU481" s="14">
        <v>0</v>
      </c>
    </row>
    <row r="482" spans="1:99" x14ac:dyDescent="0.3">
      <c r="A482" s="14">
        <v>2019</v>
      </c>
      <c r="B482" s="14" t="s">
        <v>87</v>
      </c>
      <c r="C482" s="14" t="s">
        <v>88</v>
      </c>
      <c r="D482" s="15">
        <v>101446.8</v>
      </c>
      <c r="E482" s="15">
        <v>3498818.0000000014</v>
      </c>
      <c r="F482" s="15">
        <f t="shared" si="375"/>
        <v>34.489190393388469</v>
      </c>
      <c r="AB482" s="14">
        <f t="shared" si="376"/>
        <v>0</v>
      </c>
      <c r="AM482" s="14">
        <f t="shared" si="377"/>
        <v>0</v>
      </c>
      <c r="AQ482" s="14">
        <f t="shared" si="378"/>
        <v>0</v>
      </c>
      <c r="AT482" s="14">
        <f t="shared" si="379"/>
        <v>0</v>
      </c>
      <c r="AU482" s="16">
        <v>576</v>
      </c>
      <c r="AV482" s="16">
        <v>0</v>
      </c>
      <c r="AW482" s="16">
        <v>0</v>
      </c>
      <c r="AX482" s="16">
        <v>0</v>
      </c>
      <c r="AY482" s="18">
        <f t="shared" si="380"/>
        <v>1.6462702546974428</v>
      </c>
      <c r="AZ482" s="17">
        <f t="shared" si="381"/>
        <v>0</v>
      </c>
      <c r="BA482" s="17">
        <f t="shared" si="382"/>
        <v>0</v>
      </c>
      <c r="BB482" s="17">
        <f t="shared" si="383"/>
        <v>0</v>
      </c>
      <c r="BC482" s="17">
        <f t="shared" si="351"/>
        <v>0</v>
      </c>
      <c r="BD482" s="17">
        <f t="shared" si="352"/>
        <v>0</v>
      </c>
      <c r="BE482" s="17">
        <f t="shared" si="353"/>
        <v>0</v>
      </c>
      <c r="BF482" s="17">
        <f t="shared" si="354"/>
        <v>0</v>
      </c>
      <c r="BG482" s="17">
        <f t="shared" si="355"/>
        <v>0</v>
      </c>
      <c r="BH482" s="17">
        <f t="shared" si="356"/>
        <v>0</v>
      </c>
      <c r="BI482" s="17">
        <f t="shared" si="357"/>
        <v>0</v>
      </c>
      <c r="BJ482" s="17">
        <f t="shared" si="358"/>
        <v>0</v>
      </c>
      <c r="BK482" s="17">
        <f t="shared" si="359"/>
        <v>0</v>
      </c>
      <c r="BL482" s="17">
        <f t="shared" si="360"/>
        <v>0</v>
      </c>
      <c r="BM482" s="17">
        <f t="shared" si="361"/>
        <v>0</v>
      </c>
      <c r="BN482" s="17">
        <f t="shared" si="362"/>
        <v>0</v>
      </c>
      <c r="BO482" s="17">
        <f t="shared" si="363"/>
        <v>0</v>
      </c>
      <c r="BP482" s="17">
        <f t="shared" si="364"/>
        <v>0</v>
      </c>
      <c r="BQ482" s="17">
        <f t="shared" si="365"/>
        <v>0</v>
      </c>
      <c r="BR482" s="17">
        <f t="shared" si="366"/>
        <v>0</v>
      </c>
      <c r="BS482" s="17">
        <f t="shared" si="367"/>
        <v>0</v>
      </c>
      <c r="BT482" s="17">
        <f t="shared" si="368"/>
        <v>0</v>
      </c>
      <c r="BU482" s="17">
        <f t="shared" si="369"/>
        <v>0</v>
      </c>
      <c r="BV482" s="17">
        <f t="shared" si="370"/>
        <v>0</v>
      </c>
      <c r="BW482" s="17">
        <f t="shared" si="371"/>
        <v>0</v>
      </c>
      <c r="BX482" s="17">
        <f t="shared" si="372"/>
        <v>0</v>
      </c>
      <c r="BY482" s="17">
        <f t="shared" si="373"/>
        <v>0</v>
      </c>
      <c r="BZ482" s="17">
        <f t="shared" si="384"/>
        <v>0</v>
      </c>
      <c r="CA482" s="17">
        <f t="shared" si="385"/>
        <v>0</v>
      </c>
      <c r="CB482" s="17">
        <f t="shared" si="386"/>
        <v>0</v>
      </c>
      <c r="CC482" s="17">
        <f t="shared" si="387"/>
        <v>0</v>
      </c>
      <c r="CD482" s="17">
        <f t="shared" si="388"/>
        <v>0</v>
      </c>
      <c r="CE482" s="17">
        <f t="shared" si="389"/>
        <v>0</v>
      </c>
      <c r="CF482" s="17">
        <f t="shared" si="390"/>
        <v>0</v>
      </c>
      <c r="CG482" s="17">
        <f t="shared" si="391"/>
        <v>0</v>
      </c>
      <c r="CH482" s="17">
        <f t="shared" si="392"/>
        <v>0</v>
      </c>
      <c r="CI482" s="17">
        <f t="shared" si="393"/>
        <v>0</v>
      </c>
      <c r="CJ482" s="17">
        <f t="shared" si="394"/>
        <v>0</v>
      </c>
      <c r="CK482" s="17">
        <f t="shared" si="395"/>
        <v>0</v>
      </c>
      <c r="CL482" s="17">
        <f t="shared" si="396"/>
        <v>0</v>
      </c>
      <c r="CM482" s="14">
        <f t="shared" si="397"/>
        <v>0</v>
      </c>
      <c r="CN482" s="17">
        <f t="shared" si="398"/>
        <v>0</v>
      </c>
      <c r="CO482" s="14">
        <f t="shared" si="399"/>
        <v>576</v>
      </c>
      <c r="CP482" s="17"/>
      <c r="CQ482" s="14">
        <f t="shared" si="374"/>
        <v>576</v>
      </c>
      <c r="CR482" s="14">
        <v>0</v>
      </c>
      <c r="CS482" s="14">
        <v>0</v>
      </c>
      <c r="CT482" s="14">
        <v>0</v>
      </c>
      <c r="CU482" s="14">
        <v>0</v>
      </c>
    </row>
    <row r="483" spans="1:99" x14ac:dyDescent="0.3">
      <c r="A483" s="14">
        <v>2020</v>
      </c>
      <c r="B483" s="14" t="s">
        <v>87</v>
      </c>
      <c r="C483" s="14" t="s">
        <v>88</v>
      </c>
      <c r="D483" s="15">
        <v>102444.9</v>
      </c>
      <c r="E483" s="15">
        <v>3555867.9999999991</v>
      </c>
      <c r="F483" s="15">
        <f t="shared" si="375"/>
        <v>34.710053892385069</v>
      </c>
      <c r="M483" s="14">
        <v>6000</v>
      </c>
      <c r="AB483" s="14">
        <f t="shared" si="376"/>
        <v>0</v>
      </c>
      <c r="AM483" s="14">
        <f t="shared" si="377"/>
        <v>0</v>
      </c>
      <c r="AQ483" s="14">
        <f t="shared" si="378"/>
        <v>0</v>
      </c>
      <c r="AT483" s="14">
        <f t="shared" si="379"/>
        <v>0</v>
      </c>
      <c r="AU483" s="16">
        <v>662</v>
      </c>
      <c r="AV483" s="16">
        <v>0</v>
      </c>
      <c r="AW483" s="16">
        <v>0</v>
      </c>
      <c r="AX483" s="16">
        <v>0</v>
      </c>
      <c r="AY483" s="18">
        <f t="shared" si="380"/>
        <v>1.8617114021105401</v>
      </c>
      <c r="AZ483" s="17">
        <f t="shared" si="381"/>
        <v>0</v>
      </c>
      <c r="BA483" s="17">
        <f t="shared" si="382"/>
        <v>0</v>
      </c>
      <c r="BB483" s="17">
        <f t="shared" si="383"/>
        <v>0</v>
      </c>
      <c r="BC483" s="17">
        <f t="shared" si="351"/>
        <v>0</v>
      </c>
      <c r="BD483" s="17">
        <f t="shared" si="352"/>
        <v>0</v>
      </c>
      <c r="BE483" s="17">
        <f t="shared" si="353"/>
        <v>0</v>
      </c>
      <c r="BF483" s="17">
        <f t="shared" si="354"/>
        <v>0</v>
      </c>
      <c r="BG483" s="17">
        <f t="shared" si="355"/>
        <v>0</v>
      </c>
      <c r="BH483" s="17">
        <f t="shared" si="356"/>
        <v>0</v>
      </c>
      <c r="BI483" s="17">
        <f t="shared" si="357"/>
        <v>16.873517239672569</v>
      </c>
      <c r="BJ483" s="17">
        <f t="shared" si="358"/>
        <v>0</v>
      </c>
      <c r="BK483" s="17">
        <f t="shared" si="359"/>
        <v>0</v>
      </c>
      <c r="BL483" s="17">
        <f t="shared" si="360"/>
        <v>0</v>
      </c>
      <c r="BM483" s="17">
        <f t="shared" si="361"/>
        <v>0</v>
      </c>
      <c r="BN483" s="17">
        <f t="shared" si="362"/>
        <v>0</v>
      </c>
      <c r="BO483" s="17">
        <f t="shared" si="363"/>
        <v>0</v>
      </c>
      <c r="BP483" s="17">
        <f t="shared" si="364"/>
        <v>0</v>
      </c>
      <c r="BQ483" s="17">
        <f t="shared" si="365"/>
        <v>0</v>
      </c>
      <c r="BR483" s="17">
        <f t="shared" si="366"/>
        <v>0</v>
      </c>
      <c r="BS483" s="17">
        <f t="shared" si="367"/>
        <v>0</v>
      </c>
      <c r="BT483" s="17">
        <f t="shared" si="368"/>
        <v>0</v>
      </c>
      <c r="BU483" s="17">
        <f t="shared" si="369"/>
        <v>0</v>
      </c>
      <c r="BV483" s="17">
        <f t="shared" si="370"/>
        <v>0</v>
      </c>
      <c r="BW483" s="17">
        <f t="shared" si="371"/>
        <v>0</v>
      </c>
      <c r="BX483" s="17">
        <f t="shared" si="372"/>
        <v>0</v>
      </c>
      <c r="BY483" s="17">
        <f t="shared" si="373"/>
        <v>0</v>
      </c>
      <c r="BZ483" s="17">
        <f t="shared" si="384"/>
        <v>0</v>
      </c>
      <c r="CA483" s="17">
        <f t="shared" si="385"/>
        <v>0</v>
      </c>
      <c r="CB483" s="17">
        <f t="shared" si="386"/>
        <v>0</v>
      </c>
      <c r="CC483" s="17">
        <f t="shared" si="387"/>
        <v>0</v>
      </c>
      <c r="CD483" s="17">
        <f t="shared" si="388"/>
        <v>0</v>
      </c>
      <c r="CE483" s="17">
        <f t="shared" si="389"/>
        <v>0</v>
      </c>
      <c r="CF483" s="17">
        <f t="shared" si="390"/>
        <v>0</v>
      </c>
      <c r="CG483" s="17">
        <f t="shared" si="391"/>
        <v>0</v>
      </c>
      <c r="CH483" s="17">
        <f t="shared" si="392"/>
        <v>0</v>
      </c>
      <c r="CI483" s="17">
        <f t="shared" si="393"/>
        <v>0</v>
      </c>
      <c r="CJ483" s="17">
        <f t="shared" si="394"/>
        <v>0</v>
      </c>
      <c r="CK483" s="17">
        <f t="shared" si="395"/>
        <v>0</v>
      </c>
      <c r="CL483" s="17">
        <f t="shared" si="396"/>
        <v>0</v>
      </c>
      <c r="CM483" s="14">
        <f t="shared" si="397"/>
        <v>0</v>
      </c>
      <c r="CN483" s="17">
        <f t="shared" si="398"/>
        <v>0</v>
      </c>
      <c r="CO483" s="14">
        <f t="shared" si="399"/>
        <v>662</v>
      </c>
      <c r="CP483" s="17"/>
      <c r="CQ483" s="14">
        <f t="shared" si="374"/>
        <v>6662</v>
      </c>
      <c r="CR483" s="14">
        <v>0</v>
      </c>
      <c r="CS483" s="14">
        <v>0</v>
      </c>
      <c r="CT483" s="14">
        <v>0</v>
      </c>
      <c r="CU483" s="14">
        <v>0</v>
      </c>
    </row>
    <row r="484" spans="1:99" x14ac:dyDescent="0.3">
      <c r="A484" s="14">
        <v>2021</v>
      </c>
      <c r="B484" s="14" t="s">
        <v>87</v>
      </c>
      <c r="C484" s="14" t="s">
        <v>88</v>
      </c>
      <c r="D484" s="15">
        <v>103744.1</v>
      </c>
      <c r="E484" s="15">
        <v>3620312.0000000023</v>
      </c>
      <c r="F484" s="15">
        <f t="shared" si="375"/>
        <v>34.896557972935348</v>
      </c>
      <c r="G484" s="14">
        <v>60</v>
      </c>
      <c r="H484" s="14">
        <v>208</v>
      </c>
      <c r="L484" s="14">
        <v>11</v>
      </c>
      <c r="M484" s="14">
        <v>2626</v>
      </c>
      <c r="N484" s="14">
        <v>154</v>
      </c>
      <c r="R484" s="14">
        <v>8</v>
      </c>
      <c r="S484" s="14">
        <v>234</v>
      </c>
      <c r="U484" s="14">
        <v>44</v>
      </c>
      <c r="V484" s="14">
        <v>137</v>
      </c>
      <c r="Y484" s="14">
        <v>267</v>
      </c>
      <c r="Z484" s="14">
        <v>298</v>
      </c>
      <c r="AB484" s="14">
        <f t="shared" si="376"/>
        <v>0</v>
      </c>
      <c r="AF484" s="14">
        <v>99</v>
      </c>
      <c r="AJ484" s="14">
        <v>280</v>
      </c>
      <c r="AK484" s="14">
        <v>131</v>
      </c>
      <c r="AM484" s="14">
        <f t="shared" si="377"/>
        <v>131</v>
      </c>
      <c r="AN484" s="14">
        <v>7</v>
      </c>
      <c r="AP484" s="14">
        <v>6</v>
      </c>
      <c r="AQ484" s="14">
        <f t="shared" si="378"/>
        <v>6</v>
      </c>
      <c r="AT484" s="14">
        <f t="shared" si="379"/>
        <v>0</v>
      </c>
      <c r="AU484" s="16">
        <v>636</v>
      </c>
      <c r="AV484" s="16">
        <v>9362</v>
      </c>
      <c r="AW484" s="16">
        <v>134</v>
      </c>
      <c r="AX484" s="16">
        <v>0</v>
      </c>
      <c r="AY484" s="18">
        <f t="shared" si="380"/>
        <v>1.7567546664486364</v>
      </c>
      <c r="AZ484" s="17">
        <f t="shared" si="381"/>
        <v>25.859649665553672</v>
      </c>
      <c r="BA484" s="17">
        <f t="shared" si="382"/>
        <v>0.37013384481779449</v>
      </c>
      <c r="BB484" s="17">
        <f t="shared" si="383"/>
        <v>0</v>
      </c>
      <c r="BC484" s="17">
        <f t="shared" si="351"/>
        <v>0.16573157230647514</v>
      </c>
      <c r="BD484" s="17">
        <f t="shared" si="352"/>
        <v>0.5745361173291138</v>
      </c>
      <c r="BE484" s="17">
        <f t="shared" si="353"/>
        <v>0</v>
      </c>
      <c r="BF484" s="17">
        <f t="shared" si="354"/>
        <v>0</v>
      </c>
      <c r="BG484" s="17">
        <f t="shared" si="355"/>
        <v>0</v>
      </c>
      <c r="BH484" s="17">
        <f t="shared" si="356"/>
        <v>3.0384121589520443E-2</v>
      </c>
      <c r="BI484" s="17">
        <f t="shared" si="357"/>
        <v>7.2535184812800617</v>
      </c>
      <c r="BJ484" s="17">
        <f t="shared" si="358"/>
        <v>0.42537770225328619</v>
      </c>
      <c r="BK484" s="17">
        <f t="shared" si="359"/>
        <v>0</v>
      </c>
      <c r="BL484" s="17">
        <f t="shared" si="360"/>
        <v>0</v>
      </c>
      <c r="BM484" s="17">
        <f t="shared" si="361"/>
        <v>0</v>
      </c>
      <c r="BN484" s="17">
        <f t="shared" si="362"/>
        <v>2.2097542974196686E-2</v>
      </c>
      <c r="BO484" s="17">
        <f t="shared" si="363"/>
        <v>0.64635313199525302</v>
      </c>
      <c r="BP484" s="17">
        <f t="shared" si="364"/>
        <v>0</v>
      </c>
      <c r="BQ484" s="17">
        <f t="shared" si="365"/>
        <v>0.12153648635808177</v>
      </c>
      <c r="BR484" s="17">
        <f t="shared" si="366"/>
        <v>0.37842042343311821</v>
      </c>
      <c r="BS484" s="17">
        <f t="shared" si="367"/>
        <v>0</v>
      </c>
      <c r="BT484" s="17">
        <f t="shared" si="368"/>
        <v>0</v>
      </c>
      <c r="BU484" s="17">
        <f t="shared" si="369"/>
        <v>0.73750549676381438</v>
      </c>
      <c r="BV484" s="17">
        <f t="shared" si="370"/>
        <v>0.82313347578882656</v>
      </c>
      <c r="BW484" s="17">
        <f t="shared" si="371"/>
        <v>0</v>
      </c>
      <c r="BX484" s="17">
        <f t="shared" si="372"/>
        <v>0</v>
      </c>
      <c r="BY484" s="17">
        <f t="shared" si="373"/>
        <v>0</v>
      </c>
      <c r="BZ484" s="17">
        <f t="shared" si="384"/>
        <v>0</v>
      </c>
      <c r="CA484" s="17">
        <f t="shared" si="385"/>
        <v>0.27345709430568399</v>
      </c>
      <c r="CB484" s="17">
        <f t="shared" si="386"/>
        <v>0</v>
      </c>
      <c r="CC484" s="17">
        <f t="shared" si="387"/>
        <v>0</v>
      </c>
      <c r="CD484" s="17">
        <f t="shared" si="388"/>
        <v>0</v>
      </c>
      <c r="CE484" s="17">
        <f t="shared" si="389"/>
        <v>0.77341400409688399</v>
      </c>
      <c r="CF484" s="17">
        <f t="shared" si="390"/>
        <v>0.36184726620247071</v>
      </c>
      <c r="CG484" s="17">
        <f t="shared" si="391"/>
        <v>0</v>
      </c>
      <c r="CH484" s="17">
        <f t="shared" si="392"/>
        <v>1.93353501024221E-2</v>
      </c>
      <c r="CI484" s="17">
        <f t="shared" si="393"/>
        <v>0</v>
      </c>
      <c r="CJ484" s="17">
        <f t="shared" si="394"/>
        <v>1.6573157230647513E-2</v>
      </c>
      <c r="CK484" s="17">
        <f t="shared" si="395"/>
        <v>0</v>
      </c>
      <c r="CL484" s="17">
        <f t="shared" si="396"/>
        <v>0</v>
      </c>
      <c r="CM484" s="14">
        <f t="shared" si="397"/>
        <v>9496</v>
      </c>
      <c r="CN484" s="17">
        <f t="shared" si="398"/>
        <v>26.229783510371465</v>
      </c>
      <c r="CO484" s="14">
        <f t="shared" si="399"/>
        <v>10132</v>
      </c>
      <c r="CP484" s="17">
        <f t="shared" si="400"/>
        <v>27.986538176820101</v>
      </c>
      <c r="CQ484" s="14">
        <f t="shared" si="374"/>
        <v>14839</v>
      </c>
      <c r="CR484" s="14">
        <v>0</v>
      </c>
      <c r="CS484" s="14">
        <v>0</v>
      </c>
      <c r="CT484" s="14">
        <v>0</v>
      </c>
      <c r="CU484" s="14">
        <v>0</v>
      </c>
    </row>
    <row r="485" spans="1:99" x14ac:dyDescent="0.3">
      <c r="A485" s="14">
        <v>2022</v>
      </c>
      <c r="B485" s="14" t="s">
        <v>87</v>
      </c>
      <c r="C485" s="14" t="s">
        <v>88</v>
      </c>
      <c r="D485" s="15">
        <v>105140.5</v>
      </c>
      <c r="E485" s="15">
        <v>3684031.5000000019</v>
      </c>
      <c r="F485" s="15">
        <f t="shared" si="375"/>
        <v>35.039128594594871</v>
      </c>
      <c r="G485" s="14">
        <v>58</v>
      </c>
      <c r="H485" s="14">
        <v>199</v>
      </c>
      <c r="I485" s="14">
        <v>4713</v>
      </c>
      <c r="L485" s="14">
        <v>11</v>
      </c>
      <c r="M485" s="14">
        <v>2626</v>
      </c>
      <c r="N485" s="14">
        <v>157</v>
      </c>
      <c r="R485" s="14">
        <v>8</v>
      </c>
      <c r="T485" s="14">
        <v>233</v>
      </c>
      <c r="U485" s="14">
        <v>49</v>
      </c>
      <c r="V485" s="14">
        <v>141</v>
      </c>
      <c r="W485" s="14">
        <v>381</v>
      </c>
      <c r="Y485" s="14">
        <v>267</v>
      </c>
      <c r="Z485" s="14">
        <v>296</v>
      </c>
      <c r="AB485" s="14">
        <f t="shared" si="376"/>
        <v>0</v>
      </c>
      <c r="AF485" s="14">
        <v>96</v>
      </c>
      <c r="AJ485" s="14">
        <v>288</v>
      </c>
      <c r="AK485" s="14">
        <v>1</v>
      </c>
      <c r="AL485" s="14">
        <v>129</v>
      </c>
      <c r="AM485" s="14">
        <f t="shared" si="377"/>
        <v>130</v>
      </c>
      <c r="AN485" s="14">
        <v>7</v>
      </c>
      <c r="AP485" s="14">
        <v>6</v>
      </c>
      <c r="AQ485" s="14">
        <f t="shared" si="378"/>
        <v>6</v>
      </c>
      <c r="AT485" s="14">
        <f t="shared" si="379"/>
        <v>0</v>
      </c>
      <c r="AU485" s="16">
        <v>584</v>
      </c>
      <c r="AV485" s="16">
        <v>10014</v>
      </c>
      <c r="AW485" s="16">
        <v>134</v>
      </c>
      <c r="AX485" s="16">
        <v>0</v>
      </c>
      <c r="AY485" s="18">
        <f t="shared" si="380"/>
        <v>1.5852198875063899</v>
      </c>
      <c r="AZ485" s="17">
        <f t="shared" si="381"/>
        <v>27.182178002549637</v>
      </c>
      <c r="BA485" s="17">
        <f t="shared" si="382"/>
        <v>0.36373196048947987</v>
      </c>
      <c r="BB485" s="17">
        <f t="shared" si="383"/>
        <v>0</v>
      </c>
      <c r="BC485" s="17">
        <f t="shared" si="351"/>
        <v>0.15743622170440175</v>
      </c>
      <c r="BD485" s="17">
        <f t="shared" si="352"/>
        <v>0.54016910550303354</v>
      </c>
      <c r="BE485" s="17">
        <f t="shared" si="353"/>
        <v>12.793050222290438</v>
      </c>
      <c r="BF485" s="17">
        <f t="shared" si="354"/>
        <v>0</v>
      </c>
      <c r="BG485" s="17">
        <f t="shared" si="355"/>
        <v>0</v>
      </c>
      <c r="BH485" s="17">
        <f t="shared" si="356"/>
        <v>2.9858593771524469E-2</v>
      </c>
      <c r="BI485" s="17">
        <f t="shared" si="357"/>
        <v>7.1280606585475681</v>
      </c>
      <c r="BJ485" s="17">
        <f t="shared" si="358"/>
        <v>0.42616356564812197</v>
      </c>
      <c r="BK485" s="17">
        <f t="shared" si="359"/>
        <v>0</v>
      </c>
      <c r="BL485" s="17">
        <f t="shared" si="360"/>
        <v>0</v>
      </c>
      <c r="BM485" s="17">
        <f t="shared" si="361"/>
        <v>0</v>
      </c>
      <c r="BN485" s="17">
        <f t="shared" si="362"/>
        <v>2.1715340924745068E-2</v>
      </c>
      <c r="BO485" s="17">
        <f t="shared" si="363"/>
        <v>0</v>
      </c>
      <c r="BP485" s="17">
        <f t="shared" si="364"/>
        <v>0.63245930443320009</v>
      </c>
      <c r="BQ485" s="17">
        <f t="shared" si="365"/>
        <v>0.13300646316406353</v>
      </c>
      <c r="BR485" s="17">
        <f t="shared" si="366"/>
        <v>0.3827328837986318</v>
      </c>
      <c r="BS485" s="17">
        <f t="shared" si="367"/>
        <v>1.0341931115409839</v>
      </c>
      <c r="BT485" s="17">
        <f t="shared" si="368"/>
        <v>0</v>
      </c>
      <c r="BU485" s="17">
        <f t="shared" si="369"/>
        <v>0.72474950336336663</v>
      </c>
      <c r="BV485" s="17">
        <f t="shared" si="370"/>
        <v>0.80346761421556756</v>
      </c>
      <c r="BW485" s="17">
        <f t="shared" si="371"/>
        <v>0</v>
      </c>
      <c r="BX485" s="17">
        <f t="shared" si="372"/>
        <v>0</v>
      </c>
      <c r="BY485" s="17">
        <f t="shared" si="373"/>
        <v>0</v>
      </c>
      <c r="BZ485" s="17">
        <f t="shared" si="384"/>
        <v>0</v>
      </c>
      <c r="CA485" s="17">
        <f t="shared" si="385"/>
        <v>0.26058409109694081</v>
      </c>
      <c r="CB485" s="17">
        <f t="shared" si="386"/>
        <v>0</v>
      </c>
      <c r="CC485" s="17">
        <f t="shared" si="387"/>
        <v>0</v>
      </c>
      <c r="CD485" s="17">
        <f t="shared" si="388"/>
        <v>0</v>
      </c>
      <c r="CE485" s="17">
        <f t="shared" si="389"/>
        <v>0.78175227329082242</v>
      </c>
      <c r="CF485" s="17">
        <f t="shared" si="390"/>
        <v>2.7144176155931335E-3</v>
      </c>
      <c r="CG485" s="17">
        <f t="shared" si="391"/>
        <v>0.35015987241151419</v>
      </c>
      <c r="CH485" s="17">
        <f t="shared" si="392"/>
        <v>1.9000923309151936E-2</v>
      </c>
      <c r="CI485" s="17">
        <f t="shared" si="393"/>
        <v>0</v>
      </c>
      <c r="CJ485" s="17">
        <f t="shared" si="394"/>
        <v>1.62865056935588E-2</v>
      </c>
      <c r="CK485" s="17">
        <f t="shared" si="395"/>
        <v>0</v>
      </c>
      <c r="CL485" s="17">
        <f t="shared" si="396"/>
        <v>0</v>
      </c>
      <c r="CM485" s="14">
        <f t="shared" si="397"/>
        <v>10148</v>
      </c>
      <c r="CN485" s="17">
        <f t="shared" si="398"/>
        <v>27.545909963039119</v>
      </c>
      <c r="CO485" s="14">
        <f t="shared" si="399"/>
        <v>10732</v>
      </c>
      <c r="CP485" s="17">
        <f t="shared" si="400"/>
        <v>29.131129850545509</v>
      </c>
      <c r="CQ485" s="14">
        <f t="shared" si="374"/>
        <v>20534</v>
      </c>
      <c r="CR485" s="14">
        <v>55</v>
      </c>
      <c r="CS485" s="14">
        <v>0</v>
      </c>
      <c r="CT485" s="14">
        <v>0</v>
      </c>
      <c r="CU485" s="14">
        <v>0</v>
      </c>
    </row>
    <row r="486" spans="1:99" x14ac:dyDescent="0.3">
      <c r="A486" s="14">
        <v>2012</v>
      </c>
      <c r="B486" s="14" t="s">
        <v>89</v>
      </c>
      <c r="C486" s="14" t="s">
        <v>90</v>
      </c>
      <c r="D486" s="15">
        <v>243236.1</v>
      </c>
      <c r="E486" s="15">
        <v>6926634.5000000009</v>
      </c>
      <c r="F486" s="15">
        <f t="shared" si="375"/>
        <v>28.477000330131919</v>
      </c>
      <c r="AB486" s="14">
        <f t="shared" si="376"/>
        <v>0</v>
      </c>
      <c r="AM486" s="14">
        <f t="shared" si="377"/>
        <v>0</v>
      </c>
      <c r="AQ486" s="14">
        <f t="shared" si="378"/>
        <v>0</v>
      </c>
      <c r="AT486" s="14">
        <f t="shared" si="379"/>
        <v>0</v>
      </c>
      <c r="AU486" s="16">
        <v>49</v>
      </c>
      <c r="AV486" s="16">
        <v>0</v>
      </c>
      <c r="AW486" s="16">
        <v>0</v>
      </c>
      <c r="AX486" s="16">
        <v>0</v>
      </c>
      <c r="AY486" s="18">
        <f t="shared" si="380"/>
        <v>7.0741425724137733E-2</v>
      </c>
      <c r="AZ486" s="17">
        <f t="shared" si="381"/>
        <v>0</v>
      </c>
      <c r="BA486" s="17">
        <f t="shared" si="382"/>
        <v>0</v>
      </c>
      <c r="BB486" s="17">
        <f t="shared" si="383"/>
        <v>0</v>
      </c>
      <c r="BC486" s="17">
        <f t="shared" si="351"/>
        <v>0</v>
      </c>
      <c r="BD486" s="17">
        <f t="shared" si="352"/>
        <v>0</v>
      </c>
      <c r="BE486" s="17">
        <f t="shared" si="353"/>
        <v>0</v>
      </c>
      <c r="BF486" s="17">
        <f t="shared" si="354"/>
        <v>0</v>
      </c>
      <c r="BG486" s="17">
        <f t="shared" si="355"/>
        <v>0</v>
      </c>
      <c r="BH486" s="17">
        <f t="shared" si="356"/>
        <v>0</v>
      </c>
      <c r="BI486" s="17">
        <f t="shared" si="357"/>
        <v>0</v>
      </c>
      <c r="BJ486" s="17">
        <f t="shared" si="358"/>
        <v>0</v>
      </c>
      <c r="BK486" s="17">
        <f t="shared" si="359"/>
        <v>0</v>
      </c>
      <c r="BL486" s="17">
        <f t="shared" si="360"/>
        <v>0</v>
      </c>
      <c r="BM486" s="17">
        <f t="shared" si="361"/>
        <v>0</v>
      </c>
      <c r="BN486" s="17">
        <f t="shared" si="362"/>
        <v>0</v>
      </c>
      <c r="BO486" s="17">
        <f t="shared" si="363"/>
        <v>0</v>
      </c>
      <c r="BP486" s="17">
        <f t="shared" si="364"/>
        <v>0</v>
      </c>
      <c r="BQ486" s="17">
        <f t="shared" si="365"/>
        <v>0</v>
      </c>
      <c r="BR486" s="17">
        <f t="shared" si="366"/>
        <v>0</v>
      </c>
      <c r="BS486" s="17">
        <f t="shared" si="367"/>
        <v>0</v>
      </c>
      <c r="BT486" s="17">
        <f t="shared" si="368"/>
        <v>0</v>
      </c>
      <c r="BU486" s="17">
        <f t="shared" si="369"/>
        <v>0</v>
      </c>
      <c r="BV486" s="17">
        <f t="shared" si="370"/>
        <v>0</v>
      </c>
      <c r="BW486" s="17">
        <f t="shared" si="371"/>
        <v>0</v>
      </c>
      <c r="BX486" s="17">
        <f t="shared" si="372"/>
        <v>0</v>
      </c>
      <c r="BY486" s="17">
        <f t="shared" si="373"/>
        <v>0</v>
      </c>
      <c r="BZ486" s="17">
        <f t="shared" si="384"/>
        <v>0</v>
      </c>
      <c r="CA486" s="17">
        <f t="shared" si="385"/>
        <v>0</v>
      </c>
      <c r="CB486" s="17">
        <f t="shared" si="386"/>
        <v>0</v>
      </c>
      <c r="CC486" s="17">
        <f t="shared" si="387"/>
        <v>0</v>
      </c>
      <c r="CD486" s="17">
        <f t="shared" si="388"/>
        <v>0</v>
      </c>
      <c r="CE486" s="17">
        <f t="shared" si="389"/>
        <v>0</v>
      </c>
      <c r="CF486" s="17">
        <f t="shared" si="390"/>
        <v>0</v>
      </c>
      <c r="CG486" s="17">
        <f t="shared" si="391"/>
        <v>0</v>
      </c>
      <c r="CH486" s="17">
        <f t="shared" si="392"/>
        <v>0</v>
      </c>
      <c r="CI486" s="17">
        <f t="shared" si="393"/>
        <v>0</v>
      </c>
      <c r="CJ486" s="17">
        <f t="shared" si="394"/>
        <v>0</v>
      </c>
      <c r="CK486" s="17">
        <f t="shared" si="395"/>
        <v>0</v>
      </c>
      <c r="CL486" s="17">
        <f t="shared" si="396"/>
        <v>0</v>
      </c>
      <c r="CM486" s="14">
        <f t="shared" si="397"/>
        <v>0</v>
      </c>
      <c r="CN486" s="17">
        <f t="shared" si="398"/>
        <v>0</v>
      </c>
      <c r="CO486" s="14">
        <f t="shared" si="399"/>
        <v>49</v>
      </c>
      <c r="CP486" s="17">
        <f t="shared" si="400"/>
        <v>7.0741425724137733E-2</v>
      </c>
      <c r="CQ486" s="14">
        <f t="shared" si="374"/>
        <v>49</v>
      </c>
      <c r="CR486" s="14">
        <v>0</v>
      </c>
      <c r="CS486" s="14">
        <v>4</v>
      </c>
      <c r="CT486" s="14">
        <v>0</v>
      </c>
      <c r="CU486" s="14">
        <v>0</v>
      </c>
    </row>
    <row r="487" spans="1:99" x14ac:dyDescent="0.3">
      <c r="A487" s="14">
        <v>2013</v>
      </c>
      <c r="B487" s="14" t="s">
        <v>89</v>
      </c>
      <c r="C487" s="14" t="s">
        <v>90</v>
      </c>
      <c r="D487" s="15">
        <v>245420.7</v>
      </c>
      <c r="E487" s="15">
        <v>7106229</v>
      </c>
      <c r="F487" s="15">
        <f t="shared" si="375"/>
        <v>28.955295946918902</v>
      </c>
      <c r="AB487" s="14">
        <f t="shared" si="376"/>
        <v>0</v>
      </c>
      <c r="AM487" s="14">
        <f t="shared" si="377"/>
        <v>0</v>
      </c>
      <c r="AQ487" s="14">
        <f t="shared" si="378"/>
        <v>0</v>
      </c>
      <c r="AT487" s="14">
        <f t="shared" si="379"/>
        <v>0</v>
      </c>
      <c r="AU487" s="16">
        <v>53</v>
      </c>
      <c r="AV487" s="16">
        <v>0</v>
      </c>
      <c r="AW487" s="16">
        <v>1590</v>
      </c>
      <c r="AX487" s="16">
        <v>0</v>
      </c>
      <c r="AY487" s="18">
        <f t="shared" si="380"/>
        <v>7.4582454350964486E-2</v>
      </c>
      <c r="AZ487" s="17">
        <f t="shared" si="381"/>
        <v>0</v>
      </c>
      <c r="BA487" s="17">
        <f t="shared" si="382"/>
        <v>2.2374736305289344</v>
      </c>
      <c r="BB487" s="17">
        <f t="shared" si="383"/>
        <v>0</v>
      </c>
      <c r="BC487" s="17">
        <f t="shared" si="351"/>
        <v>0</v>
      </c>
      <c r="BD487" s="17">
        <f t="shared" si="352"/>
        <v>0</v>
      </c>
      <c r="BE487" s="17">
        <f t="shared" si="353"/>
        <v>0</v>
      </c>
      <c r="BF487" s="17">
        <f t="shared" si="354"/>
        <v>0</v>
      </c>
      <c r="BG487" s="17">
        <f t="shared" si="355"/>
        <v>0</v>
      </c>
      <c r="BH487" s="17">
        <f t="shared" si="356"/>
        <v>0</v>
      </c>
      <c r="BI487" s="17">
        <f t="shared" si="357"/>
        <v>0</v>
      </c>
      <c r="BJ487" s="17">
        <f t="shared" si="358"/>
        <v>0</v>
      </c>
      <c r="BK487" s="17">
        <f t="shared" si="359"/>
        <v>0</v>
      </c>
      <c r="BL487" s="17">
        <f t="shared" si="360"/>
        <v>0</v>
      </c>
      <c r="BM487" s="17">
        <f t="shared" si="361"/>
        <v>0</v>
      </c>
      <c r="BN487" s="17">
        <f t="shared" si="362"/>
        <v>0</v>
      </c>
      <c r="BO487" s="17">
        <f t="shared" si="363"/>
        <v>0</v>
      </c>
      <c r="BP487" s="17">
        <f t="shared" si="364"/>
        <v>0</v>
      </c>
      <c r="BQ487" s="17">
        <f t="shared" si="365"/>
        <v>0</v>
      </c>
      <c r="BR487" s="17">
        <f t="shared" si="366"/>
        <v>0</v>
      </c>
      <c r="BS487" s="17">
        <f t="shared" si="367"/>
        <v>0</v>
      </c>
      <c r="BT487" s="17">
        <f t="shared" si="368"/>
        <v>0</v>
      </c>
      <c r="BU487" s="17">
        <f t="shared" si="369"/>
        <v>0</v>
      </c>
      <c r="BV487" s="17">
        <f t="shared" si="370"/>
        <v>0</v>
      </c>
      <c r="BW487" s="17">
        <f t="shared" si="371"/>
        <v>0</v>
      </c>
      <c r="BX487" s="17">
        <f t="shared" si="372"/>
        <v>0</v>
      </c>
      <c r="BY487" s="17">
        <f t="shared" si="373"/>
        <v>0</v>
      </c>
      <c r="BZ487" s="17">
        <f t="shared" si="384"/>
        <v>0</v>
      </c>
      <c r="CA487" s="17">
        <f t="shared" si="385"/>
        <v>0</v>
      </c>
      <c r="CB487" s="17">
        <f t="shared" si="386"/>
        <v>0</v>
      </c>
      <c r="CC487" s="17">
        <f t="shared" si="387"/>
        <v>0</v>
      </c>
      <c r="CD487" s="17">
        <f t="shared" si="388"/>
        <v>0</v>
      </c>
      <c r="CE487" s="17">
        <f t="shared" si="389"/>
        <v>0</v>
      </c>
      <c r="CF487" s="17">
        <f t="shared" si="390"/>
        <v>0</v>
      </c>
      <c r="CG487" s="17">
        <f t="shared" si="391"/>
        <v>0</v>
      </c>
      <c r="CH487" s="17">
        <f t="shared" si="392"/>
        <v>0</v>
      </c>
      <c r="CI487" s="17">
        <f t="shared" si="393"/>
        <v>0</v>
      </c>
      <c r="CJ487" s="17">
        <f t="shared" si="394"/>
        <v>0</v>
      </c>
      <c r="CK487" s="17">
        <f t="shared" si="395"/>
        <v>0</v>
      </c>
      <c r="CL487" s="17">
        <f t="shared" si="396"/>
        <v>0</v>
      </c>
      <c r="CM487" s="14">
        <f t="shared" si="397"/>
        <v>1590</v>
      </c>
      <c r="CN487" s="17">
        <f t="shared" si="398"/>
        <v>2.2374736305289344</v>
      </c>
      <c r="CO487" s="14">
        <f t="shared" si="399"/>
        <v>1643</v>
      </c>
      <c r="CP487" s="17">
        <f t="shared" si="400"/>
        <v>2.3120560848798992</v>
      </c>
      <c r="CQ487" s="14">
        <f t="shared" si="374"/>
        <v>1643</v>
      </c>
      <c r="CR487" s="14">
        <v>0</v>
      </c>
      <c r="CS487" s="14">
        <v>0</v>
      </c>
      <c r="CT487" s="14">
        <v>0</v>
      </c>
      <c r="CU487" s="14">
        <v>0</v>
      </c>
    </row>
    <row r="488" spans="1:99" x14ac:dyDescent="0.3">
      <c r="A488" s="14">
        <v>2014</v>
      </c>
      <c r="B488" s="14" t="s">
        <v>89</v>
      </c>
      <c r="C488" s="14" t="s">
        <v>90</v>
      </c>
      <c r="D488" s="15">
        <v>248497.9</v>
      </c>
      <c r="E488" s="15">
        <v>7288383.0000000009</v>
      </c>
      <c r="F488" s="15">
        <f t="shared" si="375"/>
        <v>29.329756911426621</v>
      </c>
      <c r="AB488" s="14">
        <f t="shared" si="376"/>
        <v>0</v>
      </c>
      <c r="AM488" s="14">
        <f t="shared" si="377"/>
        <v>0</v>
      </c>
      <c r="AQ488" s="14">
        <f t="shared" si="378"/>
        <v>0</v>
      </c>
      <c r="AT488" s="14">
        <f t="shared" si="379"/>
        <v>0</v>
      </c>
      <c r="AU488" s="16">
        <v>0</v>
      </c>
      <c r="AV488" s="16">
        <v>0</v>
      </c>
      <c r="AW488" s="16">
        <v>0</v>
      </c>
      <c r="AX488" s="16">
        <v>0</v>
      </c>
      <c r="AY488" s="18">
        <f t="shared" si="380"/>
        <v>0</v>
      </c>
      <c r="AZ488" s="17">
        <f t="shared" si="381"/>
        <v>0</v>
      </c>
      <c r="BA488" s="17">
        <f t="shared" si="382"/>
        <v>0</v>
      </c>
      <c r="BB488" s="17">
        <f t="shared" si="383"/>
        <v>0</v>
      </c>
      <c r="BC488" s="17">
        <f t="shared" si="351"/>
        <v>0</v>
      </c>
      <c r="BD488" s="17">
        <f t="shared" si="352"/>
        <v>0</v>
      </c>
      <c r="BE488" s="17">
        <f t="shared" si="353"/>
        <v>0</v>
      </c>
      <c r="BF488" s="17">
        <f t="shared" si="354"/>
        <v>0</v>
      </c>
      <c r="BG488" s="17">
        <f t="shared" si="355"/>
        <v>0</v>
      </c>
      <c r="BH488" s="17">
        <f t="shared" si="356"/>
        <v>0</v>
      </c>
      <c r="BI488" s="17">
        <f t="shared" si="357"/>
        <v>0</v>
      </c>
      <c r="BJ488" s="17">
        <f t="shared" si="358"/>
        <v>0</v>
      </c>
      <c r="BK488" s="17">
        <f t="shared" si="359"/>
        <v>0</v>
      </c>
      <c r="BL488" s="17">
        <f t="shared" si="360"/>
        <v>0</v>
      </c>
      <c r="BM488" s="17">
        <f t="shared" si="361"/>
        <v>0</v>
      </c>
      <c r="BN488" s="17">
        <f t="shared" si="362"/>
        <v>0</v>
      </c>
      <c r="BO488" s="17">
        <f t="shared" si="363"/>
        <v>0</v>
      </c>
      <c r="BP488" s="17">
        <f t="shared" si="364"/>
        <v>0</v>
      </c>
      <c r="BQ488" s="17">
        <f t="shared" si="365"/>
        <v>0</v>
      </c>
      <c r="BR488" s="17">
        <f t="shared" si="366"/>
        <v>0</v>
      </c>
      <c r="BS488" s="17">
        <f t="shared" si="367"/>
        <v>0</v>
      </c>
      <c r="BT488" s="17">
        <f t="shared" si="368"/>
        <v>0</v>
      </c>
      <c r="BU488" s="17">
        <f t="shared" si="369"/>
        <v>0</v>
      </c>
      <c r="BV488" s="17">
        <f t="shared" si="370"/>
        <v>0</v>
      </c>
      <c r="BW488" s="17">
        <f t="shared" si="371"/>
        <v>0</v>
      </c>
      <c r="BX488" s="17">
        <f t="shared" si="372"/>
        <v>0</v>
      </c>
      <c r="BY488" s="17">
        <f t="shared" si="373"/>
        <v>0</v>
      </c>
      <c r="BZ488" s="17">
        <f t="shared" si="384"/>
        <v>0</v>
      </c>
      <c r="CA488" s="17">
        <f t="shared" si="385"/>
        <v>0</v>
      </c>
      <c r="CB488" s="17">
        <f t="shared" si="386"/>
        <v>0</v>
      </c>
      <c r="CC488" s="17">
        <f t="shared" si="387"/>
        <v>0</v>
      </c>
      <c r="CD488" s="17">
        <f t="shared" si="388"/>
        <v>0</v>
      </c>
      <c r="CE488" s="17">
        <f t="shared" si="389"/>
        <v>0</v>
      </c>
      <c r="CF488" s="17">
        <f t="shared" si="390"/>
        <v>0</v>
      </c>
      <c r="CG488" s="17">
        <f t="shared" si="391"/>
        <v>0</v>
      </c>
      <c r="CH488" s="17">
        <f t="shared" si="392"/>
        <v>0</v>
      </c>
      <c r="CI488" s="17">
        <f t="shared" si="393"/>
        <v>0</v>
      </c>
      <c r="CJ488" s="17">
        <f t="shared" si="394"/>
        <v>0</v>
      </c>
      <c r="CK488" s="17">
        <f t="shared" si="395"/>
        <v>0</v>
      </c>
      <c r="CL488" s="17">
        <f t="shared" si="396"/>
        <v>0</v>
      </c>
      <c r="CM488" s="14">
        <f t="shared" si="397"/>
        <v>0</v>
      </c>
      <c r="CN488" s="17">
        <f t="shared" si="398"/>
        <v>0</v>
      </c>
      <c r="CO488" s="14">
        <f t="shared" si="399"/>
        <v>0</v>
      </c>
      <c r="CP488" s="17">
        <f t="shared" si="400"/>
        <v>0</v>
      </c>
      <c r="CQ488" s="14">
        <f t="shared" si="374"/>
        <v>0</v>
      </c>
      <c r="CR488" s="14">
        <v>0</v>
      </c>
      <c r="CS488" s="14">
        <v>0</v>
      </c>
      <c r="CT488" s="14">
        <v>0</v>
      </c>
      <c r="CU488" s="14">
        <v>0</v>
      </c>
    </row>
    <row r="489" spans="1:99" x14ac:dyDescent="0.3">
      <c r="A489" s="14">
        <v>2015</v>
      </c>
      <c r="B489" s="14" t="s">
        <v>89</v>
      </c>
      <c r="C489" s="14" t="s">
        <v>90</v>
      </c>
      <c r="D489" s="15">
        <v>251850.6</v>
      </c>
      <c r="E489" s="15">
        <v>7473228.5</v>
      </c>
      <c r="F489" s="15">
        <f t="shared" si="375"/>
        <v>29.67326065532502</v>
      </c>
      <c r="G489" s="14">
        <v>18</v>
      </c>
      <c r="H489" s="14">
        <v>17</v>
      </c>
      <c r="I489" s="14">
        <v>1107</v>
      </c>
      <c r="Z489" s="14">
        <v>407</v>
      </c>
      <c r="AB489" s="14">
        <f t="shared" si="376"/>
        <v>0</v>
      </c>
      <c r="AL489" s="14">
        <v>231</v>
      </c>
      <c r="AM489" s="14">
        <f t="shared" si="377"/>
        <v>231</v>
      </c>
      <c r="AQ489" s="14">
        <f t="shared" si="378"/>
        <v>0</v>
      </c>
      <c r="AT489" s="14">
        <f t="shared" si="379"/>
        <v>0</v>
      </c>
      <c r="AU489" s="16">
        <v>722</v>
      </c>
      <c r="AV489" s="16">
        <v>2682</v>
      </c>
      <c r="AW489" s="16">
        <v>1738</v>
      </c>
      <c r="AX489" s="16">
        <v>0</v>
      </c>
      <c r="AY489" s="18">
        <f t="shared" si="380"/>
        <v>0.9661152472455512</v>
      </c>
      <c r="AZ489" s="17">
        <f t="shared" si="381"/>
        <v>3.5888103782722554</v>
      </c>
      <c r="BA489" s="17">
        <f t="shared" si="382"/>
        <v>2.3256347641451081</v>
      </c>
      <c r="BB489" s="17">
        <f t="shared" si="383"/>
        <v>0</v>
      </c>
      <c r="BC489" s="17">
        <f t="shared" si="351"/>
        <v>2.4085975693102387E-2</v>
      </c>
      <c r="BD489" s="17">
        <f t="shared" si="352"/>
        <v>2.2747865932374475E-2</v>
      </c>
      <c r="BE489" s="17">
        <f t="shared" si="353"/>
        <v>1.4812875051257968</v>
      </c>
      <c r="BF489" s="17">
        <f t="shared" si="354"/>
        <v>0</v>
      </c>
      <c r="BG489" s="17">
        <f t="shared" si="355"/>
        <v>0</v>
      </c>
      <c r="BH489" s="17">
        <f t="shared" si="356"/>
        <v>0</v>
      </c>
      <c r="BI489" s="17">
        <f t="shared" si="357"/>
        <v>0</v>
      </c>
      <c r="BJ489" s="17">
        <f t="shared" si="358"/>
        <v>0</v>
      </c>
      <c r="BK489" s="17">
        <f t="shared" si="359"/>
        <v>0</v>
      </c>
      <c r="BL489" s="17">
        <f t="shared" si="360"/>
        <v>0</v>
      </c>
      <c r="BM489" s="17">
        <f t="shared" si="361"/>
        <v>0</v>
      </c>
      <c r="BN489" s="17">
        <f t="shared" si="362"/>
        <v>0</v>
      </c>
      <c r="BO489" s="17">
        <f t="shared" si="363"/>
        <v>0</v>
      </c>
      <c r="BP489" s="17">
        <f t="shared" si="364"/>
        <v>0</v>
      </c>
      <c r="BQ489" s="17">
        <f t="shared" si="365"/>
        <v>0</v>
      </c>
      <c r="BR489" s="17">
        <f t="shared" si="366"/>
        <v>0</v>
      </c>
      <c r="BS489" s="17">
        <f t="shared" si="367"/>
        <v>0</v>
      </c>
      <c r="BT489" s="17">
        <f t="shared" si="368"/>
        <v>0</v>
      </c>
      <c r="BU489" s="17">
        <f t="shared" si="369"/>
        <v>0</v>
      </c>
      <c r="BV489" s="17">
        <f t="shared" si="370"/>
        <v>0.54461067261625951</v>
      </c>
      <c r="BW489" s="17">
        <f t="shared" si="371"/>
        <v>0</v>
      </c>
      <c r="BX489" s="17">
        <f t="shared" si="372"/>
        <v>0</v>
      </c>
      <c r="BY489" s="17">
        <f t="shared" si="373"/>
        <v>0</v>
      </c>
      <c r="BZ489" s="17">
        <f t="shared" si="384"/>
        <v>0</v>
      </c>
      <c r="CA489" s="17">
        <f t="shared" si="385"/>
        <v>0</v>
      </c>
      <c r="CB489" s="17">
        <f t="shared" si="386"/>
        <v>0</v>
      </c>
      <c r="CC489" s="17">
        <f t="shared" si="387"/>
        <v>0</v>
      </c>
      <c r="CD489" s="17">
        <f t="shared" si="388"/>
        <v>0</v>
      </c>
      <c r="CE489" s="17">
        <f t="shared" si="389"/>
        <v>0</v>
      </c>
      <c r="CF489" s="17">
        <f t="shared" si="390"/>
        <v>0</v>
      </c>
      <c r="CG489" s="17">
        <f t="shared" si="391"/>
        <v>0.30910335472814726</v>
      </c>
      <c r="CH489" s="17">
        <f t="shared" si="392"/>
        <v>0</v>
      </c>
      <c r="CI489" s="17">
        <f t="shared" si="393"/>
        <v>0</v>
      </c>
      <c r="CJ489" s="17">
        <f t="shared" si="394"/>
        <v>0</v>
      </c>
      <c r="CK489" s="17">
        <f t="shared" si="395"/>
        <v>0</v>
      </c>
      <c r="CL489" s="17">
        <f t="shared" si="396"/>
        <v>0</v>
      </c>
      <c r="CM489" s="14">
        <f t="shared" si="397"/>
        <v>4420</v>
      </c>
      <c r="CN489" s="17">
        <f t="shared" si="398"/>
        <v>5.9144451424173639</v>
      </c>
      <c r="CO489" s="14">
        <f t="shared" si="399"/>
        <v>5142</v>
      </c>
      <c r="CP489" s="17">
        <f t="shared" si="400"/>
        <v>6.8805603896629144</v>
      </c>
      <c r="CQ489" s="14">
        <f t="shared" si="374"/>
        <v>7153</v>
      </c>
      <c r="CR489" s="14">
        <v>0</v>
      </c>
      <c r="CS489" s="14">
        <v>68</v>
      </c>
      <c r="CT489" s="14">
        <v>0</v>
      </c>
      <c r="CU489" s="14">
        <v>0</v>
      </c>
    </row>
    <row r="490" spans="1:99" x14ac:dyDescent="0.3">
      <c r="A490" s="14">
        <v>2016</v>
      </c>
      <c r="B490" s="14" t="s">
        <v>89</v>
      </c>
      <c r="C490" s="14" t="s">
        <v>90</v>
      </c>
      <c r="D490" s="15">
        <v>255832.9</v>
      </c>
      <c r="E490" s="15">
        <v>7661353.5000000019</v>
      </c>
      <c r="F490" s="15">
        <f t="shared" si="375"/>
        <v>29.946709355989796</v>
      </c>
      <c r="H490" s="14">
        <v>13</v>
      </c>
      <c r="I490" s="14">
        <v>688</v>
      </c>
      <c r="K490" s="14">
        <v>9</v>
      </c>
      <c r="L490" s="14">
        <v>9</v>
      </c>
      <c r="O490" s="14">
        <v>2</v>
      </c>
      <c r="R490" s="14">
        <v>19</v>
      </c>
      <c r="S490" s="14">
        <v>18</v>
      </c>
      <c r="T490" s="14">
        <v>293</v>
      </c>
      <c r="V490" s="14">
        <v>112</v>
      </c>
      <c r="Y490" s="14">
        <v>129</v>
      </c>
      <c r="Z490" s="14">
        <v>276</v>
      </c>
      <c r="AA490" s="14">
        <v>48</v>
      </c>
      <c r="AB490" s="14">
        <f t="shared" si="376"/>
        <v>50</v>
      </c>
      <c r="AE490" s="14">
        <v>1</v>
      </c>
      <c r="AF490" s="14">
        <v>2</v>
      </c>
      <c r="AG490" s="14">
        <v>1340</v>
      </c>
      <c r="AH490" s="14">
        <v>1264</v>
      </c>
      <c r="AI490" s="14">
        <v>638</v>
      </c>
      <c r="AJ490" s="14">
        <v>1</v>
      </c>
      <c r="AK490" s="14">
        <v>152</v>
      </c>
      <c r="AM490" s="14">
        <f t="shared" si="377"/>
        <v>152</v>
      </c>
      <c r="AN490" s="14">
        <v>33</v>
      </c>
      <c r="AP490" s="14">
        <v>14</v>
      </c>
      <c r="AQ490" s="14">
        <f t="shared" si="378"/>
        <v>14</v>
      </c>
      <c r="AT490" s="14">
        <f t="shared" si="379"/>
        <v>0</v>
      </c>
      <c r="AU490" s="16">
        <v>964</v>
      </c>
      <c r="AV490" s="16">
        <v>2838</v>
      </c>
      <c r="AW490" s="16">
        <v>1922</v>
      </c>
      <c r="AX490" s="16">
        <v>2249</v>
      </c>
      <c r="AY490" s="18">
        <f t="shared" si="380"/>
        <v>1.2582633081739405</v>
      </c>
      <c r="AZ490" s="17">
        <f t="shared" si="381"/>
        <v>3.7043062952257708</v>
      </c>
      <c r="BA490" s="17">
        <f t="shared" si="382"/>
        <v>2.5086951019816532</v>
      </c>
      <c r="BB490" s="17">
        <f t="shared" si="383"/>
        <v>2.9355126349410705</v>
      </c>
      <c r="BC490" s="17">
        <f t="shared" si="351"/>
        <v>0</v>
      </c>
      <c r="BD490" s="17">
        <f t="shared" si="352"/>
        <v>1.6968281126826999E-2</v>
      </c>
      <c r="BE490" s="17">
        <f t="shared" si="353"/>
        <v>0.89801364732745959</v>
      </c>
      <c r="BF490" s="17">
        <f t="shared" si="354"/>
        <v>0</v>
      </c>
      <c r="BG490" s="17">
        <f t="shared" si="355"/>
        <v>1.1747271549341768E-2</v>
      </c>
      <c r="BH490" s="17">
        <f t="shared" si="356"/>
        <v>1.1747271549341768E-2</v>
      </c>
      <c r="BI490" s="17">
        <f t="shared" si="357"/>
        <v>0</v>
      </c>
      <c r="BJ490" s="17">
        <f t="shared" si="358"/>
        <v>0</v>
      </c>
      <c r="BK490" s="17">
        <f t="shared" si="359"/>
        <v>2.6105047887426151E-3</v>
      </c>
      <c r="BL490" s="17">
        <f t="shared" si="360"/>
        <v>0</v>
      </c>
      <c r="BM490" s="17">
        <f t="shared" si="361"/>
        <v>0</v>
      </c>
      <c r="BN490" s="17">
        <f t="shared" si="362"/>
        <v>2.4799795493054843E-2</v>
      </c>
      <c r="BO490" s="17">
        <f t="shared" si="363"/>
        <v>2.3494543098683537E-2</v>
      </c>
      <c r="BP490" s="17">
        <f t="shared" si="364"/>
        <v>0.3824389515507931</v>
      </c>
      <c r="BQ490" s="17">
        <f t="shared" si="365"/>
        <v>0</v>
      </c>
      <c r="BR490" s="17">
        <f t="shared" si="366"/>
        <v>0.14618826816958644</v>
      </c>
      <c r="BS490" s="17">
        <f t="shared" si="367"/>
        <v>0</v>
      </c>
      <c r="BT490" s="17">
        <f t="shared" si="368"/>
        <v>0</v>
      </c>
      <c r="BU490" s="17">
        <f t="shared" si="369"/>
        <v>0.16837755887389869</v>
      </c>
      <c r="BV490" s="17">
        <f t="shared" si="370"/>
        <v>0.36024966084648091</v>
      </c>
      <c r="BW490" s="17">
        <f t="shared" si="371"/>
        <v>6.2652114929822769E-2</v>
      </c>
      <c r="BX490" s="17">
        <f t="shared" si="372"/>
        <v>0</v>
      </c>
      <c r="BY490" s="17">
        <f t="shared" si="373"/>
        <v>0</v>
      </c>
      <c r="BZ490" s="17">
        <f t="shared" si="384"/>
        <v>1.3052523943713075E-3</v>
      </c>
      <c r="CA490" s="17">
        <f t="shared" si="385"/>
        <v>2.6105047887426151E-3</v>
      </c>
      <c r="CB490" s="17">
        <f t="shared" si="386"/>
        <v>1.7490382084575522</v>
      </c>
      <c r="CC490" s="17">
        <f t="shared" si="387"/>
        <v>1.6498390264853329</v>
      </c>
      <c r="CD490" s="17">
        <f t="shared" si="388"/>
        <v>0.83275102760889419</v>
      </c>
      <c r="CE490" s="17">
        <f t="shared" si="389"/>
        <v>1.3052523943713075E-3</v>
      </c>
      <c r="CF490" s="17">
        <f t="shared" si="390"/>
        <v>0.19839836394443874</v>
      </c>
      <c r="CG490" s="17">
        <f t="shared" si="391"/>
        <v>0</v>
      </c>
      <c r="CH490" s="17">
        <f t="shared" si="392"/>
        <v>4.3073329014253148E-2</v>
      </c>
      <c r="CI490" s="17">
        <f t="shared" si="393"/>
        <v>0</v>
      </c>
      <c r="CJ490" s="17">
        <f t="shared" si="394"/>
        <v>1.8273533521198305E-2</v>
      </c>
      <c r="CK490" s="17">
        <f t="shared" si="395"/>
        <v>0</v>
      </c>
      <c r="CL490" s="17">
        <f t="shared" si="396"/>
        <v>0</v>
      </c>
      <c r="CM490" s="14">
        <f t="shared" si="397"/>
        <v>4760</v>
      </c>
      <c r="CN490" s="17">
        <f t="shared" si="398"/>
        <v>6.2130013972074236</v>
      </c>
      <c r="CO490" s="14">
        <f t="shared" si="399"/>
        <v>5724</v>
      </c>
      <c r="CP490" s="17">
        <f t="shared" si="400"/>
        <v>7.4712647053813646</v>
      </c>
      <c r="CQ490" s="14">
        <f t="shared" si="374"/>
        <v>13250</v>
      </c>
      <c r="CR490" s="14">
        <v>0</v>
      </c>
      <c r="CS490" s="14">
        <v>0</v>
      </c>
      <c r="CT490" s="14">
        <v>0</v>
      </c>
      <c r="CU490" s="14">
        <v>0</v>
      </c>
    </row>
    <row r="491" spans="1:99" x14ac:dyDescent="0.3">
      <c r="A491" s="14">
        <v>2017</v>
      </c>
      <c r="B491" s="14" t="s">
        <v>89</v>
      </c>
      <c r="C491" s="14" t="s">
        <v>90</v>
      </c>
      <c r="D491" s="15">
        <v>259750.6</v>
      </c>
      <c r="E491" s="15">
        <v>7852795.0000000037</v>
      </c>
      <c r="F491" s="15">
        <f t="shared" si="375"/>
        <v>30.232057211802413</v>
      </c>
      <c r="G491" s="14">
        <v>57</v>
      </c>
      <c r="H491" s="14">
        <v>218</v>
      </c>
      <c r="I491" s="14">
        <v>1431</v>
      </c>
      <c r="K491" s="14">
        <v>21</v>
      </c>
      <c r="L491" s="14">
        <v>22</v>
      </c>
      <c r="M491" s="14">
        <v>7545</v>
      </c>
      <c r="O491" s="14">
        <v>6</v>
      </c>
      <c r="P491" s="14">
        <v>1</v>
      </c>
      <c r="R491" s="14">
        <v>11</v>
      </c>
      <c r="S491" s="14">
        <v>35</v>
      </c>
      <c r="T491" s="14">
        <v>309</v>
      </c>
      <c r="V491" s="14">
        <v>151</v>
      </c>
      <c r="Y491" s="14">
        <v>201</v>
      </c>
      <c r="Z491" s="14">
        <v>454</v>
      </c>
      <c r="AA491" s="14">
        <v>58</v>
      </c>
      <c r="AB491" s="14">
        <f t="shared" si="376"/>
        <v>64</v>
      </c>
      <c r="AE491" s="14">
        <v>7</v>
      </c>
      <c r="AF491" s="14">
        <v>6</v>
      </c>
      <c r="AG491" s="14">
        <v>1364</v>
      </c>
      <c r="AH491" s="14">
        <v>1806</v>
      </c>
      <c r="AI491" s="14">
        <v>945</v>
      </c>
      <c r="AJ491" s="14">
        <v>3</v>
      </c>
      <c r="AK491" s="14">
        <v>174</v>
      </c>
      <c r="AM491" s="14">
        <f t="shared" si="377"/>
        <v>174</v>
      </c>
      <c r="AN491" s="14">
        <v>57</v>
      </c>
      <c r="AO491" s="14">
        <v>41</v>
      </c>
      <c r="AP491" s="14">
        <v>21</v>
      </c>
      <c r="AQ491" s="14">
        <f t="shared" si="378"/>
        <v>62</v>
      </c>
      <c r="AT491" s="14">
        <f t="shared" si="379"/>
        <v>0</v>
      </c>
      <c r="AU491" s="16">
        <v>1490</v>
      </c>
      <c r="AV491" s="16">
        <v>3932</v>
      </c>
      <c r="AW491" s="16">
        <v>2536</v>
      </c>
      <c r="AX491" s="16">
        <v>3474</v>
      </c>
      <c r="AY491" s="18">
        <f t="shared" si="380"/>
        <v>1.897413596050832</v>
      </c>
      <c r="AZ491" s="17">
        <f t="shared" si="381"/>
        <v>5.0071344024643434</v>
      </c>
      <c r="BA491" s="17">
        <f t="shared" si="382"/>
        <v>3.229423409117389</v>
      </c>
      <c r="BB491" s="17">
        <f t="shared" si="383"/>
        <v>4.4239025722688528</v>
      </c>
      <c r="BC491" s="17">
        <f t="shared" si="351"/>
        <v>7.2585620788521765E-2</v>
      </c>
      <c r="BD491" s="17">
        <f t="shared" si="352"/>
        <v>0.2776081637175043</v>
      </c>
      <c r="BE491" s="17">
        <f t="shared" si="353"/>
        <v>1.8222811113749937</v>
      </c>
      <c r="BF491" s="17">
        <f t="shared" si="354"/>
        <v>0</v>
      </c>
      <c r="BG491" s="17">
        <f t="shared" si="355"/>
        <v>2.6742070816823806E-2</v>
      </c>
      <c r="BH491" s="17">
        <f t="shared" si="356"/>
        <v>2.8015502760482081E-2</v>
      </c>
      <c r="BI491" s="17">
        <f t="shared" si="357"/>
        <v>9.6080440149016955</v>
      </c>
      <c r="BJ491" s="17">
        <f t="shared" si="358"/>
        <v>0</v>
      </c>
      <c r="BK491" s="17">
        <f t="shared" si="359"/>
        <v>7.6405916619496587E-3</v>
      </c>
      <c r="BL491" s="17">
        <f t="shared" si="360"/>
        <v>1.2734319436582765E-3</v>
      </c>
      <c r="BM491" s="17">
        <f t="shared" si="361"/>
        <v>0</v>
      </c>
      <c r="BN491" s="17">
        <f t="shared" si="362"/>
        <v>1.4007751380241041E-2</v>
      </c>
      <c r="BO491" s="17">
        <f t="shared" si="363"/>
        <v>4.4570118028039674E-2</v>
      </c>
      <c r="BP491" s="17">
        <f t="shared" si="364"/>
        <v>0.39349047059040743</v>
      </c>
      <c r="BQ491" s="17">
        <f t="shared" si="365"/>
        <v>0</v>
      </c>
      <c r="BR491" s="17">
        <f t="shared" si="366"/>
        <v>0.19228822349239974</v>
      </c>
      <c r="BS491" s="17">
        <f t="shared" si="367"/>
        <v>0</v>
      </c>
      <c r="BT491" s="17">
        <f t="shared" si="368"/>
        <v>0</v>
      </c>
      <c r="BU491" s="17">
        <f t="shared" si="369"/>
        <v>0.25595982067531359</v>
      </c>
      <c r="BV491" s="17">
        <f t="shared" si="370"/>
        <v>0.5781381024208575</v>
      </c>
      <c r="BW491" s="17">
        <f t="shared" si="371"/>
        <v>7.3859052732180033E-2</v>
      </c>
      <c r="BX491" s="17">
        <f t="shared" si="372"/>
        <v>0</v>
      </c>
      <c r="BY491" s="17">
        <f t="shared" si="373"/>
        <v>0</v>
      </c>
      <c r="BZ491" s="17">
        <f t="shared" si="384"/>
        <v>8.9140236056079354E-3</v>
      </c>
      <c r="CA491" s="17">
        <f t="shared" si="385"/>
        <v>7.6405916619496587E-3</v>
      </c>
      <c r="CB491" s="17">
        <f t="shared" si="386"/>
        <v>1.7369611711498891</v>
      </c>
      <c r="CC491" s="17">
        <f t="shared" si="387"/>
        <v>2.2998180902468475</v>
      </c>
      <c r="CD491" s="17">
        <f t="shared" si="388"/>
        <v>1.2033931867570713</v>
      </c>
      <c r="CE491" s="17">
        <f t="shared" si="389"/>
        <v>3.8202958309748293E-3</v>
      </c>
      <c r="CF491" s="17">
        <f t="shared" si="390"/>
        <v>0.22157715819654011</v>
      </c>
      <c r="CG491" s="17">
        <f t="shared" si="391"/>
        <v>0</v>
      </c>
      <c r="CH491" s="17">
        <f t="shared" si="392"/>
        <v>7.2585620788521765E-2</v>
      </c>
      <c r="CI491" s="17">
        <f t="shared" si="393"/>
        <v>5.2210709689989337E-2</v>
      </c>
      <c r="CJ491" s="17">
        <f t="shared" si="394"/>
        <v>2.6742070816823806E-2</v>
      </c>
      <c r="CK491" s="17">
        <f t="shared" si="395"/>
        <v>0</v>
      </c>
      <c r="CL491" s="17">
        <f t="shared" si="396"/>
        <v>0</v>
      </c>
      <c r="CM491" s="14">
        <f t="shared" si="397"/>
        <v>6468</v>
      </c>
      <c r="CN491" s="17">
        <f t="shared" si="398"/>
        <v>8.2365578115817328</v>
      </c>
      <c r="CO491" s="14">
        <f t="shared" si="399"/>
        <v>7958</v>
      </c>
      <c r="CP491" s="17">
        <f t="shared" si="400"/>
        <v>10.133971407632565</v>
      </c>
      <c r="CQ491" s="14">
        <f t="shared" si="374"/>
        <v>26676</v>
      </c>
      <c r="CR491" s="14">
        <v>0</v>
      </c>
      <c r="CS491" s="14">
        <v>0</v>
      </c>
      <c r="CT491" s="14">
        <v>0</v>
      </c>
      <c r="CU491" s="14">
        <v>0</v>
      </c>
    </row>
    <row r="492" spans="1:99" x14ac:dyDescent="0.3">
      <c r="A492" s="14">
        <v>2018</v>
      </c>
      <c r="B492" s="14" t="s">
        <v>89</v>
      </c>
      <c r="C492" s="14" t="s">
        <v>90</v>
      </c>
      <c r="D492" s="15">
        <v>262963.5</v>
      </c>
      <c r="E492" s="15">
        <v>8046679</v>
      </c>
      <c r="F492" s="15">
        <f t="shared" si="375"/>
        <v>30.599984408482545</v>
      </c>
      <c r="G492" s="14">
        <v>21</v>
      </c>
      <c r="H492" s="14">
        <v>213</v>
      </c>
      <c r="I492" s="14">
        <v>1050</v>
      </c>
      <c r="K492" s="14">
        <v>25</v>
      </c>
      <c r="L492" s="14">
        <v>23</v>
      </c>
      <c r="M492" s="14">
        <v>7086</v>
      </c>
      <c r="O492" s="14">
        <v>4</v>
      </c>
      <c r="P492" s="14">
        <v>1</v>
      </c>
      <c r="Q492" s="14">
        <v>2</v>
      </c>
      <c r="S492" s="14">
        <v>300</v>
      </c>
      <c r="T492" s="14">
        <v>51</v>
      </c>
      <c r="V492" s="14">
        <v>148</v>
      </c>
      <c r="Y492" s="14">
        <v>183</v>
      </c>
      <c r="Z492" s="14">
        <v>460</v>
      </c>
      <c r="AA492" s="14">
        <v>51</v>
      </c>
      <c r="AB492" s="14">
        <f t="shared" si="376"/>
        <v>55</v>
      </c>
      <c r="AE492" s="14">
        <v>3</v>
      </c>
      <c r="AF492" s="14">
        <v>5</v>
      </c>
      <c r="AG492" s="14">
        <v>1353</v>
      </c>
      <c r="AH492" s="14">
        <v>1554</v>
      </c>
      <c r="AI492" s="14">
        <v>978</v>
      </c>
      <c r="AJ492" s="14">
        <v>3</v>
      </c>
      <c r="AK492" s="14">
        <v>160</v>
      </c>
      <c r="AM492" s="14">
        <f t="shared" si="377"/>
        <v>160</v>
      </c>
      <c r="AN492" s="14">
        <v>62</v>
      </c>
      <c r="AO492" s="14">
        <v>42</v>
      </c>
      <c r="AP492" s="14">
        <v>20</v>
      </c>
      <c r="AQ492" s="14">
        <f t="shared" si="378"/>
        <v>62</v>
      </c>
      <c r="AT492" s="14">
        <f t="shared" si="379"/>
        <v>0</v>
      </c>
      <c r="AU492" s="16">
        <v>1633</v>
      </c>
      <c r="AV492" s="16">
        <v>3902</v>
      </c>
      <c r="AW492" s="16">
        <v>2570</v>
      </c>
      <c r="AX492" s="16">
        <v>3903</v>
      </c>
      <c r="AY492" s="18">
        <f t="shared" si="380"/>
        <v>2.0294086541789476</v>
      </c>
      <c r="AZ492" s="17">
        <f t="shared" si="381"/>
        <v>4.8492054921042582</v>
      </c>
      <c r="BA492" s="17">
        <f t="shared" si="382"/>
        <v>3.1938642016165923</v>
      </c>
      <c r="BB492" s="17">
        <f t="shared" si="383"/>
        <v>4.8504482408208407</v>
      </c>
      <c r="BC492" s="17">
        <f t="shared" si="351"/>
        <v>2.6097723048228966E-2</v>
      </c>
      <c r="BD492" s="17">
        <f t="shared" si="352"/>
        <v>0.26470547663203664</v>
      </c>
      <c r="BE492" s="17">
        <f t="shared" si="353"/>
        <v>1.3048861524114483</v>
      </c>
      <c r="BF492" s="17">
        <f t="shared" si="354"/>
        <v>0</v>
      </c>
      <c r="BG492" s="17">
        <f t="shared" si="355"/>
        <v>3.1068717914558293E-2</v>
      </c>
      <c r="BH492" s="17">
        <f t="shared" si="356"/>
        <v>2.8583220481393629E-2</v>
      </c>
      <c r="BI492" s="17">
        <f t="shared" si="357"/>
        <v>8.8061174057024019</v>
      </c>
      <c r="BJ492" s="17">
        <f t="shared" si="358"/>
        <v>0</v>
      </c>
      <c r="BK492" s="17">
        <f t="shared" si="359"/>
        <v>4.9709948663293263E-3</v>
      </c>
      <c r="BL492" s="17">
        <f t="shared" si="360"/>
        <v>1.2427487165823316E-3</v>
      </c>
      <c r="BM492" s="17">
        <f t="shared" si="361"/>
        <v>2.4854974331646631E-3</v>
      </c>
      <c r="BN492" s="17">
        <f t="shared" si="362"/>
        <v>0</v>
      </c>
      <c r="BO492" s="17">
        <f t="shared" si="363"/>
        <v>0.37282461497469949</v>
      </c>
      <c r="BP492" s="17">
        <f t="shared" si="364"/>
        <v>6.3380184545698909E-2</v>
      </c>
      <c r="BQ492" s="17">
        <f t="shared" si="365"/>
        <v>0</v>
      </c>
      <c r="BR492" s="17">
        <f t="shared" si="366"/>
        <v>0.1839268100541851</v>
      </c>
      <c r="BS492" s="17">
        <f t="shared" si="367"/>
        <v>0</v>
      </c>
      <c r="BT492" s="17">
        <f t="shared" si="368"/>
        <v>0</v>
      </c>
      <c r="BU492" s="17">
        <f t="shared" si="369"/>
        <v>0.2274230151345667</v>
      </c>
      <c r="BV492" s="17">
        <f t="shared" si="370"/>
        <v>0.57166440962787257</v>
      </c>
      <c r="BW492" s="17">
        <f t="shared" si="371"/>
        <v>6.3380184545698909E-2</v>
      </c>
      <c r="BX492" s="17">
        <f t="shared" si="372"/>
        <v>0</v>
      </c>
      <c r="BY492" s="17">
        <f t="shared" si="373"/>
        <v>0</v>
      </c>
      <c r="BZ492" s="17">
        <f t="shared" si="384"/>
        <v>3.7282461497469949E-3</v>
      </c>
      <c r="CA492" s="17">
        <f t="shared" si="385"/>
        <v>6.213743582911658E-3</v>
      </c>
      <c r="CB492" s="17">
        <f t="shared" si="386"/>
        <v>1.6814390135358948</v>
      </c>
      <c r="CC492" s="17">
        <f t="shared" si="387"/>
        <v>1.9312315055689435</v>
      </c>
      <c r="CD492" s="17">
        <f t="shared" si="388"/>
        <v>1.2154082448175203</v>
      </c>
      <c r="CE492" s="17">
        <f t="shared" si="389"/>
        <v>3.7282461497469949E-3</v>
      </c>
      <c r="CF492" s="17">
        <f t="shared" si="390"/>
        <v>0.19883979465317306</v>
      </c>
      <c r="CG492" s="17">
        <f t="shared" si="391"/>
        <v>0</v>
      </c>
      <c r="CH492" s="17">
        <f t="shared" si="392"/>
        <v>7.705042042810456E-2</v>
      </c>
      <c r="CI492" s="17">
        <f t="shared" si="393"/>
        <v>5.2195446096457931E-2</v>
      </c>
      <c r="CJ492" s="17">
        <f t="shared" si="394"/>
        <v>2.4854974331646632E-2</v>
      </c>
      <c r="CK492" s="17">
        <f t="shared" si="395"/>
        <v>0</v>
      </c>
      <c r="CL492" s="17">
        <f t="shared" si="396"/>
        <v>0</v>
      </c>
      <c r="CM492" s="14">
        <f t="shared" si="397"/>
        <v>6472</v>
      </c>
      <c r="CN492" s="17">
        <f t="shared" si="398"/>
        <v>8.0430696937208506</v>
      </c>
      <c r="CO492" s="14">
        <f t="shared" si="399"/>
        <v>8105</v>
      </c>
      <c r="CP492" s="17">
        <f t="shared" si="400"/>
        <v>10.072478347899798</v>
      </c>
      <c r="CQ492" s="14">
        <f t="shared" si="374"/>
        <v>26083</v>
      </c>
      <c r="CR492" s="14">
        <v>0</v>
      </c>
      <c r="CS492" s="14">
        <v>0</v>
      </c>
      <c r="CT492" s="14">
        <v>0</v>
      </c>
      <c r="CU492" s="14">
        <v>0</v>
      </c>
    </row>
    <row r="493" spans="1:99" x14ac:dyDescent="0.3">
      <c r="A493" s="14">
        <v>2019</v>
      </c>
      <c r="B493" s="14" t="s">
        <v>89</v>
      </c>
      <c r="C493" s="14" t="s">
        <v>90</v>
      </c>
      <c r="D493" s="15">
        <v>266152.90000000002</v>
      </c>
      <c r="E493" s="15">
        <v>8243094.5000000047</v>
      </c>
      <c r="F493" s="15">
        <f t="shared" si="375"/>
        <v>30.97127440655354</v>
      </c>
      <c r="H493" s="14">
        <v>222</v>
      </c>
      <c r="I493" s="14">
        <v>884</v>
      </c>
      <c r="K493" s="14">
        <v>35</v>
      </c>
      <c r="L493" s="14">
        <v>16</v>
      </c>
      <c r="N493" s="14">
        <v>25</v>
      </c>
      <c r="O493" s="14">
        <v>2</v>
      </c>
      <c r="P493" s="14">
        <v>1</v>
      </c>
      <c r="Q493" s="14">
        <v>2</v>
      </c>
      <c r="R493" s="14">
        <v>17</v>
      </c>
      <c r="S493" s="14">
        <v>332</v>
      </c>
      <c r="T493" s="14">
        <v>21</v>
      </c>
      <c r="V493" s="14">
        <v>139</v>
      </c>
      <c r="Y493" s="14">
        <v>195</v>
      </c>
      <c r="Z493" s="14">
        <v>518</v>
      </c>
      <c r="AA493" s="14">
        <v>14</v>
      </c>
      <c r="AB493" s="14">
        <f t="shared" si="376"/>
        <v>16</v>
      </c>
      <c r="AE493" s="14">
        <v>5</v>
      </c>
      <c r="AF493" s="14">
        <v>4</v>
      </c>
      <c r="AG493" s="14">
        <v>1353</v>
      </c>
      <c r="AH493" s="14">
        <v>1948</v>
      </c>
      <c r="AI493" s="14">
        <v>817</v>
      </c>
      <c r="AJ493" s="14">
        <v>32</v>
      </c>
      <c r="AK493" s="14">
        <v>117</v>
      </c>
      <c r="AL493" s="14">
        <v>58</v>
      </c>
      <c r="AM493" s="14">
        <f t="shared" si="377"/>
        <v>175</v>
      </c>
      <c r="AN493" s="14">
        <v>61</v>
      </c>
      <c r="AO493" s="14">
        <v>41</v>
      </c>
      <c r="AP493" s="14">
        <v>21</v>
      </c>
      <c r="AQ493" s="14">
        <f t="shared" si="378"/>
        <v>62</v>
      </c>
      <c r="AT493" s="14">
        <f t="shared" si="379"/>
        <v>0</v>
      </c>
      <c r="AU493" s="16">
        <v>1651</v>
      </c>
      <c r="AV493" s="16">
        <v>4268</v>
      </c>
      <c r="AW493" s="16">
        <v>3238</v>
      </c>
      <c r="AX493" s="16">
        <v>3845</v>
      </c>
      <c r="AY493" s="18">
        <f t="shared" si="380"/>
        <v>2.0028885996636325</v>
      </c>
      <c r="AZ493" s="17">
        <f t="shared" si="381"/>
        <v>5.1776671976767918</v>
      </c>
      <c r="BA493" s="17">
        <f t="shared" si="382"/>
        <v>3.9281364540949983</v>
      </c>
      <c r="BB493" s="17">
        <f t="shared" si="383"/>
        <v>4.6645103971572786</v>
      </c>
      <c r="BC493" s="17">
        <f t="shared" si="351"/>
        <v>0</v>
      </c>
      <c r="BD493" s="17">
        <f t="shared" si="352"/>
        <v>0.26931633502442542</v>
      </c>
      <c r="BE493" s="17">
        <f t="shared" si="353"/>
        <v>1.0724127935206851</v>
      </c>
      <c r="BF493" s="17">
        <f t="shared" si="354"/>
        <v>0</v>
      </c>
      <c r="BG493" s="17">
        <f t="shared" si="355"/>
        <v>4.2459782548895902E-2</v>
      </c>
      <c r="BH493" s="17">
        <f t="shared" si="356"/>
        <v>1.94101863080667E-2</v>
      </c>
      <c r="BI493" s="17">
        <f t="shared" si="357"/>
        <v>0</v>
      </c>
      <c r="BJ493" s="17">
        <f t="shared" si="358"/>
        <v>3.0328416106354218E-2</v>
      </c>
      <c r="BK493" s="17">
        <f t="shared" si="359"/>
        <v>2.4262732885083375E-3</v>
      </c>
      <c r="BL493" s="17">
        <f t="shared" si="360"/>
        <v>1.2131366442541688E-3</v>
      </c>
      <c r="BM493" s="17">
        <f t="shared" si="361"/>
        <v>2.4262732885083375E-3</v>
      </c>
      <c r="BN493" s="17">
        <f t="shared" si="362"/>
        <v>2.0623322952320867E-2</v>
      </c>
      <c r="BO493" s="17">
        <f t="shared" si="363"/>
        <v>0.40276136589238398</v>
      </c>
      <c r="BP493" s="17">
        <f t="shared" si="364"/>
        <v>2.5475869529337541E-2</v>
      </c>
      <c r="BQ493" s="17">
        <f t="shared" si="365"/>
        <v>0</v>
      </c>
      <c r="BR493" s="17">
        <f t="shared" si="366"/>
        <v>0.16862599355132946</v>
      </c>
      <c r="BS493" s="17">
        <f t="shared" si="367"/>
        <v>0</v>
      </c>
      <c r="BT493" s="17">
        <f t="shared" si="368"/>
        <v>0</v>
      </c>
      <c r="BU493" s="17">
        <f t="shared" si="369"/>
        <v>0.23656164562956289</v>
      </c>
      <c r="BV493" s="17">
        <f t="shared" si="370"/>
        <v>0.62840478172365932</v>
      </c>
      <c r="BW493" s="17">
        <f t="shared" si="371"/>
        <v>1.6983913019558362E-2</v>
      </c>
      <c r="BX493" s="17">
        <f t="shared" si="372"/>
        <v>0</v>
      </c>
      <c r="BY493" s="17">
        <f t="shared" si="373"/>
        <v>0</v>
      </c>
      <c r="BZ493" s="17">
        <f t="shared" si="384"/>
        <v>6.0656832212708433E-3</v>
      </c>
      <c r="CA493" s="17">
        <f t="shared" si="385"/>
        <v>4.852546577016675E-3</v>
      </c>
      <c r="CB493" s="17">
        <f t="shared" si="386"/>
        <v>1.6413738796758901</v>
      </c>
      <c r="CC493" s="17">
        <f t="shared" si="387"/>
        <v>2.3631901830071205</v>
      </c>
      <c r="CD493" s="17">
        <f t="shared" si="388"/>
        <v>0.99113263835565579</v>
      </c>
      <c r="CE493" s="17">
        <f t="shared" si="389"/>
        <v>3.88203726161334E-2</v>
      </c>
      <c r="CF493" s="17">
        <f t="shared" si="390"/>
        <v>0.14193698737773774</v>
      </c>
      <c r="CG493" s="17">
        <f t="shared" si="391"/>
        <v>7.0361925366741782E-2</v>
      </c>
      <c r="CH493" s="17">
        <f t="shared" si="392"/>
        <v>7.4001335299504284E-2</v>
      </c>
      <c r="CI493" s="17">
        <f t="shared" si="393"/>
        <v>4.9738602414420914E-2</v>
      </c>
      <c r="CJ493" s="17">
        <f t="shared" si="394"/>
        <v>2.5475869529337541E-2</v>
      </c>
      <c r="CK493" s="17">
        <f t="shared" si="395"/>
        <v>0</v>
      </c>
      <c r="CL493" s="17">
        <f t="shared" si="396"/>
        <v>0</v>
      </c>
      <c r="CM493" s="14">
        <f t="shared" si="397"/>
        <v>7506</v>
      </c>
      <c r="CN493" s="17">
        <f t="shared" si="398"/>
        <v>9.1058036517717902</v>
      </c>
      <c r="CO493" s="14">
        <f t="shared" si="399"/>
        <v>9157</v>
      </c>
      <c r="CP493" s="17">
        <f t="shared" si="400"/>
        <v>11.108692251435423</v>
      </c>
      <c r="CQ493" s="14">
        <f t="shared" si="374"/>
        <v>20135</v>
      </c>
      <c r="CR493" s="14">
        <v>0</v>
      </c>
      <c r="CS493" s="14">
        <v>0</v>
      </c>
      <c r="CT493" s="14">
        <v>0</v>
      </c>
      <c r="CU493" s="14">
        <v>0</v>
      </c>
    </row>
    <row r="494" spans="1:99" x14ac:dyDescent="0.3">
      <c r="A494" s="14">
        <v>2020</v>
      </c>
      <c r="B494" s="14" t="s">
        <v>89</v>
      </c>
      <c r="C494" s="14" t="s">
        <v>90</v>
      </c>
      <c r="D494" s="15">
        <v>269323.40000000002</v>
      </c>
      <c r="E494" s="15">
        <v>8442580</v>
      </c>
      <c r="F494" s="15">
        <f t="shared" si="375"/>
        <v>31.347368999500226</v>
      </c>
      <c r="H494" s="14">
        <v>232</v>
      </c>
      <c r="I494" s="14">
        <v>1411</v>
      </c>
      <c r="K494" s="14">
        <v>83</v>
      </c>
      <c r="L494" s="14">
        <v>20</v>
      </c>
      <c r="M494" s="14">
        <v>7386</v>
      </c>
      <c r="O494" s="14">
        <v>2</v>
      </c>
      <c r="P494" s="14">
        <v>1</v>
      </c>
      <c r="Q494" s="14">
        <v>2</v>
      </c>
      <c r="R494" s="14">
        <v>20</v>
      </c>
      <c r="S494" s="14">
        <v>50</v>
      </c>
      <c r="T494" s="14">
        <v>379</v>
      </c>
      <c r="V494" s="14">
        <v>280</v>
      </c>
      <c r="X494" s="14">
        <v>997</v>
      </c>
      <c r="Y494" s="14">
        <v>338</v>
      </c>
      <c r="Z494" s="14">
        <v>589</v>
      </c>
      <c r="AA494" s="14">
        <v>6</v>
      </c>
      <c r="AB494" s="14">
        <f t="shared" si="376"/>
        <v>8</v>
      </c>
      <c r="AD494" s="14">
        <v>14</v>
      </c>
      <c r="AE494" s="14">
        <v>7</v>
      </c>
      <c r="AF494" s="14">
        <v>3</v>
      </c>
      <c r="AG494" s="14">
        <v>2137</v>
      </c>
      <c r="AH494" s="14">
        <v>1371</v>
      </c>
      <c r="AJ494" s="14">
        <v>49</v>
      </c>
      <c r="AK494" s="14">
        <v>230</v>
      </c>
      <c r="AM494" s="14">
        <f t="shared" si="377"/>
        <v>230</v>
      </c>
      <c r="AN494" s="14">
        <v>65</v>
      </c>
      <c r="AO494" s="14">
        <v>45</v>
      </c>
      <c r="AP494" s="14">
        <v>21</v>
      </c>
      <c r="AQ494" s="14">
        <f t="shared" si="378"/>
        <v>66</v>
      </c>
      <c r="AT494" s="14">
        <f t="shared" si="379"/>
        <v>0</v>
      </c>
      <c r="AU494" s="16">
        <v>1619</v>
      </c>
      <c r="AV494" s="16">
        <v>4910</v>
      </c>
      <c r="AW494" s="16">
        <v>3486</v>
      </c>
      <c r="AX494" s="16">
        <v>4622</v>
      </c>
      <c r="AY494" s="18">
        <f t="shared" si="380"/>
        <v>1.9176602413006452</v>
      </c>
      <c r="AZ494" s="17">
        <f t="shared" si="381"/>
        <v>5.8157577423015239</v>
      </c>
      <c r="BA494" s="17">
        <f t="shared" si="382"/>
        <v>4.1290695498295547</v>
      </c>
      <c r="BB494" s="17">
        <f t="shared" si="383"/>
        <v>5.474629793262249</v>
      </c>
      <c r="BC494" s="17">
        <f t="shared" si="351"/>
        <v>0</v>
      </c>
      <c r="BD494" s="17">
        <f t="shared" si="352"/>
        <v>0.2747975145038602</v>
      </c>
      <c r="BE494" s="17">
        <f t="shared" si="353"/>
        <v>1.6712900558833912</v>
      </c>
      <c r="BF494" s="17">
        <f t="shared" si="354"/>
        <v>0</v>
      </c>
      <c r="BG494" s="17">
        <f t="shared" si="355"/>
        <v>9.8311179757846534E-2</v>
      </c>
      <c r="BH494" s="17">
        <f t="shared" si="356"/>
        <v>2.3689440905505191E-2</v>
      </c>
      <c r="BI494" s="17">
        <f t="shared" si="357"/>
        <v>8.7485105264030665</v>
      </c>
      <c r="BJ494" s="17">
        <f t="shared" si="358"/>
        <v>0</v>
      </c>
      <c r="BK494" s="17">
        <f t="shared" si="359"/>
        <v>2.3689440905505189E-3</v>
      </c>
      <c r="BL494" s="17">
        <f t="shared" si="360"/>
        <v>1.1844720452752595E-3</v>
      </c>
      <c r="BM494" s="17">
        <f t="shared" si="361"/>
        <v>2.3689440905505189E-3</v>
      </c>
      <c r="BN494" s="17">
        <f t="shared" si="362"/>
        <v>2.3689440905505191E-2</v>
      </c>
      <c r="BO494" s="17">
        <f t="shared" si="363"/>
        <v>5.922360226376297E-2</v>
      </c>
      <c r="BP494" s="17">
        <f t="shared" si="364"/>
        <v>0.44891490515932331</v>
      </c>
      <c r="BQ494" s="17">
        <f t="shared" si="365"/>
        <v>0</v>
      </c>
      <c r="BR494" s="17">
        <f t="shared" si="366"/>
        <v>0.33165217267707264</v>
      </c>
      <c r="BS494" s="17">
        <f t="shared" si="367"/>
        <v>0</v>
      </c>
      <c r="BT494" s="17">
        <f t="shared" si="368"/>
        <v>1.1809186291394336</v>
      </c>
      <c r="BU494" s="17">
        <f t="shared" si="369"/>
        <v>0.40035155130303768</v>
      </c>
      <c r="BV494" s="17">
        <f t="shared" si="370"/>
        <v>0.69765403466712783</v>
      </c>
      <c r="BW494" s="17">
        <f t="shared" si="371"/>
        <v>7.1068322716515567E-3</v>
      </c>
      <c r="BX494" s="17">
        <f t="shared" si="372"/>
        <v>0</v>
      </c>
      <c r="BY494" s="17">
        <f t="shared" si="373"/>
        <v>1.6582608633853631E-2</v>
      </c>
      <c r="BZ494" s="17">
        <f t="shared" si="384"/>
        <v>8.2913043169268157E-3</v>
      </c>
      <c r="CA494" s="17">
        <f t="shared" si="385"/>
        <v>3.5534161358257784E-3</v>
      </c>
      <c r="CB494" s="17">
        <f t="shared" si="386"/>
        <v>2.5312167607532294</v>
      </c>
      <c r="CC494" s="17">
        <f t="shared" si="387"/>
        <v>1.6239111740723806</v>
      </c>
      <c r="CD494" s="17">
        <f t="shared" si="388"/>
        <v>0</v>
      </c>
      <c r="CE494" s="17">
        <f t="shared" si="389"/>
        <v>5.8039130218487715E-2</v>
      </c>
      <c r="CF494" s="17">
        <f t="shared" si="390"/>
        <v>0.2724285704133097</v>
      </c>
      <c r="CG494" s="17">
        <f t="shared" si="391"/>
        <v>0</v>
      </c>
      <c r="CH494" s="17">
        <f t="shared" si="392"/>
        <v>7.6990682942891867E-2</v>
      </c>
      <c r="CI494" s="17">
        <f t="shared" si="393"/>
        <v>5.3301242037386676E-2</v>
      </c>
      <c r="CJ494" s="17">
        <f t="shared" si="394"/>
        <v>2.4873912950780449E-2</v>
      </c>
      <c r="CK494" s="17">
        <f t="shared" si="395"/>
        <v>0</v>
      </c>
      <c r="CL494" s="17">
        <f t="shared" si="396"/>
        <v>0</v>
      </c>
      <c r="CM494" s="14">
        <f t="shared" si="397"/>
        <v>8396</v>
      </c>
      <c r="CN494" s="17">
        <f t="shared" si="398"/>
        <v>9.9448272921310785</v>
      </c>
      <c r="CO494" s="14">
        <f t="shared" si="399"/>
        <v>10015</v>
      </c>
      <c r="CP494" s="17">
        <f t="shared" si="400"/>
        <v>11.862487533431723</v>
      </c>
      <c r="CQ494" s="14">
        <f t="shared" si="374"/>
        <v>30679</v>
      </c>
      <c r="CR494" s="14">
        <v>0</v>
      </c>
      <c r="CS494" s="14">
        <v>0</v>
      </c>
      <c r="CT494" s="14">
        <v>0</v>
      </c>
      <c r="CU494" s="14">
        <v>0</v>
      </c>
    </row>
    <row r="495" spans="1:99" x14ac:dyDescent="0.3">
      <c r="A495" s="14">
        <v>2021</v>
      </c>
      <c r="B495" s="14" t="s">
        <v>89</v>
      </c>
      <c r="C495" s="14" t="s">
        <v>90</v>
      </c>
      <c r="D495" s="15">
        <v>272351.90000000002</v>
      </c>
      <c r="E495" s="15">
        <v>8644828.9999999981</v>
      </c>
      <c r="F495" s="15">
        <f t="shared" si="375"/>
        <v>31.741394130167617</v>
      </c>
      <c r="G495" s="14">
        <v>13</v>
      </c>
      <c r="H495" s="14">
        <v>21</v>
      </c>
      <c r="I495" s="14">
        <v>991</v>
      </c>
      <c r="K495" s="14">
        <v>33</v>
      </c>
      <c r="L495" s="14">
        <v>5</v>
      </c>
      <c r="M495" s="14">
        <v>7500</v>
      </c>
      <c r="O495" s="14">
        <v>2</v>
      </c>
      <c r="P495" s="14">
        <v>1</v>
      </c>
      <c r="R495" s="14">
        <v>104</v>
      </c>
      <c r="S495" s="14">
        <v>86</v>
      </c>
      <c r="T495" s="14">
        <v>342</v>
      </c>
      <c r="V495" s="14">
        <v>95</v>
      </c>
      <c r="Y495" s="14">
        <v>149</v>
      </c>
      <c r="Z495" s="14">
        <v>446</v>
      </c>
      <c r="AA495" s="14">
        <v>17</v>
      </c>
      <c r="AB495" s="14">
        <f t="shared" si="376"/>
        <v>19</v>
      </c>
      <c r="AE495" s="14">
        <v>14</v>
      </c>
      <c r="AF495" s="14">
        <v>1</v>
      </c>
      <c r="AG495" s="14">
        <v>2139</v>
      </c>
      <c r="AI495" s="14">
        <v>813</v>
      </c>
      <c r="AJ495" s="14">
        <v>44</v>
      </c>
      <c r="AK495" s="14">
        <v>161</v>
      </c>
      <c r="AM495" s="14">
        <f t="shared" si="377"/>
        <v>161</v>
      </c>
      <c r="AN495" s="14">
        <v>69</v>
      </c>
      <c r="AO495" s="14">
        <v>33</v>
      </c>
      <c r="AP495" s="14">
        <v>23</v>
      </c>
      <c r="AQ495" s="14">
        <f t="shared" si="378"/>
        <v>56</v>
      </c>
      <c r="AT495" s="14">
        <f t="shared" si="379"/>
        <v>0</v>
      </c>
      <c r="AU495" s="16">
        <v>1369</v>
      </c>
      <c r="AV495" s="16">
        <v>3892</v>
      </c>
      <c r="AW495" s="16">
        <v>2964</v>
      </c>
      <c r="AX495" s="16">
        <v>2974</v>
      </c>
      <c r="AY495" s="18">
        <f t="shared" si="380"/>
        <v>1.5836056444841191</v>
      </c>
      <c r="AZ495" s="17">
        <f t="shared" si="381"/>
        <v>4.5021133442894019</v>
      </c>
      <c r="BA495" s="17">
        <f t="shared" si="382"/>
        <v>3.428639247809298</v>
      </c>
      <c r="BB495" s="17">
        <f t="shared" si="383"/>
        <v>3.440206856607575</v>
      </c>
      <c r="BC495" s="17">
        <f t="shared" si="351"/>
        <v>1.5037891437760079E-2</v>
      </c>
      <c r="BD495" s="17">
        <f t="shared" si="352"/>
        <v>2.4291978476381666E-2</v>
      </c>
      <c r="BE495" s="17">
        <f t="shared" si="353"/>
        <v>1.1463500319092492</v>
      </c>
      <c r="BF495" s="17">
        <f t="shared" si="354"/>
        <v>0</v>
      </c>
      <c r="BG495" s="17">
        <f t="shared" si="355"/>
        <v>3.8173109034314048E-2</v>
      </c>
      <c r="BH495" s="17">
        <f t="shared" si="356"/>
        <v>5.7838043991384923E-3</v>
      </c>
      <c r="BI495" s="17">
        <f t="shared" si="357"/>
        <v>8.6757065987077375</v>
      </c>
      <c r="BJ495" s="17">
        <f t="shared" si="358"/>
        <v>0</v>
      </c>
      <c r="BK495" s="17">
        <f t="shared" si="359"/>
        <v>2.313521759655397E-3</v>
      </c>
      <c r="BL495" s="17">
        <f t="shared" si="360"/>
        <v>1.1567608798276985E-3</v>
      </c>
      <c r="BM495" s="17">
        <f t="shared" si="361"/>
        <v>0</v>
      </c>
      <c r="BN495" s="17">
        <f t="shared" si="362"/>
        <v>0.12030313150208063</v>
      </c>
      <c r="BO495" s="17">
        <f t="shared" si="363"/>
        <v>9.9481435665182069E-2</v>
      </c>
      <c r="BP495" s="17">
        <f t="shared" si="364"/>
        <v>0.39561222090107284</v>
      </c>
      <c r="BQ495" s="17">
        <f t="shared" si="365"/>
        <v>0</v>
      </c>
      <c r="BR495" s="17">
        <f t="shared" si="366"/>
        <v>0.10989228358363134</v>
      </c>
      <c r="BS495" s="17">
        <f t="shared" si="367"/>
        <v>0</v>
      </c>
      <c r="BT495" s="17">
        <f t="shared" si="368"/>
        <v>0</v>
      </c>
      <c r="BU495" s="17">
        <f t="shared" si="369"/>
        <v>0.17235737109432706</v>
      </c>
      <c r="BV495" s="17">
        <f t="shared" si="370"/>
        <v>0.51591535240315345</v>
      </c>
      <c r="BW495" s="17">
        <f t="shared" si="371"/>
        <v>1.9664934957070872E-2</v>
      </c>
      <c r="BX495" s="17">
        <f t="shared" si="372"/>
        <v>0</v>
      </c>
      <c r="BY495" s="17">
        <f t="shared" si="373"/>
        <v>0</v>
      </c>
      <c r="BZ495" s="17">
        <f t="shared" si="384"/>
        <v>1.6194652317587779E-2</v>
      </c>
      <c r="CA495" s="17">
        <f t="shared" si="385"/>
        <v>1.1567608798276985E-3</v>
      </c>
      <c r="CB495" s="17">
        <f t="shared" si="386"/>
        <v>2.4743115219514471</v>
      </c>
      <c r="CC495" s="17">
        <f t="shared" si="387"/>
        <v>0</v>
      </c>
      <c r="CD495" s="17">
        <f t="shared" si="388"/>
        <v>0.94044659529991881</v>
      </c>
      <c r="CE495" s="17">
        <f t="shared" si="389"/>
        <v>5.0897478712418731E-2</v>
      </c>
      <c r="CF495" s="17">
        <f t="shared" si="390"/>
        <v>0.18623850165225944</v>
      </c>
      <c r="CG495" s="17">
        <f t="shared" si="391"/>
        <v>0</v>
      </c>
      <c r="CH495" s="17">
        <f t="shared" si="392"/>
        <v>7.9816500708111193E-2</v>
      </c>
      <c r="CI495" s="17">
        <f t="shared" si="393"/>
        <v>3.8173109034314048E-2</v>
      </c>
      <c r="CJ495" s="17">
        <f t="shared" si="394"/>
        <v>2.6605500236037062E-2</v>
      </c>
      <c r="CK495" s="17">
        <f t="shared" si="395"/>
        <v>0</v>
      </c>
      <c r="CL495" s="17">
        <f t="shared" si="396"/>
        <v>0</v>
      </c>
      <c r="CM495" s="14">
        <f t="shared" si="397"/>
        <v>6856</v>
      </c>
      <c r="CN495" s="17">
        <f t="shared" si="398"/>
        <v>7.9307525920986999</v>
      </c>
      <c r="CO495" s="14">
        <f t="shared" si="399"/>
        <v>8225</v>
      </c>
      <c r="CP495" s="17">
        <f t="shared" si="400"/>
        <v>9.5143582365828188</v>
      </c>
      <c r="CQ495" s="14">
        <f t="shared" si="374"/>
        <v>24537</v>
      </c>
      <c r="CR495" s="14">
        <v>0</v>
      </c>
      <c r="CS495" s="14">
        <v>0</v>
      </c>
      <c r="CT495" s="14">
        <v>0</v>
      </c>
      <c r="CU495" s="14">
        <v>0</v>
      </c>
    </row>
    <row r="496" spans="1:99" x14ac:dyDescent="0.3">
      <c r="A496" s="14">
        <v>2022</v>
      </c>
      <c r="B496" s="14" t="s">
        <v>89</v>
      </c>
      <c r="C496" s="14" t="s">
        <v>90</v>
      </c>
      <c r="D496" s="15">
        <v>275519.8</v>
      </c>
      <c r="E496" s="15">
        <v>8848698.5000000019</v>
      </c>
      <c r="F496" s="15">
        <f t="shared" si="375"/>
        <v>32.116379657650747</v>
      </c>
      <c r="G496" s="14">
        <v>18</v>
      </c>
      <c r="H496" s="14">
        <v>255</v>
      </c>
      <c r="L496" s="14">
        <v>19</v>
      </c>
      <c r="N496" s="14">
        <v>1</v>
      </c>
      <c r="O496" s="14">
        <v>19</v>
      </c>
      <c r="T496" s="14">
        <v>461</v>
      </c>
      <c r="W496" s="14">
        <v>1377</v>
      </c>
      <c r="X496" s="14">
        <v>595</v>
      </c>
      <c r="Y496" s="14">
        <v>887</v>
      </c>
      <c r="AB496" s="14">
        <f t="shared" si="376"/>
        <v>19</v>
      </c>
      <c r="AE496" s="14">
        <v>50</v>
      </c>
      <c r="AF496" s="14">
        <v>2</v>
      </c>
      <c r="AI496" s="14">
        <v>390</v>
      </c>
      <c r="AJ496" s="14">
        <v>73</v>
      </c>
      <c r="AK496" s="14">
        <v>183</v>
      </c>
      <c r="AM496" s="14">
        <f t="shared" si="377"/>
        <v>183</v>
      </c>
      <c r="AQ496" s="14">
        <f t="shared" si="378"/>
        <v>0</v>
      </c>
      <c r="AT496" s="14">
        <f t="shared" si="379"/>
        <v>0</v>
      </c>
      <c r="AU496" s="16">
        <v>1641</v>
      </c>
      <c r="AV496" s="16">
        <v>5260</v>
      </c>
      <c r="AW496" s="16">
        <v>3728</v>
      </c>
      <c r="AX496" s="16">
        <v>0</v>
      </c>
      <c r="AY496" s="18">
        <f t="shared" si="380"/>
        <v>1.8545100163600328</v>
      </c>
      <c r="AZ496" s="17">
        <f t="shared" si="381"/>
        <v>5.9443770177049187</v>
      </c>
      <c r="BA496" s="17">
        <f t="shared" si="382"/>
        <v>4.2130489585558815</v>
      </c>
      <c r="BB496" s="17">
        <f t="shared" si="383"/>
        <v>0</v>
      </c>
      <c r="BC496" s="17">
        <f t="shared" si="351"/>
        <v>2.0341974585302004E-2</v>
      </c>
      <c r="BD496" s="17">
        <f t="shared" si="352"/>
        <v>0.28817797329177841</v>
      </c>
      <c r="BE496" s="17">
        <f t="shared" si="353"/>
        <v>0</v>
      </c>
      <c r="BF496" s="17">
        <f t="shared" si="354"/>
        <v>0</v>
      </c>
      <c r="BG496" s="17">
        <f t="shared" si="355"/>
        <v>0</v>
      </c>
      <c r="BH496" s="17">
        <f t="shared" si="356"/>
        <v>2.1472084284485448E-2</v>
      </c>
      <c r="BI496" s="17">
        <f t="shared" si="357"/>
        <v>0</v>
      </c>
      <c r="BJ496" s="17">
        <f t="shared" si="358"/>
        <v>1.1301096991834447E-3</v>
      </c>
      <c r="BK496" s="17">
        <f t="shared" si="359"/>
        <v>2.1472084284485448E-2</v>
      </c>
      <c r="BL496" s="17">
        <f t="shared" si="360"/>
        <v>0</v>
      </c>
      <c r="BM496" s="17">
        <f t="shared" si="361"/>
        <v>0</v>
      </c>
      <c r="BN496" s="17">
        <f t="shared" si="362"/>
        <v>0</v>
      </c>
      <c r="BO496" s="17">
        <f t="shared" si="363"/>
        <v>0</v>
      </c>
      <c r="BP496" s="17">
        <f t="shared" si="364"/>
        <v>0.52098057132356801</v>
      </c>
      <c r="BQ496" s="17">
        <f t="shared" si="365"/>
        <v>0</v>
      </c>
      <c r="BR496" s="17">
        <f t="shared" si="366"/>
        <v>0</v>
      </c>
      <c r="BS496" s="17">
        <f t="shared" si="367"/>
        <v>1.5561610557756034</v>
      </c>
      <c r="BT496" s="17">
        <f t="shared" si="368"/>
        <v>0.67241527101414955</v>
      </c>
      <c r="BU496" s="17">
        <f t="shared" si="369"/>
        <v>1.0024073031757155</v>
      </c>
      <c r="BV496" s="17">
        <f t="shared" si="370"/>
        <v>0</v>
      </c>
      <c r="BW496" s="17">
        <f t="shared" si="371"/>
        <v>0</v>
      </c>
      <c r="BX496" s="17">
        <f t="shared" si="372"/>
        <v>0</v>
      </c>
      <c r="BY496" s="17">
        <f t="shared" si="373"/>
        <v>0</v>
      </c>
      <c r="BZ496" s="17">
        <f t="shared" si="384"/>
        <v>5.6505484959172229E-2</v>
      </c>
      <c r="CA496" s="17">
        <f t="shared" si="385"/>
        <v>2.2602193983668893E-3</v>
      </c>
      <c r="CB496" s="17">
        <f t="shared" si="386"/>
        <v>0</v>
      </c>
      <c r="CC496" s="17">
        <f t="shared" si="387"/>
        <v>0</v>
      </c>
      <c r="CD496" s="17">
        <f t="shared" si="388"/>
        <v>0.44074278268154343</v>
      </c>
      <c r="CE496" s="17">
        <f t="shared" si="389"/>
        <v>8.2498008040391466E-2</v>
      </c>
      <c r="CF496" s="17">
        <f t="shared" si="390"/>
        <v>0.20681007495057038</v>
      </c>
      <c r="CG496" s="17">
        <f t="shared" si="391"/>
        <v>0</v>
      </c>
      <c r="CH496" s="17">
        <f t="shared" si="392"/>
        <v>0</v>
      </c>
      <c r="CI496" s="17">
        <f t="shared" si="393"/>
        <v>0</v>
      </c>
      <c r="CJ496" s="17">
        <f t="shared" si="394"/>
        <v>0</v>
      </c>
      <c r="CK496" s="17">
        <f t="shared" si="395"/>
        <v>0</v>
      </c>
      <c r="CL496" s="17">
        <f t="shared" si="396"/>
        <v>0</v>
      </c>
      <c r="CM496" s="14">
        <f t="shared" si="397"/>
        <v>8988</v>
      </c>
      <c r="CN496" s="17">
        <f t="shared" si="398"/>
        <v>10.1574259762608</v>
      </c>
      <c r="CO496" s="14">
        <f t="shared" si="399"/>
        <v>10629</v>
      </c>
      <c r="CP496" s="17">
        <f t="shared" si="400"/>
        <v>12.011935992620833</v>
      </c>
      <c r="CQ496" s="14">
        <f t="shared" si="374"/>
        <v>15161</v>
      </c>
      <c r="CR496" s="14">
        <v>985</v>
      </c>
      <c r="CS496" s="14">
        <v>2076</v>
      </c>
      <c r="CT496" s="14">
        <v>0</v>
      </c>
      <c r="CU496" s="14">
        <v>0</v>
      </c>
    </row>
    <row r="497" spans="1:99" x14ac:dyDescent="0.3">
      <c r="A497" s="14">
        <v>2012</v>
      </c>
      <c r="B497" s="14" t="s">
        <v>91</v>
      </c>
      <c r="C497" s="14" t="s">
        <v>92</v>
      </c>
      <c r="D497" s="15">
        <v>22453.8</v>
      </c>
      <c r="E497" s="15">
        <v>684552.49999999988</v>
      </c>
      <c r="F497" s="15">
        <f t="shared" si="375"/>
        <v>30.487155848898624</v>
      </c>
      <c r="G497" s="14">
        <v>18</v>
      </c>
      <c r="H497" s="14">
        <v>16</v>
      </c>
      <c r="Y497" s="14">
        <v>86</v>
      </c>
      <c r="AB497" s="14">
        <f t="shared" si="376"/>
        <v>0</v>
      </c>
      <c r="AM497" s="14">
        <f t="shared" si="377"/>
        <v>0</v>
      </c>
      <c r="AQ497" s="14">
        <f t="shared" si="378"/>
        <v>0</v>
      </c>
      <c r="AT497" s="14">
        <f t="shared" si="379"/>
        <v>0</v>
      </c>
      <c r="AU497" s="16">
        <v>246</v>
      </c>
      <c r="AV497" s="16">
        <v>0</v>
      </c>
      <c r="AW497" s="16">
        <v>1334</v>
      </c>
      <c r="AX497" s="16">
        <v>0</v>
      </c>
      <c r="AY497" s="18">
        <f t="shared" si="380"/>
        <v>3.5935885122032283</v>
      </c>
      <c r="AZ497" s="17">
        <f t="shared" si="381"/>
        <v>0</v>
      </c>
      <c r="BA497" s="17">
        <f t="shared" si="382"/>
        <v>19.487183232841897</v>
      </c>
      <c r="BB497" s="17">
        <f t="shared" si="383"/>
        <v>0</v>
      </c>
      <c r="BC497" s="17">
        <f t="shared" si="351"/>
        <v>0.26294550089291913</v>
      </c>
      <c r="BD497" s="17">
        <f t="shared" si="352"/>
        <v>0.23372933412703922</v>
      </c>
      <c r="BE497" s="17">
        <f t="shared" si="353"/>
        <v>0</v>
      </c>
      <c r="BF497" s="17">
        <f t="shared" si="354"/>
        <v>0</v>
      </c>
      <c r="BG497" s="17">
        <f t="shared" si="355"/>
        <v>0</v>
      </c>
      <c r="BH497" s="17">
        <f t="shared" si="356"/>
        <v>0</v>
      </c>
      <c r="BI497" s="17">
        <f t="shared" si="357"/>
        <v>0</v>
      </c>
      <c r="BJ497" s="17">
        <f t="shared" si="358"/>
        <v>0</v>
      </c>
      <c r="BK497" s="17">
        <f t="shared" si="359"/>
        <v>0</v>
      </c>
      <c r="BL497" s="17">
        <f t="shared" si="360"/>
        <v>0</v>
      </c>
      <c r="BM497" s="17">
        <f t="shared" si="361"/>
        <v>0</v>
      </c>
      <c r="BN497" s="17">
        <f t="shared" si="362"/>
        <v>0</v>
      </c>
      <c r="BO497" s="17">
        <f t="shared" si="363"/>
        <v>0</v>
      </c>
      <c r="BP497" s="17">
        <f t="shared" si="364"/>
        <v>0</v>
      </c>
      <c r="BQ497" s="17">
        <f t="shared" si="365"/>
        <v>0</v>
      </c>
      <c r="BR497" s="17">
        <f t="shared" si="366"/>
        <v>0</v>
      </c>
      <c r="BS497" s="17">
        <f t="shared" si="367"/>
        <v>0</v>
      </c>
      <c r="BT497" s="17">
        <f t="shared" si="368"/>
        <v>0</v>
      </c>
      <c r="BU497" s="17">
        <f t="shared" si="369"/>
        <v>1.2562951709328358</v>
      </c>
      <c r="BV497" s="17">
        <f t="shared" si="370"/>
        <v>0</v>
      </c>
      <c r="BW497" s="17">
        <f t="shared" si="371"/>
        <v>0</v>
      </c>
      <c r="BX497" s="17">
        <f t="shared" si="372"/>
        <v>0</v>
      </c>
      <c r="BY497" s="17">
        <f t="shared" si="373"/>
        <v>0</v>
      </c>
      <c r="BZ497" s="17">
        <f t="shared" si="384"/>
        <v>0</v>
      </c>
      <c r="CA497" s="17">
        <f t="shared" si="385"/>
        <v>0</v>
      </c>
      <c r="CB497" s="17">
        <f t="shared" si="386"/>
        <v>0</v>
      </c>
      <c r="CC497" s="17">
        <f t="shared" si="387"/>
        <v>0</v>
      </c>
      <c r="CD497" s="17">
        <f t="shared" si="388"/>
        <v>0</v>
      </c>
      <c r="CE497" s="17">
        <f t="shared" si="389"/>
        <v>0</v>
      </c>
      <c r="CF497" s="17">
        <f t="shared" si="390"/>
        <v>0</v>
      </c>
      <c r="CG497" s="17">
        <f t="shared" si="391"/>
        <v>0</v>
      </c>
      <c r="CH497" s="17">
        <f t="shared" si="392"/>
        <v>0</v>
      </c>
      <c r="CI497" s="17">
        <f t="shared" si="393"/>
        <v>0</v>
      </c>
      <c r="CJ497" s="17">
        <f t="shared" si="394"/>
        <v>0</v>
      </c>
      <c r="CK497" s="17">
        <f t="shared" si="395"/>
        <v>0</v>
      </c>
      <c r="CL497" s="17">
        <f t="shared" si="396"/>
        <v>0</v>
      </c>
      <c r="CM497" s="14">
        <f t="shared" si="397"/>
        <v>1334</v>
      </c>
      <c r="CN497" s="17">
        <f t="shared" si="398"/>
        <v>19.487183232841897</v>
      </c>
      <c r="CO497" s="14">
        <f t="shared" si="399"/>
        <v>1580</v>
      </c>
      <c r="CP497" s="17">
        <f t="shared" si="400"/>
        <v>23.080771745045126</v>
      </c>
      <c r="CQ497" s="14">
        <f t="shared" si="374"/>
        <v>1700</v>
      </c>
      <c r="CR497" s="14">
        <v>0</v>
      </c>
      <c r="CS497" s="14">
        <v>0</v>
      </c>
      <c r="CT497" s="14">
        <v>0</v>
      </c>
      <c r="CU497" s="14">
        <v>0</v>
      </c>
    </row>
    <row r="498" spans="1:99" x14ac:dyDescent="0.3">
      <c r="A498" s="14">
        <v>2013</v>
      </c>
      <c r="B498" s="14" t="s">
        <v>91</v>
      </c>
      <c r="C498" s="14" t="s">
        <v>92</v>
      </c>
      <c r="D498" s="15">
        <v>22675.4</v>
      </c>
      <c r="E498" s="15">
        <v>699392.50000000035</v>
      </c>
      <c r="F498" s="15">
        <f t="shared" si="375"/>
        <v>30.843667586900356</v>
      </c>
      <c r="AB498" s="14">
        <f t="shared" si="376"/>
        <v>0</v>
      </c>
      <c r="AM498" s="14">
        <f t="shared" si="377"/>
        <v>0</v>
      </c>
      <c r="AQ498" s="14">
        <f t="shared" si="378"/>
        <v>0</v>
      </c>
      <c r="AT498" s="14">
        <f t="shared" si="379"/>
        <v>0</v>
      </c>
      <c r="AU498" s="16">
        <v>0</v>
      </c>
      <c r="AV498" s="16">
        <v>0</v>
      </c>
      <c r="AW498" s="16">
        <v>590</v>
      </c>
      <c r="AX498" s="16">
        <v>0</v>
      </c>
      <c r="AY498" s="18">
        <f t="shared" si="380"/>
        <v>0</v>
      </c>
      <c r="AZ498" s="17">
        <f t="shared" si="381"/>
        <v>0</v>
      </c>
      <c r="BA498" s="17"/>
      <c r="BB498" s="17">
        <f t="shared" si="383"/>
        <v>0</v>
      </c>
      <c r="BC498" s="17">
        <f t="shared" si="351"/>
        <v>0</v>
      </c>
      <c r="BD498" s="17">
        <f t="shared" si="352"/>
        <v>0</v>
      </c>
      <c r="BE498" s="17">
        <f t="shared" si="353"/>
        <v>0</v>
      </c>
      <c r="BF498" s="17">
        <f t="shared" si="354"/>
        <v>0</v>
      </c>
      <c r="BG498" s="17">
        <f t="shared" si="355"/>
        <v>0</v>
      </c>
      <c r="BH498" s="17">
        <f t="shared" si="356"/>
        <v>0</v>
      </c>
      <c r="BI498" s="17">
        <f t="shared" si="357"/>
        <v>0</v>
      </c>
      <c r="BJ498" s="17">
        <f t="shared" si="358"/>
        <v>0</v>
      </c>
      <c r="BK498" s="17">
        <f t="shared" si="359"/>
        <v>0</v>
      </c>
      <c r="BL498" s="17">
        <f t="shared" si="360"/>
        <v>0</v>
      </c>
      <c r="BM498" s="17">
        <f t="shared" si="361"/>
        <v>0</v>
      </c>
      <c r="BN498" s="17">
        <f t="shared" si="362"/>
        <v>0</v>
      </c>
      <c r="BO498" s="17">
        <f t="shared" si="363"/>
        <v>0</v>
      </c>
      <c r="BP498" s="17">
        <f t="shared" si="364"/>
        <v>0</v>
      </c>
      <c r="BQ498" s="17">
        <f t="shared" si="365"/>
        <v>0</v>
      </c>
      <c r="BR498" s="17">
        <f t="shared" si="366"/>
        <v>0</v>
      </c>
      <c r="BS498" s="17">
        <f t="shared" si="367"/>
        <v>0</v>
      </c>
      <c r="BT498" s="17">
        <f t="shared" si="368"/>
        <v>0</v>
      </c>
      <c r="BU498" s="17">
        <f t="shared" si="369"/>
        <v>0</v>
      </c>
      <c r="BV498" s="17">
        <f t="shared" si="370"/>
        <v>0</v>
      </c>
      <c r="BW498" s="17">
        <f t="shared" si="371"/>
        <v>0</v>
      </c>
      <c r="BX498" s="17">
        <f t="shared" si="372"/>
        <v>0</v>
      </c>
      <c r="BY498" s="17">
        <f t="shared" si="373"/>
        <v>0</v>
      </c>
      <c r="BZ498" s="17">
        <f t="shared" si="384"/>
        <v>0</v>
      </c>
      <c r="CA498" s="17">
        <f t="shared" si="385"/>
        <v>0</v>
      </c>
      <c r="CB498" s="17">
        <f t="shared" si="386"/>
        <v>0</v>
      </c>
      <c r="CC498" s="17">
        <f t="shared" si="387"/>
        <v>0</v>
      </c>
      <c r="CD498" s="17">
        <f t="shared" si="388"/>
        <v>0</v>
      </c>
      <c r="CE498" s="17">
        <f t="shared" si="389"/>
        <v>0</v>
      </c>
      <c r="CF498" s="17">
        <f t="shared" si="390"/>
        <v>0</v>
      </c>
      <c r="CG498" s="17">
        <f t="shared" si="391"/>
        <v>0</v>
      </c>
      <c r="CH498" s="17">
        <f t="shared" si="392"/>
        <v>0</v>
      </c>
      <c r="CI498" s="17">
        <f t="shared" si="393"/>
        <v>0</v>
      </c>
      <c r="CJ498" s="17">
        <f t="shared" si="394"/>
        <v>0</v>
      </c>
      <c r="CK498" s="17">
        <f t="shared" si="395"/>
        <v>0</v>
      </c>
      <c r="CL498" s="17">
        <f t="shared" si="396"/>
        <v>0</v>
      </c>
      <c r="CM498" s="14">
        <f t="shared" si="397"/>
        <v>590</v>
      </c>
      <c r="CN498" s="17"/>
      <c r="CO498" s="14">
        <f t="shared" si="399"/>
        <v>590</v>
      </c>
      <c r="CP498" s="17"/>
      <c r="CQ498" s="14">
        <f t="shared" si="374"/>
        <v>590</v>
      </c>
      <c r="CR498" s="14">
        <v>181</v>
      </c>
      <c r="CS498" s="14">
        <v>6</v>
      </c>
      <c r="CT498" s="14">
        <v>0</v>
      </c>
      <c r="CU498" s="14">
        <v>755</v>
      </c>
    </row>
    <row r="499" spans="1:99" x14ac:dyDescent="0.3">
      <c r="A499" s="14">
        <v>2014</v>
      </c>
      <c r="B499" s="14" t="s">
        <v>91</v>
      </c>
      <c r="C499" s="14" t="s">
        <v>92</v>
      </c>
      <c r="D499" s="15">
        <v>22908.400000000001</v>
      </c>
      <c r="E499" s="15">
        <v>714612.00000000012</v>
      </c>
      <c r="F499" s="15">
        <f t="shared" si="375"/>
        <v>31.194321733512602</v>
      </c>
      <c r="AB499" s="14">
        <f t="shared" si="376"/>
        <v>0</v>
      </c>
      <c r="AM499" s="14">
        <f t="shared" si="377"/>
        <v>0</v>
      </c>
      <c r="AQ499" s="14">
        <f t="shared" si="378"/>
        <v>0</v>
      </c>
      <c r="AT499" s="14">
        <f t="shared" si="379"/>
        <v>0</v>
      </c>
      <c r="AU499" s="16">
        <v>0</v>
      </c>
      <c r="AV499" s="16">
        <v>0</v>
      </c>
      <c r="AW499" s="16">
        <v>0</v>
      </c>
      <c r="AX499" s="16">
        <v>0</v>
      </c>
      <c r="AY499" s="18">
        <f t="shared" si="380"/>
        <v>0</v>
      </c>
      <c r="AZ499" s="17">
        <f t="shared" si="381"/>
        <v>0</v>
      </c>
      <c r="BA499" s="17">
        <f t="shared" si="382"/>
        <v>0</v>
      </c>
      <c r="BB499" s="17">
        <f t="shared" si="383"/>
        <v>0</v>
      </c>
      <c r="BC499" s="17">
        <f t="shared" si="351"/>
        <v>0</v>
      </c>
      <c r="BD499" s="17">
        <f t="shared" si="352"/>
        <v>0</v>
      </c>
      <c r="BE499" s="17">
        <f t="shared" si="353"/>
        <v>0</v>
      </c>
      <c r="BF499" s="17">
        <f t="shared" si="354"/>
        <v>0</v>
      </c>
      <c r="BG499" s="17">
        <f t="shared" si="355"/>
        <v>0</v>
      </c>
      <c r="BH499" s="17">
        <f t="shared" si="356"/>
        <v>0</v>
      </c>
      <c r="BI499" s="17">
        <f t="shared" si="357"/>
        <v>0</v>
      </c>
      <c r="BJ499" s="17">
        <f t="shared" si="358"/>
        <v>0</v>
      </c>
      <c r="BK499" s="17">
        <f t="shared" si="359"/>
        <v>0</v>
      </c>
      <c r="BL499" s="17">
        <f t="shared" si="360"/>
        <v>0</v>
      </c>
      <c r="BM499" s="17">
        <f t="shared" si="361"/>
        <v>0</v>
      </c>
      <c r="BN499" s="17">
        <f t="shared" si="362"/>
        <v>0</v>
      </c>
      <c r="BO499" s="17">
        <f t="shared" si="363"/>
        <v>0</v>
      </c>
      <c r="BP499" s="17">
        <f t="shared" si="364"/>
        <v>0</v>
      </c>
      <c r="BQ499" s="17">
        <f t="shared" si="365"/>
        <v>0</v>
      </c>
      <c r="BR499" s="17">
        <f t="shared" si="366"/>
        <v>0</v>
      </c>
      <c r="BS499" s="17">
        <f t="shared" si="367"/>
        <v>0</v>
      </c>
      <c r="BT499" s="17">
        <f t="shared" si="368"/>
        <v>0</v>
      </c>
      <c r="BU499" s="17">
        <f t="shared" si="369"/>
        <v>0</v>
      </c>
      <c r="BV499" s="17">
        <f t="shared" si="370"/>
        <v>0</v>
      </c>
      <c r="BW499" s="17">
        <f t="shared" si="371"/>
        <v>0</v>
      </c>
      <c r="BX499" s="17">
        <f t="shared" si="372"/>
        <v>0</v>
      </c>
      <c r="BY499" s="17">
        <f t="shared" si="373"/>
        <v>0</v>
      </c>
      <c r="BZ499" s="17">
        <f t="shared" si="384"/>
        <v>0</v>
      </c>
      <c r="CA499" s="17">
        <f t="shared" si="385"/>
        <v>0</v>
      </c>
      <c r="CB499" s="17">
        <f t="shared" si="386"/>
        <v>0</v>
      </c>
      <c r="CC499" s="17">
        <f t="shared" si="387"/>
        <v>0</v>
      </c>
      <c r="CD499" s="17">
        <f t="shared" si="388"/>
        <v>0</v>
      </c>
      <c r="CE499" s="17">
        <f t="shared" si="389"/>
        <v>0</v>
      </c>
      <c r="CF499" s="17">
        <f t="shared" si="390"/>
        <v>0</v>
      </c>
      <c r="CG499" s="17">
        <f t="shared" si="391"/>
        <v>0</v>
      </c>
      <c r="CH499" s="17">
        <f t="shared" si="392"/>
        <v>0</v>
      </c>
      <c r="CI499" s="17">
        <f t="shared" si="393"/>
        <v>0</v>
      </c>
      <c r="CJ499" s="17">
        <f t="shared" si="394"/>
        <v>0</v>
      </c>
      <c r="CK499" s="17">
        <f t="shared" si="395"/>
        <v>0</v>
      </c>
      <c r="CL499" s="17">
        <f t="shared" si="396"/>
        <v>0</v>
      </c>
      <c r="CM499" s="14">
        <f t="shared" si="397"/>
        <v>0</v>
      </c>
      <c r="CN499" s="17">
        <f t="shared" si="398"/>
        <v>0</v>
      </c>
      <c r="CO499" s="14">
        <f t="shared" si="399"/>
        <v>0</v>
      </c>
      <c r="CP499" s="17">
        <f t="shared" si="400"/>
        <v>0</v>
      </c>
      <c r="CQ499" s="14">
        <f t="shared" si="374"/>
        <v>0</v>
      </c>
      <c r="CR499" s="14">
        <v>0</v>
      </c>
      <c r="CS499" s="14">
        <v>0</v>
      </c>
      <c r="CT499" s="14">
        <v>0</v>
      </c>
      <c r="CU499" s="14">
        <v>0</v>
      </c>
    </row>
    <row r="500" spans="1:99" x14ac:dyDescent="0.3">
      <c r="A500" s="14">
        <v>2015</v>
      </c>
      <c r="B500" s="14" t="s">
        <v>91</v>
      </c>
      <c r="C500" s="14" t="s">
        <v>92</v>
      </c>
      <c r="D500" s="15">
        <v>23131.8</v>
      </c>
      <c r="E500" s="15">
        <v>730215.49999999953</v>
      </c>
      <c r="F500" s="15">
        <f t="shared" si="375"/>
        <v>31.567603904581553</v>
      </c>
      <c r="AB500" s="14">
        <f t="shared" si="376"/>
        <v>0</v>
      </c>
      <c r="AM500" s="14">
        <f t="shared" si="377"/>
        <v>0</v>
      </c>
      <c r="AQ500" s="14">
        <f t="shared" si="378"/>
        <v>0</v>
      </c>
      <c r="AT500" s="14">
        <f t="shared" si="379"/>
        <v>0</v>
      </c>
      <c r="AU500" s="16">
        <v>0</v>
      </c>
      <c r="AV500" s="16">
        <v>0</v>
      </c>
      <c r="AW500" s="16">
        <v>0</v>
      </c>
      <c r="AX500" s="16">
        <v>0</v>
      </c>
      <c r="AY500" s="18">
        <f t="shared" si="380"/>
        <v>0</v>
      </c>
      <c r="AZ500" s="17">
        <f t="shared" si="381"/>
        <v>0</v>
      </c>
      <c r="BA500" s="17">
        <f t="shared" si="382"/>
        <v>0</v>
      </c>
      <c r="BB500" s="17">
        <f t="shared" si="383"/>
        <v>0</v>
      </c>
      <c r="BC500" s="17">
        <f t="shared" si="351"/>
        <v>0</v>
      </c>
      <c r="BD500" s="17">
        <f t="shared" si="352"/>
        <v>0</v>
      </c>
      <c r="BE500" s="17">
        <f t="shared" si="353"/>
        <v>0</v>
      </c>
      <c r="BF500" s="17">
        <f t="shared" si="354"/>
        <v>0</v>
      </c>
      <c r="BG500" s="17">
        <f t="shared" si="355"/>
        <v>0</v>
      </c>
      <c r="BH500" s="17">
        <f t="shared" si="356"/>
        <v>0</v>
      </c>
      <c r="BI500" s="17">
        <f t="shared" si="357"/>
        <v>0</v>
      </c>
      <c r="BJ500" s="17">
        <f t="shared" si="358"/>
        <v>0</v>
      </c>
      <c r="BK500" s="17">
        <f t="shared" si="359"/>
        <v>0</v>
      </c>
      <c r="BL500" s="17">
        <f t="shared" si="360"/>
        <v>0</v>
      </c>
      <c r="BM500" s="17">
        <f t="shared" si="361"/>
        <v>0</v>
      </c>
      <c r="BN500" s="17">
        <f t="shared" si="362"/>
        <v>0</v>
      </c>
      <c r="BO500" s="17">
        <f t="shared" si="363"/>
        <v>0</v>
      </c>
      <c r="BP500" s="17">
        <f t="shared" si="364"/>
        <v>0</v>
      </c>
      <c r="BQ500" s="17">
        <f t="shared" si="365"/>
        <v>0</v>
      </c>
      <c r="BR500" s="17">
        <f t="shared" si="366"/>
        <v>0</v>
      </c>
      <c r="BS500" s="17">
        <f t="shared" si="367"/>
        <v>0</v>
      </c>
      <c r="BT500" s="17">
        <f t="shared" si="368"/>
        <v>0</v>
      </c>
      <c r="BU500" s="17">
        <f t="shared" si="369"/>
        <v>0</v>
      </c>
      <c r="BV500" s="17">
        <f t="shared" si="370"/>
        <v>0</v>
      </c>
      <c r="BW500" s="17">
        <f t="shared" si="371"/>
        <v>0</v>
      </c>
      <c r="BX500" s="17">
        <f t="shared" si="372"/>
        <v>0</v>
      </c>
      <c r="BY500" s="17">
        <f t="shared" si="373"/>
        <v>0</v>
      </c>
      <c r="BZ500" s="17">
        <f t="shared" si="384"/>
        <v>0</v>
      </c>
      <c r="CA500" s="17">
        <f t="shared" si="385"/>
        <v>0</v>
      </c>
      <c r="CB500" s="17">
        <f t="shared" si="386"/>
        <v>0</v>
      </c>
      <c r="CC500" s="17">
        <f t="shared" si="387"/>
        <v>0</v>
      </c>
      <c r="CD500" s="17">
        <f t="shared" si="388"/>
        <v>0</v>
      </c>
      <c r="CE500" s="17">
        <f t="shared" si="389"/>
        <v>0</v>
      </c>
      <c r="CF500" s="17">
        <f t="shared" si="390"/>
        <v>0</v>
      </c>
      <c r="CG500" s="17">
        <f t="shared" si="391"/>
        <v>0</v>
      </c>
      <c r="CH500" s="17">
        <f t="shared" si="392"/>
        <v>0</v>
      </c>
      <c r="CI500" s="17">
        <f t="shared" si="393"/>
        <v>0</v>
      </c>
      <c r="CJ500" s="17">
        <f t="shared" si="394"/>
        <v>0</v>
      </c>
      <c r="CK500" s="17">
        <f t="shared" si="395"/>
        <v>0</v>
      </c>
      <c r="CL500" s="17">
        <f t="shared" si="396"/>
        <v>0</v>
      </c>
      <c r="CM500" s="14">
        <f t="shared" si="397"/>
        <v>0</v>
      </c>
      <c r="CN500" s="17">
        <f t="shared" si="398"/>
        <v>0</v>
      </c>
      <c r="CO500" s="14">
        <f t="shared" si="399"/>
        <v>0</v>
      </c>
      <c r="CP500" s="17">
        <f t="shared" si="400"/>
        <v>0</v>
      </c>
      <c r="CQ500" s="14">
        <f t="shared" si="374"/>
        <v>0</v>
      </c>
      <c r="CR500" s="14">
        <v>0</v>
      </c>
      <c r="CS500" s="14">
        <v>0</v>
      </c>
      <c r="CT500" s="14">
        <v>0</v>
      </c>
      <c r="CU500" s="14">
        <v>0</v>
      </c>
    </row>
    <row r="501" spans="1:99" x14ac:dyDescent="0.3">
      <c r="A501" s="14">
        <v>2016</v>
      </c>
      <c r="B501" s="14" t="s">
        <v>91</v>
      </c>
      <c r="C501" s="14" t="s">
        <v>92</v>
      </c>
      <c r="D501" s="15">
        <v>23359.599999999999</v>
      </c>
      <c r="E501" s="15">
        <v>746232.00000000012</v>
      </c>
      <c r="F501" s="15">
        <f t="shared" si="375"/>
        <v>31.945410024144255</v>
      </c>
      <c r="AB501" s="14">
        <f t="shared" si="376"/>
        <v>0</v>
      </c>
      <c r="AM501" s="14">
        <f t="shared" si="377"/>
        <v>0</v>
      </c>
      <c r="AQ501" s="14">
        <f t="shared" si="378"/>
        <v>0</v>
      </c>
      <c r="AT501" s="14">
        <f t="shared" si="379"/>
        <v>0</v>
      </c>
      <c r="AU501" s="16">
        <v>440</v>
      </c>
      <c r="AV501" s="16">
        <v>0</v>
      </c>
      <c r="AW501" s="16">
        <v>1000</v>
      </c>
      <c r="AX501" s="16">
        <v>0</v>
      </c>
      <c r="AY501" s="18">
        <f t="shared" si="380"/>
        <v>5.8962896257464159</v>
      </c>
      <c r="AZ501" s="17">
        <f t="shared" si="381"/>
        <v>0</v>
      </c>
      <c r="BA501" s="17">
        <f t="shared" si="382"/>
        <v>13.400658240332763</v>
      </c>
      <c r="BB501" s="17">
        <f t="shared" si="383"/>
        <v>0</v>
      </c>
      <c r="BC501" s="17">
        <f t="shared" si="351"/>
        <v>0</v>
      </c>
      <c r="BD501" s="17">
        <f t="shared" si="352"/>
        <v>0</v>
      </c>
      <c r="BE501" s="17">
        <f t="shared" si="353"/>
        <v>0</v>
      </c>
      <c r="BF501" s="17">
        <f t="shared" si="354"/>
        <v>0</v>
      </c>
      <c r="BG501" s="17">
        <f t="shared" si="355"/>
        <v>0</v>
      </c>
      <c r="BH501" s="17">
        <f t="shared" si="356"/>
        <v>0</v>
      </c>
      <c r="BI501" s="17">
        <f t="shared" si="357"/>
        <v>0</v>
      </c>
      <c r="BJ501" s="17">
        <f t="shared" si="358"/>
        <v>0</v>
      </c>
      <c r="BK501" s="17">
        <f t="shared" si="359"/>
        <v>0</v>
      </c>
      <c r="BL501" s="17">
        <f t="shared" si="360"/>
        <v>0</v>
      </c>
      <c r="BM501" s="17">
        <f t="shared" si="361"/>
        <v>0</v>
      </c>
      <c r="BN501" s="17">
        <f t="shared" si="362"/>
        <v>0</v>
      </c>
      <c r="BO501" s="17">
        <f t="shared" si="363"/>
        <v>0</v>
      </c>
      <c r="BP501" s="17">
        <f t="shared" si="364"/>
        <v>0</v>
      </c>
      <c r="BQ501" s="17">
        <f t="shared" si="365"/>
        <v>0</v>
      </c>
      <c r="BR501" s="17">
        <f t="shared" si="366"/>
        <v>0</v>
      </c>
      <c r="BS501" s="17">
        <f t="shared" si="367"/>
        <v>0</v>
      </c>
      <c r="BT501" s="17">
        <f t="shared" si="368"/>
        <v>0</v>
      </c>
      <c r="BU501" s="17">
        <f t="shared" si="369"/>
        <v>0</v>
      </c>
      <c r="BV501" s="17">
        <f t="shared" si="370"/>
        <v>0</v>
      </c>
      <c r="BW501" s="17">
        <f t="shared" si="371"/>
        <v>0</v>
      </c>
      <c r="BX501" s="17">
        <f t="shared" si="372"/>
        <v>0</v>
      </c>
      <c r="BY501" s="17">
        <f t="shared" si="373"/>
        <v>0</v>
      </c>
      <c r="BZ501" s="17">
        <f t="shared" si="384"/>
        <v>0</v>
      </c>
      <c r="CA501" s="17">
        <f t="shared" si="385"/>
        <v>0</v>
      </c>
      <c r="CB501" s="17">
        <f t="shared" si="386"/>
        <v>0</v>
      </c>
      <c r="CC501" s="17">
        <f t="shared" si="387"/>
        <v>0</v>
      </c>
      <c r="CD501" s="17">
        <f t="shared" si="388"/>
        <v>0</v>
      </c>
      <c r="CE501" s="17">
        <f t="shared" si="389"/>
        <v>0</v>
      </c>
      <c r="CF501" s="17">
        <f t="shared" si="390"/>
        <v>0</v>
      </c>
      <c r="CG501" s="17">
        <f t="shared" si="391"/>
        <v>0</v>
      </c>
      <c r="CH501" s="17">
        <f t="shared" si="392"/>
        <v>0</v>
      </c>
      <c r="CI501" s="17">
        <f t="shared" si="393"/>
        <v>0</v>
      </c>
      <c r="CJ501" s="17">
        <f t="shared" si="394"/>
        <v>0</v>
      </c>
      <c r="CK501" s="17">
        <f t="shared" si="395"/>
        <v>0</v>
      </c>
      <c r="CL501" s="17">
        <f t="shared" si="396"/>
        <v>0</v>
      </c>
      <c r="CM501" s="14">
        <f t="shared" si="397"/>
        <v>1000</v>
      </c>
      <c r="CN501" s="17">
        <f t="shared" si="398"/>
        <v>13.400658240332763</v>
      </c>
      <c r="CO501" s="14">
        <f t="shared" si="399"/>
        <v>1440</v>
      </c>
      <c r="CP501" s="17">
        <f t="shared" si="400"/>
        <v>19.296947866079179</v>
      </c>
      <c r="CQ501" s="14">
        <f t="shared" si="374"/>
        <v>1440</v>
      </c>
      <c r="CR501" s="14">
        <v>301</v>
      </c>
      <c r="CS501" s="14">
        <v>432</v>
      </c>
      <c r="CT501" s="14">
        <v>0</v>
      </c>
      <c r="CU501" s="14">
        <v>0</v>
      </c>
    </row>
    <row r="502" spans="1:99" x14ac:dyDescent="0.3">
      <c r="A502" s="14">
        <v>2017</v>
      </c>
      <c r="B502" s="14" t="s">
        <v>91</v>
      </c>
      <c r="C502" s="14" t="s">
        <v>92</v>
      </c>
      <c r="D502" s="15">
        <v>23590.799999999999</v>
      </c>
      <c r="E502" s="15">
        <v>761663.99999999977</v>
      </c>
      <c r="F502" s="15">
        <f t="shared" si="375"/>
        <v>32.286484561778309</v>
      </c>
      <c r="AB502" s="14">
        <f t="shared" si="376"/>
        <v>0</v>
      </c>
      <c r="AM502" s="14">
        <f t="shared" si="377"/>
        <v>0</v>
      </c>
      <c r="AQ502" s="14">
        <f t="shared" si="378"/>
        <v>0</v>
      </c>
      <c r="AT502" s="14">
        <f t="shared" si="379"/>
        <v>0</v>
      </c>
      <c r="AU502" s="16">
        <v>0</v>
      </c>
      <c r="AV502" s="16">
        <v>0</v>
      </c>
      <c r="AW502" s="16">
        <v>0</v>
      </c>
      <c r="AX502" s="16">
        <v>0</v>
      </c>
      <c r="AY502" s="18">
        <f t="shared" si="380"/>
        <v>0</v>
      </c>
      <c r="AZ502" s="17">
        <f t="shared" si="381"/>
        <v>0</v>
      </c>
      <c r="BA502" s="17">
        <f t="shared" si="382"/>
        <v>0</v>
      </c>
      <c r="BB502" s="17">
        <f t="shared" si="383"/>
        <v>0</v>
      </c>
      <c r="BC502" s="17">
        <f t="shared" si="351"/>
        <v>0</v>
      </c>
      <c r="BD502" s="17">
        <f t="shared" si="352"/>
        <v>0</v>
      </c>
      <c r="BE502" s="17">
        <f t="shared" si="353"/>
        <v>0</v>
      </c>
      <c r="BF502" s="17">
        <f t="shared" si="354"/>
        <v>0</v>
      </c>
      <c r="BG502" s="17">
        <f t="shared" si="355"/>
        <v>0</v>
      </c>
      <c r="BH502" s="17">
        <f t="shared" si="356"/>
        <v>0</v>
      </c>
      <c r="BI502" s="17">
        <f t="shared" si="357"/>
        <v>0</v>
      </c>
      <c r="BJ502" s="17">
        <f t="shared" si="358"/>
        <v>0</v>
      </c>
      <c r="BK502" s="17">
        <f t="shared" si="359"/>
        <v>0</v>
      </c>
      <c r="BL502" s="17">
        <f t="shared" si="360"/>
        <v>0</v>
      </c>
      <c r="BM502" s="17">
        <f t="shared" si="361"/>
        <v>0</v>
      </c>
      <c r="BN502" s="17">
        <f t="shared" si="362"/>
        <v>0</v>
      </c>
      <c r="BO502" s="17">
        <f t="shared" si="363"/>
        <v>0</v>
      </c>
      <c r="BP502" s="17">
        <f t="shared" si="364"/>
        <v>0</v>
      </c>
      <c r="BQ502" s="17">
        <f t="shared" si="365"/>
        <v>0</v>
      </c>
      <c r="BR502" s="17">
        <f t="shared" si="366"/>
        <v>0</v>
      </c>
      <c r="BS502" s="17">
        <f t="shared" si="367"/>
        <v>0</v>
      </c>
      <c r="BT502" s="17">
        <f t="shared" si="368"/>
        <v>0</v>
      </c>
      <c r="BU502" s="17">
        <f t="shared" si="369"/>
        <v>0</v>
      </c>
      <c r="BV502" s="17">
        <f t="shared" si="370"/>
        <v>0</v>
      </c>
      <c r="BW502" s="17">
        <f t="shared" si="371"/>
        <v>0</v>
      </c>
      <c r="BX502" s="17">
        <f t="shared" si="372"/>
        <v>0</v>
      </c>
      <c r="BY502" s="17">
        <f t="shared" si="373"/>
        <v>0</v>
      </c>
      <c r="BZ502" s="17">
        <f t="shared" si="384"/>
        <v>0</v>
      </c>
      <c r="CA502" s="17">
        <f t="shared" si="385"/>
        <v>0</v>
      </c>
      <c r="CB502" s="17">
        <f t="shared" si="386"/>
        <v>0</v>
      </c>
      <c r="CC502" s="17">
        <f t="shared" si="387"/>
        <v>0</v>
      </c>
      <c r="CD502" s="17">
        <f t="shared" si="388"/>
        <v>0</v>
      </c>
      <c r="CE502" s="17">
        <f t="shared" si="389"/>
        <v>0</v>
      </c>
      <c r="CF502" s="17">
        <f t="shared" si="390"/>
        <v>0</v>
      </c>
      <c r="CG502" s="17">
        <f t="shared" si="391"/>
        <v>0</v>
      </c>
      <c r="CH502" s="17">
        <f t="shared" si="392"/>
        <v>0</v>
      </c>
      <c r="CI502" s="17">
        <f t="shared" si="393"/>
        <v>0</v>
      </c>
      <c r="CJ502" s="17">
        <f t="shared" si="394"/>
        <v>0</v>
      </c>
      <c r="CK502" s="17">
        <f t="shared" si="395"/>
        <v>0</v>
      </c>
      <c r="CL502" s="17">
        <f t="shared" si="396"/>
        <v>0</v>
      </c>
      <c r="CM502" s="14">
        <f t="shared" si="397"/>
        <v>0</v>
      </c>
      <c r="CN502" s="17">
        <f t="shared" si="398"/>
        <v>0</v>
      </c>
      <c r="CO502" s="14">
        <f t="shared" si="399"/>
        <v>0</v>
      </c>
      <c r="CP502" s="17">
        <f t="shared" si="400"/>
        <v>0</v>
      </c>
      <c r="CQ502" s="14">
        <f t="shared" si="374"/>
        <v>0</v>
      </c>
      <c r="CR502" s="14">
        <v>374</v>
      </c>
      <c r="CS502" s="14">
        <v>1462</v>
      </c>
      <c r="CT502" s="14">
        <v>0</v>
      </c>
      <c r="CU502" s="14">
        <v>0</v>
      </c>
    </row>
    <row r="503" spans="1:99" x14ac:dyDescent="0.3">
      <c r="A503" s="14">
        <v>2018</v>
      </c>
      <c r="B503" s="14" t="s">
        <v>91</v>
      </c>
      <c r="C503" s="14" t="s">
        <v>92</v>
      </c>
      <c r="D503" s="15">
        <v>23759.3</v>
      </c>
      <c r="E503" s="15">
        <v>776313.5000000007</v>
      </c>
      <c r="F503" s="15">
        <f t="shared" si="375"/>
        <v>32.674089724865659</v>
      </c>
      <c r="G503" s="14">
        <v>32</v>
      </c>
      <c r="H503" s="14">
        <v>36</v>
      </c>
      <c r="Y503" s="14">
        <v>8</v>
      </c>
      <c r="AB503" s="14">
        <f t="shared" si="376"/>
        <v>0</v>
      </c>
      <c r="AJ503" s="14">
        <v>19</v>
      </c>
      <c r="AM503" s="14">
        <f t="shared" si="377"/>
        <v>0</v>
      </c>
      <c r="AQ503" s="14">
        <f t="shared" si="378"/>
        <v>0</v>
      </c>
      <c r="AT503" s="14">
        <f t="shared" si="379"/>
        <v>0</v>
      </c>
      <c r="AU503" s="16">
        <v>440</v>
      </c>
      <c r="AV503" s="16">
        <v>1358</v>
      </c>
      <c r="AW503" s="16">
        <v>968</v>
      </c>
      <c r="AX503" s="16">
        <v>0</v>
      </c>
      <c r="AY503" s="18">
        <f t="shared" si="380"/>
        <v>5.6678133254155645</v>
      </c>
      <c r="AZ503" s="17">
        <f t="shared" si="381"/>
        <v>17.492932945259856</v>
      </c>
      <c r="BA503" s="17">
        <f t="shared" si="382"/>
        <v>12.469189315914242</v>
      </c>
      <c r="BB503" s="17">
        <f t="shared" si="383"/>
        <v>0</v>
      </c>
      <c r="BC503" s="17">
        <f t="shared" si="351"/>
        <v>0.41220460548476834</v>
      </c>
      <c r="BD503" s="17">
        <f t="shared" si="352"/>
        <v>0.46373018117036441</v>
      </c>
      <c r="BE503" s="17">
        <f t="shared" si="353"/>
        <v>0</v>
      </c>
      <c r="BF503" s="17">
        <f t="shared" si="354"/>
        <v>0</v>
      </c>
      <c r="BG503" s="17">
        <f t="shared" si="355"/>
        <v>0</v>
      </c>
      <c r="BH503" s="17">
        <f t="shared" si="356"/>
        <v>0</v>
      </c>
      <c r="BI503" s="17">
        <f t="shared" si="357"/>
        <v>0</v>
      </c>
      <c r="BJ503" s="17">
        <f t="shared" si="358"/>
        <v>0</v>
      </c>
      <c r="BK503" s="17">
        <f t="shared" si="359"/>
        <v>0</v>
      </c>
      <c r="BL503" s="17">
        <f t="shared" si="360"/>
        <v>0</v>
      </c>
      <c r="BM503" s="17">
        <f t="shared" si="361"/>
        <v>0</v>
      </c>
      <c r="BN503" s="17">
        <f t="shared" si="362"/>
        <v>0</v>
      </c>
      <c r="BO503" s="17">
        <f t="shared" si="363"/>
        <v>0</v>
      </c>
      <c r="BP503" s="17">
        <f t="shared" si="364"/>
        <v>0</v>
      </c>
      <c r="BQ503" s="17">
        <f t="shared" si="365"/>
        <v>0</v>
      </c>
      <c r="BR503" s="17">
        <f t="shared" si="366"/>
        <v>0</v>
      </c>
      <c r="BS503" s="17">
        <f t="shared" si="367"/>
        <v>0</v>
      </c>
      <c r="BT503" s="17">
        <f t="shared" si="368"/>
        <v>0</v>
      </c>
      <c r="BU503" s="17">
        <f t="shared" si="369"/>
        <v>0.10305115137119208</v>
      </c>
      <c r="BV503" s="17">
        <f t="shared" si="370"/>
        <v>0</v>
      </c>
      <c r="BW503" s="17">
        <f t="shared" si="371"/>
        <v>0</v>
      </c>
      <c r="BX503" s="17">
        <f t="shared" si="372"/>
        <v>0</v>
      </c>
      <c r="BY503" s="17">
        <f t="shared" si="373"/>
        <v>0</v>
      </c>
      <c r="BZ503" s="17">
        <f t="shared" si="384"/>
        <v>0</v>
      </c>
      <c r="CA503" s="17">
        <f t="shared" si="385"/>
        <v>0</v>
      </c>
      <c r="CB503" s="17">
        <f t="shared" si="386"/>
        <v>0</v>
      </c>
      <c r="CC503" s="17">
        <f t="shared" si="387"/>
        <v>0</v>
      </c>
      <c r="CD503" s="17">
        <f t="shared" si="388"/>
        <v>0</v>
      </c>
      <c r="CE503" s="17">
        <f t="shared" si="389"/>
        <v>0.24474648450658121</v>
      </c>
      <c r="CF503" s="17">
        <f t="shared" si="390"/>
        <v>0</v>
      </c>
      <c r="CG503" s="17">
        <f t="shared" si="391"/>
        <v>0</v>
      </c>
      <c r="CH503" s="17">
        <f t="shared" si="392"/>
        <v>0</v>
      </c>
      <c r="CI503" s="17">
        <f t="shared" si="393"/>
        <v>0</v>
      </c>
      <c r="CJ503" s="17">
        <f t="shared" si="394"/>
        <v>0</v>
      </c>
      <c r="CK503" s="17">
        <f t="shared" si="395"/>
        <v>0</v>
      </c>
      <c r="CL503" s="17">
        <f t="shared" si="396"/>
        <v>0</v>
      </c>
      <c r="CM503" s="14">
        <f t="shared" si="397"/>
        <v>2326</v>
      </c>
      <c r="CN503" s="17">
        <f t="shared" si="398"/>
        <v>29.962122261174098</v>
      </c>
      <c r="CO503" s="14">
        <f t="shared" si="399"/>
        <v>2766</v>
      </c>
      <c r="CP503" s="17">
        <f t="shared" si="400"/>
        <v>35.629935586589667</v>
      </c>
      <c r="CQ503" s="14">
        <f t="shared" si="374"/>
        <v>2861</v>
      </c>
      <c r="CR503" s="14">
        <v>0</v>
      </c>
      <c r="CS503" s="14">
        <v>0</v>
      </c>
      <c r="CT503" s="14">
        <v>0</v>
      </c>
      <c r="CU503" s="14">
        <v>0</v>
      </c>
    </row>
    <row r="504" spans="1:99" x14ac:dyDescent="0.3">
      <c r="A504" s="14">
        <v>2019</v>
      </c>
      <c r="B504" s="14" t="s">
        <v>91</v>
      </c>
      <c r="C504" s="14" t="s">
        <v>92</v>
      </c>
      <c r="D504" s="15">
        <v>23881.9</v>
      </c>
      <c r="E504" s="15">
        <v>790986.00000000023</v>
      </c>
      <c r="F504" s="15">
        <f t="shared" si="375"/>
        <v>33.120731600082081</v>
      </c>
      <c r="AB504" s="14">
        <f t="shared" si="376"/>
        <v>0</v>
      </c>
      <c r="AM504" s="14">
        <f t="shared" si="377"/>
        <v>0</v>
      </c>
      <c r="AQ504" s="14">
        <f t="shared" si="378"/>
        <v>0</v>
      </c>
      <c r="AT504" s="14">
        <f t="shared" si="379"/>
        <v>0</v>
      </c>
      <c r="AU504" s="16">
        <v>0</v>
      </c>
      <c r="AV504" s="16">
        <v>0</v>
      </c>
      <c r="AW504" s="16">
        <v>0</v>
      </c>
      <c r="AX504" s="16">
        <v>0</v>
      </c>
      <c r="AY504" s="18">
        <f t="shared" si="380"/>
        <v>0</v>
      </c>
      <c r="AZ504" s="17">
        <f t="shared" si="381"/>
        <v>0</v>
      </c>
      <c r="BA504" s="17">
        <f t="shared" si="382"/>
        <v>0</v>
      </c>
      <c r="BB504" s="17">
        <f t="shared" si="383"/>
        <v>0</v>
      </c>
      <c r="BC504" s="17">
        <f t="shared" si="351"/>
        <v>0</v>
      </c>
      <c r="BD504" s="17">
        <f t="shared" si="352"/>
        <v>0</v>
      </c>
      <c r="BE504" s="17">
        <f t="shared" si="353"/>
        <v>0</v>
      </c>
      <c r="BF504" s="17">
        <f t="shared" si="354"/>
        <v>0</v>
      </c>
      <c r="BG504" s="17">
        <f t="shared" si="355"/>
        <v>0</v>
      </c>
      <c r="BH504" s="17">
        <f t="shared" si="356"/>
        <v>0</v>
      </c>
      <c r="BI504" s="17">
        <f t="shared" si="357"/>
        <v>0</v>
      </c>
      <c r="BJ504" s="17">
        <f t="shared" si="358"/>
        <v>0</v>
      </c>
      <c r="BK504" s="17">
        <f t="shared" si="359"/>
        <v>0</v>
      </c>
      <c r="BL504" s="17">
        <f t="shared" si="360"/>
        <v>0</v>
      </c>
      <c r="BM504" s="17">
        <f t="shared" si="361"/>
        <v>0</v>
      </c>
      <c r="BN504" s="17">
        <f t="shared" si="362"/>
        <v>0</v>
      </c>
      <c r="BO504" s="17">
        <f t="shared" si="363"/>
        <v>0</v>
      </c>
      <c r="BP504" s="17">
        <f t="shared" si="364"/>
        <v>0</v>
      </c>
      <c r="BQ504" s="17">
        <f t="shared" si="365"/>
        <v>0</v>
      </c>
      <c r="BR504" s="17">
        <f t="shared" si="366"/>
        <v>0</v>
      </c>
      <c r="BS504" s="17">
        <f t="shared" si="367"/>
        <v>0</v>
      </c>
      <c r="BT504" s="17">
        <f t="shared" si="368"/>
        <v>0</v>
      </c>
      <c r="BU504" s="17">
        <f t="shared" si="369"/>
        <v>0</v>
      </c>
      <c r="BV504" s="17">
        <f t="shared" si="370"/>
        <v>0</v>
      </c>
      <c r="BW504" s="17">
        <f t="shared" si="371"/>
        <v>0</v>
      </c>
      <c r="BX504" s="17">
        <f t="shared" si="372"/>
        <v>0</v>
      </c>
      <c r="BY504" s="17">
        <f t="shared" si="373"/>
        <v>0</v>
      </c>
      <c r="BZ504" s="17">
        <f t="shared" si="384"/>
        <v>0</v>
      </c>
      <c r="CA504" s="17">
        <f t="shared" si="385"/>
        <v>0</v>
      </c>
      <c r="CB504" s="17">
        <f t="shared" si="386"/>
        <v>0</v>
      </c>
      <c r="CC504" s="17">
        <f t="shared" si="387"/>
        <v>0</v>
      </c>
      <c r="CD504" s="17">
        <f t="shared" si="388"/>
        <v>0</v>
      </c>
      <c r="CE504" s="17">
        <f t="shared" si="389"/>
        <v>0</v>
      </c>
      <c r="CF504" s="17">
        <f t="shared" si="390"/>
        <v>0</v>
      </c>
      <c r="CG504" s="17">
        <f t="shared" si="391"/>
        <v>0</v>
      </c>
      <c r="CH504" s="17">
        <f t="shared" si="392"/>
        <v>0</v>
      </c>
      <c r="CI504" s="17">
        <f t="shared" si="393"/>
        <v>0</v>
      </c>
      <c r="CJ504" s="17">
        <f t="shared" si="394"/>
        <v>0</v>
      </c>
      <c r="CK504" s="17">
        <f t="shared" si="395"/>
        <v>0</v>
      </c>
      <c r="CL504" s="17">
        <f t="shared" si="396"/>
        <v>0</v>
      </c>
      <c r="CM504" s="14">
        <f t="shared" si="397"/>
        <v>0</v>
      </c>
      <c r="CN504" s="17">
        <f t="shared" si="398"/>
        <v>0</v>
      </c>
      <c r="CO504" s="14">
        <f t="shared" si="399"/>
        <v>0</v>
      </c>
      <c r="CP504" s="17">
        <f t="shared" si="400"/>
        <v>0</v>
      </c>
      <c r="CQ504" s="14">
        <f t="shared" si="374"/>
        <v>0</v>
      </c>
      <c r="CR504" s="14">
        <v>0</v>
      </c>
      <c r="CS504" s="14">
        <v>0</v>
      </c>
      <c r="CT504" s="14">
        <v>0</v>
      </c>
      <c r="CU504" s="14">
        <v>0</v>
      </c>
    </row>
    <row r="505" spans="1:99" x14ac:dyDescent="0.3">
      <c r="A505" s="14">
        <v>2020</v>
      </c>
      <c r="B505" s="14" t="s">
        <v>91</v>
      </c>
      <c r="C505" s="14" t="s">
        <v>92</v>
      </c>
      <c r="D505" s="15">
        <v>23981</v>
      </c>
      <c r="E505" s="15">
        <v>806166.00000000023</v>
      </c>
      <c r="F505" s="15">
        <f t="shared" si="375"/>
        <v>33.616863350152215</v>
      </c>
      <c r="G505" s="14">
        <v>32</v>
      </c>
      <c r="H505" s="14">
        <v>35</v>
      </c>
      <c r="V505" s="14">
        <v>25</v>
      </c>
      <c r="Y505" s="14">
        <v>16</v>
      </c>
      <c r="AB505" s="14">
        <f t="shared" si="376"/>
        <v>0</v>
      </c>
      <c r="AJ505" s="14">
        <v>71</v>
      </c>
      <c r="AM505" s="14">
        <f t="shared" si="377"/>
        <v>0</v>
      </c>
      <c r="AQ505" s="14">
        <f t="shared" si="378"/>
        <v>0</v>
      </c>
      <c r="AT505" s="14">
        <f t="shared" si="379"/>
        <v>0</v>
      </c>
      <c r="AU505" s="16">
        <v>708</v>
      </c>
      <c r="AV505" s="16">
        <v>1366</v>
      </c>
      <c r="AW505" s="16">
        <v>1172</v>
      </c>
      <c r="AX505" s="16">
        <v>0</v>
      </c>
      <c r="AY505" s="18">
        <f t="shared" si="380"/>
        <v>8.7823103430310852</v>
      </c>
      <c r="AZ505" s="17">
        <f t="shared" si="381"/>
        <v>16.944401029068452</v>
      </c>
      <c r="BA505" s="17">
        <f t="shared" si="382"/>
        <v>14.537948759932814</v>
      </c>
      <c r="BB505" s="17">
        <f t="shared" si="383"/>
        <v>0</v>
      </c>
      <c r="BC505" s="17">
        <f t="shared" si="351"/>
        <v>0.39694058047598124</v>
      </c>
      <c r="BD505" s="17">
        <f t="shared" si="352"/>
        <v>0.43415375989560451</v>
      </c>
      <c r="BE505" s="17">
        <f t="shared" si="353"/>
        <v>0</v>
      </c>
      <c r="BF505" s="17">
        <f t="shared" si="354"/>
        <v>0</v>
      </c>
      <c r="BG505" s="17">
        <f t="shared" si="355"/>
        <v>0</v>
      </c>
      <c r="BH505" s="17">
        <f t="shared" si="356"/>
        <v>0</v>
      </c>
      <c r="BI505" s="17">
        <f t="shared" si="357"/>
        <v>0</v>
      </c>
      <c r="BJ505" s="17">
        <f t="shared" si="358"/>
        <v>0</v>
      </c>
      <c r="BK505" s="17">
        <f t="shared" si="359"/>
        <v>0</v>
      </c>
      <c r="BL505" s="17">
        <f t="shared" si="360"/>
        <v>0</v>
      </c>
      <c r="BM505" s="17">
        <f t="shared" si="361"/>
        <v>0</v>
      </c>
      <c r="BN505" s="17">
        <f t="shared" si="362"/>
        <v>0</v>
      </c>
      <c r="BO505" s="17">
        <f t="shared" si="363"/>
        <v>0</v>
      </c>
      <c r="BP505" s="17">
        <f t="shared" si="364"/>
        <v>0</v>
      </c>
      <c r="BQ505" s="17">
        <f t="shared" si="365"/>
        <v>0</v>
      </c>
      <c r="BR505" s="17">
        <f t="shared" si="366"/>
        <v>0.31010982849686036</v>
      </c>
      <c r="BS505" s="17">
        <f t="shared" si="367"/>
        <v>0</v>
      </c>
      <c r="BT505" s="17">
        <f t="shared" si="368"/>
        <v>0</v>
      </c>
      <c r="BU505" s="17">
        <f t="shared" si="369"/>
        <v>0.19847029023799062</v>
      </c>
      <c r="BV505" s="17">
        <f t="shared" si="370"/>
        <v>0</v>
      </c>
      <c r="BW505" s="17">
        <f t="shared" si="371"/>
        <v>0</v>
      </c>
      <c r="BX505" s="17">
        <f t="shared" si="372"/>
        <v>0</v>
      </c>
      <c r="BY505" s="17">
        <f t="shared" si="373"/>
        <v>0</v>
      </c>
      <c r="BZ505" s="17">
        <f t="shared" si="384"/>
        <v>0</v>
      </c>
      <c r="CA505" s="17">
        <f t="shared" si="385"/>
        <v>0</v>
      </c>
      <c r="CB505" s="17">
        <f t="shared" si="386"/>
        <v>0</v>
      </c>
      <c r="CC505" s="17">
        <f t="shared" si="387"/>
        <v>0</v>
      </c>
      <c r="CD505" s="17">
        <f t="shared" si="388"/>
        <v>0</v>
      </c>
      <c r="CE505" s="17">
        <f t="shared" si="389"/>
        <v>0.88071191293108342</v>
      </c>
      <c r="CF505" s="17">
        <f t="shared" si="390"/>
        <v>0</v>
      </c>
      <c r="CG505" s="17">
        <f t="shared" si="391"/>
        <v>0</v>
      </c>
      <c r="CH505" s="17">
        <f t="shared" si="392"/>
        <v>0</v>
      </c>
      <c r="CI505" s="17">
        <f t="shared" si="393"/>
        <v>0</v>
      </c>
      <c r="CJ505" s="17">
        <f t="shared" si="394"/>
        <v>0</v>
      </c>
      <c r="CK505" s="17">
        <f t="shared" si="395"/>
        <v>0</v>
      </c>
      <c r="CL505" s="17">
        <f t="shared" si="396"/>
        <v>0</v>
      </c>
      <c r="CM505" s="14">
        <f t="shared" si="397"/>
        <v>2538</v>
      </c>
      <c r="CN505" s="17">
        <f t="shared" si="398"/>
        <v>31.482349789001265</v>
      </c>
      <c r="CO505" s="14">
        <f t="shared" si="399"/>
        <v>3246</v>
      </c>
      <c r="CP505" s="17">
        <f t="shared" si="400"/>
        <v>40.264660132032347</v>
      </c>
      <c r="CQ505" s="14">
        <f t="shared" si="374"/>
        <v>3425</v>
      </c>
      <c r="CR505" s="14">
        <v>0</v>
      </c>
      <c r="CS505" s="14">
        <v>0</v>
      </c>
      <c r="CT505" s="14">
        <v>0</v>
      </c>
      <c r="CU505" s="14">
        <v>0</v>
      </c>
    </row>
    <row r="506" spans="1:99" x14ac:dyDescent="0.3">
      <c r="A506" s="14">
        <v>2021</v>
      </c>
      <c r="B506" s="14" t="s">
        <v>91</v>
      </c>
      <c r="C506" s="14" t="s">
        <v>92</v>
      </c>
      <c r="D506" s="15">
        <v>24060.400000000001</v>
      </c>
      <c r="E506" s="15">
        <v>821625.49999999988</v>
      </c>
      <c r="F506" s="15">
        <f t="shared" si="375"/>
        <v>34.148455553523625</v>
      </c>
      <c r="AB506" s="14">
        <f t="shared" si="376"/>
        <v>0</v>
      </c>
      <c r="AM506" s="14">
        <f t="shared" si="377"/>
        <v>0</v>
      </c>
      <c r="AQ506" s="14">
        <f t="shared" si="378"/>
        <v>0</v>
      </c>
      <c r="AT506" s="14">
        <f t="shared" si="379"/>
        <v>0</v>
      </c>
      <c r="AU506" s="16">
        <v>0</v>
      </c>
      <c r="AV506" s="16">
        <v>0</v>
      </c>
      <c r="AW506" s="16">
        <v>0</v>
      </c>
      <c r="AX506" s="16">
        <v>0</v>
      </c>
      <c r="AY506" s="18">
        <f t="shared" si="380"/>
        <v>0</v>
      </c>
      <c r="AZ506" s="17">
        <f t="shared" si="381"/>
        <v>0</v>
      </c>
      <c r="BA506" s="17">
        <f t="shared" si="382"/>
        <v>0</v>
      </c>
      <c r="BB506" s="17">
        <f t="shared" si="383"/>
        <v>0</v>
      </c>
      <c r="BC506" s="17">
        <f t="shared" si="351"/>
        <v>0</v>
      </c>
      <c r="BD506" s="17">
        <f t="shared" si="352"/>
        <v>0</v>
      </c>
      <c r="BE506" s="17">
        <f t="shared" si="353"/>
        <v>0</v>
      </c>
      <c r="BF506" s="17">
        <f t="shared" si="354"/>
        <v>0</v>
      </c>
      <c r="BG506" s="17">
        <f t="shared" si="355"/>
        <v>0</v>
      </c>
      <c r="BH506" s="17">
        <f t="shared" si="356"/>
        <v>0</v>
      </c>
      <c r="BI506" s="17">
        <f t="shared" si="357"/>
        <v>0</v>
      </c>
      <c r="BJ506" s="17">
        <f t="shared" si="358"/>
        <v>0</v>
      </c>
      <c r="BK506" s="17">
        <f t="shared" si="359"/>
        <v>0</v>
      </c>
      <c r="BL506" s="17">
        <f t="shared" si="360"/>
        <v>0</v>
      </c>
      <c r="BM506" s="17">
        <f t="shared" si="361"/>
        <v>0</v>
      </c>
      <c r="BN506" s="17">
        <f t="shared" si="362"/>
        <v>0</v>
      </c>
      <c r="BO506" s="17">
        <f t="shared" si="363"/>
        <v>0</v>
      </c>
      <c r="BP506" s="17">
        <f t="shared" si="364"/>
        <v>0</v>
      </c>
      <c r="BQ506" s="17">
        <f t="shared" si="365"/>
        <v>0</v>
      </c>
      <c r="BR506" s="17">
        <f t="shared" si="366"/>
        <v>0</v>
      </c>
      <c r="BS506" s="17">
        <f t="shared" si="367"/>
        <v>0</v>
      </c>
      <c r="BT506" s="17">
        <f t="shared" si="368"/>
        <v>0</v>
      </c>
      <c r="BU506" s="17">
        <f t="shared" si="369"/>
        <v>0</v>
      </c>
      <c r="BV506" s="17">
        <f t="shared" si="370"/>
        <v>0</v>
      </c>
      <c r="BW506" s="17">
        <f t="shared" si="371"/>
        <v>0</v>
      </c>
      <c r="BX506" s="17">
        <f t="shared" si="372"/>
        <v>0</v>
      </c>
      <c r="BY506" s="17">
        <f t="shared" si="373"/>
        <v>0</v>
      </c>
      <c r="BZ506" s="17">
        <f t="shared" si="384"/>
        <v>0</v>
      </c>
      <c r="CA506" s="17">
        <f t="shared" si="385"/>
        <v>0</v>
      </c>
      <c r="CB506" s="17">
        <f t="shared" si="386"/>
        <v>0</v>
      </c>
      <c r="CC506" s="17">
        <f t="shared" si="387"/>
        <v>0</v>
      </c>
      <c r="CD506" s="17">
        <f t="shared" si="388"/>
        <v>0</v>
      </c>
      <c r="CE506" s="17">
        <f t="shared" si="389"/>
        <v>0</v>
      </c>
      <c r="CF506" s="17">
        <f t="shared" si="390"/>
        <v>0</v>
      </c>
      <c r="CG506" s="17">
        <f t="shared" si="391"/>
        <v>0</v>
      </c>
      <c r="CH506" s="17">
        <f t="shared" si="392"/>
        <v>0</v>
      </c>
      <c r="CI506" s="17">
        <f t="shared" si="393"/>
        <v>0</v>
      </c>
      <c r="CJ506" s="17">
        <f t="shared" si="394"/>
        <v>0</v>
      </c>
      <c r="CK506" s="17">
        <f t="shared" si="395"/>
        <v>0</v>
      </c>
      <c r="CL506" s="17">
        <f t="shared" si="396"/>
        <v>0</v>
      </c>
      <c r="CM506" s="14">
        <f t="shared" si="397"/>
        <v>0</v>
      </c>
      <c r="CN506" s="17">
        <f t="shared" si="398"/>
        <v>0</v>
      </c>
      <c r="CO506" s="14">
        <f t="shared" si="399"/>
        <v>0</v>
      </c>
      <c r="CP506" s="17">
        <f t="shared" si="400"/>
        <v>0</v>
      </c>
      <c r="CQ506" s="14">
        <f t="shared" si="374"/>
        <v>0</v>
      </c>
      <c r="CR506" s="14">
        <v>14</v>
      </c>
      <c r="CS506" s="14">
        <v>4</v>
      </c>
      <c r="CT506" s="14">
        <v>0</v>
      </c>
      <c r="CU506" s="14">
        <v>0</v>
      </c>
    </row>
    <row r="507" spans="1:99" x14ac:dyDescent="0.3">
      <c r="A507" s="14">
        <v>2022</v>
      </c>
      <c r="B507" s="14" t="s">
        <v>91</v>
      </c>
      <c r="C507" s="14" t="s">
        <v>92</v>
      </c>
      <c r="D507" s="15">
        <v>24120.5</v>
      </c>
      <c r="E507" s="15">
        <v>836773.49999999977</v>
      </c>
      <c r="F507" s="15">
        <f t="shared" si="375"/>
        <v>34.691382848614239</v>
      </c>
      <c r="AB507" s="14">
        <f t="shared" si="376"/>
        <v>0</v>
      </c>
      <c r="AM507" s="14">
        <f t="shared" si="377"/>
        <v>0</v>
      </c>
      <c r="AQ507" s="14">
        <f t="shared" si="378"/>
        <v>0</v>
      </c>
      <c r="AT507" s="14">
        <f t="shared" si="379"/>
        <v>0</v>
      </c>
      <c r="AU507" s="16">
        <v>0</v>
      </c>
      <c r="AV507" s="16">
        <v>0</v>
      </c>
      <c r="AW507" s="16">
        <v>0</v>
      </c>
      <c r="AX507" s="16">
        <v>0</v>
      </c>
      <c r="AY507" s="18">
        <f t="shared" si="380"/>
        <v>0</v>
      </c>
      <c r="AZ507" s="17">
        <f t="shared" si="381"/>
        <v>0</v>
      </c>
      <c r="BA507" s="17">
        <f t="shared" si="382"/>
        <v>0</v>
      </c>
      <c r="BB507" s="17">
        <f t="shared" si="383"/>
        <v>0</v>
      </c>
      <c r="BC507" s="17">
        <f t="shared" si="351"/>
        <v>0</v>
      </c>
      <c r="BD507" s="17">
        <f t="shared" si="352"/>
        <v>0</v>
      </c>
      <c r="BE507" s="17">
        <f t="shared" si="353"/>
        <v>0</v>
      </c>
      <c r="BF507" s="17">
        <f t="shared" si="354"/>
        <v>0</v>
      </c>
      <c r="BG507" s="17">
        <f t="shared" si="355"/>
        <v>0</v>
      </c>
      <c r="BH507" s="17">
        <f t="shared" si="356"/>
        <v>0</v>
      </c>
      <c r="BI507" s="17">
        <f t="shared" si="357"/>
        <v>0</v>
      </c>
      <c r="BJ507" s="17">
        <f t="shared" si="358"/>
        <v>0</v>
      </c>
      <c r="BK507" s="17">
        <f t="shared" si="359"/>
        <v>0</v>
      </c>
      <c r="BL507" s="17">
        <f t="shared" si="360"/>
        <v>0</v>
      </c>
      <c r="BM507" s="17">
        <f t="shared" si="361"/>
        <v>0</v>
      </c>
      <c r="BN507" s="17">
        <f t="shared" si="362"/>
        <v>0</v>
      </c>
      <c r="BO507" s="17">
        <f t="shared" si="363"/>
        <v>0</v>
      </c>
      <c r="BP507" s="17">
        <f t="shared" si="364"/>
        <v>0</v>
      </c>
      <c r="BQ507" s="17">
        <f t="shared" si="365"/>
        <v>0</v>
      </c>
      <c r="BR507" s="17">
        <f t="shared" si="366"/>
        <v>0</v>
      </c>
      <c r="BS507" s="17">
        <f t="shared" si="367"/>
        <v>0</v>
      </c>
      <c r="BT507" s="17">
        <f t="shared" si="368"/>
        <v>0</v>
      </c>
      <c r="BU507" s="17">
        <f t="shared" si="369"/>
        <v>0</v>
      </c>
      <c r="BV507" s="17">
        <f t="shared" si="370"/>
        <v>0</v>
      </c>
      <c r="BW507" s="17">
        <f t="shared" si="371"/>
        <v>0</v>
      </c>
      <c r="BX507" s="17">
        <f t="shared" si="372"/>
        <v>0</v>
      </c>
      <c r="BY507" s="17">
        <f t="shared" si="373"/>
        <v>0</v>
      </c>
      <c r="BZ507" s="17">
        <f t="shared" si="384"/>
        <v>0</v>
      </c>
      <c r="CA507" s="17">
        <f t="shared" si="385"/>
        <v>0</v>
      </c>
      <c r="CB507" s="17">
        <f t="shared" si="386"/>
        <v>0</v>
      </c>
      <c r="CC507" s="17">
        <f t="shared" si="387"/>
        <v>0</v>
      </c>
      <c r="CD507" s="17">
        <f t="shared" si="388"/>
        <v>0</v>
      </c>
      <c r="CE507" s="17">
        <f t="shared" si="389"/>
        <v>0</v>
      </c>
      <c r="CF507" s="17">
        <f t="shared" si="390"/>
        <v>0</v>
      </c>
      <c r="CG507" s="17">
        <f t="shared" si="391"/>
        <v>0</v>
      </c>
      <c r="CH507" s="17">
        <f t="shared" si="392"/>
        <v>0</v>
      </c>
      <c r="CI507" s="17">
        <f t="shared" si="393"/>
        <v>0</v>
      </c>
      <c r="CJ507" s="17">
        <f t="shared" si="394"/>
        <v>0</v>
      </c>
      <c r="CK507" s="17">
        <f t="shared" si="395"/>
        <v>0</v>
      </c>
      <c r="CL507" s="17">
        <f t="shared" si="396"/>
        <v>0</v>
      </c>
      <c r="CM507" s="14">
        <f t="shared" si="397"/>
        <v>0</v>
      </c>
      <c r="CN507" s="17">
        <f t="shared" si="398"/>
        <v>0</v>
      </c>
      <c r="CO507" s="14">
        <f t="shared" si="399"/>
        <v>0</v>
      </c>
      <c r="CP507" s="17">
        <f t="shared" si="400"/>
        <v>0</v>
      </c>
      <c r="CQ507" s="14">
        <f t="shared" si="374"/>
        <v>0</v>
      </c>
      <c r="CR507" s="14">
        <v>0</v>
      </c>
      <c r="CS507" s="14">
        <v>0</v>
      </c>
      <c r="CT507" s="14">
        <v>0</v>
      </c>
      <c r="CU507" s="14">
        <v>0</v>
      </c>
    </row>
    <row r="508" spans="1:99" x14ac:dyDescent="0.3">
      <c r="A508" s="14">
        <v>2012</v>
      </c>
      <c r="B508" s="14" t="s">
        <v>93</v>
      </c>
      <c r="C508" s="14" t="s">
        <v>94</v>
      </c>
      <c r="D508" s="15">
        <v>1802575.6</v>
      </c>
      <c r="E508" s="15">
        <v>47786137.499999993</v>
      </c>
      <c r="F508" s="15">
        <f t="shared" si="375"/>
        <v>26.509921414669094</v>
      </c>
      <c r="G508" s="14">
        <v>99</v>
      </c>
      <c r="H508" s="14">
        <v>339</v>
      </c>
      <c r="I508" s="14">
        <v>317</v>
      </c>
      <c r="L508" s="14">
        <v>28</v>
      </c>
      <c r="N508" s="14">
        <v>366</v>
      </c>
      <c r="O508" s="14">
        <v>44</v>
      </c>
      <c r="T508" s="14">
        <v>929</v>
      </c>
      <c r="V508" s="14">
        <v>223</v>
      </c>
      <c r="Y508" s="14">
        <v>1997</v>
      </c>
      <c r="Z508" s="14">
        <v>89</v>
      </c>
      <c r="AA508" s="14">
        <v>16</v>
      </c>
      <c r="AB508" s="14">
        <f t="shared" si="376"/>
        <v>60</v>
      </c>
      <c r="AC508" s="14">
        <v>470</v>
      </c>
      <c r="AE508" s="14">
        <v>65</v>
      </c>
      <c r="AF508" s="14">
        <v>82</v>
      </c>
      <c r="AI508" s="14">
        <v>8787</v>
      </c>
      <c r="AJ508" s="14">
        <v>317</v>
      </c>
      <c r="AK508" s="14">
        <v>118</v>
      </c>
      <c r="AL508" s="14">
        <v>12</v>
      </c>
      <c r="AM508" s="14">
        <f t="shared" si="377"/>
        <v>130</v>
      </c>
      <c r="AQ508" s="14">
        <f t="shared" si="378"/>
        <v>0</v>
      </c>
      <c r="AT508" s="14">
        <f t="shared" si="379"/>
        <v>0</v>
      </c>
      <c r="AU508" s="16">
        <v>2962</v>
      </c>
      <c r="AV508" s="16">
        <v>41600</v>
      </c>
      <c r="AW508" s="16">
        <v>0</v>
      </c>
      <c r="AX508" s="16">
        <v>0</v>
      </c>
      <c r="AY508" s="18">
        <f t="shared" si="380"/>
        <v>0.61984503350997988</v>
      </c>
      <c r="AZ508" s="17">
        <f t="shared" si="381"/>
        <v>8.7054535428815534</v>
      </c>
      <c r="BA508" s="17">
        <f t="shared" si="382"/>
        <v>0</v>
      </c>
      <c r="BB508" s="17">
        <f t="shared" si="383"/>
        <v>0</v>
      </c>
      <c r="BC508" s="17">
        <f t="shared" si="351"/>
        <v>2.0717305306376773E-2</v>
      </c>
      <c r="BD508" s="17">
        <f t="shared" si="352"/>
        <v>7.0941075746078039E-2</v>
      </c>
      <c r="BE508" s="17">
        <f t="shared" si="353"/>
        <v>6.6337230122438764E-2</v>
      </c>
      <c r="BF508" s="17">
        <f t="shared" si="354"/>
        <v>0</v>
      </c>
      <c r="BG508" s="17">
        <f t="shared" si="355"/>
        <v>0</v>
      </c>
      <c r="BH508" s="17">
        <f t="shared" si="356"/>
        <v>5.859439884631815E-3</v>
      </c>
      <c r="BI508" s="17">
        <f t="shared" si="357"/>
        <v>0</v>
      </c>
      <c r="BJ508" s="17">
        <f t="shared" si="358"/>
        <v>7.6591249920544432E-2</v>
      </c>
      <c r="BK508" s="17">
        <f t="shared" si="359"/>
        <v>9.2076912472785662E-3</v>
      </c>
      <c r="BL508" s="17">
        <f t="shared" si="360"/>
        <v>0</v>
      </c>
      <c r="BM508" s="17">
        <f t="shared" si="361"/>
        <v>0</v>
      </c>
      <c r="BN508" s="17">
        <f t="shared" si="362"/>
        <v>0</v>
      </c>
      <c r="BO508" s="17">
        <f t="shared" si="363"/>
        <v>0</v>
      </c>
      <c r="BP508" s="17">
        <f t="shared" si="364"/>
        <v>0.19440784474367701</v>
      </c>
      <c r="BQ508" s="17">
        <f t="shared" si="365"/>
        <v>0</v>
      </c>
      <c r="BR508" s="17">
        <f t="shared" si="366"/>
        <v>4.66662533668891E-2</v>
      </c>
      <c r="BS508" s="17">
        <f t="shared" si="367"/>
        <v>0</v>
      </c>
      <c r="BT508" s="17">
        <f t="shared" si="368"/>
        <v>0</v>
      </c>
      <c r="BU508" s="17">
        <f t="shared" si="369"/>
        <v>0.41790362320034763</v>
      </c>
      <c r="BV508" s="17">
        <f t="shared" si="370"/>
        <v>1.8624648204722555E-2</v>
      </c>
      <c r="BW508" s="17">
        <f t="shared" si="371"/>
        <v>3.3482513626467512E-3</v>
      </c>
      <c r="BX508" s="17">
        <f t="shared" si="372"/>
        <v>9.8354883777748328E-2</v>
      </c>
      <c r="BY508" s="17">
        <f t="shared" si="373"/>
        <v>0</v>
      </c>
      <c r="BZ508" s="17">
        <f t="shared" si="384"/>
        <v>1.3602271160752428E-2</v>
      </c>
      <c r="CA508" s="17">
        <f t="shared" si="385"/>
        <v>1.71597882335646E-2</v>
      </c>
      <c r="CB508" s="17">
        <f t="shared" si="386"/>
        <v>0</v>
      </c>
      <c r="CC508" s="17">
        <f t="shared" si="387"/>
        <v>0</v>
      </c>
      <c r="CD508" s="17">
        <f t="shared" si="388"/>
        <v>1.8388177952235627</v>
      </c>
      <c r="CE508" s="17">
        <f t="shared" si="389"/>
        <v>6.6337230122438764E-2</v>
      </c>
      <c r="CF508" s="17">
        <f t="shared" si="390"/>
        <v>2.4693353799519792E-2</v>
      </c>
      <c r="CG508" s="17">
        <f t="shared" si="391"/>
        <v>2.5111885219850634E-3</v>
      </c>
      <c r="CH508" s="17">
        <f t="shared" si="392"/>
        <v>0</v>
      </c>
      <c r="CI508" s="17">
        <f t="shared" si="393"/>
        <v>0</v>
      </c>
      <c r="CJ508" s="17">
        <f t="shared" si="394"/>
        <v>0</v>
      </c>
      <c r="CK508" s="17">
        <f t="shared" si="395"/>
        <v>0</v>
      </c>
      <c r="CL508" s="17">
        <f t="shared" si="396"/>
        <v>0</v>
      </c>
      <c r="CM508" s="14">
        <f t="shared" si="397"/>
        <v>41600</v>
      </c>
      <c r="CN508" s="17">
        <f t="shared" si="398"/>
        <v>8.7054535428815534</v>
      </c>
      <c r="CO508" s="14">
        <f t="shared" si="399"/>
        <v>44562</v>
      </c>
      <c r="CP508" s="17">
        <f t="shared" si="400"/>
        <v>9.3252985763915337</v>
      </c>
      <c r="CQ508" s="14">
        <f t="shared" si="374"/>
        <v>59050</v>
      </c>
      <c r="CR508" s="14">
        <v>9658</v>
      </c>
      <c r="CS508" s="14">
        <v>20962</v>
      </c>
      <c r="CT508" s="14">
        <v>0</v>
      </c>
      <c r="CU508" s="14">
        <v>3255</v>
      </c>
    </row>
    <row r="509" spans="1:99" x14ac:dyDescent="0.3">
      <c r="A509" s="14">
        <v>2013</v>
      </c>
      <c r="B509" s="14" t="s">
        <v>93</v>
      </c>
      <c r="C509" s="14" t="s">
        <v>94</v>
      </c>
      <c r="D509" s="15">
        <v>1850826.3</v>
      </c>
      <c r="E509" s="15">
        <v>49253643.5</v>
      </c>
      <c r="F509" s="15">
        <f t="shared" si="375"/>
        <v>26.611704999005038</v>
      </c>
      <c r="AB509" s="14">
        <f t="shared" si="376"/>
        <v>0</v>
      </c>
      <c r="AM509" s="14">
        <f t="shared" si="377"/>
        <v>0</v>
      </c>
      <c r="AQ509" s="14">
        <f t="shared" si="378"/>
        <v>0</v>
      </c>
      <c r="AT509" s="14">
        <f t="shared" si="379"/>
        <v>0</v>
      </c>
      <c r="AU509" s="16">
        <v>0</v>
      </c>
      <c r="AV509" s="16">
        <v>0</v>
      </c>
      <c r="AW509" s="16">
        <v>0</v>
      </c>
      <c r="AX509" s="16">
        <v>0</v>
      </c>
      <c r="AY509" s="18">
        <f t="shared" si="380"/>
        <v>0</v>
      </c>
      <c r="AZ509" s="17">
        <f t="shared" si="381"/>
        <v>0</v>
      </c>
      <c r="BA509" s="17">
        <f t="shared" si="382"/>
        <v>0</v>
      </c>
      <c r="BB509" s="17">
        <f t="shared" si="383"/>
        <v>0</v>
      </c>
      <c r="BC509" s="17">
        <f t="shared" si="351"/>
        <v>0</v>
      </c>
      <c r="BD509" s="17">
        <f t="shared" si="352"/>
        <v>0</v>
      </c>
      <c r="BE509" s="17">
        <f t="shared" si="353"/>
        <v>0</v>
      </c>
      <c r="BF509" s="17">
        <f t="shared" si="354"/>
        <v>0</v>
      </c>
      <c r="BG509" s="17">
        <f t="shared" si="355"/>
        <v>0</v>
      </c>
      <c r="BH509" s="17">
        <f t="shared" si="356"/>
        <v>0</v>
      </c>
      <c r="BI509" s="17">
        <f t="shared" si="357"/>
        <v>0</v>
      </c>
      <c r="BJ509" s="17">
        <f t="shared" si="358"/>
        <v>0</v>
      </c>
      <c r="BK509" s="17">
        <f t="shared" si="359"/>
        <v>0</v>
      </c>
      <c r="BL509" s="17">
        <f t="shared" si="360"/>
        <v>0</v>
      </c>
      <c r="BM509" s="17">
        <f t="shared" si="361"/>
        <v>0</v>
      </c>
      <c r="BN509" s="17">
        <f t="shared" si="362"/>
        <v>0</v>
      </c>
      <c r="BO509" s="17">
        <f t="shared" si="363"/>
        <v>0</v>
      </c>
      <c r="BP509" s="17">
        <f t="shared" si="364"/>
        <v>0</v>
      </c>
      <c r="BQ509" s="17">
        <f t="shared" si="365"/>
        <v>0</v>
      </c>
      <c r="BR509" s="17">
        <f t="shared" si="366"/>
        <v>0</v>
      </c>
      <c r="BS509" s="17">
        <f t="shared" si="367"/>
        <v>0</v>
      </c>
      <c r="BT509" s="17">
        <f t="shared" si="368"/>
        <v>0</v>
      </c>
      <c r="BU509" s="17">
        <f t="shared" si="369"/>
        <v>0</v>
      </c>
      <c r="BV509" s="17">
        <f t="shared" si="370"/>
        <v>0</v>
      </c>
      <c r="BW509" s="17">
        <f t="shared" si="371"/>
        <v>0</v>
      </c>
      <c r="BX509" s="17">
        <f t="shared" si="372"/>
        <v>0</v>
      </c>
      <c r="BY509" s="17">
        <f t="shared" si="373"/>
        <v>0</v>
      </c>
      <c r="BZ509" s="17">
        <f t="shared" si="384"/>
        <v>0</v>
      </c>
      <c r="CA509" s="17">
        <f t="shared" si="385"/>
        <v>0</v>
      </c>
      <c r="CB509" s="17">
        <f t="shared" si="386"/>
        <v>0</v>
      </c>
      <c r="CC509" s="17">
        <f t="shared" si="387"/>
        <v>0</v>
      </c>
      <c r="CD509" s="17">
        <f t="shared" si="388"/>
        <v>0</v>
      </c>
      <c r="CE509" s="17">
        <f t="shared" si="389"/>
        <v>0</v>
      </c>
      <c r="CF509" s="17">
        <f t="shared" si="390"/>
        <v>0</v>
      </c>
      <c r="CG509" s="17">
        <f t="shared" si="391"/>
        <v>0</v>
      </c>
      <c r="CH509" s="17">
        <f t="shared" si="392"/>
        <v>0</v>
      </c>
      <c r="CI509" s="17">
        <f t="shared" si="393"/>
        <v>0</v>
      </c>
      <c r="CJ509" s="17">
        <f t="shared" si="394"/>
        <v>0</v>
      </c>
      <c r="CK509" s="17">
        <f t="shared" si="395"/>
        <v>0</v>
      </c>
      <c r="CL509" s="17">
        <f t="shared" si="396"/>
        <v>0</v>
      </c>
      <c r="CM509" s="14">
        <f t="shared" si="397"/>
        <v>0</v>
      </c>
      <c r="CN509" s="17">
        <f t="shared" si="398"/>
        <v>0</v>
      </c>
      <c r="CO509" s="14">
        <f t="shared" si="399"/>
        <v>0</v>
      </c>
      <c r="CP509" s="17">
        <f t="shared" si="400"/>
        <v>0</v>
      </c>
      <c r="CQ509" s="14">
        <f t="shared" si="374"/>
        <v>0</v>
      </c>
      <c r="CR509" s="14">
        <v>0</v>
      </c>
      <c r="CS509" s="14">
        <v>0</v>
      </c>
      <c r="CT509" s="14">
        <v>0</v>
      </c>
      <c r="CU509" s="14">
        <v>0</v>
      </c>
    </row>
    <row r="510" spans="1:99" x14ac:dyDescent="0.3">
      <c r="A510" s="14">
        <v>2014</v>
      </c>
      <c r="B510" s="14" t="s">
        <v>93</v>
      </c>
      <c r="C510" s="14" t="s">
        <v>94</v>
      </c>
      <c r="D510" s="15">
        <v>1924245.2</v>
      </c>
      <c r="E510" s="15">
        <v>50814551.500000022</v>
      </c>
      <c r="F510" s="15">
        <f t="shared" si="375"/>
        <v>26.407524103477055</v>
      </c>
      <c r="G510" s="14">
        <v>104</v>
      </c>
      <c r="H510" s="14">
        <v>707</v>
      </c>
      <c r="N510" s="14">
        <v>933</v>
      </c>
      <c r="S510" s="14">
        <v>1119</v>
      </c>
      <c r="T510" s="14">
        <v>1205</v>
      </c>
      <c r="Y510" s="14">
        <v>2508</v>
      </c>
      <c r="Z510" s="14">
        <v>93</v>
      </c>
      <c r="AB510" s="14">
        <f t="shared" si="376"/>
        <v>0</v>
      </c>
      <c r="AI510" s="14">
        <v>10536</v>
      </c>
      <c r="AJ510" s="14">
        <v>1132</v>
      </c>
      <c r="AM510" s="14">
        <f t="shared" si="377"/>
        <v>0</v>
      </c>
      <c r="AQ510" s="14">
        <f t="shared" si="378"/>
        <v>0</v>
      </c>
      <c r="AT510" s="14">
        <f t="shared" si="379"/>
        <v>0</v>
      </c>
      <c r="AU510" s="16">
        <v>6036</v>
      </c>
      <c r="AV510" s="16">
        <v>43104</v>
      </c>
      <c r="AW510" s="16">
        <v>0</v>
      </c>
      <c r="AX510" s="16">
        <v>0</v>
      </c>
      <c r="AY510" s="18">
        <f t="shared" si="380"/>
        <v>1.1878487208531197</v>
      </c>
      <c r="AZ510" s="17">
        <f t="shared" si="381"/>
        <v>8.4826095532890768</v>
      </c>
      <c r="BA510" s="17">
        <f t="shared" si="382"/>
        <v>0</v>
      </c>
      <c r="BB510" s="17">
        <f t="shared" si="383"/>
        <v>0</v>
      </c>
      <c r="BC510" s="17">
        <f t="shared" si="351"/>
        <v>2.0466578357972904E-2</v>
      </c>
      <c r="BD510" s="17">
        <f t="shared" si="352"/>
        <v>0.13913337402968118</v>
      </c>
      <c r="BE510" s="17">
        <f t="shared" si="353"/>
        <v>0</v>
      </c>
      <c r="BF510" s="17">
        <f t="shared" si="354"/>
        <v>0</v>
      </c>
      <c r="BG510" s="17">
        <f t="shared" si="355"/>
        <v>0</v>
      </c>
      <c r="BH510" s="17">
        <f t="shared" si="356"/>
        <v>0</v>
      </c>
      <c r="BI510" s="17">
        <f t="shared" si="357"/>
        <v>0</v>
      </c>
      <c r="BJ510" s="17">
        <f t="shared" si="358"/>
        <v>0.18360882315373769</v>
      </c>
      <c r="BK510" s="17">
        <f t="shared" si="359"/>
        <v>0</v>
      </c>
      <c r="BL510" s="17">
        <f t="shared" si="360"/>
        <v>0</v>
      </c>
      <c r="BM510" s="17">
        <f t="shared" si="361"/>
        <v>0</v>
      </c>
      <c r="BN510" s="17">
        <f t="shared" si="362"/>
        <v>0</v>
      </c>
      <c r="BO510" s="17">
        <f t="shared" si="363"/>
        <v>0.22021251137088152</v>
      </c>
      <c r="BP510" s="17">
        <f t="shared" si="364"/>
        <v>0.23713679732074375</v>
      </c>
      <c r="BQ510" s="17">
        <f t="shared" si="365"/>
        <v>0</v>
      </c>
      <c r="BR510" s="17">
        <f t="shared" si="366"/>
        <v>0</v>
      </c>
      <c r="BS510" s="17">
        <f t="shared" si="367"/>
        <v>0</v>
      </c>
      <c r="BT510" s="17">
        <f t="shared" si="368"/>
        <v>0</v>
      </c>
      <c r="BU510" s="17">
        <f t="shared" si="369"/>
        <v>0.49355940886342348</v>
      </c>
      <c r="BV510" s="17">
        <f t="shared" si="370"/>
        <v>1.8301844108571923E-2</v>
      </c>
      <c r="BW510" s="17">
        <f t="shared" si="371"/>
        <v>0</v>
      </c>
      <c r="BX510" s="17">
        <f t="shared" si="372"/>
        <v>0</v>
      </c>
      <c r="BY510" s="17">
        <f t="shared" si="373"/>
        <v>0</v>
      </c>
      <c r="BZ510" s="17">
        <f t="shared" si="384"/>
        <v>0</v>
      </c>
      <c r="CA510" s="17">
        <f t="shared" si="385"/>
        <v>0</v>
      </c>
      <c r="CB510" s="17">
        <f t="shared" si="386"/>
        <v>0</v>
      </c>
      <c r="CC510" s="17">
        <f t="shared" si="387"/>
        <v>0</v>
      </c>
      <c r="CD510" s="17">
        <f t="shared" si="388"/>
        <v>2.0734218228807935</v>
      </c>
      <c r="CE510" s="17">
        <f t="shared" si="389"/>
        <v>0.22277083366562814</v>
      </c>
      <c r="CF510" s="17">
        <f t="shared" si="390"/>
        <v>0</v>
      </c>
      <c r="CG510" s="17">
        <f t="shared" si="391"/>
        <v>0</v>
      </c>
      <c r="CH510" s="17">
        <f t="shared" si="392"/>
        <v>0</v>
      </c>
      <c r="CI510" s="17">
        <f t="shared" si="393"/>
        <v>0</v>
      </c>
      <c r="CJ510" s="17">
        <f t="shared" si="394"/>
        <v>0</v>
      </c>
      <c r="CK510" s="17">
        <f t="shared" si="395"/>
        <v>0</v>
      </c>
      <c r="CL510" s="17">
        <f t="shared" si="396"/>
        <v>0</v>
      </c>
      <c r="CM510" s="14">
        <f t="shared" si="397"/>
        <v>43104</v>
      </c>
      <c r="CN510" s="17">
        <f t="shared" si="398"/>
        <v>8.4826095532890768</v>
      </c>
      <c r="CO510" s="14">
        <f t="shared" si="399"/>
        <v>49140</v>
      </c>
      <c r="CP510" s="17">
        <f t="shared" si="400"/>
        <v>9.6704582741421969</v>
      </c>
      <c r="CQ510" s="14">
        <f t="shared" si="374"/>
        <v>67477</v>
      </c>
      <c r="CR510" s="14">
        <v>0</v>
      </c>
      <c r="CS510" s="14">
        <v>0</v>
      </c>
      <c r="CT510" s="14">
        <v>0</v>
      </c>
      <c r="CU510" s="14">
        <v>0</v>
      </c>
    </row>
    <row r="511" spans="1:99" x14ac:dyDescent="0.3">
      <c r="A511" s="14">
        <v>2015</v>
      </c>
      <c r="B511" s="14" t="s">
        <v>93</v>
      </c>
      <c r="C511" s="14" t="s">
        <v>94</v>
      </c>
      <c r="D511" s="15">
        <v>1988487.9</v>
      </c>
      <c r="E511" s="15">
        <v>52542823.5</v>
      </c>
      <c r="F511" s="15">
        <f t="shared" si="375"/>
        <v>26.423506776179025</v>
      </c>
      <c r="AB511" s="14">
        <f t="shared" si="376"/>
        <v>0</v>
      </c>
      <c r="AM511" s="14">
        <f t="shared" si="377"/>
        <v>0</v>
      </c>
      <c r="AQ511" s="14">
        <f t="shared" si="378"/>
        <v>0</v>
      </c>
      <c r="AT511" s="14">
        <f t="shared" si="379"/>
        <v>0</v>
      </c>
      <c r="AU511" s="16">
        <v>0</v>
      </c>
      <c r="AV511" s="16">
        <v>0</v>
      </c>
      <c r="AW511" s="16">
        <v>0</v>
      </c>
      <c r="AX511" s="16">
        <v>0</v>
      </c>
      <c r="AY511" s="18">
        <f t="shared" si="380"/>
        <v>0</v>
      </c>
      <c r="AZ511" s="17">
        <f t="shared" si="381"/>
        <v>0</v>
      </c>
      <c r="BA511" s="17">
        <f t="shared" si="382"/>
        <v>0</v>
      </c>
      <c r="BB511" s="17">
        <f t="shared" si="383"/>
        <v>0</v>
      </c>
      <c r="BC511" s="17">
        <f t="shared" si="351"/>
        <v>0</v>
      </c>
      <c r="BD511" s="17">
        <f t="shared" si="352"/>
        <v>0</v>
      </c>
      <c r="BE511" s="17">
        <f t="shared" si="353"/>
        <v>0</v>
      </c>
      <c r="BF511" s="17">
        <f t="shared" si="354"/>
        <v>0</v>
      </c>
      <c r="BG511" s="17">
        <f t="shared" si="355"/>
        <v>0</v>
      </c>
      <c r="BH511" s="17">
        <f t="shared" si="356"/>
        <v>0</v>
      </c>
      <c r="BI511" s="17">
        <f t="shared" si="357"/>
        <v>0</v>
      </c>
      <c r="BJ511" s="17">
        <f t="shared" si="358"/>
        <v>0</v>
      </c>
      <c r="BK511" s="17">
        <f t="shared" si="359"/>
        <v>0</v>
      </c>
      <c r="BL511" s="17">
        <f t="shared" si="360"/>
        <v>0</v>
      </c>
      <c r="BM511" s="17">
        <f t="shared" si="361"/>
        <v>0</v>
      </c>
      <c r="BN511" s="17">
        <f t="shared" si="362"/>
        <v>0</v>
      </c>
      <c r="BO511" s="17">
        <f t="shared" si="363"/>
        <v>0</v>
      </c>
      <c r="BP511" s="17">
        <f t="shared" si="364"/>
        <v>0</v>
      </c>
      <c r="BQ511" s="17">
        <f t="shared" si="365"/>
        <v>0</v>
      </c>
      <c r="BR511" s="17">
        <f t="shared" si="366"/>
        <v>0</v>
      </c>
      <c r="BS511" s="17">
        <f t="shared" si="367"/>
        <v>0</v>
      </c>
      <c r="BT511" s="17">
        <f t="shared" si="368"/>
        <v>0</v>
      </c>
      <c r="BU511" s="17">
        <f t="shared" si="369"/>
        <v>0</v>
      </c>
      <c r="BV511" s="17">
        <f t="shared" si="370"/>
        <v>0</v>
      </c>
      <c r="BW511" s="17">
        <f t="shared" si="371"/>
        <v>0</v>
      </c>
      <c r="BX511" s="17">
        <f t="shared" si="372"/>
        <v>0</v>
      </c>
      <c r="BY511" s="17">
        <f t="shared" si="373"/>
        <v>0</v>
      </c>
      <c r="BZ511" s="17">
        <f t="shared" si="384"/>
        <v>0</v>
      </c>
      <c r="CA511" s="17">
        <f t="shared" si="385"/>
        <v>0</v>
      </c>
      <c r="CB511" s="17">
        <f t="shared" si="386"/>
        <v>0</v>
      </c>
      <c r="CC511" s="17">
        <f t="shared" si="387"/>
        <v>0</v>
      </c>
      <c r="CD511" s="17">
        <f t="shared" si="388"/>
        <v>0</v>
      </c>
      <c r="CE511" s="17">
        <f t="shared" si="389"/>
        <v>0</v>
      </c>
      <c r="CF511" s="17">
        <f t="shared" si="390"/>
        <v>0</v>
      </c>
      <c r="CG511" s="17">
        <f t="shared" si="391"/>
        <v>0</v>
      </c>
      <c r="CH511" s="17">
        <f t="shared" si="392"/>
        <v>0</v>
      </c>
      <c r="CI511" s="17">
        <f t="shared" si="393"/>
        <v>0</v>
      </c>
      <c r="CJ511" s="17">
        <f t="shared" si="394"/>
        <v>0</v>
      </c>
      <c r="CK511" s="17">
        <f t="shared" si="395"/>
        <v>0</v>
      </c>
      <c r="CL511" s="17">
        <f t="shared" si="396"/>
        <v>0</v>
      </c>
      <c r="CM511" s="14">
        <f t="shared" si="397"/>
        <v>0</v>
      </c>
      <c r="CN511" s="17">
        <f t="shared" si="398"/>
        <v>0</v>
      </c>
      <c r="CO511" s="14">
        <f t="shared" si="399"/>
        <v>0</v>
      </c>
      <c r="CP511" s="17">
        <f t="shared" si="400"/>
        <v>0</v>
      </c>
      <c r="CQ511" s="14">
        <f t="shared" si="374"/>
        <v>0</v>
      </c>
      <c r="CR511" s="14">
        <v>0</v>
      </c>
      <c r="CS511" s="14">
        <v>53</v>
      </c>
      <c r="CT511" s="14">
        <v>0</v>
      </c>
      <c r="CU511" s="14">
        <v>0</v>
      </c>
    </row>
    <row r="512" spans="1:99" x14ac:dyDescent="0.3">
      <c r="A512" s="14">
        <v>2016</v>
      </c>
      <c r="B512" s="14" t="s">
        <v>93</v>
      </c>
      <c r="C512" s="14" t="s">
        <v>94</v>
      </c>
      <c r="D512" s="15">
        <v>2044971.2</v>
      </c>
      <c r="E512" s="15">
        <v>54401801.500000007</v>
      </c>
      <c r="F512" s="15">
        <f t="shared" si="375"/>
        <v>26.602722571349663</v>
      </c>
      <c r="AB512" s="14">
        <f t="shared" si="376"/>
        <v>0</v>
      </c>
      <c r="AM512" s="14">
        <f t="shared" si="377"/>
        <v>0</v>
      </c>
      <c r="AQ512" s="14">
        <f t="shared" si="378"/>
        <v>0</v>
      </c>
      <c r="AT512" s="14">
        <f t="shared" si="379"/>
        <v>0</v>
      </c>
      <c r="AU512" s="16">
        <v>67</v>
      </c>
      <c r="AV512" s="16">
        <v>0</v>
      </c>
      <c r="AW512" s="16">
        <v>0</v>
      </c>
      <c r="AX512" s="16">
        <v>0</v>
      </c>
      <c r="AY512" s="18">
        <f t="shared" si="380"/>
        <v>1.2315768623948968E-2</v>
      </c>
      <c r="AZ512" s="17">
        <f t="shared" si="381"/>
        <v>0</v>
      </c>
      <c r="BA512" s="17">
        <f t="shared" si="382"/>
        <v>0</v>
      </c>
      <c r="BB512" s="17">
        <f t="shared" si="383"/>
        <v>0</v>
      </c>
      <c r="BC512" s="17">
        <f t="shared" si="351"/>
        <v>0</v>
      </c>
      <c r="BD512" s="17">
        <f t="shared" si="352"/>
        <v>0</v>
      </c>
      <c r="BE512" s="17">
        <f t="shared" si="353"/>
        <v>0</v>
      </c>
      <c r="BF512" s="17">
        <f t="shared" si="354"/>
        <v>0</v>
      </c>
      <c r="BG512" s="17">
        <f t="shared" si="355"/>
        <v>0</v>
      </c>
      <c r="BH512" s="17">
        <f t="shared" si="356"/>
        <v>0</v>
      </c>
      <c r="BI512" s="17">
        <f t="shared" si="357"/>
        <v>0</v>
      </c>
      <c r="BJ512" s="17">
        <f t="shared" si="358"/>
        <v>0</v>
      </c>
      <c r="BK512" s="17">
        <f t="shared" si="359"/>
        <v>0</v>
      </c>
      <c r="BL512" s="17">
        <f t="shared" si="360"/>
        <v>0</v>
      </c>
      <c r="BM512" s="17">
        <f t="shared" si="361"/>
        <v>0</v>
      </c>
      <c r="BN512" s="17">
        <f t="shared" si="362"/>
        <v>0</v>
      </c>
      <c r="BO512" s="17">
        <f t="shared" si="363"/>
        <v>0</v>
      </c>
      <c r="BP512" s="17">
        <f t="shared" si="364"/>
        <v>0</v>
      </c>
      <c r="BQ512" s="17">
        <f t="shared" si="365"/>
        <v>0</v>
      </c>
      <c r="BR512" s="17">
        <f t="shared" si="366"/>
        <v>0</v>
      </c>
      <c r="BS512" s="17">
        <f t="shared" si="367"/>
        <v>0</v>
      </c>
      <c r="BT512" s="17">
        <f t="shared" si="368"/>
        <v>0</v>
      </c>
      <c r="BU512" s="17">
        <f t="shared" si="369"/>
        <v>0</v>
      </c>
      <c r="BV512" s="17">
        <f t="shared" si="370"/>
        <v>0</v>
      </c>
      <c r="BW512" s="17">
        <f t="shared" si="371"/>
        <v>0</v>
      </c>
      <c r="BX512" s="17">
        <f t="shared" si="372"/>
        <v>0</v>
      </c>
      <c r="BY512" s="17">
        <f t="shared" si="373"/>
        <v>0</v>
      </c>
      <c r="BZ512" s="17">
        <f t="shared" si="384"/>
        <v>0</v>
      </c>
      <c r="CA512" s="17">
        <f t="shared" si="385"/>
        <v>0</v>
      </c>
      <c r="CB512" s="17">
        <f t="shared" si="386"/>
        <v>0</v>
      </c>
      <c r="CC512" s="17">
        <f t="shared" si="387"/>
        <v>0</v>
      </c>
      <c r="CD512" s="17">
        <f t="shared" si="388"/>
        <v>0</v>
      </c>
      <c r="CE512" s="17">
        <f t="shared" si="389"/>
        <v>0</v>
      </c>
      <c r="CF512" s="17">
        <f t="shared" si="390"/>
        <v>0</v>
      </c>
      <c r="CG512" s="17">
        <f t="shared" si="391"/>
        <v>0</v>
      </c>
      <c r="CH512" s="17">
        <f t="shared" si="392"/>
        <v>0</v>
      </c>
      <c r="CI512" s="17">
        <f t="shared" si="393"/>
        <v>0</v>
      </c>
      <c r="CJ512" s="17">
        <f t="shared" si="394"/>
        <v>0</v>
      </c>
      <c r="CK512" s="17">
        <f t="shared" si="395"/>
        <v>0</v>
      </c>
      <c r="CL512" s="17">
        <f t="shared" si="396"/>
        <v>0</v>
      </c>
      <c r="CM512" s="14">
        <f t="shared" si="397"/>
        <v>0</v>
      </c>
      <c r="CN512" s="17">
        <f t="shared" si="398"/>
        <v>0</v>
      </c>
      <c r="CO512" s="14">
        <f t="shared" si="399"/>
        <v>67</v>
      </c>
      <c r="CP512" s="17">
        <f t="shared" si="400"/>
        <v>1.2315768623948968E-2</v>
      </c>
      <c r="CQ512" s="14">
        <f t="shared" si="374"/>
        <v>67</v>
      </c>
      <c r="CR512" s="14">
        <v>0</v>
      </c>
      <c r="CS512" s="14">
        <v>1200</v>
      </c>
      <c r="CT512" s="14">
        <v>0</v>
      </c>
      <c r="CU512" s="14">
        <v>0</v>
      </c>
    </row>
    <row r="513" spans="1:99" x14ac:dyDescent="0.3">
      <c r="A513" s="14">
        <v>2017</v>
      </c>
      <c r="B513" s="14" t="s">
        <v>93</v>
      </c>
      <c r="C513" s="14" t="s">
        <v>94</v>
      </c>
      <c r="D513" s="15">
        <v>2100281</v>
      </c>
      <c r="E513" s="15">
        <v>56267032.000000007</v>
      </c>
      <c r="F513" s="15">
        <f t="shared" si="375"/>
        <v>26.790239972651282</v>
      </c>
      <c r="AB513" s="14">
        <f t="shared" si="376"/>
        <v>0</v>
      </c>
      <c r="AM513" s="14">
        <f t="shared" si="377"/>
        <v>0</v>
      </c>
      <c r="AQ513" s="14">
        <f t="shared" si="378"/>
        <v>0</v>
      </c>
      <c r="AT513" s="14">
        <f t="shared" si="379"/>
        <v>0</v>
      </c>
      <c r="AU513" s="16">
        <v>0</v>
      </c>
      <c r="AV513" s="16">
        <v>63880</v>
      </c>
      <c r="AW513" s="16">
        <v>0</v>
      </c>
      <c r="AX513" s="16">
        <v>0</v>
      </c>
      <c r="AY513" s="18">
        <f t="shared" si="380"/>
        <v>0</v>
      </c>
      <c r="AZ513" s="17">
        <f t="shared" si="381"/>
        <v>11.3530068548844</v>
      </c>
      <c r="BA513" s="17">
        <f t="shared" si="382"/>
        <v>0</v>
      </c>
      <c r="BB513" s="17">
        <f t="shared" si="383"/>
        <v>0</v>
      </c>
      <c r="BC513" s="17">
        <f t="shared" si="351"/>
        <v>0</v>
      </c>
      <c r="BD513" s="17">
        <f t="shared" si="352"/>
        <v>0</v>
      </c>
      <c r="BE513" s="17">
        <f t="shared" si="353"/>
        <v>0</v>
      </c>
      <c r="BF513" s="17">
        <f t="shared" si="354"/>
        <v>0</v>
      </c>
      <c r="BG513" s="17">
        <f t="shared" si="355"/>
        <v>0</v>
      </c>
      <c r="BH513" s="17">
        <f t="shared" si="356"/>
        <v>0</v>
      </c>
      <c r="BI513" s="17">
        <f t="shared" si="357"/>
        <v>0</v>
      </c>
      <c r="BJ513" s="17">
        <f t="shared" si="358"/>
        <v>0</v>
      </c>
      <c r="BK513" s="17">
        <f t="shared" si="359"/>
        <v>0</v>
      </c>
      <c r="BL513" s="17">
        <f t="shared" si="360"/>
        <v>0</v>
      </c>
      <c r="BM513" s="17">
        <f t="shared" si="361"/>
        <v>0</v>
      </c>
      <c r="BN513" s="17">
        <f t="shared" si="362"/>
        <v>0</v>
      </c>
      <c r="BO513" s="17">
        <f t="shared" si="363"/>
        <v>0</v>
      </c>
      <c r="BP513" s="17">
        <f t="shared" si="364"/>
        <v>0</v>
      </c>
      <c r="BQ513" s="17">
        <f t="shared" si="365"/>
        <v>0</v>
      </c>
      <c r="BR513" s="17">
        <f t="shared" si="366"/>
        <v>0</v>
      </c>
      <c r="BS513" s="17">
        <f t="shared" si="367"/>
        <v>0</v>
      </c>
      <c r="BT513" s="17">
        <f t="shared" si="368"/>
        <v>0</v>
      </c>
      <c r="BU513" s="17">
        <f t="shared" si="369"/>
        <v>0</v>
      </c>
      <c r="BV513" s="17">
        <f t="shared" si="370"/>
        <v>0</v>
      </c>
      <c r="BW513" s="17">
        <f t="shared" si="371"/>
        <v>0</v>
      </c>
      <c r="BX513" s="17">
        <f t="shared" si="372"/>
        <v>0</v>
      </c>
      <c r="BY513" s="17">
        <f t="shared" si="373"/>
        <v>0</v>
      </c>
      <c r="BZ513" s="17">
        <f t="shared" si="384"/>
        <v>0</v>
      </c>
      <c r="CA513" s="17">
        <f t="shared" si="385"/>
        <v>0</v>
      </c>
      <c r="CB513" s="17">
        <f t="shared" si="386"/>
        <v>0</v>
      </c>
      <c r="CC513" s="17">
        <f t="shared" si="387"/>
        <v>0</v>
      </c>
      <c r="CD513" s="17">
        <f t="shared" si="388"/>
        <v>0</v>
      </c>
      <c r="CE513" s="17">
        <f t="shared" si="389"/>
        <v>0</v>
      </c>
      <c r="CF513" s="17">
        <f t="shared" si="390"/>
        <v>0</v>
      </c>
      <c r="CG513" s="17">
        <f t="shared" si="391"/>
        <v>0</v>
      </c>
      <c r="CH513" s="17">
        <f t="shared" si="392"/>
        <v>0</v>
      </c>
      <c r="CI513" s="17">
        <f t="shared" si="393"/>
        <v>0</v>
      </c>
      <c r="CJ513" s="17">
        <f t="shared" si="394"/>
        <v>0</v>
      </c>
      <c r="CK513" s="17">
        <f t="shared" si="395"/>
        <v>0</v>
      </c>
      <c r="CL513" s="17">
        <f t="shared" si="396"/>
        <v>0</v>
      </c>
      <c r="CM513" s="14">
        <f t="shared" si="397"/>
        <v>63880</v>
      </c>
      <c r="CN513" s="17">
        <f t="shared" si="398"/>
        <v>11.3530068548844</v>
      </c>
      <c r="CO513" s="14">
        <f t="shared" si="399"/>
        <v>63880</v>
      </c>
      <c r="CP513" s="17">
        <f t="shared" si="400"/>
        <v>11.3530068548844</v>
      </c>
      <c r="CQ513" s="14">
        <f t="shared" si="374"/>
        <v>63880</v>
      </c>
      <c r="CR513" s="14">
        <v>282</v>
      </c>
      <c r="CS513" s="14">
        <v>1223</v>
      </c>
      <c r="CT513" s="14">
        <v>49</v>
      </c>
      <c r="CU513" s="14">
        <v>566</v>
      </c>
    </row>
    <row r="514" spans="1:99" x14ac:dyDescent="0.3">
      <c r="A514" s="14">
        <v>2018</v>
      </c>
      <c r="B514" s="14" t="s">
        <v>93</v>
      </c>
      <c r="C514" s="14" t="s">
        <v>94</v>
      </c>
      <c r="D514" s="15">
        <v>2149250.2000000002</v>
      </c>
      <c r="E514" s="15">
        <v>58090443.000000007</v>
      </c>
      <c r="F514" s="15">
        <f t="shared" si="375"/>
        <v>27.028236638061031</v>
      </c>
      <c r="G514" s="14">
        <v>682</v>
      </c>
      <c r="H514" s="14">
        <v>1845</v>
      </c>
      <c r="N514" s="14">
        <v>768</v>
      </c>
      <c r="O514" s="14">
        <v>89</v>
      </c>
      <c r="Z514" s="14">
        <v>4361</v>
      </c>
      <c r="AB514" s="14">
        <f t="shared" si="376"/>
        <v>89</v>
      </c>
      <c r="AM514" s="14">
        <f t="shared" si="377"/>
        <v>0</v>
      </c>
      <c r="AQ514" s="14">
        <f t="shared" si="378"/>
        <v>0</v>
      </c>
      <c r="AT514" s="14">
        <f t="shared" si="379"/>
        <v>0</v>
      </c>
      <c r="AU514" s="16">
        <v>5770</v>
      </c>
      <c r="AV514" s="16">
        <v>63880</v>
      </c>
      <c r="AW514" s="16">
        <v>0</v>
      </c>
      <c r="AX514" s="16">
        <v>0</v>
      </c>
      <c r="AY514" s="18">
        <f t="shared" si="380"/>
        <v>0.99327870507029858</v>
      </c>
      <c r="AZ514" s="17">
        <f t="shared" si="381"/>
        <v>10.99664535180081</v>
      </c>
      <c r="BA514" s="17">
        <f t="shared" si="382"/>
        <v>0</v>
      </c>
      <c r="BB514" s="17">
        <f t="shared" si="383"/>
        <v>0</v>
      </c>
      <c r="BC514" s="17">
        <f t="shared" si="351"/>
        <v>0.11740313290432298</v>
      </c>
      <c r="BD514" s="17">
        <f t="shared" si="352"/>
        <v>0.31760818212386499</v>
      </c>
      <c r="BE514" s="17">
        <f t="shared" si="353"/>
        <v>0</v>
      </c>
      <c r="BF514" s="17">
        <f t="shared" si="354"/>
        <v>0</v>
      </c>
      <c r="BG514" s="17">
        <f t="shared" si="355"/>
        <v>0</v>
      </c>
      <c r="BH514" s="17">
        <f t="shared" si="356"/>
        <v>0</v>
      </c>
      <c r="BI514" s="17">
        <f t="shared" si="357"/>
        <v>0</v>
      </c>
      <c r="BJ514" s="17">
        <f t="shared" si="358"/>
        <v>0.13220763353448689</v>
      </c>
      <c r="BK514" s="17">
        <f t="shared" si="359"/>
        <v>1.5320936698657986E-2</v>
      </c>
      <c r="BL514" s="17">
        <f t="shared" si="360"/>
        <v>0</v>
      </c>
      <c r="BM514" s="17">
        <f t="shared" si="361"/>
        <v>0</v>
      </c>
      <c r="BN514" s="17">
        <f t="shared" si="362"/>
        <v>0</v>
      </c>
      <c r="BO514" s="17">
        <f t="shared" si="363"/>
        <v>0</v>
      </c>
      <c r="BP514" s="17">
        <f t="shared" si="364"/>
        <v>0</v>
      </c>
      <c r="BQ514" s="17">
        <f t="shared" si="365"/>
        <v>0</v>
      </c>
      <c r="BR514" s="17">
        <f t="shared" si="366"/>
        <v>0</v>
      </c>
      <c r="BS514" s="17">
        <f t="shared" si="367"/>
        <v>0</v>
      </c>
      <c r="BT514" s="17">
        <f t="shared" si="368"/>
        <v>0</v>
      </c>
      <c r="BU514" s="17">
        <f t="shared" si="369"/>
        <v>0</v>
      </c>
      <c r="BV514" s="17">
        <f t="shared" si="370"/>
        <v>0.7507258982342413</v>
      </c>
      <c r="BW514" s="17">
        <f t="shared" si="371"/>
        <v>0</v>
      </c>
      <c r="BX514" s="17">
        <f t="shared" si="372"/>
        <v>0</v>
      </c>
      <c r="BY514" s="17">
        <f t="shared" si="373"/>
        <v>0</v>
      </c>
      <c r="BZ514" s="17">
        <f t="shared" si="384"/>
        <v>0</v>
      </c>
      <c r="CA514" s="17">
        <f t="shared" si="385"/>
        <v>0</v>
      </c>
      <c r="CB514" s="17">
        <f t="shared" si="386"/>
        <v>0</v>
      </c>
      <c r="CC514" s="17">
        <f t="shared" si="387"/>
        <v>0</v>
      </c>
      <c r="CD514" s="17">
        <f t="shared" si="388"/>
        <v>0</v>
      </c>
      <c r="CE514" s="17">
        <f t="shared" si="389"/>
        <v>0</v>
      </c>
      <c r="CF514" s="17">
        <f t="shared" si="390"/>
        <v>0</v>
      </c>
      <c r="CG514" s="17">
        <f t="shared" si="391"/>
        <v>0</v>
      </c>
      <c r="CH514" s="17">
        <f t="shared" si="392"/>
        <v>0</v>
      </c>
      <c r="CI514" s="17">
        <f t="shared" si="393"/>
        <v>0</v>
      </c>
      <c r="CJ514" s="17">
        <f t="shared" si="394"/>
        <v>0</v>
      </c>
      <c r="CK514" s="17">
        <f t="shared" si="395"/>
        <v>0</v>
      </c>
      <c r="CL514" s="17">
        <f t="shared" si="396"/>
        <v>0</v>
      </c>
      <c r="CM514" s="14">
        <f t="shared" si="397"/>
        <v>63880</v>
      </c>
      <c r="CN514" s="17">
        <f t="shared" si="398"/>
        <v>10.99664535180081</v>
      </c>
      <c r="CO514" s="14">
        <f t="shared" si="399"/>
        <v>69650</v>
      </c>
      <c r="CP514" s="17">
        <f t="shared" si="400"/>
        <v>11.989924056871109</v>
      </c>
      <c r="CQ514" s="14">
        <f t="shared" si="374"/>
        <v>77484</v>
      </c>
      <c r="CR514" s="14">
        <v>233</v>
      </c>
      <c r="CS514" s="14">
        <v>378</v>
      </c>
      <c r="CT514" s="14">
        <v>855</v>
      </c>
      <c r="CU514" s="14">
        <v>1905</v>
      </c>
    </row>
    <row r="515" spans="1:99" x14ac:dyDescent="0.3">
      <c r="A515" s="14">
        <v>2019</v>
      </c>
      <c r="B515" s="14" t="s">
        <v>93</v>
      </c>
      <c r="C515" s="14" t="s">
        <v>94</v>
      </c>
      <c r="D515" s="15">
        <v>2192621.7000000002</v>
      </c>
      <c r="E515" s="15">
        <v>59872579</v>
      </c>
      <c r="F515" s="15">
        <f>E515/D515</f>
        <v>27.306388055905856</v>
      </c>
      <c r="AB515" s="14">
        <f>AA515+O515</f>
        <v>0</v>
      </c>
      <c r="AM515" s="14">
        <f>AK515+AL515</f>
        <v>0</v>
      </c>
      <c r="AQ515" s="14">
        <f>AO515+AP515</f>
        <v>0</v>
      </c>
      <c r="AT515" s="14">
        <f>AR515+AS515</f>
        <v>0</v>
      </c>
      <c r="AU515" s="16">
        <v>0</v>
      </c>
      <c r="AV515" s="16">
        <v>0</v>
      </c>
      <c r="AW515" s="16">
        <v>0</v>
      </c>
      <c r="AX515" s="16">
        <v>0</v>
      </c>
      <c r="AY515" s="18">
        <f t="shared" ref="AY515:BB518" si="401">(AU515*10000)/$E515</f>
        <v>0</v>
      </c>
      <c r="AZ515" s="17">
        <f t="shared" si="401"/>
        <v>0</v>
      </c>
      <c r="BA515" s="17">
        <f t="shared" si="401"/>
        <v>0</v>
      </c>
      <c r="BB515" s="17">
        <f t="shared" si="401"/>
        <v>0</v>
      </c>
      <c r="BC515" s="17">
        <f t="shared" si="351"/>
        <v>0</v>
      </c>
      <c r="BD515" s="17">
        <f t="shared" si="352"/>
        <v>0</v>
      </c>
      <c r="BE515" s="17">
        <f t="shared" si="353"/>
        <v>0</v>
      </c>
      <c r="BF515" s="17">
        <f t="shared" si="354"/>
        <v>0</v>
      </c>
      <c r="BG515" s="17">
        <f t="shared" si="355"/>
        <v>0</v>
      </c>
      <c r="BH515" s="17">
        <f t="shared" si="356"/>
        <v>0</v>
      </c>
      <c r="BI515" s="17">
        <f t="shared" si="357"/>
        <v>0</v>
      </c>
      <c r="BJ515" s="17">
        <f t="shared" si="358"/>
        <v>0</v>
      </c>
      <c r="BK515" s="17">
        <f t="shared" si="359"/>
        <v>0</v>
      </c>
      <c r="BL515" s="17">
        <f t="shared" si="360"/>
        <v>0</v>
      </c>
      <c r="BM515" s="17">
        <f t="shared" si="361"/>
        <v>0</v>
      </c>
      <c r="BN515" s="17">
        <f t="shared" si="362"/>
        <v>0</v>
      </c>
      <c r="BO515" s="17">
        <f t="shared" si="363"/>
        <v>0</v>
      </c>
      <c r="BP515" s="17">
        <f t="shared" si="364"/>
        <v>0</v>
      </c>
      <c r="BQ515" s="17">
        <f t="shared" si="365"/>
        <v>0</v>
      </c>
      <c r="BR515" s="17">
        <f t="shared" si="366"/>
        <v>0</v>
      </c>
      <c r="BS515" s="17">
        <f t="shared" si="367"/>
        <v>0</v>
      </c>
      <c r="BT515" s="17">
        <f t="shared" si="368"/>
        <v>0</v>
      </c>
      <c r="BU515" s="17">
        <f t="shared" si="369"/>
        <v>0</v>
      </c>
      <c r="BV515" s="17">
        <f t="shared" si="370"/>
        <v>0</v>
      </c>
      <c r="BW515" s="17">
        <f t="shared" si="371"/>
        <v>0</v>
      </c>
      <c r="BX515" s="17">
        <f t="shared" si="372"/>
        <v>0</v>
      </c>
      <c r="BY515" s="17">
        <f t="shared" si="373"/>
        <v>0</v>
      </c>
      <c r="BZ515" s="17">
        <f t="shared" ref="BZ515:CG518" si="402">(AE515*10000)/$E515</f>
        <v>0</v>
      </c>
      <c r="CA515" s="17">
        <f t="shared" si="402"/>
        <v>0</v>
      </c>
      <c r="CB515" s="17">
        <f t="shared" si="402"/>
        <v>0</v>
      </c>
      <c r="CC515" s="17">
        <f t="shared" si="402"/>
        <v>0</v>
      </c>
      <c r="CD515" s="17">
        <f t="shared" si="402"/>
        <v>0</v>
      </c>
      <c r="CE515" s="17">
        <f t="shared" si="402"/>
        <v>0</v>
      </c>
      <c r="CF515" s="17">
        <f t="shared" si="402"/>
        <v>0</v>
      </c>
      <c r="CG515" s="17">
        <f t="shared" si="402"/>
        <v>0</v>
      </c>
      <c r="CH515" s="17">
        <f t="shared" ref="CH515:CJ518" si="403">(AN515*10000)/$E515</f>
        <v>0</v>
      </c>
      <c r="CI515" s="17">
        <f t="shared" si="403"/>
        <v>0</v>
      </c>
      <c r="CJ515" s="17">
        <f t="shared" si="403"/>
        <v>0</v>
      </c>
      <c r="CK515" s="17">
        <f t="shared" ref="CK515:CL518" si="404">(AR515*10000)/$E515</f>
        <v>0</v>
      </c>
      <c r="CL515" s="17">
        <f t="shared" si="404"/>
        <v>0</v>
      </c>
      <c r="CM515" s="14">
        <f>AV515+AW515</f>
        <v>0</v>
      </c>
      <c r="CN515" s="17">
        <f>(CM515*10000)/$E515</f>
        <v>0</v>
      </c>
      <c r="CO515" s="14">
        <f>AU515+AV515+AW515</f>
        <v>0</v>
      </c>
      <c r="CP515" s="17">
        <f>(CO515*10000)/$E515</f>
        <v>0</v>
      </c>
      <c r="CQ515" s="14">
        <f t="shared" si="374"/>
        <v>0</v>
      </c>
      <c r="CR515" s="14">
        <v>0</v>
      </c>
      <c r="CS515" s="14">
        <v>0</v>
      </c>
      <c r="CT515" s="14">
        <v>0</v>
      </c>
      <c r="CU515" s="14">
        <v>0</v>
      </c>
    </row>
    <row r="516" spans="1:99" x14ac:dyDescent="0.3">
      <c r="A516" s="14">
        <v>2020</v>
      </c>
      <c r="B516" s="14" t="s">
        <v>93</v>
      </c>
      <c r="C516" s="14" t="s">
        <v>94</v>
      </c>
      <c r="D516" s="15">
        <v>2235369.7000000002</v>
      </c>
      <c r="E516" s="15">
        <v>61704517.99999997</v>
      </c>
      <c r="F516" s="15">
        <f>E516/D516</f>
        <v>27.603719420550419</v>
      </c>
      <c r="AB516" s="14">
        <f>AA516+O516</f>
        <v>0</v>
      </c>
      <c r="AM516" s="14">
        <f>AK516+AL516</f>
        <v>0</v>
      </c>
      <c r="AQ516" s="14">
        <f>AO516+AP516</f>
        <v>0</v>
      </c>
      <c r="AT516" s="14">
        <f>AR516+AS516</f>
        <v>0</v>
      </c>
      <c r="AU516" s="16">
        <v>0</v>
      </c>
      <c r="AV516" s="16">
        <v>0</v>
      </c>
      <c r="AW516" s="16">
        <v>0</v>
      </c>
      <c r="AX516" s="16">
        <v>0</v>
      </c>
      <c r="AY516" s="18">
        <f t="shared" si="401"/>
        <v>0</v>
      </c>
      <c r="AZ516" s="17">
        <f t="shared" si="401"/>
        <v>0</v>
      </c>
      <c r="BA516" s="17">
        <f t="shared" si="401"/>
        <v>0</v>
      </c>
      <c r="BB516" s="17">
        <f t="shared" si="401"/>
        <v>0</v>
      </c>
      <c r="BC516" s="17">
        <f t="shared" si="351"/>
        <v>0</v>
      </c>
      <c r="BD516" s="17">
        <f t="shared" si="352"/>
        <v>0</v>
      </c>
      <c r="BE516" s="17">
        <f t="shared" si="353"/>
        <v>0</v>
      </c>
      <c r="BF516" s="17">
        <f t="shared" si="354"/>
        <v>0</v>
      </c>
      <c r="BG516" s="17">
        <f t="shared" si="355"/>
        <v>0</v>
      </c>
      <c r="BH516" s="17">
        <f t="shared" si="356"/>
        <v>0</v>
      </c>
      <c r="BI516" s="17">
        <f t="shared" si="357"/>
        <v>0</v>
      </c>
      <c r="BJ516" s="17">
        <f t="shared" si="358"/>
        <v>0</v>
      </c>
      <c r="BK516" s="17">
        <f t="shared" si="359"/>
        <v>0</v>
      </c>
      <c r="BL516" s="17">
        <f t="shared" si="360"/>
        <v>0</v>
      </c>
      <c r="BM516" s="17">
        <f t="shared" si="361"/>
        <v>0</v>
      </c>
      <c r="BN516" s="17">
        <f t="shared" si="362"/>
        <v>0</v>
      </c>
      <c r="BO516" s="17">
        <f t="shared" si="363"/>
        <v>0</v>
      </c>
      <c r="BP516" s="17">
        <f t="shared" si="364"/>
        <v>0</v>
      </c>
      <c r="BQ516" s="17">
        <f t="shared" si="365"/>
        <v>0</v>
      </c>
      <c r="BR516" s="17">
        <f t="shared" si="366"/>
        <v>0</v>
      </c>
      <c r="BS516" s="17">
        <f t="shared" si="367"/>
        <v>0</v>
      </c>
      <c r="BT516" s="17">
        <f t="shared" si="368"/>
        <v>0</v>
      </c>
      <c r="BU516" s="17">
        <f t="shared" si="369"/>
        <v>0</v>
      </c>
      <c r="BV516" s="17">
        <f t="shared" si="370"/>
        <v>0</v>
      </c>
      <c r="BW516" s="17">
        <f t="shared" si="371"/>
        <v>0</v>
      </c>
      <c r="BX516" s="17">
        <f t="shared" si="372"/>
        <v>0</v>
      </c>
      <c r="BY516" s="17">
        <f t="shared" si="373"/>
        <v>0</v>
      </c>
      <c r="BZ516" s="17">
        <f t="shared" si="402"/>
        <v>0</v>
      </c>
      <c r="CA516" s="17">
        <f t="shared" si="402"/>
        <v>0</v>
      </c>
      <c r="CB516" s="17">
        <f t="shared" si="402"/>
        <v>0</v>
      </c>
      <c r="CC516" s="17">
        <f t="shared" si="402"/>
        <v>0</v>
      </c>
      <c r="CD516" s="17">
        <f t="shared" si="402"/>
        <v>0</v>
      </c>
      <c r="CE516" s="17">
        <f t="shared" si="402"/>
        <v>0</v>
      </c>
      <c r="CF516" s="17">
        <f t="shared" si="402"/>
        <v>0</v>
      </c>
      <c r="CG516" s="17">
        <f t="shared" si="402"/>
        <v>0</v>
      </c>
      <c r="CH516" s="17">
        <f t="shared" si="403"/>
        <v>0</v>
      </c>
      <c r="CI516" s="17">
        <f t="shared" si="403"/>
        <v>0</v>
      </c>
      <c r="CJ516" s="17">
        <f t="shared" si="403"/>
        <v>0</v>
      </c>
      <c r="CK516" s="17">
        <f t="shared" si="404"/>
        <v>0</v>
      </c>
      <c r="CL516" s="17">
        <f t="shared" si="404"/>
        <v>0</v>
      </c>
      <c r="CM516" s="14">
        <f>AV516+AW516</f>
        <v>0</v>
      </c>
      <c r="CN516" s="17">
        <f>(CM516*10000)/$E516</f>
        <v>0</v>
      </c>
      <c r="CO516" s="14">
        <f>AU516+AV516+AW516</f>
        <v>0</v>
      </c>
      <c r="CP516" s="17">
        <f>(CO516*10000)/$E516</f>
        <v>0</v>
      </c>
      <c r="CQ516" s="14">
        <f t="shared" si="374"/>
        <v>0</v>
      </c>
      <c r="CR516" s="14">
        <v>0</v>
      </c>
      <c r="CS516" s="14">
        <v>0</v>
      </c>
      <c r="CT516" s="14">
        <v>0</v>
      </c>
      <c r="CU516" s="14">
        <v>0</v>
      </c>
    </row>
    <row r="517" spans="1:99" x14ac:dyDescent="0.3">
      <c r="A517" s="14">
        <v>2021</v>
      </c>
      <c r="B517" s="14" t="s">
        <v>93</v>
      </c>
      <c r="C517" s="14" t="s">
        <v>94</v>
      </c>
      <c r="D517" s="15">
        <v>2277499.2000000002</v>
      </c>
      <c r="E517" s="15">
        <v>63588333.999999993</v>
      </c>
      <c r="F517" s="15">
        <f>E517/D517</f>
        <v>27.920244274948587</v>
      </c>
      <c r="AB517" s="14">
        <f>AA517+O517</f>
        <v>0</v>
      </c>
      <c r="AM517" s="14">
        <f>AK517+AL517</f>
        <v>0</v>
      </c>
      <c r="AQ517" s="14">
        <f>AO517+AP517</f>
        <v>0</v>
      </c>
      <c r="AT517" s="14">
        <f>AR517+AS517</f>
        <v>0</v>
      </c>
      <c r="AU517" s="16">
        <v>0</v>
      </c>
      <c r="AV517" s="16">
        <v>0</v>
      </c>
      <c r="AW517" s="16">
        <v>0</v>
      </c>
      <c r="AX517" s="16">
        <v>0</v>
      </c>
      <c r="AY517" s="18">
        <f t="shared" si="401"/>
        <v>0</v>
      </c>
      <c r="AZ517" s="17">
        <f t="shared" si="401"/>
        <v>0</v>
      </c>
      <c r="BA517" s="17">
        <f t="shared" si="401"/>
        <v>0</v>
      </c>
      <c r="BB517" s="17">
        <f t="shared" si="401"/>
        <v>0</v>
      </c>
      <c r="BC517" s="17">
        <f t="shared" si="351"/>
        <v>0</v>
      </c>
      <c r="BD517" s="17">
        <f t="shared" si="352"/>
        <v>0</v>
      </c>
      <c r="BE517" s="17">
        <f t="shared" si="353"/>
        <v>0</v>
      </c>
      <c r="BF517" s="17">
        <f t="shared" si="354"/>
        <v>0</v>
      </c>
      <c r="BG517" s="17">
        <f t="shared" si="355"/>
        <v>0</v>
      </c>
      <c r="BH517" s="17">
        <f t="shared" si="356"/>
        <v>0</v>
      </c>
      <c r="BI517" s="17">
        <f t="shared" si="357"/>
        <v>0</v>
      </c>
      <c r="BJ517" s="17">
        <f t="shared" si="358"/>
        <v>0</v>
      </c>
      <c r="BK517" s="17">
        <f t="shared" si="359"/>
        <v>0</v>
      </c>
      <c r="BL517" s="17">
        <f t="shared" si="360"/>
        <v>0</v>
      </c>
      <c r="BM517" s="17">
        <f t="shared" si="361"/>
        <v>0</v>
      </c>
      <c r="BN517" s="17">
        <f t="shared" si="362"/>
        <v>0</v>
      </c>
      <c r="BO517" s="17">
        <f t="shared" si="363"/>
        <v>0</v>
      </c>
      <c r="BP517" s="17">
        <f t="shared" si="364"/>
        <v>0</v>
      </c>
      <c r="BQ517" s="17">
        <f t="shared" si="365"/>
        <v>0</v>
      </c>
      <c r="BR517" s="17">
        <f t="shared" si="366"/>
        <v>0</v>
      </c>
      <c r="BS517" s="17">
        <f t="shared" si="367"/>
        <v>0</v>
      </c>
      <c r="BT517" s="17">
        <f t="shared" si="368"/>
        <v>0</v>
      </c>
      <c r="BU517" s="17">
        <f t="shared" si="369"/>
        <v>0</v>
      </c>
      <c r="BV517" s="17">
        <f t="shared" si="370"/>
        <v>0</v>
      </c>
      <c r="BW517" s="17">
        <f t="shared" si="371"/>
        <v>0</v>
      </c>
      <c r="BX517" s="17">
        <f t="shared" si="372"/>
        <v>0</v>
      </c>
      <c r="BY517" s="17">
        <f t="shared" si="373"/>
        <v>0</v>
      </c>
      <c r="BZ517" s="17">
        <f t="shared" si="402"/>
        <v>0</v>
      </c>
      <c r="CA517" s="17">
        <f t="shared" si="402"/>
        <v>0</v>
      </c>
      <c r="CB517" s="17">
        <f t="shared" si="402"/>
        <v>0</v>
      </c>
      <c r="CC517" s="17">
        <f t="shared" si="402"/>
        <v>0</v>
      </c>
      <c r="CD517" s="17">
        <f t="shared" si="402"/>
        <v>0</v>
      </c>
      <c r="CE517" s="17">
        <f t="shared" si="402"/>
        <v>0</v>
      </c>
      <c r="CF517" s="17">
        <f t="shared" si="402"/>
        <v>0</v>
      </c>
      <c r="CG517" s="17">
        <f t="shared" si="402"/>
        <v>0</v>
      </c>
      <c r="CH517" s="17">
        <f t="shared" si="403"/>
        <v>0</v>
      </c>
      <c r="CI517" s="17">
        <f t="shared" si="403"/>
        <v>0</v>
      </c>
      <c r="CJ517" s="17">
        <f t="shared" si="403"/>
        <v>0</v>
      </c>
      <c r="CK517" s="17">
        <f t="shared" si="404"/>
        <v>0</v>
      </c>
      <c r="CL517" s="17">
        <f t="shared" si="404"/>
        <v>0</v>
      </c>
      <c r="CM517" s="14">
        <f>AV517+AW517</f>
        <v>0</v>
      </c>
      <c r="CN517" s="17">
        <f>(CM517*10000)/$E517</f>
        <v>0</v>
      </c>
      <c r="CO517" s="14">
        <f>AU517+AV517+AW517</f>
        <v>0</v>
      </c>
      <c r="CP517" s="17">
        <f>(CO517*10000)/$E517</f>
        <v>0</v>
      </c>
      <c r="CQ517" s="14">
        <f t="shared" si="374"/>
        <v>0</v>
      </c>
      <c r="CR517" s="14">
        <v>18</v>
      </c>
      <c r="CS517" s="14">
        <v>16</v>
      </c>
      <c r="CT517" s="14">
        <v>0</v>
      </c>
      <c r="CU517" s="14">
        <v>0</v>
      </c>
    </row>
    <row r="518" spans="1:99" x14ac:dyDescent="0.3">
      <c r="A518" s="14">
        <v>2022</v>
      </c>
      <c r="B518" s="14" t="s">
        <v>93</v>
      </c>
      <c r="C518" s="14" t="s">
        <v>94</v>
      </c>
      <c r="D518" s="15">
        <v>2323148.7999999998</v>
      </c>
      <c r="E518" s="15">
        <v>65497748.000000045</v>
      </c>
      <c r="F518" s="15">
        <f>E518/D518</f>
        <v>28.19352251564775</v>
      </c>
      <c r="G518" s="14">
        <v>583</v>
      </c>
      <c r="H518" s="14">
        <v>1746</v>
      </c>
      <c r="K518" s="14">
        <v>2</v>
      </c>
      <c r="L518" s="14">
        <v>96</v>
      </c>
      <c r="M518" s="14">
        <v>20737</v>
      </c>
      <c r="N518" s="14">
        <v>449</v>
      </c>
      <c r="S518" s="14">
        <v>2313</v>
      </c>
      <c r="T518" s="14">
        <v>657</v>
      </c>
      <c r="U518" s="14">
        <v>787</v>
      </c>
      <c r="V518" s="14">
        <v>543</v>
      </c>
      <c r="X518" s="14">
        <v>2337</v>
      </c>
      <c r="Y518" s="14">
        <v>4743</v>
      </c>
      <c r="Z518" s="14">
        <v>1198</v>
      </c>
      <c r="AA518" s="14">
        <v>12</v>
      </c>
      <c r="AB518" s="14">
        <f>AA518+O518</f>
        <v>12</v>
      </c>
      <c r="AC518" s="14">
        <v>724</v>
      </c>
      <c r="AF518" s="14">
        <v>201</v>
      </c>
      <c r="AH518" s="14">
        <v>2</v>
      </c>
      <c r="AI518" s="14">
        <v>71119</v>
      </c>
      <c r="AJ518" s="14">
        <v>5583</v>
      </c>
      <c r="AK518" s="14">
        <v>526</v>
      </c>
      <c r="AL518" s="14">
        <v>832</v>
      </c>
      <c r="AM518" s="14">
        <f>AK518+AL518</f>
        <v>1358</v>
      </c>
      <c r="AQ518" s="14">
        <f>AO518+AP518</f>
        <v>0</v>
      </c>
      <c r="AR518" s="14">
        <v>4710</v>
      </c>
      <c r="AT518" s="14">
        <f>AR518+AS518</f>
        <v>4710</v>
      </c>
      <c r="AU518" s="16">
        <v>17386</v>
      </c>
      <c r="AV518" s="16">
        <v>0</v>
      </c>
      <c r="AW518" s="16">
        <v>0</v>
      </c>
      <c r="AX518" s="16">
        <v>0</v>
      </c>
      <c r="AY518" s="18">
        <f t="shared" si="401"/>
        <v>2.6544424092260375</v>
      </c>
      <c r="AZ518" s="17">
        <f t="shared" si="401"/>
        <v>0</v>
      </c>
      <c r="BA518" s="17">
        <f t="shared" si="401"/>
        <v>0</v>
      </c>
      <c r="BB518" s="17">
        <f t="shared" si="401"/>
        <v>0</v>
      </c>
      <c r="BC518" s="17">
        <f t="shared" si="351"/>
        <v>8.9010693924926942E-2</v>
      </c>
      <c r="BD518" s="17">
        <f t="shared" si="352"/>
        <v>0.26657405075972973</v>
      </c>
      <c r="BE518" s="17">
        <f t="shared" si="353"/>
        <v>0</v>
      </c>
      <c r="BF518" s="17">
        <f t="shared" si="354"/>
        <v>0</v>
      </c>
      <c r="BG518" s="17">
        <f t="shared" si="355"/>
        <v>3.0535401003405473E-4</v>
      </c>
      <c r="BH518" s="17">
        <f t="shared" si="356"/>
        <v>1.4656992481634625E-2</v>
      </c>
      <c r="BI518" s="17">
        <f t="shared" si="357"/>
        <v>3.166063053038096</v>
      </c>
      <c r="BJ518" s="17">
        <f t="shared" si="358"/>
        <v>6.8551975252645281E-2</v>
      </c>
      <c r="BK518" s="17">
        <f t="shared" si="359"/>
        <v>0</v>
      </c>
      <c r="BL518" s="17">
        <f t="shared" si="360"/>
        <v>0</v>
      </c>
      <c r="BM518" s="17">
        <f t="shared" si="361"/>
        <v>0</v>
      </c>
      <c r="BN518" s="17">
        <f t="shared" si="362"/>
        <v>0</v>
      </c>
      <c r="BO518" s="17">
        <f t="shared" si="363"/>
        <v>0.35314191260438427</v>
      </c>
      <c r="BP518" s="17">
        <f t="shared" si="364"/>
        <v>0.10030879229618697</v>
      </c>
      <c r="BQ518" s="17">
        <f t="shared" si="365"/>
        <v>0.12015680294840053</v>
      </c>
      <c r="BR518" s="17">
        <f t="shared" si="366"/>
        <v>8.2903613724245859E-2</v>
      </c>
      <c r="BS518" s="17">
        <f t="shared" si="367"/>
        <v>0</v>
      </c>
      <c r="BT518" s="17">
        <f t="shared" si="368"/>
        <v>0.35680616072479293</v>
      </c>
      <c r="BU518" s="17">
        <f t="shared" si="369"/>
        <v>0.7241470347957607</v>
      </c>
      <c r="BV518" s="17">
        <f t="shared" si="370"/>
        <v>0.18290705201039878</v>
      </c>
      <c r="BW518" s="17">
        <f t="shared" si="371"/>
        <v>1.8321240602043281E-3</v>
      </c>
      <c r="BX518" s="17">
        <f t="shared" si="372"/>
        <v>0.1105381516323278</v>
      </c>
      <c r="BY518" s="17">
        <f t="shared" si="373"/>
        <v>0</v>
      </c>
      <c r="BZ518" s="17">
        <f t="shared" si="402"/>
        <v>0</v>
      </c>
      <c r="CA518" s="17">
        <f t="shared" si="402"/>
        <v>3.0688078008422496E-2</v>
      </c>
      <c r="CB518" s="17">
        <f t="shared" si="402"/>
        <v>0</v>
      </c>
      <c r="CC518" s="17">
        <f t="shared" si="402"/>
        <v>3.0535401003405473E-4</v>
      </c>
      <c r="CD518" s="17">
        <f t="shared" si="402"/>
        <v>10.858235919805969</v>
      </c>
      <c r="CE518" s="17">
        <f t="shared" si="402"/>
        <v>0.85239571901006372</v>
      </c>
      <c r="CF518" s="17">
        <f t="shared" si="402"/>
        <v>8.0308104638956393E-2</v>
      </c>
      <c r="CG518" s="17">
        <f t="shared" si="402"/>
        <v>0.12702726817416676</v>
      </c>
      <c r="CH518" s="17">
        <f t="shared" si="403"/>
        <v>0</v>
      </c>
      <c r="CI518" s="17">
        <f t="shared" si="403"/>
        <v>0</v>
      </c>
      <c r="CJ518" s="17">
        <f t="shared" si="403"/>
        <v>0</v>
      </c>
      <c r="CK518" s="17">
        <f t="shared" si="404"/>
        <v>0.7191086936301988</v>
      </c>
      <c r="CL518" s="17">
        <f t="shared" si="404"/>
        <v>0</v>
      </c>
      <c r="CM518" s="14">
        <f>AV518+AW518</f>
        <v>0</v>
      </c>
      <c r="CN518" s="17">
        <f>(CM518*10000)/$E518</f>
        <v>0</v>
      </c>
      <c r="CO518" s="14">
        <f>AU518+AV518+AW518</f>
        <v>17386</v>
      </c>
      <c r="CP518" s="17">
        <f>(CO518*10000)/$E518</f>
        <v>2.6544424092260375</v>
      </c>
      <c r="CQ518" s="14">
        <f t="shared" si="374"/>
        <v>143366</v>
      </c>
      <c r="CR518" s="14">
        <v>465</v>
      </c>
      <c r="CS518" s="14">
        <v>656</v>
      </c>
      <c r="CT518" s="14">
        <v>65</v>
      </c>
      <c r="CU518" s="14">
        <v>929</v>
      </c>
    </row>
    <row r="519" spans="1:99" x14ac:dyDescent="0.3">
      <c r="E519" s="20">
        <f>SUM(E2:E518)/11</f>
        <v>1052016834.7727273</v>
      </c>
      <c r="F519" s="20">
        <f t="shared" ref="F519:BU519" si="405">SUM(F2:F518)/11</f>
        <v>1526.7155458501411</v>
      </c>
      <c r="G519" s="20">
        <f t="shared" si="405"/>
        <v>13959.454545454546</v>
      </c>
      <c r="H519" s="20">
        <f t="shared" si="405"/>
        <v>28638.727272727272</v>
      </c>
      <c r="I519" s="20">
        <f t="shared" si="405"/>
        <v>83050</v>
      </c>
      <c r="J519" s="20">
        <f t="shared" si="405"/>
        <v>29146.636363636364</v>
      </c>
      <c r="K519" s="20">
        <f t="shared" si="405"/>
        <v>2678.4545454545455</v>
      </c>
      <c r="L519" s="20">
        <f t="shared" si="405"/>
        <v>553.72727272727275</v>
      </c>
      <c r="M519" s="20">
        <f t="shared" si="405"/>
        <v>199009.09090909091</v>
      </c>
      <c r="N519" s="20">
        <f t="shared" si="405"/>
        <v>8384.181818181818</v>
      </c>
      <c r="O519" s="20">
        <f t="shared" si="405"/>
        <v>2363</v>
      </c>
      <c r="P519" s="20">
        <f t="shared" si="405"/>
        <v>1909.090909090909</v>
      </c>
      <c r="Q519" s="20">
        <f t="shared" si="405"/>
        <v>686.36363636363637</v>
      </c>
      <c r="R519" s="20">
        <f t="shared" si="405"/>
        <v>380.54545454545456</v>
      </c>
      <c r="S519" s="20">
        <f t="shared" si="405"/>
        <v>2310.181818181818</v>
      </c>
      <c r="T519" s="20">
        <f t="shared" si="405"/>
        <v>13097.272727272728</v>
      </c>
      <c r="U519" s="20">
        <f t="shared" si="405"/>
        <v>36318.36363636364</v>
      </c>
      <c r="V519" s="20">
        <f t="shared" si="405"/>
        <v>10899</v>
      </c>
      <c r="W519" s="20">
        <f t="shared" si="405"/>
        <v>6640.727272727273</v>
      </c>
      <c r="X519" s="20">
        <f t="shared" si="405"/>
        <v>4002.5454545454545</v>
      </c>
      <c r="Y519" s="20">
        <f t="shared" si="405"/>
        <v>25206.727272727272</v>
      </c>
      <c r="Z519" s="20">
        <f t="shared" si="405"/>
        <v>23064.454545454544</v>
      </c>
      <c r="AA519" s="20">
        <f t="shared" si="405"/>
        <v>3537.181818181818</v>
      </c>
      <c r="AB519" s="20"/>
      <c r="AC519" s="20">
        <f t="shared" si="405"/>
        <v>3768.818181818182</v>
      </c>
      <c r="AD519" s="20">
        <f t="shared" si="405"/>
        <v>218.09090909090909</v>
      </c>
      <c r="AE519" s="20">
        <f t="shared" si="405"/>
        <v>2400.5454545454545</v>
      </c>
      <c r="AF519" s="20">
        <f t="shared" si="405"/>
        <v>5560.818181818182</v>
      </c>
      <c r="AG519" s="20">
        <f t="shared" si="405"/>
        <v>10469.181818181818</v>
      </c>
      <c r="AH519" s="20">
        <f t="shared" si="405"/>
        <v>22033.545454545456</v>
      </c>
      <c r="AI519" s="20">
        <f t="shared" si="405"/>
        <v>34588.63636363636</v>
      </c>
      <c r="AJ519" s="20">
        <f t="shared" si="405"/>
        <v>16493.909090909092</v>
      </c>
      <c r="AK519" s="20">
        <f t="shared" si="405"/>
        <v>7036.636363636364</v>
      </c>
      <c r="AL519" s="20">
        <f t="shared" si="405"/>
        <v>3970.090909090909</v>
      </c>
      <c r="AM519" s="20"/>
      <c r="AN519" s="20">
        <f t="shared" si="405"/>
        <v>4903.909090909091</v>
      </c>
      <c r="AO519" s="20">
        <f t="shared" si="405"/>
        <v>9132.363636363636</v>
      </c>
      <c r="AP519" s="20">
        <f t="shared" si="405"/>
        <v>3116.909090909091</v>
      </c>
      <c r="AQ519" s="20"/>
      <c r="AR519" s="20">
        <f t="shared" si="405"/>
        <v>12104.636363636364</v>
      </c>
      <c r="AS519" s="20">
        <f t="shared" si="405"/>
        <v>31913.545454545456</v>
      </c>
      <c r="AT519" s="20"/>
      <c r="AU519" s="20">
        <f t="shared" si="405"/>
        <v>274406.36363636365</v>
      </c>
      <c r="AV519" s="20">
        <f t="shared" si="405"/>
        <v>1052036.0909090908</v>
      </c>
      <c r="AW519" s="20">
        <f t="shared" si="405"/>
        <v>252575.81818181818</v>
      </c>
      <c r="AX519" s="20">
        <f t="shared" si="405"/>
        <v>12742.181818181818</v>
      </c>
      <c r="AY519" s="20">
        <f t="shared" si="405"/>
        <v>164.73080325038217</v>
      </c>
      <c r="AZ519" s="20">
        <f t="shared" si="405"/>
        <v>619.57669730982309</v>
      </c>
      <c r="BA519" s="20">
        <f t="shared" si="405"/>
        <v>78.264522211519477</v>
      </c>
      <c r="BB519" s="20">
        <f t="shared" si="405"/>
        <v>9.8985391006469854</v>
      </c>
      <c r="BC519" s="20">
        <f t="shared" si="405"/>
        <v>7.6130576209514453</v>
      </c>
      <c r="BD519" s="20">
        <f t="shared" si="405"/>
        <v>12.834200267004219</v>
      </c>
      <c r="BE519" s="20">
        <f t="shared" si="405"/>
        <v>24.755647367123583</v>
      </c>
      <c r="BF519" s="20">
        <f t="shared" si="405"/>
        <v>7.6596300956232506</v>
      </c>
      <c r="BG519" s="20">
        <f t="shared" si="405"/>
        <v>0.57309488639704176</v>
      </c>
      <c r="BH519" s="20">
        <f t="shared" si="405"/>
        <v>0.31673286211923607</v>
      </c>
      <c r="BI519" s="20">
        <f t="shared" si="405"/>
        <v>92.266184716904206</v>
      </c>
      <c r="BJ519" s="20">
        <f t="shared" si="405"/>
        <v>2.2324443177917606</v>
      </c>
      <c r="BK519" s="20">
        <f t="shared" si="405"/>
        <v>0.67734504496792391</v>
      </c>
      <c r="BL519" s="20">
        <f t="shared" si="405"/>
        <v>0.5159033169877435</v>
      </c>
      <c r="BM519" s="20">
        <f t="shared" si="405"/>
        <v>9.691374950140591E-2</v>
      </c>
      <c r="BN519" s="20">
        <f t="shared" si="405"/>
        <v>0.29984612616775502</v>
      </c>
      <c r="BO519" s="20">
        <f t="shared" si="405"/>
        <v>1.2299329779023593</v>
      </c>
      <c r="BP519" s="20">
        <f t="shared" si="405"/>
        <v>4.6534502033463561</v>
      </c>
      <c r="BQ519" s="20">
        <f t="shared" si="405"/>
        <v>2.3839886657612408</v>
      </c>
      <c r="BR519" s="20">
        <f t="shared" si="405"/>
        <v>3.7679761801860439</v>
      </c>
      <c r="BS519" s="20">
        <f t="shared" si="405"/>
        <v>2.8510796651548969</v>
      </c>
      <c r="BT519" s="20">
        <f t="shared" si="405"/>
        <v>1.8195029725391552</v>
      </c>
      <c r="BU519" s="20">
        <f t="shared" si="405"/>
        <v>7.1480256847091104</v>
      </c>
      <c r="BV519" s="20">
        <f t="shared" ref="BV519:CP519" si="406">SUM(BV2:BV518)/11</f>
        <v>7.2332233430862862</v>
      </c>
      <c r="BW519" s="20">
        <f t="shared" si="406"/>
        <v>0.25217234733105398</v>
      </c>
      <c r="BX519" s="20">
        <f t="shared" si="406"/>
        <v>1.089172196835557</v>
      </c>
      <c r="BY519" s="20">
        <f t="shared" si="406"/>
        <v>0.34217849212845003</v>
      </c>
      <c r="BZ519" s="20">
        <f t="shared" si="406"/>
        <v>0.8460881956109696</v>
      </c>
      <c r="CA519" s="20">
        <f t="shared" si="406"/>
        <v>1.2686274980321379</v>
      </c>
      <c r="CB519" s="20">
        <f t="shared" si="406"/>
        <v>7.7433631840779666</v>
      </c>
      <c r="CC519" s="20">
        <f t="shared" si="406"/>
        <v>18.579759678532682</v>
      </c>
      <c r="CD519" s="20">
        <f t="shared" si="406"/>
        <v>10.182600717464721</v>
      </c>
      <c r="CE519" s="20">
        <f t="shared" si="406"/>
        <v>7.1184641651058405</v>
      </c>
      <c r="CF519" s="20">
        <f t="shared" si="406"/>
        <v>2.1496471523616254</v>
      </c>
      <c r="CG519" s="20">
        <f t="shared" si="406"/>
        <v>1.3280015498556266</v>
      </c>
      <c r="CH519" s="20">
        <f t="shared" si="406"/>
        <v>1.2595152756875172</v>
      </c>
      <c r="CI519" s="20">
        <f t="shared" si="406"/>
        <v>1.2624460761190182</v>
      </c>
      <c r="CJ519" s="20">
        <f t="shared" si="406"/>
        <v>0.98927622455250908</v>
      </c>
      <c r="CK519" s="20">
        <f t="shared" si="406"/>
        <v>4.2698072061855621</v>
      </c>
      <c r="CL519" s="20">
        <f t="shared" si="406"/>
        <v>4.5278884234083705</v>
      </c>
      <c r="CM519" s="20">
        <f t="shared" si="406"/>
        <v>1304611.9090909092</v>
      </c>
      <c r="CN519" s="20">
        <f t="shared" si="406"/>
        <v>692.62262217085561</v>
      </c>
      <c r="CO519" s="20">
        <f t="shared" si="406"/>
        <v>1579018.2727272727</v>
      </c>
      <c r="CP519" s="20">
        <f t="shared" si="406"/>
        <v>855.01913570272438</v>
      </c>
    </row>
  </sheetData>
  <sortState xmlns:xlrd2="http://schemas.microsoft.com/office/spreadsheetml/2017/richdata2" ref="A2:AX518">
    <sortCondition ref="B2:B518"/>
    <sortCondition ref="A2:A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CLASSES</vt:lpstr>
      <vt:lpstr>CLEAN</vt:lpstr>
      <vt:lpstr>Sheet2</vt:lpstr>
      <vt:lpstr>CLEAN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2024-02-03T12:37:39Z</dcterms:created>
  <dcterms:modified xsi:type="dcterms:W3CDTF">2024-02-15T11:47:23Z</dcterms:modified>
</cp:coreProperties>
</file>